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4/Weekly 1/"/>
    </mc:Choice>
  </mc:AlternateContent>
  <xr:revisionPtr revIDLastSave="6571" documentId="13_ncr:1_{D9A9EE05-371E-4071-92DE-B58BA24C3D27}" xr6:coauthVersionLast="47" xr6:coauthVersionMax="47" xr10:uidLastSave="{8DEE24B1-4C6C-49B2-B93E-EF59986E6F95}"/>
  <bookViews>
    <workbookView xWindow="-110" yWindow="-110" windowWidth="19420" windowHeight="10300" tabRatio="818" firstSheet="1" activeTab="1" xr2:uid="{FA886330-3C41-44FC-B4E4-292C09CE1171}"/>
  </bookViews>
  <sheets>
    <sheet name="Chart - Market (3) &amp; OE (M)" sheetId="10" r:id="rId1"/>
    <sheet name="Chart - Market (3) &amp; OE (M) 23-" sheetId="13" r:id="rId2"/>
    <sheet name="Chart Data" sheetId="2" r:id="rId3"/>
    <sheet name="HAVERQ" sheetId="11" r:id="rId4"/>
    <sheet name="HAVERD" sheetId="1" r:id="rId5"/>
    <sheet name="HAVERM" sheetId="7" r:id="rId6"/>
    <sheet name="Data" sheetId="6" r:id="rId7"/>
    <sheet name="GMW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LX1.INC">HAVERD!$B$2:$BN$7</definedName>
    <definedName name="_DLX2.INC">HAVERM!$B$1:$F$6</definedName>
    <definedName name="_DLX3.INC">HAVERQ!$B$1:$G$6</definedName>
    <definedName name="Annual_Data" localSheetId="7">GMW!$A$1:$A$2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b" hidden="1">{#N/A,#N/A,FALSE,"CGBR95C"}</definedName>
    <definedName name="BLPH1" hidden="1">'[1]4.6 ten year bonds'!$A$4</definedName>
    <definedName name="BLPH2" hidden="1">'[1]4.6 ten year bonds'!$D$4</definedName>
    <definedName name="BLPH3" hidden="1">'[1]4.6 ten year bonds'!$G$4</definedName>
    <definedName name="BLPH4" hidden="1">'[1]4.6 ten year bonds'!$J$4</definedName>
    <definedName name="BLPH5" hidden="1">'[1]4.6 ten year bonds'!$M$4</definedName>
    <definedName name="CT" hidden="1">'[2]Forecast data'!#REF!</definedName>
    <definedName name="CTNABS" hidden="1">'[3]Model inputs'!#REF!</definedName>
    <definedName name="Data">[4]sheet0!$C$2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EFO" hidden="1">'[2]Forecast data'!#REF!</definedName>
    <definedName name="ExtraProfiles" hidden="1">#REF!</definedName>
    <definedName name="ExtraProfiles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'[3]Model inputs'!#REF!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mf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mine" hidden="1">{#N/A,#N/A,FALSE,"CGBR95C"}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[5]Population!#REF!</definedName>
    <definedName name="Population" hidden="1">#REF!</definedName>
    <definedName name="pp" hidden="1">'[6]T3 Page 1'!#REF!</definedName>
    <definedName name="Prodtest" hidden="1">'[6]T3 Page 1'!#REF!</definedName>
    <definedName name="Profiles" hidden="1">#REF!</definedName>
    <definedName name="Projections" hidden="1">#REF!</definedName>
    <definedName name="Results" hidden="1">[7]UK99!$A$1:$A$1</definedName>
    <definedName name="S" hidden="1">'[3]Model inputs'!#REF!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'[8]BBG services'!$A$1:$E$7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ttttttttttttttttt" hidden="1">{#N/A,#N/A,FALSE,"CGBR95C"}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nused" hidden="1">'[9]SUMMARY TABLE'!$S$23:$S$46</definedName>
    <definedName name="Unused4" hidden="1">'[9]SUMMARY TABLE'!$T$23:$T$46</definedName>
    <definedName name="Unused5" hidden="1">'[9]SUMMARY TABLE'!$P$23:$P$46</definedName>
    <definedName name="Unused7" hidden="1">'[9]SUMMARY TABLE'!$P$23:$P$46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'[9]SUMMARY TABLE'!$S$23:$S$46</definedName>
    <definedName name="Unusued24" hidden="1">#REF!</definedName>
    <definedName name="Unusued3" hidden="1">'[9]SUMMARY TABLE'!$T$23:$T$46</definedName>
    <definedName name="Unusued5" hidden="1">'[9]SUMMARY TABLE'!$Q$6:$Q$49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w" hidden="1">{#N/A,#N/A,FALSE,"CGBR95C"}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rn.Dint96." hidden="1">{"Debt interest",#N/A,FALSE,"DINT96"}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88" i="1" l="1"/>
  <c r="A1389" i="1"/>
  <c r="A1387" i="1"/>
  <c r="A1386" i="1"/>
  <c r="A1384" i="1"/>
  <c r="A1385" i="1"/>
  <c r="A1381" i="1"/>
  <c r="A1382" i="1"/>
  <c r="A1383" i="1"/>
  <c r="A1380" i="1"/>
  <c r="A1375" i="1"/>
  <c r="A1376" i="1"/>
  <c r="A1377" i="1"/>
  <c r="A1378" i="1"/>
  <c r="A1379" i="1"/>
  <c r="A1372" i="1"/>
  <c r="A1373" i="1"/>
  <c r="A1374" i="1"/>
  <c r="A1368" i="1"/>
  <c r="A1369" i="1"/>
  <c r="A1370" i="1"/>
  <c r="A1371" i="1"/>
  <c r="A1366" i="1"/>
  <c r="A1367" i="1"/>
  <c r="A1365" i="1"/>
  <c r="A1362" i="1"/>
  <c r="A1363" i="1"/>
  <c r="A1364" i="1"/>
  <c r="A1355" i="1"/>
  <c r="A1356" i="1"/>
  <c r="A1357" i="1"/>
  <c r="A1358" i="1"/>
  <c r="A1359" i="1"/>
  <c r="A1360" i="1"/>
  <c r="A1361" i="1"/>
  <c r="A1353" i="1" l="1"/>
  <c r="A1354" i="1"/>
  <c r="A1351" i="1"/>
  <c r="A1352" i="1"/>
  <c r="A1348" i="1"/>
  <c r="A1349" i="1"/>
  <c r="A1350" i="1"/>
  <c r="A1347" i="1"/>
  <c r="A1346" i="1"/>
  <c r="A1344" i="1"/>
  <c r="A1345" i="1"/>
  <c r="A1343" i="1"/>
  <c r="A1342" i="1"/>
  <c r="A1341" i="1"/>
  <c r="A1340" i="1"/>
  <c r="A1337" i="1"/>
  <c r="A1338" i="1"/>
  <c r="A1339" i="1"/>
  <c r="A1333" i="1"/>
  <c r="A1334" i="1"/>
  <c r="A1335" i="1"/>
  <c r="A1336" i="1"/>
  <c r="A1330" i="1"/>
  <c r="A1331" i="1"/>
  <c r="A1332" i="1"/>
  <c r="A1329" i="1"/>
  <c r="A1328" i="1" l="1"/>
  <c r="A1325" i="1"/>
  <c r="A1326" i="1"/>
  <c r="A1327" i="1"/>
  <c r="A1323" i="1"/>
  <c r="A1324" i="1"/>
  <c r="A1322" i="1"/>
  <c r="A1320" i="1"/>
  <c r="A1321" i="1"/>
  <c r="A1318" i="1"/>
  <c r="A1319" i="1"/>
  <c r="A1316" i="1"/>
  <c r="A1317" i="1"/>
  <c r="A1314" i="1"/>
  <c r="A1315" i="1"/>
  <c r="A1304" i="1"/>
  <c r="A1309" i="1" s="1"/>
  <c r="A1305" i="1"/>
  <c r="A1306" i="1"/>
  <c r="A1307" i="1"/>
  <c r="A1308" i="1"/>
  <c r="A1313" i="1" s="1"/>
  <c r="A1310" i="1"/>
  <c r="A1311" i="1"/>
  <c r="A1312" i="1"/>
  <c r="A1301" i="1"/>
  <c r="A1302" i="1"/>
  <c r="A1303" i="1"/>
  <c r="BR8" i="2"/>
  <c r="BS8" i="2" s="1"/>
  <c r="A1300" i="1"/>
  <c r="A1296" i="1"/>
  <c r="A1297" i="1"/>
  <c r="A1298" i="1"/>
  <c r="A1299" i="1"/>
  <c r="A1294" i="1"/>
  <c r="A1295" i="1"/>
  <c r="A1293" i="1"/>
  <c r="A1292" i="1"/>
  <c r="A1288" i="1"/>
  <c r="A1289" i="1"/>
  <c r="A1290" i="1"/>
  <c r="A1291" i="1"/>
  <c r="A1287" i="1"/>
  <c r="A1286" i="1"/>
  <c r="A1284" i="1"/>
  <c r="A1285" i="1"/>
  <c r="A1283" i="1"/>
  <c r="A1280" i="1"/>
  <c r="A1281" i="1"/>
  <c r="A1282" i="1"/>
  <c r="A1276" i="1"/>
  <c r="A1277" i="1"/>
  <c r="A1278" i="1"/>
  <c r="A1279" i="1"/>
  <c r="A1274" i="1" l="1"/>
  <c r="A1275" i="1"/>
  <c r="A1273" i="1"/>
  <c r="A1270" i="1"/>
  <c r="A1271" i="1"/>
  <c r="A1272" i="1"/>
  <c r="EH3" i="2"/>
  <c r="EI3" i="2"/>
  <c r="DT6" i="2" a="1"/>
  <c r="DV6" i="2" s="1"/>
  <c r="A1266" i="1"/>
  <c r="A1267" i="1"/>
  <c r="A1268" i="1"/>
  <c r="A1269" i="1"/>
  <c r="EF3" i="2"/>
  <c r="EG3" i="2"/>
  <c r="A1258" i="1"/>
  <c r="A1259" i="1"/>
  <c r="A1260" i="1"/>
  <c r="A1261" i="1"/>
  <c r="A1262" i="1"/>
  <c r="A1263" i="1"/>
  <c r="A1264" i="1"/>
  <c r="A1265" i="1"/>
  <c r="A1254" i="1"/>
  <c r="A1255" i="1"/>
  <c r="A1256" i="1"/>
  <c r="A1257" i="1"/>
  <c r="A1241" i="1"/>
  <c r="A1242" i="1"/>
  <c r="A1247" i="1" s="1"/>
  <c r="A1252" i="1" s="1"/>
  <c r="A1243" i="1"/>
  <c r="A1244" i="1"/>
  <c r="A1249" i="1" s="1"/>
  <c r="A1245" i="1"/>
  <c r="A1246" i="1"/>
  <c r="A1251" i="1" s="1"/>
  <c r="A1248" i="1"/>
  <c r="A1253" i="1" s="1"/>
  <c r="A1250" i="1"/>
  <c r="BH4" i="2"/>
  <c r="A1236" i="1"/>
  <c r="A1237" i="1"/>
  <c r="A1238" i="1"/>
  <c r="A1239" i="1"/>
  <c r="A1240" i="1"/>
  <c r="A1235" i="1"/>
  <c r="A1233" i="1"/>
  <c r="A1234" i="1"/>
  <c r="A1230" i="1"/>
  <c r="A1231" i="1"/>
  <c r="A1232" i="1"/>
  <c r="A1229" i="1"/>
  <c r="A1227" i="1"/>
  <c r="A1228" i="1"/>
  <c r="A1224" i="1"/>
  <c r="A1225" i="1"/>
  <c r="A1226" i="1"/>
  <c r="A1223" i="1"/>
  <c r="A1221" i="1"/>
  <c r="A1222" i="1"/>
  <c r="A1217" i="1"/>
  <c r="A1218" i="1"/>
  <c r="A1219" i="1"/>
  <c r="A1220" i="1"/>
  <c r="A1216" i="1"/>
  <c r="BT8" i="2"/>
  <c r="BU8" i="2" s="1"/>
  <c r="EC6" i="2" l="1"/>
  <c r="EG6" i="2"/>
  <c r="EB6" i="2"/>
  <c r="DX6" i="2"/>
  <c r="DU6" i="2"/>
  <c r="EI6" i="2"/>
  <c r="EH6" i="2"/>
  <c r="DY6" i="2"/>
  <c r="EE6" i="2"/>
  <c r="DW6" i="2"/>
  <c r="DT6" i="2"/>
  <c r="EA6" i="2"/>
  <c r="DZ6" i="2"/>
  <c r="EF6" i="2"/>
  <c r="ED6" i="2"/>
  <c r="BV8" i="2"/>
  <c r="BW8" i="2" s="1"/>
  <c r="BY8" i="2" s="1"/>
  <c r="BZ8" i="2" s="1"/>
  <c r="CB8" i="2" s="1"/>
  <c r="CC8" i="2" s="1"/>
  <c r="CE8" i="2" s="1"/>
  <c r="CF8" i="2" s="1"/>
  <c r="BX8" i="2" l="1"/>
  <c r="CA8" i="2"/>
  <c r="CD8" i="2"/>
  <c r="CG8" i="2"/>
  <c r="CH8" i="2"/>
  <c r="CI8" i="2" s="1"/>
  <c r="CJ8" i="2" s="1"/>
  <c r="A1214" i="1"/>
  <c r="A1215" i="1"/>
  <c r="A1206" i="1"/>
  <c r="A1211" i="1" s="1"/>
  <c r="A1207" i="1"/>
  <c r="A1212" i="1" s="1"/>
  <c r="A1208" i="1"/>
  <c r="A1213" i="1" s="1"/>
  <c r="A1209" i="1"/>
  <c r="A1210" i="1"/>
  <c r="A1203" i="1"/>
  <c r="A1204" i="1"/>
  <c r="A1205" i="1"/>
  <c r="A1201" i="1"/>
  <c r="A1202" i="1"/>
  <c r="A1200" i="1"/>
  <c r="A1198" i="1"/>
  <c r="A1199" i="1"/>
  <c r="A1197" i="1"/>
  <c r="A1196" i="1"/>
  <c r="A1195" i="1"/>
  <c r="A1194" i="1"/>
  <c r="A1193" i="1"/>
  <c r="A1191" i="1"/>
  <c r="A1192" i="1"/>
  <c r="A1190" i="1"/>
  <c r="A1188" i="1"/>
  <c r="A1189" i="1"/>
  <c r="A1185" i="1"/>
  <c r="A1186" i="1"/>
  <c r="A1187" i="1"/>
  <c r="BF4" i="2"/>
  <c r="A1183" i="1"/>
  <c r="A1184" i="1"/>
  <c r="A1182" i="1"/>
  <c r="A1181" i="1"/>
  <c r="A1179" i="1"/>
  <c r="A1180" i="1"/>
  <c r="A1177" i="1" l="1"/>
  <c r="A1178" i="1"/>
  <c r="A1175" i="1"/>
  <c r="A1176" i="1"/>
  <c r="A1173" i="1"/>
  <c r="A1174" i="1"/>
  <c r="A1172" i="1"/>
  <c r="A1171" i="1"/>
  <c r="A1170" i="1"/>
  <c r="A1169" i="1"/>
  <c r="A1168" i="1" l="1"/>
  <c r="A1166" i="1"/>
  <c r="A1167" i="1"/>
  <c r="A1165" i="1"/>
  <c r="A1164" i="1"/>
  <c r="A1163" i="1" l="1"/>
  <c r="A1146" i="1"/>
  <c r="A1147" i="1"/>
  <c r="A1148" i="1"/>
  <c r="A1149" i="1"/>
  <c r="A1154" i="1" s="1"/>
  <c r="A1159" i="1" s="1"/>
  <c r="A1150" i="1"/>
  <c r="A1155" i="1" s="1"/>
  <c r="A1160" i="1" s="1"/>
  <c r="A1151" i="1"/>
  <c r="A1156" i="1" s="1"/>
  <c r="A1161" i="1" s="1"/>
  <c r="A1152" i="1"/>
  <c r="A1157" i="1" s="1"/>
  <c r="A1162" i="1" s="1"/>
  <c r="A1153" i="1"/>
  <c r="A1158" i="1" s="1"/>
  <c r="A1142" i="1"/>
  <c r="A1143" i="1"/>
  <c r="A1144" i="1"/>
  <c r="A1145" i="1"/>
  <c r="A1140" i="1"/>
  <c r="A1141" i="1"/>
  <c r="A1139" i="1"/>
  <c r="A1134" i="1"/>
  <c r="A1135" i="1"/>
  <c r="A1136" i="1"/>
  <c r="A1137" i="1"/>
  <c r="A1138" i="1"/>
  <c r="A1132" i="1"/>
  <c r="A1133" i="1"/>
  <c r="A1130" i="1"/>
  <c r="A1131" i="1"/>
  <c r="AZ4" i="2" l="1"/>
  <c r="EA3" i="2" l="1"/>
  <c r="EB3" i="2"/>
  <c r="EC3" i="2"/>
  <c r="ED3" i="2"/>
  <c r="EE3" i="2"/>
  <c r="BY4" i="2"/>
  <c r="BZ4" i="2"/>
  <c r="CA4" i="2"/>
  <c r="CB4" i="2"/>
  <c r="CC4" i="2"/>
  <c r="CD4" i="2"/>
  <c r="CE4" i="2"/>
  <c r="CF4" i="2"/>
  <c r="CG4" i="2"/>
  <c r="CH4" i="2"/>
  <c r="CI4" i="2"/>
  <c r="CJ4" i="2"/>
  <c r="BY3" i="2"/>
  <c r="BZ3" i="2"/>
  <c r="CA3" i="2"/>
  <c r="CB3" i="2"/>
  <c r="CC3" i="2"/>
  <c r="CD3" i="2"/>
  <c r="CE3" i="2"/>
  <c r="CF3" i="2"/>
  <c r="CG3" i="2"/>
  <c r="CH3" i="2"/>
  <c r="CI3" i="2"/>
  <c r="CJ3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AT4" i="2" l="1"/>
  <c r="AR4" i="2" l="1"/>
  <c r="CN3" i="2" l="1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CM3" i="2"/>
  <c r="CL5" i="2"/>
  <c r="CL7" i="2"/>
  <c r="B4" i="2"/>
  <c r="C4" i="2" s="1"/>
  <c r="D5" i="2"/>
  <c r="B5" i="2" s="1"/>
  <c r="E13" i="2"/>
  <c r="G12" i="2"/>
  <c r="H12" i="2" s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F10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S4" i="2"/>
  <c r="AU4" i="2"/>
  <c r="AV4" i="2"/>
  <c r="AW4" i="2"/>
  <c r="AX4" i="2"/>
  <c r="AY4" i="2"/>
  <c r="BA4" i="2"/>
  <c r="BB4" i="2"/>
  <c r="BC4" i="2"/>
  <c r="BD4" i="2"/>
  <c r="BE4" i="2"/>
  <c r="BG4" i="2"/>
  <c r="BI4" i="2"/>
  <c r="BJ4" i="2"/>
  <c r="BK4" i="2"/>
  <c r="BL4" i="2"/>
  <c r="BM4" i="2"/>
  <c r="BN4" i="2"/>
  <c r="BO4" i="2"/>
  <c r="BQ4" i="2"/>
  <c r="BR4" i="2"/>
  <c r="BS4" i="2"/>
  <c r="BT4" i="2"/>
  <c r="BU4" i="2"/>
  <c r="BV4" i="2"/>
  <c r="BW4" i="2"/>
  <c r="BX4" i="2"/>
  <c r="E4" i="2"/>
  <c r="D1" i="6"/>
  <c r="D7" i="6" a="1"/>
  <c r="D7" i="6" s="1"/>
  <c r="C8" i="6"/>
  <c r="C9" i="6" s="1"/>
  <c r="D9" i="6" s="1" a="1"/>
  <c r="D9" i="6" s="1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E19" i="2"/>
  <c r="A14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405" i="1" s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565" i="1" s="1"/>
  <c r="A570" i="1" s="1"/>
  <c r="A575" i="1" s="1"/>
  <c r="A580" i="1" s="1"/>
  <c r="A585" i="1" s="1"/>
  <c r="A590" i="1" s="1"/>
  <c r="A595" i="1" s="1"/>
  <c r="A600" i="1" s="1"/>
  <c r="A605" i="1" s="1"/>
  <c r="A610" i="1" s="1"/>
  <c r="A615" i="1" s="1"/>
  <c r="A620" i="1" s="1"/>
  <c r="A625" i="1" s="1"/>
  <c r="A630" i="1" s="1"/>
  <c r="A635" i="1" s="1"/>
  <c r="A640" i="1" s="1"/>
  <c r="A645" i="1" s="1"/>
  <c r="A650" i="1" s="1"/>
  <c r="A655" i="1" s="1"/>
  <c r="A660" i="1" s="1"/>
  <c r="A665" i="1" s="1"/>
  <c r="A670" i="1" s="1"/>
  <c r="A675" i="1" s="1"/>
  <c r="A680" i="1" s="1"/>
  <c r="A685" i="1" s="1"/>
  <c r="A690" i="1" s="1"/>
  <c r="A695" i="1" s="1"/>
  <c r="A700" i="1" s="1"/>
  <c r="A705" i="1" s="1"/>
  <c r="A710" i="1" s="1"/>
  <c r="A715" i="1" s="1"/>
  <c r="A720" i="1" s="1"/>
  <c r="A725" i="1" s="1"/>
  <c r="A730" i="1" s="1"/>
  <c r="A735" i="1" s="1"/>
  <c r="A740" i="1" s="1"/>
  <c r="A745" i="1" s="1"/>
  <c r="A750" i="1" s="1"/>
  <c r="A755" i="1" s="1"/>
  <c r="A760" i="1" s="1"/>
  <c r="A765" i="1" s="1"/>
  <c r="A770" i="1" s="1"/>
  <c r="A775" i="1" s="1"/>
  <c r="A780" i="1" s="1"/>
  <c r="A785" i="1" s="1"/>
  <c r="A790" i="1" s="1"/>
  <c r="A795" i="1" s="1"/>
  <c r="A800" i="1" s="1"/>
  <c r="A805" i="1" s="1"/>
  <c r="A810" i="1" s="1"/>
  <c r="A815" i="1" s="1"/>
  <c r="A820" i="1" s="1"/>
  <c r="A825" i="1" s="1"/>
  <c r="A830" i="1" s="1"/>
  <c r="A835" i="1" s="1"/>
  <c r="A840" i="1" s="1"/>
  <c r="A845" i="1" s="1"/>
  <c r="A850" i="1" s="1"/>
  <c r="A855" i="1" s="1"/>
  <c r="A860" i="1" s="1"/>
  <c r="A865" i="1" s="1"/>
  <c r="A870" i="1" s="1"/>
  <c r="A875" i="1" s="1"/>
  <c r="A880" i="1" s="1"/>
  <c r="A885" i="1" s="1"/>
  <c r="A890" i="1" s="1"/>
  <c r="A895" i="1" s="1"/>
  <c r="A900" i="1" s="1"/>
  <c r="A905" i="1" s="1"/>
  <c r="A910" i="1" s="1"/>
  <c r="A915" i="1" s="1"/>
  <c r="A920" i="1" s="1"/>
  <c r="A925" i="1" s="1"/>
  <c r="A930" i="1" s="1"/>
  <c r="A935" i="1" s="1"/>
  <c r="A940" i="1" s="1"/>
  <c r="A945" i="1" s="1"/>
  <c r="A950" i="1" s="1"/>
  <c r="A955" i="1" s="1"/>
  <c r="A960" i="1" s="1"/>
  <c r="A965" i="1" s="1"/>
  <c r="A970" i="1" s="1"/>
  <c r="A975" i="1" s="1"/>
  <c r="A980" i="1" s="1"/>
  <c r="A985" i="1" s="1"/>
  <c r="A990" i="1" s="1"/>
  <c r="A995" i="1" s="1"/>
  <c r="A1000" i="1" s="1"/>
  <c r="A1005" i="1" s="1"/>
  <c r="A1010" i="1" s="1"/>
  <c r="A1015" i="1" s="1"/>
  <c r="A1020" i="1" s="1"/>
  <c r="A1025" i="1" s="1"/>
  <c r="A1030" i="1" s="1"/>
  <c r="A1035" i="1" s="1"/>
  <c r="A1040" i="1" s="1"/>
  <c r="A1045" i="1" s="1"/>
  <c r="A1050" i="1" s="1"/>
  <c r="A1055" i="1" s="1"/>
  <c r="A1060" i="1" s="1"/>
  <c r="A1065" i="1" s="1"/>
  <c r="A1070" i="1" s="1"/>
  <c r="A1075" i="1" s="1"/>
  <c r="A1080" i="1" s="1"/>
  <c r="A1085" i="1" s="1"/>
  <c r="A1090" i="1" s="1"/>
  <c r="A1095" i="1" s="1"/>
  <c r="A1100" i="1" s="1"/>
  <c r="A1105" i="1" s="1"/>
  <c r="A1110" i="1" s="1"/>
  <c r="A1115" i="1" s="1"/>
  <c r="A1120" i="1" s="1"/>
  <c r="A1125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406" i="1" s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566" i="1" s="1"/>
  <c r="A571" i="1" s="1"/>
  <c r="A576" i="1" s="1"/>
  <c r="A581" i="1" s="1"/>
  <c r="A586" i="1" s="1"/>
  <c r="A591" i="1" s="1"/>
  <c r="A596" i="1" s="1"/>
  <c r="A601" i="1" s="1"/>
  <c r="A606" i="1" s="1"/>
  <c r="A611" i="1" s="1"/>
  <c r="A616" i="1" s="1"/>
  <c r="A621" i="1" s="1"/>
  <c r="A626" i="1" s="1"/>
  <c r="A631" i="1" s="1"/>
  <c r="A636" i="1" s="1"/>
  <c r="A641" i="1" s="1"/>
  <c r="A646" i="1" s="1"/>
  <c r="A651" i="1" s="1"/>
  <c r="A656" i="1" s="1"/>
  <c r="A661" i="1" s="1"/>
  <c r="A666" i="1" s="1"/>
  <c r="A671" i="1" s="1"/>
  <c r="A676" i="1" s="1"/>
  <c r="A681" i="1" s="1"/>
  <c r="A686" i="1" s="1"/>
  <c r="A691" i="1" s="1"/>
  <c r="A696" i="1" s="1"/>
  <c r="A701" i="1" s="1"/>
  <c r="A706" i="1" s="1"/>
  <c r="A711" i="1" s="1"/>
  <c r="A716" i="1" s="1"/>
  <c r="A721" i="1" s="1"/>
  <c r="A726" i="1" s="1"/>
  <c r="A731" i="1" s="1"/>
  <c r="A736" i="1" s="1"/>
  <c r="A741" i="1" s="1"/>
  <c r="A746" i="1" s="1"/>
  <c r="A751" i="1" s="1"/>
  <c r="A756" i="1" s="1"/>
  <c r="A761" i="1" s="1"/>
  <c r="A766" i="1" s="1"/>
  <c r="A771" i="1" s="1"/>
  <c r="A776" i="1" s="1"/>
  <c r="A781" i="1" s="1"/>
  <c r="A786" i="1" s="1"/>
  <c r="A791" i="1" s="1"/>
  <c r="A796" i="1" s="1"/>
  <c r="A801" i="1" s="1"/>
  <c r="A806" i="1" s="1"/>
  <c r="A811" i="1" s="1"/>
  <c r="A816" i="1" s="1"/>
  <c r="A821" i="1" s="1"/>
  <c r="A826" i="1" s="1"/>
  <c r="A831" i="1" s="1"/>
  <c r="A836" i="1" s="1"/>
  <c r="A841" i="1" s="1"/>
  <c r="A846" i="1" s="1"/>
  <c r="A851" i="1" s="1"/>
  <c r="A856" i="1" s="1"/>
  <c r="A861" i="1" s="1"/>
  <c r="A866" i="1" s="1"/>
  <c r="A871" i="1" s="1"/>
  <c r="A876" i="1" s="1"/>
  <c r="A881" i="1" s="1"/>
  <c r="A886" i="1" s="1"/>
  <c r="A891" i="1" s="1"/>
  <c r="A896" i="1" s="1"/>
  <c r="A901" i="1" s="1"/>
  <c r="A906" i="1" s="1"/>
  <c r="A911" i="1" s="1"/>
  <c r="A916" i="1" s="1"/>
  <c r="A921" i="1" s="1"/>
  <c r="A926" i="1" s="1"/>
  <c r="A931" i="1" s="1"/>
  <c r="A936" i="1" s="1"/>
  <c r="A941" i="1" s="1"/>
  <c r="A946" i="1" s="1"/>
  <c r="A951" i="1" s="1"/>
  <c r="A956" i="1" s="1"/>
  <c r="A961" i="1" s="1"/>
  <c r="A966" i="1" s="1"/>
  <c r="A971" i="1" s="1"/>
  <c r="A976" i="1" s="1"/>
  <c r="A981" i="1" s="1"/>
  <c r="A986" i="1" s="1"/>
  <c r="A991" i="1" s="1"/>
  <c r="A996" i="1" s="1"/>
  <c r="A1001" i="1" s="1"/>
  <c r="A1006" i="1" s="1"/>
  <c r="A1011" i="1" s="1"/>
  <c r="A1016" i="1" s="1"/>
  <c r="A1021" i="1" s="1"/>
  <c r="A1026" i="1" s="1"/>
  <c r="A1031" i="1" s="1"/>
  <c r="A1036" i="1" s="1"/>
  <c r="A1041" i="1" s="1"/>
  <c r="A1046" i="1" s="1"/>
  <c r="A1051" i="1" s="1"/>
  <c r="A1056" i="1" s="1"/>
  <c r="A1061" i="1" s="1"/>
  <c r="A1066" i="1" s="1"/>
  <c r="A1071" i="1" s="1"/>
  <c r="A1076" i="1" s="1"/>
  <c r="A1081" i="1" s="1"/>
  <c r="A1086" i="1" s="1"/>
  <c r="A1091" i="1" s="1"/>
  <c r="A1096" i="1" s="1"/>
  <c r="A1101" i="1" s="1"/>
  <c r="A1106" i="1" s="1"/>
  <c r="A1111" i="1" s="1"/>
  <c r="A1116" i="1" s="1"/>
  <c r="A1121" i="1" s="1"/>
  <c r="A1126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407" i="1" s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562" i="1" s="1"/>
  <c r="A567" i="1" s="1"/>
  <c r="A572" i="1" s="1"/>
  <c r="A577" i="1" s="1"/>
  <c r="A582" i="1" s="1"/>
  <c r="A587" i="1" s="1"/>
  <c r="A592" i="1" s="1"/>
  <c r="A597" i="1" s="1"/>
  <c r="A602" i="1" s="1"/>
  <c r="A607" i="1" s="1"/>
  <c r="A612" i="1" s="1"/>
  <c r="A617" i="1" s="1"/>
  <c r="A622" i="1" s="1"/>
  <c r="A627" i="1" s="1"/>
  <c r="A632" i="1" s="1"/>
  <c r="A637" i="1" s="1"/>
  <c r="A642" i="1" s="1"/>
  <c r="A647" i="1" s="1"/>
  <c r="A652" i="1" s="1"/>
  <c r="A657" i="1" s="1"/>
  <c r="A662" i="1" s="1"/>
  <c r="A667" i="1" s="1"/>
  <c r="A672" i="1" s="1"/>
  <c r="A677" i="1" s="1"/>
  <c r="A682" i="1" s="1"/>
  <c r="A687" i="1" s="1"/>
  <c r="A692" i="1" s="1"/>
  <c r="A697" i="1" s="1"/>
  <c r="A702" i="1" s="1"/>
  <c r="A707" i="1" s="1"/>
  <c r="A712" i="1" s="1"/>
  <c r="A717" i="1" s="1"/>
  <c r="A722" i="1" s="1"/>
  <c r="A727" i="1" s="1"/>
  <c r="A732" i="1" s="1"/>
  <c r="A737" i="1" s="1"/>
  <c r="A742" i="1" s="1"/>
  <c r="A747" i="1" s="1"/>
  <c r="A752" i="1" s="1"/>
  <c r="A757" i="1" s="1"/>
  <c r="A762" i="1" s="1"/>
  <c r="A767" i="1" s="1"/>
  <c r="A772" i="1" s="1"/>
  <c r="A777" i="1" s="1"/>
  <c r="A782" i="1" s="1"/>
  <c r="A787" i="1" s="1"/>
  <c r="A792" i="1" s="1"/>
  <c r="A797" i="1" s="1"/>
  <c r="A802" i="1" s="1"/>
  <c r="A807" i="1" s="1"/>
  <c r="A812" i="1" s="1"/>
  <c r="A817" i="1" s="1"/>
  <c r="A822" i="1" s="1"/>
  <c r="A827" i="1" s="1"/>
  <c r="A832" i="1" s="1"/>
  <c r="A837" i="1" s="1"/>
  <c r="A842" i="1" s="1"/>
  <c r="A847" i="1" s="1"/>
  <c r="A852" i="1" s="1"/>
  <c r="A857" i="1" s="1"/>
  <c r="A862" i="1" s="1"/>
  <c r="A867" i="1" s="1"/>
  <c r="A872" i="1" s="1"/>
  <c r="A877" i="1" s="1"/>
  <c r="A882" i="1" s="1"/>
  <c r="A887" i="1" s="1"/>
  <c r="A892" i="1" s="1"/>
  <c r="A897" i="1" s="1"/>
  <c r="A902" i="1" s="1"/>
  <c r="A907" i="1" s="1"/>
  <c r="A912" i="1" s="1"/>
  <c r="A917" i="1" s="1"/>
  <c r="A922" i="1" s="1"/>
  <c r="A927" i="1" s="1"/>
  <c r="A932" i="1" s="1"/>
  <c r="A937" i="1" s="1"/>
  <c r="A942" i="1" s="1"/>
  <c r="A947" i="1" s="1"/>
  <c r="A952" i="1" s="1"/>
  <c r="A957" i="1" s="1"/>
  <c r="A962" i="1" s="1"/>
  <c r="A967" i="1" s="1"/>
  <c r="A972" i="1" s="1"/>
  <c r="A977" i="1" s="1"/>
  <c r="A982" i="1" s="1"/>
  <c r="A987" i="1" s="1"/>
  <c r="A992" i="1" s="1"/>
  <c r="A997" i="1" s="1"/>
  <c r="A1002" i="1" s="1"/>
  <c r="A1007" i="1" s="1"/>
  <c r="A1012" i="1" s="1"/>
  <c r="A1017" i="1" s="1"/>
  <c r="A1022" i="1" s="1"/>
  <c r="A1027" i="1" s="1"/>
  <c r="A1032" i="1" s="1"/>
  <c r="A1037" i="1" s="1"/>
  <c r="A1042" i="1" s="1"/>
  <c r="A1047" i="1" s="1"/>
  <c r="A1052" i="1" s="1"/>
  <c r="A1057" i="1" s="1"/>
  <c r="A1062" i="1" s="1"/>
  <c r="A1067" i="1" s="1"/>
  <c r="A1072" i="1" s="1"/>
  <c r="A1077" i="1" s="1"/>
  <c r="A1082" i="1" s="1"/>
  <c r="A1087" i="1" s="1"/>
  <c r="A1092" i="1" s="1"/>
  <c r="A1097" i="1" s="1"/>
  <c r="A1102" i="1" s="1"/>
  <c r="A1107" i="1" s="1"/>
  <c r="A1112" i="1" s="1"/>
  <c r="A1117" i="1" s="1"/>
  <c r="A1122" i="1" s="1"/>
  <c r="A1127" i="1" s="1"/>
  <c r="A13" i="1"/>
  <c r="BX34" i="2"/>
  <c r="BX36" i="2" s="1"/>
  <c r="BW34" i="2"/>
  <c r="BV34" i="2"/>
  <c r="BV35" i="2" s="1"/>
  <c r="BU34" i="2"/>
  <c r="BU35" i="2" s="1"/>
  <c r="BT34" i="2"/>
  <c r="BT36" i="2" s="1"/>
  <c r="BS34" i="2"/>
  <c r="BS35" i="2" s="1"/>
  <c r="BR34" i="2"/>
  <c r="BR36" i="2" s="1"/>
  <c r="BQ34" i="2"/>
  <c r="BQ36" i="2" s="1"/>
  <c r="BP34" i="2"/>
  <c r="BP35" i="2" s="1"/>
  <c r="BO34" i="2"/>
  <c r="BO35" i="2" s="1"/>
  <c r="BN34" i="2"/>
  <c r="BN36" i="2" s="1"/>
  <c r="BM34" i="2"/>
  <c r="BM35" i="2" s="1"/>
  <c r="BL34" i="2"/>
  <c r="BL36" i="2" s="1"/>
  <c r="BK34" i="2"/>
  <c r="BJ34" i="2"/>
  <c r="BJ35" i="2" s="1"/>
  <c r="BI34" i="2"/>
  <c r="BI36" i="2" s="1"/>
  <c r="BH34" i="2"/>
  <c r="BH36" i="2" s="1"/>
  <c r="BG34" i="2"/>
  <c r="BG35" i="2" s="1"/>
  <c r="BF34" i="2"/>
  <c r="BF36" i="2" s="1"/>
  <c r="BE34" i="2"/>
  <c r="BD34" i="2"/>
  <c r="BD35" i="2" s="1"/>
  <c r="BC34" i="2"/>
  <c r="BC35" i="2" s="1"/>
  <c r="BB34" i="2"/>
  <c r="BB36" i="2" s="1"/>
  <c r="BA34" i="2"/>
  <c r="BA35" i="2" s="1"/>
  <c r="AZ34" i="2"/>
  <c r="AZ36" i="2" s="1"/>
  <c r="AY34" i="2"/>
  <c r="AX34" i="2"/>
  <c r="AX35" i="2" s="1"/>
  <c r="AW34" i="2"/>
  <c r="AW36" i="2" s="1"/>
  <c r="AV34" i="2"/>
  <c r="AV36" i="2" s="1"/>
  <c r="AU34" i="2"/>
  <c r="AU35" i="2" s="1"/>
  <c r="AT34" i="2"/>
  <c r="AT36" i="2" s="1"/>
  <c r="AS34" i="2"/>
  <c r="AS35" i="2" s="1"/>
  <c r="AR34" i="2"/>
  <c r="AR35" i="2" s="1"/>
  <c r="AQ34" i="2"/>
  <c r="AQ36" i="2" s="1"/>
  <c r="AP34" i="2"/>
  <c r="AP36" i="2" s="1"/>
  <c r="AO34" i="2"/>
  <c r="AO35" i="2" s="1"/>
  <c r="AN34" i="2"/>
  <c r="AN36" i="2" s="1"/>
  <c r="AM34" i="2"/>
  <c r="AL34" i="2"/>
  <c r="AL35" i="2" s="1"/>
  <c r="AK34" i="2"/>
  <c r="AK36" i="2" s="1"/>
  <c r="AJ34" i="2"/>
  <c r="AJ36" i="2" s="1"/>
  <c r="AI34" i="2"/>
  <c r="AI35" i="2" s="1"/>
  <c r="AH34" i="2"/>
  <c r="AH36" i="2" s="1"/>
  <c r="AG34" i="2"/>
  <c r="AG36" i="2" s="1"/>
  <c r="AF34" i="2"/>
  <c r="AF35" i="2" s="1"/>
  <c r="AE34" i="2"/>
  <c r="AE35" i="2" s="1"/>
  <c r="AD34" i="2"/>
  <c r="AD36" i="2" s="1"/>
  <c r="AC34" i="2"/>
  <c r="AC35" i="2" s="1"/>
  <c r="AB34" i="2"/>
  <c r="AB36" i="2" s="1"/>
  <c r="AA34" i="2"/>
  <c r="Z34" i="2"/>
  <c r="Z35" i="2" s="1"/>
  <c r="Y34" i="2"/>
  <c r="Y35" i="2" s="1"/>
  <c r="X34" i="2"/>
  <c r="X36" i="2" s="1"/>
  <c r="W34" i="2"/>
  <c r="W35" i="2" s="1"/>
  <c r="V34" i="2"/>
  <c r="V36" i="2" s="1"/>
  <c r="U34" i="2"/>
  <c r="T34" i="2"/>
  <c r="T35" i="2" s="1"/>
  <c r="S34" i="2"/>
  <c r="S36" i="2" s="1"/>
  <c r="R34" i="2"/>
  <c r="R36" i="2" s="1"/>
  <c r="Q34" i="2"/>
  <c r="Q35" i="2" s="1"/>
  <c r="P34" i="2"/>
  <c r="O34" i="2"/>
  <c r="O35" i="2" s="1"/>
  <c r="N34" i="2"/>
  <c r="N35" i="2" s="1"/>
  <c r="M34" i="2"/>
  <c r="M35" i="2" s="1"/>
  <c r="L34" i="2"/>
  <c r="L35" i="2" s="1"/>
  <c r="K34" i="2"/>
  <c r="K35" i="2" s="1"/>
  <c r="J34" i="2"/>
  <c r="I34" i="2"/>
  <c r="I35" i="2" s="1"/>
  <c r="H34" i="2"/>
  <c r="H35" i="2" s="1"/>
  <c r="G34" i="2"/>
  <c r="G36" i="2" s="1"/>
  <c r="F34" i="2"/>
  <c r="F36" i="2" s="1"/>
  <c r="E34" i="2"/>
  <c r="E35" i="2" s="1"/>
  <c r="E29" i="2"/>
  <c r="G28" i="2"/>
  <c r="H28" i="2" s="1"/>
  <c r="I28" i="2" s="1"/>
  <c r="F26" i="2"/>
  <c r="E21" i="2"/>
  <c r="G20" i="2"/>
  <c r="H20" i="2" s="1"/>
  <c r="I20" i="2" s="1"/>
  <c r="F18" i="2"/>
  <c r="A8" i="2"/>
  <c r="CL8" i="2" s="1"/>
  <c r="D7" i="2"/>
  <c r="B7" i="2" s="1"/>
  <c r="D6" i="2"/>
  <c r="B6" i="2" s="1"/>
  <c r="A4" i="2"/>
  <c r="CL4" i="2" s="1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F1" i="2"/>
  <c r="BO8" i="2" s="1"/>
  <c r="G10" i="2"/>
  <c r="AV35" i="2"/>
  <c r="BN8" i="2" l="1"/>
  <c r="BL8" i="2"/>
  <c r="BK8" i="2"/>
  <c r="BM8" i="2"/>
  <c r="BI8" i="2"/>
  <c r="BJ8" i="2"/>
  <c r="EF4" i="2"/>
  <c r="EG4" i="2"/>
  <c r="BH8" i="2"/>
  <c r="BF8" i="2"/>
  <c r="BG8" i="2"/>
  <c r="BE8" i="2"/>
  <c r="EC4" i="2"/>
  <c r="EA4" i="2"/>
  <c r="ED4" i="2"/>
  <c r="EE4" i="2"/>
  <c r="EB4" i="2"/>
  <c r="BC8" i="2"/>
  <c r="BD8" i="2"/>
  <c r="AH35" i="2"/>
  <c r="AW35" i="2"/>
  <c r="R35" i="2"/>
  <c r="BC36" i="2"/>
  <c r="BB35" i="2"/>
  <c r="BB8" i="2"/>
  <c r="AZ8" i="2"/>
  <c r="BA8" i="2"/>
  <c r="AY8" i="2"/>
  <c r="H10" i="2"/>
  <c r="I10" i="2" s="1"/>
  <c r="G26" i="2"/>
  <c r="G18" i="2"/>
  <c r="AW8" i="2"/>
  <c r="AX8" i="2"/>
  <c r="AV8" i="2"/>
  <c r="E14" i="2"/>
  <c r="E22" i="2"/>
  <c r="AT8" i="2"/>
  <c r="AU8" i="2"/>
  <c r="X35" i="2"/>
  <c r="BI35" i="2"/>
  <c r="AR8" i="2"/>
  <c r="AS8" i="2"/>
  <c r="DO4" i="2"/>
  <c r="BX35" i="2"/>
  <c r="BH35" i="2"/>
  <c r="G35" i="2"/>
  <c r="BR35" i="2"/>
  <c r="AP8" i="2"/>
  <c r="AQ8" i="2"/>
  <c r="AN35" i="2"/>
  <c r="S35" i="2"/>
  <c r="BT35" i="2"/>
  <c r="BO36" i="2"/>
  <c r="BQ35" i="2"/>
  <c r="BL35" i="2"/>
  <c r="AE36" i="2"/>
  <c r="AP35" i="2"/>
  <c r="I36" i="2"/>
  <c r="BN35" i="2"/>
  <c r="C10" i="6"/>
  <c r="D10" i="6" s="1" a="1"/>
  <c r="D10" i="6" s="1"/>
  <c r="BF35" i="2"/>
  <c r="AT35" i="2"/>
  <c r="AK35" i="2"/>
  <c r="AJ35" i="2"/>
  <c r="AQ35" i="2"/>
  <c r="AD35" i="2"/>
  <c r="V35" i="2"/>
  <c r="O36" i="2"/>
  <c r="D8" i="6" a="1"/>
  <c r="D8" i="6" s="1"/>
  <c r="H21" i="2"/>
  <c r="H22" i="2" s="1"/>
  <c r="F21" i="2"/>
  <c r="F22" i="2" s="1"/>
  <c r="DB8" i="2"/>
  <c r="AM36" i="2"/>
  <c r="AM35" i="2"/>
  <c r="AA36" i="2"/>
  <c r="AA35" i="2"/>
  <c r="BW36" i="2"/>
  <c r="BW35" i="2"/>
  <c r="U36" i="2"/>
  <c r="U35" i="2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404" i="1" s="1"/>
  <c r="A409" i="1" s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A564" i="1" s="1"/>
  <c r="A569" i="1" s="1"/>
  <c r="A574" i="1" s="1"/>
  <c r="A579" i="1" s="1"/>
  <c r="A584" i="1" s="1"/>
  <c r="A589" i="1" s="1"/>
  <c r="A594" i="1" s="1"/>
  <c r="A599" i="1" s="1"/>
  <c r="A604" i="1" s="1"/>
  <c r="A609" i="1" s="1"/>
  <c r="A614" i="1" s="1"/>
  <c r="A619" i="1" s="1"/>
  <c r="A624" i="1" s="1"/>
  <c r="A629" i="1" s="1"/>
  <c r="A634" i="1" s="1"/>
  <c r="A639" i="1" s="1"/>
  <c r="A644" i="1" s="1"/>
  <c r="A649" i="1" s="1"/>
  <c r="A654" i="1" s="1"/>
  <c r="A659" i="1" s="1"/>
  <c r="A664" i="1" s="1"/>
  <c r="A669" i="1" s="1"/>
  <c r="A674" i="1" s="1"/>
  <c r="A679" i="1" s="1"/>
  <c r="A684" i="1" s="1"/>
  <c r="A689" i="1" s="1"/>
  <c r="A694" i="1" s="1"/>
  <c r="A699" i="1" s="1"/>
  <c r="A704" i="1" s="1"/>
  <c r="A709" i="1" s="1"/>
  <c r="A714" i="1" s="1"/>
  <c r="A719" i="1" s="1"/>
  <c r="A724" i="1" s="1"/>
  <c r="A729" i="1" s="1"/>
  <c r="A734" i="1" s="1"/>
  <c r="A739" i="1" s="1"/>
  <c r="A744" i="1" s="1"/>
  <c r="A749" i="1" s="1"/>
  <c r="A754" i="1" s="1"/>
  <c r="A759" i="1" s="1"/>
  <c r="A764" i="1" s="1"/>
  <c r="A769" i="1" s="1"/>
  <c r="A774" i="1" s="1"/>
  <c r="A779" i="1" s="1"/>
  <c r="A784" i="1" s="1"/>
  <c r="A789" i="1" s="1"/>
  <c r="A794" i="1" s="1"/>
  <c r="A799" i="1" s="1"/>
  <c r="A804" i="1" s="1"/>
  <c r="A809" i="1" s="1"/>
  <c r="A814" i="1" s="1"/>
  <c r="A819" i="1" s="1"/>
  <c r="A824" i="1" s="1"/>
  <c r="A829" i="1" s="1"/>
  <c r="A834" i="1" s="1"/>
  <c r="A839" i="1" s="1"/>
  <c r="A844" i="1" s="1"/>
  <c r="A849" i="1" s="1"/>
  <c r="A854" i="1" s="1"/>
  <c r="A859" i="1" s="1"/>
  <c r="A864" i="1" s="1"/>
  <c r="A869" i="1" s="1"/>
  <c r="A874" i="1" s="1"/>
  <c r="A879" i="1" s="1"/>
  <c r="A884" i="1" s="1"/>
  <c r="A889" i="1" s="1"/>
  <c r="A894" i="1" s="1"/>
  <c r="A899" i="1" s="1"/>
  <c r="A904" i="1" s="1"/>
  <c r="A909" i="1" s="1"/>
  <c r="A914" i="1" s="1"/>
  <c r="A919" i="1" s="1"/>
  <c r="A924" i="1" s="1"/>
  <c r="A929" i="1" s="1"/>
  <c r="A934" i="1" s="1"/>
  <c r="A939" i="1" s="1"/>
  <c r="A944" i="1" s="1"/>
  <c r="A949" i="1" s="1"/>
  <c r="A954" i="1" s="1"/>
  <c r="A959" i="1" s="1"/>
  <c r="A964" i="1" s="1"/>
  <c r="A969" i="1" s="1"/>
  <c r="A974" i="1" s="1"/>
  <c r="A979" i="1" s="1"/>
  <c r="A984" i="1" s="1"/>
  <c r="A989" i="1" s="1"/>
  <c r="A994" i="1" s="1"/>
  <c r="A999" i="1" s="1"/>
  <c r="A1004" i="1" s="1"/>
  <c r="A1009" i="1" s="1"/>
  <c r="A1014" i="1" s="1"/>
  <c r="A1019" i="1" s="1"/>
  <c r="A1024" i="1" s="1"/>
  <c r="A1029" i="1" s="1"/>
  <c r="A1034" i="1" s="1"/>
  <c r="A1039" i="1" s="1"/>
  <c r="A1044" i="1" s="1"/>
  <c r="A1049" i="1" s="1"/>
  <c r="A1054" i="1" s="1"/>
  <c r="A1059" i="1" s="1"/>
  <c r="A1064" i="1" s="1"/>
  <c r="A1069" i="1" s="1"/>
  <c r="A1074" i="1" s="1"/>
  <c r="A1079" i="1" s="1"/>
  <c r="A1084" i="1" s="1"/>
  <c r="A1089" i="1" s="1"/>
  <c r="A1094" i="1" s="1"/>
  <c r="A1099" i="1" s="1"/>
  <c r="A1104" i="1" s="1"/>
  <c r="A1109" i="1" s="1"/>
  <c r="A1114" i="1" s="1"/>
  <c r="A1119" i="1" s="1"/>
  <c r="A1124" i="1" s="1"/>
  <c r="A1129" i="1" s="1"/>
  <c r="BK36" i="2"/>
  <c r="BK35" i="2"/>
  <c r="P35" i="2"/>
  <c r="P36" i="2"/>
  <c r="BE36" i="2"/>
  <c r="BE35" i="2"/>
  <c r="J35" i="2"/>
  <c r="J36" i="2"/>
  <c r="AY36" i="2"/>
  <c r="AY35" i="2"/>
  <c r="Y36" i="2"/>
  <c r="BU36" i="2"/>
  <c r="AZ35" i="2"/>
  <c r="F35" i="2"/>
  <c r="AB35" i="2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403" i="1" s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563" i="1" s="1"/>
  <c r="A568" i="1" s="1"/>
  <c r="A573" i="1" s="1"/>
  <c r="A578" i="1" s="1"/>
  <c r="A583" i="1" s="1"/>
  <c r="A588" i="1" s="1"/>
  <c r="A593" i="1" s="1"/>
  <c r="A598" i="1" s="1"/>
  <c r="A603" i="1" s="1"/>
  <c r="A608" i="1" s="1"/>
  <c r="A613" i="1" s="1"/>
  <c r="A618" i="1" s="1"/>
  <c r="A623" i="1" s="1"/>
  <c r="A628" i="1" s="1"/>
  <c r="A633" i="1" s="1"/>
  <c r="A638" i="1" s="1"/>
  <c r="A643" i="1" s="1"/>
  <c r="A648" i="1" s="1"/>
  <c r="A653" i="1" s="1"/>
  <c r="A658" i="1" s="1"/>
  <c r="A663" i="1" s="1"/>
  <c r="A668" i="1" s="1"/>
  <c r="A673" i="1" s="1"/>
  <c r="A678" i="1" s="1"/>
  <c r="A683" i="1" s="1"/>
  <c r="A688" i="1" s="1"/>
  <c r="A693" i="1" s="1"/>
  <c r="A698" i="1" s="1"/>
  <c r="A703" i="1" s="1"/>
  <c r="A708" i="1" s="1"/>
  <c r="A713" i="1" s="1"/>
  <c r="A718" i="1" s="1"/>
  <c r="A723" i="1" s="1"/>
  <c r="A728" i="1" s="1"/>
  <c r="A733" i="1" s="1"/>
  <c r="A738" i="1" s="1"/>
  <c r="A743" i="1" s="1"/>
  <c r="A748" i="1" s="1"/>
  <c r="A753" i="1" s="1"/>
  <c r="A758" i="1" s="1"/>
  <c r="A763" i="1" s="1"/>
  <c r="A768" i="1" s="1"/>
  <c r="A773" i="1" s="1"/>
  <c r="A778" i="1" s="1"/>
  <c r="A783" i="1" s="1"/>
  <c r="A788" i="1" s="1"/>
  <c r="A793" i="1" s="1"/>
  <c r="A798" i="1" s="1"/>
  <c r="A803" i="1" s="1"/>
  <c r="A808" i="1" s="1"/>
  <c r="A813" i="1" s="1"/>
  <c r="A818" i="1" s="1"/>
  <c r="A823" i="1" s="1"/>
  <c r="A828" i="1" s="1"/>
  <c r="A833" i="1" s="1"/>
  <c r="A838" i="1" s="1"/>
  <c r="A843" i="1" s="1"/>
  <c r="A848" i="1" s="1"/>
  <c r="A853" i="1" s="1"/>
  <c r="A858" i="1" s="1"/>
  <c r="A863" i="1" s="1"/>
  <c r="A868" i="1" s="1"/>
  <c r="A873" i="1" s="1"/>
  <c r="A878" i="1" s="1"/>
  <c r="A883" i="1" s="1"/>
  <c r="A888" i="1" s="1"/>
  <c r="A893" i="1" s="1"/>
  <c r="A898" i="1" s="1"/>
  <c r="A903" i="1" s="1"/>
  <c r="A908" i="1" s="1"/>
  <c r="A913" i="1" s="1"/>
  <c r="A918" i="1" s="1"/>
  <c r="A923" i="1" s="1"/>
  <c r="A928" i="1" s="1"/>
  <c r="A933" i="1" s="1"/>
  <c r="A938" i="1" s="1"/>
  <c r="A943" i="1" s="1"/>
  <c r="A948" i="1" s="1"/>
  <c r="A953" i="1" s="1"/>
  <c r="A958" i="1" s="1"/>
  <c r="A963" i="1" s="1"/>
  <c r="A968" i="1" s="1"/>
  <c r="A973" i="1" s="1"/>
  <c r="A978" i="1" s="1"/>
  <c r="A983" i="1" s="1"/>
  <c r="A988" i="1" s="1"/>
  <c r="A993" i="1" s="1"/>
  <c r="A998" i="1" s="1"/>
  <c r="A1003" i="1" s="1"/>
  <c r="A1008" i="1" s="1"/>
  <c r="A1013" i="1" s="1"/>
  <c r="A1018" i="1" s="1"/>
  <c r="A1023" i="1" s="1"/>
  <c r="A1028" i="1" s="1"/>
  <c r="A1033" i="1" s="1"/>
  <c r="A1038" i="1" s="1"/>
  <c r="A1043" i="1" s="1"/>
  <c r="A1048" i="1" s="1"/>
  <c r="A1053" i="1" s="1"/>
  <c r="A1058" i="1" s="1"/>
  <c r="A1063" i="1" s="1"/>
  <c r="A1068" i="1" s="1"/>
  <c r="A1073" i="1" s="1"/>
  <c r="A1078" i="1" s="1"/>
  <c r="A1083" i="1" s="1"/>
  <c r="A1088" i="1" s="1"/>
  <c r="A1093" i="1" s="1"/>
  <c r="A1098" i="1" s="1"/>
  <c r="A1103" i="1" s="1"/>
  <c r="A1108" i="1" s="1"/>
  <c r="A1113" i="1" s="1"/>
  <c r="A1118" i="1" s="1"/>
  <c r="A1123" i="1" s="1"/>
  <c r="A1128" i="1" s="1"/>
  <c r="J20" i="2"/>
  <c r="I21" i="2"/>
  <c r="I22" i="2" s="1"/>
  <c r="J28" i="2"/>
  <c r="I29" i="2"/>
  <c r="I30" i="2" s="1"/>
  <c r="I12" i="2"/>
  <c r="H13" i="2"/>
  <c r="H14" i="2" s="1"/>
  <c r="L36" i="2"/>
  <c r="AS36" i="2"/>
  <c r="M36" i="2"/>
  <c r="AG35" i="2"/>
  <c r="AO8" i="2"/>
  <c r="AN8" i="2"/>
  <c r="AM8" i="2"/>
  <c r="G13" i="2"/>
  <c r="G14" i="2" s="1"/>
  <c r="F13" i="2"/>
  <c r="F14" i="2" s="1"/>
  <c r="H29" i="2"/>
  <c r="H30" i="2" s="1"/>
  <c r="G29" i="2"/>
  <c r="G30" i="2" s="1"/>
  <c r="G21" i="2"/>
  <c r="G22" i="2" s="1"/>
  <c r="F29" i="2"/>
  <c r="F30" i="2" s="1"/>
  <c r="E30" i="2"/>
  <c r="DD4" i="2"/>
  <c r="Z8" i="2"/>
  <c r="DF4" i="2"/>
  <c r="CQ8" i="2"/>
  <c r="G8" i="2"/>
  <c r="CR4" i="2"/>
  <c r="DH8" i="2"/>
  <c r="I8" i="2"/>
  <c r="DR4" i="2"/>
  <c r="T8" i="2"/>
  <c r="DM4" i="2"/>
  <c r="AB8" i="2"/>
  <c r="DF8" i="2"/>
  <c r="O8" i="2"/>
  <c r="DQ4" i="2"/>
  <c r="Q8" i="2"/>
  <c r="DN4" i="2"/>
  <c r="AH8" i="2"/>
  <c r="CZ4" i="2"/>
  <c r="DD8" i="2"/>
  <c r="V8" i="2"/>
  <c r="P8" i="2"/>
  <c r="AC8" i="2"/>
  <c r="M8" i="2"/>
  <c r="DG4" i="2"/>
  <c r="CT4" i="2"/>
  <c r="DS4" i="2"/>
  <c r="DE4" i="2"/>
  <c r="DN8" i="2"/>
  <c r="DK8" i="2"/>
  <c r="DM8" i="2"/>
  <c r="DJ8" i="2"/>
  <c r="DL4" i="2"/>
  <c r="DL8" i="2"/>
  <c r="W8" i="2"/>
  <c r="K8" i="2"/>
  <c r="DV4" i="2"/>
  <c r="CO4" i="2"/>
  <c r="CM8" i="2"/>
  <c r="DI8" i="2"/>
  <c r="AD8" i="2"/>
  <c r="X8" i="2"/>
  <c r="J8" i="2"/>
  <c r="AK8" i="2"/>
  <c r="CM4" i="2"/>
  <c r="DB4" i="2"/>
  <c r="CN4" i="2"/>
  <c r="CS4" i="2"/>
  <c r="CN8" i="2"/>
  <c r="CP8" i="2"/>
  <c r="CR8" i="2"/>
  <c r="CO8" i="2"/>
  <c r="AL8" i="2"/>
  <c r="AF8" i="2"/>
  <c r="R8" i="2"/>
  <c r="L8" i="2"/>
  <c r="CX4" i="2"/>
  <c r="DW4" i="2"/>
  <c r="DJ4" i="2"/>
  <c r="CV4" i="2"/>
  <c r="DI4" i="2"/>
  <c r="CV8" i="2"/>
  <c r="CX8" i="2"/>
  <c r="CZ8" i="2"/>
  <c r="CP4" i="2"/>
  <c r="CS8" i="2"/>
  <c r="DZ4" i="2"/>
  <c r="E8" i="2"/>
  <c r="Y8" i="2"/>
  <c r="AJ8" i="2"/>
  <c r="DH4" i="2"/>
  <c r="DT4" i="2"/>
  <c r="CY8" i="2"/>
  <c r="F8" i="2"/>
  <c r="AE8" i="2"/>
  <c r="AG8" i="2"/>
  <c r="AA8" i="2"/>
  <c r="U8" i="2"/>
  <c r="CQ4" i="2"/>
  <c r="DP4" i="2"/>
  <c r="DC4" i="2"/>
  <c r="CW4" i="2"/>
  <c r="DU4" i="2"/>
  <c r="CU8" i="2"/>
  <c r="CW8" i="2"/>
  <c r="DG8" i="2"/>
  <c r="CT8" i="2"/>
  <c r="CU4" i="2"/>
  <c r="N8" i="2"/>
  <c r="H8" i="2"/>
  <c r="S8" i="2"/>
  <c r="AI8" i="2"/>
  <c r="CY4" i="2"/>
  <c r="DX4" i="2"/>
  <c r="DK4" i="2"/>
  <c r="DA4" i="2"/>
  <c r="DY4" i="2"/>
  <c r="DC8" i="2"/>
  <c r="DE8" i="2"/>
  <c r="DA8" i="2"/>
  <c r="I15" i="2" l="1"/>
  <c r="F31" i="2"/>
  <c r="G15" i="2"/>
  <c r="E23" i="2"/>
  <c r="H15" i="2"/>
  <c r="E15" i="2"/>
  <c r="E31" i="2"/>
  <c r="F15" i="2"/>
  <c r="F23" i="2"/>
  <c r="H18" i="2"/>
  <c r="G23" i="2"/>
  <c r="H26" i="2"/>
  <c r="G31" i="2"/>
  <c r="C11" i="6"/>
  <c r="C12" i="6" s="1"/>
  <c r="J10" i="2"/>
  <c r="J15" i="2" s="1"/>
  <c r="J12" i="2"/>
  <c r="I13" i="2"/>
  <c r="I14" i="2" s="1"/>
  <c r="K28" i="2"/>
  <c r="J29" i="2"/>
  <c r="J30" i="2" s="1"/>
  <c r="K20" i="2"/>
  <c r="J21" i="2"/>
  <c r="J22" i="2" s="1"/>
  <c r="F16" i="2" l="1"/>
  <c r="J16" i="2"/>
  <c r="H16" i="2"/>
  <c r="G16" i="2"/>
  <c r="I16" i="2"/>
  <c r="G24" i="2"/>
  <c r="F24" i="2"/>
  <c r="G32" i="2"/>
  <c r="F32" i="2"/>
  <c r="E40" i="2"/>
  <c r="E39" i="2"/>
  <c r="D11" i="6" a="1"/>
  <c r="D11" i="6" s="1"/>
  <c r="I26" i="2"/>
  <c r="H31" i="2"/>
  <c r="H32" i="2" s="1"/>
  <c r="H23" i="2"/>
  <c r="H24" i="2" s="1"/>
  <c r="I18" i="2"/>
  <c r="C13" i="6"/>
  <c r="D12" i="6" a="1"/>
  <c r="D12" i="6" s="1"/>
  <c r="L20" i="2"/>
  <c r="K21" i="2"/>
  <c r="K22" i="2" s="1"/>
  <c r="K10" i="2"/>
  <c r="K15" i="2" s="1"/>
  <c r="K16" i="2" s="1"/>
  <c r="K12" i="2"/>
  <c r="J13" i="2"/>
  <c r="J14" i="2" s="1"/>
  <c r="L28" i="2"/>
  <c r="K29" i="2"/>
  <c r="K30" i="2" s="1"/>
  <c r="I23" i="2" l="1"/>
  <c r="I24" i="2" s="1"/>
  <c r="J18" i="2"/>
  <c r="J26" i="2"/>
  <c r="I31" i="2"/>
  <c r="I32" i="2" s="1"/>
  <c r="C14" i="6"/>
  <c r="D13" i="6" a="1"/>
  <c r="D13" i="6" s="1"/>
  <c r="L10" i="2"/>
  <c r="L15" i="2" s="1"/>
  <c r="L16" i="2" s="1"/>
  <c r="L29" i="2"/>
  <c r="L30" i="2" s="1"/>
  <c r="M28" i="2"/>
  <c r="K13" i="2"/>
  <c r="K14" i="2" s="1"/>
  <c r="L12" i="2"/>
  <c r="M20" i="2"/>
  <c r="L21" i="2"/>
  <c r="L22" i="2" s="1"/>
  <c r="K26" i="2" l="1"/>
  <c r="J31" i="2"/>
  <c r="J32" i="2" s="1"/>
  <c r="J23" i="2"/>
  <c r="J24" i="2" s="1"/>
  <c r="K18" i="2"/>
  <c r="C15" i="6"/>
  <c r="D14" i="6" a="1"/>
  <c r="D14" i="6" s="1"/>
  <c r="N28" i="2"/>
  <c r="M29" i="2"/>
  <c r="M30" i="2" s="1"/>
  <c r="M21" i="2"/>
  <c r="M22" i="2" s="1"/>
  <c r="N20" i="2"/>
  <c r="M12" i="2"/>
  <c r="L13" i="2"/>
  <c r="L14" i="2" s="1"/>
  <c r="M10" i="2"/>
  <c r="M15" i="2" s="1"/>
  <c r="M16" i="2" s="1"/>
  <c r="K23" i="2" l="1"/>
  <c r="K24" i="2" s="1"/>
  <c r="L18" i="2"/>
  <c r="L26" i="2"/>
  <c r="K31" i="2"/>
  <c r="K32" i="2" s="1"/>
  <c r="D15" i="6" a="1"/>
  <c r="D15" i="6" s="1"/>
  <c r="C16" i="6"/>
  <c r="N12" i="2"/>
  <c r="M13" i="2"/>
  <c r="M14" i="2" s="1"/>
  <c r="O20" i="2"/>
  <c r="N21" i="2"/>
  <c r="N22" i="2" s="1"/>
  <c r="N10" i="2"/>
  <c r="N15" i="2" s="1"/>
  <c r="N16" i="2" s="1"/>
  <c r="O28" i="2"/>
  <c r="N29" i="2"/>
  <c r="N30" i="2" s="1"/>
  <c r="M26" i="2" l="1"/>
  <c r="L31" i="2"/>
  <c r="L23" i="2"/>
  <c r="L24" i="2" s="1"/>
  <c r="M18" i="2"/>
  <c r="C17" i="6"/>
  <c r="D16" i="6" a="1"/>
  <c r="D16" i="6" s="1"/>
  <c r="O12" i="2"/>
  <c r="N13" i="2"/>
  <c r="N14" i="2" s="1"/>
  <c r="P20" i="2"/>
  <c r="O21" i="2"/>
  <c r="O22" i="2" s="1"/>
  <c r="O29" i="2"/>
  <c r="O30" i="2" s="1"/>
  <c r="P28" i="2"/>
  <c r="O10" i="2"/>
  <c r="O15" i="2" s="1"/>
  <c r="O16" i="2" s="1"/>
  <c r="E44" i="2" l="1"/>
  <c r="L32" i="2"/>
  <c r="M23" i="2"/>
  <c r="M24" i="2" s="1"/>
  <c r="N18" i="2"/>
  <c r="N26" i="2"/>
  <c r="M31" i="2"/>
  <c r="D17" i="6" a="1"/>
  <c r="D17" i="6" s="1"/>
  <c r="C18" i="6"/>
  <c r="Q20" i="2"/>
  <c r="P21" i="2"/>
  <c r="P22" i="2" s="1"/>
  <c r="P12" i="2"/>
  <c r="O13" i="2"/>
  <c r="O14" i="2" s="1"/>
  <c r="P10" i="2"/>
  <c r="P15" i="2" s="1"/>
  <c r="P16" i="2" s="1"/>
  <c r="P29" i="2"/>
  <c r="P30" i="2" s="1"/>
  <c r="Q28" i="2"/>
  <c r="H38" i="2" l="1"/>
  <c r="M32" i="2"/>
  <c r="O26" i="2"/>
  <c r="N31" i="2"/>
  <c r="N32" i="2" s="1"/>
  <c r="N23" i="2"/>
  <c r="N24" i="2" s="1"/>
  <c r="O18" i="2"/>
  <c r="C19" i="6"/>
  <c r="D18" i="6" a="1"/>
  <c r="D18" i="6" s="1"/>
  <c r="R28" i="2"/>
  <c r="Q29" i="2"/>
  <c r="Q30" i="2" s="1"/>
  <c r="R20" i="2"/>
  <c r="Q21" i="2"/>
  <c r="Q22" i="2" s="1"/>
  <c r="Q10" i="2"/>
  <c r="Q15" i="2" s="1"/>
  <c r="Q16" i="2" s="1"/>
  <c r="P13" i="2"/>
  <c r="P14" i="2" s="1"/>
  <c r="Q12" i="2"/>
  <c r="O23" i="2" l="1"/>
  <c r="O24" i="2" s="1"/>
  <c r="P18" i="2"/>
  <c r="P26" i="2"/>
  <c r="O31" i="2"/>
  <c r="O32" i="2" s="1"/>
  <c r="D19" i="6" a="1"/>
  <c r="D19" i="6" s="1"/>
  <c r="C20" i="6"/>
  <c r="S20" i="2"/>
  <c r="R21" i="2"/>
  <c r="R22" i="2" s="1"/>
  <c r="S28" i="2"/>
  <c r="R29" i="2"/>
  <c r="R30" i="2" s="1"/>
  <c r="R10" i="2"/>
  <c r="R15" i="2" s="1"/>
  <c r="R16" i="2" s="1"/>
  <c r="R12" i="2"/>
  <c r="Q13" i="2"/>
  <c r="Q14" i="2" s="1"/>
  <c r="Q26" i="2" l="1"/>
  <c r="P31" i="2"/>
  <c r="P32" i="2" s="1"/>
  <c r="P23" i="2"/>
  <c r="P24" i="2" s="1"/>
  <c r="Q18" i="2"/>
  <c r="D20" i="6" a="1"/>
  <c r="D20" i="6" s="1"/>
  <c r="C21" i="6"/>
  <c r="T28" i="2"/>
  <c r="S29" i="2"/>
  <c r="S30" i="2" s="1"/>
  <c r="T20" i="2"/>
  <c r="S21" i="2"/>
  <c r="S22" i="2" s="1"/>
  <c r="S10" i="2"/>
  <c r="S15" i="2" s="1"/>
  <c r="S16" i="2" s="1"/>
  <c r="R13" i="2"/>
  <c r="R14" i="2" s="1"/>
  <c r="S12" i="2"/>
  <c r="Q23" i="2" l="1"/>
  <c r="Q24" i="2" s="1"/>
  <c r="R18" i="2"/>
  <c r="R26" i="2"/>
  <c r="Q31" i="2"/>
  <c r="D21" i="6" a="1"/>
  <c r="D21" i="6" s="1"/>
  <c r="C22" i="6"/>
  <c r="T10" i="2"/>
  <c r="T15" i="2" s="1"/>
  <c r="T16" i="2" s="1"/>
  <c r="U28" i="2"/>
  <c r="T29" i="2"/>
  <c r="T30" i="2" s="1"/>
  <c r="U20" i="2"/>
  <c r="T21" i="2"/>
  <c r="T22" i="2" s="1"/>
  <c r="S13" i="2"/>
  <c r="S14" i="2" s="1"/>
  <c r="T12" i="2"/>
  <c r="E42" i="2" l="1"/>
  <c r="Q32" i="2"/>
  <c r="S26" i="2"/>
  <c r="R31" i="2"/>
  <c r="R23" i="2"/>
  <c r="R24" i="2" s="1"/>
  <c r="S18" i="2"/>
  <c r="C23" i="6"/>
  <c r="D22" i="6" a="1"/>
  <c r="D22" i="6" s="1"/>
  <c r="V28" i="2"/>
  <c r="U29" i="2"/>
  <c r="U30" i="2" s="1"/>
  <c r="U12" i="2"/>
  <c r="T13" i="2"/>
  <c r="T14" i="2" s="1"/>
  <c r="V20" i="2"/>
  <c r="U21" i="2"/>
  <c r="U22" i="2" s="1"/>
  <c r="U10" i="2"/>
  <c r="U15" i="2" s="1"/>
  <c r="U16" i="2" s="1"/>
  <c r="E45" i="2" l="1"/>
  <c r="R32" i="2"/>
  <c r="S23" i="2"/>
  <c r="S24" i="2" s="1"/>
  <c r="T18" i="2"/>
  <c r="T26" i="2"/>
  <c r="S31" i="2"/>
  <c r="S32" i="2" s="1"/>
  <c r="D23" i="6" a="1"/>
  <c r="D23" i="6" s="1"/>
  <c r="C24" i="6"/>
  <c r="W28" i="2"/>
  <c r="V29" i="2"/>
  <c r="V30" i="2" s="1"/>
  <c r="W20" i="2"/>
  <c r="V21" i="2"/>
  <c r="V22" i="2" s="1"/>
  <c r="V12" i="2"/>
  <c r="U13" i="2"/>
  <c r="U14" i="2" s="1"/>
  <c r="V10" i="2"/>
  <c r="V15" i="2" s="1"/>
  <c r="V16" i="2" s="1"/>
  <c r="U26" i="2" l="1"/>
  <c r="T31" i="2"/>
  <c r="T32" i="2" s="1"/>
  <c r="T23" i="2"/>
  <c r="T24" i="2" s="1"/>
  <c r="U18" i="2"/>
  <c r="C25" i="6"/>
  <c r="D24" i="6" a="1"/>
  <c r="D24" i="6" s="1"/>
  <c r="W10" i="2"/>
  <c r="W15" i="2" s="1"/>
  <c r="W16" i="2" s="1"/>
  <c r="W12" i="2"/>
  <c r="V13" i="2"/>
  <c r="V14" i="2" s="1"/>
  <c r="X28" i="2"/>
  <c r="W29" i="2"/>
  <c r="W30" i="2" s="1"/>
  <c r="W21" i="2"/>
  <c r="W22" i="2" s="1"/>
  <c r="X20" i="2"/>
  <c r="U23" i="2" l="1"/>
  <c r="U24" i="2" s="1"/>
  <c r="V18" i="2"/>
  <c r="V26" i="2"/>
  <c r="U31" i="2"/>
  <c r="U32" i="2" s="1"/>
  <c r="C26" i="6"/>
  <c r="D25" i="6" a="1"/>
  <c r="D25" i="6" s="1"/>
  <c r="X12" i="2"/>
  <c r="W13" i="2"/>
  <c r="W14" i="2" s="1"/>
  <c r="X10" i="2"/>
  <c r="X15" i="2" s="1"/>
  <c r="X16" i="2" s="1"/>
  <c r="X29" i="2"/>
  <c r="X30" i="2" s="1"/>
  <c r="Y28" i="2"/>
  <c r="Y20" i="2"/>
  <c r="X21" i="2"/>
  <c r="X22" i="2" s="1"/>
  <c r="W26" i="2" l="1"/>
  <c r="V31" i="2"/>
  <c r="V32" i="2" s="1"/>
  <c r="V23" i="2"/>
  <c r="V24" i="2" s="1"/>
  <c r="W18" i="2"/>
  <c r="C27" i="6"/>
  <c r="D26" i="6" a="1"/>
  <c r="D26" i="6" s="1"/>
  <c r="Z28" i="2"/>
  <c r="Y29" i="2"/>
  <c r="Y30" i="2" s="1"/>
  <c r="Y12" i="2"/>
  <c r="X13" i="2"/>
  <c r="X14" i="2" s="1"/>
  <c r="Z20" i="2"/>
  <c r="Y21" i="2"/>
  <c r="Y22" i="2" s="1"/>
  <c r="Y10" i="2"/>
  <c r="Y15" i="2" s="1"/>
  <c r="Y16" i="2" s="1"/>
  <c r="W23" i="2" l="1"/>
  <c r="W24" i="2" s="1"/>
  <c r="X18" i="2"/>
  <c r="X26" i="2"/>
  <c r="W31" i="2"/>
  <c r="W32" i="2" s="1"/>
  <c r="C28" i="6"/>
  <c r="D27" i="6" a="1"/>
  <c r="D27" i="6" s="1"/>
  <c r="Z10" i="2"/>
  <c r="Z15" i="2" s="1"/>
  <c r="Z16" i="2" s="1"/>
  <c r="Y13" i="2"/>
  <c r="Y14" i="2" s="1"/>
  <c r="Z12" i="2"/>
  <c r="AA28" i="2"/>
  <c r="Z29" i="2"/>
  <c r="Z30" i="2" s="1"/>
  <c r="AA20" i="2"/>
  <c r="Z21" i="2"/>
  <c r="Z22" i="2" s="1"/>
  <c r="Y26" i="2" l="1"/>
  <c r="X31" i="2"/>
  <c r="X32" i="2" s="1"/>
  <c r="X23" i="2"/>
  <c r="X24" i="2" s="1"/>
  <c r="Y18" i="2"/>
  <c r="C29" i="6"/>
  <c r="D28" i="6" a="1"/>
  <c r="D28" i="6" s="1"/>
  <c r="AB28" i="2"/>
  <c r="AA29" i="2"/>
  <c r="AA30" i="2" s="1"/>
  <c r="Z13" i="2"/>
  <c r="Z14" i="2" s="1"/>
  <c r="AA12" i="2"/>
  <c r="AB20" i="2"/>
  <c r="AA21" i="2"/>
  <c r="AA22" i="2" s="1"/>
  <c r="AA10" i="2"/>
  <c r="AA15" i="2" s="1"/>
  <c r="AA16" i="2" s="1"/>
  <c r="Y23" i="2" l="1"/>
  <c r="Y24" i="2" s="1"/>
  <c r="Z18" i="2"/>
  <c r="Z26" i="2"/>
  <c r="Y31" i="2"/>
  <c r="Y32" i="2" s="1"/>
  <c r="C30" i="6"/>
  <c r="D29" i="6" a="1"/>
  <c r="D29" i="6" s="1"/>
  <c r="AC28" i="2"/>
  <c r="AB29" i="2"/>
  <c r="AB30" i="2" s="1"/>
  <c r="AB10" i="2"/>
  <c r="AB15" i="2" s="1"/>
  <c r="AB16" i="2" s="1"/>
  <c r="AC20" i="2"/>
  <c r="AB21" i="2"/>
  <c r="AB22" i="2" s="1"/>
  <c r="AA13" i="2"/>
  <c r="AA14" i="2" s="1"/>
  <c r="AB12" i="2"/>
  <c r="Z31" i="2" l="1"/>
  <c r="Z32" i="2" s="1"/>
  <c r="AA26" i="2"/>
  <c r="Z23" i="2"/>
  <c r="Z24" i="2" s="1"/>
  <c r="AA18" i="2"/>
  <c r="D30" i="6" a="1"/>
  <c r="D30" i="6" s="1"/>
  <c r="C31" i="6"/>
  <c r="AC10" i="2"/>
  <c r="AC15" i="2" s="1"/>
  <c r="AC16" i="2" s="1"/>
  <c r="AD20" i="2"/>
  <c r="AC21" i="2"/>
  <c r="AC22" i="2" s="1"/>
  <c r="AB13" i="2"/>
  <c r="AB14" i="2" s="1"/>
  <c r="AC12" i="2"/>
  <c r="AD28" i="2"/>
  <c r="AC29" i="2"/>
  <c r="AC30" i="2" s="1"/>
  <c r="AA23" i="2" l="1"/>
  <c r="AA24" i="2" s="1"/>
  <c r="AB18" i="2"/>
  <c r="AB26" i="2"/>
  <c r="AA31" i="2"/>
  <c r="AA32" i="2" s="1"/>
  <c r="D31" i="6" a="1"/>
  <c r="D31" i="6" s="1"/>
  <c r="C32" i="6"/>
  <c r="AE20" i="2"/>
  <c r="AD21" i="2"/>
  <c r="AD22" i="2" s="1"/>
  <c r="AD10" i="2"/>
  <c r="AD15" i="2" s="1"/>
  <c r="AD16" i="2" s="1"/>
  <c r="AD12" i="2"/>
  <c r="AC13" i="2"/>
  <c r="AC14" i="2" s="1"/>
  <c r="AE28" i="2"/>
  <c r="AD29" i="2"/>
  <c r="AD30" i="2" s="1"/>
  <c r="AC26" i="2" l="1"/>
  <c r="AB31" i="2"/>
  <c r="AB32" i="2" s="1"/>
  <c r="AB23" i="2"/>
  <c r="AB24" i="2" s="1"/>
  <c r="AC18" i="2"/>
  <c r="C33" i="6"/>
  <c r="D32" i="6" a="1"/>
  <c r="D32" i="6" s="1"/>
  <c r="AE12" i="2"/>
  <c r="AD13" i="2"/>
  <c r="AD14" i="2" s="1"/>
  <c r="AE10" i="2"/>
  <c r="AE15" i="2" s="1"/>
  <c r="AE16" i="2" s="1"/>
  <c r="AF28" i="2"/>
  <c r="AE29" i="2"/>
  <c r="AE30" i="2" s="1"/>
  <c r="AF20" i="2"/>
  <c r="AE21" i="2"/>
  <c r="AE22" i="2" s="1"/>
  <c r="AC23" i="2" l="1"/>
  <c r="AC24" i="2" s="1"/>
  <c r="AD18" i="2"/>
  <c r="AD26" i="2"/>
  <c r="AC31" i="2"/>
  <c r="AC32" i="2" s="1"/>
  <c r="D33" i="6" a="1"/>
  <c r="D33" i="6" s="1"/>
  <c r="C34" i="6"/>
  <c r="AF10" i="2"/>
  <c r="AF15" i="2" s="1"/>
  <c r="AF16" i="2" s="1"/>
  <c r="AF12" i="2"/>
  <c r="AE13" i="2"/>
  <c r="AE14" i="2" s="1"/>
  <c r="AG28" i="2"/>
  <c r="AF29" i="2"/>
  <c r="AF30" i="2" s="1"/>
  <c r="AG20" i="2"/>
  <c r="AF21" i="2"/>
  <c r="AF22" i="2" s="1"/>
  <c r="AD31" i="2" l="1"/>
  <c r="AD32" i="2" s="1"/>
  <c r="AE26" i="2"/>
  <c r="AD23" i="2"/>
  <c r="AD24" i="2" s="1"/>
  <c r="AE18" i="2"/>
  <c r="D34" i="6" a="1"/>
  <c r="D34" i="6" s="1"/>
  <c r="C35" i="6"/>
  <c r="AH20" i="2"/>
  <c r="AG21" i="2"/>
  <c r="AG22" i="2" s="1"/>
  <c r="AH28" i="2"/>
  <c r="AG29" i="2"/>
  <c r="AG30" i="2" s="1"/>
  <c r="AG12" i="2"/>
  <c r="AF13" i="2"/>
  <c r="AF14" i="2" s="1"/>
  <c r="AG10" i="2"/>
  <c r="AG15" i="2" s="1"/>
  <c r="AG16" i="2" s="1"/>
  <c r="BY5" i="2" l="1"/>
  <c r="AE23" i="2"/>
  <c r="AE24" i="2" s="1"/>
  <c r="AF18" i="2"/>
  <c r="AE31" i="2"/>
  <c r="AE32" i="2" s="1"/>
  <c r="AF26" i="2"/>
  <c r="D35" i="6" a="1"/>
  <c r="D35" i="6" s="1"/>
  <c r="C36" i="6"/>
  <c r="AG13" i="2"/>
  <c r="AG14" i="2" s="1"/>
  <c r="AH12" i="2"/>
  <c r="AI28" i="2"/>
  <c r="AH29" i="2"/>
  <c r="AH30" i="2" s="1"/>
  <c r="AH10" i="2"/>
  <c r="AH15" i="2" s="1"/>
  <c r="AH16" i="2" s="1"/>
  <c r="AI20" i="2"/>
  <c r="AH21" i="2"/>
  <c r="AH22" i="2" s="1"/>
  <c r="AF31" i="2" l="1"/>
  <c r="AF32" i="2" s="1"/>
  <c r="AG26" i="2"/>
  <c r="AF23" i="2"/>
  <c r="AF24" i="2" s="1"/>
  <c r="AG18" i="2"/>
  <c r="D36" i="6" a="1"/>
  <c r="D36" i="6" s="1"/>
  <c r="C37" i="6"/>
  <c r="AI10" i="2"/>
  <c r="AI15" i="2" s="1"/>
  <c r="AI16" i="2" s="1"/>
  <c r="AJ28" i="2"/>
  <c r="AI29" i="2"/>
  <c r="AI30" i="2" s="1"/>
  <c r="AH13" i="2"/>
  <c r="AH14" i="2" s="1"/>
  <c r="AI12" i="2"/>
  <c r="AJ20" i="2"/>
  <c r="AI21" i="2"/>
  <c r="AI22" i="2" s="1"/>
  <c r="CA5" i="2" l="1"/>
  <c r="AG23" i="2"/>
  <c r="AG24" i="2" s="1"/>
  <c r="AH18" i="2"/>
  <c r="AG31" i="2"/>
  <c r="AG32" i="2" s="1"/>
  <c r="AH26" i="2"/>
  <c r="C38" i="6"/>
  <c r="D37" i="6" a="1"/>
  <c r="D37" i="6" s="1"/>
  <c r="AK28" i="2"/>
  <c r="AJ29" i="2"/>
  <c r="AJ30" i="2" s="1"/>
  <c r="AJ12" i="2"/>
  <c r="AI13" i="2"/>
  <c r="AI14" i="2" s="1"/>
  <c r="AK20" i="2"/>
  <c r="AJ21" i="2"/>
  <c r="AJ22" i="2" s="1"/>
  <c r="AJ10" i="2"/>
  <c r="AJ15" i="2" s="1"/>
  <c r="AJ16" i="2" s="1"/>
  <c r="CB5" i="2" l="1"/>
  <c r="AH23" i="2"/>
  <c r="AH24" i="2" s="1"/>
  <c r="AI18" i="2"/>
  <c r="AH31" i="2"/>
  <c r="AH32" i="2" s="1"/>
  <c r="AI26" i="2"/>
  <c r="C39" i="6"/>
  <c r="D38" i="6" a="1"/>
  <c r="D38" i="6" s="1"/>
  <c r="AL20" i="2"/>
  <c r="AK21" i="2"/>
  <c r="AK22" i="2" s="1"/>
  <c r="AJ13" i="2"/>
  <c r="AJ14" i="2" s="1"/>
  <c r="AK12" i="2"/>
  <c r="AK10" i="2"/>
  <c r="AK15" i="2" s="1"/>
  <c r="AK16" i="2" s="1"/>
  <c r="AL28" i="2"/>
  <c r="AK29" i="2"/>
  <c r="AK30" i="2" s="1"/>
  <c r="CC5" i="2" l="1"/>
  <c r="AI31" i="2"/>
  <c r="AI32" i="2" s="1"/>
  <c r="AJ26" i="2"/>
  <c r="AI23" i="2"/>
  <c r="AI24" i="2" s="1"/>
  <c r="AJ18" i="2"/>
  <c r="C40" i="6"/>
  <c r="D39" i="6" a="1"/>
  <c r="D39" i="6" s="1"/>
  <c r="AL10" i="2"/>
  <c r="AL15" i="2" s="1"/>
  <c r="AL16" i="2" s="1"/>
  <c r="AL12" i="2"/>
  <c r="AK13" i="2"/>
  <c r="AK14" i="2" s="1"/>
  <c r="AM28" i="2"/>
  <c r="AL29" i="2"/>
  <c r="AL30" i="2" s="1"/>
  <c r="AM20" i="2"/>
  <c r="AL21" i="2"/>
  <c r="AL22" i="2" s="1"/>
  <c r="AJ23" i="2" l="1"/>
  <c r="AJ24" i="2" s="1"/>
  <c r="AK18" i="2"/>
  <c r="AJ31" i="2"/>
  <c r="AJ32" i="2" s="1"/>
  <c r="AK26" i="2"/>
  <c r="D40" i="6" a="1"/>
  <c r="D40" i="6" s="1"/>
  <c r="C41" i="6"/>
  <c r="AM29" i="2"/>
  <c r="AM30" i="2" s="1"/>
  <c r="AN28" i="2"/>
  <c r="AM12" i="2"/>
  <c r="AL13" i="2"/>
  <c r="AL14" i="2" s="1"/>
  <c r="AM10" i="2"/>
  <c r="AM15" i="2" s="1"/>
  <c r="AM16" i="2" s="1"/>
  <c r="AN20" i="2"/>
  <c r="AM21" i="2"/>
  <c r="AM22" i="2" s="1"/>
  <c r="CE5" i="2" l="1"/>
  <c r="AK23" i="2"/>
  <c r="AK24" i="2" s="1"/>
  <c r="AL18" i="2"/>
  <c r="AK31" i="2"/>
  <c r="AK32" i="2" s="1"/>
  <c r="AL26" i="2"/>
  <c r="C42" i="6"/>
  <c r="D41" i="6" a="1"/>
  <c r="D41" i="6" s="1"/>
  <c r="AN10" i="2"/>
  <c r="AN15" i="2" s="1"/>
  <c r="AN16" i="2" s="1"/>
  <c r="AM13" i="2"/>
  <c r="AM14" i="2" s="1"/>
  <c r="AN12" i="2"/>
  <c r="AO28" i="2"/>
  <c r="AN29" i="2"/>
  <c r="AN30" i="2" s="1"/>
  <c r="AN21" i="2"/>
  <c r="AN22" i="2" s="1"/>
  <c r="AO20" i="2"/>
  <c r="CF5" i="2" l="1"/>
  <c r="AO21" i="2"/>
  <c r="AO22" i="2" s="1"/>
  <c r="CC6" i="2" s="1"/>
  <c r="AP20" i="2"/>
  <c r="AO29" i="2"/>
  <c r="AO30" i="2" s="1"/>
  <c r="AX7" i="2" s="1"/>
  <c r="AP28" i="2"/>
  <c r="AL23" i="2"/>
  <c r="AL24" i="2" s="1"/>
  <c r="AM18" i="2"/>
  <c r="AL31" i="2"/>
  <c r="AM26" i="2"/>
  <c r="C43" i="6"/>
  <c r="D42" i="6" a="1"/>
  <c r="D42" i="6" s="1"/>
  <c r="BT7" i="2"/>
  <c r="BS7" i="2"/>
  <c r="BQ7" i="2"/>
  <c r="AO12" i="2"/>
  <c r="AN13" i="2"/>
  <c r="AN14" i="2" s="1"/>
  <c r="AO10" i="2"/>
  <c r="BO7" i="2" l="1"/>
  <c r="AV6" i="2"/>
  <c r="CD6" i="2"/>
  <c r="BM7" i="2"/>
  <c r="BL7" i="2"/>
  <c r="CF7" i="2"/>
  <c r="AL32" i="2"/>
  <c r="BU7" i="2"/>
  <c r="CB6" i="2"/>
  <c r="AG7" i="2"/>
  <c r="BN7" i="2"/>
  <c r="BR7" i="2"/>
  <c r="DX7" i="2" s="1"/>
  <c r="BP7" i="2"/>
  <c r="M7" i="2"/>
  <c r="AP7" i="2"/>
  <c r="G7" i="2"/>
  <c r="T7" i="2"/>
  <c r="K7" i="2"/>
  <c r="AO7" i="2"/>
  <c r="AS7" i="2"/>
  <c r="S7" i="2"/>
  <c r="Y7" i="2"/>
  <c r="P7" i="2"/>
  <c r="J7" i="2"/>
  <c r="V7" i="2"/>
  <c r="AE7" i="2"/>
  <c r="AF7" i="2"/>
  <c r="BV7" i="2"/>
  <c r="R7" i="2"/>
  <c r="CE7" i="2"/>
  <c r="CD7" i="2"/>
  <c r="I7" i="2"/>
  <c r="O7" i="2"/>
  <c r="W7" i="2"/>
  <c r="AK7" i="2"/>
  <c r="AM7" i="2"/>
  <c r="X7" i="2"/>
  <c r="AD7" i="2"/>
  <c r="AB7" i="2"/>
  <c r="L7" i="2"/>
  <c r="Q7" i="2"/>
  <c r="AJ7" i="2"/>
  <c r="AQ7" i="2"/>
  <c r="E7" i="2"/>
  <c r="BK7" i="2"/>
  <c r="DV7" i="2" s="1"/>
  <c r="N7" i="2"/>
  <c r="AA7" i="2"/>
  <c r="AH7" i="2"/>
  <c r="F7" i="2"/>
  <c r="AI7" i="2"/>
  <c r="AR7" i="2"/>
  <c r="U7" i="2"/>
  <c r="AC7" i="2"/>
  <c r="AL7" i="2"/>
  <c r="BB7" i="2"/>
  <c r="AT7" i="2"/>
  <c r="AU7" i="2"/>
  <c r="Z7" i="2"/>
  <c r="AV7" i="2"/>
  <c r="H7" i="2"/>
  <c r="AN7" i="2"/>
  <c r="AM31" i="2"/>
  <c r="AM32" i="2" s="1"/>
  <c r="AN26" i="2"/>
  <c r="AM23" i="2"/>
  <c r="AM24" i="2" s="1"/>
  <c r="AN18" i="2"/>
  <c r="AQ28" i="2"/>
  <c r="AP29" i="2"/>
  <c r="AP30" i="2" s="1"/>
  <c r="AO15" i="2"/>
  <c r="AO16" i="2" s="1"/>
  <c r="AP10" i="2"/>
  <c r="AO13" i="2"/>
  <c r="AO14" i="2" s="1"/>
  <c r="AR5" i="2" s="1"/>
  <c r="AP12" i="2"/>
  <c r="AW7" i="2"/>
  <c r="AQ20" i="2"/>
  <c r="AP21" i="2"/>
  <c r="AP22" i="2" s="1"/>
  <c r="AT6" i="2"/>
  <c r="AU6" i="2"/>
  <c r="AP6" i="2"/>
  <c r="AS6" i="2"/>
  <c r="AR6" i="2"/>
  <c r="AQ6" i="2"/>
  <c r="C44" i="6"/>
  <c r="D43" i="6" a="1"/>
  <c r="D43" i="6" s="1"/>
  <c r="BP5" i="2"/>
  <c r="BT5" i="2"/>
  <c r="BX5" i="2"/>
  <c r="BU5" i="2"/>
  <c r="BV5" i="2"/>
  <c r="BL5" i="2"/>
  <c r="BQ5" i="2"/>
  <c r="BW5" i="2"/>
  <c r="BS5" i="2"/>
  <c r="BO5" i="2"/>
  <c r="BQ6" i="2"/>
  <c r="J6" i="2"/>
  <c r="BB6" i="2"/>
  <c r="T6" i="2"/>
  <c r="BI6" i="2"/>
  <c r="H6" i="2"/>
  <c r="Q6" i="2"/>
  <c r="F6" i="2"/>
  <c r="BW6" i="2"/>
  <c r="AM6" i="2"/>
  <c r="BG6" i="2"/>
  <c r="BJ6" i="2"/>
  <c r="BR6" i="2"/>
  <c r="N6" i="2"/>
  <c r="L6" i="2"/>
  <c r="BD6" i="2"/>
  <c r="BP6" i="2"/>
  <c r="U6" i="2"/>
  <c r="AN6" i="2"/>
  <c r="AG6" i="2"/>
  <c r="O6" i="2"/>
  <c r="BF6" i="2"/>
  <c r="BL6" i="2"/>
  <c r="BM6" i="2"/>
  <c r="Y6" i="2"/>
  <c r="Z6" i="2"/>
  <c r="AK6" i="2"/>
  <c r="M6" i="2"/>
  <c r="BC6" i="2"/>
  <c r="K6" i="2"/>
  <c r="E6" i="2"/>
  <c r="AC6" i="2"/>
  <c r="BS6" i="2"/>
  <c r="BA6" i="2"/>
  <c r="I6" i="2"/>
  <c r="BH6" i="2"/>
  <c r="AF6" i="2"/>
  <c r="S6" i="2"/>
  <c r="R6" i="2"/>
  <c r="X6" i="2"/>
  <c r="AL6" i="2"/>
  <c r="BN6" i="2"/>
  <c r="W6" i="2"/>
  <c r="V6" i="2"/>
  <c r="AB6" i="2"/>
  <c r="AA6" i="2"/>
  <c r="BO6" i="2"/>
  <c r="AE6" i="2"/>
  <c r="AO6" i="2"/>
  <c r="BT6" i="2"/>
  <c r="BK6" i="2"/>
  <c r="G6" i="2"/>
  <c r="AI6" i="2"/>
  <c r="BU6" i="2"/>
  <c r="BV6" i="2"/>
  <c r="AH6" i="2"/>
  <c r="AJ6" i="2"/>
  <c r="BE6" i="2"/>
  <c r="AD6" i="2"/>
  <c r="P6" i="2"/>
  <c r="BM5" i="2" l="1"/>
  <c r="BK5" i="2"/>
  <c r="CE6" i="2"/>
  <c r="BZ5" i="2"/>
  <c r="EA5" i="2" s="1"/>
  <c r="BI5" i="2"/>
  <c r="BJ5" i="2"/>
  <c r="CD5" i="2"/>
  <c r="EB5" i="2" s="1"/>
  <c r="BR5" i="2"/>
  <c r="DX5" i="2" s="1"/>
  <c r="BN5" i="2"/>
  <c r="DW5" i="2" s="1"/>
  <c r="BD5" i="2"/>
  <c r="BG5" i="2"/>
  <c r="BH5" i="2"/>
  <c r="DU5" i="2" s="1"/>
  <c r="BF5" i="2"/>
  <c r="DT5" i="2" s="1"/>
  <c r="BE5" i="2"/>
  <c r="DZ5" i="2"/>
  <c r="DV5" i="2"/>
  <c r="DY5" i="2"/>
  <c r="BC5" i="2"/>
  <c r="DY7" i="2"/>
  <c r="AL5" i="2"/>
  <c r="Q5" i="2"/>
  <c r="I5" i="2"/>
  <c r="V5" i="2"/>
  <c r="AA5" i="2"/>
  <c r="K5" i="2"/>
  <c r="AM5" i="2"/>
  <c r="W5" i="2"/>
  <c r="F5" i="2"/>
  <c r="H5" i="2"/>
  <c r="L5" i="2"/>
  <c r="AG5" i="2"/>
  <c r="AP5" i="2"/>
  <c r="AD5" i="2"/>
  <c r="AO5" i="2"/>
  <c r="AJ5" i="2"/>
  <c r="T5" i="2"/>
  <c r="AH5" i="2"/>
  <c r="AB5" i="2"/>
  <c r="AK5" i="2"/>
  <c r="AI5" i="2"/>
  <c r="Z5" i="2"/>
  <c r="AN5" i="2"/>
  <c r="AT5" i="2"/>
  <c r="M5" i="2"/>
  <c r="BA5" i="2"/>
  <c r="Y5" i="2"/>
  <c r="AZ5" i="2"/>
  <c r="X5" i="2"/>
  <c r="J5" i="2"/>
  <c r="O5" i="2"/>
  <c r="AY5" i="2"/>
  <c r="S5" i="2"/>
  <c r="BB5" i="2"/>
  <c r="AC5" i="2"/>
  <c r="AQ5" i="2"/>
  <c r="AF5" i="2"/>
  <c r="E5" i="2"/>
  <c r="AU5" i="2"/>
  <c r="N5" i="2"/>
  <c r="P5" i="2"/>
  <c r="G5" i="2"/>
  <c r="U5" i="2"/>
  <c r="AE5" i="2"/>
  <c r="BX6" i="2"/>
  <c r="DW7" i="2"/>
  <c r="AS5" i="2"/>
  <c r="CG5" i="2"/>
  <c r="CI5" i="2"/>
  <c r="CH5" i="2"/>
  <c r="CJ5" i="2"/>
  <c r="AW5" i="2"/>
  <c r="AX5" i="2"/>
  <c r="R5" i="2"/>
  <c r="AV5" i="2"/>
  <c r="CG7" i="2"/>
  <c r="BW7" i="2"/>
  <c r="AP15" i="2"/>
  <c r="AP16" i="2" s="1"/>
  <c r="AQ10" i="2"/>
  <c r="AR28" i="2"/>
  <c r="AQ29" i="2"/>
  <c r="AQ30" i="2" s="1"/>
  <c r="AR20" i="2"/>
  <c r="AQ21" i="2"/>
  <c r="AQ22" i="2" s="1"/>
  <c r="AN23" i="2"/>
  <c r="AN24" i="2" s="1"/>
  <c r="AO18" i="2"/>
  <c r="AQ12" i="2"/>
  <c r="AP13" i="2"/>
  <c r="AP14" i="2" s="1"/>
  <c r="AN31" i="2"/>
  <c r="AN32" i="2" s="1"/>
  <c r="AO26" i="2"/>
  <c r="D44" i="6" a="1"/>
  <c r="D44" i="6" s="1"/>
  <c r="C45" i="6"/>
  <c r="CF6" i="2" l="1"/>
  <c r="ED5" i="2"/>
  <c r="EC5" i="2"/>
  <c r="CH7" i="2"/>
  <c r="EC7" i="2" s="1"/>
  <c r="BX7" i="2"/>
  <c r="AS20" i="2"/>
  <c r="AR21" i="2"/>
  <c r="AR22" i="2" s="1"/>
  <c r="AS28" i="2"/>
  <c r="AR29" i="2"/>
  <c r="AR30" i="2" s="1"/>
  <c r="AP18" i="2"/>
  <c r="AO23" i="2"/>
  <c r="AO24" i="2" s="1"/>
  <c r="AP26" i="2"/>
  <c r="AO31" i="2"/>
  <c r="AR10" i="2"/>
  <c r="AQ15" i="2"/>
  <c r="AQ16" i="2" s="1"/>
  <c r="AR12" i="2"/>
  <c r="AQ13" i="2"/>
  <c r="AQ14" i="2" s="1"/>
  <c r="C46" i="6"/>
  <c r="D45" i="6" a="1"/>
  <c r="D45" i="6" s="1"/>
  <c r="AZ6" i="2" l="1"/>
  <c r="BJ7" i="2"/>
  <c r="AO32" i="2"/>
  <c r="BG7" i="2"/>
  <c r="BH7" i="2"/>
  <c r="BE7" i="2"/>
  <c r="BF7" i="2"/>
  <c r="DT7" i="2" s="1"/>
  <c r="BD7" i="2"/>
  <c r="BA7" i="2"/>
  <c r="BC7" i="2"/>
  <c r="AY6" i="2"/>
  <c r="BY6" i="2"/>
  <c r="CA6" i="2"/>
  <c r="AZ7" i="2"/>
  <c r="AY7" i="2"/>
  <c r="BY7" i="2"/>
  <c r="DZ7" i="2" s="1"/>
  <c r="CA7" i="2"/>
  <c r="CC7" i="2"/>
  <c r="EB7" i="2" s="1"/>
  <c r="CG6" i="2"/>
  <c r="CH6" i="2"/>
  <c r="CJ6" i="2"/>
  <c r="CI6" i="2"/>
  <c r="AX6" i="2"/>
  <c r="AW6" i="2"/>
  <c r="BZ6" i="2"/>
  <c r="BI7" i="2"/>
  <c r="BZ7" i="2"/>
  <c r="CB7" i="2"/>
  <c r="CI7" i="2"/>
  <c r="CJ7" i="2"/>
  <c r="AQ26" i="2"/>
  <c r="AP31" i="2"/>
  <c r="AP32" i="2" s="1"/>
  <c r="AQ18" i="2"/>
  <c r="AP23" i="2"/>
  <c r="AP24" i="2" s="1"/>
  <c r="AS12" i="2"/>
  <c r="AR13" i="2"/>
  <c r="AR14" i="2" s="1"/>
  <c r="AT28" i="2"/>
  <c r="AS29" i="2"/>
  <c r="AS30" i="2" s="1"/>
  <c r="AS10" i="2"/>
  <c r="AR15" i="2"/>
  <c r="AR16" i="2" s="1"/>
  <c r="AT20" i="2"/>
  <c r="AS21" i="2"/>
  <c r="AS22" i="2" s="1"/>
  <c r="D46" i="6" a="1"/>
  <c r="D46" i="6" s="1"/>
  <c r="C47" i="6"/>
  <c r="DU7" i="2" l="1"/>
  <c r="EA7" i="2"/>
  <c r="ED7" i="2"/>
  <c r="AU20" i="2"/>
  <c r="AT21" i="2"/>
  <c r="AT22" i="2" s="1"/>
  <c r="AR18" i="2"/>
  <c r="AQ23" i="2"/>
  <c r="AQ24" i="2" s="1"/>
  <c r="AU28" i="2"/>
  <c r="AT29" i="2"/>
  <c r="AT30" i="2" s="1"/>
  <c r="AT12" i="2"/>
  <c r="AS13" i="2"/>
  <c r="AS14" i="2" s="1"/>
  <c r="AT10" i="2"/>
  <c r="AS15" i="2"/>
  <c r="AS16" i="2" s="1"/>
  <c r="AQ31" i="2"/>
  <c r="AQ32" i="2" s="1"/>
  <c r="AR26" i="2"/>
  <c r="D47" i="6" a="1"/>
  <c r="D47" i="6" s="1"/>
  <c r="C48" i="6"/>
  <c r="AR31" i="2" l="1"/>
  <c r="AR32" i="2" s="1"/>
  <c r="AS26" i="2"/>
  <c r="AR23" i="2"/>
  <c r="AR24" i="2" s="1"/>
  <c r="AS18" i="2"/>
  <c r="AU12" i="2"/>
  <c r="AT13" i="2"/>
  <c r="AT14" i="2" s="1"/>
  <c r="AV28" i="2"/>
  <c r="AU29" i="2"/>
  <c r="AU30" i="2" s="1"/>
  <c r="AU10" i="2"/>
  <c r="AT15" i="2"/>
  <c r="AT16" i="2" s="1"/>
  <c r="AV20" i="2"/>
  <c r="AU21" i="2"/>
  <c r="AU22" i="2" s="1"/>
  <c r="D48" i="6" a="1"/>
  <c r="D48" i="6" s="1"/>
  <c r="C49" i="6"/>
  <c r="AW28" i="2" l="1"/>
  <c r="AV29" i="2"/>
  <c r="AV30" i="2" s="1"/>
  <c r="AS23" i="2"/>
  <c r="AS24" i="2" s="1"/>
  <c r="AT18" i="2"/>
  <c r="AU13" i="2"/>
  <c r="AU14" i="2" s="1"/>
  <c r="AV12" i="2"/>
  <c r="AS31" i="2"/>
  <c r="AS32" i="2" s="1"/>
  <c r="AT26" i="2"/>
  <c r="AV21" i="2"/>
  <c r="AV22" i="2" s="1"/>
  <c r="AW20" i="2"/>
  <c r="AV10" i="2"/>
  <c r="AU15" i="2"/>
  <c r="AU16" i="2" s="1"/>
  <c r="D49" i="6" a="1"/>
  <c r="D49" i="6" s="1"/>
  <c r="C50" i="6"/>
  <c r="AT31" i="2" l="1"/>
  <c r="AT32" i="2" s="1"/>
  <c r="AU26" i="2"/>
  <c r="AV13" i="2"/>
  <c r="AV14" i="2" s="1"/>
  <c r="AW12" i="2"/>
  <c r="AT23" i="2"/>
  <c r="AT24" i="2" s="1"/>
  <c r="AU18" i="2"/>
  <c r="AW10" i="2"/>
  <c r="AV15" i="2"/>
  <c r="AV16" i="2" s="1"/>
  <c r="AW21" i="2"/>
  <c r="AW22" i="2" s="1"/>
  <c r="AX20" i="2"/>
  <c r="AX28" i="2"/>
  <c r="AW29" i="2"/>
  <c r="AW30" i="2" s="1"/>
  <c r="D50" i="6" a="1"/>
  <c r="D50" i="6" s="1"/>
  <c r="C51" i="6"/>
  <c r="AX10" i="2" l="1"/>
  <c r="AW15" i="2"/>
  <c r="AW16" i="2" s="1"/>
  <c r="AX12" i="2"/>
  <c r="AW13" i="2"/>
  <c r="AW14" i="2" s="1"/>
  <c r="AY28" i="2"/>
  <c r="AX29" i="2"/>
  <c r="AX30" i="2" s="1"/>
  <c r="AX21" i="2"/>
  <c r="AX22" i="2" s="1"/>
  <c r="AY20" i="2"/>
  <c r="AU31" i="2"/>
  <c r="AU32" i="2" s="1"/>
  <c r="AV26" i="2"/>
  <c r="AU23" i="2"/>
  <c r="AU24" i="2" s="1"/>
  <c r="AV18" i="2"/>
  <c r="C52" i="6"/>
  <c r="D51" i="6" a="1"/>
  <c r="D51" i="6" s="1"/>
  <c r="AZ20" i="2" l="1"/>
  <c r="AY21" i="2"/>
  <c r="AY22" i="2" s="1"/>
  <c r="AY12" i="2"/>
  <c r="AX13" i="2"/>
  <c r="AX14" i="2" s="1"/>
  <c r="AZ28" i="2"/>
  <c r="AY29" i="2"/>
  <c r="AY30" i="2" s="1"/>
  <c r="AV23" i="2"/>
  <c r="AV24" i="2" s="1"/>
  <c r="AW18" i="2"/>
  <c r="AV31" i="2"/>
  <c r="AV32" i="2" s="1"/>
  <c r="AW26" i="2"/>
  <c r="AY10" i="2"/>
  <c r="AX15" i="2"/>
  <c r="AX16" i="2" s="1"/>
  <c r="D52" i="6" a="1"/>
  <c r="D52" i="6" s="1"/>
  <c r="C53" i="6"/>
  <c r="AW23" i="2" l="1"/>
  <c r="AW24" i="2" s="1"/>
  <c r="AX18" i="2"/>
  <c r="AZ10" i="2"/>
  <c r="AY15" i="2"/>
  <c r="AY16" i="2" s="1"/>
  <c r="AY13" i="2"/>
  <c r="AY14" i="2" s="1"/>
  <c r="AZ12" i="2"/>
  <c r="AZ29" i="2"/>
  <c r="AZ30" i="2" s="1"/>
  <c r="BA28" i="2"/>
  <c r="AW31" i="2"/>
  <c r="AW32" i="2" s="1"/>
  <c r="AX26" i="2"/>
  <c r="BA20" i="2"/>
  <c r="AZ21" i="2"/>
  <c r="AZ22" i="2" s="1"/>
  <c r="D53" i="6" a="1"/>
  <c r="D53" i="6" s="1"/>
  <c r="C54" i="6"/>
  <c r="BA29" i="2" l="1"/>
  <c r="BA30" i="2" s="1"/>
  <c r="BB28" i="2"/>
  <c r="BA10" i="2"/>
  <c r="AZ15" i="2"/>
  <c r="AZ16" i="2" s="1"/>
  <c r="BB20" i="2"/>
  <c r="BA21" i="2"/>
  <c r="BA22" i="2" s="1"/>
  <c r="AX31" i="2"/>
  <c r="AX32" i="2" s="1"/>
  <c r="AY26" i="2"/>
  <c r="AX23" i="2"/>
  <c r="AX24" i="2" s="1"/>
  <c r="AY18" i="2"/>
  <c r="AZ13" i="2"/>
  <c r="AZ14" i="2" s="1"/>
  <c r="BA12" i="2"/>
  <c r="D54" i="6" a="1"/>
  <c r="D54" i="6" s="1"/>
  <c r="C55" i="6"/>
  <c r="AY31" i="2" l="1"/>
  <c r="AY32" i="2" s="1"/>
  <c r="AZ26" i="2"/>
  <c r="BC20" i="2"/>
  <c r="BB21" i="2"/>
  <c r="BB22" i="2" s="1"/>
  <c r="BA13" i="2"/>
  <c r="BA14" i="2" s="1"/>
  <c r="BB12" i="2"/>
  <c r="BB10" i="2"/>
  <c r="BA15" i="2"/>
  <c r="BA16" i="2" s="1"/>
  <c r="AY23" i="2"/>
  <c r="AY24" i="2" s="1"/>
  <c r="AZ18" i="2"/>
  <c r="BB29" i="2"/>
  <c r="BB30" i="2" s="1"/>
  <c r="BC28" i="2"/>
  <c r="D55" i="6" a="1"/>
  <c r="D55" i="6" s="1"/>
  <c r="C56" i="6"/>
  <c r="BC29" i="2" l="1"/>
  <c r="BC30" i="2" s="1"/>
  <c r="BD28" i="2"/>
  <c r="BD20" i="2"/>
  <c r="BC21" i="2"/>
  <c r="BC22" i="2" s="1"/>
  <c r="BC10" i="2"/>
  <c r="BB15" i="2"/>
  <c r="BB16" i="2" s="1"/>
  <c r="BB13" i="2"/>
  <c r="BB14" i="2" s="1"/>
  <c r="BC12" i="2"/>
  <c r="AZ23" i="2"/>
  <c r="AZ24" i="2" s="1"/>
  <c r="BA18" i="2"/>
  <c r="AZ31" i="2"/>
  <c r="AZ32" i="2" s="1"/>
  <c r="BA26" i="2"/>
  <c r="C57" i="6"/>
  <c r="D56" i="6" a="1"/>
  <c r="D56" i="6" s="1"/>
  <c r="BD10" i="2" l="1"/>
  <c r="BC15" i="2"/>
  <c r="BC16" i="2" s="1"/>
  <c r="BA31" i="2"/>
  <c r="BA32" i="2" s="1"/>
  <c r="BB26" i="2"/>
  <c r="BD21" i="2"/>
  <c r="BD22" i="2" s="1"/>
  <c r="BE20" i="2"/>
  <c r="BA23" i="2"/>
  <c r="BA24" i="2" s="1"/>
  <c r="BB18" i="2"/>
  <c r="BE28" i="2"/>
  <c r="BD29" i="2"/>
  <c r="BD30" i="2" s="1"/>
  <c r="BC13" i="2"/>
  <c r="BC14" i="2" s="1"/>
  <c r="BD12" i="2"/>
  <c r="D57" i="6" a="1"/>
  <c r="D57" i="6" s="1"/>
  <c r="C58" i="6"/>
  <c r="BE21" i="2" l="1"/>
  <c r="BE22" i="2" s="1"/>
  <c r="BF20" i="2"/>
  <c r="BB23" i="2"/>
  <c r="BB24" i="2" s="1"/>
  <c r="BC18" i="2"/>
  <c r="BD13" i="2"/>
  <c r="BD14" i="2" s="1"/>
  <c r="BE12" i="2"/>
  <c r="BB31" i="2"/>
  <c r="BB32" i="2" s="1"/>
  <c r="BC26" i="2"/>
  <c r="BE29" i="2"/>
  <c r="BE30" i="2" s="1"/>
  <c r="BF28" i="2"/>
  <c r="BE10" i="2"/>
  <c r="BD15" i="2"/>
  <c r="BD16" i="2" s="1"/>
  <c r="C59" i="6"/>
  <c r="D58" i="6" a="1"/>
  <c r="D58" i="6" s="1"/>
  <c r="BC31" i="2" l="1"/>
  <c r="BC32" i="2" s="1"/>
  <c r="BD26" i="2"/>
  <c r="BF12" i="2"/>
  <c r="BE13" i="2"/>
  <c r="BE14" i="2" s="1"/>
  <c r="BC23" i="2"/>
  <c r="BC24" i="2" s="1"/>
  <c r="BD18" i="2"/>
  <c r="BF10" i="2"/>
  <c r="BE15" i="2"/>
  <c r="BE16" i="2" s="1"/>
  <c r="BF29" i="2"/>
  <c r="BF30" i="2" s="1"/>
  <c r="BG28" i="2"/>
  <c r="BF21" i="2"/>
  <c r="BF22" i="2" s="1"/>
  <c r="BG20" i="2"/>
  <c r="C60" i="6"/>
  <c r="D59" i="6" a="1"/>
  <c r="D59" i="6" s="1"/>
  <c r="BG10" i="2" l="1"/>
  <c r="BF15" i="2"/>
  <c r="BF16" i="2" s="1"/>
  <c r="BD23" i="2"/>
  <c r="BD24" i="2" s="1"/>
  <c r="BE18" i="2"/>
  <c r="BH20" i="2"/>
  <c r="BG21" i="2"/>
  <c r="BG22" i="2" s="1"/>
  <c r="BF13" i="2"/>
  <c r="BF14" i="2" s="1"/>
  <c r="BG12" i="2"/>
  <c r="BG29" i="2"/>
  <c r="BG30" i="2" s="1"/>
  <c r="BH28" i="2"/>
  <c r="BD31" i="2"/>
  <c r="BD32" i="2" s="1"/>
  <c r="BE26" i="2"/>
  <c r="C61" i="6"/>
  <c r="D60" i="6" a="1"/>
  <c r="D60" i="6" s="1"/>
  <c r="BG13" i="2" l="1"/>
  <c r="BG14" i="2" s="1"/>
  <c r="BH12" i="2"/>
  <c r="BI20" i="2"/>
  <c r="BH21" i="2"/>
  <c r="BH22" i="2" s="1"/>
  <c r="BE31" i="2"/>
  <c r="BE32" i="2" s="1"/>
  <c r="BF26" i="2"/>
  <c r="BE23" i="2"/>
  <c r="BE24" i="2" s="1"/>
  <c r="BF18" i="2"/>
  <c r="BH29" i="2"/>
  <c r="BH30" i="2" s="1"/>
  <c r="BI28" i="2"/>
  <c r="BH10" i="2"/>
  <c r="BG15" i="2"/>
  <c r="BG16" i="2" s="1"/>
  <c r="C62" i="6"/>
  <c r="D61" i="6" a="1"/>
  <c r="D61" i="6" s="1"/>
  <c r="BF23" i="2" l="1"/>
  <c r="BF24" i="2" s="1"/>
  <c r="BG18" i="2"/>
  <c r="BF31" i="2"/>
  <c r="BF32" i="2" s="1"/>
  <c r="BG26" i="2"/>
  <c r="BI21" i="2"/>
  <c r="BI22" i="2" s="1"/>
  <c r="BJ20" i="2"/>
  <c r="BI10" i="2"/>
  <c r="BH15" i="2"/>
  <c r="BH16" i="2" s="1"/>
  <c r="BI29" i="2"/>
  <c r="BI30" i="2" s="1"/>
  <c r="BJ28" i="2"/>
  <c r="BH13" i="2"/>
  <c r="BH14" i="2" s="1"/>
  <c r="BI12" i="2"/>
  <c r="D62" i="6" a="1"/>
  <c r="D62" i="6" s="1"/>
  <c r="C63" i="6"/>
  <c r="BJ10" i="2" l="1"/>
  <c r="BI15" i="2"/>
  <c r="BI16" i="2" s="1"/>
  <c r="BI13" i="2"/>
  <c r="BI14" i="2" s="1"/>
  <c r="BJ12" i="2"/>
  <c r="BG31" i="2"/>
  <c r="BG32" i="2" s="1"/>
  <c r="BH26" i="2"/>
  <c r="BK28" i="2"/>
  <c r="BJ29" i="2"/>
  <c r="BJ30" i="2" s="1"/>
  <c r="BG23" i="2"/>
  <c r="BG24" i="2" s="1"/>
  <c r="BH18" i="2"/>
  <c r="BK20" i="2"/>
  <c r="BJ21" i="2"/>
  <c r="BJ22" i="2" s="1"/>
  <c r="D63" i="6" a="1"/>
  <c r="D63" i="6" s="1"/>
  <c r="C64" i="6"/>
  <c r="BL28" i="2" l="1"/>
  <c r="BK29" i="2"/>
  <c r="BK30" i="2" s="1"/>
  <c r="BH31" i="2"/>
  <c r="BH32" i="2" s="1"/>
  <c r="BI26" i="2"/>
  <c r="BK12" i="2"/>
  <c r="BJ13" i="2"/>
  <c r="BJ14" i="2" s="1"/>
  <c r="BH23" i="2"/>
  <c r="BH24" i="2" s="1"/>
  <c r="BI18" i="2"/>
  <c r="BL20" i="2"/>
  <c r="BK21" i="2"/>
  <c r="BK22" i="2" s="1"/>
  <c r="BK10" i="2"/>
  <c r="BJ15" i="2"/>
  <c r="BJ16" i="2" s="1"/>
  <c r="C65" i="6"/>
  <c r="D64" i="6" a="1"/>
  <c r="D64" i="6" s="1"/>
  <c r="BI31" i="2" l="1"/>
  <c r="BI32" i="2" s="1"/>
  <c r="BJ26" i="2"/>
  <c r="BL10" i="2"/>
  <c r="BK15" i="2"/>
  <c r="BK16" i="2" s="1"/>
  <c r="BI23" i="2"/>
  <c r="BI24" i="2" s="1"/>
  <c r="BJ18" i="2"/>
  <c r="BK13" i="2"/>
  <c r="BK14" i="2" s="1"/>
  <c r="BL12" i="2"/>
  <c r="BM20" i="2"/>
  <c r="BM21" i="2" s="1"/>
  <c r="BM22" i="2" s="1"/>
  <c r="BL21" i="2"/>
  <c r="BL22" i="2" s="1"/>
  <c r="BL29" i="2"/>
  <c r="BL30" i="2" s="1"/>
  <c r="BM28" i="2"/>
  <c r="BM29" i="2" s="1"/>
  <c r="BM30" i="2" s="1"/>
  <c r="D65" i="6" a="1"/>
  <c r="D65" i="6" s="1"/>
  <c r="C66" i="6"/>
  <c r="BJ23" i="2" l="1"/>
  <c r="BJ24" i="2" s="1"/>
  <c r="BK18" i="2"/>
  <c r="BM10" i="2"/>
  <c r="BM15" i="2" s="1"/>
  <c r="BM16" i="2" s="1"/>
  <c r="BL15" i="2"/>
  <c r="BL16" i="2" s="1"/>
  <c r="BM12" i="2"/>
  <c r="BM13" i="2" s="1"/>
  <c r="BM14" i="2" s="1"/>
  <c r="BL13" i="2"/>
  <c r="BL14" i="2" s="1"/>
  <c r="BJ31" i="2"/>
  <c r="BJ32" i="2" s="1"/>
  <c r="BK26" i="2"/>
  <c r="D66" i="6" a="1"/>
  <c r="D66" i="6" s="1"/>
  <c r="C67" i="6"/>
  <c r="BK31" i="2" l="1"/>
  <c r="BK32" i="2" s="1"/>
  <c r="BL26" i="2"/>
  <c r="BK23" i="2"/>
  <c r="BK24" i="2" s="1"/>
  <c r="BL18" i="2"/>
  <c r="D67" i="6" a="1"/>
  <c r="D67" i="6" s="1"/>
  <c r="C68" i="6"/>
  <c r="BL31" i="2" l="1"/>
  <c r="BL32" i="2" s="1"/>
  <c r="BM26" i="2"/>
  <c r="BM31" i="2" s="1"/>
  <c r="BM32" i="2" s="1"/>
  <c r="BL23" i="2"/>
  <c r="BL24" i="2" s="1"/>
  <c r="BM18" i="2"/>
  <c r="BM23" i="2" s="1"/>
  <c r="BM24" i="2" s="1"/>
  <c r="C69" i="6"/>
  <c r="D68" i="6" a="1"/>
  <c r="D68" i="6" s="1"/>
  <c r="D69" i="6" l="1" a="1"/>
  <c r="D69" i="6" s="1"/>
  <c r="C70" i="6"/>
  <c r="D70" i="6" l="1" a="1"/>
  <c r="D70" i="6" s="1"/>
  <c r="C71" i="6"/>
  <c r="C72" i="6" l="1"/>
  <c r="D71" i="6" a="1"/>
  <c r="D71" i="6" s="1"/>
  <c r="D72" i="6" l="1" a="1"/>
  <c r="D72" i="6" s="1"/>
  <c r="C73" i="6"/>
  <c r="D73" i="6" l="1" a="1"/>
  <c r="D73" i="6" s="1"/>
  <c r="C74" i="6"/>
  <c r="D74" i="6" l="1" a="1"/>
  <c r="D74" i="6" s="1"/>
  <c r="C75" i="6"/>
  <c r="D75" i="6" l="1" a="1"/>
  <c r="D75" i="6" s="1"/>
  <c r="C76" i="6"/>
  <c r="D76" i="6" l="1" a="1"/>
  <c r="D76" i="6" s="1"/>
  <c r="C77" i="6"/>
  <c r="D77" i="6" l="1" a="1"/>
  <c r="D77" i="6" s="1"/>
  <c r="C78" i="6"/>
  <c r="D78" i="6" l="1" a="1"/>
  <c r="D78" i="6" s="1"/>
  <c r="C79" i="6"/>
  <c r="D79" i="6" l="1" a="1"/>
  <c r="D79" i="6" s="1"/>
  <c r="C80" i="6"/>
  <c r="D80" i="6" l="1" a="1"/>
  <c r="D80" i="6" s="1"/>
  <c r="C81" i="6"/>
  <c r="C82" i="6" l="1"/>
  <c r="D81" i="6" a="1"/>
  <c r="D81" i="6" s="1"/>
  <c r="D82" i="6" l="1" a="1"/>
  <c r="D82" i="6" s="1"/>
  <c r="C83" i="6"/>
  <c r="D83" i="6" l="1" a="1"/>
  <c r="D83" i="6" s="1"/>
  <c r="C84" i="6"/>
  <c r="C85" i="6" l="1"/>
  <c r="D84" i="6" a="1"/>
  <c r="D84" i="6" s="1"/>
  <c r="D85" i="6" l="1" a="1"/>
  <c r="D85" i="6" s="1"/>
  <c r="C86" i="6"/>
  <c r="D86" i="6" l="1" a="1"/>
  <c r="D86" i="6" s="1"/>
  <c r="C87" i="6"/>
  <c r="C88" i="6" l="1"/>
  <c r="D87" i="6" a="1"/>
  <c r="D87" i="6" s="1"/>
  <c r="D88" i="6" l="1" a="1"/>
  <c r="D88" i="6" s="1"/>
  <c r="C89" i="6"/>
  <c r="D89" i="6" l="1" a="1"/>
  <c r="D89" i="6" s="1"/>
  <c r="C90" i="6"/>
  <c r="D90" i="6" l="1" a="1"/>
  <c r="D90" i="6" s="1"/>
  <c r="C91" i="6"/>
  <c r="D91" i="6" l="1" a="1"/>
  <c r="D91" i="6" s="1"/>
  <c r="C92" i="6"/>
  <c r="D92" i="6" l="1" a="1"/>
  <c r="D92" i="6" s="1"/>
  <c r="C93" i="6"/>
  <c r="D93" i="6" l="1" a="1"/>
  <c r="D93" i="6" s="1"/>
  <c r="C94" i="6"/>
  <c r="D94" i="6" l="1" a="1"/>
  <c r="D94" i="6" s="1"/>
  <c r="C95" i="6"/>
  <c r="D95" i="6" l="1" a="1"/>
  <c r="D95" i="6" s="1"/>
  <c r="C96" i="6"/>
  <c r="D96" i="6" l="1" a="1"/>
  <c r="D96" i="6" s="1"/>
  <c r="C97" i="6"/>
  <c r="C98" i="6" l="1"/>
  <c r="D97" i="6" a="1"/>
  <c r="D97" i="6" s="1"/>
  <c r="D98" i="6" l="1" a="1"/>
  <c r="D98" i="6" s="1"/>
  <c r="C99" i="6"/>
  <c r="D99" i="6" l="1" a="1"/>
  <c r="D99" i="6" s="1"/>
  <c r="C100" i="6"/>
  <c r="C101" i="6" l="1"/>
  <c r="D100" i="6" a="1"/>
  <c r="D100" i="6" s="1"/>
  <c r="D101" i="6" l="1" a="1"/>
  <c r="D101" i="6" s="1"/>
  <c r="C102" i="6"/>
  <c r="D102" i="6" l="1" a="1"/>
  <c r="D102" i="6" s="1"/>
  <c r="C103" i="6"/>
  <c r="C104" i="6" l="1"/>
  <c r="D103" i="6" a="1"/>
  <c r="D103" i="6" s="1"/>
  <c r="D104" i="6" l="1" a="1"/>
  <c r="D104" i="6" s="1"/>
  <c r="C105" i="6"/>
  <c r="D105" i="6" l="1" a="1"/>
  <c r="D105" i="6" s="1"/>
  <c r="C106" i="6"/>
  <c r="D106" i="6" l="1" a="1"/>
  <c r="D106" i="6" s="1"/>
  <c r="C107" i="6"/>
  <c r="D107" i="6" l="1" a="1"/>
  <c r="D107" i="6" s="1"/>
  <c r="C108" i="6"/>
  <c r="D108" i="6" l="1" a="1"/>
  <c r="D108" i="6" s="1"/>
  <c r="C109" i="6"/>
  <c r="D109" i="6" l="1" a="1"/>
  <c r="D109" i="6" s="1"/>
  <c r="C110" i="6"/>
  <c r="D110" i="6" l="1" a="1"/>
  <c r="D110" i="6" s="1"/>
  <c r="C111" i="6"/>
  <c r="D111" i="6" l="1" a="1"/>
  <c r="D111" i="6" s="1"/>
  <c r="C112" i="6"/>
  <c r="D112" i="6" l="1" a="1"/>
  <c r="D112" i="6" s="1"/>
  <c r="C113" i="6"/>
  <c r="C114" i="6" l="1"/>
  <c r="D113" i="6" a="1"/>
  <c r="D113" i="6" s="1"/>
  <c r="D114" i="6" l="1" a="1"/>
  <c r="D114" i="6" s="1"/>
  <c r="C115" i="6"/>
  <c r="D115" i="6" l="1" a="1"/>
  <c r="D115" i="6" s="1"/>
  <c r="C116" i="6"/>
  <c r="C117" i="6" l="1"/>
  <c r="D116" i="6" a="1"/>
  <c r="D116" i="6" s="1"/>
  <c r="D117" i="6" l="1" a="1"/>
  <c r="D117" i="6" s="1"/>
  <c r="C118" i="6"/>
  <c r="D118" i="6" l="1" a="1"/>
  <c r="D118" i="6" s="1"/>
  <c r="C119" i="6"/>
  <c r="C120" i="6" l="1"/>
  <c r="D119" i="6" a="1"/>
  <c r="D119" i="6" s="1"/>
  <c r="D120" i="6" l="1" a="1"/>
  <c r="D120" i="6" s="1"/>
  <c r="C121" i="6"/>
  <c r="D121" i="6" l="1" a="1"/>
  <c r="D121" i="6" s="1"/>
  <c r="C122" i="6"/>
  <c r="D122" i="6" l="1" a="1"/>
  <c r="D122" i="6" s="1"/>
  <c r="C123" i="6"/>
  <c r="D123" i="6" l="1" a="1"/>
  <c r="D123" i="6" s="1"/>
  <c r="C124" i="6"/>
  <c r="D124" i="6" l="1" a="1"/>
  <c r="D124" i="6" s="1"/>
  <c r="C125" i="6"/>
  <c r="D125" i="6" l="1" a="1"/>
  <c r="D125" i="6" s="1"/>
  <c r="C126" i="6"/>
  <c r="D126" i="6" l="1" a="1"/>
  <c r="D126" i="6" s="1"/>
  <c r="C127" i="6"/>
  <c r="D127" i="6" l="1" a="1"/>
  <c r="D127" i="6" s="1"/>
  <c r="C128" i="6"/>
  <c r="D128" i="6" l="1" a="1"/>
  <c r="D128" i="6" s="1"/>
  <c r="C129" i="6"/>
  <c r="C130" i="6" l="1"/>
  <c r="D129" i="6" a="1"/>
  <c r="D129" i="6" s="1"/>
  <c r="D130" i="6" l="1" a="1"/>
  <c r="D130" i="6" s="1"/>
  <c r="C131" i="6"/>
  <c r="D131" i="6" l="1" a="1"/>
  <c r="D131" i="6" s="1"/>
  <c r="C132" i="6"/>
  <c r="C133" i="6" l="1"/>
  <c r="D132" i="6" a="1"/>
  <c r="D132" i="6" s="1"/>
  <c r="D133" i="6" l="1" a="1"/>
  <c r="D133" i="6" s="1"/>
  <c r="C134" i="6"/>
  <c r="D134" i="6" l="1" a="1"/>
  <c r="D134" i="6" s="1"/>
  <c r="C135" i="6"/>
  <c r="C136" i="6" l="1"/>
  <c r="D135" i="6" a="1"/>
  <c r="D135" i="6" s="1"/>
  <c r="D136" i="6" l="1" a="1"/>
  <c r="D136" i="6" s="1"/>
  <c r="C137" i="6"/>
  <c r="D137" i="6" l="1" a="1"/>
  <c r="D137" i="6" s="1"/>
  <c r="C138" i="6"/>
  <c r="D138" i="6" l="1" a="1"/>
  <c r="D138" i="6" s="1"/>
  <c r="C139" i="6"/>
  <c r="D139" i="6" l="1" a="1"/>
  <c r="D139" i="6" s="1"/>
  <c r="C140" i="6"/>
  <c r="D140" i="6" l="1" a="1"/>
  <c r="D140" i="6" s="1"/>
  <c r="C141" i="6"/>
  <c r="D141" i="6" l="1" a="1"/>
  <c r="D141" i="6" s="1"/>
  <c r="C142" i="6"/>
  <c r="D142" i="6" l="1" a="1"/>
  <c r="D142" i="6" s="1"/>
  <c r="C143" i="6"/>
  <c r="D143" i="6" l="1" a="1"/>
  <c r="D143" i="6" s="1"/>
  <c r="C144" i="6"/>
  <c r="D144" i="6" l="1" a="1"/>
  <c r="D144" i="6" s="1"/>
  <c r="C145" i="6"/>
  <c r="C146" i="6" l="1"/>
  <c r="D145" i="6" a="1"/>
  <c r="D145" i="6" s="1"/>
  <c r="D146" i="6" l="1" a="1"/>
  <c r="D146" i="6" s="1"/>
  <c r="C147" i="6"/>
  <c r="D147" i="6" l="1" a="1"/>
  <c r="D147" i="6" s="1"/>
  <c r="C148" i="6"/>
  <c r="C149" i="6" l="1"/>
  <c r="D148" i="6" a="1"/>
  <c r="D148" i="6" s="1"/>
  <c r="D149" i="6" l="1" a="1"/>
  <c r="D149" i="6" s="1"/>
  <c r="C150" i="6"/>
  <c r="D150" i="6" l="1" a="1"/>
  <c r="D150" i="6" s="1"/>
  <c r="C151" i="6"/>
  <c r="C152" i="6" l="1"/>
  <c r="D151" i="6" a="1"/>
  <c r="D151" i="6" s="1"/>
  <c r="D152" i="6" l="1" a="1"/>
  <c r="D152" i="6" s="1"/>
  <c r="C153" i="6"/>
  <c r="D153" i="6" l="1" a="1"/>
  <c r="D153" i="6" s="1"/>
  <c r="C154" i="6"/>
  <c r="C155" i="6" l="1"/>
  <c r="D154" i="6" a="1"/>
  <c r="D154" i="6" s="1"/>
  <c r="D155" i="6" l="1" a="1"/>
  <c r="D155" i="6" s="1"/>
  <c r="C156" i="6"/>
  <c r="D156" i="6" l="1" a="1"/>
  <c r="D156" i="6" s="1"/>
  <c r="C157" i="6"/>
  <c r="D157" i="6" l="1" a="1"/>
  <c r="D157" i="6" s="1"/>
  <c r="C158" i="6"/>
  <c r="D158" i="6" l="1" a="1"/>
  <c r="D158" i="6" s="1"/>
  <c r="C159" i="6"/>
  <c r="D159" i="6" l="1" a="1"/>
  <c r="D159" i="6" s="1"/>
  <c r="C160" i="6"/>
  <c r="D160" i="6" l="1" a="1"/>
  <c r="D160" i="6" s="1"/>
  <c r="C161" i="6"/>
  <c r="C162" i="6" l="1"/>
  <c r="D161" i="6" a="1"/>
  <c r="D161" i="6" s="1"/>
  <c r="D162" i="6" l="1" a="1"/>
  <c r="D162" i="6" s="1"/>
  <c r="C163" i="6"/>
  <c r="D163" i="6" l="1" a="1"/>
  <c r="D163" i="6" s="1"/>
  <c r="C164" i="6"/>
  <c r="C165" i="6" l="1"/>
  <c r="D164" i="6" a="1"/>
  <c r="D164" i="6" s="1"/>
  <c r="D165" i="6" l="1" a="1"/>
  <c r="D165" i="6" s="1"/>
  <c r="C166" i="6"/>
  <c r="D166" i="6" l="1" a="1"/>
  <c r="D166" i="6" s="1"/>
  <c r="C167" i="6"/>
  <c r="C168" i="6" l="1"/>
  <c r="D167" i="6" a="1"/>
  <c r="D167" i="6" s="1"/>
  <c r="D168" i="6" l="1" a="1"/>
  <c r="D168" i="6" s="1"/>
  <c r="C169" i="6"/>
  <c r="D169" i="6" l="1" a="1"/>
  <c r="D169" i="6" s="1"/>
  <c r="C170" i="6"/>
  <c r="C171" i="6" l="1"/>
  <c r="D170" i="6" a="1"/>
  <c r="D170" i="6" s="1"/>
  <c r="D171" i="6" l="1" a="1"/>
  <c r="D171" i="6" s="1"/>
  <c r="C172" i="6"/>
  <c r="D172" i="6" l="1" a="1"/>
  <c r="D172" i="6" s="1"/>
  <c r="C173" i="6"/>
  <c r="D173" i="6" l="1" a="1"/>
  <c r="D173" i="6" s="1"/>
  <c r="C174" i="6"/>
  <c r="D174" i="6" l="1" a="1"/>
  <c r="D174" i="6" s="1"/>
  <c r="C175" i="6"/>
  <c r="D175" i="6" l="1" a="1"/>
  <c r="D175" i="6" s="1"/>
  <c r="C176" i="6"/>
  <c r="D176" i="6" l="1" a="1"/>
  <c r="D176" i="6" s="1"/>
  <c r="C177" i="6"/>
  <c r="C178" i="6" l="1"/>
  <c r="D177" i="6" a="1"/>
  <c r="D177" i="6" s="1"/>
  <c r="D178" i="6" l="1" a="1"/>
  <c r="D178" i="6" s="1"/>
  <c r="C179" i="6"/>
  <c r="D179" i="6" l="1" a="1"/>
  <c r="D179" i="6" s="1"/>
  <c r="C180" i="6"/>
  <c r="C181" i="6" l="1"/>
  <c r="D180" i="6" a="1"/>
  <c r="D180" i="6" s="1"/>
  <c r="D181" i="6" l="1" a="1"/>
  <c r="D181" i="6" s="1"/>
  <c r="C182" i="6"/>
  <c r="D182" i="6" l="1" a="1"/>
  <c r="D182" i="6" s="1"/>
  <c r="C183" i="6"/>
  <c r="C184" i="6" l="1"/>
  <c r="D183" i="6" a="1"/>
  <c r="D183" i="6" s="1"/>
  <c r="D184" i="6" l="1" a="1"/>
  <c r="D184" i="6" s="1"/>
  <c r="C185" i="6"/>
  <c r="D185" i="6" l="1" a="1"/>
  <c r="D185" i="6" s="1"/>
  <c r="C186" i="6"/>
  <c r="C187" i="6" l="1"/>
  <c r="D186" i="6" a="1"/>
  <c r="D186" i="6" s="1"/>
  <c r="D187" i="6" l="1" a="1"/>
  <c r="D187" i="6" s="1"/>
  <c r="C188" i="6"/>
  <c r="D188" i="6" l="1" a="1"/>
  <c r="D188" i="6" s="1"/>
  <c r="C189" i="6"/>
  <c r="D189" i="6" l="1" a="1"/>
  <c r="D189" i="6" s="1"/>
  <c r="C190" i="6"/>
  <c r="D190" i="6" l="1" a="1"/>
  <c r="D190" i="6" s="1"/>
  <c r="C191" i="6"/>
  <c r="D191" i="6" l="1" a="1"/>
  <c r="D191" i="6" s="1"/>
  <c r="E36" i="2" s="1"/>
  <c r="C192" i="6"/>
  <c r="D192" i="6" l="1" a="1"/>
  <c r="D192" i="6" s="1"/>
  <c r="H36" i="2" s="1"/>
  <c r="C193" i="6"/>
  <c r="C194" i="6" l="1"/>
  <c r="D193" i="6" a="1"/>
  <c r="D193" i="6" s="1"/>
  <c r="K36" i="2" s="1"/>
  <c r="D194" i="6" l="1" a="1"/>
  <c r="D194" i="6" s="1"/>
  <c r="N36" i="2" s="1"/>
  <c r="C195" i="6"/>
  <c r="D195" i="6" l="1" a="1"/>
  <c r="D195" i="6" s="1"/>
  <c r="Q36" i="2" s="1"/>
  <c r="C196" i="6"/>
  <c r="C197" i="6" l="1"/>
  <c r="D196" i="6" a="1"/>
  <c r="D196" i="6" s="1"/>
  <c r="T36" i="2" s="1"/>
  <c r="D197" i="6" l="1" a="1"/>
  <c r="D197" i="6" s="1"/>
  <c r="W36" i="2" s="1"/>
  <c r="C198" i="6"/>
  <c r="D198" i="6" l="1" a="1"/>
  <c r="D198" i="6" s="1"/>
  <c r="Z36" i="2" s="1"/>
  <c r="C199" i="6"/>
  <c r="C200" i="6" l="1"/>
  <c r="D199" i="6" a="1"/>
  <c r="D199" i="6" s="1"/>
  <c r="AC36" i="2" s="1"/>
  <c r="D200" i="6" l="1" a="1"/>
  <c r="D200" i="6" s="1"/>
  <c r="AF36" i="2" s="1"/>
  <c r="C201" i="6"/>
  <c r="D201" i="6" l="1" a="1"/>
  <c r="D201" i="6" s="1"/>
  <c r="AI36" i="2" s="1"/>
  <c r="C202" i="6"/>
  <c r="C203" i="6" l="1"/>
  <c r="D202" i="6" a="1"/>
  <c r="D202" i="6" s="1"/>
  <c r="AL36" i="2" s="1"/>
  <c r="D203" i="6" l="1" a="1"/>
  <c r="D203" i="6" s="1"/>
  <c r="C204" i="6"/>
  <c r="D204" i="6" l="1" a="1"/>
  <c r="D204" i="6" s="1"/>
  <c r="C205" i="6"/>
  <c r="AO36" i="2"/>
  <c r="DO8" i="2"/>
  <c r="D205" i="6" l="1" a="1"/>
  <c r="D205" i="6" s="1"/>
  <c r="C206" i="6"/>
  <c r="AR36" i="2"/>
  <c r="DP8" i="2"/>
  <c r="D206" i="6" l="1" a="1"/>
  <c r="D206" i="6" s="1"/>
  <c r="C207" i="6"/>
  <c r="AU36" i="2"/>
  <c r="DQ8" i="2"/>
  <c r="D207" i="6" l="1" a="1"/>
  <c r="D207" i="6" s="1"/>
  <c r="C208" i="6"/>
  <c r="AX36" i="2"/>
  <c r="DR8" i="2"/>
  <c r="D208" i="6" l="1" a="1"/>
  <c r="D208" i="6" s="1"/>
  <c r="C209" i="6"/>
  <c r="BA36" i="2"/>
  <c r="DS8" i="2"/>
  <c r="C210" i="6" l="1"/>
  <c r="D209" i="6" a="1"/>
  <c r="D209" i="6" s="1"/>
  <c r="BD36" i="2"/>
  <c r="DT8" i="2"/>
  <c r="BG36" i="2" l="1"/>
  <c r="DU8" i="2"/>
  <c r="D210" i="6" a="1"/>
  <c r="D210" i="6" s="1"/>
  <c r="C211" i="6"/>
  <c r="D211" i="6" l="1" a="1"/>
  <c r="D211" i="6" s="1"/>
  <c r="C212" i="6"/>
  <c r="BJ36" i="2"/>
  <c r="DV8" i="2"/>
  <c r="C213" i="6" l="1"/>
  <c r="D212" i="6" a="1"/>
  <c r="D212" i="6" s="1"/>
  <c r="BM36" i="2"/>
  <c r="DW8" i="2"/>
  <c r="BP36" i="2" l="1"/>
  <c r="DX8" i="2"/>
  <c r="D213" i="6" a="1"/>
  <c r="D213" i="6" s="1"/>
  <c r="C214" i="6"/>
  <c r="C215" i="6" l="1"/>
  <c r="D214" i="6" a="1"/>
  <c r="D214" i="6" s="1"/>
  <c r="BS36" i="2"/>
  <c r="DY8" i="2"/>
  <c r="BV36" i="2" l="1"/>
  <c r="DZ8" i="2"/>
  <c r="C216" i="6"/>
  <c r="D215" i="6" a="1"/>
  <c r="D215" i="6" s="1"/>
  <c r="EA8" i="2" s="1"/>
  <c r="D216" i="6" l="1" a="1"/>
  <c r="D216" i="6" s="1"/>
  <c r="EB8" i="2" s="1"/>
  <c r="C217" i="6"/>
  <c r="D217" i="6" l="1" a="1"/>
  <c r="D217" i="6" s="1"/>
  <c r="EC8" i="2" s="1"/>
  <c r="C218" i="6"/>
  <c r="C219" i="6" l="1"/>
  <c r="D218" i="6" a="1"/>
  <c r="D218" i="6" s="1"/>
  <c r="ED8" i="2" s="1"/>
  <c r="D219" i="6" l="1" a="1"/>
  <c r="D219" i="6" s="1"/>
  <c r="EE8" i="2" s="1"/>
  <c r="C220" i="6"/>
  <c r="D220" i="6" l="1" a="1"/>
  <c r="D220" i="6" s="1"/>
  <c r="EF8" i="2" s="1"/>
  <c r="C221" i="6"/>
  <c r="D221" i="6" l="1" a="1"/>
  <c r="D221" i="6" s="1"/>
  <c r="EG8" i="2" s="1"/>
  <c r="C222" i="6"/>
  <c r="D222" i="6" l="1" a="1"/>
  <c r="D222" i="6" s="1"/>
  <c r="C223" i="6"/>
  <c r="D223" i="6" l="1" a="1"/>
  <c r="D223" i="6" s="1"/>
  <c r="C224" i="6"/>
  <c r="D224" i="6" l="1" a="1"/>
  <c r="D224" i="6" s="1"/>
  <c r="C225" i="6"/>
  <c r="D225" i="6" l="1" a="1"/>
  <c r="D225" i="6" s="1"/>
  <c r="C226" i="6"/>
  <c r="D226" i="6" l="1" a="1"/>
  <c r="D226" i="6" s="1"/>
  <c r="C227" i="6"/>
  <c r="D227" i="6" l="1" a="1"/>
  <c r="D227" i="6" s="1"/>
  <c r="C228" i="6"/>
  <c r="C229" i="6" l="1"/>
  <c r="D228" i="6" a="1"/>
  <c r="D228" i="6" s="1"/>
  <c r="D229" i="6" l="1" a="1"/>
  <c r="D229" i="6" s="1"/>
  <c r="C230" i="6"/>
  <c r="D230" i="6" l="1" a="1"/>
  <c r="D230" i="6" s="1"/>
  <c r="C231" i="6"/>
  <c r="C232" i="6" l="1"/>
  <c r="D231" i="6" a="1"/>
  <c r="D231" i="6" s="1"/>
  <c r="D232" i="6" l="1" a="1"/>
  <c r="D232" i="6" s="1"/>
  <c r="C233" i="6"/>
  <c r="D233" i="6" l="1" a="1"/>
  <c r="D233" i="6" s="1"/>
  <c r="C234" i="6"/>
  <c r="D234" i="6" l="1" a="1"/>
  <c r="D234" i="6" s="1"/>
  <c r="C235" i="6"/>
  <c r="C236" i="6" l="1"/>
  <c r="D235" i="6" a="1"/>
  <c r="D235" i="6" s="1"/>
  <c r="D236" i="6" l="1" a="1"/>
  <c r="D236" i="6" s="1"/>
  <c r="C237" i="6"/>
  <c r="D237" i="6" l="1" a="1"/>
  <c r="D237" i="6" s="1"/>
  <c r="C238" i="6"/>
  <c r="C239" i="6" l="1"/>
  <c r="D238" i="6" a="1"/>
  <c r="D238" i="6" s="1"/>
  <c r="D239" i="6" l="1" a="1"/>
  <c r="D239" i="6" s="1"/>
  <c r="C240" i="6"/>
  <c r="D240" i="6" l="1" a="1"/>
  <c r="D240" i="6" s="1"/>
  <c r="C241" i="6"/>
  <c r="C242" i="6" l="1"/>
  <c r="D241" i="6" a="1"/>
  <c r="D241" i="6" s="1"/>
  <c r="D242" i="6" l="1" a="1"/>
  <c r="D242" i="6" s="1"/>
  <c r="C243" i="6"/>
  <c r="D243" i="6" l="1" a="1"/>
  <c r="D243" i="6" s="1"/>
  <c r="C244" i="6"/>
  <c r="D244" i="6" l="1" a="1"/>
  <c r="D244" i="6" s="1"/>
  <c r="C245" i="6"/>
  <c r="D245" i="6" l="1" a="1"/>
  <c r="D245" i="6" s="1"/>
  <c r="C246" i="6"/>
  <c r="D246" i="6" l="1" a="1"/>
  <c r="D246" i="6" s="1"/>
  <c r="C247" i="6"/>
  <c r="D247" i="6" l="1" a="1"/>
  <c r="D247" i="6" s="1"/>
  <c r="C248" i="6"/>
  <c r="D248" i="6" l="1" a="1"/>
  <c r="D248" i="6" s="1"/>
  <c r="C249" i="6"/>
  <c r="D249" i="6" l="1" a="1"/>
  <c r="D249" i="6" s="1"/>
  <c r="C250" i="6"/>
  <c r="D250" i="6" l="1" a="1"/>
  <c r="D250" i="6" s="1"/>
  <c r="C251" i="6"/>
  <c r="C252" i="6" l="1"/>
  <c r="D251" i="6" a="1"/>
  <c r="D251" i="6" s="1"/>
  <c r="D252" i="6" l="1" a="1"/>
  <c r="D252" i="6" s="1"/>
  <c r="C253" i="6"/>
  <c r="D253" i="6" l="1" a="1"/>
  <c r="D253" i="6" s="1"/>
  <c r="C254" i="6"/>
  <c r="C255" i="6" l="1"/>
  <c r="D254" i="6" a="1"/>
  <c r="D254" i="6" s="1"/>
  <c r="D255" i="6" l="1" a="1"/>
  <c r="D255" i="6" s="1"/>
  <c r="C256" i="6"/>
  <c r="D256" i="6" l="1" a="1"/>
  <c r="D256" i="6" s="1"/>
  <c r="C257" i="6"/>
  <c r="C258" i="6" l="1"/>
  <c r="D257" i="6" a="1"/>
  <c r="D257" i="6" s="1"/>
  <c r="D258" i="6" l="1" a="1"/>
  <c r="D258" i="6" s="1"/>
  <c r="C259" i="6"/>
  <c r="D259" i="6" l="1" a="1"/>
  <c r="D259" i="6" s="1"/>
  <c r="C260" i="6"/>
  <c r="D260" i="6" l="1" a="1"/>
  <c r="D260" i="6" s="1"/>
  <c r="C261" i="6"/>
  <c r="D261" i="6" l="1" a="1"/>
  <c r="D261" i="6" s="1"/>
  <c r="C262" i="6"/>
  <c r="D262" i="6" l="1" a="1"/>
  <c r="D262" i="6" s="1"/>
  <c r="C263" i="6"/>
  <c r="D263" i="6" l="1" a="1"/>
  <c r="D263" i="6" s="1"/>
  <c r="C264" i="6"/>
  <c r="D264" i="6" l="1" a="1"/>
  <c r="D264" i="6" s="1"/>
  <c r="C265" i="6"/>
  <c r="D265" i="6" l="1" a="1"/>
  <c r="D265" i="6" s="1"/>
  <c r="C266" i="6"/>
  <c r="D266" i="6" l="1" a="1"/>
  <c r="D266" i="6" s="1"/>
  <c r="C267" i="6"/>
  <c r="C268" i="6" l="1"/>
  <c r="D267" i="6" a="1"/>
  <c r="D267" i="6" s="1"/>
  <c r="D268" i="6" l="1" a="1"/>
  <c r="D268" i="6" s="1"/>
  <c r="C269" i="6"/>
  <c r="D269" i="6" l="1" a="1"/>
  <c r="D269" i="6" s="1"/>
  <c r="C270" i="6"/>
  <c r="C271" i="6" l="1"/>
  <c r="D270" i="6" a="1"/>
  <c r="D270" i="6" s="1"/>
  <c r="D271" i="6" l="1" a="1"/>
  <c r="D271" i="6" s="1"/>
  <c r="C272" i="6"/>
  <c r="D272" i="6" l="1" a="1"/>
  <c r="D272" i="6" s="1"/>
  <c r="C273" i="6"/>
  <c r="C274" i="6" l="1"/>
  <c r="D273" i="6" a="1"/>
  <c r="D273" i="6" s="1"/>
  <c r="C275" i="6" l="1"/>
  <c r="D274" i="6" a="1"/>
  <c r="D274" i="6" s="1"/>
  <c r="D275" i="6" l="1" a="1"/>
  <c r="D275" i="6" s="1"/>
  <c r="C276" i="6"/>
  <c r="D276" i="6" l="1" a="1"/>
  <c r="D276" i="6" s="1"/>
  <c r="C277" i="6"/>
  <c r="D277" i="6" l="1" a="1"/>
  <c r="D277" i="6" s="1"/>
  <c r="C278" i="6"/>
  <c r="D278" i="6" l="1" a="1"/>
  <c r="D278" i="6" s="1"/>
  <c r="C279" i="6"/>
  <c r="D279" i="6" l="1" a="1"/>
  <c r="D279" i="6" s="1"/>
  <c r="C280" i="6"/>
  <c r="D280" i="6" l="1" a="1"/>
  <c r="D280" i="6" s="1"/>
  <c r="C281" i="6"/>
  <c r="D281" i="6" l="1" a="1"/>
  <c r="D281" i="6" s="1"/>
  <c r="C282" i="6"/>
  <c r="D282" i="6" l="1" a="1"/>
  <c r="D282" i="6" s="1"/>
  <c r="C283" i="6"/>
  <c r="D283" i="6" l="1" a="1"/>
  <c r="D283" i="6" s="1"/>
  <c r="C284" i="6"/>
  <c r="D284" i="6" l="1" a="1"/>
  <c r="D284" i="6" s="1"/>
  <c r="C285" i="6"/>
  <c r="D285" i="6" l="1" a="1"/>
  <c r="D285" i="6" s="1"/>
  <c r="C286" i="6"/>
  <c r="C287" i="6" l="1"/>
  <c r="D286" i="6" a="1"/>
  <c r="D286" i="6" s="1"/>
  <c r="C288" i="6" l="1"/>
  <c r="D287" i="6" a="1"/>
  <c r="D287" i="6" s="1"/>
  <c r="D288" i="6" l="1" a="1"/>
  <c r="D288" i="6" s="1"/>
  <c r="C289" i="6"/>
  <c r="C290" i="6" l="1"/>
  <c r="D289" i="6" a="1"/>
  <c r="D289" i="6" s="1"/>
  <c r="C291" i="6" l="1"/>
  <c r="D290" i="6" a="1"/>
  <c r="D290" i="6" s="1"/>
  <c r="D291" i="6" l="1" a="1"/>
  <c r="D291" i="6" s="1"/>
  <c r="C292" i="6"/>
  <c r="D292" i="6" l="1" a="1"/>
  <c r="D292" i="6" s="1"/>
  <c r="C293" i="6"/>
  <c r="D293" i="6" l="1" a="1"/>
  <c r="D293" i="6" s="1"/>
  <c r="C294" i="6"/>
  <c r="D294" i="6" l="1" a="1"/>
  <c r="D294" i="6" s="1"/>
  <c r="C295" i="6"/>
  <c r="D295" i="6" l="1" a="1"/>
  <c r="D295" i="6" s="1"/>
  <c r="C296" i="6"/>
  <c r="D296" i="6" l="1" a="1"/>
  <c r="D296" i="6" s="1"/>
  <c r="C297" i="6"/>
  <c r="D297" i="6" l="1" a="1"/>
  <c r="D297" i="6" s="1"/>
  <c r="C298" i="6"/>
  <c r="D298" i="6" l="1" a="1"/>
  <c r="D298" i="6" s="1"/>
  <c r="C299" i="6"/>
  <c r="C300" i="6" l="1"/>
  <c r="D299" i="6" a="1"/>
  <c r="D299" i="6" s="1"/>
  <c r="D300" i="6" l="1" a="1"/>
  <c r="D300" i="6" s="1"/>
  <c r="C301" i="6"/>
  <c r="D301" i="6" l="1" a="1"/>
  <c r="D301" i="6" s="1"/>
  <c r="C302" i="6"/>
  <c r="D302" i="6" l="1" a="1"/>
  <c r="D302" i="6" s="1"/>
  <c r="C303" i="6"/>
  <c r="D303" i="6" l="1" a="1"/>
  <c r="D303" i="6" s="1"/>
  <c r="C304" i="6"/>
  <c r="D304" i="6" l="1" a="1"/>
  <c r="D304" i="6" s="1"/>
  <c r="C305" i="6"/>
  <c r="D305" i="6" l="1" a="1"/>
  <c r="D305" i="6" s="1"/>
  <c r="C306" i="6"/>
  <c r="C307" i="6" l="1"/>
  <c r="D306" i="6" a="1"/>
  <c r="D306" i="6" s="1"/>
  <c r="D307" i="6" l="1" a="1"/>
  <c r="D307" i="6" s="1"/>
  <c r="C308" i="6"/>
  <c r="D308" i="6" l="1" a="1"/>
  <c r="D308" i="6" s="1"/>
  <c r="C309" i="6"/>
  <c r="C310" i="6" l="1"/>
  <c r="D309" i="6" a="1"/>
  <c r="D309" i="6" s="1"/>
  <c r="D310" i="6" l="1" a="1"/>
  <c r="D310" i="6" s="1"/>
  <c r="C311" i="6"/>
  <c r="D311" i="6" l="1" a="1"/>
  <c r="D311" i="6" s="1"/>
  <c r="C312" i="6"/>
  <c r="D312" i="6" l="1" a="1"/>
  <c r="D312" i="6" s="1"/>
  <c r="C313" i="6"/>
  <c r="D313" i="6" l="1" a="1"/>
  <c r="D313" i="6" s="1"/>
  <c r="C314" i="6"/>
  <c r="C315" i="6" l="1"/>
  <c r="D314" i="6" a="1"/>
  <c r="D314" i="6" s="1"/>
  <c r="C316" i="6" l="1"/>
  <c r="D315" i="6" a="1"/>
  <c r="D315" i="6" s="1"/>
  <c r="C317" i="6" l="1"/>
  <c r="D316" i="6" a="1"/>
  <c r="D316" i="6" s="1"/>
  <c r="D317" i="6" l="1" a="1"/>
  <c r="D317" i="6" s="1"/>
  <c r="C318" i="6"/>
  <c r="C6" i="6" l="1"/>
  <c r="D6" i="6" s="1" a="1"/>
  <c r="D6" i="6" s="1"/>
  <c r="D318" i="6" a="1"/>
  <c r="D3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1" authorId="0" shapeId="0" xr:uid="{8BD50ABE-9210-421F-8BFF-B8737C55AE3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Original source:
https://www.bankofengland.co.uk/-/media/boe/files/statistics/yield-curves/latest-yield-curve-data.zip?la=en&amp;hash=89B8A093FA97EF7DD79382044E15867840E45204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<sst xmlns="http://schemas.openxmlformats.org/spreadsheetml/2006/main" count="3116" uniqueCount="2840">
  <si>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</si>
  <si>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</si>
  <si>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</si>
  <si>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</si>
  <si>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</si>
  <si>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</si>
  <si>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</si>
  <si>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</si>
  <si>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</si>
  <si>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</si>
  <si>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</si>
  <si>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</si>
  <si>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</si>
  <si>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</si>
  <si>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</si>
  <si>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</si>
  <si>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</si>
  <si>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</si>
  <si>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</si>
  <si>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</si>
  <si>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</si>
  <si>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</si>
  <si>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</si>
  <si>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</si>
  <si>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</si>
  <si>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</si>
  <si>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</si>
  <si>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</si>
  <si>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</si>
  <si>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</si>
  <si>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</si>
  <si>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</si>
  <si>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</si>
  <si>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</si>
  <si>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</si>
  <si>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</si>
  <si>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</si>
  <si>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</si>
  <si>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20190101 !D</t>
  </si>
  <si>
    <t>20190101</t>
  </si>
  <si>
    <t>.DTLM</t>
  </si>
  <si>
    <t>.LSOURCE</t>
  </si>
  <si>
    <t>.TN</t>
  </si>
  <si>
    <t>.T1</t>
  </si>
  <si>
    <t>.DESC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</si>
  <si>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</si>
  <si>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</si>
  <si>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</si>
  <si>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</si>
  <si>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</si>
  <si>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</si>
  <si>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</si>
  <si>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</si>
  <si>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</si>
  <si>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</si>
  <si>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</si>
  <si>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</si>
  <si>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</si>
  <si>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</si>
  <si>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</si>
  <si>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</si>
  <si>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</si>
  <si>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</si>
  <si>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</si>
  <si>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</si>
  <si>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</si>
  <si>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</si>
  <si>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</si>
  <si>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</si>
  <si>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</si>
  <si>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</si>
  <si>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</si>
  <si>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</si>
  <si>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</si>
  <si>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</si>
  <si>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</si>
  <si>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</si>
  <si>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</si>
  <si>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</si>
  <si>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</si>
  <si>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</si>
  <si>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</si>
  <si>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</si>
  <si>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</si>
  <si>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</si>
  <si>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</si>
  <si>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</si>
  <si>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</si>
  <si>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</si>
  <si>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</si>
  <si>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</si>
  <si>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</si>
  <si>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</si>
  <si>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</si>
  <si>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</si>
  <si>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</si>
  <si>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</si>
  <si>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</si>
  <si>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</si>
  <si>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</si>
  <si>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</si>
  <si>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</si>
  <si>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</si>
  <si>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</si>
  <si>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</si>
  <si>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</si>
  <si>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</si>
  <si>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</si>
  <si>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</si>
  <si>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</si>
  <si>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</si>
  <si>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</si>
  <si>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</si>
  <si>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</si>
  <si>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</si>
  <si>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</si>
  <si>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</si>
  <si>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</si>
  <si>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</si>
  <si>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</si>
  <si>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</si>
  <si>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</si>
  <si>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</si>
  <si>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</si>
  <si>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</si>
  <si>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</si>
  <si>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</si>
  <si>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</si>
  <si>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</si>
  <si>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</si>
  <si>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</si>
  <si>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</si>
  <si>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</si>
  <si>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</si>
  <si>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</si>
  <si>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</si>
  <si>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</si>
  <si>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</si>
  <si>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</si>
  <si>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</si>
  <si>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</si>
  <si>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</si>
  <si>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</si>
  <si>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</si>
  <si>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</si>
  <si>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</si>
  <si>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</si>
  <si>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</si>
  <si>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</si>
  <si>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</si>
  <si>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</si>
  <si>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</si>
  <si>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</si>
  <si>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</si>
  <si>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</si>
  <si>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</si>
  <si>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</si>
  <si>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</si>
  <si>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</si>
  <si>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</si>
  <si>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</si>
  <si>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</si>
  <si>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</si>
  <si>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</si>
  <si>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</si>
  <si>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</si>
  <si>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</si>
  <si>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</si>
  <si>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</si>
  <si>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</si>
  <si>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</si>
  <si>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</si>
  <si>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</si>
  <si>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</si>
  <si>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</si>
  <si>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</si>
  <si>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</si>
  <si>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</si>
  <si>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</si>
  <si>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</si>
  <si>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</si>
  <si>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</si>
  <si>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</si>
  <si>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</si>
  <si>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</si>
  <si>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</si>
  <si>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</si>
  <si>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</si>
  <si>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</si>
  <si>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</si>
  <si>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</si>
  <si>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</si>
  <si>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</si>
  <si>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</si>
  <si>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</si>
  <si>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</si>
  <si>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</si>
  <si>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</si>
  <si>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</si>
  <si>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</si>
  <si>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</si>
  <si>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</si>
  <si>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</si>
  <si>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</si>
  <si>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</si>
  <si>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</si>
  <si>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</si>
  <si>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</si>
  <si>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</si>
  <si>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</si>
  <si>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</si>
  <si>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</si>
  <si>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</si>
  <si>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</si>
  <si>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</si>
  <si>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</si>
  <si>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</si>
  <si>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</si>
  <si>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</si>
  <si>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</si>
  <si>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</si>
  <si>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</si>
  <si>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</si>
  <si>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</si>
  <si>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</si>
  <si>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</si>
  <si>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</si>
  <si>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</si>
  <si>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</si>
  <si>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</si>
  <si>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</si>
  <si>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</si>
  <si>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</si>
  <si>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</si>
  <si>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</si>
  <si>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</si>
  <si>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</si>
  <si>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</si>
  <si>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</si>
  <si>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</si>
  <si>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</si>
  <si>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</si>
  <si>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</si>
  <si>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</si>
  <si>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</si>
  <si>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</si>
  <si>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</si>
  <si>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</si>
  <si>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</si>
  <si>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</si>
  <si>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</si>
  <si>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</si>
  <si>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</si>
  <si>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</si>
  <si>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</si>
  <si>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</si>
  <si>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</si>
  <si>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</si>
  <si>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</si>
  <si>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</si>
  <si>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</si>
  <si>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</si>
  <si>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</si>
  <si>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</si>
  <si>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</si>
  <si>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</si>
  <si>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</si>
  <si>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</si>
  <si>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</si>
  <si>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</si>
  <si>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</si>
  <si>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</si>
  <si>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</si>
  <si>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</si>
  <si>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</si>
  <si>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</si>
  <si>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</si>
  <si>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</si>
  <si>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</si>
  <si>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</si>
  <si>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</si>
  <si>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</si>
  <si>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</si>
  <si>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</si>
  <si>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</si>
  <si>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</si>
  <si>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</si>
  <si>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</si>
  <si>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</si>
  <si>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</si>
  <si>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</si>
  <si>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</si>
  <si>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</si>
  <si>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</si>
  <si>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</si>
  <si>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</si>
  <si>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</si>
  <si>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</si>
  <si>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</si>
  <si>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</si>
  <si>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</si>
  <si>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</si>
  <si>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</si>
  <si>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</si>
  <si>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</si>
  <si>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</si>
  <si>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</si>
  <si>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</si>
  <si>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</si>
  <si>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</si>
  <si>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</si>
  <si>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</si>
  <si>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</si>
  <si>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</si>
  <si>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</si>
  <si>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</si>
  <si>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</si>
  <si>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</si>
  <si>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</si>
  <si>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</si>
  <si>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</si>
  <si>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</si>
  <si>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</si>
  <si>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</si>
  <si>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</si>
  <si>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</si>
  <si>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</si>
  <si>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</si>
  <si>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</si>
  <si>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</si>
  <si>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</si>
  <si>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</si>
  <si>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</si>
  <si>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</si>
  <si>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</si>
  <si>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</si>
  <si>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</si>
  <si>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</si>
  <si>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</si>
  <si>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</si>
  <si>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</si>
  <si>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</si>
  <si>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</si>
  <si>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</si>
  <si>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</si>
  <si>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</si>
  <si>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</si>
  <si>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</si>
  <si>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</si>
  <si>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</si>
  <si>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</si>
  <si>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</si>
  <si>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</si>
  <si>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</si>
  <si>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</si>
  <si>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</si>
  <si>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</si>
  <si>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</si>
  <si>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</si>
  <si>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</si>
  <si>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</si>
  <si>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</si>
  <si>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</si>
  <si>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</si>
  <si>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</si>
  <si>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</si>
  <si>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</si>
  <si>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</si>
  <si>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</si>
  <si>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</si>
  <si>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</si>
  <si>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</si>
  <si>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</si>
  <si>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</si>
  <si>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</si>
  <si>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</si>
  <si>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</si>
  <si>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</si>
  <si>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</si>
  <si>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</si>
  <si>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</si>
  <si>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</si>
  <si>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</si>
  <si>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</si>
  <si>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</si>
  <si>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</si>
  <si>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</si>
  <si>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</si>
  <si>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</si>
  <si>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</si>
  <si>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</si>
  <si>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</si>
  <si>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</si>
  <si>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</si>
  <si>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</si>
  <si>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</si>
  <si>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</si>
  <si>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</si>
  <si>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</si>
  <si>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</si>
  <si>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</si>
  <si>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</si>
  <si>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</si>
  <si>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</si>
  <si>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</si>
  <si>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</si>
  <si>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</si>
  <si>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</si>
  <si>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</si>
  <si>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</si>
  <si>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</si>
  <si>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</si>
  <si>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</si>
  <si>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</si>
  <si>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</si>
  <si>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</si>
  <si>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</si>
  <si>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</si>
  <si>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</si>
  <si>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</si>
  <si>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</si>
  <si>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</si>
  <si>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</si>
  <si>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</si>
  <si>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</si>
  <si>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</si>
  <si>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</si>
  <si>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</si>
  <si>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</si>
  <si>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</si>
  <si>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</si>
  <si>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</si>
  <si>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</si>
  <si>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</si>
  <si>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</si>
  <si>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</si>
  <si>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</si>
  <si>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</si>
  <si>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</si>
  <si>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</si>
  <si>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</si>
  <si>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</si>
  <si>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</si>
  <si>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</si>
  <si>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</si>
  <si>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</si>
  <si>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</si>
  <si>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</si>
  <si>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</si>
  <si>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</si>
  <si>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</si>
  <si>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</si>
  <si>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</si>
  <si>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</si>
  <si>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</si>
  <si>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</si>
  <si>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</si>
  <si>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</si>
  <si>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</si>
  <si>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</si>
  <si>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</si>
  <si>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</si>
  <si>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</si>
  <si>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</si>
  <si>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</si>
  <si>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</si>
  <si>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</si>
  <si>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</si>
  <si>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</si>
  <si>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</si>
  <si>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</si>
  <si>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</si>
  <si>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</si>
  <si>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</si>
  <si>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</si>
  <si>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</si>
  <si>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</si>
  <si>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</si>
  <si>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</si>
  <si>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</si>
  <si>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</si>
  <si>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</si>
  <si>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</si>
  <si>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</si>
  <si>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</si>
  <si>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</si>
  <si>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</si>
  <si>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</si>
  <si>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</si>
  <si>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</si>
  <si>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</si>
  <si>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</si>
  <si>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</si>
  <si>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</si>
  <si>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</si>
  <si>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</si>
  <si>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</si>
  <si>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</si>
  <si>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</si>
  <si>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</si>
  <si>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</si>
  <si>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</si>
  <si>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</si>
  <si>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</si>
  <si>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</si>
  <si>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</si>
  <si>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</si>
  <si>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</si>
  <si>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</si>
  <si>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</si>
  <si>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</si>
  <si>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</si>
  <si>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</si>
  <si>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</si>
  <si>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</si>
  <si>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</si>
  <si>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</si>
  <si>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</si>
  <si>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</si>
  <si>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</si>
  <si>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</si>
  <si>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</si>
  <si>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</si>
  <si>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</si>
  <si>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</si>
  <si>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</si>
  <si>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</si>
  <si>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</si>
  <si>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</si>
  <si>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</si>
  <si>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</si>
  <si>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</si>
  <si>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</si>
  <si>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</si>
  <si>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</si>
  <si>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</si>
  <si>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</si>
  <si>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</si>
  <si>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</si>
  <si>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</si>
  <si>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</si>
  <si>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</si>
  <si>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</si>
  <si>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</si>
  <si>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</si>
  <si>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</si>
  <si>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</si>
  <si>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</si>
  <si>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</si>
  <si>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</si>
  <si>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</si>
  <si>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</si>
  <si>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</si>
  <si>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</si>
  <si>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</si>
  <si>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</si>
  <si>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</si>
  <si>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</si>
  <si>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</si>
  <si>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</si>
  <si>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</si>
  <si>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</si>
  <si>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</si>
  <si>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</si>
  <si>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</si>
  <si>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</si>
  <si>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</si>
  <si>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</si>
  <si>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</si>
  <si>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</si>
  <si>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</si>
  <si>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</si>
  <si>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</si>
  <si>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</si>
  <si>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</si>
  <si>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</si>
  <si>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</si>
  <si>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</si>
  <si>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</si>
  <si>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</si>
  <si>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</si>
  <si>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</si>
  <si>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</si>
  <si>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</si>
  <si>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</si>
  <si>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</si>
  <si>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</si>
  <si>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</si>
  <si>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</si>
  <si>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</si>
  <si>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</si>
  <si>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</si>
  <si>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</si>
  <si>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</si>
  <si>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</si>
  <si>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</si>
  <si>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</si>
  <si>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</si>
  <si>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</si>
  <si>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</si>
  <si>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</si>
  <si>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</si>
  <si>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</si>
  <si>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</si>
  <si>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</si>
  <si>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</si>
  <si>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</si>
  <si>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</si>
  <si>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</si>
  <si>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</si>
  <si>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</si>
  <si>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</si>
  <si>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</si>
  <si>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</si>
  <si>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</si>
  <si>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</si>
  <si>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</si>
  <si>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</si>
  <si>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</si>
  <si>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</si>
  <si>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</si>
  <si>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</si>
  <si>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</si>
  <si>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</si>
  <si>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</si>
  <si>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</si>
  <si>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</si>
  <si>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</si>
  <si>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</si>
  <si>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</si>
  <si>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</si>
  <si>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</si>
  <si>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</si>
  <si>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</si>
  <si>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</si>
  <si>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</si>
  <si>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</si>
  <si>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</si>
  <si>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</si>
  <si>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</si>
  <si>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</si>
  <si>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</si>
  <si>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</si>
  <si>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</si>
  <si>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</si>
  <si>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</si>
  <si>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</si>
  <si>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</si>
  <si>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</si>
  <si>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</si>
  <si>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</si>
  <si>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</si>
  <si>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</si>
  <si>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</si>
  <si>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</si>
  <si>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</si>
  <si>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</si>
  <si>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</si>
  <si>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</si>
  <si>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</si>
  <si>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</si>
  <si>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</si>
  <si>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</si>
  <si>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</si>
  <si>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</si>
  <si>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</si>
  <si>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</si>
  <si>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</si>
  <si>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</si>
  <si>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</si>
  <si>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</si>
  <si>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</si>
  <si>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</si>
  <si>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</si>
  <si>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</si>
  <si>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</si>
  <si>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</si>
  <si>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</si>
  <si>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</si>
  <si>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</si>
  <si>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</si>
  <si>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</si>
  <si>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</si>
  <si>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</si>
  <si>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</si>
  <si>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</si>
  <si>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</si>
  <si>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</si>
  <si>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</si>
  <si>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</si>
  <si>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</si>
  <si>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</si>
  <si>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</si>
  <si>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</si>
  <si>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</si>
  <si>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</si>
  <si>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</si>
  <si>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</si>
  <si>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</si>
  <si>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</si>
  <si>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</si>
  <si>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</si>
  <si>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</si>
  <si>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</si>
  <si>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</si>
  <si>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</si>
  <si>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</si>
  <si>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</si>
  <si>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</si>
  <si>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</si>
  <si>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</si>
  <si>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</si>
  <si>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</si>
  <si>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</si>
  <si>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</si>
  <si>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</si>
  <si>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</si>
  <si>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</si>
  <si>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</si>
  <si>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</si>
  <si>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</si>
  <si>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</si>
  <si>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</si>
  <si>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</si>
  <si>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</si>
  <si>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</si>
  <si>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</si>
  <si>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</si>
  <si>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</si>
  <si>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</si>
  <si>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</si>
  <si>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</si>
  <si>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</si>
  <si>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</si>
  <si>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</si>
  <si>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</si>
  <si>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</si>
  <si>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</si>
  <si>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</si>
  <si>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</si>
  <si>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</si>
  <si>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</si>
  <si>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</si>
  <si>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</si>
  <si>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</si>
  <si>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</si>
  <si>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</si>
  <si>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</si>
  <si>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</si>
  <si>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</si>
  <si>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</si>
  <si>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</si>
  <si>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</si>
  <si>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</si>
  <si>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</si>
  <si>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</si>
  <si>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</si>
  <si>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</si>
  <si>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</si>
  <si>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</si>
  <si>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</si>
  <si>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</si>
  <si>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</si>
  <si>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</si>
  <si>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</si>
  <si>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</si>
  <si>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</si>
  <si>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</si>
  <si>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</si>
  <si>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</si>
  <si>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</si>
  <si>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</si>
  <si>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</si>
  <si>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</si>
  <si>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</si>
  <si>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</si>
  <si>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</si>
  <si>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</si>
  <si>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</si>
  <si>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</si>
  <si>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</si>
  <si>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</si>
  <si>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</si>
  <si>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</si>
  <si>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</si>
  <si>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</si>
  <si>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</si>
  <si>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</si>
  <si>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</si>
  <si>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</si>
  <si>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</si>
  <si>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</si>
  <si>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</si>
  <si>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</si>
  <si>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</si>
  <si>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</si>
  <si>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</si>
  <si>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</si>
  <si>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</si>
  <si>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</si>
  <si>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</si>
  <si>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</si>
  <si>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</si>
  <si>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</si>
  <si>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</si>
  <si>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</si>
  <si>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</si>
  <si>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</si>
  <si>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</si>
  <si>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</si>
  <si>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</si>
  <si>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</si>
  <si>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</si>
  <si>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</si>
  <si>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</si>
  <si>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</si>
  <si>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</si>
  <si>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</si>
  <si>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</si>
  <si>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</si>
  <si>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</si>
  <si>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</si>
  <si>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</si>
  <si>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</si>
  <si>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</si>
  <si>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</si>
  <si>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</si>
  <si>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</si>
  <si>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</si>
  <si>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</si>
  <si>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</si>
  <si>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</si>
  <si>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</si>
  <si>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</si>
  <si>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</si>
  <si>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</si>
  <si>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</si>
  <si>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</si>
  <si>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</si>
  <si>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Bank Rate</t>
  </si>
  <si>
    <t>OE forecast</t>
  </si>
  <si>
    <t>Column #</t>
  </si>
  <si>
    <t>Months</t>
  </si>
  <si>
    <t>Days</t>
  </si>
  <si>
    <t>Overnight</t>
  </si>
  <si>
    <t>Location</t>
  </si>
  <si>
    <t>Indicator</t>
  </si>
  <si>
    <t>Scenario</t>
  </si>
  <si>
    <t>Units</t>
  </si>
  <si>
    <t>Scale</t>
  </si>
  <si>
    <t>Measurement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</si>
  <si>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</si>
  <si>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</si>
  <si>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</si>
  <si>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</si>
  <si>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</si>
  <si>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</si>
  <si>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</si>
  <si>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</si>
  <si>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</si>
  <si>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</si>
  <si>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</si>
  <si>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</si>
  <si>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</si>
  <si>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Interest rate, central bank policy, end of period</t>
  </si>
  <si>
    <t>%</t>
  </si>
  <si>
    <t>NA</t>
  </si>
  <si>
    <t>Level</t>
  </si>
  <si>
    <t>Bank of England \Haver Analytics</t>
  </si>
  <si>
    <t>False</t>
  </si>
  <si>
    <t>agg(R112RD@INTDAILY,EOP)</t>
  </si>
  <si>
    <t>United Kingdom: Official Bank Rate (%) ,EOP</t>
  </si>
  <si>
    <t>GBR</t>
  </si>
  <si>
    <t>RCBEOP</t>
  </si>
  <si>
    <t>Desktop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</si>
  <si>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</si>
  <si>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</si>
  <si>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</si>
  <si>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</si>
  <si>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</si>
  <si>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</si>
  <si>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</si>
  <si>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</si>
  <si>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</si>
  <si>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</si>
  <si>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</si>
  <si>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</si>
  <si>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</si>
  <si>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</si>
  <si>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</si>
  <si>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</si>
  <si>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</si>
  <si>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</si>
  <si>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</si>
  <si>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</si>
  <si>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</si>
  <si>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</si>
  <si>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</si>
  <si>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</si>
  <si>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</si>
  <si>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</si>
  <si>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</si>
  <si>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</si>
  <si>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</si>
  <si>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</si>
  <si>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</si>
  <si>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</si>
  <si>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</si>
  <si>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</si>
  <si>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</si>
  <si>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</si>
  <si>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</si>
  <si>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</si>
  <si>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</si>
  <si>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</si>
  <si>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</si>
  <si>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</si>
  <si>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</si>
  <si>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</si>
  <si>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</si>
  <si>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</si>
  <si>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</si>
  <si>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</si>
  <si>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</si>
  <si>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</si>
  <si>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</si>
  <si>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</si>
  <si>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</si>
  <si>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</si>
  <si>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</si>
  <si>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</si>
  <si>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</si>
  <si>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</si>
  <si>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</si>
  <si>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</si>
  <si>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</si>
  <si>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</si>
  <si>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</si>
  <si>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</si>
  <si>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</si>
  <si>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</si>
  <si>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</si>
  <si>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</si>
  <si>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</si>
  <si>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</si>
  <si>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</si>
  <si>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</si>
  <si>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</si>
  <si>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</si>
  <si>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</si>
  <si>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</si>
  <si>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</si>
  <si>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</si>
  <si>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</si>
  <si>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</si>
  <si>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</si>
  <si>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</si>
  <si>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</si>
  <si>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</si>
  <si>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</si>
  <si>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</si>
  <si>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</si>
  <si>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</si>
  <si>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</si>
  <si>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</si>
  <si>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</si>
  <si>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</si>
  <si>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</si>
  <si>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</si>
  <si>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</si>
  <si>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</si>
  <si>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</si>
  <si>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</si>
  <si>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</si>
  <si>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</si>
  <si>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</si>
  <si>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</si>
  <si>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</si>
  <si>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</si>
  <si>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</si>
  <si>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</si>
  <si>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</si>
  <si>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</si>
  <si>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</si>
  <si>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</si>
  <si>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</si>
  <si>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</si>
  <si>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</si>
  <si>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</si>
  <si>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</si>
  <si>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</si>
  <si>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</si>
  <si>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</si>
  <si>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</si>
  <si>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</si>
  <si>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</si>
  <si>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</si>
  <si>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</si>
  <si>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</si>
  <si>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</si>
  <si>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</si>
  <si>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</si>
  <si>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</si>
  <si>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</si>
  <si>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</si>
  <si>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</si>
  <si>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</si>
  <si>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</si>
  <si>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</si>
  <si>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</si>
  <si>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</si>
  <si>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</si>
  <si>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</si>
  <si>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</si>
  <si>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</si>
  <si>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</si>
  <si>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</si>
  <si>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</si>
  <si>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</si>
  <si>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</si>
  <si>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</si>
  <si>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</si>
  <si>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</si>
  <si>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</si>
  <si>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</si>
  <si>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</si>
  <si>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</si>
  <si>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</si>
  <si>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</si>
  <si>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</si>
  <si>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</si>
  <si>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</si>
  <si>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</si>
  <si>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</si>
  <si>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</si>
  <si>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</si>
  <si>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</si>
  <si>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</si>
  <si>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</si>
  <si>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</si>
  <si>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</si>
  <si>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</si>
  <si>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</si>
  <si>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</si>
  <si>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</si>
  <si>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</si>
  <si>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</si>
  <si>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</si>
  <si>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</si>
  <si>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</si>
  <si>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</si>
  <si>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</si>
  <si>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</si>
  <si>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</si>
  <si>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</si>
  <si>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</si>
  <si>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</si>
  <si>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</si>
  <si>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</si>
  <si>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</si>
  <si>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</si>
  <si>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</si>
  <si>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</si>
  <si>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</si>
  <si>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</si>
  <si>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</si>
  <si>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</si>
  <si>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</si>
  <si>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</si>
  <si>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</si>
  <si>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</si>
  <si>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</si>
  <si>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</si>
  <si>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</si>
  <si>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</si>
  <si>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</si>
  <si>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</si>
  <si>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</si>
  <si>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</si>
  <si>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</si>
  <si>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</si>
  <si>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</si>
  <si>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</si>
  <si>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</si>
  <si>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</si>
  <si>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</si>
  <si>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</si>
  <si>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</si>
  <si>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</si>
  <si>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</si>
  <si>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</si>
  <si>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</si>
  <si>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</si>
  <si>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</si>
  <si>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</si>
  <si>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</si>
  <si>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</si>
  <si>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</si>
  <si>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</si>
  <si>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</si>
  <si>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</si>
  <si>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</si>
  <si>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</si>
  <si>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</si>
  <si>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</si>
  <si>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</si>
  <si>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</si>
  <si>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</si>
  <si>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</si>
  <si>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</si>
  <si>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</si>
  <si>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</si>
  <si>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</si>
  <si>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</si>
  <si>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</si>
  <si>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</si>
  <si>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</si>
  <si>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</si>
  <si>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</si>
  <si>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</si>
  <si>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</si>
  <si>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</si>
  <si>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</si>
  <si>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</si>
  <si>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</si>
  <si>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</si>
  <si>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</si>
  <si>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</si>
  <si>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</si>
  <si>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</si>
  <si>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</si>
  <si>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</si>
  <si>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</si>
  <si>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</si>
  <si>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</si>
  <si>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</si>
  <si>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</si>
  <si>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</si>
  <si>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</si>
  <si>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</si>
  <si>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</si>
  <si>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</si>
  <si>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</si>
  <si>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</si>
  <si>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</si>
  <si>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</si>
  <si>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</si>
  <si>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</si>
  <si>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</si>
  <si>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</si>
  <si>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</si>
  <si>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</si>
  <si>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</si>
  <si>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</si>
  <si>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</si>
  <si>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</si>
  <si>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</si>
  <si>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</si>
  <si>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</si>
  <si>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</si>
  <si>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</si>
  <si>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</si>
  <si>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</si>
  <si>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</si>
  <si>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</si>
  <si>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</si>
  <si>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</si>
  <si>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</si>
  <si>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</si>
  <si>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</si>
  <si>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</si>
  <si>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</si>
  <si>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</si>
  <si>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</si>
  <si>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</si>
  <si>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</si>
  <si>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</si>
  <si>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</si>
  <si>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</si>
  <si>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</si>
  <si>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</si>
  <si>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</si>
  <si>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</si>
  <si>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</si>
  <si>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</si>
  <si>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</si>
  <si>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</si>
  <si>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L</t>
  </si>
  <si>
    <t>UK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</si>
  <si>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</si>
  <si>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</si>
  <si>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</si>
  <si>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</si>
  <si>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</si>
  <si>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</si>
  <si>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</si>
  <si>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</si>
  <si>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</si>
  <si>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</si>
  <si>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</si>
  <si>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</si>
  <si>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</si>
  <si>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</si>
  <si>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</si>
  <si>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</si>
  <si>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</si>
  <si>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</si>
  <si>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</si>
  <si>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</si>
  <si>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</si>
  <si>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</si>
  <si>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</si>
  <si>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</si>
  <si>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</si>
  <si>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</si>
  <si>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</si>
  <si>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</si>
  <si>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</si>
  <si>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</si>
  <si>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</si>
  <si>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</si>
  <si>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</si>
  <si>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</si>
  <si>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</si>
  <si>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</si>
  <si>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</si>
  <si>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</si>
  <si>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</si>
  <si>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</si>
  <si>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</si>
  <si>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</si>
  <si>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</si>
  <si>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</si>
  <si>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</si>
  <si>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</si>
  <si>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</si>
  <si>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</si>
  <si>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</si>
  <si>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</si>
  <si>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</si>
  <si>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</si>
  <si>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</si>
  <si>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</si>
  <si>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</si>
  <si>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</si>
  <si>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</si>
  <si>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</si>
  <si>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</si>
  <si>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</si>
  <si>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</si>
  <si>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</si>
  <si>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</si>
  <si>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</si>
  <si>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</si>
  <si>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</si>
  <si>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</si>
  <si>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</si>
  <si>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</si>
  <si>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</si>
  <si>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</si>
  <si>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</si>
  <si>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</si>
  <si>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</si>
  <si>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</si>
  <si>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</si>
  <si>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</si>
  <si>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</si>
  <si>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</si>
  <si>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</si>
  <si>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</si>
  <si>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</si>
  <si>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</si>
  <si>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</si>
  <si>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</si>
  <si>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</si>
  <si>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</si>
  <si>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</si>
  <si>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</si>
  <si>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</si>
  <si>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</si>
  <si>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</si>
  <si>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</si>
  <si>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</si>
  <si>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</si>
  <si>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</si>
  <si>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</si>
  <si>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</si>
  <si>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</si>
  <si>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</si>
  <si>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</si>
  <si>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</si>
  <si>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</si>
  <si>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</si>
  <si>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</si>
  <si>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</si>
  <si>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</si>
  <si>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</si>
  <si>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</si>
  <si>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</si>
  <si>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</si>
  <si>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</si>
  <si>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</si>
  <si>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</si>
  <si>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</si>
  <si>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</si>
  <si>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</si>
  <si>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</si>
  <si>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</si>
  <si>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</si>
  <si>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</si>
  <si>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</si>
  <si>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</si>
  <si>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</si>
  <si>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</si>
  <si>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</si>
  <si>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</si>
  <si>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</si>
  <si>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</si>
  <si>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</si>
  <si>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</si>
  <si>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</si>
  <si>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</si>
  <si>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</si>
  <si>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</si>
  <si>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</si>
  <si>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</si>
  <si>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</si>
  <si>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</si>
  <si>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</si>
  <si>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</si>
  <si>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</si>
  <si>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</si>
  <si>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</si>
  <si>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</si>
  <si>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</si>
  <si>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</si>
  <si>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</si>
  <si>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</si>
  <si>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</si>
  <si>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</si>
  <si>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</si>
  <si>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</si>
  <si>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</si>
  <si>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</si>
  <si>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</si>
  <si>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</si>
  <si>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</si>
  <si>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</si>
  <si>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</si>
  <si>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</si>
  <si>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</si>
  <si>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</si>
  <si>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</si>
  <si>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</si>
  <si>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</si>
  <si>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</si>
  <si>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</si>
  <si>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</si>
  <si>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</si>
  <si>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</si>
  <si>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</si>
  <si>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</si>
  <si>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</si>
  <si>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</si>
  <si>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</si>
  <si>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</si>
  <si>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</si>
  <si>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</si>
  <si>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</si>
  <si>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</si>
  <si>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</si>
  <si>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</si>
  <si>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</si>
  <si>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</si>
  <si>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</si>
  <si>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</si>
  <si>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</si>
  <si>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</si>
  <si>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</si>
  <si>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</si>
  <si>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</si>
  <si>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</si>
  <si>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</si>
  <si>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</si>
  <si>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</si>
  <si>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</si>
  <si>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</si>
  <si>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</si>
  <si>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</si>
  <si>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</si>
  <si>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</si>
  <si>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</si>
  <si>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</si>
  <si>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</si>
  <si>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</si>
  <si>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</si>
  <si>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</si>
  <si>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</si>
  <si>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</si>
  <si>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</si>
  <si>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</si>
  <si>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</si>
  <si>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</si>
  <si>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</si>
  <si>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</si>
  <si>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</si>
  <si>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</si>
  <si>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</si>
  <si>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</si>
  <si>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</si>
  <si>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</si>
  <si>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</si>
  <si>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</si>
  <si>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</si>
  <si>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</si>
  <si>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</si>
  <si>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</si>
  <si>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</si>
  <si>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</si>
  <si>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</si>
  <si>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</si>
  <si>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</si>
  <si>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</si>
  <si>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</si>
  <si>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</si>
  <si>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</si>
  <si>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</si>
  <si>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</si>
  <si>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</si>
  <si>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</si>
  <si>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</si>
  <si>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</si>
  <si>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</si>
  <si>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</si>
  <si>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</si>
  <si>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</si>
  <si>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</si>
  <si>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</si>
  <si>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</si>
  <si>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</si>
  <si>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</si>
  <si>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</si>
  <si>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</si>
  <si>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</si>
  <si>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</si>
  <si>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</si>
  <si>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</si>
  <si>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</si>
  <si>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</si>
  <si>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</si>
  <si>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</si>
  <si>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</si>
  <si>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</si>
  <si>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</si>
  <si>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</si>
  <si>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</si>
  <si>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</si>
  <si>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</si>
  <si>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</si>
  <si>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</si>
  <si>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</si>
  <si>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</si>
  <si>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</si>
  <si>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</si>
  <si>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</si>
  <si>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</si>
  <si>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</si>
  <si>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</si>
  <si>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</si>
  <si>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</si>
  <si>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</si>
  <si>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</si>
  <si>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</si>
  <si>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</si>
  <si>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</si>
  <si>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</si>
  <si>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</si>
  <si>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</si>
  <si>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</si>
  <si>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</si>
  <si>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</si>
  <si>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</si>
  <si>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</si>
  <si>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</si>
  <si>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</si>
  <si>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</si>
  <si>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</si>
  <si>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195101 !M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</si>
  <si>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</si>
  <si>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</si>
  <si>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</si>
  <si>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</si>
  <si>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</si>
  <si>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</si>
  <si>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</si>
  <si>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</si>
  <si>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</si>
  <si>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</si>
  <si>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</si>
  <si>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</si>
  <si>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</si>
  <si>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</si>
  <si>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</si>
  <si>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</si>
  <si>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</si>
  <si>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</si>
  <si>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</si>
  <si>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</si>
  <si>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</si>
  <si>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</si>
  <si>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</si>
  <si>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</si>
  <si>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</si>
  <si>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</si>
  <si>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</si>
  <si>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</si>
  <si>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</si>
  <si>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</si>
  <si>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</si>
  <si>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</si>
  <si>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</si>
  <si>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</si>
  <si>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</si>
  <si>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</si>
  <si>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</si>
  <si>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</si>
  <si>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</si>
  <si>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</si>
  <si>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</si>
  <si>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</si>
  <si>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</si>
  <si>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</si>
  <si>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</si>
  <si>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</si>
  <si>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</si>
  <si>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</si>
  <si>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</si>
  <si>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</si>
  <si>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</si>
  <si>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</si>
  <si>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</si>
  <si>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</si>
  <si>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</si>
  <si>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</si>
  <si>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</si>
  <si>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</si>
  <si>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</si>
  <si>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</si>
  <si>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195601</t>
  </si>
  <si>
    <t>195602</t>
  </si>
  <si>
    <t>195603</t>
  </si>
  <si>
    <t>195604</t>
  </si>
  <si>
    <t>195605</t>
  </si>
  <si>
    <t>195606</t>
  </si>
  <si>
    <t>195607</t>
  </si>
  <si>
    <t>195608</t>
  </si>
  <si>
    <t>195609</t>
  </si>
  <si>
    <t>195610</t>
  </si>
  <si>
    <t>195611</t>
  </si>
  <si>
    <t>195612</t>
  </si>
  <si>
    <t>195701</t>
  </si>
  <si>
    <t>195702</t>
  </si>
  <si>
    <t>195703</t>
  </si>
  <si>
    <t>195704</t>
  </si>
  <si>
    <t>195705</t>
  </si>
  <si>
    <t>195706</t>
  </si>
  <si>
    <t>195707</t>
  </si>
  <si>
    <t>195708</t>
  </si>
  <si>
    <t>195709</t>
  </si>
  <si>
    <t>195710</t>
  </si>
  <si>
    <t>195711</t>
  </si>
  <si>
    <t>195712</t>
  </si>
  <si>
    <t>195801</t>
  </si>
  <si>
    <t>195802</t>
  </si>
  <si>
    <t>195803</t>
  </si>
  <si>
    <t>195804</t>
  </si>
  <si>
    <t>195805</t>
  </si>
  <si>
    <t>195806</t>
  </si>
  <si>
    <t>195807</t>
  </si>
  <si>
    <t>195808</t>
  </si>
  <si>
    <t>195809</t>
  </si>
  <si>
    <t>195810</t>
  </si>
  <si>
    <t>195811</t>
  </si>
  <si>
    <t>195812</t>
  </si>
  <si>
    <t>195901</t>
  </si>
  <si>
    <t>195902</t>
  </si>
  <si>
    <t>195903</t>
  </si>
  <si>
    <t>195904</t>
  </si>
  <si>
    <t>195905</t>
  </si>
  <si>
    <t>195906</t>
  </si>
  <si>
    <t>195907</t>
  </si>
  <si>
    <t>195908</t>
  </si>
  <si>
    <t>195909</t>
  </si>
  <si>
    <t>195910</t>
  </si>
  <si>
    <t>195911</t>
  </si>
  <si>
    <t>195912</t>
  </si>
  <si>
    <t>196001</t>
  </si>
  <si>
    <t>196002</t>
  </si>
  <si>
    <t>196003</t>
  </si>
  <si>
    <t>196004</t>
  </si>
  <si>
    <t>196005</t>
  </si>
  <si>
    <t>196006</t>
  </si>
  <si>
    <t>196007</t>
  </si>
  <si>
    <t>196008</t>
  </si>
  <si>
    <t>196009</t>
  </si>
  <si>
    <t>196010</t>
  </si>
  <si>
    <t>196011</t>
  </si>
  <si>
    <t>196012</t>
  </si>
  <si>
    <t>196101</t>
  </si>
  <si>
    <t>196102</t>
  </si>
  <si>
    <t>196103</t>
  </si>
  <si>
    <t>196104</t>
  </si>
  <si>
    <t>196105</t>
  </si>
  <si>
    <t>196106</t>
  </si>
  <si>
    <t>196107</t>
  </si>
  <si>
    <t>196108</t>
  </si>
  <si>
    <t>196109</t>
  </si>
  <si>
    <t>196110</t>
  </si>
  <si>
    <t>196111</t>
  </si>
  <si>
    <t>196112</t>
  </si>
  <si>
    <t>196201</t>
  </si>
  <si>
    <t>196202</t>
  </si>
  <si>
    <t>196203</t>
  </si>
  <si>
    <t>196204</t>
  </si>
  <si>
    <t>196205</t>
  </si>
  <si>
    <t>196206</t>
  </si>
  <si>
    <t>196207</t>
  </si>
  <si>
    <t>196208</t>
  </si>
  <si>
    <t>196209</t>
  </si>
  <si>
    <t>196210</t>
  </si>
  <si>
    <t>196211</t>
  </si>
  <si>
    <t>196212</t>
  </si>
  <si>
    <t>196301</t>
  </si>
  <si>
    <t>196302</t>
  </si>
  <si>
    <t>196303</t>
  </si>
  <si>
    <t>196304</t>
  </si>
  <si>
    <t>196305</t>
  </si>
  <si>
    <t>196306</t>
  </si>
  <si>
    <t>196307</t>
  </si>
  <si>
    <t>196308</t>
  </si>
  <si>
    <t>196309</t>
  </si>
  <si>
    <t>196310</t>
  </si>
  <si>
    <t>196311</t>
  </si>
  <si>
    <t>196312</t>
  </si>
  <si>
    <t>196401</t>
  </si>
  <si>
    <t>196402</t>
  </si>
  <si>
    <t>196403</t>
  </si>
  <si>
    <t>196404</t>
  </si>
  <si>
    <t>196405</t>
  </si>
  <si>
    <t>196406</t>
  </si>
  <si>
    <t>196407</t>
  </si>
  <si>
    <t>196408</t>
  </si>
  <si>
    <t>196409</t>
  </si>
  <si>
    <t>196410</t>
  </si>
  <si>
    <t>196411</t>
  </si>
  <si>
    <t>196412</t>
  </si>
  <si>
    <t>196501</t>
  </si>
  <si>
    <t>196502</t>
  </si>
  <si>
    <t>196503</t>
  </si>
  <si>
    <t>196504</t>
  </si>
  <si>
    <t>196505</t>
  </si>
  <si>
    <t>196506</t>
  </si>
  <si>
    <t>196507</t>
  </si>
  <si>
    <t>196508</t>
  </si>
  <si>
    <t>196509</t>
  </si>
  <si>
    <t>196510</t>
  </si>
  <si>
    <t>196511</t>
  </si>
  <si>
    <t>196512</t>
  </si>
  <si>
    <t>196601</t>
  </si>
  <si>
    <t>196602</t>
  </si>
  <si>
    <t>196603</t>
  </si>
  <si>
    <t>196604</t>
  </si>
  <si>
    <t>196605</t>
  </si>
  <si>
    <t>196606</t>
  </si>
  <si>
    <t>196607</t>
  </si>
  <si>
    <t>196608</t>
  </si>
  <si>
    <t>196609</t>
  </si>
  <si>
    <t>196610</t>
  </si>
  <si>
    <t>196611</t>
  </si>
  <si>
    <t>196612</t>
  </si>
  <si>
    <t>196701</t>
  </si>
  <si>
    <t>196702</t>
  </si>
  <si>
    <t>196703</t>
  </si>
  <si>
    <t>196704</t>
  </si>
  <si>
    <t>196705</t>
  </si>
  <si>
    <t>196706</t>
  </si>
  <si>
    <t>196707</t>
  </si>
  <si>
    <t>196708</t>
  </si>
  <si>
    <t>196709</t>
  </si>
  <si>
    <t>196710</t>
  </si>
  <si>
    <t>196711</t>
  </si>
  <si>
    <t>196712</t>
  </si>
  <si>
    <t>196801</t>
  </si>
  <si>
    <t>196802</t>
  </si>
  <si>
    <t>196803</t>
  </si>
  <si>
    <t>196804</t>
  </si>
  <si>
    <t>196805</t>
  </si>
  <si>
    <t>196806</t>
  </si>
  <si>
    <t>196807</t>
  </si>
  <si>
    <t>196808</t>
  </si>
  <si>
    <t>196809</t>
  </si>
  <si>
    <t>196810</t>
  </si>
  <si>
    <t>196811</t>
  </si>
  <si>
    <t>196812</t>
  </si>
  <si>
    <t>196901</t>
  </si>
  <si>
    <t>196902</t>
  </si>
  <si>
    <t>196903</t>
  </si>
  <si>
    <t>196904</t>
  </si>
  <si>
    <t>196905</t>
  </si>
  <si>
    <t>196906</t>
  </si>
  <si>
    <t>196907</t>
  </si>
  <si>
    <t>196908</t>
  </si>
  <si>
    <t>196909</t>
  </si>
  <si>
    <t>196910</t>
  </si>
  <si>
    <t>196911</t>
  </si>
  <si>
    <t>196912</t>
  </si>
  <si>
    <t>197001</t>
  </si>
  <si>
    <t>197002</t>
  </si>
  <si>
    <t>197003</t>
  </si>
  <si>
    <t>197004</t>
  </si>
  <si>
    <t>197005</t>
  </si>
  <si>
    <t>197006</t>
  </si>
  <si>
    <t>197007</t>
  </si>
  <si>
    <t>197008</t>
  </si>
  <si>
    <t>197009</t>
  </si>
  <si>
    <t>197010</t>
  </si>
  <si>
    <t>197011</t>
  </si>
  <si>
    <t>197012</t>
  </si>
  <si>
    <t>197101</t>
  </si>
  <si>
    <t>197102</t>
  </si>
  <si>
    <t>197103</t>
  </si>
  <si>
    <t>197104</t>
  </si>
  <si>
    <t>197105</t>
  </si>
  <si>
    <t>197106</t>
  </si>
  <si>
    <t>197107</t>
  </si>
  <si>
    <t>197108</t>
  </si>
  <si>
    <t>197109</t>
  </si>
  <si>
    <t>197110</t>
  </si>
  <si>
    <t>197111</t>
  </si>
  <si>
    <t>197112</t>
  </si>
  <si>
    <t>197201</t>
  </si>
  <si>
    <t>197202</t>
  </si>
  <si>
    <t>197203</t>
  </si>
  <si>
    <t>197204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</si>
  <si>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</si>
  <si>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</si>
  <si>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</si>
  <si>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</si>
  <si>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</si>
  <si>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</si>
  <si>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</si>
  <si>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</si>
  <si>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197301</t>
  </si>
  <si>
    <t>197302</t>
  </si>
  <si>
    <t>197303</t>
  </si>
  <si>
    <t>197304</t>
  </si>
  <si>
    <t>197305</t>
  </si>
  <si>
    <t>197306</t>
  </si>
  <si>
    <t>197307</t>
  </si>
  <si>
    <t>197308</t>
  </si>
  <si>
    <t>197309</t>
  </si>
  <si>
    <t>197310</t>
  </si>
  <si>
    <t>197311</t>
  </si>
  <si>
    <t>197312</t>
  </si>
  <si>
    <t>197401</t>
  </si>
  <si>
    <t>197402</t>
  </si>
  <si>
    <t>197403</t>
  </si>
  <si>
    <t>197404</t>
  </si>
  <si>
    <t>197405</t>
  </si>
  <si>
    <t>197406</t>
  </si>
  <si>
    <t>197407</t>
  </si>
  <si>
    <t>197408</t>
  </si>
  <si>
    <t>197409</t>
  </si>
  <si>
    <t>197410</t>
  </si>
  <si>
    <t>197411</t>
  </si>
  <si>
    <t>197412</t>
  </si>
  <si>
    <t>197501</t>
  </si>
  <si>
    <t>197502</t>
  </si>
  <si>
    <t>197503</t>
  </si>
  <si>
    <t>197504</t>
  </si>
  <si>
    <t>197505</t>
  </si>
  <si>
    <t>197506</t>
  </si>
  <si>
    <t>197507</t>
  </si>
  <si>
    <t>197508</t>
  </si>
  <si>
    <t>197509</t>
  </si>
  <si>
    <t>197510</t>
  </si>
  <si>
    <t>197511</t>
  </si>
  <si>
    <t>197512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</si>
  <si>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</si>
  <si>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</si>
  <si>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</si>
  <si>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</si>
  <si>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</si>
  <si>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</si>
  <si>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</si>
  <si>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</si>
  <si>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</si>
  <si>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</si>
  <si>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</si>
  <si>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</si>
  <si>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197701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</si>
  <si>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</si>
  <si>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</si>
  <si>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</si>
  <si>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</si>
  <si>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</si>
  <si>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</si>
  <si>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</si>
  <si>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</si>
  <si>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</si>
  <si>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</si>
  <si>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</si>
  <si>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197801</t>
  </si>
  <si>
    <t>197802</t>
  </si>
  <si>
    <t>197803</t>
  </si>
  <si>
    <t>197804</t>
  </si>
  <si>
    <t>197805</t>
  </si>
  <si>
    <t>197806</t>
  </si>
  <si>
    <t>197807</t>
  </si>
  <si>
    <t>197808</t>
  </si>
  <si>
    <t>197809</t>
  </si>
  <si>
    <t>197810</t>
  </si>
  <si>
    <t>197811</t>
  </si>
  <si>
    <t>197812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</si>
  <si>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</si>
  <si>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</si>
  <si>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</si>
  <si>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</si>
  <si>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</si>
  <si>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</si>
  <si>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</si>
  <si>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</si>
  <si>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</si>
  <si>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</si>
  <si>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</si>
  <si>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</si>
  <si>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</si>
  <si>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</si>
  <si>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</si>
  <si>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</si>
  <si>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</si>
  <si>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</si>
  <si>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</si>
  <si>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</si>
  <si>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</si>
  <si>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</si>
  <si>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</si>
  <si>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</si>
  <si>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</si>
  <si>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</si>
  <si>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</si>
  <si>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</si>
  <si>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</si>
  <si>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</si>
  <si>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</si>
  <si>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</si>
  <si>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</si>
  <si>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</si>
  <si>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</si>
  <si>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</si>
  <si>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</si>
  <si>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</si>
  <si>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</si>
  <si>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</si>
  <si>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</si>
  <si>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</si>
  <si>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</si>
  <si>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</si>
  <si>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</si>
  <si>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</si>
  <si>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</si>
  <si>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</si>
  <si>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</si>
  <si>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</si>
  <si>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</si>
  <si>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</si>
  <si>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</si>
  <si>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</si>
  <si>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</si>
  <si>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</si>
  <si>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</si>
  <si>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</si>
  <si>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</si>
  <si>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</si>
  <si>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</si>
  <si>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</si>
  <si>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</si>
  <si>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</si>
  <si>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</si>
  <si>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</si>
  <si>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</si>
  <si>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</si>
  <si>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</si>
  <si>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</si>
  <si>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</si>
  <si>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</si>
  <si>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</si>
  <si>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</si>
  <si>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</si>
  <si>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</si>
  <si>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</si>
  <si>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</si>
  <si>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</si>
  <si>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</si>
  <si>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</si>
  <si>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</si>
  <si>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</si>
  <si>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</si>
  <si>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</si>
  <si>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</si>
  <si>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</si>
  <si>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</si>
  <si>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</si>
  <si>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</si>
  <si>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</si>
  <si>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</si>
  <si>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</si>
  <si>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</si>
  <si>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</si>
  <si>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</si>
  <si>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</si>
  <si>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</si>
  <si>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</si>
  <si>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</si>
  <si>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</si>
  <si>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</si>
  <si>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</si>
  <si>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</si>
  <si>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</si>
  <si>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</si>
  <si>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</si>
  <si>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</si>
  <si>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</si>
  <si>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</si>
  <si>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</si>
  <si>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</si>
  <si>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</si>
  <si>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</si>
  <si>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</si>
  <si>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</si>
  <si>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</si>
  <si>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</si>
  <si>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</si>
  <si>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</si>
  <si>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</si>
  <si>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</si>
  <si>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</si>
  <si>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</si>
  <si>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</si>
  <si>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</si>
  <si>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</si>
  <si>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</si>
  <si>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</si>
  <si>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</si>
  <si>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</si>
  <si>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</si>
  <si>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</si>
  <si>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</si>
  <si>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</si>
  <si>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</si>
  <si>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</si>
  <si>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</si>
  <si>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</si>
  <si>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</si>
  <si>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</si>
  <si>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</si>
  <si>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</si>
  <si>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</si>
  <si>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</si>
  <si>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</si>
  <si>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</si>
  <si>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</si>
  <si>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</si>
  <si>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</si>
  <si>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</si>
  <si>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</si>
  <si>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</si>
  <si>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</si>
  <si>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</si>
  <si>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</si>
  <si>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</si>
  <si>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</si>
  <si>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</si>
  <si>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</si>
  <si>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</si>
  <si>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</si>
  <si>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</si>
  <si>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</si>
  <si>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</si>
  <si>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</si>
  <si>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</si>
  <si>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</si>
  <si>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</si>
  <si>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</si>
  <si>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</si>
  <si>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</si>
  <si>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</si>
  <si>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</si>
  <si>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</si>
  <si>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</si>
  <si>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</si>
  <si>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</si>
  <si>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</si>
  <si>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</si>
  <si>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</si>
  <si>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</si>
  <si>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</si>
  <si>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</si>
  <si>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</si>
  <si>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</si>
  <si>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</si>
  <si>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</si>
  <si>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</si>
  <si>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</si>
  <si>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</si>
  <si>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</si>
  <si>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</si>
  <si>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</si>
  <si>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</si>
  <si>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</si>
  <si>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</si>
  <si>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</si>
  <si>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</si>
  <si>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</si>
  <si>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</si>
  <si>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</si>
  <si>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</si>
  <si>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</si>
  <si>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</si>
  <si>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</si>
  <si>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</si>
  <si>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</si>
  <si>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</si>
  <si>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</si>
  <si>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</si>
  <si>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</si>
  <si>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</si>
  <si>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</si>
  <si>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</si>
  <si>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</si>
  <si>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UKVCP@UK</t>
  </si>
  <si>
    <t>20211122</t>
  </si>
  <si>
    <t>20211123</t>
  </si>
  <si>
    <t>20211124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</si>
  <si>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</si>
  <si>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</si>
  <si>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</si>
  <si>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</si>
  <si>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</si>
  <si>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</si>
  <si>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</si>
  <si>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</si>
  <si>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</si>
  <si>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</si>
  <si>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</si>
  <si>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</si>
  <si>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</si>
  <si>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</si>
  <si>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</si>
  <si>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</si>
  <si>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</si>
  <si>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</si>
  <si>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</si>
  <si>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</si>
  <si>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</si>
  <si>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20151 !Q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</si>
  <si>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</si>
  <si>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</si>
  <si>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</si>
  <si>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</si>
  <si>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</si>
  <si>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</si>
  <si>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</si>
  <si>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</si>
  <si>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</si>
  <si>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</si>
  <si>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</si>
  <si>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</si>
  <si>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</si>
  <si>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</si>
  <si>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</si>
  <si>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</si>
  <si>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</si>
  <si>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</si>
  <si>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</si>
  <si>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</si>
  <si>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Interest rates - OE forecast &amp; market expectations - monthly</t>
  </si>
  <si>
    <t>Interest rates - OE forecast &amp; market expectations - quarterly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</si>
  <si>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</si>
  <si>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</si>
  <si>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</si>
  <si>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</si>
  <si>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</si>
  <si>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</si>
  <si>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</si>
  <si>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</si>
  <si>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202111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</si>
  <si>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</si>
  <si>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</si>
  <si>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</si>
  <si>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</si>
  <si>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</si>
  <si>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</si>
  <si>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</si>
  <si>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</si>
  <si>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</si>
  <si>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</si>
  <si>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</si>
  <si>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</si>
  <si>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</si>
  <si>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</si>
  <si>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</si>
  <si>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</si>
  <si>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</si>
  <si>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</si>
  <si>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</si>
  <si>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</si>
  <si>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</si>
  <si>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</si>
  <si>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</si>
  <si>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</si>
  <si>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</si>
  <si>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</si>
  <si>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</si>
  <si>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</si>
  <si>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</si>
  <si>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</si>
  <si>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</si>
  <si>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202112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</si>
  <si>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</si>
  <si>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</si>
  <si>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</si>
  <si>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</si>
  <si>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</si>
  <si>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</si>
  <si>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</si>
  <si>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</si>
  <si>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</si>
  <si>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</si>
  <si>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</si>
  <si>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</si>
  <si>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</si>
  <si>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</si>
  <si>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202201</t>
  </si>
  <si>
    <t>20252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</si>
  <si>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</si>
  <si>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</si>
  <si>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</si>
  <si>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</si>
  <si>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</si>
  <si>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</si>
  <si>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</si>
  <si>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</si>
  <si>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</si>
  <si>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</si>
  <si>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</si>
  <si>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</si>
  <si>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</si>
  <si>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</si>
  <si>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</si>
  <si>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</si>
  <si>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</si>
  <si>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</si>
  <si>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</si>
  <si>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</si>
  <si>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</si>
  <si>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</si>
  <si>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</si>
  <si>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</si>
  <si>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</si>
  <si>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</si>
  <si>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</si>
  <si>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</si>
  <si>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</si>
  <si>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</si>
  <si>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</si>
  <si>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</si>
  <si>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</si>
  <si>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</si>
  <si>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</si>
  <si>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</si>
  <si>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</si>
  <si>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</si>
  <si>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</si>
  <si>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</si>
  <si>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202203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</si>
  <si>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</si>
  <si>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</si>
  <si>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</si>
  <si>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</si>
  <si>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</si>
  <si>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</si>
  <si>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</si>
  <si>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</si>
  <si>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</si>
  <si>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</si>
  <si>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</si>
  <si>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</si>
  <si>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</si>
  <si>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</si>
  <si>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</si>
  <si>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</si>
  <si>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</si>
  <si>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</si>
  <si>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</si>
  <si>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</si>
  <si>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</si>
  <si>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</si>
  <si>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202204</t>
  </si>
  <si>
    <t>20220504</t>
  </si>
  <si>
    <t>20220505</t>
  </si>
  <si>
    <t>20220506</t>
  </si>
  <si>
    <t>20253</t>
  </si>
  <si>
    <t>20220509</t>
  </si>
  <si>
    <t>20220510</t>
  </si>
  <si>
    <t>20220511</t>
  </si>
  <si>
    <t>20220512</t>
  </si>
  <si>
    <t>20220513</t>
  </si>
  <si>
    <t>20220516</t>
  </si>
  <si>
    <t>Latest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</si>
  <si>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</si>
  <si>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</si>
  <si>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</si>
  <si>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</si>
  <si>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</si>
  <si>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</si>
  <si>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</si>
  <si>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</si>
  <si>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</si>
  <si>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</si>
  <si>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</si>
  <si>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202205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</si>
  <si>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</si>
  <si>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</si>
  <si>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</si>
  <si>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</si>
  <si>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</si>
  <si>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</si>
  <si>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</si>
  <si>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</si>
  <si>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</si>
  <si>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</si>
  <si>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</si>
  <si>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</si>
  <si>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</si>
  <si>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</si>
  <si>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</si>
  <si>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</si>
  <si>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</si>
  <si>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</si>
  <si>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</si>
  <si>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</si>
  <si>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</si>
  <si>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</si>
  <si>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</si>
  <si>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</si>
  <si>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</si>
  <si>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</si>
  <si>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</si>
  <si>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</si>
  <si>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</si>
  <si>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</si>
  <si>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</si>
  <si>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</si>
  <si>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</si>
  <si>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</si>
  <si>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202206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</si>
  <si>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</si>
  <si>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</si>
  <si>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</si>
  <si>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</si>
  <si>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</si>
  <si>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</si>
  <si>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</si>
  <si>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</si>
  <si>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</si>
  <si>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202207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</si>
  <si>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</si>
  <si>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</si>
  <si>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</si>
  <si>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</si>
  <si>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</si>
  <si>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</si>
  <si>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</si>
  <si>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</si>
  <si>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</si>
  <si>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</si>
  <si>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</si>
  <si>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</si>
  <si>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</si>
  <si>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</si>
  <si>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</si>
  <si>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</si>
  <si>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</si>
  <si>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20254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</si>
  <si>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</si>
  <si>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</si>
  <si>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</si>
  <si>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</si>
  <si>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</si>
  <si>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</si>
  <si>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</si>
  <si>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</si>
  <si>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202208</t>
  </si>
  <si>
    <t>AGG(R112RD@INTDAILY,EOP)</t>
  </si>
  <si>
    <t>20220905</t>
  </si>
  <si>
    <t>20220906</t>
  </si>
  <si>
    <t>20220907</t>
  </si>
  <si>
    <t>20220908</t>
  </si>
  <si>
    <t>20220909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</si>
  <si>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</si>
  <si>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</si>
  <si>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</si>
  <si>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</si>
  <si>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</si>
  <si>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</si>
  <si>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</si>
  <si>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</si>
  <si>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</si>
  <si>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</si>
  <si>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</si>
  <si>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</si>
  <si>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</si>
  <si>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</si>
  <si>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</si>
  <si>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</si>
  <si>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</si>
  <si>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</si>
  <si>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</si>
  <si>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</si>
  <si>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</si>
  <si>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</si>
  <si>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</si>
  <si>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</si>
  <si>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</si>
  <si>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</si>
  <si>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5.5yrs</t>
  </si>
  <si>
    <t>6yrs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</si>
  <si>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</si>
  <si>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</si>
  <si>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</si>
  <si>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</si>
  <si>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</si>
  <si>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</si>
  <si>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</si>
  <si>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</si>
  <si>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</si>
  <si>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</si>
  <si>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</si>
  <si>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</si>
  <si>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</si>
  <si>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</si>
  <si>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</si>
  <si>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</si>
  <si>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</si>
  <si>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</si>
  <si>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</si>
  <si>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</si>
  <si>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</si>
  <si>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</si>
  <si>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</si>
  <si>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</si>
  <si>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</si>
  <si>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</si>
  <si>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</si>
  <si>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</si>
  <si>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</si>
  <si>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</si>
  <si>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</si>
  <si>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</si>
  <si>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</si>
  <si>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</si>
  <si>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</si>
  <si>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</si>
  <si>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</si>
  <si>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</si>
  <si>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</si>
  <si>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</si>
  <si>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</si>
  <si>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</si>
  <si>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202209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</si>
  <si>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</si>
  <si>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</si>
  <si>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</si>
  <si>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</si>
  <si>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</si>
  <si>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</si>
  <si>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</si>
  <si>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</si>
  <si>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</si>
  <si>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</si>
  <si>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</si>
  <si>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</si>
  <si>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</si>
  <si>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</si>
  <si>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</si>
  <si>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</si>
  <si>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</si>
  <si>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</si>
  <si>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</si>
  <si>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</si>
  <si>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</si>
  <si>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202210</t>
  </si>
  <si>
    <t>20221101</t>
  </si>
  <si>
    <t>20221102</t>
  </si>
  <si>
    <t>20221103</t>
  </si>
  <si>
    <t>20261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</si>
  <si>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</si>
  <si>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</si>
  <si>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</si>
  <si>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</si>
  <si>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</si>
  <si>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</si>
  <si>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</si>
  <si>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</si>
  <si>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</si>
  <si>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</si>
  <si>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</si>
  <si>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</si>
  <si>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</si>
  <si>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</si>
  <si>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</si>
  <si>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</si>
  <si>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</si>
  <si>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</si>
  <si>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</si>
  <si>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202211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</si>
  <si>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</si>
  <si>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</si>
  <si>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</si>
  <si>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</si>
  <si>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</si>
  <si>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</si>
  <si>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</si>
  <si>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</si>
  <si>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</si>
  <si>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</si>
  <si>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</si>
  <si>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</si>
  <si>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</si>
  <si>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</si>
  <si>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</si>
  <si>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</si>
  <si>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</si>
  <si>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</si>
  <si>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</si>
  <si>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</si>
  <si>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</si>
  <si>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</si>
  <si>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</si>
  <si>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</si>
  <si>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</si>
  <si>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</si>
  <si>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</si>
  <si>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</si>
  <si>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</si>
  <si>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202212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</si>
  <si>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</si>
  <si>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</si>
  <si>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</si>
  <si>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</si>
  <si>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</si>
  <si>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</si>
  <si>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</si>
  <si>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</si>
  <si>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</si>
  <si>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</si>
  <si>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</si>
  <si>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</si>
  <si>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</si>
  <si>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</si>
  <si>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</si>
  <si>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202301</t>
  </si>
  <si>
    <t>20230201</t>
  </si>
  <si>
    <t>20230202</t>
  </si>
  <si>
    <t>UK: BoE Conditioning Path for Market Interest Rates  (%)</t>
  </si>
  <si>
    <t>20262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</si>
  <si>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</si>
  <si>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</si>
  <si>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</si>
  <si>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</si>
  <si>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</si>
  <si>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</si>
  <si>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</si>
  <si>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</si>
  <si>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</si>
  <si>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</si>
  <si>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</si>
  <si>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</si>
  <si>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</si>
  <si>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</si>
  <si>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</si>
  <si>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</si>
  <si>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</si>
  <si>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</si>
  <si>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202302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</si>
  <si>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</si>
  <si>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</si>
  <si>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</si>
  <si>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</si>
  <si>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</si>
  <si>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</si>
  <si>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</si>
  <si>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</si>
  <si>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</si>
  <si>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</si>
  <si>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</si>
  <si>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</si>
  <si>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</si>
  <si>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</si>
  <si>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</si>
  <si>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</si>
  <si>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</si>
  <si>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</si>
  <si>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</si>
  <si>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</si>
  <si>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</si>
  <si>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</si>
  <si>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</si>
  <si>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</si>
  <si>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</si>
  <si>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</si>
  <si>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</si>
  <si>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</si>
  <si>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</si>
  <si>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</si>
  <si>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</si>
  <si>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</si>
  <si>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</si>
  <si>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% chance of 25bps hike at next meeting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</si>
  <si>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</si>
  <si>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</si>
  <si>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</si>
  <si>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</si>
  <si>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</si>
  <si>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</si>
  <si>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</si>
  <si>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</si>
  <si>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</si>
  <si>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</si>
  <si>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</si>
  <si>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</si>
  <si>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</si>
  <si>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202304</t>
  </si>
  <si>
    <t>20230503</t>
  </si>
  <si>
    <t>20230504</t>
  </si>
  <si>
    <t>20230505</t>
  </si>
  <si>
    <t>20230508</t>
  </si>
  <si>
    <t>20230509</t>
  </si>
  <si>
    <t>20230510</t>
  </si>
  <si>
    <t>20230511</t>
  </si>
  <si>
    <t>20263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</si>
  <si>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</si>
  <si>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</si>
  <si>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</si>
  <si>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</si>
  <si>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</si>
  <si>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</si>
  <si>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</si>
  <si>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</si>
  <si>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</si>
  <si>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</si>
  <si>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</si>
  <si>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</si>
  <si>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</si>
  <si>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</si>
  <si>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</si>
  <si>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</si>
  <si>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</si>
  <si>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</si>
  <si>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</si>
  <si>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</si>
  <si>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</si>
  <si>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</si>
  <si>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</si>
  <si>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</si>
  <si>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</si>
  <si>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</si>
  <si>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</si>
  <si>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</si>
  <si>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</si>
  <si>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</si>
  <si>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</si>
  <si>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</si>
  <si>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% chance of 50bps hike at next meeting</t>
  </si>
  <si>
    <t>20230626</t>
  </si>
  <si>
    <t>20230627</t>
  </si>
  <si>
    <t>20230628</t>
  </si>
  <si>
    <t>20230629</t>
  </si>
  <si>
    <t>20230630</t>
  </si>
  <si>
    <t>202306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</si>
  <si>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</si>
  <si>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</si>
  <si>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</si>
  <si>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</si>
  <si>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</si>
  <si>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</si>
  <si>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</si>
  <si>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</si>
  <si>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</si>
  <si>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</si>
  <si>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</si>
  <si>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</si>
  <si>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</si>
  <si>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</si>
  <si>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</si>
  <si>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</si>
  <si>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</si>
  <si>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</si>
  <si>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</si>
  <si>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</si>
  <si>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</si>
  <si>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202307</t>
  </si>
  <si>
    <t>20230801</t>
  </si>
  <si>
    <t>20230802</t>
  </si>
  <si>
    <t>20230803</t>
  </si>
  <si>
    <t>20264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</si>
  <si>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</si>
  <si>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</si>
  <si>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</si>
  <si>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</si>
  <si>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</si>
  <si>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</si>
  <si>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</si>
  <si>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</si>
  <si>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</si>
  <si>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</si>
  <si>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</si>
  <si>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</si>
  <si>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</si>
  <si>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</si>
  <si>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</si>
  <si>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</si>
  <si>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</si>
  <si>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</si>
  <si>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</si>
  <si>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</si>
  <si>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</si>
  <si>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202308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</si>
  <si>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</si>
  <si>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</si>
  <si>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</si>
  <si>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</si>
  <si>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</si>
  <si>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</si>
  <si>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</si>
  <si>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</si>
  <si>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</si>
  <si>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</si>
  <si>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</si>
  <si>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</si>
  <si>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</si>
  <si>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</si>
  <si>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max % chance of another hike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</si>
  <si>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</si>
  <si>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</si>
  <si>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</si>
  <si>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</si>
  <si>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</si>
  <si>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</si>
  <si>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</si>
  <si>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</si>
  <si>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</si>
  <si>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</si>
  <si>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</si>
  <si>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</si>
  <si>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</si>
  <si>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202309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</si>
  <si>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</si>
  <si>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</si>
  <si>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</si>
  <si>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</si>
  <si>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</si>
  <si>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</si>
  <si>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</si>
  <si>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</si>
  <si>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</si>
  <si>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</si>
  <si>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</si>
  <si>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</si>
  <si>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Market expectations - Before August MPC</t>
  </si>
  <si>
    <t>20231027</t>
  </si>
  <si>
    <t>20231030</t>
  </si>
  <si>
    <t>20231031</t>
  </si>
  <si>
    <t>20231101</t>
  </si>
  <si>
    <t>202310</t>
  </si>
  <si>
    <t>20231102</t>
  </si>
  <si>
    <t>20271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</si>
  <si>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</si>
  <si>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</si>
  <si>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</si>
  <si>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</si>
  <si>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</si>
  <si>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</si>
  <si>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</si>
  <si>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</si>
  <si>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</si>
  <si>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% chance of 25bps cut by mid-2024</t>
  </si>
  <si>
    <t>% chance of 25bps cut by end-2024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</si>
  <si>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</si>
  <si>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</si>
  <si>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</si>
  <si>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</si>
  <si>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</si>
  <si>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</si>
  <si>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</si>
  <si>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</si>
  <si>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</si>
  <si>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</si>
  <si>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</si>
  <si>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</si>
  <si>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202311</t>
  </si>
  <si>
    <t>20231204</t>
  </si>
  <si>
    <t>Diff vs today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</si>
  <si>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</si>
  <si>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</si>
  <si>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</si>
  <si>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</si>
  <si>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</si>
  <si>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</si>
  <si>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</si>
  <si>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</si>
  <si>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</si>
  <si>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</si>
  <si>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</si>
  <si>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</si>
  <si>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</si>
  <si>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</si>
  <si>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</si>
  <si>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</si>
  <si>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</si>
  <si>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</si>
  <si>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</si>
  <si>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</si>
  <si>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</si>
  <si>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202312</t>
  </si>
  <si>
    <t>20240103</t>
  </si>
  <si>
    <t>20240104</t>
  </si>
  <si>
    <t>01-Jan-1953</t>
  </si>
  <si>
    <t>20240105</t>
  </si>
  <si>
    <t>20240108</t>
  </si>
  <si>
    <t>Jan-1953 &lt;- 01-Jan-1953</t>
  </si>
  <si>
    <t>Q1-1953 &lt;- 01-Jan-1953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</si>
  <si>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</si>
  <si>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</si>
  <si>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</si>
  <si>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</si>
  <si>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</si>
  <si>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</si>
  <si>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</si>
  <si>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</si>
  <si>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</si>
  <si>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</si>
  <si>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</si>
  <si>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</si>
  <si>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</si>
  <si>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</si>
  <si>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</si>
  <si>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</si>
  <si>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</si>
  <si>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</si>
  <si>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</si>
  <si>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202401</t>
  </si>
  <si>
    <t>Feb-01-2024 12:10</t>
  </si>
  <si>
    <t>Q2-2027</t>
  </si>
  <si>
    <t>Q1-2024</t>
  </si>
  <si>
    <t>20272</t>
  </si>
  <si>
    <t>20240205</t>
  </si>
  <si>
    <t>20240206</t>
  </si>
  <si>
    <t>20240207</t>
  </si>
  <si>
    <t>20240208</t>
  </si>
  <si>
    <t>20240209</t>
  </si>
  <si>
    <t>Diff vs overinight</t>
  </si>
  <si>
    <t>20240212</t>
  </si>
  <si>
    <t>20240213</t>
  </si>
  <si>
    <t>20240214</t>
  </si>
  <si>
    <t>20240215</t>
  </si>
  <si>
    <t>20240216</t>
  </si>
  <si>
    <t>Market expectations - Latest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</si>
  <si>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</si>
  <si>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</si>
  <si>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</si>
  <si>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</si>
  <si>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</si>
  <si>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</si>
  <si>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</si>
  <si>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</si>
  <si>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</si>
  <si>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</si>
  <si>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</si>
  <si>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</si>
  <si>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</si>
  <si>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</si>
  <si>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</si>
  <si>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202402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</si>
  <si>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</si>
  <si>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</si>
  <si>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</si>
  <si>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</si>
  <si>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</si>
  <si>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</si>
  <si>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</si>
  <si>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</si>
  <si>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</si>
  <si>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</si>
  <si>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</si>
  <si>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</si>
  <si>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</si>
  <si>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</si>
  <si>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</si>
  <si>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</si>
  <si>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</si>
  <si>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</si>
  <si>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</si>
  <si>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</si>
  <si>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</si>
  <si>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</si>
  <si>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</si>
  <si>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</si>
  <si>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</si>
  <si>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</si>
  <si>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</si>
  <si>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Apr-17-2024 13:57</t>
  </si>
  <si>
    <t>17-Apr-2024</t>
  </si>
  <si>
    <t>20240416</t>
  </si>
  <si>
    <t>20240417</t>
  </si>
  <si>
    <t>APR017I</t>
  </si>
  <si>
    <t>2024</t>
  </si>
  <si>
    <t>1</t>
  </si>
  <si>
    <t>17 April 2024</t>
  </si>
  <si>
    <t>Mar-2024 &lt;- 17-Apr-2024</t>
  </si>
  <si>
    <t>Q1-2024 &lt;- 17-Apr-2024</t>
  </si>
  <si>
    <t>Apr-18-2024 11:47</t>
  </si>
  <si>
    <t>After February MPC</t>
  </si>
  <si>
    <t>After March MPC</t>
  </si>
  <si>
    <t>Market expectations - After March MPC meeting</t>
  </si>
  <si>
    <t>Market expectations - After February MPC meeting</t>
  </si>
  <si>
    <t>Apr-18-2024 13:57</t>
  </si>
  <si>
    <t>18-Apr-2024</t>
  </si>
  <si>
    <t>Apr-19-2024 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</si>
</sst>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###0.0;\-###0.0;0.0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4" fontId="0" fillId="2" borderId="0" xfId="0" applyNumberFormat="1" applyFill="1"/>
    <xf numFmtId="2" fontId="2" fillId="0" borderId="0" xfId="0" applyNumberFormat="1" applyFont="1"/>
    <xf numFmtId="0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Alignment="1">
      <alignment wrapText="1"/>
    </xf>
    <xf numFmtId="0" fontId="4" fillId="0" borderId="0" xfId="1"/>
    <xf numFmtId="0" fontId="4" fillId="3" borderId="1" xfId="1" applyFill="1" applyBorder="1"/>
    <xf numFmtId="0" fontId="5" fillId="4" borderId="1" xfId="1" applyFont="1" applyFill="1" applyBorder="1" applyAlignment="1">
      <alignment horizontal="left" wrapText="1"/>
    </xf>
    <xf numFmtId="0" fontId="4" fillId="3" borderId="1" xfId="1" quotePrefix="1" applyFill="1" applyBorder="1"/>
    <xf numFmtId="166" fontId="4" fillId="3" borderId="1" xfId="1" applyNumberFormat="1" applyFill="1" applyBorder="1"/>
    <xf numFmtId="166" fontId="6" fillId="3" borderId="1" xfId="1" applyNumberFormat="1" applyFont="1" applyFill="1" applyBorder="1"/>
    <xf numFmtId="0" fontId="1" fillId="0" borderId="0" xfId="2"/>
    <xf numFmtId="0" fontId="1" fillId="0" borderId="0" xfId="2" applyAlignment="1">
      <alignment horizontal="right"/>
    </xf>
    <xf numFmtId="14" fontId="1" fillId="0" borderId="0" xfId="2" applyNumberFormat="1"/>
    <xf numFmtId="16" fontId="0" fillId="0" borderId="0" xfId="0" applyNumberFormat="1" applyFill="1"/>
    <xf numFmtId="0" fontId="0" fillId="0" borderId="0" xfId="0" applyFill="1"/>
    <xf numFmtId="9" fontId="0" fillId="0" borderId="0" xfId="0" applyNumberFormat="1"/>
    <xf numFmtId="2" fontId="0" fillId="2" borderId="0" xfId="0" applyNumberFormat="1" applyFill="1"/>
  </cellXfs>
  <cellStyles count="3">
    <cellStyle name="Normal" xfId="0" builtinId="0"/>
    <cellStyle name="Normal 2" xfId="1" xr:uid="{C765ACAA-D1A1-4B40-A5E4-3F8FF2300A75}"/>
    <cellStyle name="Normal 2 5" xfId="2" xr:uid="{F89B1438-40D3-47DF-8035-62380BEED4F9}"/>
  </cellStyles>
  <dxfs count="0"/>
  <tableStyles count="0" defaultTableStyle="TableStyleMedium2" defaultPivotStyle="PivotStyleLight16"/>
  <colors>
    <mruColors>
      <color rgb="FFD1A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1.xml"/><Relationship Id="rId21" Type="http://schemas.openxmlformats.org/officeDocument/2006/relationships/sheetMetadata" Target="metadata.xml"/><Relationship Id="rId7" Type="http://schemas.openxmlformats.org/officeDocument/2006/relationships/worksheet" Target="worksheets/sheet5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3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585337466300878E-2"/>
          <c:y val="0.15867404546129846"/>
          <c:w val="0.87785798268429116"/>
          <c:h val="0.7102813846382409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Data'!$AC$4:$BX$4</c:f>
              <c:numCache>
                <c:formatCode>0.00</c:formatCode>
                <c:ptCount val="4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1.25</c:v>
                </c:pt>
                <c:pt idx="19">
                  <c:v>1.75</c:v>
                </c:pt>
                <c:pt idx="20">
                  <c:v>2.25</c:v>
                </c:pt>
                <c:pt idx="21">
                  <c:v>2.25</c:v>
                </c:pt>
                <c:pt idx="22">
                  <c:v>3</c:v>
                </c:pt>
                <c:pt idx="23">
                  <c:v>3.5</c:v>
                </c:pt>
                <c:pt idx="24">
                  <c:v>3.5</c:v>
                </c:pt>
                <c:pt idx="25">
                  <c:v>4</c:v>
                </c:pt>
                <c:pt idx="26">
                  <c:v>4.25</c:v>
                </c:pt>
                <c:pt idx="27">
                  <c:v>4.25</c:v>
                </c:pt>
                <c:pt idx="28">
                  <c:v>4.5</c:v>
                </c:pt>
                <c:pt idx="29">
                  <c:v>5</c:v>
                </c:pt>
                <c:pt idx="30">
                  <c:v>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5.25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5.25</c:v>
                </c:pt>
                <c:pt idx="39">
                  <c:v>5.25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6-4FA9-8E8F-823E057CE14B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February MPC meeting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Data'!$AC$5:$BX$5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5.1885000000000003</c:v>
                </c:pt>
                <c:pt idx="38">
                  <c:v>5.1810986000000003</c:v>
                </c:pt>
                <c:pt idx="39">
                  <c:v>5.1687959000000001</c:v>
                </c:pt>
                <c:pt idx="40">
                  <c:v>5.1308084000000003</c:v>
                </c:pt>
                <c:pt idx="41">
                  <c:v>5.0609634999999997</c:v>
                </c:pt>
                <c:pt idx="42">
                  <c:v>4.9644914</c:v>
                </c:pt>
                <c:pt idx="43">
                  <c:v>4.8513273999999997</c:v>
                </c:pt>
                <c:pt idx="44">
                  <c:v>4.7330914999999996</c:v>
                </c:pt>
                <c:pt idx="45">
                  <c:v>4.6182891000000001</c:v>
                </c:pt>
                <c:pt idx="46">
                  <c:v>4.5105414000000001</c:v>
                </c:pt>
                <c:pt idx="47">
                  <c:v>4.4107979999999998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6-4FA9-8E8F-823E057CE14B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March MPC meeting</c:v>
                </c:pt>
              </c:strCache>
            </c:strRef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val>
            <c:numRef>
              <c:f>'Chart Data'!$AC$6:$BX$6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5.1905999999999999</c:v>
                </c:pt>
                <c:pt idx="39">
                  <c:v>5.1805712000000002</c:v>
                </c:pt>
                <c:pt idx="40">
                  <c:v>5.1182898000000003</c:v>
                </c:pt>
                <c:pt idx="41">
                  <c:v>5.0372060000000003</c:v>
                </c:pt>
                <c:pt idx="42">
                  <c:v>4.9406043000000004</c:v>
                </c:pt>
                <c:pt idx="43">
                  <c:v>4.8376755999999999</c:v>
                </c:pt>
                <c:pt idx="44">
                  <c:v>4.7334883000000003</c:v>
                </c:pt>
                <c:pt idx="45">
                  <c:v>4.6303638999999999</c:v>
                </c:pt>
                <c:pt idx="46">
                  <c:v>4.5301131999999997</c:v>
                </c:pt>
                <c:pt idx="47">
                  <c:v>4.4343045999999999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C-4CF7-80CE-258F713B0610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Data'!$AC$7:$BX$7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5.1984000000000004</c:v>
                </c:pt>
                <c:pt idx="40">
                  <c:v>5.1864648999999998</c:v>
                </c:pt>
                <c:pt idx="41">
                  <c:v>5.1406634999999996</c:v>
                </c:pt>
                <c:pt idx="42">
                  <c:v>5.0823780000000003</c:v>
                </c:pt>
                <c:pt idx="43">
                  <c:v>5.0182776000000002</c:v>
                </c:pt>
                <c:pt idx="44">
                  <c:v>4.9533389999999997</c:v>
                </c:pt>
                <c:pt idx="45">
                  <c:v>4.8893763999999997</c:v>
                </c:pt>
                <c:pt idx="46">
                  <c:v>4.8279116999999996</c:v>
                </c:pt>
                <c:pt idx="47">
                  <c:v>4.7707195999999996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6-4FA9-8E8F-823E057CE14B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Data'!$AC$8:$BX$8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5.25</c:v>
                </c:pt>
                <c:pt idx="40">
                  <c:v>5.25</c:v>
                </c:pt>
                <c:pt idx="41">
                  <c:v>5</c:v>
                </c:pt>
                <c:pt idx="42">
                  <c:v>5</c:v>
                </c:pt>
                <c:pt idx="43">
                  <c:v>4.75</c:v>
                </c:pt>
                <c:pt idx="44">
                  <c:v>4.75</c:v>
                </c:pt>
                <c:pt idx="45">
                  <c:v>4.75</c:v>
                </c:pt>
                <c:pt idx="46">
                  <c:v>4.5</c:v>
                </c:pt>
                <c:pt idx="47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2CE-B251-60B47EE5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5919065201595559E-2"/>
          <c:y val="0.13096137275293418"/>
          <c:w val="0.56082770875142474"/>
          <c:h val="0.2769354894924691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Data'!$BA$3:$BX$3</c:f>
              <c:numCache>
                <c:formatCode>m/d/yyyy</c:formatCode>
                <c:ptCount val="24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</c:numCache>
            </c:numRef>
          </c:cat>
          <c:val>
            <c:numRef>
              <c:f>'Chart Data'!$BA$4:$BX$4</c:f>
              <c:numCache>
                <c:formatCode>0.00</c:formatCode>
                <c:ptCount val="24"/>
                <c:pt idx="0">
                  <c:v>3.5</c:v>
                </c:pt>
                <c:pt idx="1">
                  <c:v>4</c:v>
                </c:pt>
                <c:pt idx="2">
                  <c:v>4.25</c:v>
                </c:pt>
                <c:pt idx="3">
                  <c:v>4.25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A-4996-BC32-F08EEDECB26E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February MPC meeting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Data'!$BA$3:$BX$3</c:f>
              <c:numCache>
                <c:formatCode>m/d/yyyy</c:formatCode>
                <c:ptCount val="24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</c:numCache>
            </c:numRef>
          </c:cat>
          <c:val>
            <c:numRef>
              <c:f>'Chart Data'!$BA$5:$BX$5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5.1885000000000003</c:v>
                </c:pt>
                <c:pt idx="14">
                  <c:v>5.1810986000000003</c:v>
                </c:pt>
                <c:pt idx="15">
                  <c:v>5.1687959000000001</c:v>
                </c:pt>
                <c:pt idx="16">
                  <c:v>5.1308084000000003</c:v>
                </c:pt>
                <c:pt idx="17">
                  <c:v>5.0609634999999997</c:v>
                </c:pt>
                <c:pt idx="18">
                  <c:v>4.9644914</c:v>
                </c:pt>
                <c:pt idx="19">
                  <c:v>4.8513273999999997</c:v>
                </c:pt>
                <c:pt idx="20">
                  <c:v>4.7330914999999996</c:v>
                </c:pt>
                <c:pt idx="21">
                  <c:v>4.6182891000000001</c:v>
                </c:pt>
                <c:pt idx="22">
                  <c:v>4.5105414000000001</c:v>
                </c:pt>
                <c:pt idx="23">
                  <c:v>4.4107979999999998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A-4996-BC32-F08EEDECB26E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March MPC meeting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Data'!$BA$3:$BX$3</c:f>
              <c:numCache>
                <c:formatCode>m/d/yyyy</c:formatCode>
                <c:ptCount val="24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</c:numCache>
            </c:numRef>
          </c:cat>
          <c:val>
            <c:numRef>
              <c:f>'Chart Data'!$BA$6:$BX$6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5.1905999999999999</c:v>
                </c:pt>
                <c:pt idx="15">
                  <c:v>5.1805712000000002</c:v>
                </c:pt>
                <c:pt idx="16">
                  <c:v>5.1182898000000003</c:v>
                </c:pt>
                <c:pt idx="17">
                  <c:v>5.0372060000000003</c:v>
                </c:pt>
                <c:pt idx="18">
                  <c:v>4.9406043000000004</c:v>
                </c:pt>
                <c:pt idx="19">
                  <c:v>4.8376755999999999</c:v>
                </c:pt>
                <c:pt idx="20">
                  <c:v>4.7334883000000003</c:v>
                </c:pt>
                <c:pt idx="21">
                  <c:v>4.6303638999999999</c:v>
                </c:pt>
                <c:pt idx="22">
                  <c:v>4.5301131999999997</c:v>
                </c:pt>
                <c:pt idx="23">
                  <c:v>4.4343045999999999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A-4996-BC32-F08EEDECB26E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Data'!$BA$3:$BX$3</c:f>
              <c:numCache>
                <c:formatCode>m/d/yyyy</c:formatCode>
                <c:ptCount val="24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</c:numCache>
            </c:numRef>
          </c:cat>
          <c:val>
            <c:numRef>
              <c:f>'Chart Data'!$BA$7:$BX$7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5.1984000000000004</c:v>
                </c:pt>
                <c:pt idx="16">
                  <c:v>5.1864648999999998</c:v>
                </c:pt>
                <c:pt idx="17">
                  <c:v>5.1406634999999996</c:v>
                </c:pt>
                <c:pt idx="18">
                  <c:v>5.0823780000000003</c:v>
                </c:pt>
                <c:pt idx="19">
                  <c:v>5.0182776000000002</c:v>
                </c:pt>
                <c:pt idx="20">
                  <c:v>4.9533389999999997</c:v>
                </c:pt>
                <c:pt idx="21">
                  <c:v>4.8893763999999997</c:v>
                </c:pt>
                <c:pt idx="22">
                  <c:v>4.8279116999999996</c:v>
                </c:pt>
                <c:pt idx="23">
                  <c:v>4.7707195999999996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A-4996-BC32-F08EEDECB26E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Data'!$BA$3:$BX$3</c:f>
              <c:numCache>
                <c:formatCode>m/d/yyyy</c:formatCode>
                <c:ptCount val="24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</c:numCache>
            </c:numRef>
          </c:cat>
          <c:val>
            <c:numRef>
              <c:f>'Chart Data'!$BA$8:$BX$8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5.25</c:v>
                </c:pt>
                <c:pt idx="16">
                  <c:v>5.25</c:v>
                </c:pt>
                <c:pt idx="17">
                  <c:v>5</c:v>
                </c:pt>
                <c:pt idx="18">
                  <c:v>5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4.5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A-4996-BC32-F08EEDEC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2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473103907214159"/>
          <c:y val="0.53257018930131517"/>
          <c:w val="0.68483725113904814"/>
          <c:h val="0.27727969647358441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24367B-CDB6-401B-A066-65CA11DD5337}">
  <sheetPr codeName="Chart2"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66A0EF-F542-43C2-90A9-F797EB2EF4AB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BA7C2-275A-48E3-AEA3-72B9FAB9C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2EF3E-5F7F-EAD7-DD8B-7B9868D0FB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kyv\CheckOut\Long-term%20model%202009%7bdb5-doc3966101-ma1-mi14%7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LO1W-BDC-001.oef.local\oeffslon\Global%20macro%20team\Key%20Charts\PMI\Table_PM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CTPBR06L_original"/>
      <sheetName val="1.1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  <sheetName val="Determinants"/>
      <sheetName val="AYLs re-forecast benefits +CPS "/>
      <sheetName val="Re-forecast benefits"/>
      <sheetName val="4.6 ten year bonds"/>
      <sheetName val="RESULT_09"/>
      <sheetName val="Latest_check"/>
      <sheetName val="Nom__Input"/>
      <sheetName val="Social_sec_&amp;_TC"/>
      <sheetName val="Pub_sec_pensions"/>
      <sheetName val="RESULT_10"/>
      <sheetName val="AYLs_re-forecast_benefits_+CPS_"/>
      <sheetName val="Re-forecast_benefits"/>
      <sheetName val="4_6_ten_year_bonds"/>
      <sheetName val="CASHFLOW Gen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CHGSPD19.FIN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>
        <row r="17">
          <cell r="Q17">
            <v>1266</v>
          </cell>
        </row>
      </sheetData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ysClr val="windowText" lastClr="000000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8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3A13-8D6F-4441-9BB1-DCA707D19589}">
  <sheetPr codeName="Sheet4"/>
  <dimension ref="A1:EI45"/>
  <sheetViews>
    <sheetView zoomScaleNormal="100" workbookViewId="0">
      <pane xSplit="4" ySplit="3" topLeftCell="BN4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RowHeight="14.5" x14ac:dyDescent="0.35"/>
  <cols>
    <col min="1" max="1" width="29.7265625" customWidth="1"/>
    <col min="2" max="2" width="13" customWidth="1"/>
    <col min="3" max="3" width="19.81640625" customWidth="1"/>
    <col min="4" max="7" width="10.7265625" bestFit="1" customWidth="1"/>
    <col min="8" max="88" width="10.7265625" customWidth="1"/>
    <col min="89" max="89" width="3.7265625" customWidth="1"/>
    <col min="90" max="90" width="28.453125" customWidth="1"/>
    <col min="91" max="91" width="10.7265625" bestFit="1" customWidth="1"/>
    <col min="92" max="137" width="10.7265625" customWidth="1"/>
    <col min="138" max="139" width="10.7265625" bestFit="1" customWidth="1"/>
  </cols>
  <sheetData>
    <row r="1" spans="1:139" x14ac:dyDescent="0.35">
      <c r="A1" s="4" t="s">
        <v>2086</v>
      </c>
      <c r="B1" s="4"/>
      <c r="C1" s="4"/>
      <c r="F1" s="5">
        <f ca="1">TODAY()</f>
        <v>45401</v>
      </c>
      <c r="CL1" s="4" t="s">
        <v>2087</v>
      </c>
      <c r="CM1" s="5">
        <v>42094</v>
      </c>
      <c r="CN1" s="5">
        <v>42185</v>
      </c>
      <c r="CO1" s="5">
        <v>42277</v>
      </c>
      <c r="CP1" s="5">
        <v>42369</v>
      </c>
      <c r="CQ1" s="5">
        <v>42460</v>
      </c>
      <c r="CR1" s="5">
        <v>42551</v>
      </c>
      <c r="CS1" s="5">
        <v>42643</v>
      </c>
      <c r="CT1" s="5">
        <v>42735</v>
      </c>
      <c r="CU1" s="5">
        <v>42825</v>
      </c>
      <c r="CV1" s="5">
        <v>42916</v>
      </c>
      <c r="CW1" s="5">
        <v>43008</v>
      </c>
      <c r="CX1" s="5">
        <v>43100</v>
      </c>
      <c r="CY1" s="5">
        <v>43190</v>
      </c>
      <c r="CZ1" s="5">
        <v>43281</v>
      </c>
      <c r="DA1" s="5">
        <v>43373</v>
      </c>
      <c r="DB1" s="5">
        <v>43465</v>
      </c>
      <c r="DC1" s="5">
        <v>43555</v>
      </c>
      <c r="DD1" s="5">
        <v>43646</v>
      </c>
      <c r="DE1" s="5">
        <v>43738</v>
      </c>
      <c r="DF1" s="5">
        <v>43830</v>
      </c>
      <c r="DG1" s="5">
        <v>43921</v>
      </c>
      <c r="DH1" s="5">
        <v>44012</v>
      </c>
      <c r="DI1" s="5">
        <v>44104</v>
      </c>
      <c r="DJ1" s="5">
        <v>44196</v>
      </c>
      <c r="DK1" s="5">
        <v>44286</v>
      </c>
      <c r="DL1" s="5">
        <v>44377</v>
      </c>
      <c r="DM1" s="5">
        <v>44469</v>
      </c>
      <c r="DN1" s="5">
        <v>44561</v>
      </c>
      <c r="DO1" s="5">
        <v>44651</v>
      </c>
      <c r="DP1" s="5">
        <v>44742</v>
      </c>
      <c r="DQ1" s="5">
        <v>44834</v>
      </c>
      <c r="DR1" s="5">
        <v>44926</v>
      </c>
      <c r="DS1" s="5">
        <v>45016</v>
      </c>
      <c r="DT1" s="5">
        <v>45107</v>
      </c>
      <c r="DU1" s="5">
        <v>45199</v>
      </c>
      <c r="DV1" s="5">
        <v>45291</v>
      </c>
      <c r="DW1" s="5">
        <v>45382</v>
      </c>
      <c r="DX1" s="5">
        <v>45473</v>
      </c>
      <c r="DY1" s="5">
        <v>45565</v>
      </c>
      <c r="DZ1" s="5">
        <v>45657</v>
      </c>
      <c r="EA1" s="5">
        <v>45747</v>
      </c>
      <c r="EB1" s="5">
        <v>45838</v>
      </c>
      <c r="EC1" s="5">
        <v>45930</v>
      </c>
      <c r="ED1" s="5">
        <v>46022</v>
      </c>
      <c r="EE1" s="5">
        <v>46112</v>
      </c>
      <c r="EF1" s="5">
        <v>46203</v>
      </c>
      <c r="EG1" s="5">
        <v>46295</v>
      </c>
      <c r="EH1" s="5">
        <v>46387</v>
      </c>
      <c r="EI1" s="5">
        <v>46477</v>
      </c>
    </row>
    <row r="2" spans="1:139" x14ac:dyDescent="0.35">
      <c r="E2" s="5">
        <v>43466</v>
      </c>
      <c r="F2" s="5">
        <v>43497</v>
      </c>
      <c r="G2" s="5">
        <v>43525</v>
      </c>
      <c r="H2" s="5">
        <v>43556</v>
      </c>
      <c r="I2" s="5">
        <v>43586</v>
      </c>
      <c r="J2" s="5">
        <v>43617</v>
      </c>
      <c r="K2" s="5">
        <v>43647</v>
      </c>
      <c r="L2" s="5">
        <v>43678</v>
      </c>
      <c r="M2" s="5">
        <v>43709</v>
      </c>
      <c r="N2" s="5">
        <v>43739</v>
      </c>
      <c r="O2" s="5">
        <v>43770</v>
      </c>
      <c r="P2" s="5">
        <v>43800</v>
      </c>
      <c r="Q2" s="5">
        <v>43831</v>
      </c>
      <c r="R2" s="5">
        <v>43862</v>
      </c>
      <c r="S2" s="5">
        <v>43891</v>
      </c>
      <c r="T2" s="5">
        <v>43922</v>
      </c>
      <c r="U2" s="5">
        <v>43952</v>
      </c>
      <c r="V2" s="5">
        <v>43983</v>
      </c>
      <c r="W2" s="5">
        <v>44013</v>
      </c>
      <c r="X2" s="5">
        <v>44044</v>
      </c>
      <c r="Y2" s="5">
        <v>44075</v>
      </c>
      <c r="Z2" s="5">
        <v>44105</v>
      </c>
      <c r="AA2" s="5">
        <v>44136</v>
      </c>
      <c r="AB2" s="5">
        <v>44166</v>
      </c>
      <c r="AC2" s="5">
        <v>44197</v>
      </c>
      <c r="AD2" s="5">
        <v>44228</v>
      </c>
      <c r="AE2" s="5">
        <v>44256</v>
      </c>
      <c r="AF2" s="5">
        <v>44287</v>
      </c>
      <c r="AG2" s="5">
        <v>44317</v>
      </c>
      <c r="AH2" s="5">
        <v>44348</v>
      </c>
      <c r="AI2" s="5">
        <v>44378</v>
      </c>
      <c r="AJ2" s="5">
        <v>44409</v>
      </c>
      <c r="AK2" s="5">
        <v>44440</v>
      </c>
      <c r="AL2" s="5">
        <v>44470</v>
      </c>
      <c r="AM2" s="5">
        <v>44501</v>
      </c>
      <c r="AN2" s="5">
        <v>44531</v>
      </c>
      <c r="AO2" s="5">
        <v>44562</v>
      </c>
      <c r="AP2" s="5">
        <v>44593</v>
      </c>
      <c r="AQ2" s="5">
        <v>44621</v>
      </c>
      <c r="AR2" s="5">
        <v>44652</v>
      </c>
      <c r="AS2" s="5">
        <v>44682</v>
      </c>
      <c r="AT2" s="5">
        <v>44713</v>
      </c>
      <c r="AU2" s="5">
        <v>44743</v>
      </c>
      <c r="AV2" s="5">
        <v>44774</v>
      </c>
      <c r="AW2" s="5">
        <v>44805</v>
      </c>
      <c r="AX2" s="5">
        <v>44835</v>
      </c>
      <c r="AY2" s="5">
        <v>44866</v>
      </c>
      <c r="AZ2" s="5">
        <v>44896</v>
      </c>
      <c r="BA2" s="5">
        <v>44927</v>
      </c>
      <c r="BB2" s="5">
        <v>44958</v>
      </c>
      <c r="BC2" s="5">
        <v>44986</v>
      </c>
      <c r="BD2" s="5">
        <v>45017</v>
      </c>
      <c r="BE2" s="5">
        <v>45047</v>
      </c>
      <c r="BF2" s="5">
        <v>45078</v>
      </c>
      <c r="BG2" s="5">
        <v>45108</v>
      </c>
      <c r="BH2" s="5">
        <v>45139</v>
      </c>
      <c r="BI2" s="5">
        <v>45170</v>
      </c>
      <c r="BJ2" s="5">
        <v>45200</v>
      </c>
      <c r="BK2" s="5">
        <v>45231</v>
      </c>
      <c r="BL2" s="5">
        <v>45261</v>
      </c>
      <c r="BM2" s="5">
        <v>45292</v>
      </c>
      <c r="BN2" s="5">
        <v>45323</v>
      </c>
      <c r="BO2" s="5">
        <v>45352</v>
      </c>
      <c r="BP2" s="5">
        <v>45383</v>
      </c>
      <c r="BQ2" s="5">
        <v>45413</v>
      </c>
      <c r="BR2" s="5">
        <v>45444</v>
      </c>
      <c r="BS2" s="5">
        <v>45474</v>
      </c>
      <c r="BT2" s="5">
        <v>45505</v>
      </c>
      <c r="BU2" s="5">
        <v>45536</v>
      </c>
      <c r="BV2" s="5">
        <v>45566</v>
      </c>
      <c r="BW2" s="5">
        <v>45597</v>
      </c>
      <c r="BX2" s="5">
        <v>45627</v>
      </c>
      <c r="BY2" s="5">
        <v>45658</v>
      </c>
      <c r="BZ2" s="5">
        <v>45689</v>
      </c>
      <c r="CA2" s="5">
        <v>45717</v>
      </c>
      <c r="CB2" s="5">
        <v>45748</v>
      </c>
      <c r="CC2" s="5">
        <v>45778</v>
      </c>
      <c r="CD2" s="5">
        <v>45809</v>
      </c>
      <c r="CE2" s="5">
        <v>45839</v>
      </c>
      <c r="CF2" s="5">
        <v>45870</v>
      </c>
      <c r="CG2" s="5">
        <v>45901</v>
      </c>
      <c r="CH2" s="5">
        <v>45931</v>
      </c>
      <c r="CI2" s="5">
        <v>45962</v>
      </c>
      <c r="CJ2" s="5">
        <v>45992</v>
      </c>
      <c r="CM2" s="5">
        <v>42005</v>
      </c>
      <c r="CN2" s="5">
        <v>42095</v>
      </c>
      <c r="CO2" s="5">
        <v>42186</v>
      </c>
      <c r="CP2" s="5">
        <v>42278</v>
      </c>
      <c r="CQ2" s="5">
        <v>42370</v>
      </c>
      <c r="CR2" s="5">
        <v>42461</v>
      </c>
      <c r="CS2" s="5">
        <v>42552</v>
      </c>
      <c r="CT2" s="5">
        <v>42644</v>
      </c>
      <c r="CU2" s="5">
        <v>42736</v>
      </c>
      <c r="CV2" s="5">
        <v>42826</v>
      </c>
      <c r="CW2" s="5">
        <v>42917</v>
      </c>
      <c r="CX2" s="5">
        <v>43009</v>
      </c>
      <c r="CY2" s="5">
        <v>43101</v>
      </c>
      <c r="CZ2" s="5">
        <v>43191</v>
      </c>
      <c r="DA2" s="5">
        <v>43282</v>
      </c>
      <c r="DB2" s="5">
        <v>43374</v>
      </c>
      <c r="DC2" s="5">
        <v>43466</v>
      </c>
      <c r="DD2" s="5">
        <v>43556</v>
      </c>
      <c r="DE2" s="5">
        <v>43647</v>
      </c>
      <c r="DF2" s="5">
        <v>43739</v>
      </c>
      <c r="DG2" s="5">
        <v>43831</v>
      </c>
      <c r="DH2" s="5">
        <v>43922</v>
      </c>
      <c r="DI2" s="5">
        <v>44013</v>
      </c>
      <c r="DJ2" s="5">
        <v>44105</v>
      </c>
      <c r="DK2" s="5">
        <v>44197</v>
      </c>
      <c r="DL2" s="5">
        <v>44287</v>
      </c>
      <c r="DM2" s="5">
        <v>44378</v>
      </c>
      <c r="DN2" s="5">
        <v>44470</v>
      </c>
      <c r="DO2" s="5">
        <v>44562</v>
      </c>
      <c r="DP2" s="5">
        <v>44652</v>
      </c>
      <c r="DQ2" s="5">
        <v>44743</v>
      </c>
      <c r="DR2" s="5">
        <v>44835</v>
      </c>
      <c r="DS2" s="5">
        <v>44927</v>
      </c>
      <c r="DT2" s="5">
        <v>45017</v>
      </c>
      <c r="DU2" s="5">
        <v>45108</v>
      </c>
      <c r="DV2" s="5">
        <v>45200</v>
      </c>
      <c r="DW2" s="5">
        <v>45292</v>
      </c>
      <c r="DX2" s="5">
        <v>45383</v>
      </c>
      <c r="DY2" s="5">
        <v>45474</v>
      </c>
      <c r="DZ2" s="5">
        <v>45566</v>
      </c>
      <c r="EA2" s="5">
        <v>45658</v>
      </c>
      <c r="EB2" s="5">
        <v>45748</v>
      </c>
      <c r="EC2" s="5">
        <v>45839</v>
      </c>
      <c r="ED2" s="5">
        <v>45931</v>
      </c>
      <c r="EE2" s="5">
        <v>46023</v>
      </c>
      <c r="EF2" s="5">
        <v>46113</v>
      </c>
      <c r="EG2" s="5">
        <v>46204</v>
      </c>
      <c r="EH2" s="5">
        <v>46296</v>
      </c>
      <c r="EI2" s="5">
        <v>46388</v>
      </c>
    </row>
    <row r="3" spans="1:139" x14ac:dyDescent="0.35">
      <c r="E3" s="5">
        <f>EOMONTH(E2,0)</f>
        <v>43496</v>
      </c>
      <c r="F3" s="5">
        <f t="shared" ref="F3:BQ3" si="0">EOMONTH(F2,0)</f>
        <v>43524</v>
      </c>
      <c r="G3" s="5">
        <f t="shared" si="0"/>
        <v>43555</v>
      </c>
      <c r="H3" s="5">
        <f t="shared" si="0"/>
        <v>43585</v>
      </c>
      <c r="I3" s="5">
        <f t="shared" si="0"/>
        <v>43616</v>
      </c>
      <c r="J3" s="5">
        <f t="shared" si="0"/>
        <v>43646</v>
      </c>
      <c r="K3" s="5">
        <f t="shared" si="0"/>
        <v>43677</v>
      </c>
      <c r="L3" s="5">
        <f t="shared" si="0"/>
        <v>43708</v>
      </c>
      <c r="M3" s="5">
        <f t="shared" si="0"/>
        <v>43738</v>
      </c>
      <c r="N3" s="5">
        <f t="shared" si="0"/>
        <v>43769</v>
      </c>
      <c r="O3" s="5">
        <f t="shared" si="0"/>
        <v>43799</v>
      </c>
      <c r="P3" s="5">
        <f t="shared" si="0"/>
        <v>43830</v>
      </c>
      <c r="Q3" s="5">
        <f t="shared" si="0"/>
        <v>43861</v>
      </c>
      <c r="R3" s="5">
        <f t="shared" si="0"/>
        <v>43890</v>
      </c>
      <c r="S3" s="5">
        <f t="shared" si="0"/>
        <v>43921</v>
      </c>
      <c r="T3" s="5">
        <f t="shared" si="0"/>
        <v>43951</v>
      </c>
      <c r="U3" s="5">
        <f t="shared" si="0"/>
        <v>43982</v>
      </c>
      <c r="V3" s="5">
        <f t="shared" si="0"/>
        <v>44012</v>
      </c>
      <c r="W3" s="5">
        <f t="shared" si="0"/>
        <v>44043</v>
      </c>
      <c r="X3" s="5">
        <f t="shared" si="0"/>
        <v>44074</v>
      </c>
      <c r="Y3" s="5">
        <f t="shared" si="0"/>
        <v>44104</v>
      </c>
      <c r="Z3" s="5">
        <f t="shared" si="0"/>
        <v>44135</v>
      </c>
      <c r="AA3" s="5">
        <f t="shared" si="0"/>
        <v>44165</v>
      </c>
      <c r="AB3" s="5">
        <f t="shared" si="0"/>
        <v>44196</v>
      </c>
      <c r="AC3" s="5">
        <f t="shared" si="0"/>
        <v>44227</v>
      </c>
      <c r="AD3" s="5">
        <f t="shared" si="0"/>
        <v>44255</v>
      </c>
      <c r="AE3" s="5">
        <f t="shared" si="0"/>
        <v>44286</v>
      </c>
      <c r="AF3" s="5">
        <f t="shared" si="0"/>
        <v>44316</v>
      </c>
      <c r="AG3" s="5">
        <f t="shared" si="0"/>
        <v>44347</v>
      </c>
      <c r="AH3" s="5">
        <f t="shared" si="0"/>
        <v>44377</v>
      </c>
      <c r="AI3" s="5">
        <f t="shared" si="0"/>
        <v>44408</v>
      </c>
      <c r="AJ3" s="5">
        <f t="shared" si="0"/>
        <v>44439</v>
      </c>
      <c r="AK3" s="5">
        <f t="shared" si="0"/>
        <v>44469</v>
      </c>
      <c r="AL3" s="5">
        <f t="shared" si="0"/>
        <v>44500</v>
      </c>
      <c r="AM3" s="5">
        <f t="shared" si="0"/>
        <v>44530</v>
      </c>
      <c r="AN3" s="5">
        <f t="shared" si="0"/>
        <v>44561</v>
      </c>
      <c r="AO3" s="5">
        <f t="shared" si="0"/>
        <v>44592</v>
      </c>
      <c r="AP3" s="5">
        <f t="shared" si="0"/>
        <v>44620</v>
      </c>
      <c r="AQ3" s="5">
        <f t="shared" si="0"/>
        <v>44651</v>
      </c>
      <c r="AR3" s="5">
        <f t="shared" si="0"/>
        <v>44681</v>
      </c>
      <c r="AS3" s="5">
        <f t="shared" si="0"/>
        <v>44712</v>
      </c>
      <c r="AT3" s="5">
        <f t="shared" si="0"/>
        <v>44742</v>
      </c>
      <c r="AU3" s="5">
        <f t="shared" si="0"/>
        <v>44773</v>
      </c>
      <c r="AV3" s="5">
        <f t="shared" si="0"/>
        <v>44804</v>
      </c>
      <c r="AW3" s="5">
        <f t="shared" si="0"/>
        <v>44834</v>
      </c>
      <c r="AX3" s="5">
        <f t="shared" si="0"/>
        <v>44865</v>
      </c>
      <c r="AY3" s="5">
        <f t="shared" si="0"/>
        <v>44895</v>
      </c>
      <c r="AZ3" s="5">
        <f t="shared" si="0"/>
        <v>44926</v>
      </c>
      <c r="BA3" s="5">
        <f t="shared" si="0"/>
        <v>44957</v>
      </c>
      <c r="BB3" s="5">
        <f t="shared" si="0"/>
        <v>44985</v>
      </c>
      <c r="BC3" s="5">
        <f t="shared" si="0"/>
        <v>45016</v>
      </c>
      <c r="BD3" s="5">
        <f t="shared" si="0"/>
        <v>45046</v>
      </c>
      <c r="BE3" s="5">
        <f t="shared" si="0"/>
        <v>45077</v>
      </c>
      <c r="BF3" s="5">
        <f t="shared" si="0"/>
        <v>45107</v>
      </c>
      <c r="BG3" s="5">
        <f t="shared" si="0"/>
        <v>45138</v>
      </c>
      <c r="BH3" s="5">
        <f t="shared" si="0"/>
        <v>45169</v>
      </c>
      <c r="BI3" s="5">
        <f t="shared" si="0"/>
        <v>45199</v>
      </c>
      <c r="BJ3" s="5">
        <f t="shared" si="0"/>
        <v>45230</v>
      </c>
      <c r="BK3" s="5">
        <f t="shared" si="0"/>
        <v>45260</v>
      </c>
      <c r="BL3" s="5">
        <f t="shared" si="0"/>
        <v>45291</v>
      </c>
      <c r="BM3" s="5">
        <f t="shared" si="0"/>
        <v>45322</v>
      </c>
      <c r="BN3" s="5">
        <f t="shared" si="0"/>
        <v>45351</v>
      </c>
      <c r="BO3" s="5">
        <f t="shared" si="0"/>
        <v>45382</v>
      </c>
      <c r="BP3" s="5">
        <f t="shared" si="0"/>
        <v>45412</v>
      </c>
      <c r="BQ3" s="5">
        <f t="shared" si="0"/>
        <v>45443</v>
      </c>
      <c r="BR3" s="5">
        <f t="shared" ref="BR3:CJ3" si="1">EOMONTH(BR2,0)</f>
        <v>45473</v>
      </c>
      <c r="BS3" s="5">
        <f t="shared" si="1"/>
        <v>45504</v>
      </c>
      <c r="BT3" s="5">
        <f t="shared" si="1"/>
        <v>45535</v>
      </c>
      <c r="BU3" s="5">
        <f t="shared" si="1"/>
        <v>45565</v>
      </c>
      <c r="BV3" s="5">
        <f t="shared" si="1"/>
        <v>45596</v>
      </c>
      <c r="BW3" s="5">
        <f t="shared" si="1"/>
        <v>45626</v>
      </c>
      <c r="BX3" s="5">
        <f t="shared" si="1"/>
        <v>45657</v>
      </c>
      <c r="BY3" s="5">
        <f t="shared" si="1"/>
        <v>45688</v>
      </c>
      <c r="BZ3" s="5">
        <f t="shared" si="1"/>
        <v>45716</v>
      </c>
      <c r="CA3" s="5">
        <f t="shared" si="1"/>
        <v>45747</v>
      </c>
      <c r="CB3" s="5">
        <f t="shared" si="1"/>
        <v>45777</v>
      </c>
      <c r="CC3" s="5">
        <f t="shared" si="1"/>
        <v>45808</v>
      </c>
      <c r="CD3" s="5">
        <f t="shared" si="1"/>
        <v>45838</v>
      </c>
      <c r="CE3" s="5">
        <f t="shared" si="1"/>
        <v>45869</v>
      </c>
      <c r="CF3" s="5">
        <f t="shared" si="1"/>
        <v>45900</v>
      </c>
      <c r="CG3" s="5">
        <f t="shared" si="1"/>
        <v>45930</v>
      </c>
      <c r="CH3" s="5">
        <f t="shared" si="1"/>
        <v>45961</v>
      </c>
      <c r="CI3" s="5">
        <f t="shared" si="1"/>
        <v>45991</v>
      </c>
      <c r="CJ3" s="5">
        <f t="shared" si="1"/>
        <v>46022</v>
      </c>
      <c r="CM3" s="5">
        <f t="shared" ref="CM3:DZ3" si="2">EOMONTH(CM2,0)</f>
        <v>42035</v>
      </c>
      <c r="CN3" s="5">
        <f t="shared" si="2"/>
        <v>42124</v>
      </c>
      <c r="CO3" s="5">
        <f t="shared" si="2"/>
        <v>42216</v>
      </c>
      <c r="CP3" s="5">
        <f t="shared" si="2"/>
        <v>42308</v>
      </c>
      <c r="CQ3" s="5">
        <f t="shared" si="2"/>
        <v>42400</v>
      </c>
      <c r="CR3" s="5">
        <f t="shared" si="2"/>
        <v>42490</v>
      </c>
      <c r="CS3" s="5">
        <f t="shared" si="2"/>
        <v>42582</v>
      </c>
      <c r="CT3" s="5">
        <f t="shared" si="2"/>
        <v>42674</v>
      </c>
      <c r="CU3" s="5">
        <f t="shared" si="2"/>
        <v>42766</v>
      </c>
      <c r="CV3" s="5">
        <f t="shared" si="2"/>
        <v>42855</v>
      </c>
      <c r="CW3" s="5">
        <f t="shared" si="2"/>
        <v>42947</v>
      </c>
      <c r="CX3" s="5">
        <f t="shared" si="2"/>
        <v>43039</v>
      </c>
      <c r="CY3" s="5">
        <f t="shared" si="2"/>
        <v>43131</v>
      </c>
      <c r="CZ3" s="5">
        <f t="shared" si="2"/>
        <v>43220</v>
      </c>
      <c r="DA3" s="5">
        <f t="shared" si="2"/>
        <v>43312</v>
      </c>
      <c r="DB3" s="5">
        <f t="shared" si="2"/>
        <v>43404</v>
      </c>
      <c r="DC3" s="5">
        <f t="shared" si="2"/>
        <v>43496</v>
      </c>
      <c r="DD3" s="5">
        <f t="shared" si="2"/>
        <v>43585</v>
      </c>
      <c r="DE3" s="5">
        <f t="shared" si="2"/>
        <v>43677</v>
      </c>
      <c r="DF3" s="5">
        <f t="shared" si="2"/>
        <v>43769</v>
      </c>
      <c r="DG3" s="5">
        <f t="shared" si="2"/>
        <v>43861</v>
      </c>
      <c r="DH3" s="5">
        <f t="shared" si="2"/>
        <v>43951</v>
      </c>
      <c r="DI3" s="5">
        <f t="shared" si="2"/>
        <v>44043</v>
      </c>
      <c r="DJ3" s="5">
        <f t="shared" si="2"/>
        <v>44135</v>
      </c>
      <c r="DK3" s="5">
        <f t="shared" si="2"/>
        <v>44227</v>
      </c>
      <c r="DL3" s="5">
        <f t="shared" si="2"/>
        <v>44316</v>
      </c>
      <c r="DM3" s="5">
        <f t="shared" si="2"/>
        <v>44408</v>
      </c>
      <c r="DN3" s="5">
        <f t="shared" si="2"/>
        <v>44500</v>
      </c>
      <c r="DO3" s="5">
        <f t="shared" si="2"/>
        <v>44592</v>
      </c>
      <c r="DP3" s="5">
        <f t="shared" si="2"/>
        <v>44681</v>
      </c>
      <c r="DQ3" s="5">
        <f t="shared" si="2"/>
        <v>44773</v>
      </c>
      <c r="DR3" s="5">
        <f t="shared" si="2"/>
        <v>44865</v>
      </c>
      <c r="DS3" s="5">
        <f t="shared" si="2"/>
        <v>44957</v>
      </c>
      <c r="DT3" s="5">
        <f t="shared" si="2"/>
        <v>45046</v>
      </c>
      <c r="DU3" s="5">
        <f t="shared" si="2"/>
        <v>45138</v>
      </c>
      <c r="DV3" s="5">
        <f t="shared" si="2"/>
        <v>45230</v>
      </c>
      <c r="DW3" s="5">
        <f t="shared" si="2"/>
        <v>45322</v>
      </c>
      <c r="DX3" s="5">
        <f t="shared" si="2"/>
        <v>45412</v>
      </c>
      <c r="DY3" s="5">
        <f t="shared" si="2"/>
        <v>45504</v>
      </c>
      <c r="DZ3" s="5">
        <f t="shared" si="2"/>
        <v>45596</v>
      </c>
      <c r="EA3" s="5">
        <f t="shared" ref="EA3:EE3" si="3">EOMONTH(EA2,0)</f>
        <v>45688</v>
      </c>
      <c r="EB3" s="5">
        <f t="shared" si="3"/>
        <v>45777</v>
      </c>
      <c r="EC3" s="5">
        <f t="shared" si="3"/>
        <v>45869</v>
      </c>
      <c r="ED3" s="5">
        <f t="shared" si="3"/>
        <v>45961</v>
      </c>
      <c r="EE3" s="5">
        <f t="shared" si="3"/>
        <v>46053</v>
      </c>
      <c r="EF3" s="5">
        <f t="shared" ref="EF3:EI3" si="4">EOMONTH(EF2,0)</f>
        <v>46142</v>
      </c>
      <c r="EG3" s="5">
        <f t="shared" si="4"/>
        <v>46234</v>
      </c>
      <c r="EH3" s="5">
        <f t="shared" si="4"/>
        <v>46326</v>
      </c>
      <c r="EI3" s="5">
        <f t="shared" si="4"/>
        <v>46418</v>
      </c>
    </row>
    <row r="4" spans="1:139" x14ac:dyDescent="0.35">
      <c r="A4" t="str">
        <f>D4</f>
        <v>Bank Rate</v>
      </c>
      <c r="B4" t="str">
        <f>D4</f>
        <v>Bank Rate</v>
      </c>
      <c r="C4" t="str">
        <f>B4</f>
        <v>Bank Rate</v>
      </c>
      <c r="D4" t="s">
        <v>839</v>
      </c>
      <c r="E4" s="6">
        <f>VLOOKUP(E2,HAVERM!$A:$C,3,FALSE)</f>
        <v>0.75</v>
      </c>
      <c r="F4" s="6">
        <f>VLOOKUP(F2,HAVERM!$A:$C,3,FALSE)</f>
        <v>0.75</v>
      </c>
      <c r="G4" s="6">
        <f>VLOOKUP(G2,HAVERM!$A:$C,3,FALSE)</f>
        <v>0.75</v>
      </c>
      <c r="H4" s="6">
        <f>VLOOKUP(H2,HAVERM!$A:$C,3,FALSE)</f>
        <v>0.75</v>
      </c>
      <c r="I4" s="6">
        <f>VLOOKUP(I2,HAVERM!$A:$C,3,FALSE)</f>
        <v>0.75</v>
      </c>
      <c r="J4" s="6">
        <f>VLOOKUP(J2,HAVERM!$A:$C,3,FALSE)</f>
        <v>0.75</v>
      </c>
      <c r="K4" s="6">
        <f>VLOOKUP(K2,HAVERM!$A:$C,3,FALSE)</f>
        <v>0.75</v>
      </c>
      <c r="L4" s="6">
        <f>VLOOKUP(L2,HAVERM!$A:$C,3,FALSE)</f>
        <v>0.75</v>
      </c>
      <c r="M4" s="6">
        <f>VLOOKUP(M2,HAVERM!$A:$C,3,FALSE)</f>
        <v>0.75</v>
      </c>
      <c r="N4" s="6">
        <f>VLOOKUP(N2,HAVERM!$A:$C,3,FALSE)</f>
        <v>0.75</v>
      </c>
      <c r="O4" s="6">
        <f>VLOOKUP(O2,HAVERM!$A:$C,3,FALSE)</f>
        <v>0.75</v>
      </c>
      <c r="P4" s="6">
        <f>VLOOKUP(P2,HAVERM!$A:$C,3,FALSE)</f>
        <v>0.75</v>
      </c>
      <c r="Q4" s="6">
        <f>VLOOKUP(Q2,HAVERM!$A:$C,3,FALSE)</f>
        <v>0.75</v>
      </c>
      <c r="R4" s="6">
        <f>VLOOKUP(R2,HAVERM!$A:$C,3,FALSE)</f>
        <v>0.75</v>
      </c>
      <c r="S4" s="6">
        <f>VLOOKUP(S2,HAVERM!$A:$C,3,FALSE)</f>
        <v>0.1</v>
      </c>
      <c r="T4" s="6">
        <f>VLOOKUP(T2,HAVERM!$A:$C,3,FALSE)</f>
        <v>0.1</v>
      </c>
      <c r="U4" s="6">
        <f>VLOOKUP(U2,HAVERM!$A:$C,3,FALSE)</f>
        <v>0.1</v>
      </c>
      <c r="V4" s="6">
        <f>VLOOKUP(V2,HAVERM!$A:$C,3,FALSE)</f>
        <v>0.1</v>
      </c>
      <c r="W4" s="6">
        <f>VLOOKUP(W2,HAVERM!$A:$C,3,FALSE)</f>
        <v>0.1</v>
      </c>
      <c r="X4" s="6">
        <f>VLOOKUP(X2,HAVERM!$A:$C,3,FALSE)</f>
        <v>0.1</v>
      </c>
      <c r="Y4" s="6">
        <f>VLOOKUP(Y2,HAVERM!$A:$C,3,FALSE)</f>
        <v>0.1</v>
      </c>
      <c r="Z4" s="6">
        <f>VLOOKUP(Z2,HAVERM!$A:$C,3,FALSE)</f>
        <v>0.1</v>
      </c>
      <c r="AA4" s="6">
        <f>VLOOKUP(AA2,HAVERM!$A:$C,3,FALSE)</f>
        <v>0.1</v>
      </c>
      <c r="AB4" s="6">
        <f>VLOOKUP(AB2,HAVERM!$A:$C,3,FALSE)</f>
        <v>0.1</v>
      </c>
      <c r="AC4" s="6">
        <f>VLOOKUP(AC2,HAVERM!$A:$C,3,FALSE)</f>
        <v>0.1</v>
      </c>
      <c r="AD4" s="6">
        <f>VLOOKUP(AD2,HAVERM!$A:$C,3,FALSE)</f>
        <v>0.1</v>
      </c>
      <c r="AE4" s="6">
        <f>VLOOKUP(AE2,HAVERM!$A:$C,3,FALSE)</f>
        <v>0.1</v>
      </c>
      <c r="AF4" s="6">
        <f>VLOOKUP(AF2,HAVERM!$A:$C,3,FALSE)</f>
        <v>0.1</v>
      </c>
      <c r="AG4" s="6">
        <f>VLOOKUP(AG2,HAVERM!$A:$C,3,FALSE)</f>
        <v>0.1</v>
      </c>
      <c r="AH4" s="6">
        <f>VLOOKUP(AH2,HAVERM!$A:$C,3,FALSE)</f>
        <v>0.1</v>
      </c>
      <c r="AI4" s="6">
        <f>VLOOKUP(AI2,HAVERM!$A:$C,3,FALSE)</f>
        <v>0.1</v>
      </c>
      <c r="AJ4" s="6">
        <f>VLOOKUP(AJ2,HAVERM!$A:$C,3,FALSE)</f>
        <v>0.1</v>
      </c>
      <c r="AK4" s="6">
        <f>VLOOKUP(AK2,HAVERM!$A:$C,3,FALSE)</f>
        <v>0.1</v>
      </c>
      <c r="AL4" s="6">
        <f>VLOOKUP(AL2,HAVERM!$A:$C,3,FALSE)</f>
        <v>0.1</v>
      </c>
      <c r="AM4" s="6">
        <f>VLOOKUP(AM2,HAVERM!$A:$C,3,FALSE)</f>
        <v>0.1</v>
      </c>
      <c r="AN4" s="6">
        <f>VLOOKUP(AN2,HAVERM!$A:$C,3,FALSE)</f>
        <v>0.25</v>
      </c>
      <c r="AO4" s="6">
        <f>VLOOKUP(AO2,HAVERM!$A:$C,3,FALSE)</f>
        <v>0.25</v>
      </c>
      <c r="AP4" s="6">
        <f>VLOOKUP(AP2,HAVERM!$A:$C,3,FALSE)</f>
        <v>0.5</v>
      </c>
      <c r="AQ4" s="6">
        <f>VLOOKUP(AQ2,HAVERM!$A:$C,3,FALSE)</f>
        <v>0.75</v>
      </c>
      <c r="AR4" s="6">
        <f>VLOOKUP(AR2,HAVERM!$A:$C,3,FALSE)</f>
        <v>0.75</v>
      </c>
      <c r="AS4" s="6">
        <f>VLOOKUP(AS2,HAVERM!$A:$C,3,FALSE)</f>
        <v>1</v>
      </c>
      <c r="AT4" s="6">
        <f>VLOOKUP(AT2,HAVERM!$A:$C,3,FALSE)</f>
        <v>1.25</v>
      </c>
      <c r="AU4" s="6">
        <f>VLOOKUP(AU2,HAVERM!$A:$C,3,FALSE)</f>
        <v>1.25</v>
      </c>
      <c r="AV4" s="6">
        <f>VLOOKUP(AV2,HAVERM!$A:$C,3,FALSE)</f>
        <v>1.75</v>
      </c>
      <c r="AW4" s="6">
        <f>VLOOKUP(AW2,HAVERM!$A:$C,3,FALSE)</f>
        <v>2.25</v>
      </c>
      <c r="AX4" s="6">
        <f>VLOOKUP(AX2,HAVERM!$A:$C,3,FALSE)</f>
        <v>2.25</v>
      </c>
      <c r="AY4" s="6">
        <f>VLOOKUP(AY2,HAVERM!$A:$C,3,FALSE)</f>
        <v>3</v>
      </c>
      <c r="AZ4" s="6">
        <f>VLOOKUP(AZ2,HAVERM!$A:$C,3,FALSE)</f>
        <v>3.5</v>
      </c>
      <c r="BA4" s="6">
        <f>VLOOKUP(BA2,HAVERM!$A:$C,3,FALSE)</f>
        <v>3.5</v>
      </c>
      <c r="BB4" s="6">
        <f>VLOOKUP(BB2,HAVERM!$A:$C,3,FALSE)</f>
        <v>4</v>
      </c>
      <c r="BC4" s="6">
        <f>VLOOKUP(BC2,HAVERM!$A:$C,3,FALSE)</f>
        <v>4.25</v>
      </c>
      <c r="BD4" s="6">
        <f>VLOOKUP(BD2,HAVERM!$A:$C,3,FALSE)</f>
        <v>4.25</v>
      </c>
      <c r="BE4" s="6">
        <f>VLOOKUP(BE2,HAVERM!$A:$C,3,FALSE)</f>
        <v>4.5</v>
      </c>
      <c r="BF4" s="6">
        <f>VLOOKUP(BF2,HAVERM!$A:$C,3,FALSE)</f>
        <v>5</v>
      </c>
      <c r="BG4" s="6">
        <f>VLOOKUP(BG2,HAVERM!$A:$C,3,FALSE)</f>
        <v>5</v>
      </c>
      <c r="BH4" s="6">
        <f>VLOOKUP(BH2,HAVERM!$A:$C,3,FALSE)</f>
        <v>5.25</v>
      </c>
      <c r="BI4" s="6">
        <f>VLOOKUP(BI2,HAVERM!$A:$C,3,FALSE)</f>
        <v>5.25</v>
      </c>
      <c r="BJ4" s="6">
        <f>VLOOKUP(BJ2,HAVERM!$A:$C,3,FALSE)</f>
        <v>5.25</v>
      </c>
      <c r="BK4" s="6">
        <f>VLOOKUP(BK2,HAVERM!$A:$C,3,FALSE)</f>
        <v>5.25</v>
      </c>
      <c r="BL4" s="6">
        <f>VLOOKUP(BL2,HAVERM!$A:$C,3,FALSE)</f>
        <v>5.25</v>
      </c>
      <c r="BM4" s="6">
        <f>VLOOKUP(BM2,HAVERM!$A:$C,3,FALSE)</f>
        <v>5.25</v>
      </c>
      <c r="BN4" s="6">
        <f>VLOOKUP(BN2,HAVERM!$A:$C,3,FALSE)</f>
        <v>5.25</v>
      </c>
      <c r="BO4" s="6">
        <f>VLOOKUP(BO2,HAVERM!$A:$C,3,FALSE)</f>
        <v>5.25</v>
      </c>
      <c r="BP4" s="8">
        <v>5.25</v>
      </c>
      <c r="BQ4" s="6" t="e">
        <f>VLOOKUP(BQ2,HAVERM!$A:$C,3,FALSE)</f>
        <v>#N/A</v>
      </c>
      <c r="BR4" s="6" t="e">
        <f>VLOOKUP(BR2,HAVERM!$A:$C,3,FALSE)</f>
        <v>#N/A</v>
      </c>
      <c r="BS4" s="6" t="e">
        <f>VLOOKUP(BS2,HAVERM!$A:$C,3,FALSE)</f>
        <v>#N/A</v>
      </c>
      <c r="BT4" s="6" t="e">
        <f>VLOOKUP(BT2,HAVERM!$A:$C,3,FALSE)</f>
        <v>#N/A</v>
      </c>
      <c r="BU4" s="6" t="e">
        <f>VLOOKUP(BU2,HAVERM!$A:$C,3,FALSE)</f>
        <v>#N/A</v>
      </c>
      <c r="BV4" s="6" t="e">
        <f>VLOOKUP(BV2,HAVERM!$A:$C,3,FALSE)</f>
        <v>#N/A</v>
      </c>
      <c r="BW4" s="6" t="e">
        <f>VLOOKUP(BW2,HAVERM!$A:$C,3,FALSE)</f>
        <v>#N/A</v>
      </c>
      <c r="BX4" s="6" t="e">
        <f>VLOOKUP(BX2,HAVERM!$A:$C,3,FALSE)</f>
        <v>#N/A</v>
      </c>
      <c r="BY4" s="6" t="e">
        <f>VLOOKUP(BY2,HAVERM!$A:$C,3,FALSE)</f>
        <v>#N/A</v>
      </c>
      <c r="BZ4" s="6" t="e">
        <f>VLOOKUP(BZ2,HAVERM!$A:$C,3,FALSE)</f>
        <v>#N/A</v>
      </c>
      <c r="CA4" s="6" t="e">
        <f>VLOOKUP(CA2,HAVERM!$A:$C,3,FALSE)</f>
        <v>#N/A</v>
      </c>
      <c r="CB4" s="6" t="e">
        <f>VLOOKUP(CB2,HAVERM!$A:$C,3,FALSE)</f>
        <v>#N/A</v>
      </c>
      <c r="CC4" s="6" t="e">
        <f>VLOOKUP(CC2,HAVERM!$A:$C,3,FALSE)</f>
        <v>#N/A</v>
      </c>
      <c r="CD4" s="6" t="e">
        <f>VLOOKUP(CD2,HAVERM!$A:$C,3,FALSE)</f>
        <v>#N/A</v>
      </c>
      <c r="CE4" s="6" t="e">
        <f>VLOOKUP(CE2,HAVERM!$A:$C,3,FALSE)</f>
        <v>#N/A</v>
      </c>
      <c r="CF4" s="6" t="e">
        <f>VLOOKUP(CF2,HAVERM!$A:$C,3,FALSE)</f>
        <v>#N/A</v>
      </c>
      <c r="CG4" s="6" t="e">
        <f>VLOOKUP(CG2,HAVERM!$A:$C,3,FALSE)</f>
        <v>#N/A</v>
      </c>
      <c r="CH4" s="6" t="e">
        <f>VLOOKUP(CH2,HAVERM!$A:$C,3,FALSE)</f>
        <v>#N/A</v>
      </c>
      <c r="CI4" s="6" t="e">
        <f>VLOOKUP(CI2,HAVERM!$A:$C,3,FALSE)</f>
        <v>#N/A</v>
      </c>
      <c r="CJ4" s="6" t="e">
        <f>VLOOKUP(CJ2,HAVERM!$A:$C,3,FALSE)</f>
        <v>#N/A</v>
      </c>
      <c r="CL4" t="str">
        <f>A4</f>
        <v>Bank Rate</v>
      </c>
      <c r="CM4" s="6">
        <f ca="1">IF(CM1&lt;$F$1,VLOOKUP(CM2,HAVERQ!$A:$D,4,FALSE),NA())</f>
        <v>0.5</v>
      </c>
      <c r="CN4" s="6">
        <f ca="1">IF(CN1&lt;$F$1,VLOOKUP(CN2,HAVERQ!$A:$D,4,FALSE),NA())</f>
        <v>0.5</v>
      </c>
      <c r="CO4" s="6">
        <f ca="1">IF(CO1&lt;$F$1,VLOOKUP(CO2,HAVERQ!$A:$D,4,FALSE),NA())</f>
        <v>0.5</v>
      </c>
      <c r="CP4" s="6">
        <f ca="1">IF(CP1&lt;$F$1,VLOOKUP(CP2,HAVERQ!$A:$D,4,FALSE),NA())</f>
        <v>0.5</v>
      </c>
      <c r="CQ4" s="6">
        <f ca="1">IF(CQ1&lt;$F$1,VLOOKUP(CQ2,HAVERQ!$A:$D,4,FALSE),NA())</f>
        <v>0.5</v>
      </c>
      <c r="CR4" s="6">
        <f ca="1">IF(CR1&lt;$F$1,VLOOKUP(CR2,HAVERQ!$A:$D,4,FALSE),NA())</f>
        <v>0.5</v>
      </c>
      <c r="CS4" s="6">
        <f ca="1">IF(CS1&lt;$F$1,VLOOKUP(CS2,HAVERQ!$A:$D,4,FALSE),NA())</f>
        <v>0.34090909090909088</v>
      </c>
      <c r="CT4" s="6">
        <f ca="1">IF(CT1&lt;$F$1,VLOOKUP(CT2,HAVERQ!$A:$D,4,FALSE),NA())</f>
        <v>0.25</v>
      </c>
      <c r="CU4" s="6">
        <f ca="1">IF(CU1&lt;$F$1,VLOOKUP(CU2,HAVERQ!$A:$D,4,FALSE),NA())</f>
        <v>0.25</v>
      </c>
      <c r="CV4" s="6">
        <f ca="1">IF(CV1&lt;$F$1,VLOOKUP(CV2,HAVERQ!$A:$D,4,FALSE),NA())</f>
        <v>0.25</v>
      </c>
      <c r="CW4" s="6">
        <f ca="1">IF(CW1&lt;$F$1,VLOOKUP(CW2,HAVERQ!$A:$D,4,FALSE),NA())</f>
        <v>0.25</v>
      </c>
      <c r="CX4" s="6">
        <f ca="1">IF(CX1&lt;$F$1,VLOOKUP(CX2,HAVERQ!$A:$D,4,FALSE),NA())</f>
        <v>0.41153846153846152</v>
      </c>
      <c r="CY4" s="6">
        <f ca="1">IF(CY1&lt;$F$1,VLOOKUP(CY2,HAVERQ!$A:$D,4,FALSE),NA())</f>
        <v>0.5</v>
      </c>
      <c r="CZ4" s="6">
        <f ca="1">IF(CZ1&lt;$F$1,VLOOKUP(CZ2,HAVERQ!$A:$D,4,FALSE),NA())</f>
        <v>0.5</v>
      </c>
      <c r="DA4" s="6">
        <f ca="1">IF(DA1&lt;$F$1,VLOOKUP(DA2,HAVERQ!$A:$D,4,FALSE),NA())</f>
        <v>0.66153846153846152</v>
      </c>
      <c r="DB4" s="6">
        <f ca="1">IF(DB1&lt;$F$1,VLOOKUP(DB2,HAVERQ!$A:$D,4,FALSE),NA())</f>
        <v>0.75</v>
      </c>
      <c r="DC4" s="6">
        <f ca="1">IF(DC1&lt;$F$1,VLOOKUP(DC2,HAVERQ!$A:$D,4,FALSE),NA())</f>
        <v>0.75</v>
      </c>
      <c r="DD4" s="6">
        <f ca="1">IF(DD1&lt;$F$1,VLOOKUP(DD2,HAVERQ!$A:$D,4,FALSE),NA())</f>
        <v>0.75</v>
      </c>
      <c r="DE4" s="6">
        <f ca="1">IF(DE1&lt;$F$1,VLOOKUP(DE2,HAVERQ!$A:$D,4,FALSE),NA())</f>
        <v>0.75</v>
      </c>
      <c r="DF4" s="6">
        <f ca="1">IF(DF1&lt;$F$1,VLOOKUP(DF2,HAVERQ!$A:$D,4,FALSE),NA())</f>
        <v>0.75</v>
      </c>
      <c r="DG4" s="6">
        <f ca="1">IF(DG1&lt;$F$1,VLOOKUP(DG2,HAVERQ!$A:$D,4,FALSE),NA())</f>
        <v>0.61384615384615404</v>
      </c>
      <c r="DH4" s="6">
        <f ca="1">IF(DH1&lt;$F$1,VLOOKUP(DH2,HAVERQ!$A:$D,4,FALSE),NA())</f>
        <v>9.9999999999999895E-2</v>
      </c>
      <c r="DI4" s="6">
        <f ca="1">IF(DI1&lt;$F$1,VLOOKUP(DI2,HAVERQ!$A:$D,4,FALSE),NA())</f>
        <v>9.9999999999999881E-2</v>
      </c>
      <c r="DJ4" s="6">
        <f ca="1">IF(DJ1&lt;$F$1,VLOOKUP(DJ2,HAVERQ!$A:$D,4,FALSE),NA())</f>
        <v>9.9999999999999881E-2</v>
      </c>
      <c r="DK4" s="6">
        <f ca="1">IF(DK1&lt;$F$1,VLOOKUP(DK2,HAVERQ!$A:$D,4,FALSE),NA())</f>
        <v>9.9999999999999895E-2</v>
      </c>
      <c r="DL4" s="6">
        <f ca="1">IF(DL1&lt;$F$1,VLOOKUP(DL2,HAVERQ!$A:$D,4,FALSE),NA())</f>
        <v>9.9999999999999895E-2</v>
      </c>
      <c r="DM4" s="6">
        <f ca="1">IF(DM1&lt;$F$1,VLOOKUP(DM2,HAVERQ!$A:$D,4,FALSE),NA())</f>
        <v>9.9999999999999881E-2</v>
      </c>
      <c r="DN4" s="6">
        <f ca="1">IF(DN1&lt;$F$1,VLOOKUP(DN2,HAVERQ!$A:$D,4,FALSE),NA())</f>
        <v>0.12727272727272723</v>
      </c>
      <c r="DO4" s="6">
        <f ca="1">IF(DO1&lt;$F$1,VLOOKUP(DO2,HAVERQ!$A:$D,4,FALSE),NA())</f>
        <v>0.453125</v>
      </c>
      <c r="DP4" s="6">
        <f ca="1">IF(DP1&lt;$F$1,VLOOKUP(DP2,HAVERQ!$A:$D,4,FALSE),NA())</f>
        <v>0.95</v>
      </c>
      <c r="DQ4" s="6">
        <f ca="1">IF(DQ1&lt;$F$1,VLOOKUP(DQ2,HAVERQ!$A:$D,4,FALSE),NA())</f>
        <v>1.6212121212121211</v>
      </c>
      <c r="DR4" s="6">
        <f ca="1">IF(DR1&lt;$F$1,VLOOKUP(DR2,HAVERQ!$A:$D,4,FALSE),NA())</f>
        <v>2.8269230769230771</v>
      </c>
      <c r="DS4" s="6">
        <f ca="1">IF(DS1&lt;$F$1,VLOOKUP(DS2,HAVERQ!$A:$D,4,FALSE),NA())</f>
        <v>3.85</v>
      </c>
      <c r="DT4" s="6">
        <f ca="1">IF(DT1&lt;$F$1,VLOOKUP(DT2,HAVERQ!$A:$D,4,FALSE),NA())</f>
        <v>4.4461538461538463</v>
      </c>
      <c r="DU4" s="6">
        <f ca="1">IF(DU1&lt;$F$1,VLOOKUP(DU2,HAVERQ!$A:$D,4,FALSE),NA())</f>
        <v>5.1615384615384619</v>
      </c>
      <c r="DV4" s="6">
        <f ca="1">IF(DV1&lt;$F$1,VLOOKUP(DV2,HAVERQ!$A:$D,4,FALSE),NA())</f>
        <v>5.25</v>
      </c>
      <c r="DW4" s="6">
        <f ca="1">IF(DW1&lt;$F$1,VLOOKUP(DW2,HAVERQ!$A:$D,4,FALSE),NA())</f>
        <v>5.25</v>
      </c>
      <c r="DX4" s="6" t="e">
        <f ca="1">IF(DX1&lt;$F$1,VLOOKUP(DX2,HAVERQ!$A:$D,4,FALSE),NA())</f>
        <v>#N/A</v>
      </c>
      <c r="DY4" s="6" t="e">
        <f ca="1">IF(DY1&lt;$F$1,VLOOKUP(DY2,HAVERQ!$A:$D,4,FALSE),NA())</f>
        <v>#N/A</v>
      </c>
      <c r="DZ4" s="6" t="e">
        <f ca="1">IF(DZ1&lt;$F$1,VLOOKUP(DZ2,HAVERQ!$A:$D,4,FALSE),NA())</f>
        <v>#N/A</v>
      </c>
      <c r="EA4" s="6" t="e">
        <f ca="1">IF(EA1&lt;$F$1,VLOOKUP(EA2,HAVERQ!$A:$D,4,FALSE),NA())</f>
        <v>#N/A</v>
      </c>
      <c r="EB4" s="6" t="e">
        <f ca="1">IF(EB1&lt;$F$1,VLOOKUP(EB2,HAVERQ!$A:$D,4,FALSE),NA())</f>
        <v>#N/A</v>
      </c>
      <c r="EC4" s="6" t="e">
        <f ca="1">IF(EC1&lt;$F$1,VLOOKUP(EC2,HAVERQ!$A:$D,4,FALSE),NA())</f>
        <v>#N/A</v>
      </c>
      <c r="ED4" s="6" t="e">
        <f ca="1">IF(ED1&lt;$F$1,VLOOKUP(ED2,HAVERQ!$A:$D,4,FALSE),NA())</f>
        <v>#N/A</v>
      </c>
      <c r="EE4" s="6" t="e">
        <f ca="1">IF(EE1&lt;$F$1,VLOOKUP(EE2,HAVERQ!$A:$D,4,FALSE),NA())</f>
        <v>#N/A</v>
      </c>
      <c r="EF4" s="6" t="e">
        <f ca="1">IF(EF1&lt;$F$1,VLOOKUP(EF2,HAVERQ!$A:$D,4,FALSE),NA())</f>
        <v>#N/A</v>
      </c>
      <c r="EG4" s="6" t="e">
        <f ca="1">IF(EG1&lt;$F$1,VLOOKUP(EG2,HAVERQ!$A:$D,4,FALSE),NA())</f>
        <v>#N/A</v>
      </c>
    </row>
    <row r="5" spans="1:139" x14ac:dyDescent="0.35">
      <c r="A5" s="7" t="s">
        <v>2836</v>
      </c>
      <c r="B5" s="21">
        <f>D5</f>
        <v>45324</v>
      </c>
      <c r="C5" s="21" t="s">
        <v>2833</v>
      </c>
      <c r="D5" s="5">
        <f>D15</f>
        <v>45324</v>
      </c>
      <c r="E5" s="6" t="e">
        <f>HLOOKUP(E$3,$E$14:$AO$15,2,FALSE)</f>
        <v>#N/A</v>
      </c>
      <c r="F5" s="6" t="e">
        <f t="shared" ref="F5:BQ5" si="5">HLOOKUP(F$3,$E$14:$AO$15,2,FALSE)</f>
        <v>#N/A</v>
      </c>
      <c r="G5" s="6" t="e">
        <f t="shared" si="5"/>
        <v>#N/A</v>
      </c>
      <c r="H5" s="6" t="e">
        <f t="shared" si="5"/>
        <v>#N/A</v>
      </c>
      <c r="I5" s="6" t="e">
        <f t="shared" si="5"/>
        <v>#N/A</v>
      </c>
      <c r="J5" s="6" t="e">
        <f t="shared" si="5"/>
        <v>#N/A</v>
      </c>
      <c r="K5" s="6" t="e">
        <f t="shared" si="5"/>
        <v>#N/A</v>
      </c>
      <c r="L5" s="6" t="e">
        <f t="shared" si="5"/>
        <v>#N/A</v>
      </c>
      <c r="M5" s="6" t="e">
        <f t="shared" si="5"/>
        <v>#N/A</v>
      </c>
      <c r="N5" s="6" t="e">
        <f t="shared" si="5"/>
        <v>#N/A</v>
      </c>
      <c r="O5" s="6" t="e">
        <f t="shared" si="5"/>
        <v>#N/A</v>
      </c>
      <c r="P5" s="6" t="e">
        <f t="shared" si="5"/>
        <v>#N/A</v>
      </c>
      <c r="Q5" s="6" t="e">
        <f>HLOOKUP(Q$3,$E$14:$AO$15,2,FALSE)</f>
        <v>#N/A</v>
      </c>
      <c r="R5" s="6" t="e">
        <f t="shared" si="5"/>
        <v>#N/A</v>
      </c>
      <c r="S5" s="6" t="e">
        <f t="shared" si="5"/>
        <v>#N/A</v>
      </c>
      <c r="T5" s="6" t="e">
        <f t="shared" si="5"/>
        <v>#N/A</v>
      </c>
      <c r="U5" s="6" t="e">
        <f t="shared" si="5"/>
        <v>#N/A</v>
      </c>
      <c r="V5" s="6" t="e">
        <f t="shared" si="5"/>
        <v>#N/A</v>
      </c>
      <c r="W5" s="6" t="e">
        <f t="shared" si="5"/>
        <v>#N/A</v>
      </c>
      <c r="X5" s="6" t="e">
        <f t="shared" si="5"/>
        <v>#N/A</v>
      </c>
      <c r="Y5" s="6" t="e">
        <f t="shared" si="5"/>
        <v>#N/A</v>
      </c>
      <c r="Z5" s="6" t="e">
        <f t="shared" si="5"/>
        <v>#N/A</v>
      </c>
      <c r="AA5" s="6" t="e">
        <f t="shared" si="5"/>
        <v>#N/A</v>
      </c>
      <c r="AB5" s="6" t="e">
        <f t="shared" si="5"/>
        <v>#N/A</v>
      </c>
      <c r="AC5" s="6" t="e">
        <f t="shared" si="5"/>
        <v>#N/A</v>
      </c>
      <c r="AD5" s="6" t="e">
        <f t="shared" si="5"/>
        <v>#N/A</v>
      </c>
      <c r="AE5" s="6" t="e">
        <f t="shared" si="5"/>
        <v>#N/A</v>
      </c>
      <c r="AF5" s="6" t="e">
        <f t="shared" si="5"/>
        <v>#N/A</v>
      </c>
      <c r="AG5" s="6" t="e">
        <f t="shared" si="5"/>
        <v>#N/A</v>
      </c>
      <c r="AH5" s="6" t="e">
        <f t="shared" si="5"/>
        <v>#N/A</v>
      </c>
      <c r="AI5" s="6" t="e">
        <f t="shared" si="5"/>
        <v>#N/A</v>
      </c>
      <c r="AJ5" s="6" t="e">
        <f t="shared" si="5"/>
        <v>#N/A</v>
      </c>
      <c r="AK5" s="6" t="e">
        <f t="shared" si="5"/>
        <v>#N/A</v>
      </c>
      <c r="AL5" s="6" t="e">
        <f t="shared" si="5"/>
        <v>#N/A</v>
      </c>
      <c r="AM5" s="6" t="e">
        <f t="shared" si="5"/>
        <v>#N/A</v>
      </c>
      <c r="AN5" s="6" t="e">
        <f t="shared" si="5"/>
        <v>#N/A</v>
      </c>
      <c r="AO5" s="6" t="e">
        <f t="shared" si="5"/>
        <v>#N/A</v>
      </c>
      <c r="AP5" s="6" t="e">
        <f t="shared" si="5"/>
        <v>#N/A</v>
      </c>
      <c r="AQ5" s="6" t="e">
        <f t="shared" si="5"/>
        <v>#N/A</v>
      </c>
      <c r="AR5" s="6" t="e">
        <f t="shared" si="5"/>
        <v>#N/A</v>
      </c>
      <c r="AS5" s="6" t="e">
        <f t="shared" si="5"/>
        <v>#N/A</v>
      </c>
      <c r="AT5" s="6" t="e">
        <f t="shared" si="5"/>
        <v>#N/A</v>
      </c>
      <c r="AU5" s="6" t="e">
        <f t="shared" si="5"/>
        <v>#N/A</v>
      </c>
      <c r="AV5" s="6" t="e">
        <f t="shared" si="5"/>
        <v>#N/A</v>
      </c>
      <c r="AW5" s="6" t="e">
        <f t="shared" si="5"/>
        <v>#N/A</v>
      </c>
      <c r="AX5" s="6" t="e">
        <f t="shared" si="5"/>
        <v>#N/A</v>
      </c>
      <c r="AY5" s="6" t="e">
        <f t="shared" si="5"/>
        <v>#N/A</v>
      </c>
      <c r="AZ5" s="6" t="e">
        <f t="shared" si="5"/>
        <v>#N/A</v>
      </c>
      <c r="BA5" s="6" t="e">
        <f t="shared" si="5"/>
        <v>#N/A</v>
      </c>
      <c r="BB5" s="6" t="e">
        <f t="shared" si="5"/>
        <v>#N/A</v>
      </c>
      <c r="BC5" s="6" t="e">
        <f t="shared" si="5"/>
        <v>#N/A</v>
      </c>
      <c r="BD5" s="6" t="e">
        <f t="shared" si="5"/>
        <v>#N/A</v>
      </c>
      <c r="BE5" s="6" t="e">
        <f t="shared" si="5"/>
        <v>#N/A</v>
      </c>
      <c r="BF5" s="6" t="e">
        <f t="shared" si="5"/>
        <v>#N/A</v>
      </c>
      <c r="BG5" s="6" t="e">
        <f t="shared" si="5"/>
        <v>#N/A</v>
      </c>
      <c r="BH5" s="6" t="e">
        <f t="shared" si="5"/>
        <v>#N/A</v>
      </c>
      <c r="BI5" s="6" t="e">
        <f t="shared" si="5"/>
        <v>#N/A</v>
      </c>
      <c r="BJ5" s="6" t="e">
        <f t="shared" si="5"/>
        <v>#N/A</v>
      </c>
      <c r="BK5" s="6" t="e">
        <f t="shared" si="5"/>
        <v>#N/A</v>
      </c>
      <c r="BL5" s="6" t="e">
        <f t="shared" si="5"/>
        <v>#N/A</v>
      </c>
      <c r="BM5" s="6" t="e">
        <f t="shared" si="5"/>
        <v>#N/A</v>
      </c>
      <c r="BN5" s="6">
        <f t="shared" si="5"/>
        <v>5.1885000000000003</v>
      </c>
      <c r="BO5" s="6">
        <f t="shared" si="5"/>
        <v>5.1810986000000003</v>
      </c>
      <c r="BP5" s="6">
        <f t="shared" si="5"/>
        <v>5.1687959000000001</v>
      </c>
      <c r="BQ5" s="6">
        <f t="shared" si="5"/>
        <v>5.1308084000000003</v>
      </c>
      <c r="BR5" s="6">
        <f t="shared" ref="BR5:CJ5" si="6">HLOOKUP(BR$3,$E$14:$AO$15,2,FALSE)</f>
        <v>5.0609634999999997</v>
      </c>
      <c r="BS5" s="6">
        <f t="shared" si="6"/>
        <v>4.9644914</v>
      </c>
      <c r="BT5" s="6">
        <f t="shared" si="6"/>
        <v>4.8513273999999997</v>
      </c>
      <c r="BU5" s="6">
        <f t="shared" si="6"/>
        <v>4.7330914999999996</v>
      </c>
      <c r="BV5" s="6">
        <f t="shared" si="6"/>
        <v>4.6182891000000001</v>
      </c>
      <c r="BW5" s="6">
        <f t="shared" si="6"/>
        <v>4.5105414000000001</v>
      </c>
      <c r="BX5" s="6">
        <f t="shared" si="6"/>
        <v>4.4107979999999998</v>
      </c>
      <c r="BY5" s="6">
        <f t="shared" si="6"/>
        <v>4.3182790999999998</v>
      </c>
      <c r="BZ5" s="6">
        <f t="shared" si="6"/>
        <v>4.2314125000000002</v>
      </c>
      <c r="CA5" s="6">
        <f t="shared" si="6"/>
        <v>4.1478409000000003</v>
      </c>
      <c r="CB5" s="6">
        <f t="shared" si="6"/>
        <v>4.0672927999999997</v>
      </c>
      <c r="CC5" s="6">
        <f t="shared" si="6"/>
        <v>3.9902348999999999</v>
      </c>
      <c r="CD5" s="6">
        <f t="shared" si="6"/>
        <v>3.9171312999999999</v>
      </c>
      <c r="CE5" s="6">
        <f t="shared" si="6"/>
        <v>3.8484460999999999</v>
      </c>
      <c r="CF5" s="6">
        <f t="shared" si="6"/>
        <v>3.7846460999999998</v>
      </c>
      <c r="CG5" s="6">
        <f t="shared" si="6"/>
        <v>3.7260905000000002</v>
      </c>
      <c r="CH5" s="6">
        <f t="shared" si="6"/>
        <v>3.6726510000000001</v>
      </c>
      <c r="CI5" s="6">
        <f t="shared" si="6"/>
        <v>3.6240602000000002</v>
      </c>
      <c r="CJ5" s="6">
        <f t="shared" si="6"/>
        <v>3.5800488000000001</v>
      </c>
      <c r="CL5" t="str">
        <f t="shared" ref="CL5:CL8" si="7">A5</f>
        <v>Market expectations - After February MPC meeting</v>
      </c>
      <c r="DN5" s="6"/>
      <c r="DO5" s="6"/>
      <c r="DP5" s="6"/>
      <c r="DQ5" s="6"/>
      <c r="DR5" s="6"/>
      <c r="DS5" s="6"/>
      <c r="DT5" s="6" t="e">
        <f>AVERAGE(BF5:BG5)</f>
        <v>#N/A</v>
      </c>
      <c r="DU5" s="6" t="e">
        <f>AVERAGE(BH5:BJ5)</f>
        <v>#N/A</v>
      </c>
      <c r="DV5" s="6" t="e">
        <f>AVERAGE(BK5:BM5)</f>
        <v>#N/A</v>
      </c>
      <c r="DW5" s="6">
        <f>AVERAGE(BN5:BP5)</f>
        <v>5.1794648333333333</v>
      </c>
      <c r="DX5" s="6">
        <f>AVERAGE(BQ5:BS5)</f>
        <v>5.0520877666666664</v>
      </c>
      <c r="DY5" s="6">
        <f>AVERAGE(BT5:BV5)</f>
        <v>4.7342360000000001</v>
      </c>
      <c r="DZ5" s="6">
        <f>AVERAGE(BW5:BY5)</f>
        <v>4.4132061666666669</v>
      </c>
      <c r="EA5" s="6">
        <f>AVERAGE(BZ5:CB5)</f>
        <v>4.1488487333333337</v>
      </c>
      <c r="EB5" s="6">
        <f>AVERAGE(CC5:CE5)</f>
        <v>3.9186041</v>
      </c>
      <c r="EC5" s="6">
        <f>AVERAGE(CF5:CH5)</f>
        <v>3.7277958666666664</v>
      </c>
      <c r="ED5" s="6">
        <f>AVERAGE(CI5:CK5)</f>
        <v>3.6020545000000004</v>
      </c>
      <c r="EE5" s="6"/>
      <c r="EF5" s="6"/>
      <c r="EG5" s="6"/>
    </row>
    <row r="6" spans="1:139" x14ac:dyDescent="0.35">
      <c r="A6" s="7" t="s">
        <v>2835</v>
      </c>
      <c r="B6" s="21">
        <f t="shared" ref="B6:B7" si="8">D6</f>
        <v>45373</v>
      </c>
      <c r="C6" s="21" t="s">
        <v>2834</v>
      </c>
      <c r="D6" s="5">
        <f>D23</f>
        <v>45373</v>
      </c>
      <c r="E6" s="6" t="e">
        <f t="shared" ref="E6:AJ6" si="9">HLOOKUP(E$3,$E$22:$AO$23,2,FALSE)</f>
        <v>#N/A</v>
      </c>
      <c r="F6" s="6" t="e">
        <f t="shared" si="9"/>
        <v>#N/A</v>
      </c>
      <c r="G6" s="6" t="e">
        <f t="shared" si="9"/>
        <v>#N/A</v>
      </c>
      <c r="H6" s="6" t="e">
        <f t="shared" si="9"/>
        <v>#N/A</v>
      </c>
      <c r="I6" s="6" t="e">
        <f t="shared" si="9"/>
        <v>#N/A</v>
      </c>
      <c r="J6" s="6" t="e">
        <f t="shared" si="9"/>
        <v>#N/A</v>
      </c>
      <c r="K6" s="6" t="e">
        <f t="shared" si="9"/>
        <v>#N/A</v>
      </c>
      <c r="L6" s="6" t="e">
        <f t="shared" si="9"/>
        <v>#N/A</v>
      </c>
      <c r="M6" s="6" t="e">
        <f t="shared" si="9"/>
        <v>#N/A</v>
      </c>
      <c r="N6" s="6" t="e">
        <f t="shared" si="9"/>
        <v>#N/A</v>
      </c>
      <c r="O6" s="6" t="e">
        <f t="shared" si="9"/>
        <v>#N/A</v>
      </c>
      <c r="P6" s="6" t="e">
        <f t="shared" si="9"/>
        <v>#N/A</v>
      </c>
      <c r="Q6" s="6" t="e">
        <f t="shared" si="9"/>
        <v>#N/A</v>
      </c>
      <c r="R6" s="6" t="e">
        <f t="shared" si="9"/>
        <v>#N/A</v>
      </c>
      <c r="S6" s="6" t="e">
        <f t="shared" si="9"/>
        <v>#N/A</v>
      </c>
      <c r="T6" s="6" t="e">
        <f t="shared" si="9"/>
        <v>#N/A</v>
      </c>
      <c r="U6" s="6" t="e">
        <f t="shared" si="9"/>
        <v>#N/A</v>
      </c>
      <c r="V6" s="6" t="e">
        <f t="shared" si="9"/>
        <v>#N/A</v>
      </c>
      <c r="W6" s="6" t="e">
        <f t="shared" si="9"/>
        <v>#N/A</v>
      </c>
      <c r="X6" s="6" t="e">
        <f t="shared" si="9"/>
        <v>#N/A</v>
      </c>
      <c r="Y6" s="6" t="e">
        <f t="shared" si="9"/>
        <v>#N/A</v>
      </c>
      <c r="Z6" s="6" t="e">
        <f t="shared" si="9"/>
        <v>#N/A</v>
      </c>
      <c r="AA6" s="6" t="e">
        <f t="shared" si="9"/>
        <v>#N/A</v>
      </c>
      <c r="AB6" s="6" t="e">
        <f t="shared" si="9"/>
        <v>#N/A</v>
      </c>
      <c r="AC6" s="6" t="e">
        <f t="shared" si="9"/>
        <v>#N/A</v>
      </c>
      <c r="AD6" s="6" t="e">
        <f t="shared" si="9"/>
        <v>#N/A</v>
      </c>
      <c r="AE6" s="6" t="e">
        <f t="shared" si="9"/>
        <v>#N/A</v>
      </c>
      <c r="AF6" s="6" t="e">
        <f t="shared" si="9"/>
        <v>#N/A</v>
      </c>
      <c r="AG6" s="6" t="e">
        <f t="shared" si="9"/>
        <v>#N/A</v>
      </c>
      <c r="AH6" s="6" t="e">
        <f t="shared" si="9"/>
        <v>#N/A</v>
      </c>
      <c r="AI6" s="6" t="e">
        <f t="shared" si="9"/>
        <v>#N/A</v>
      </c>
      <c r="AJ6" s="6" t="e">
        <f t="shared" si="9"/>
        <v>#N/A</v>
      </c>
      <c r="AK6" s="6" t="e">
        <f t="shared" ref="AK6:BP6" si="10">HLOOKUP(AK$3,$E$22:$AO$23,2,FALSE)</f>
        <v>#N/A</v>
      </c>
      <c r="AL6" s="6" t="e">
        <f t="shared" si="10"/>
        <v>#N/A</v>
      </c>
      <c r="AM6" s="6" t="e">
        <f t="shared" si="10"/>
        <v>#N/A</v>
      </c>
      <c r="AN6" s="6" t="e">
        <f t="shared" si="10"/>
        <v>#N/A</v>
      </c>
      <c r="AO6" s="6" t="e">
        <f t="shared" si="10"/>
        <v>#N/A</v>
      </c>
      <c r="AP6" s="6" t="e">
        <f t="shared" si="10"/>
        <v>#N/A</v>
      </c>
      <c r="AQ6" s="6" t="e">
        <f t="shared" si="10"/>
        <v>#N/A</v>
      </c>
      <c r="AR6" s="6" t="e">
        <f t="shared" si="10"/>
        <v>#N/A</v>
      </c>
      <c r="AS6" s="6" t="e">
        <f t="shared" si="10"/>
        <v>#N/A</v>
      </c>
      <c r="AT6" s="6" t="e">
        <f t="shared" si="10"/>
        <v>#N/A</v>
      </c>
      <c r="AU6" s="6" t="e">
        <f t="shared" si="10"/>
        <v>#N/A</v>
      </c>
      <c r="AV6" s="6" t="e">
        <f t="shared" si="10"/>
        <v>#N/A</v>
      </c>
      <c r="AW6" s="6" t="e">
        <f t="shared" si="10"/>
        <v>#N/A</v>
      </c>
      <c r="AX6" s="6" t="e">
        <f t="shared" si="10"/>
        <v>#N/A</v>
      </c>
      <c r="AY6" s="6" t="e">
        <f t="shared" si="10"/>
        <v>#N/A</v>
      </c>
      <c r="AZ6" s="6" t="e">
        <f t="shared" si="10"/>
        <v>#N/A</v>
      </c>
      <c r="BA6" s="6" t="e">
        <f t="shared" si="10"/>
        <v>#N/A</v>
      </c>
      <c r="BB6" s="6" t="e">
        <f t="shared" si="10"/>
        <v>#N/A</v>
      </c>
      <c r="BC6" s="6" t="e">
        <f t="shared" si="10"/>
        <v>#N/A</v>
      </c>
      <c r="BD6" s="6" t="e">
        <f t="shared" si="10"/>
        <v>#N/A</v>
      </c>
      <c r="BE6" s="6" t="e">
        <f t="shared" si="10"/>
        <v>#N/A</v>
      </c>
      <c r="BF6" s="6" t="e">
        <f t="shared" si="10"/>
        <v>#N/A</v>
      </c>
      <c r="BG6" s="6" t="e">
        <f t="shared" si="10"/>
        <v>#N/A</v>
      </c>
      <c r="BH6" s="6" t="e">
        <f t="shared" si="10"/>
        <v>#N/A</v>
      </c>
      <c r="BI6" s="6" t="e">
        <f t="shared" si="10"/>
        <v>#N/A</v>
      </c>
      <c r="BJ6" s="6" t="e">
        <f t="shared" si="10"/>
        <v>#N/A</v>
      </c>
      <c r="BK6" s="6" t="e">
        <f t="shared" si="10"/>
        <v>#N/A</v>
      </c>
      <c r="BL6" s="6" t="e">
        <f t="shared" si="10"/>
        <v>#N/A</v>
      </c>
      <c r="BM6" s="6" t="e">
        <f t="shared" si="10"/>
        <v>#N/A</v>
      </c>
      <c r="BN6" s="6" t="e">
        <f t="shared" si="10"/>
        <v>#N/A</v>
      </c>
      <c r="BO6" s="6">
        <f t="shared" si="10"/>
        <v>5.1905999999999999</v>
      </c>
      <c r="BP6" s="6">
        <f t="shared" si="10"/>
        <v>5.1805712000000002</v>
      </c>
      <c r="BQ6" s="6">
        <f t="shared" ref="BQ6:CJ6" si="11">HLOOKUP(BQ$3,$E$22:$AO$23,2,FALSE)</f>
        <v>5.1182898000000003</v>
      </c>
      <c r="BR6" s="6">
        <f t="shared" si="11"/>
        <v>5.0372060000000003</v>
      </c>
      <c r="BS6" s="6">
        <f t="shared" si="11"/>
        <v>4.9406043000000004</v>
      </c>
      <c r="BT6" s="6">
        <f t="shared" si="11"/>
        <v>4.8376755999999999</v>
      </c>
      <c r="BU6" s="6">
        <f t="shared" si="11"/>
        <v>4.7334883000000003</v>
      </c>
      <c r="BV6" s="6">
        <f t="shared" si="11"/>
        <v>4.6303638999999999</v>
      </c>
      <c r="BW6" s="6">
        <f t="shared" si="11"/>
        <v>4.5301131999999997</v>
      </c>
      <c r="BX6" s="6">
        <f t="shared" si="11"/>
        <v>4.4343045999999999</v>
      </c>
      <c r="BY6" s="6">
        <f t="shared" si="11"/>
        <v>4.3442696999999999</v>
      </c>
      <c r="BZ6" s="6">
        <f t="shared" si="11"/>
        <v>4.2607217000000004</v>
      </c>
      <c r="CA6" s="6">
        <f t="shared" si="11"/>
        <v>4.1836630000000001</v>
      </c>
      <c r="CB6" s="6">
        <f t="shared" si="11"/>
        <v>4.1127266999999996</v>
      </c>
      <c r="CC6" s="6">
        <f t="shared" si="11"/>
        <v>4.0474598000000004</v>
      </c>
      <c r="CD6" s="6">
        <f t="shared" si="11"/>
        <v>3.9874071999999998</v>
      </c>
      <c r="CE6" s="6">
        <f t="shared" si="11"/>
        <v>3.9321139999999999</v>
      </c>
      <c r="CF6" s="6">
        <f t="shared" si="11"/>
        <v>3.8811252999999999</v>
      </c>
      <c r="CG6" s="6">
        <f t="shared" si="11"/>
        <v>3.8339859999999999</v>
      </c>
      <c r="CH6" s="6">
        <f t="shared" si="11"/>
        <v>3.7902733999999998</v>
      </c>
      <c r="CI6" s="6">
        <f t="shared" si="11"/>
        <v>3.7497128000000002</v>
      </c>
      <c r="CJ6" s="6">
        <f t="shared" si="11"/>
        <v>3.7120728999999999</v>
      </c>
      <c r="CL6" t="s">
        <v>2680</v>
      </c>
      <c r="DN6" s="6"/>
      <c r="DO6" s="6"/>
      <c r="DP6" s="6"/>
      <c r="DQ6" s="6"/>
      <c r="DR6" s="6"/>
      <c r="DS6" s="6"/>
      <c r="DT6" s="6" t="e">
        <f t="array" ref="DT6:EI6">TRANSPOSE(HAVERQ!C40:C55)</f>
        <v>#N/A</v>
      </c>
      <c r="DU6" s="6" t="e">
        <v>#N/A</v>
      </c>
      <c r="DV6" s="6" t="e">
        <v>#N/A</v>
      </c>
      <c r="DW6" s="6">
        <v>5.1100000000000003</v>
      </c>
      <c r="DX6" s="6">
        <v>5.0199999999999996</v>
      </c>
      <c r="DY6" s="6">
        <v>4.63</v>
      </c>
      <c r="DZ6" s="6">
        <v>4.22</v>
      </c>
      <c r="EA6" s="6">
        <v>3.92</v>
      </c>
      <c r="EB6" s="6">
        <v>3.7</v>
      </c>
      <c r="EC6" s="6">
        <v>3.52</v>
      </c>
      <c r="ED6" s="6">
        <v>3.4</v>
      </c>
      <c r="EE6" s="6">
        <v>3.31</v>
      </c>
      <c r="EF6" s="6">
        <v>3.25</v>
      </c>
      <c r="EG6" s="6">
        <v>3.21</v>
      </c>
      <c r="EH6">
        <v>3.18</v>
      </c>
      <c r="EI6">
        <v>3.17</v>
      </c>
    </row>
    <row r="7" spans="1:139" x14ac:dyDescent="0.35">
      <c r="A7" s="7" t="s">
        <v>2778</v>
      </c>
      <c r="B7" s="21">
        <f t="shared" si="8"/>
        <v>45399</v>
      </c>
      <c r="C7" s="21" t="s">
        <v>2219</v>
      </c>
      <c r="D7" s="5">
        <f>D31</f>
        <v>45399</v>
      </c>
      <c r="E7" s="6" t="e">
        <f>HLOOKUP(E$3,$E$30:$AO$31,2,FALSE)</f>
        <v>#N/A</v>
      </c>
      <c r="F7" s="6" t="e">
        <f t="shared" ref="F7:BF7" si="12">HLOOKUP(F$3,$E$30:$AO$31,2,FALSE)</f>
        <v>#N/A</v>
      </c>
      <c r="G7" s="6" t="e">
        <f t="shared" si="12"/>
        <v>#N/A</v>
      </c>
      <c r="H7" s="6" t="e">
        <f t="shared" si="12"/>
        <v>#N/A</v>
      </c>
      <c r="I7" s="6" t="e">
        <f t="shared" si="12"/>
        <v>#N/A</v>
      </c>
      <c r="J7" s="6" t="e">
        <f t="shared" si="12"/>
        <v>#N/A</v>
      </c>
      <c r="K7" s="6" t="e">
        <f t="shared" si="12"/>
        <v>#N/A</v>
      </c>
      <c r="L7" s="6" t="e">
        <f t="shared" si="12"/>
        <v>#N/A</v>
      </c>
      <c r="M7" s="6" t="e">
        <f t="shared" si="12"/>
        <v>#N/A</v>
      </c>
      <c r="N7" s="6" t="e">
        <f t="shared" si="12"/>
        <v>#N/A</v>
      </c>
      <c r="O7" s="6" t="e">
        <f t="shared" si="12"/>
        <v>#N/A</v>
      </c>
      <c r="P7" s="6" t="e">
        <f t="shared" si="12"/>
        <v>#N/A</v>
      </c>
      <c r="Q7" s="6" t="e">
        <f t="shared" si="12"/>
        <v>#N/A</v>
      </c>
      <c r="R7" s="6" t="e">
        <f t="shared" si="12"/>
        <v>#N/A</v>
      </c>
      <c r="S7" s="6" t="e">
        <f t="shared" si="12"/>
        <v>#N/A</v>
      </c>
      <c r="T7" s="6" t="e">
        <f t="shared" si="12"/>
        <v>#N/A</v>
      </c>
      <c r="U7" s="6" t="e">
        <f t="shared" si="12"/>
        <v>#N/A</v>
      </c>
      <c r="V7" s="6" t="e">
        <f t="shared" si="12"/>
        <v>#N/A</v>
      </c>
      <c r="W7" s="6" t="e">
        <f t="shared" si="12"/>
        <v>#N/A</v>
      </c>
      <c r="X7" s="6" t="e">
        <f t="shared" si="12"/>
        <v>#N/A</v>
      </c>
      <c r="Y7" s="6" t="e">
        <f t="shared" si="12"/>
        <v>#N/A</v>
      </c>
      <c r="Z7" s="6" t="e">
        <f t="shared" si="12"/>
        <v>#N/A</v>
      </c>
      <c r="AA7" s="6" t="e">
        <f t="shared" si="12"/>
        <v>#N/A</v>
      </c>
      <c r="AB7" s="6" t="e">
        <f t="shared" si="12"/>
        <v>#N/A</v>
      </c>
      <c r="AC7" s="6" t="e">
        <f t="shared" si="12"/>
        <v>#N/A</v>
      </c>
      <c r="AD7" s="6" t="e">
        <f t="shared" si="12"/>
        <v>#N/A</v>
      </c>
      <c r="AE7" s="6" t="e">
        <f t="shared" si="12"/>
        <v>#N/A</v>
      </c>
      <c r="AF7" s="6" t="e">
        <f t="shared" si="12"/>
        <v>#N/A</v>
      </c>
      <c r="AG7" s="6" t="e">
        <f t="shared" si="12"/>
        <v>#N/A</v>
      </c>
      <c r="AH7" s="6" t="e">
        <f t="shared" si="12"/>
        <v>#N/A</v>
      </c>
      <c r="AI7" s="6" t="e">
        <f t="shared" si="12"/>
        <v>#N/A</v>
      </c>
      <c r="AJ7" s="6" t="e">
        <f t="shared" si="12"/>
        <v>#N/A</v>
      </c>
      <c r="AK7" s="6" t="e">
        <f t="shared" si="12"/>
        <v>#N/A</v>
      </c>
      <c r="AL7" s="6" t="e">
        <f t="shared" si="12"/>
        <v>#N/A</v>
      </c>
      <c r="AM7" s="6" t="e">
        <f t="shared" si="12"/>
        <v>#N/A</v>
      </c>
      <c r="AN7" s="6" t="e">
        <f t="shared" si="12"/>
        <v>#N/A</v>
      </c>
      <c r="AO7" s="6" t="e">
        <f t="shared" si="12"/>
        <v>#N/A</v>
      </c>
      <c r="AP7" s="6" t="e">
        <f t="shared" si="12"/>
        <v>#N/A</v>
      </c>
      <c r="AQ7" s="6" t="e">
        <f t="shared" si="12"/>
        <v>#N/A</v>
      </c>
      <c r="AR7" s="6" t="e">
        <f t="shared" si="12"/>
        <v>#N/A</v>
      </c>
      <c r="AS7" s="6" t="e">
        <f t="shared" si="12"/>
        <v>#N/A</v>
      </c>
      <c r="AT7" s="6" t="e">
        <f t="shared" si="12"/>
        <v>#N/A</v>
      </c>
      <c r="AU7" s="6" t="e">
        <f t="shared" si="12"/>
        <v>#N/A</v>
      </c>
      <c r="AV7" s="6" t="e">
        <f t="shared" si="12"/>
        <v>#N/A</v>
      </c>
      <c r="AW7" s="6" t="e">
        <f t="shared" si="12"/>
        <v>#N/A</v>
      </c>
      <c r="AX7" s="6" t="e">
        <f t="shared" si="12"/>
        <v>#N/A</v>
      </c>
      <c r="AY7" s="6" t="e">
        <f t="shared" si="12"/>
        <v>#N/A</v>
      </c>
      <c r="AZ7" s="6" t="e">
        <f t="shared" si="12"/>
        <v>#N/A</v>
      </c>
      <c r="BA7" s="6" t="e">
        <f t="shared" si="12"/>
        <v>#N/A</v>
      </c>
      <c r="BB7" s="6" t="e">
        <f t="shared" si="12"/>
        <v>#N/A</v>
      </c>
      <c r="BC7" s="6" t="e">
        <f>HLOOKUP(BC$3,$E$30:$AO$31,2,FALSE)</f>
        <v>#N/A</v>
      </c>
      <c r="BD7" s="6" t="e">
        <f t="shared" si="12"/>
        <v>#N/A</v>
      </c>
      <c r="BE7" s="6" t="e">
        <f t="shared" si="12"/>
        <v>#N/A</v>
      </c>
      <c r="BF7" s="6" t="e">
        <f t="shared" si="12"/>
        <v>#N/A</v>
      </c>
      <c r="BG7" s="6" t="e">
        <f t="shared" ref="BG7:CJ7" si="13">HLOOKUP(BG$3,$E$30:$AO$31,2,FALSE)</f>
        <v>#N/A</v>
      </c>
      <c r="BH7" s="6" t="e">
        <f t="shared" si="13"/>
        <v>#N/A</v>
      </c>
      <c r="BI7" s="6" t="e">
        <f t="shared" si="13"/>
        <v>#N/A</v>
      </c>
      <c r="BJ7" s="6" t="e">
        <f t="shared" si="13"/>
        <v>#N/A</v>
      </c>
      <c r="BK7" s="6" t="e">
        <f t="shared" si="13"/>
        <v>#N/A</v>
      </c>
      <c r="BL7" s="6" t="e">
        <f t="shared" si="13"/>
        <v>#N/A</v>
      </c>
      <c r="BM7" s="6" t="e">
        <f t="shared" si="13"/>
        <v>#N/A</v>
      </c>
      <c r="BN7" s="6" t="e">
        <f t="shared" si="13"/>
        <v>#N/A</v>
      </c>
      <c r="BO7" s="6" t="e">
        <f t="shared" si="13"/>
        <v>#N/A</v>
      </c>
      <c r="BP7" s="6">
        <f t="shared" si="13"/>
        <v>5.1984000000000004</v>
      </c>
      <c r="BQ7" s="6">
        <f t="shared" si="13"/>
        <v>5.1864648999999998</v>
      </c>
      <c r="BR7" s="6">
        <f t="shared" si="13"/>
        <v>5.1406634999999996</v>
      </c>
      <c r="BS7" s="6">
        <f t="shared" si="13"/>
        <v>5.0823780000000003</v>
      </c>
      <c r="BT7" s="6">
        <f t="shared" si="13"/>
        <v>5.0182776000000002</v>
      </c>
      <c r="BU7" s="6">
        <f t="shared" si="13"/>
        <v>4.9533389999999997</v>
      </c>
      <c r="BV7" s="6">
        <f t="shared" si="13"/>
        <v>4.8893763999999997</v>
      </c>
      <c r="BW7" s="6">
        <f t="shared" si="13"/>
        <v>4.8279116999999996</v>
      </c>
      <c r="BX7" s="6">
        <f t="shared" si="13"/>
        <v>4.7707195999999996</v>
      </c>
      <c r="BY7" s="6">
        <f t="shared" si="13"/>
        <v>4.7193813999999996</v>
      </c>
      <c r="BZ7" s="6">
        <f t="shared" si="13"/>
        <v>4.6742080000000001</v>
      </c>
      <c r="CA7" s="6">
        <f t="shared" si="13"/>
        <v>4.6341650000000003</v>
      </c>
      <c r="CB7" s="6">
        <f t="shared" si="13"/>
        <v>4.5975444999999997</v>
      </c>
      <c r="CC7" s="6">
        <f t="shared" si="13"/>
        <v>4.5610470000000003</v>
      </c>
      <c r="CD7" s="6">
        <f t="shared" si="13"/>
        <v>4.5238100000000001</v>
      </c>
      <c r="CE7" s="6">
        <f t="shared" si="13"/>
        <v>4.4857237999999997</v>
      </c>
      <c r="CF7" s="6">
        <f t="shared" si="13"/>
        <v>4.4466786000000003</v>
      </c>
      <c r="CG7" s="6">
        <f t="shared" si="13"/>
        <v>4.4065643999999997</v>
      </c>
      <c r="CH7" s="6">
        <f t="shared" si="13"/>
        <v>4.3652715999999998</v>
      </c>
      <c r="CI7" s="6">
        <f t="shared" si="13"/>
        <v>4.3227817000000002</v>
      </c>
      <c r="CJ7" s="6">
        <f t="shared" si="13"/>
        <v>4.2794606999999996</v>
      </c>
      <c r="CL7" t="str">
        <f>A7</f>
        <v>Market expectations - Latest</v>
      </c>
      <c r="DN7" s="6"/>
      <c r="DO7" s="6"/>
      <c r="DP7" s="6"/>
      <c r="DQ7" s="6"/>
      <c r="DR7" s="6"/>
      <c r="DS7" s="6"/>
      <c r="DT7" s="6" t="e">
        <f>AVERAGE(BF7:BG7)</f>
        <v>#N/A</v>
      </c>
      <c r="DU7" s="6" t="e">
        <f>AVERAGE(BH7:BJ7)</f>
        <v>#N/A</v>
      </c>
      <c r="DV7" s="6" t="e">
        <f>AVERAGE(BK7:BM7)</f>
        <v>#N/A</v>
      </c>
      <c r="DW7" s="6" t="e">
        <f>AVERAGE(BN7:BP7)</f>
        <v>#N/A</v>
      </c>
      <c r="DX7" s="6">
        <f>AVERAGE(BQ7:BS7)</f>
        <v>5.1365021333333329</v>
      </c>
      <c r="DY7" s="6">
        <f>AVERAGE(BT7:BV7)</f>
        <v>4.9536643333333332</v>
      </c>
      <c r="DZ7" s="6">
        <f>AVERAGE(BW7:BY7)</f>
        <v>4.7726708999999996</v>
      </c>
      <c r="EA7" s="6">
        <f>AVERAGE(BZ7:CB7)</f>
        <v>4.6353058333333328</v>
      </c>
      <c r="EB7" s="6">
        <f>AVERAGE(CC7:CE7)</f>
        <v>4.5235269333333328</v>
      </c>
      <c r="EC7" s="6">
        <f>AVERAGE(CF7:CH7)</f>
        <v>4.4061715333333327</v>
      </c>
      <c r="ED7" s="6">
        <f>AVERAGE(CI7:CK7)</f>
        <v>4.3011211999999999</v>
      </c>
      <c r="EE7" s="6"/>
      <c r="EF7" s="6"/>
      <c r="EG7" s="6"/>
    </row>
    <row r="8" spans="1:139" x14ac:dyDescent="0.35">
      <c r="A8" t="str">
        <f>D8</f>
        <v>OE forecast</v>
      </c>
      <c r="D8" t="s">
        <v>840</v>
      </c>
      <c r="E8" s="6" t="e">
        <f t="shared" ref="E8:BO8" ca="1" si="14">IF(E3&gt;$F$1,HLOOKUP(E$3,$AL$35:$DQ$36,2,FALSE),NA())</f>
        <v>#N/A</v>
      </c>
      <c r="F8" s="6" t="e">
        <f t="shared" ca="1" si="14"/>
        <v>#N/A</v>
      </c>
      <c r="G8" s="6" t="e">
        <f t="shared" ca="1" si="14"/>
        <v>#N/A</v>
      </c>
      <c r="H8" s="6" t="e">
        <f t="shared" ca="1" si="14"/>
        <v>#N/A</v>
      </c>
      <c r="I8" s="6" t="e">
        <f t="shared" ca="1" si="14"/>
        <v>#N/A</v>
      </c>
      <c r="J8" s="6" t="e">
        <f t="shared" ca="1" si="14"/>
        <v>#N/A</v>
      </c>
      <c r="K8" s="6" t="e">
        <f t="shared" ca="1" si="14"/>
        <v>#N/A</v>
      </c>
      <c r="L8" s="6" t="e">
        <f t="shared" ca="1" si="14"/>
        <v>#N/A</v>
      </c>
      <c r="M8" s="6" t="e">
        <f t="shared" ca="1" si="14"/>
        <v>#N/A</v>
      </c>
      <c r="N8" s="6" t="e">
        <f t="shared" ca="1" si="14"/>
        <v>#N/A</v>
      </c>
      <c r="O8" s="6" t="e">
        <f t="shared" ca="1" si="14"/>
        <v>#N/A</v>
      </c>
      <c r="P8" s="6" t="e">
        <f t="shared" ca="1" si="14"/>
        <v>#N/A</v>
      </c>
      <c r="Q8" s="6" t="e">
        <f t="shared" ca="1" si="14"/>
        <v>#N/A</v>
      </c>
      <c r="R8" s="6" t="e">
        <f t="shared" ca="1" si="14"/>
        <v>#N/A</v>
      </c>
      <c r="S8" s="6" t="e">
        <f t="shared" ca="1" si="14"/>
        <v>#N/A</v>
      </c>
      <c r="T8" s="6" t="e">
        <f t="shared" ca="1" si="14"/>
        <v>#N/A</v>
      </c>
      <c r="U8" s="6" t="e">
        <f t="shared" ca="1" si="14"/>
        <v>#N/A</v>
      </c>
      <c r="V8" s="6" t="e">
        <f t="shared" ca="1" si="14"/>
        <v>#N/A</v>
      </c>
      <c r="W8" s="6" t="e">
        <f t="shared" ca="1" si="14"/>
        <v>#N/A</v>
      </c>
      <c r="X8" s="6" t="e">
        <f t="shared" ca="1" si="14"/>
        <v>#N/A</v>
      </c>
      <c r="Y8" s="6" t="e">
        <f t="shared" ca="1" si="14"/>
        <v>#N/A</v>
      </c>
      <c r="Z8" s="6" t="e">
        <f t="shared" ca="1" si="14"/>
        <v>#N/A</v>
      </c>
      <c r="AA8" s="6" t="e">
        <f t="shared" ca="1" si="14"/>
        <v>#N/A</v>
      </c>
      <c r="AB8" s="6" t="e">
        <f t="shared" ca="1" si="14"/>
        <v>#N/A</v>
      </c>
      <c r="AC8" s="6" t="e">
        <f t="shared" ca="1" si="14"/>
        <v>#N/A</v>
      </c>
      <c r="AD8" s="6" t="e">
        <f t="shared" ca="1" si="14"/>
        <v>#N/A</v>
      </c>
      <c r="AE8" s="6" t="e">
        <f t="shared" ca="1" si="14"/>
        <v>#N/A</v>
      </c>
      <c r="AF8" s="6" t="e">
        <f t="shared" ca="1" si="14"/>
        <v>#N/A</v>
      </c>
      <c r="AG8" s="6" t="e">
        <f t="shared" ca="1" si="14"/>
        <v>#N/A</v>
      </c>
      <c r="AH8" s="6" t="e">
        <f t="shared" ca="1" si="14"/>
        <v>#N/A</v>
      </c>
      <c r="AI8" s="6" t="e">
        <f t="shared" ca="1" si="14"/>
        <v>#N/A</v>
      </c>
      <c r="AJ8" s="6" t="e">
        <f t="shared" ca="1" si="14"/>
        <v>#N/A</v>
      </c>
      <c r="AK8" s="6" t="e">
        <f t="shared" ca="1" si="14"/>
        <v>#N/A</v>
      </c>
      <c r="AL8" s="6" t="e">
        <f t="shared" ca="1" si="14"/>
        <v>#N/A</v>
      </c>
      <c r="AM8" s="6" t="e">
        <f t="shared" ca="1" si="14"/>
        <v>#N/A</v>
      </c>
      <c r="AN8" s="6" t="e">
        <f t="shared" ca="1" si="14"/>
        <v>#N/A</v>
      </c>
      <c r="AO8" s="6" t="e">
        <f t="shared" ca="1" si="14"/>
        <v>#N/A</v>
      </c>
      <c r="AP8" s="6" t="e">
        <f t="shared" ca="1" si="14"/>
        <v>#N/A</v>
      </c>
      <c r="AQ8" s="6" t="e">
        <f t="shared" ca="1" si="14"/>
        <v>#N/A</v>
      </c>
      <c r="AR8" s="6" t="e">
        <f t="shared" ca="1" si="14"/>
        <v>#N/A</v>
      </c>
      <c r="AS8" s="6" t="e">
        <f t="shared" ca="1" si="14"/>
        <v>#N/A</v>
      </c>
      <c r="AT8" s="6" t="e">
        <f t="shared" ca="1" si="14"/>
        <v>#N/A</v>
      </c>
      <c r="AU8" s="6" t="e">
        <f t="shared" ca="1" si="14"/>
        <v>#N/A</v>
      </c>
      <c r="AV8" s="6" t="e">
        <f t="shared" ca="1" si="14"/>
        <v>#N/A</v>
      </c>
      <c r="AW8" s="6" t="e">
        <f t="shared" ca="1" si="14"/>
        <v>#N/A</v>
      </c>
      <c r="AX8" s="6" t="e">
        <f t="shared" ca="1" si="14"/>
        <v>#N/A</v>
      </c>
      <c r="AY8" s="6" t="e">
        <f t="shared" ca="1" si="14"/>
        <v>#N/A</v>
      </c>
      <c r="AZ8" s="6" t="e">
        <f t="shared" ca="1" si="14"/>
        <v>#N/A</v>
      </c>
      <c r="BA8" s="6" t="e">
        <f t="shared" ca="1" si="14"/>
        <v>#N/A</v>
      </c>
      <c r="BB8" s="6" t="e">
        <f t="shared" ca="1" si="14"/>
        <v>#N/A</v>
      </c>
      <c r="BC8" s="6" t="e">
        <f t="shared" ca="1" si="14"/>
        <v>#N/A</v>
      </c>
      <c r="BD8" s="6" t="e">
        <f t="shared" ca="1" si="14"/>
        <v>#N/A</v>
      </c>
      <c r="BE8" s="6" t="e">
        <f t="shared" ca="1" si="14"/>
        <v>#N/A</v>
      </c>
      <c r="BF8" s="6" t="e">
        <f t="shared" ca="1" si="14"/>
        <v>#N/A</v>
      </c>
      <c r="BG8" s="6" t="e">
        <f t="shared" ca="1" si="14"/>
        <v>#N/A</v>
      </c>
      <c r="BH8" s="6" t="e">
        <f t="shared" ca="1" si="14"/>
        <v>#N/A</v>
      </c>
      <c r="BI8" s="6" t="e">
        <f t="shared" ca="1" si="14"/>
        <v>#N/A</v>
      </c>
      <c r="BJ8" s="6" t="e">
        <f t="shared" ca="1" si="14"/>
        <v>#N/A</v>
      </c>
      <c r="BK8" s="6" t="e">
        <f t="shared" ca="1" si="14"/>
        <v>#N/A</v>
      </c>
      <c r="BL8" s="6" t="e">
        <f t="shared" ca="1" si="14"/>
        <v>#N/A</v>
      </c>
      <c r="BM8" s="6" t="e">
        <f t="shared" ca="1" si="14"/>
        <v>#N/A</v>
      </c>
      <c r="BN8" s="6" t="e">
        <f t="shared" ca="1" si="14"/>
        <v>#N/A</v>
      </c>
      <c r="BO8" s="6" t="e">
        <f t="shared" ca="1" si="14"/>
        <v>#N/A</v>
      </c>
      <c r="BP8" s="8">
        <v>5.25</v>
      </c>
      <c r="BQ8" s="8">
        <v>5.25</v>
      </c>
      <c r="BR8" s="8">
        <f>+BQ8-0.25</f>
        <v>5</v>
      </c>
      <c r="BS8" s="8">
        <f>BR8</f>
        <v>5</v>
      </c>
      <c r="BT8" s="8">
        <f>+BS8-0.25</f>
        <v>4.75</v>
      </c>
      <c r="BU8" s="8">
        <f>BT8</f>
        <v>4.75</v>
      </c>
      <c r="BV8" s="8">
        <f>BT8</f>
        <v>4.75</v>
      </c>
      <c r="BW8" s="8">
        <f>+BV8-0.25</f>
        <v>4.5</v>
      </c>
      <c r="BX8" s="8">
        <f>BW8</f>
        <v>4.5</v>
      </c>
      <c r="BY8" s="8">
        <f>BW8</f>
        <v>4.5</v>
      </c>
      <c r="BZ8" s="8">
        <f>+BY8-0.25</f>
        <v>4.25</v>
      </c>
      <c r="CA8" s="8">
        <f>BZ8</f>
        <v>4.25</v>
      </c>
      <c r="CB8" s="8">
        <f>BZ8</f>
        <v>4.25</v>
      </c>
      <c r="CC8" s="8">
        <f>+CB8-0.25</f>
        <v>4</v>
      </c>
      <c r="CD8" s="8">
        <f>CC8</f>
        <v>4</v>
      </c>
      <c r="CE8" s="8">
        <f>CC8</f>
        <v>4</v>
      </c>
      <c r="CF8" s="8">
        <f>+CE8-0.25</f>
        <v>3.75</v>
      </c>
      <c r="CG8" s="8">
        <f>CF8</f>
        <v>3.75</v>
      </c>
      <c r="CH8" s="8">
        <f>CF8</f>
        <v>3.75</v>
      </c>
      <c r="CI8" s="8">
        <f>+CH8-0.25</f>
        <v>3.5</v>
      </c>
      <c r="CJ8" s="8">
        <f>CI8</f>
        <v>3.5</v>
      </c>
      <c r="CK8" s="8"/>
      <c r="CL8" t="str">
        <f t="shared" si="7"/>
        <v>OE forecast</v>
      </c>
      <c r="CM8" s="6" t="e">
        <f ca="1">IF(CM1&gt;$F$1,VLOOKUP(CM2,Data!$A:$D,4,FALSE),NA())</f>
        <v>#N/A</v>
      </c>
      <c r="CN8" s="6" t="e">
        <f ca="1">IF(CN1&gt;$F$1,VLOOKUP(CN2,Data!$A:$D,4,FALSE),NA())</f>
        <v>#N/A</v>
      </c>
      <c r="CO8" s="6" t="e">
        <f ca="1">IF(CO1&gt;$F$1,VLOOKUP(CO2,Data!$A:$D,4,FALSE),NA())</f>
        <v>#N/A</v>
      </c>
      <c r="CP8" s="6" t="e">
        <f ca="1">IF(CP1&gt;$F$1,VLOOKUP(CP2,Data!$A:$D,4,FALSE),NA())</f>
        <v>#N/A</v>
      </c>
      <c r="CQ8" s="6" t="e">
        <f ca="1">IF(CQ1&gt;$F$1,VLOOKUP(CQ2,Data!$A:$D,4,FALSE),NA())</f>
        <v>#N/A</v>
      </c>
      <c r="CR8" s="6" t="e">
        <f ca="1">IF(CR1&gt;$F$1,VLOOKUP(CR2,Data!$A:$D,4,FALSE),NA())</f>
        <v>#N/A</v>
      </c>
      <c r="CS8" s="6" t="e">
        <f ca="1">IF(CS1&gt;$F$1,VLOOKUP(CS2,Data!$A:$D,4,FALSE),NA())</f>
        <v>#N/A</v>
      </c>
      <c r="CT8" s="6" t="e">
        <f ca="1">IF(CT1&gt;$F$1,VLOOKUP(CT2,Data!$A:$D,4,FALSE),NA())</f>
        <v>#N/A</v>
      </c>
      <c r="CU8" s="6" t="e">
        <f ca="1">IF(CU1&gt;$F$1,VLOOKUP(CU2,Data!$A:$D,4,FALSE),NA())</f>
        <v>#N/A</v>
      </c>
      <c r="CV8" s="6" t="e">
        <f ca="1">IF(CV1&gt;$F$1,VLOOKUP(CV2,Data!$A:$D,4,FALSE),NA())</f>
        <v>#N/A</v>
      </c>
      <c r="CW8" s="6" t="e">
        <f ca="1">IF(CW1&gt;$F$1,VLOOKUP(CW2,Data!$A:$D,4,FALSE),NA())</f>
        <v>#N/A</v>
      </c>
      <c r="CX8" s="6" t="e">
        <f ca="1">IF(CX1&gt;$F$1,VLOOKUP(CX2,Data!$A:$D,4,FALSE),NA())</f>
        <v>#N/A</v>
      </c>
      <c r="CY8" s="6" t="e">
        <f ca="1">IF(CY1&gt;$F$1,VLOOKUP(CY2,Data!$A:$D,4,FALSE),NA())</f>
        <v>#N/A</v>
      </c>
      <c r="CZ8" s="6" t="e">
        <f ca="1">IF(CZ1&gt;$F$1,VLOOKUP(CZ2,Data!$A:$D,4,FALSE),NA())</f>
        <v>#N/A</v>
      </c>
      <c r="DA8" s="6" t="e">
        <f ca="1">IF(DA1&gt;$F$1,VLOOKUP(DA2,Data!$A:$D,4,FALSE),NA())</f>
        <v>#N/A</v>
      </c>
      <c r="DB8" s="6" t="e">
        <f ca="1">IF(DB1&gt;$F$1,VLOOKUP(DB2,Data!$A:$D,4,FALSE),NA())</f>
        <v>#N/A</v>
      </c>
      <c r="DC8" s="6" t="e">
        <f ca="1">IF(DC1&gt;$F$1,VLOOKUP(DC2,Data!$A:$D,4,FALSE),NA())</f>
        <v>#N/A</v>
      </c>
      <c r="DD8" s="6" t="e">
        <f ca="1">IF(DD1&gt;$F$1,VLOOKUP(DD2,Data!$A:$D,4,FALSE),NA())</f>
        <v>#N/A</v>
      </c>
      <c r="DE8" s="6" t="e">
        <f ca="1">IF(DE1&gt;$F$1,VLOOKUP(DE2,Data!$A:$D,4,FALSE),NA())</f>
        <v>#N/A</v>
      </c>
      <c r="DF8" s="6" t="e">
        <f ca="1">IF(DF1&gt;$F$1,VLOOKUP(DF2,Data!$A:$D,4,FALSE),NA())</f>
        <v>#N/A</v>
      </c>
      <c r="DG8" s="6" t="e">
        <f ca="1">IF(DG1&gt;$F$1,VLOOKUP(DG2,Data!$A:$D,4,FALSE),NA())</f>
        <v>#N/A</v>
      </c>
      <c r="DH8" s="6" t="e">
        <f ca="1">IF(DH1&gt;$F$1,VLOOKUP(DH2,Data!$A:$D,4,FALSE),NA())</f>
        <v>#N/A</v>
      </c>
      <c r="DI8" s="6" t="e">
        <f ca="1">IF(DI1&gt;$F$1,VLOOKUP(DI2,Data!$A:$D,4,FALSE),NA())</f>
        <v>#N/A</v>
      </c>
      <c r="DJ8" s="6" t="e">
        <f ca="1">IF(DJ1&gt;$F$1,VLOOKUP(DJ2,Data!$A:$D,4,FALSE),NA())</f>
        <v>#N/A</v>
      </c>
      <c r="DK8" s="6" t="e">
        <f ca="1">IF(DK1&gt;$F$1,VLOOKUP(DK2,Data!$A:$D,4,FALSE),NA())</f>
        <v>#N/A</v>
      </c>
      <c r="DL8" s="6" t="e">
        <f ca="1">IF(DL1&gt;$F$1,VLOOKUP(DL2,Data!$A:$D,4,FALSE),NA())</f>
        <v>#N/A</v>
      </c>
      <c r="DM8" s="6" t="e">
        <f ca="1">IF(DM1&gt;$F$1,VLOOKUP(DM2,Data!$A:$D,4,FALSE),NA())</f>
        <v>#N/A</v>
      </c>
      <c r="DN8" s="6" t="e">
        <f ca="1">IF(DN1&gt;$F$1,VLOOKUP(DN2,Data!$A:$D,4,FALSE),NA())</f>
        <v>#N/A</v>
      </c>
      <c r="DO8" s="6" t="e">
        <f ca="1">IF(DO1&gt;$F$1,VLOOKUP(DO2,Data!$A:$D,4,FALSE),NA())</f>
        <v>#N/A</v>
      </c>
      <c r="DP8" s="6" t="e">
        <f ca="1">IF(DP1&gt;$F$1,VLOOKUP(DP2,Data!$A:$D,4,FALSE),NA())</f>
        <v>#N/A</v>
      </c>
      <c r="DQ8" s="6" t="e">
        <f ca="1">IF(DQ1&gt;$F$1,VLOOKUP(DQ2,Data!$A:$D,4,FALSE),NA())</f>
        <v>#N/A</v>
      </c>
      <c r="DR8" s="6" t="e">
        <f ca="1">IF(DR1&gt;$F$1,VLOOKUP(DR2,Data!$A:$D,4,FALSE),NA())</f>
        <v>#N/A</v>
      </c>
      <c r="DS8" s="6" t="e">
        <f ca="1">IF(DS1&gt;$F$1,VLOOKUP(DS2,Data!$A:$D,4,FALSE),NA())</f>
        <v>#N/A</v>
      </c>
      <c r="DT8" s="6" t="e">
        <f ca="1">IF(DT1&gt;$F$1,VLOOKUP(DT2,Data!$A:$D,4,FALSE),NA())</f>
        <v>#N/A</v>
      </c>
      <c r="DU8" s="6" t="e">
        <f ca="1">IF(DU1&gt;$F$1,VLOOKUP(DU2,Data!$A:$D,4,FALSE),NA())</f>
        <v>#N/A</v>
      </c>
      <c r="DV8" s="6" t="e">
        <f ca="1">IF(DV1&gt;$F$1,VLOOKUP(DV2,Data!$A:$D,4,FALSE),NA())</f>
        <v>#N/A</v>
      </c>
      <c r="DW8" s="6" t="e">
        <f ca="1">IF(DW1&gt;$F$1,VLOOKUP(DW2,Data!$A:$D,4,FALSE),NA())</f>
        <v>#N/A</v>
      </c>
      <c r="DX8" s="6">
        <f ca="1">IF(DX1&gt;$F$1,VLOOKUP(DX2,Data!$A:$D,4,FALSE),NA())</f>
        <v>5</v>
      </c>
      <c r="DY8" s="6">
        <f ca="1">IF(DY1&gt;$F$1,VLOOKUP(DY2,Data!$A:$D,4,FALSE),NA())</f>
        <v>4.75</v>
      </c>
      <c r="DZ8" s="6">
        <f ca="1">IF(DZ1&gt;$F$1,VLOOKUP(DZ2,Data!$A:$D,4,FALSE),NA())</f>
        <v>4.5</v>
      </c>
      <c r="EA8" s="6">
        <f ca="1">IF(EA1&gt;$F$1,VLOOKUP(EA2,Data!$A:$D,4,FALSE),NA())</f>
        <v>4.25</v>
      </c>
      <c r="EB8" s="6">
        <f ca="1">IF(EB1&gt;$F$1,VLOOKUP(EB2,Data!$A:$D,4,FALSE),NA())</f>
        <v>4</v>
      </c>
      <c r="EC8" s="6">
        <f ca="1">IF(EC1&gt;$F$1,VLOOKUP(EC2,Data!$A:$D,4,FALSE),NA())</f>
        <v>3.75</v>
      </c>
      <c r="ED8" s="6">
        <f ca="1">IF(ED1&gt;$F$1,VLOOKUP(ED2,Data!$A:$D,4,FALSE),NA())</f>
        <v>3.5</v>
      </c>
      <c r="EE8" s="6">
        <f ca="1">IF(EE1&gt;$F$1,VLOOKUP(EE2,Data!$A:$D,4,FALSE),NA())</f>
        <v>3.25</v>
      </c>
      <c r="EF8" s="6">
        <f ca="1">IF(EF1&gt;$F$1,VLOOKUP(EF2,Data!$A:$D,4,FALSE),NA())</f>
        <v>3</v>
      </c>
      <c r="EG8" s="6">
        <f ca="1">IF(EG1&gt;$F$1,VLOOKUP(EG2,Data!$A:$D,4,FALSE),NA())</f>
        <v>2.75</v>
      </c>
      <c r="EH8">
        <v>2.75</v>
      </c>
      <c r="EI8">
        <v>2.5</v>
      </c>
    </row>
    <row r="9" spans="1:139" x14ac:dyDescent="0.35"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139" x14ac:dyDescent="0.35">
      <c r="D10" t="s">
        <v>841</v>
      </c>
      <c r="E10">
        <v>4</v>
      </c>
      <c r="F10">
        <f t="shared" ref="F10:AO10" si="15">+E10+1</f>
        <v>5</v>
      </c>
      <c r="G10">
        <f t="shared" si="15"/>
        <v>6</v>
      </c>
      <c r="H10">
        <f t="shared" si="15"/>
        <v>7</v>
      </c>
      <c r="I10">
        <f t="shared" si="15"/>
        <v>8</v>
      </c>
      <c r="J10">
        <f t="shared" si="15"/>
        <v>9</v>
      </c>
      <c r="K10">
        <f t="shared" si="15"/>
        <v>10</v>
      </c>
      <c r="L10">
        <f t="shared" si="15"/>
        <v>11</v>
      </c>
      <c r="M10">
        <f t="shared" si="15"/>
        <v>12</v>
      </c>
      <c r="N10">
        <f t="shared" si="15"/>
        <v>13</v>
      </c>
      <c r="O10">
        <f t="shared" si="15"/>
        <v>14</v>
      </c>
      <c r="P10">
        <f t="shared" si="15"/>
        <v>15</v>
      </c>
      <c r="Q10">
        <f t="shared" si="15"/>
        <v>16</v>
      </c>
      <c r="R10">
        <f t="shared" si="15"/>
        <v>17</v>
      </c>
      <c r="S10">
        <f t="shared" si="15"/>
        <v>18</v>
      </c>
      <c r="T10">
        <f t="shared" si="15"/>
        <v>19</v>
      </c>
      <c r="U10">
        <f t="shared" si="15"/>
        <v>20</v>
      </c>
      <c r="V10">
        <f t="shared" si="15"/>
        <v>21</v>
      </c>
      <c r="W10">
        <f t="shared" si="15"/>
        <v>22</v>
      </c>
      <c r="X10">
        <f t="shared" si="15"/>
        <v>23</v>
      </c>
      <c r="Y10">
        <f t="shared" si="15"/>
        <v>24</v>
      </c>
      <c r="Z10">
        <f t="shared" si="15"/>
        <v>25</v>
      </c>
      <c r="AA10">
        <f t="shared" si="15"/>
        <v>26</v>
      </c>
      <c r="AB10">
        <f t="shared" si="15"/>
        <v>27</v>
      </c>
      <c r="AC10">
        <f t="shared" si="15"/>
        <v>28</v>
      </c>
      <c r="AD10">
        <f t="shared" si="15"/>
        <v>29</v>
      </c>
      <c r="AE10">
        <f t="shared" si="15"/>
        <v>30</v>
      </c>
      <c r="AF10">
        <f t="shared" si="15"/>
        <v>31</v>
      </c>
      <c r="AG10">
        <f t="shared" si="15"/>
        <v>32</v>
      </c>
      <c r="AH10">
        <f t="shared" si="15"/>
        <v>33</v>
      </c>
      <c r="AI10">
        <f t="shared" si="15"/>
        <v>34</v>
      </c>
      <c r="AJ10">
        <f t="shared" si="15"/>
        <v>35</v>
      </c>
      <c r="AK10">
        <f t="shared" si="15"/>
        <v>36</v>
      </c>
      <c r="AL10">
        <f t="shared" si="15"/>
        <v>37</v>
      </c>
      <c r="AM10">
        <f t="shared" si="15"/>
        <v>38</v>
      </c>
      <c r="AN10">
        <f t="shared" si="15"/>
        <v>39</v>
      </c>
      <c r="AO10">
        <f t="shared" si="15"/>
        <v>40</v>
      </c>
      <c r="AP10">
        <f t="shared" ref="AP10" si="16">+AO10+1</f>
        <v>41</v>
      </c>
      <c r="AQ10">
        <f t="shared" ref="AQ10" si="17">+AP10+1</f>
        <v>42</v>
      </c>
      <c r="AR10">
        <f t="shared" ref="AR10" si="18">+AQ10+1</f>
        <v>43</v>
      </c>
      <c r="AS10">
        <f t="shared" ref="AS10" si="19">+AR10+1</f>
        <v>44</v>
      </c>
      <c r="AT10">
        <f t="shared" ref="AT10" si="20">+AS10+1</f>
        <v>45</v>
      </c>
      <c r="AU10">
        <f t="shared" ref="AU10" si="21">+AT10+1</f>
        <v>46</v>
      </c>
      <c r="AV10">
        <f t="shared" ref="AV10" si="22">+AU10+1</f>
        <v>47</v>
      </c>
      <c r="AW10">
        <f t="shared" ref="AW10" si="23">+AV10+1</f>
        <v>48</v>
      </c>
      <c r="AX10">
        <f t="shared" ref="AX10" si="24">+AW10+1</f>
        <v>49</v>
      </c>
      <c r="AY10">
        <f t="shared" ref="AY10" si="25">+AX10+1</f>
        <v>50</v>
      </c>
      <c r="AZ10">
        <f t="shared" ref="AZ10" si="26">+AY10+1</f>
        <v>51</v>
      </c>
      <c r="BA10">
        <f t="shared" ref="BA10" si="27">+AZ10+1</f>
        <v>52</v>
      </c>
      <c r="BB10">
        <f t="shared" ref="BB10" si="28">+BA10+1</f>
        <v>53</v>
      </c>
      <c r="BC10">
        <f t="shared" ref="BC10" si="29">+BB10+1</f>
        <v>54</v>
      </c>
      <c r="BD10">
        <f t="shared" ref="BD10" si="30">+BC10+1</f>
        <v>55</v>
      </c>
      <c r="BE10">
        <f t="shared" ref="BE10" si="31">+BD10+1</f>
        <v>56</v>
      </c>
      <c r="BF10">
        <f t="shared" ref="BF10" si="32">+BE10+1</f>
        <v>57</v>
      </c>
      <c r="BG10">
        <f t="shared" ref="BG10" si="33">+BF10+1</f>
        <v>58</v>
      </c>
      <c r="BH10">
        <f t="shared" ref="BH10" si="34">+BG10+1</f>
        <v>59</v>
      </c>
      <c r="BI10">
        <f t="shared" ref="BI10" si="35">+BH10+1</f>
        <v>60</v>
      </c>
      <c r="BJ10">
        <f t="shared" ref="BJ10" si="36">+BI10+1</f>
        <v>61</v>
      </c>
      <c r="BK10">
        <f t="shared" ref="BK10" si="37">+BJ10+1</f>
        <v>62</v>
      </c>
      <c r="BL10">
        <f t="shared" ref="BL10" si="38">+BK10+1</f>
        <v>63</v>
      </c>
      <c r="BM10">
        <f t="shared" ref="BM10" si="39">+BL10+1</f>
        <v>64</v>
      </c>
    </row>
    <row r="11" spans="1:139" x14ac:dyDescent="0.35">
      <c r="D11" t="s">
        <v>842</v>
      </c>
      <c r="E11" t="str">
        <f>HAVERD!D$1</f>
        <v>Overnight</v>
      </c>
      <c r="F11">
        <f>HAVERD!E$1</f>
        <v>1</v>
      </c>
      <c r="G11">
        <f>HAVERD!F$1</f>
        <v>2</v>
      </c>
      <c r="H11">
        <f>HAVERD!G$1</f>
        <v>3</v>
      </c>
      <c r="I11">
        <f>HAVERD!H$1</f>
        <v>4</v>
      </c>
      <c r="J11">
        <f>HAVERD!I$1</f>
        <v>5</v>
      </c>
      <c r="K11">
        <f>HAVERD!J$1</f>
        <v>6</v>
      </c>
      <c r="L11">
        <f>HAVERD!K$1</f>
        <v>7</v>
      </c>
      <c r="M11">
        <f>HAVERD!L$1</f>
        <v>8</v>
      </c>
      <c r="N11">
        <f>HAVERD!M$1</f>
        <v>9</v>
      </c>
      <c r="O11">
        <f>HAVERD!N$1</f>
        <v>10</v>
      </c>
      <c r="P11">
        <f>HAVERD!O$1</f>
        <v>11</v>
      </c>
      <c r="Q11">
        <f>HAVERD!P$1</f>
        <v>12</v>
      </c>
      <c r="R11">
        <f>HAVERD!Q$1</f>
        <v>13</v>
      </c>
      <c r="S11">
        <f>HAVERD!R$1</f>
        <v>14</v>
      </c>
      <c r="T11">
        <f>HAVERD!S$1</f>
        <v>15</v>
      </c>
      <c r="U11">
        <f>HAVERD!T$1</f>
        <v>16</v>
      </c>
      <c r="V11">
        <f>HAVERD!U$1</f>
        <v>17</v>
      </c>
      <c r="W11">
        <f>HAVERD!V$1</f>
        <v>18</v>
      </c>
      <c r="X11">
        <f>HAVERD!W$1</f>
        <v>19</v>
      </c>
      <c r="Y11">
        <f>HAVERD!X$1</f>
        <v>20</v>
      </c>
      <c r="Z11">
        <f>HAVERD!Y$1</f>
        <v>21</v>
      </c>
      <c r="AA11">
        <f>HAVERD!Z$1</f>
        <v>22</v>
      </c>
      <c r="AB11">
        <f>HAVERD!AA$1</f>
        <v>23</v>
      </c>
      <c r="AC11">
        <f>HAVERD!AB$1</f>
        <v>24</v>
      </c>
      <c r="AD11">
        <f>HAVERD!AC$1</f>
        <v>25</v>
      </c>
      <c r="AE11">
        <f>HAVERD!AD$1</f>
        <v>26</v>
      </c>
      <c r="AF11">
        <f>HAVERD!AE$1</f>
        <v>27</v>
      </c>
      <c r="AG11">
        <f>HAVERD!AF$1</f>
        <v>28</v>
      </c>
      <c r="AH11">
        <f>HAVERD!AG$1</f>
        <v>29</v>
      </c>
      <c r="AI11">
        <f>HAVERD!AH$1</f>
        <v>30</v>
      </c>
      <c r="AJ11">
        <f>HAVERD!AI$1</f>
        <v>31</v>
      </c>
      <c r="AK11">
        <f>HAVERD!AJ$1</f>
        <v>32</v>
      </c>
      <c r="AL11">
        <f>HAVERD!AK$1</f>
        <v>33</v>
      </c>
      <c r="AM11">
        <f>HAVERD!AL$1</f>
        <v>34</v>
      </c>
      <c r="AN11">
        <f>HAVERD!AM$1</f>
        <v>35</v>
      </c>
      <c r="AO11">
        <f>HAVERD!AN$1</f>
        <v>36</v>
      </c>
      <c r="AP11">
        <f>HAVERD!AO$1</f>
        <v>37</v>
      </c>
      <c r="AQ11">
        <f>HAVERD!AP$1</f>
        <v>38</v>
      </c>
      <c r="AR11">
        <f>HAVERD!AQ$1</f>
        <v>39</v>
      </c>
      <c r="AS11">
        <f>HAVERD!AR$1</f>
        <v>40</v>
      </c>
      <c r="AT11">
        <f>HAVERD!AS$1</f>
        <v>41</v>
      </c>
      <c r="AU11">
        <f>HAVERD!AT$1</f>
        <v>42</v>
      </c>
      <c r="AV11">
        <f>HAVERD!AU$1</f>
        <v>43</v>
      </c>
      <c r="AW11">
        <f>HAVERD!AV$1</f>
        <v>44</v>
      </c>
      <c r="AX11">
        <f>HAVERD!AW$1</f>
        <v>45</v>
      </c>
      <c r="AY11">
        <f>HAVERD!AX$1</f>
        <v>46</v>
      </c>
      <c r="AZ11">
        <f>HAVERD!AY$1</f>
        <v>47</v>
      </c>
      <c r="BA11">
        <f>HAVERD!AZ$1</f>
        <v>48</v>
      </c>
      <c r="BB11">
        <f>HAVERD!BA$1</f>
        <v>49</v>
      </c>
      <c r="BC11">
        <f>HAVERD!BB$1</f>
        <v>50</v>
      </c>
      <c r="BD11">
        <f>HAVERD!BC$1</f>
        <v>51</v>
      </c>
      <c r="BE11">
        <f>HAVERD!BD$1</f>
        <v>52</v>
      </c>
      <c r="BF11">
        <f>HAVERD!BE$1</f>
        <v>53</v>
      </c>
      <c r="BG11">
        <f>HAVERD!BF$1</f>
        <v>54</v>
      </c>
      <c r="BH11">
        <f>HAVERD!BG$1</f>
        <v>55</v>
      </c>
      <c r="BI11">
        <f>HAVERD!BH$1</f>
        <v>56</v>
      </c>
      <c r="BJ11">
        <f>HAVERD!BI$1</f>
        <v>57</v>
      </c>
      <c r="BK11">
        <f>HAVERD!BJ$1</f>
        <v>58</v>
      </c>
      <c r="BL11">
        <f>HAVERD!BK$1</f>
        <v>59</v>
      </c>
      <c r="BM11">
        <f>HAVERD!BL$1</f>
        <v>60</v>
      </c>
    </row>
    <row r="12" spans="1:139" x14ac:dyDescent="0.35">
      <c r="D12" t="s">
        <v>843</v>
      </c>
      <c r="F12">
        <v>30.4166667</v>
      </c>
      <c r="G12">
        <f>+F12+30.4166667</f>
        <v>60.833333400000001</v>
      </c>
      <c r="H12">
        <f t="shared" ref="H12:AO12" si="40">+G12+30.4166667</f>
        <v>91.250000099999994</v>
      </c>
      <c r="I12">
        <f t="shared" si="40"/>
        <v>121.6666668</v>
      </c>
      <c r="J12">
        <f t="shared" si="40"/>
        <v>152.08333350000001</v>
      </c>
      <c r="K12">
        <f t="shared" si="40"/>
        <v>182.50000020000002</v>
      </c>
      <c r="L12">
        <f t="shared" si="40"/>
        <v>212.91666690000002</v>
      </c>
      <c r="M12">
        <f t="shared" si="40"/>
        <v>243.33333360000003</v>
      </c>
      <c r="N12">
        <f t="shared" si="40"/>
        <v>273.75000030000001</v>
      </c>
      <c r="O12">
        <f t="shared" si="40"/>
        <v>304.16666700000002</v>
      </c>
      <c r="P12">
        <f t="shared" si="40"/>
        <v>334.58333370000003</v>
      </c>
      <c r="Q12">
        <f t="shared" si="40"/>
        <v>365.00000040000003</v>
      </c>
      <c r="R12">
        <f t="shared" si="40"/>
        <v>395.41666710000004</v>
      </c>
      <c r="S12">
        <f t="shared" si="40"/>
        <v>425.83333380000005</v>
      </c>
      <c r="T12">
        <f t="shared" si="40"/>
        <v>456.25000050000006</v>
      </c>
      <c r="U12">
        <f t="shared" si="40"/>
        <v>486.66666720000006</v>
      </c>
      <c r="V12">
        <f t="shared" si="40"/>
        <v>517.08333390000007</v>
      </c>
      <c r="W12">
        <f t="shared" si="40"/>
        <v>547.50000060000002</v>
      </c>
      <c r="X12">
        <f t="shared" si="40"/>
        <v>577.91666729999997</v>
      </c>
      <c r="Y12">
        <f t="shared" si="40"/>
        <v>608.33333399999992</v>
      </c>
      <c r="Z12">
        <f t="shared" si="40"/>
        <v>638.75000069999987</v>
      </c>
      <c r="AA12">
        <f t="shared" si="40"/>
        <v>669.16666739999982</v>
      </c>
      <c r="AB12">
        <f t="shared" si="40"/>
        <v>699.58333409999977</v>
      </c>
      <c r="AC12">
        <f t="shared" si="40"/>
        <v>730.00000079999973</v>
      </c>
      <c r="AD12">
        <f t="shared" si="40"/>
        <v>760.41666749999968</v>
      </c>
      <c r="AE12">
        <f t="shared" si="40"/>
        <v>790.83333419999963</v>
      </c>
      <c r="AF12">
        <f t="shared" si="40"/>
        <v>821.25000089999958</v>
      </c>
      <c r="AG12">
        <f t="shared" si="40"/>
        <v>851.66666759999953</v>
      </c>
      <c r="AH12">
        <f t="shared" si="40"/>
        <v>882.08333429999948</v>
      </c>
      <c r="AI12">
        <f t="shared" si="40"/>
        <v>912.50000099999943</v>
      </c>
      <c r="AJ12">
        <f t="shared" si="40"/>
        <v>942.91666769999938</v>
      </c>
      <c r="AK12">
        <f t="shared" si="40"/>
        <v>973.33333439999933</v>
      </c>
      <c r="AL12">
        <f t="shared" si="40"/>
        <v>1003.7500010999993</v>
      </c>
      <c r="AM12">
        <f t="shared" si="40"/>
        <v>1034.1666677999992</v>
      </c>
      <c r="AN12">
        <f t="shared" si="40"/>
        <v>1064.5833344999992</v>
      </c>
      <c r="AO12">
        <f t="shared" si="40"/>
        <v>1095.0000011999991</v>
      </c>
      <c r="AP12">
        <f t="shared" ref="AP12" si="41">+AO12+30.4166667</f>
        <v>1125.4166678999991</v>
      </c>
      <c r="AQ12">
        <f t="shared" ref="AQ12" si="42">+AP12+30.4166667</f>
        <v>1155.833334599999</v>
      </c>
      <c r="AR12">
        <f t="shared" ref="AR12" si="43">+AQ12+30.4166667</f>
        <v>1186.250001299999</v>
      </c>
      <c r="AS12">
        <f t="shared" ref="AS12" si="44">+AR12+30.4166667</f>
        <v>1216.6666679999989</v>
      </c>
      <c r="AT12">
        <f t="shared" ref="AT12" si="45">+AS12+30.4166667</f>
        <v>1247.0833346999989</v>
      </c>
      <c r="AU12">
        <f t="shared" ref="AU12" si="46">+AT12+30.4166667</f>
        <v>1277.5000013999988</v>
      </c>
      <c r="AV12">
        <f t="shared" ref="AV12" si="47">+AU12+30.4166667</f>
        <v>1307.9166680999988</v>
      </c>
      <c r="AW12">
        <f t="shared" ref="AW12" si="48">+AV12+30.4166667</f>
        <v>1338.3333347999987</v>
      </c>
      <c r="AX12">
        <f t="shared" ref="AX12" si="49">+AW12+30.4166667</f>
        <v>1368.7500014999987</v>
      </c>
      <c r="AY12">
        <f t="shared" ref="AY12" si="50">+AX12+30.4166667</f>
        <v>1399.1666681999986</v>
      </c>
      <c r="AZ12">
        <f t="shared" ref="AZ12" si="51">+AY12+30.4166667</f>
        <v>1429.5833348999986</v>
      </c>
      <c r="BA12">
        <f t="shared" ref="BA12" si="52">+AZ12+30.4166667</f>
        <v>1460.0000015999985</v>
      </c>
      <c r="BB12">
        <f t="shared" ref="BB12" si="53">+BA12+30.4166667</f>
        <v>1490.4166682999985</v>
      </c>
      <c r="BC12">
        <f t="shared" ref="BC12" si="54">+BB12+30.4166667</f>
        <v>1520.8333349999984</v>
      </c>
      <c r="BD12">
        <f t="shared" ref="BD12" si="55">+BC12+30.4166667</f>
        <v>1551.2500016999984</v>
      </c>
      <c r="BE12">
        <f t="shared" ref="BE12" si="56">+BD12+30.4166667</f>
        <v>1581.6666683999983</v>
      </c>
      <c r="BF12">
        <f t="shared" ref="BF12" si="57">+BE12+30.4166667</f>
        <v>1612.0833350999983</v>
      </c>
      <c r="BG12">
        <f t="shared" ref="BG12" si="58">+BF12+30.4166667</f>
        <v>1642.5000017999982</v>
      </c>
      <c r="BH12">
        <f t="shared" ref="BH12" si="59">+BG12+30.4166667</f>
        <v>1672.9166684999982</v>
      </c>
      <c r="BI12">
        <f t="shared" ref="BI12" si="60">+BH12+30.4166667</f>
        <v>1703.3333351999981</v>
      </c>
      <c r="BJ12">
        <f t="shared" ref="BJ12" si="61">+BI12+30.4166667</f>
        <v>1733.7500018999981</v>
      </c>
      <c r="BK12">
        <f t="shared" ref="BK12" si="62">+BJ12+30.4166667</f>
        <v>1764.166668599998</v>
      </c>
      <c r="BL12">
        <f t="shared" ref="BL12" si="63">+BK12+30.4166667</f>
        <v>1794.583335299998</v>
      </c>
      <c r="BM12">
        <f t="shared" ref="BM12" si="64">+BL12+30.4166667</f>
        <v>1825.0000019999979</v>
      </c>
    </row>
    <row r="13" spans="1:139" x14ac:dyDescent="0.35">
      <c r="E13" s="5">
        <f>D15</f>
        <v>45324</v>
      </c>
      <c r="F13" s="5">
        <f>$E13+F12</f>
        <v>45354.416666700003</v>
      </c>
      <c r="G13" s="5">
        <f t="shared" ref="G13" si="65">$E13+G12</f>
        <v>45384.833333399998</v>
      </c>
      <c r="H13" s="5">
        <f t="shared" ref="H13" si="66">$E13+H12</f>
        <v>45415.250000100001</v>
      </c>
      <c r="I13" s="5">
        <f t="shared" ref="I13" si="67">$E13+I12</f>
        <v>45445.666666800003</v>
      </c>
      <c r="J13" s="5">
        <f t="shared" ref="J13" si="68">$E13+J12</f>
        <v>45476.083333499999</v>
      </c>
      <c r="K13" s="5">
        <f t="shared" ref="K13" si="69">$E13+K12</f>
        <v>45506.500000200002</v>
      </c>
      <c r="L13" s="5">
        <f t="shared" ref="L13" si="70">$E13+L12</f>
        <v>45536.916666899997</v>
      </c>
      <c r="M13" s="5">
        <f t="shared" ref="M13" si="71">$E13+M12</f>
        <v>45567.3333336</v>
      </c>
      <c r="N13" s="5">
        <f t="shared" ref="N13" si="72">$E13+N12</f>
        <v>45597.750000300002</v>
      </c>
      <c r="O13" s="5">
        <f t="shared" ref="O13" si="73">$E13+O12</f>
        <v>45628.166666999998</v>
      </c>
      <c r="P13" s="5">
        <f t="shared" ref="P13" si="74">$E13+P12</f>
        <v>45658.5833337</v>
      </c>
      <c r="Q13" s="5">
        <f t="shared" ref="Q13" si="75">$E13+Q12</f>
        <v>45689.000000400003</v>
      </c>
      <c r="R13" s="5">
        <f t="shared" ref="R13" si="76">$E13+R12</f>
        <v>45719.416667099998</v>
      </c>
      <c r="S13" s="5">
        <f t="shared" ref="S13" si="77">$E13+S12</f>
        <v>45749.833333800001</v>
      </c>
      <c r="T13" s="5">
        <f t="shared" ref="T13" si="78">$E13+T12</f>
        <v>45780.250000499997</v>
      </c>
      <c r="U13" s="5">
        <f t="shared" ref="U13" si="79">$E13+U12</f>
        <v>45810.666667199999</v>
      </c>
      <c r="V13" s="5">
        <f t="shared" ref="V13" si="80">$E13+V12</f>
        <v>45841.083333900002</v>
      </c>
      <c r="W13" s="5">
        <f t="shared" ref="W13" si="81">$E13+W12</f>
        <v>45871.500000599997</v>
      </c>
      <c r="X13" s="5">
        <f t="shared" ref="X13" si="82">$E13+X12</f>
        <v>45901.9166673</v>
      </c>
      <c r="Y13" s="5">
        <f t="shared" ref="Y13" si="83">$E13+Y12</f>
        <v>45932.333334000003</v>
      </c>
      <c r="Z13" s="5">
        <f t="shared" ref="Z13" si="84">$E13+Z12</f>
        <v>45962.750000699998</v>
      </c>
      <c r="AA13" s="5">
        <f t="shared" ref="AA13" si="85">$E13+AA12</f>
        <v>45993.166667400001</v>
      </c>
      <c r="AB13" s="5">
        <f t="shared" ref="AB13" si="86">$E13+AB12</f>
        <v>46023.583334099996</v>
      </c>
      <c r="AC13" s="5">
        <f t="shared" ref="AC13" si="87">$E13+AC12</f>
        <v>46054.000000799999</v>
      </c>
      <c r="AD13" s="5">
        <f t="shared" ref="AD13" si="88">$E13+AD12</f>
        <v>46084.416667500001</v>
      </c>
      <c r="AE13" s="5">
        <f t="shared" ref="AE13" si="89">$E13+AE12</f>
        <v>46114.833334199997</v>
      </c>
      <c r="AF13" s="5">
        <f t="shared" ref="AF13" si="90">$E13+AF12</f>
        <v>46145.2500009</v>
      </c>
      <c r="AG13" s="5">
        <f t="shared" ref="AG13" si="91">$E13+AG12</f>
        <v>46175.666667600002</v>
      </c>
      <c r="AH13" s="5">
        <f t="shared" ref="AH13" si="92">$E13+AH12</f>
        <v>46206.083334299998</v>
      </c>
      <c r="AI13" s="5">
        <f t="shared" ref="AI13" si="93">$E13+AI12</f>
        <v>46236.500001</v>
      </c>
      <c r="AJ13" s="5">
        <f t="shared" ref="AJ13" si="94">$E13+AJ12</f>
        <v>46266.916667700003</v>
      </c>
      <c r="AK13" s="5">
        <f t="shared" ref="AK13" si="95">$E13+AK12</f>
        <v>46297.333334399998</v>
      </c>
      <c r="AL13" s="5">
        <f t="shared" ref="AL13" si="96">$E13+AL12</f>
        <v>46327.750001100001</v>
      </c>
      <c r="AM13" s="5">
        <f t="shared" ref="AM13" si="97">$E13+AM12</f>
        <v>46358.166667799997</v>
      </c>
      <c r="AN13" s="5">
        <f t="shared" ref="AN13" si="98">$E13+AN12</f>
        <v>46388.583334499999</v>
      </c>
      <c r="AO13" s="5">
        <f t="shared" ref="AO13:BM13" si="99">$E13+AO12</f>
        <v>46419.000001200002</v>
      </c>
      <c r="AP13" s="5">
        <f t="shared" si="99"/>
        <v>46449.416667899997</v>
      </c>
      <c r="AQ13" s="5">
        <f t="shared" si="99"/>
        <v>46479.8333346</v>
      </c>
      <c r="AR13" s="5">
        <f t="shared" si="99"/>
        <v>46510.250001299995</v>
      </c>
      <c r="AS13" s="5">
        <f t="shared" si="99"/>
        <v>46540.666667999998</v>
      </c>
      <c r="AT13" s="5">
        <f t="shared" si="99"/>
        <v>46571.083334700001</v>
      </c>
      <c r="AU13" s="5">
        <f t="shared" si="99"/>
        <v>46601.500001399996</v>
      </c>
      <c r="AV13" s="5">
        <f t="shared" si="99"/>
        <v>46631.916668099999</v>
      </c>
      <c r="AW13" s="5">
        <f t="shared" si="99"/>
        <v>46662.333334800001</v>
      </c>
      <c r="AX13" s="5">
        <f t="shared" si="99"/>
        <v>46692.750001499997</v>
      </c>
      <c r="AY13" s="5">
        <f t="shared" si="99"/>
        <v>46723.1666682</v>
      </c>
      <c r="AZ13" s="5">
        <f t="shared" si="99"/>
        <v>46753.583334900002</v>
      </c>
      <c r="BA13" s="5">
        <f t="shared" si="99"/>
        <v>46784.000001599998</v>
      </c>
      <c r="BB13" s="5">
        <f t="shared" si="99"/>
        <v>46814.4166683</v>
      </c>
      <c r="BC13" s="5">
        <f t="shared" si="99"/>
        <v>46844.833334999996</v>
      </c>
      <c r="BD13" s="5">
        <f t="shared" si="99"/>
        <v>46875.250001699998</v>
      </c>
      <c r="BE13" s="5">
        <f t="shared" si="99"/>
        <v>46905.666668400001</v>
      </c>
      <c r="BF13" s="5">
        <f t="shared" si="99"/>
        <v>46936.083335099996</v>
      </c>
      <c r="BG13" s="5">
        <f t="shared" si="99"/>
        <v>46966.500001799999</v>
      </c>
      <c r="BH13" s="5">
        <f t="shared" si="99"/>
        <v>46996.916668499995</v>
      </c>
      <c r="BI13" s="5">
        <f t="shared" si="99"/>
        <v>47027.333335199997</v>
      </c>
      <c r="BJ13" s="5">
        <f t="shared" si="99"/>
        <v>47057.7500019</v>
      </c>
      <c r="BK13" s="5">
        <f t="shared" si="99"/>
        <v>47088.166668599995</v>
      </c>
      <c r="BL13" s="5">
        <f t="shared" si="99"/>
        <v>47118.583335299998</v>
      </c>
      <c r="BM13" s="5">
        <f t="shared" si="99"/>
        <v>47149.000002000001</v>
      </c>
    </row>
    <row r="14" spans="1:139" x14ac:dyDescent="0.35">
      <c r="E14" s="5">
        <f t="shared" ref="E14:AO14" si="100">EOMONTH(E13,0)</f>
        <v>45351</v>
      </c>
      <c r="F14" s="5">
        <f t="shared" si="100"/>
        <v>45382</v>
      </c>
      <c r="G14" s="5">
        <f t="shared" si="100"/>
        <v>45412</v>
      </c>
      <c r="H14" s="5">
        <f t="shared" si="100"/>
        <v>45443</v>
      </c>
      <c r="I14" s="5">
        <f t="shared" si="100"/>
        <v>45473</v>
      </c>
      <c r="J14" s="5">
        <f t="shared" si="100"/>
        <v>45504</v>
      </c>
      <c r="K14" s="5">
        <f t="shared" si="100"/>
        <v>45535</v>
      </c>
      <c r="L14" s="5">
        <f t="shared" si="100"/>
        <v>45565</v>
      </c>
      <c r="M14" s="5">
        <f t="shared" si="100"/>
        <v>45596</v>
      </c>
      <c r="N14" s="5">
        <f t="shared" si="100"/>
        <v>45626</v>
      </c>
      <c r="O14" s="5">
        <f t="shared" si="100"/>
        <v>45657</v>
      </c>
      <c r="P14" s="5">
        <f t="shared" si="100"/>
        <v>45688</v>
      </c>
      <c r="Q14" s="5">
        <f t="shared" si="100"/>
        <v>45716</v>
      </c>
      <c r="R14" s="5">
        <f t="shared" si="100"/>
        <v>45747</v>
      </c>
      <c r="S14" s="5">
        <f t="shared" si="100"/>
        <v>45777</v>
      </c>
      <c r="T14" s="5">
        <f t="shared" si="100"/>
        <v>45808</v>
      </c>
      <c r="U14" s="5">
        <f t="shared" si="100"/>
        <v>45838</v>
      </c>
      <c r="V14" s="5">
        <f t="shared" si="100"/>
        <v>45869</v>
      </c>
      <c r="W14" s="5">
        <f t="shared" si="100"/>
        <v>45900</v>
      </c>
      <c r="X14" s="5">
        <f t="shared" si="100"/>
        <v>45930</v>
      </c>
      <c r="Y14" s="5">
        <f t="shared" si="100"/>
        <v>45961</v>
      </c>
      <c r="Z14" s="5">
        <f t="shared" si="100"/>
        <v>45991</v>
      </c>
      <c r="AA14" s="5">
        <f t="shared" si="100"/>
        <v>46022</v>
      </c>
      <c r="AB14" s="5">
        <f t="shared" si="100"/>
        <v>46053</v>
      </c>
      <c r="AC14" s="5">
        <f t="shared" si="100"/>
        <v>46081</v>
      </c>
      <c r="AD14" s="5">
        <f t="shared" si="100"/>
        <v>46112</v>
      </c>
      <c r="AE14" s="5">
        <f t="shared" si="100"/>
        <v>46142</v>
      </c>
      <c r="AF14" s="5">
        <f t="shared" si="100"/>
        <v>46173</v>
      </c>
      <c r="AG14" s="5">
        <f t="shared" si="100"/>
        <v>46203</v>
      </c>
      <c r="AH14" s="5">
        <f t="shared" si="100"/>
        <v>46234</v>
      </c>
      <c r="AI14" s="5">
        <f t="shared" si="100"/>
        <v>46265</v>
      </c>
      <c r="AJ14" s="5">
        <f t="shared" si="100"/>
        <v>46295</v>
      </c>
      <c r="AK14" s="5">
        <f t="shared" si="100"/>
        <v>46326</v>
      </c>
      <c r="AL14" s="5">
        <f t="shared" si="100"/>
        <v>46356</v>
      </c>
      <c r="AM14" s="5">
        <f t="shared" si="100"/>
        <v>46387</v>
      </c>
      <c r="AN14" s="5">
        <f t="shared" si="100"/>
        <v>46418</v>
      </c>
      <c r="AO14" s="5">
        <f t="shared" si="100"/>
        <v>46446</v>
      </c>
      <c r="AP14" s="5">
        <f t="shared" ref="AP14:BM14" si="101">EOMONTH(AP13,0)</f>
        <v>46477</v>
      </c>
      <c r="AQ14" s="5">
        <f t="shared" si="101"/>
        <v>46507</v>
      </c>
      <c r="AR14" s="5">
        <f t="shared" si="101"/>
        <v>46538</v>
      </c>
      <c r="AS14" s="5">
        <f t="shared" si="101"/>
        <v>46568</v>
      </c>
      <c r="AT14" s="5">
        <f t="shared" si="101"/>
        <v>46599</v>
      </c>
      <c r="AU14" s="5">
        <f t="shared" si="101"/>
        <v>46630</v>
      </c>
      <c r="AV14" s="5">
        <f t="shared" si="101"/>
        <v>46660</v>
      </c>
      <c r="AW14" s="5">
        <f t="shared" si="101"/>
        <v>46691</v>
      </c>
      <c r="AX14" s="5">
        <f t="shared" si="101"/>
        <v>46721</v>
      </c>
      <c r="AY14" s="5">
        <f t="shared" si="101"/>
        <v>46752</v>
      </c>
      <c r="AZ14" s="5">
        <f t="shared" si="101"/>
        <v>46783</v>
      </c>
      <c r="BA14" s="5">
        <f t="shared" si="101"/>
        <v>46812</v>
      </c>
      <c r="BB14" s="5">
        <f t="shared" si="101"/>
        <v>46843</v>
      </c>
      <c r="BC14" s="5">
        <f t="shared" si="101"/>
        <v>46873</v>
      </c>
      <c r="BD14" s="5">
        <f t="shared" si="101"/>
        <v>46904</v>
      </c>
      <c r="BE14" s="5">
        <f t="shared" si="101"/>
        <v>46934</v>
      </c>
      <c r="BF14" s="5">
        <f t="shared" si="101"/>
        <v>46965</v>
      </c>
      <c r="BG14" s="5">
        <f t="shared" si="101"/>
        <v>46996</v>
      </c>
      <c r="BH14" s="5">
        <f t="shared" si="101"/>
        <v>46996</v>
      </c>
      <c r="BI14" s="5">
        <f t="shared" si="101"/>
        <v>47057</v>
      </c>
      <c r="BJ14" s="5">
        <f t="shared" si="101"/>
        <v>47057</v>
      </c>
      <c r="BK14" s="5">
        <f t="shared" si="101"/>
        <v>47118</v>
      </c>
      <c r="BL14" s="5">
        <f t="shared" si="101"/>
        <v>47118</v>
      </c>
      <c r="BM14" s="5">
        <f t="shared" si="101"/>
        <v>47149</v>
      </c>
    </row>
    <row r="15" spans="1:139" x14ac:dyDescent="0.35">
      <c r="D15" s="7">
        <v>45324</v>
      </c>
      <c r="E15" s="6">
        <f>VLOOKUP($D15,HAVERD!$A:$BL,E10,FALSE)</f>
        <v>5.1885000000000003</v>
      </c>
      <c r="F15" s="6">
        <f>VLOOKUP($D15,HAVERD!$A:$BL,F10,FALSE)</f>
        <v>5.1810986000000003</v>
      </c>
      <c r="G15" s="6">
        <f>VLOOKUP($D15,HAVERD!$A:$BL,G10,FALSE)</f>
        <v>5.1687959000000001</v>
      </c>
      <c r="H15" s="6">
        <f>VLOOKUP($D15,HAVERD!$A:$BL,H10,FALSE)</f>
        <v>5.1308084000000003</v>
      </c>
      <c r="I15" s="6">
        <f>VLOOKUP($D15,HAVERD!$A:$BL,I10,FALSE)</f>
        <v>5.0609634999999997</v>
      </c>
      <c r="J15" s="6">
        <f>VLOOKUP($D15,HAVERD!$A:$BL,J10,FALSE)</f>
        <v>4.9644914</v>
      </c>
      <c r="K15" s="6">
        <f>VLOOKUP($D15,HAVERD!$A:$BL,K10,FALSE)</f>
        <v>4.8513273999999997</v>
      </c>
      <c r="L15" s="6">
        <f>VLOOKUP($D15,HAVERD!$A:$BL,L10,FALSE)</f>
        <v>4.7330914999999996</v>
      </c>
      <c r="M15" s="6">
        <f>VLOOKUP($D15,HAVERD!$A:$BL,M10,FALSE)</f>
        <v>4.6182891000000001</v>
      </c>
      <c r="N15" s="6">
        <f>VLOOKUP($D15,HAVERD!$A:$BL,N10,FALSE)</f>
        <v>4.5105414000000001</v>
      </c>
      <c r="O15" s="6">
        <f>VLOOKUP($D15,HAVERD!$A:$BL,O10,FALSE)</f>
        <v>4.4107979999999998</v>
      </c>
      <c r="P15" s="6">
        <f>VLOOKUP($D15,HAVERD!$A:$BL,P10,FALSE)</f>
        <v>4.3182790999999998</v>
      </c>
      <c r="Q15" s="6">
        <f>VLOOKUP($D15,HAVERD!$A:$BL,Q10,FALSE)</f>
        <v>4.2314125000000002</v>
      </c>
      <c r="R15" s="6">
        <f>VLOOKUP($D15,HAVERD!$A:$BL,R10,FALSE)</f>
        <v>4.1478409000000003</v>
      </c>
      <c r="S15" s="6">
        <f>VLOOKUP($D15,HAVERD!$A:$BL,S10,FALSE)</f>
        <v>4.0672927999999997</v>
      </c>
      <c r="T15" s="6">
        <f>VLOOKUP($D15,HAVERD!$A:$BL,T10,FALSE)</f>
        <v>3.9902348999999999</v>
      </c>
      <c r="U15" s="6">
        <f>VLOOKUP($D15,HAVERD!$A:$BL,U10,FALSE)</f>
        <v>3.9171312999999999</v>
      </c>
      <c r="V15" s="6">
        <f>VLOOKUP($D15,HAVERD!$A:$BL,V10,FALSE)</f>
        <v>3.8484460999999999</v>
      </c>
      <c r="W15" s="6">
        <f>VLOOKUP($D15,HAVERD!$A:$BL,W10,FALSE)</f>
        <v>3.7846460999999998</v>
      </c>
      <c r="X15" s="6">
        <f>VLOOKUP($D15,HAVERD!$A:$BL,X10,FALSE)</f>
        <v>3.7260905000000002</v>
      </c>
      <c r="Y15" s="6">
        <f>VLOOKUP($D15,HAVERD!$A:$BL,Y10,FALSE)</f>
        <v>3.6726510000000001</v>
      </c>
      <c r="Z15" s="6">
        <f>VLOOKUP($D15,HAVERD!$A:$BL,Z10,FALSE)</f>
        <v>3.6240602000000002</v>
      </c>
      <c r="AA15" s="6">
        <f>VLOOKUP($D15,HAVERD!$A:$BL,AA10,FALSE)</f>
        <v>3.5800488000000001</v>
      </c>
      <c r="AB15" s="6">
        <f>VLOOKUP($D15,HAVERD!$A:$BL,AB10,FALSE)</f>
        <v>3.5403475000000002</v>
      </c>
      <c r="AC15" s="6">
        <f>VLOOKUP($D15,HAVERD!$A:$BL,AC10,FALSE)</f>
        <v>3.5046886000000002</v>
      </c>
      <c r="AD15" s="6">
        <f>VLOOKUP($D15,HAVERD!$A:$BL,AD10,FALSE)</f>
        <v>3.4728061000000001</v>
      </c>
      <c r="AE15" s="6">
        <f>VLOOKUP($D15,HAVERD!$A:$BL,AE10,FALSE)</f>
        <v>3.4444485</v>
      </c>
      <c r="AF15" s="6">
        <f>VLOOKUP($D15,HAVERD!$A:$BL,AF10,FALSE)</f>
        <v>3.4193696999999998</v>
      </c>
      <c r="AG15" s="6">
        <f>VLOOKUP($D15,HAVERD!$A:$BL,AG10,FALSE)</f>
        <v>3.3973222000000001</v>
      </c>
      <c r="AH15" s="6">
        <f>VLOOKUP($D15,HAVERD!$A:$BL,AH10,FALSE)</f>
        <v>3.3780587</v>
      </c>
      <c r="AI15" s="6">
        <f>VLOOKUP($D15,HAVERD!$A:$BL,AI10,FALSE)</f>
        <v>3.3613325999999999</v>
      </c>
      <c r="AJ15" s="6">
        <f>VLOOKUP($D15,HAVERD!$A:$BL,AJ10,FALSE)</f>
        <v>3.3468966999999998</v>
      </c>
      <c r="AK15" s="6">
        <f>VLOOKUP($D15,HAVERD!$A:$BL,AK10,FALSE)</f>
        <v>3.3345039000000001</v>
      </c>
      <c r="AL15" s="6">
        <f>VLOOKUP($D15,HAVERD!$A:$BL,AL10,FALSE)</f>
        <v>3.3239071999999998</v>
      </c>
      <c r="AM15" s="6">
        <f>VLOOKUP($D15,HAVERD!$A:$BL,AM10,FALSE)</f>
        <v>3.3148597</v>
      </c>
      <c r="AN15" s="6">
        <f>VLOOKUP($D15,HAVERD!$A:$BL,AN10,FALSE)</f>
        <v>3.3071141000000002</v>
      </c>
      <c r="AO15" s="6">
        <f>VLOOKUP($D15,HAVERD!$A:$BL,AO10,FALSE)</f>
        <v>3.3004235999999998</v>
      </c>
      <c r="AP15" s="6">
        <f>VLOOKUP($D15,HAVERD!$A:$BL,AP10,FALSE)</f>
        <v>3.2945734999999998</v>
      </c>
      <c r="AQ15" s="6">
        <f>VLOOKUP($D15,HAVERD!$A:$BL,AQ10,FALSE)</f>
        <v>3.2894925000000002</v>
      </c>
      <c r="AR15" s="6">
        <f>VLOOKUP($D15,HAVERD!$A:$BL,AR10,FALSE)</f>
        <v>3.2851490999999999</v>
      </c>
      <c r="AS15" s="6">
        <f>VLOOKUP($D15,HAVERD!$A:$BL,AS10,FALSE)</f>
        <v>3.2815115000000001</v>
      </c>
      <c r="AT15" s="6">
        <f>VLOOKUP($D15,HAVERD!$A:$BL,AT10,FALSE)</f>
        <v>3.2785479999999998</v>
      </c>
      <c r="AU15" s="6">
        <f>VLOOKUP($D15,HAVERD!$A:$BL,AU10,FALSE)</f>
        <v>3.276227</v>
      </c>
      <c r="AV15" s="6">
        <f>VLOOKUP($D15,HAVERD!$A:$BL,AV10,FALSE)</f>
        <v>3.2745166999999999</v>
      </c>
      <c r="AW15" s="6">
        <f>VLOOKUP($D15,HAVERD!$A:$BL,AW10,FALSE)</f>
        <v>3.2733854999999998</v>
      </c>
      <c r="AX15" s="6">
        <f>VLOOKUP($D15,HAVERD!$A:$BL,AX10,FALSE)</f>
        <v>3.2728016000000002</v>
      </c>
      <c r="AY15" s="6">
        <f>VLOOKUP($D15,HAVERD!$A:$BL,AY10,FALSE)</f>
        <v>3.2727335000000002</v>
      </c>
      <c r="AZ15" s="6">
        <f>VLOOKUP($D15,HAVERD!$A:$BL,AZ10,FALSE)</f>
        <v>3.2731493</v>
      </c>
      <c r="BA15" s="6">
        <f>VLOOKUP($D15,HAVERD!$A:$BL,BA10,FALSE)</f>
        <v>3.2740174999999998</v>
      </c>
      <c r="BB15" s="6">
        <f>VLOOKUP($D15,HAVERD!$A:$BL,BB10,FALSE)</f>
        <v>3.2753100000000002</v>
      </c>
      <c r="BC15" s="6">
        <f>VLOOKUP($D15,HAVERD!$A:$BL,BC10,FALSE)</f>
        <v>3.2770158</v>
      </c>
      <c r="BD15" s="6">
        <f>VLOOKUP($D15,HAVERD!$A:$BL,BD10,FALSE)</f>
        <v>3.279128</v>
      </c>
      <c r="BE15" s="6">
        <f>VLOOKUP($D15,HAVERD!$A:$BL,BE10,FALSE)</f>
        <v>3.2816399999999999</v>
      </c>
      <c r="BF15" s="6">
        <f>VLOOKUP($D15,HAVERD!$A:$BL,BF10,FALSE)</f>
        <v>3.2845453</v>
      </c>
      <c r="BG15" s="6">
        <f>VLOOKUP($D15,HAVERD!$A:$BL,BG10,FALSE)</f>
        <v>3.2878371</v>
      </c>
      <c r="BH15" s="6">
        <f>VLOOKUP($D15,HAVERD!$A:$BL,BH10,FALSE)</f>
        <v>3.2915087999999999</v>
      </c>
      <c r="BI15" s="6">
        <f>VLOOKUP($D15,HAVERD!$A:$BL,BI10,FALSE)</f>
        <v>3.2955537000000001</v>
      </c>
      <c r="BJ15" s="6">
        <f>VLOOKUP($D15,HAVERD!$A:$BL,BJ10,FALSE)</f>
        <v>3.2999651999999999</v>
      </c>
      <c r="BK15" s="6">
        <f>VLOOKUP($D15,HAVERD!$A:$BL,BK10,FALSE)</f>
        <v>3.3047366999999999</v>
      </c>
      <c r="BL15" s="6">
        <f>VLOOKUP($D15,HAVERD!$A:$BL,BL10,FALSE)</f>
        <v>3.3098614</v>
      </c>
      <c r="BM15" s="6">
        <f>VLOOKUP($D15,HAVERD!$A:$BL,BM10,FALSE)</f>
        <v>3.3153328000000002</v>
      </c>
    </row>
    <row r="16" spans="1:139" x14ac:dyDescent="0.35">
      <c r="D16" t="s">
        <v>2772</v>
      </c>
      <c r="E16" s="6"/>
      <c r="F16" s="6">
        <f>F15-$E$15</f>
        <v>-7.4014000000000024E-3</v>
      </c>
      <c r="G16" s="6">
        <f t="shared" ref="G16:BM16" si="102">G15-$E$15</f>
        <v>-1.9704100000000224E-2</v>
      </c>
      <c r="H16" s="6">
        <f t="shared" si="102"/>
        <v>-5.7691600000000065E-2</v>
      </c>
      <c r="I16" s="6">
        <f t="shared" si="102"/>
        <v>-0.12753650000000061</v>
      </c>
      <c r="J16" s="6">
        <f t="shared" si="102"/>
        <v>-0.22400860000000034</v>
      </c>
      <c r="K16" s="6">
        <f t="shared" si="102"/>
        <v>-0.3371726000000006</v>
      </c>
      <c r="L16" s="6">
        <f t="shared" si="102"/>
        <v>-0.45540850000000077</v>
      </c>
      <c r="M16" s="6">
        <f t="shared" si="102"/>
        <v>-0.57021090000000019</v>
      </c>
      <c r="N16" s="6">
        <f t="shared" si="102"/>
        <v>-0.67795860000000019</v>
      </c>
      <c r="O16" s="6">
        <f t="shared" si="102"/>
        <v>-0.77770200000000056</v>
      </c>
      <c r="P16" s="6">
        <f t="shared" si="102"/>
        <v>-0.87022090000000052</v>
      </c>
      <c r="Q16" s="24">
        <f t="shared" si="102"/>
        <v>-0.95708750000000009</v>
      </c>
      <c r="R16" s="6">
        <f t="shared" si="102"/>
        <v>-1.0406591000000001</v>
      </c>
      <c r="S16" s="6">
        <f t="shared" si="102"/>
        <v>-1.1212072000000006</v>
      </c>
      <c r="T16" s="6">
        <f t="shared" si="102"/>
        <v>-1.1982651000000004</v>
      </c>
      <c r="U16" s="6">
        <f t="shared" si="102"/>
        <v>-1.2713687000000005</v>
      </c>
      <c r="V16" s="6">
        <f t="shared" si="102"/>
        <v>-1.3400539000000005</v>
      </c>
      <c r="W16" s="6">
        <f t="shared" si="102"/>
        <v>-1.4038539000000005</v>
      </c>
      <c r="X16" s="6">
        <f t="shared" si="102"/>
        <v>-1.4624095000000001</v>
      </c>
      <c r="Y16" s="6">
        <f t="shared" si="102"/>
        <v>-1.5158490000000002</v>
      </c>
      <c r="Z16" s="6">
        <f t="shared" si="102"/>
        <v>-1.5644398000000002</v>
      </c>
      <c r="AA16" s="6">
        <f t="shared" si="102"/>
        <v>-1.6084512000000002</v>
      </c>
      <c r="AB16" s="6">
        <f t="shared" si="102"/>
        <v>-1.6481525000000001</v>
      </c>
      <c r="AC16" s="6">
        <f t="shared" si="102"/>
        <v>-1.6838114000000002</v>
      </c>
      <c r="AD16" s="24">
        <f t="shared" si="102"/>
        <v>-1.7156939000000002</v>
      </c>
      <c r="AE16" s="6">
        <f t="shared" si="102"/>
        <v>-1.7440515000000003</v>
      </c>
      <c r="AF16" s="6">
        <f t="shared" si="102"/>
        <v>-1.7691303000000005</v>
      </c>
      <c r="AG16" s="6">
        <f t="shared" si="102"/>
        <v>-1.7911778000000003</v>
      </c>
      <c r="AH16" s="6">
        <f t="shared" si="102"/>
        <v>-1.8104413000000004</v>
      </c>
      <c r="AI16" s="6">
        <f t="shared" si="102"/>
        <v>-1.8271674000000004</v>
      </c>
      <c r="AJ16" s="6">
        <f t="shared" si="102"/>
        <v>-1.8416033000000005</v>
      </c>
      <c r="AK16" s="6">
        <f t="shared" si="102"/>
        <v>-1.8539961000000003</v>
      </c>
      <c r="AL16" s="6">
        <f t="shared" si="102"/>
        <v>-1.8645928000000005</v>
      </c>
      <c r="AM16" s="6">
        <f t="shared" si="102"/>
        <v>-1.8736403000000004</v>
      </c>
      <c r="AN16" s="6">
        <f t="shared" si="102"/>
        <v>-1.8813859000000002</v>
      </c>
      <c r="AO16" s="6">
        <f t="shared" si="102"/>
        <v>-1.8880764000000005</v>
      </c>
      <c r="AP16" s="24">
        <f t="shared" si="102"/>
        <v>-1.8939265000000005</v>
      </c>
      <c r="AQ16" s="6">
        <f t="shared" si="102"/>
        <v>-1.8990075000000002</v>
      </c>
      <c r="AR16" s="6">
        <f t="shared" si="102"/>
        <v>-1.9033509000000004</v>
      </c>
      <c r="AS16" s="6">
        <f t="shared" si="102"/>
        <v>-1.9069885000000002</v>
      </c>
      <c r="AT16" s="6">
        <f t="shared" si="102"/>
        <v>-1.9099520000000005</v>
      </c>
      <c r="AU16" s="6">
        <f t="shared" si="102"/>
        <v>-1.9122730000000003</v>
      </c>
      <c r="AV16" s="6">
        <f t="shared" si="102"/>
        <v>-1.9139833000000004</v>
      </c>
      <c r="AW16" s="6">
        <f t="shared" si="102"/>
        <v>-1.9151145000000005</v>
      </c>
      <c r="AX16" s="6">
        <f t="shared" si="102"/>
        <v>-1.9156984000000001</v>
      </c>
      <c r="AY16" s="6">
        <f t="shared" si="102"/>
        <v>-1.9157665000000001</v>
      </c>
      <c r="AZ16" s="6">
        <f t="shared" si="102"/>
        <v>-1.9153507000000003</v>
      </c>
      <c r="BA16" s="6">
        <f t="shared" si="102"/>
        <v>-1.9144825000000005</v>
      </c>
      <c r="BB16" s="6">
        <f t="shared" si="102"/>
        <v>-1.9131900000000002</v>
      </c>
      <c r="BC16" s="6">
        <f t="shared" si="102"/>
        <v>-1.9114842000000003</v>
      </c>
      <c r="BD16" s="6">
        <f t="shared" si="102"/>
        <v>-1.9093720000000003</v>
      </c>
      <c r="BE16" s="6">
        <f t="shared" si="102"/>
        <v>-1.9068600000000004</v>
      </c>
      <c r="BF16" s="6">
        <f t="shared" si="102"/>
        <v>-1.9039547000000003</v>
      </c>
      <c r="BG16" s="6">
        <f t="shared" si="102"/>
        <v>-1.9006629000000004</v>
      </c>
      <c r="BH16" s="6">
        <f t="shared" si="102"/>
        <v>-1.8969912000000004</v>
      </c>
      <c r="BI16" s="6">
        <f t="shared" si="102"/>
        <v>-1.8929463000000002</v>
      </c>
      <c r="BJ16" s="6">
        <f t="shared" si="102"/>
        <v>-1.8885348000000004</v>
      </c>
      <c r="BK16" s="6">
        <f t="shared" si="102"/>
        <v>-1.8837633000000005</v>
      </c>
      <c r="BL16" s="6">
        <f t="shared" si="102"/>
        <v>-1.8786386000000004</v>
      </c>
      <c r="BM16" s="6">
        <f t="shared" si="102"/>
        <v>-1.8731672000000001</v>
      </c>
    </row>
    <row r="17" spans="4:65" x14ac:dyDescent="0.35">
      <c r="E17" s="6"/>
    </row>
    <row r="18" spans="4:65" x14ac:dyDescent="0.35">
      <c r="D18" t="s">
        <v>841</v>
      </c>
      <c r="E18">
        <v>4</v>
      </c>
      <c r="F18">
        <f t="shared" ref="F18:AO18" si="103">+E18+1</f>
        <v>5</v>
      </c>
      <c r="G18">
        <f t="shared" si="103"/>
        <v>6</v>
      </c>
      <c r="H18">
        <f t="shared" si="103"/>
        <v>7</v>
      </c>
      <c r="I18">
        <f t="shared" si="103"/>
        <v>8</v>
      </c>
      <c r="J18">
        <f t="shared" si="103"/>
        <v>9</v>
      </c>
      <c r="K18">
        <f t="shared" si="103"/>
        <v>10</v>
      </c>
      <c r="L18">
        <f t="shared" si="103"/>
        <v>11</v>
      </c>
      <c r="M18">
        <f t="shared" si="103"/>
        <v>12</v>
      </c>
      <c r="N18">
        <f t="shared" si="103"/>
        <v>13</v>
      </c>
      <c r="O18">
        <f t="shared" si="103"/>
        <v>14</v>
      </c>
      <c r="P18">
        <f t="shared" si="103"/>
        <v>15</v>
      </c>
      <c r="Q18">
        <f t="shared" si="103"/>
        <v>16</v>
      </c>
      <c r="R18">
        <f t="shared" si="103"/>
        <v>17</v>
      </c>
      <c r="S18">
        <f t="shared" si="103"/>
        <v>18</v>
      </c>
      <c r="T18">
        <f t="shared" si="103"/>
        <v>19</v>
      </c>
      <c r="U18">
        <f t="shared" si="103"/>
        <v>20</v>
      </c>
      <c r="V18">
        <f t="shared" si="103"/>
        <v>21</v>
      </c>
      <c r="W18">
        <f t="shared" si="103"/>
        <v>22</v>
      </c>
      <c r="X18">
        <f t="shared" si="103"/>
        <v>23</v>
      </c>
      <c r="Y18">
        <f t="shared" si="103"/>
        <v>24</v>
      </c>
      <c r="Z18">
        <f t="shared" si="103"/>
        <v>25</v>
      </c>
      <c r="AA18">
        <f t="shared" si="103"/>
        <v>26</v>
      </c>
      <c r="AB18">
        <f t="shared" si="103"/>
        <v>27</v>
      </c>
      <c r="AC18">
        <f t="shared" si="103"/>
        <v>28</v>
      </c>
      <c r="AD18">
        <f t="shared" si="103"/>
        <v>29</v>
      </c>
      <c r="AE18">
        <f t="shared" si="103"/>
        <v>30</v>
      </c>
      <c r="AF18">
        <f t="shared" si="103"/>
        <v>31</v>
      </c>
      <c r="AG18">
        <f t="shared" si="103"/>
        <v>32</v>
      </c>
      <c r="AH18">
        <f t="shared" si="103"/>
        <v>33</v>
      </c>
      <c r="AI18">
        <f t="shared" si="103"/>
        <v>34</v>
      </c>
      <c r="AJ18">
        <f t="shared" si="103"/>
        <v>35</v>
      </c>
      <c r="AK18">
        <f t="shared" si="103"/>
        <v>36</v>
      </c>
      <c r="AL18">
        <f t="shared" si="103"/>
        <v>37</v>
      </c>
      <c r="AM18">
        <f t="shared" si="103"/>
        <v>38</v>
      </c>
      <c r="AN18">
        <f t="shared" si="103"/>
        <v>39</v>
      </c>
      <c r="AO18">
        <f t="shared" si="103"/>
        <v>40</v>
      </c>
      <c r="AP18">
        <f t="shared" ref="AP18" si="104">+AO18+1</f>
        <v>41</v>
      </c>
      <c r="AQ18">
        <f t="shared" ref="AQ18" si="105">+AP18+1</f>
        <v>42</v>
      </c>
      <c r="AR18">
        <f t="shared" ref="AR18" si="106">+AQ18+1</f>
        <v>43</v>
      </c>
      <c r="AS18">
        <f t="shared" ref="AS18" si="107">+AR18+1</f>
        <v>44</v>
      </c>
      <c r="AT18">
        <f t="shared" ref="AT18" si="108">+AS18+1</f>
        <v>45</v>
      </c>
      <c r="AU18">
        <f t="shared" ref="AU18" si="109">+AT18+1</f>
        <v>46</v>
      </c>
      <c r="AV18">
        <f t="shared" ref="AV18" si="110">+AU18+1</f>
        <v>47</v>
      </c>
      <c r="AW18">
        <f t="shared" ref="AW18" si="111">+AV18+1</f>
        <v>48</v>
      </c>
      <c r="AX18">
        <f t="shared" ref="AX18" si="112">+AW18+1</f>
        <v>49</v>
      </c>
      <c r="AY18">
        <f t="shared" ref="AY18" si="113">+AX18+1</f>
        <v>50</v>
      </c>
      <c r="AZ18">
        <f t="shared" ref="AZ18" si="114">+AY18+1</f>
        <v>51</v>
      </c>
      <c r="BA18">
        <f t="shared" ref="BA18" si="115">+AZ18+1</f>
        <v>52</v>
      </c>
      <c r="BB18">
        <f t="shared" ref="BB18" si="116">+BA18+1</f>
        <v>53</v>
      </c>
      <c r="BC18">
        <f t="shared" ref="BC18" si="117">+BB18+1</f>
        <v>54</v>
      </c>
      <c r="BD18">
        <f t="shared" ref="BD18" si="118">+BC18+1</f>
        <v>55</v>
      </c>
      <c r="BE18">
        <f t="shared" ref="BE18" si="119">+BD18+1</f>
        <v>56</v>
      </c>
      <c r="BF18">
        <f t="shared" ref="BF18" si="120">+BE18+1</f>
        <v>57</v>
      </c>
      <c r="BG18">
        <f t="shared" ref="BG18" si="121">+BF18+1</f>
        <v>58</v>
      </c>
      <c r="BH18">
        <f t="shared" ref="BH18" si="122">+BG18+1</f>
        <v>59</v>
      </c>
      <c r="BI18">
        <f t="shared" ref="BI18" si="123">+BH18+1</f>
        <v>60</v>
      </c>
      <c r="BJ18">
        <f t="shared" ref="BJ18" si="124">+BI18+1</f>
        <v>61</v>
      </c>
      <c r="BK18">
        <f t="shared" ref="BK18" si="125">+BJ18+1</f>
        <v>62</v>
      </c>
      <c r="BL18">
        <f t="shared" ref="BL18" si="126">+BK18+1</f>
        <v>63</v>
      </c>
      <c r="BM18">
        <f t="shared" ref="BM18" si="127">+BL18+1</f>
        <v>64</v>
      </c>
    </row>
    <row r="19" spans="4:65" x14ac:dyDescent="0.35">
      <c r="D19" t="s">
        <v>842</v>
      </c>
      <c r="E19" t="str">
        <f>HAVERD!D$1</f>
        <v>Overnight</v>
      </c>
      <c r="F19">
        <f>HAVERD!E$1</f>
        <v>1</v>
      </c>
      <c r="G19">
        <f>HAVERD!F$1</f>
        <v>2</v>
      </c>
      <c r="H19">
        <f>HAVERD!G$1</f>
        <v>3</v>
      </c>
      <c r="I19">
        <f>HAVERD!H$1</f>
        <v>4</v>
      </c>
      <c r="J19">
        <f>HAVERD!I$1</f>
        <v>5</v>
      </c>
      <c r="K19">
        <f>HAVERD!J$1</f>
        <v>6</v>
      </c>
      <c r="L19">
        <f>HAVERD!K$1</f>
        <v>7</v>
      </c>
      <c r="M19">
        <f>HAVERD!L$1</f>
        <v>8</v>
      </c>
      <c r="N19">
        <f>HAVERD!M$1</f>
        <v>9</v>
      </c>
      <c r="O19">
        <f>HAVERD!N$1</f>
        <v>10</v>
      </c>
      <c r="P19">
        <f>HAVERD!O$1</f>
        <v>11</v>
      </c>
      <c r="Q19">
        <f>HAVERD!P$1</f>
        <v>12</v>
      </c>
      <c r="R19">
        <f>HAVERD!Q$1</f>
        <v>13</v>
      </c>
      <c r="S19">
        <f>HAVERD!R$1</f>
        <v>14</v>
      </c>
      <c r="T19">
        <f>HAVERD!S$1</f>
        <v>15</v>
      </c>
      <c r="U19">
        <f>HAVERD!T$1</f>
        <v>16</v>
      </c>
      <c r="V19">
        <f>HAVERD!U$1</f>
        <v>17</v>
      </c>
      <c r="W19">
        <f>HAVERD!V$1</f>
        <v>18</v>
      </c>
      <c r="X19">
        <f>HAVERD!W$1</f>
        <v>19</v>
      </c>
      <c r="Y19">
        <f>HAVERD!X$1</f>
        <v>20</v>
      </c>
      <c r="Z19">
        <f>HAVERD!Y$1</f>
        <v>21</v>
      </c>
      <c r="AA19">
        <f>HAVERD!Z$1</f>
        <v>22</v>
      </c>
      <c r="AB19">
        <f>HAVERD!AA$1</f>
        <v>23</v>
      </c>
      <c r="AC19">
        <f>HAVERD!AB$1</f>
        <v>24</v>
      </c>
      <c r="AD19">
        <f>HAVERD!AC$1</f>
        <v>25</v>
      </c>
      <c r="AE19">
        <f>HAVERD!AD$1</f>
        <v>26</v>
      </c>
      <c r="AF19">
        <f>HAVERD!AE$1</f>
        <v>27</v>
      </c>
      <c r="AG19">
        <f>HAVERD!AF$1</f>
        <v>28</v>
      </c>
      <c r="AH19">
        <f>HAVERD!AG$1</f>
        <v>29</v>
      </c>
      <c r="AI19">
        <f>HAVERD!AH$1</f>
        <v>30</v>
      </c>
      <c r="AJ19">
        <f>HAVERD!AI$1</f>
        <v>31</v>
      </c>
      <c r="AK19">
        <f>HAVERD!AJ$1</f>
        <v>32</v>
      </c>
      <c r="AL19">
        <f>HAVERD!AK$1</f>
        <v>33</v>
      </c>
      <c r="AM19">
        <f>HAVERD!AL$1</f>
        <v>34</v>
      </c>
      <c r="AN19">
        <f>HAVERD!AM$1</f>
        <v>35</v>
      </c>
      <c r="AO19">
        <f>HAVERD!AN$1</f>
        <v>36</v>
      </c>
      <c r="AP19">
        <f>HAVERD!AO$1</f>
        <v>37</v>
      </c>
      <c r="AQ19">
        <f>HAVERD!AP$1</f>
        <v>38</v>
      </c>
      <c r="AR19">
        <f>HAVERD!AQ$1</f>
        <v>39</v>
      </c>
      <c r="AS19">
        <f>HAVERD!AR$1</f>
        <v>40</v>
      </c>
      <c r="AT19">
        <f>HAVERD!AS$1</f>
        <v>41</v>
      </c>
      <c r="AU19">
        <f>HAVERD!AT$1</f>
        <v>42</v>
      </c>
      <c r="AV19">
        <f>HAVERD!AU$1</f>
        <v>43</v>
      </c>
      <c r="AW19">
        <f>HAVERD!AV$1</f>
        <v>44</v>
      </c>
      <c r="AX19">
        <f>HAVERD!AW$1</f>
        <v>45</v>
      </c>
      <c r="AY19">
        <f>HAVERD!AX$1</f>
        <v>46</v>
      </c>
      <c r="AZ19">
        <f>HAVERD!AY$1</f>
        <v>47</v>
      </c>
      <c r="BA19">
        <f>HAVERD!AZ$1</f>
        <v>48</v>
      </c>
      <c r="BB19">
        <f>HAVERD!BA$1</f>
        <v>49</v>
      </c>
      <c r="BC19">
        <f>HAVERD!BB$1</f>
        <v>50</v>
      </c>
      <c r="BD19">
        <f>HAVERD!BC$1</f>
        <v>51</v>
      </c>
      <c r="BE19">
        <f>HAVERD!BD$1</f>
        <v>52</v>
      </c>
      <c r="BF19">
        <f>HAVERD!BE$1</f>
        <v>53</v>
      </c>
      <c r="BG19">
        <f>HAVERD!BF$1</f>
        <v>54</v>
      </c>
      <c r="BH19">
        <f>HAVERD!BG$1</f>
        <v>55</v>
      </c>
      <c r="BI19">
        <f>HAVERD!BH$1</f>
        <v>56</v>
      </c>
      <c r="BJ19">
        <f>HAVERD!BI$1</f>
        <v>57</v>
      </c>
      <c r="BK19">
        <f>HAVERD!BJ$1</f>
        <v>58</v>
      </c>
      <c r="BL19">
        <f>HAVERD!BK$1</f>
        <v>59</v>
      </c>
      <c r="BM19">
        <f>HAVERD!BL$1</f>
        <v>60</v>
      </c>
    </row>
    <row r="20" spans="4:65" x14ac:dyDescent="0.35">
      <c r="D20" t="s">
        <v>843</v>
      </c>
      <c r="F20">
        <v>30.4166667</v>
      </c>
      <c r="G20">
        <f>+F20+30.4166667</f>
        <v>60.833333400000001</v>
      </c>
      <c r="H20">
        <f t="shared" ref="H20:AO20" si="128">+G20+30.4166667</f>
        <v>91.250000099999994</v>
      </c>
      <c r="I20">
        <f t="shared" si="128"/>
        <v>121.6666668</v>
      </c>
      <c r="J20">
        <f t="shared" si="128"/>
        <v>152.08333350000001</v>
      </c>
      <c r="K20">
        <f t="shared" si="128"/>
        <v>182.50000020000002</v>
      </c>
      <c r="L20">
        <f t="shared" si="128"/>
        <v>212.91666690000002</v>
      </c>
      <c r="M20">
        <f t="shared" si="128"/>
        <v>243.33333360000003</v>
      </c>
      <c r="N20">
        <f t="shared" si="128"/>
        <v>273.75000030000001</v>
      </c>
      <c r="O20">
        <f t="shared" si="128"/>
        <v>304.16666700000002</v>
      </c>
      <c r="P20">
        <f t="shared" si="128"/>
        <v>334.58333370000003</v>
      </c>
      <c r="Q20">
        <f t="shared" si="128"/>
        <v>365.00000040000003</v>
      </c>
      <c r="R20">
        <f t="shared" si="128"/>
        <v>395.41666710000004</v>
      </c>
      <c r="S20">
        <f t="shared" si="128"/>
        <v>425.83333380000005</v>
      </c>
      <c r="T20">
        <f t="shared" si="128"/>
        <v>456.25000050000006</v>
      </c>
      <c r="U20">
        <f t="shared" si="128"/>
        <v>486.66666720000006</v>
      </c>
      <c r="V20">
        <f t="shared" si="128"/>
        <v>517.08333390000007</v>
      </c>
      <c r="W20">
        <f t="shared" si="128"/>
        <v>547.50000060000002</v>
      </c>
      <c r="X20">
        <f t="shared" si="128"/>
        <v>577.91666729999997</v>
      </c>
      <c r="Y20">
        <f t="shared" si="128"/>
        <v>608.33333399999992</v>
      </c>
      <c r="Z20">
        <f t="shared" si="128"/>
        <v>638.75000069999987</v>
      </c>
      <c r="AA20">
        <f t="shared" si="128"/>
        <v>669.16666739999982</v>
      </c>
      <c r="AB20">
        <f t="shared" si="128"/>
        <v>699.58333409999977</v>
      </c>
      <c r="AC20">
        <f t="shared" si="128"/>
        <v>730.00000079999973</v>
      </c>
      <c r="AD20">
        <f t="shared" si="128"/>
        <v>760.41666749999968</v>
      </c>
      <c r="AE20">
        <f t="shared" si="128"/>
        <v>790.83333419999963</v>
      </c>
      <c r="AF20">
        <f t="shared" si="128"/>
        <v>821.25000089999958</v>
      </c>
      <c r="AG20">
        <f t="shared" si="128"/>
        <v>851.66666759999953</v>
      </c>
      <c r="AH20">
        <f t="shared" si="128"/>
        <v>882.08333429999948</v>
      </c>
      <c r="AI20">
        <f t="shared" si="128"/>
        <v>912.50000099999943</v>
      </c>
      <c r="AJ20">
        <f t="shared" si="128"/>
        <v>942.91666769999938</v>
      </c>
      <c r="AK20">
        <f t="shared" si="128"/>
        <v>973.33333439999933</v>
      </c>
      <c r="AL20">
        <f t="shared" si="128"/>
        <v>1003.7500010999993</v>
      </c>
      <c r="AM20">
        <f t="shared" si="128"/>
        <v>1034.1666677999992</v>
      </c>
      <c r="AN20">
        <f t="shared" si="128"/>
        <v>1064.5833344999992</v>
      </c>
      <c r="AO20">
        <f t="shared" si="128"/>
        <v>1095.0000011999991</v>
      </c>
      <c r="AP20">
        <f t="shared" ref="AP20" si="129">+AO20+30.4166667</f>
        <v>1125.4166678999991</v>
      </c>
      <c r="AQ20">
        <f t="shared" ref="AQ20" si="130">+AP20+30.4166667</f>
        <v>1155.833334599999</v>
      </c>
      <c r="AR20">
        <f t="shared" ref="AR20" si="131">+AQ20+30.4166667</f>
        <v>1186.250001299999</v>
      </c>
      <c r="AS20">
        <f t="shared" ref="AS20" si="132">+AR20+30.4166667</f>
        <v>1216.6666679999989</v>
      </c>
      <c r="AT20">
        <f t="shared" ref="AT20" si="133">+AS20+30.4166667</f>
        <v>1247.0833346999989</v>
      </c>
      <c r="AU20">
        <f t="shared" ref="AU20" si="134">+AT20+30.4166667</f>
        <v>1277.5000013999988</v>
      </c>
      <c r="AV20">
        <f t="shared" ref="AV20" si="135">+AU20+30.4166667</f>
        <v>1307.9166680999988</v>
      </c>
      <c r="AW20">
        <f t="shared" ref="AW20" si="136">+AV20+30.4166667</f>
        <v>1338.3333347999987</v>
      </c>
      <c r="AX20">
        <f t="shared" ref="AX20" si="137">+AW20+30.4166667</f>
        <v>1368.7500014999987</v>
      </c>
      <c r="AY20">
        <f t="shared" ref="AY20" si="138">+AX20+30.4166667</f>
        <v>1399.1666681999986</v>
      </c>
      <c r="AZ20">
        <f t="shared" ref="AZ20" si="139">+AY20+30.4166667</f>
        <v>1429.5833348999986</v>
      </c>
      <c r="BA20">
        <f t="shared" ref="BA20" si="140">+AZ20+30.4166667</f>
        <v>1460.0000015999985</v>
      </c>
      <c r="BB20">
        <f t="shared" ref="BB20" si="141">+BA20+30.4166667</f>
        <v>1490.4166682999985</v>
      </c>
      <c r="BC20">
        <f t="shared" ref="BC20" si="142">+BB20+30.4166667</f>
        <v>1520.8333349999984</v>
      </c>
      <c r="BD20">
        <f t="shared" ref="BD20" si="143">+BC20+30.4166667</f>
        <v>1551.2500016999984</v>
      </c>
      <c r="BE20">
        <f t="shared" ref="BE20" si="144">+BD20+30.4166667</f>
        <v>1581.6666683999983</v>
      </c>
      <c r="BF20">
        <f t="shared" ref="BF20" si="145">+BE20+30.4166667</f>
        <v>1612.0833350999983</v>
      </c>
      <c r="BG20">
        <f t="shared" ref="BG20" si="146">+BF20+30.4166667</f>
        <v>1642.5000017999982</v>
      </c>
      <c r="BH20">
        <f t="shared" ref="BH20" si="147">+BG20+30.4166667</f>
        <v>1672.9166684999982</v>
      </c>
      <c r="BI20">
        <f t="shared" ref="BI20" si="148">+BH20+30.4166667</f>
        <v>1703.3333351999981</v>
      </c>
      <c r="BJ20">
        <f t="shared" ref="BJ20" si="149">+BI20+30.4166667</f>
        <v>1733.7500018999981</v>
      </c>
      <c r="BK20">
        <f t="shared" ref="BK20" si="150">+BJ20+30.4166667</f>
        <v>1764.166668599998</v>
      </c>
      <c r="BL20">
        <f t="shared" ref="BL20" si="151">+BK20+30.4166667</f>
        <v>1794.583335299998</v>
      </c>
      <c r="BM20">
        <f t="shared" ref="BM20" si="152">+BL20+30.4166667</f>
        <v>1825.0000019999979</v>
      </c>
    </row>
    <row r="21" spans="4:65" x14ac:dyDescent="0.35">
      <c r="E21" s="5">
        <f>D23</f>
        <v>45373</v>
      </c>
      <c r="F21" s="5">
        <f>$E21+F20</f>
        <v>45403.416666700003</v>
      </c>
      <c r="G21" s="5">
        <f t="shared" ref="G21:AO21" si="153">$E21+G20</f>
        <v>45433.833333399998</v>
      </c>
      <c r="H21" s="5">
        <f t="shared" si="153"/>
        <v>45464.250000100001</v>
      </c>
      <c r="I21" s="5">
        <f t="shared" si="153"/>
        <v>45494.666666800003</v>
      </c>
      <c r="J21" s="5">
        <f t="shared" si="153"/>
        <v>45525.083333499999</v>
      </c>
      <c r="K21" s="5">
        <f t="shared" si="153"/>
        <v>45555.500000200002</v>
      </c>
      <c r="L21" s="5">
        <f t="shared" si="153"/>
        <v>45585.916666899997</v>
      </c>
      <c r="M21" s="5">
        <f t="shared" si="153"/>
        <v>45616.3333336</v>
      </c>
      <c r="N21" s="5">
        <f t="shared" si="153"/>
        <v>45646.750000300002</v>
      </c>
      <c r="O21" s="5">
        <f t="shared" si="153"/>
        <v>45677.166666999998</v>
      </c>
      <c r="P21" s="5">
        <f t="shared" si="153"/>
        <v>45707.5833337</v>
      </c>
      <c r="Q21" s="5">
        <f t="shared" si="153"/>
        <v>45738.000000400003</v>
      </c>
      <c r="R21" s="5">
        <f t="shared" si="153"/>
        <v>45768.416667099998</v>
      </c>
      <c r="S21" s="5">
        <f t="shared" si="153"/>
        <v>45798.833333800001</v>
      </c>
      <c r="T21" s="5">
        <f t="shared" si="153"/>
        <v>45829.250000499997</v>
      </c>
      <c r="U21" s="5">
        <f t="shared" si="153"/>
        <v>45859.666667199999</v>
      </c>
      <c r="V21" s="5">
        <f t="shared" si="153"/>
        <v>45890.083333900002</v>
      </c>
      <c r="W21" s="5">
        <f t="shared" si="153"/>
        <v>45920.500000599997</v>
      </c>
      <c r="X21" s="5">
        <f t="shared" si="153"/>
        <v>45950.9166673</v>
      </c>
      <c r="Y21" s="5">
        <f t="shared" si="153"/>
        <v>45981.333334000003</v>
      </c>
      <c r="Z21" s="5">
        <f t="shared" si="153"/>
        <v>46011.750000699998</v>
      </c>
      <c r="AA21" s="5">
        <f t="shared" si="153"/>
        <v>46042.166667400001</v>
      </c>
      <c r="AB21" s="5">
        <f t="shared" si="153"/>
        <v>46072.583334099996</v>
      </c>
      <c r="AC21" s="5">
        <f t="shared" si="153"/>
        <v>46103.000000799999</v>
      </c>
      <c r="AD21" s="5">
        <f t="shared" si="153"/>
        <v>46133.416667500001</v>
      </c>
      <c r="AE21" s="5">
        <f t="shared" si="153"/>
        <v>46163.833334199997</v>
      </c>
      <c r="AF21" s="5">
        <f t="shared" si="153"/>
        <v>46194.2500009</v>
      </c>
      <c r="AG21" s="5">
        <f t="shared" si="153"/>
        <v>46224.666667600002</v>
      </c>
      <c r="AH21" s="5">
        <f t="shared" si="153"/>
        <v>46255.083334299998</v>
      </c>
      <c r="AI21" s="5">
        <f t="shared" si="153"/>
        <v>46285.500001</v>
      </c>
      <c r="AJ21" s="5">
        <f t="shared" si="153"/>
        <v>46315.916667700003</v>
      </c>
      <c r="AK21" s="5">
        <f t="shared" si="153"/>
        <v>46346.333334399998</v>
      </c>
      <c r="AL21" s="5">
        <f t="shared" si="153"/>
        <v>46376.750001100001</v>
      </c>
      <c r="AM21" s="5">
        <f t="shared" si="153"/>
        <v>46407.166667799997</v>
      </c>
      <c r="AN21" s="5">
        <f t="shared" si="153"/>
        <v>46437.583334499999</v>
      </c>
      <c r="AO21" s="5">
        <f t="shared" si="153"/>
        <v>46468.000001200002</v>
      </c>
      <c r="AP21" s="5">
        <f t="shared" ref="AP21:BM21" si="154">$E21+AP20</f>
        <v>46498.416667899997</v>
      </c>
      <c r="AQ21" s="5">
        <f t="shared" si="154"/>
        <v>46528.8333346</v>
      </c>
      <c r="AR21" s="5">
        <f t="shared" si="154"/>
        <v>46559.250001299995</v>
      </c>
      <c r="AS21" s="5">
        <f t="shared" si="154"/>
        <v>46589.666667999998</v>
      </c>
      <c r="AT21" s="5">
        <f t="shared" si="154"/>
        <v>46620.083334700001</v>
      </c>
      <c r="AU21" s="5">
        <f t="shared" si="154"/>
        <v>46650.500001399996</v>
      </c>
      <c r="AV21" s="5">
        <f t="shared" si="154"/>
        <v>46680.916668099999</v>
      </c>
      <c r="AW21" s="5">
        <f t="shared" si="154"/>
        <v>46711.333334800001</v>
      </c>
      <c r="AX21" s="5">
        <f t="shared" si="154"/>
        <v>46741.750001499997</v>
      </c>
      <c r="AY21" s="5">
        <f t="shared" si="154"/>
        <v>46772.1666682</v>
      </c>
      <c r="AZ21" s="5">
        <f t="shared" si="154"/>
        <v>46802.583334900002</v>
      </c>
      <c r="BA21" s="5">
        <f t="shared" si="154"/>
        <v>46833.000001599998</v>
      </c>
      <c r="BB21" s="5">
        <f t="shared" si="154"/>
        <v>46863.4166683</v>
      </c>
      <c r="BC21" s="5">
        <f t="shared" si="154"/>
        <v>46893.833334999996</v>
      </c>
      <c r="BD21" s="5">
        <f t="shared" si="154"/>
        <v>46924.250001699998</v>
      </c>
      <c r="BE21" s="5">
        <f t="shared" si="154"/>
        <v>46954.666668400001</v>
      </c>
      <c r="BF21" s="5">
        <f t="shared" si="154"/>
        <v>46985.083335099996</v>
      </c>
      <c r="BG21" s="5">
        <f t="shared" si="154"/>
        <v>47015.500001799999</v>
      </c>
      <c r="BH21" s="5">
        <f t="shared" si="154"/>
        <v>47045.916668499995</v>
      </c>
      <c r="BI21" s="5">
        <f t="shared" si="154"/>
        <v>47076.333335199997</v>
      </c>
      <c r="BJ21" s="5">
        <f t="shared" si="154"/>
        <v>47106.7500019</v>
      </c>
      <c r="BK21" s="5">
        <f t="shared" si="154"/>
        <v>47137.166668599995</v>
      </c>
      <c r="BL21" s="5">
        <f t="shared" si="154"/>
        <v>47167.583335299998</v>
      </c>
      <c r="BM21" s="5">
        <f t="shared" si="154"/>
        <v>47198.000002000001</v>
      </c>
    </row>
    <row r="22" spans="4:65" x14ac:dyDescent="0.35">
      <c r="E22" s="5">
        <f t="shared" ref="E22:AO22" si="155">EOMONTH(E21,0)</f>
        <v>45382</v>
      </c>
      <c r="F22" s="5">
        <f t="shared" si="155"/>
        <v>45412</v>
      </c>
      <c r="G22" s="5">
        <f t="shared" si="155"/>
        <v>45443</v>
      </c>
      <c r="H22" s="5">
        <f t="shared" si="155"/>
        <v>45473</v>
      </c>
      <c r="I22" s="5">
        <f t="shared" si="155"/>
        <v>45504</v>
      </c>
      <c r="J22" s="5">
        <f t="shared" si="155"/>
        <v>45535</v>
      </c>
      <c r="K22" s="5">
        <f t="shared" si="155"/>
        <v>45565</v>
      </c>
      <c r="L22" s="5">
        <f t="shared" si="155"/>
        <v>45596</v>
      </c>
      <c r="M22" s="5">
        <f t="shared" si="155"/>
        <v>45626</v>
      </c>
      <c r="N22" s="5">
        <f t="shared" si="155"/>
        <v>45657</v>
      </c>
      <c r="O22" s="5">
        <f t="shared" si="155"/>
        <v>45688</v>
      </c>
      <c r="P22" s="5">
        <f t="shared" si="155"/>
        <v>45716</v>
      </c>
      <c r="Q22" s="5">
        <f t="shared" si="155"/>
        <v>45747</v>
      </c>
      <c r="R22" s="5">
        <f t="shared" si="155"/>
        <v>45777</v>
      </c>
      <c r="S22" s="5">
        <f t="shared" si="155"/>
        <v>45808</v>
      </c>
      <c r="T22" s="5">
        <f t="shared" si="155"/>
        <v>45838</v>
      </c>
      <c r="U22" s="5">
        <f t="shared" si="155"/>
        <v>45869</v>
      </c>
      <c r="V22" s="5">
        <f t="shared" si="155"/>
        <v>45900</v>
      </c>
      <c r="W22" s="5">
        <f t="shared" si="155"/>
        <v>45930</v>
      </c>
      <c r="X22" s="5">
        <f t="shared" si="155"/>
        <v>45961</v>
      </c>
      <c r="Y22" s="5">
        <f t="shared" si="155"/>
        <v>45991</v>
      </c>
      <c r="Z22" s="5">
        <f t="shared" si="155"/>
        <v>46022</v>
      </c>
      <c r="AA22" s="5">
        <f t="shared" si="155"/>
        <v>46053</v>
      </c>
      <c r="AB22" s="5">
        <f t="shared" si="155"/>
        <v>46081</v>
      </c>
      <c r="AC22" s="5">
        <f t="shared" si="155"/>
        <v>46112</v>
      </c>
      <c r="AD22" s="5">
        <f t="shared" si="155"/>
        <v>46142</v>
      </c>
      <c r="AE22" s="5">
        <f t="shared" si="155"/>
        <v>46173</v>
      </c>
      <c r="AF22" s="5">
        <f t="shared" si="155"/>
        <v>46203</v>
      </c>
      <c r="AG22" s="5">
        <f t="shared" si="155"/>
        <v>46234</v>
      </c>
      <c r="AH22" s="5">
        <f t="shared" si="155"/>
        <v>46265</v>
      </c>
      <c r="AI22" s="5">
        <f t="shared" si="155"/>
        <v>46295</v>
      </c>
      <c r="AJ22" s="5">
        <f t="shared" si="155"/>
        <v>46326</v>
      </c>
      <c r="AK22" s="5">
        <f t="shared" si="155"/>
        <v>46356</v>
      </c>
      <c r="AL22" s="5">
        <f t="shared" si="155"/>
        <v>46387</v>
      </c>
      <c r="AM22" s="5">
        <f t="shared" si="155"/>
        <v>46418</v>
      </c>
      <c r="AN22" s="5">
        <f t="shared" si="155"/>
        <v>46446</v>
      </c>
      <c r="AO22" s="5">
        <f t="shared" si="155"/>
        <v>46477</v>
      </c>
      <c r="AP22" s="5">
        <f t="shared" ref="AP22:BM22" si="156">EOMONTH(AP21,0)</f>
        <v>46507</v>
      </c>
      <c r="AQ22" s="5">
        <f t="shared" si="156"/>
        <v>46538</v>
      </c>
      <c r="AR22" s="5">
        <f t="shared" si="156"/>
        <v>46568</v>
      </c>
      <c r="AS22" s="5">
        <f t="shared" si="156"/>
        <v>46599</v>
      </c>
      <c r="AT22" s="5">
        <f t="shared" si="156"/>
        <v>46630</v>
      </c>
      <c r="AU22" s="5">
        <f t="shared" si="156"/>
        <v>46660</v>
      </c>
      <c r="AV22" s="5">
        <f t="shared" si="156"/>
        <v>46691</v>
      </c>
      <c r="AW22" s="5">
        <f t="shared" si="156"/>
        <v>46721</v>
      </c>
      <c r="AX22" s="5">
        <f t="shared" si="156"/>
        <v>46752</v>
      </c>
      <c r="AY22" s="5">
        <f t="shared" si="156"/>
        <v>46783</v>
      </c>
      <c r="AZ22" s="5">
        <f t="shared" si="156"/>
        <v>46812</v>
      </c>
      <c r="BA22" s="5">
        <f t="shared" si="156"/>
        <v>46843</v>
      </c>
      <c r="BB22" s="5">
        <f t="shared" si="156"/>
        <v>46873</v>
      </c>
      <c r="BC22" s="5">
        <f t="shared" si="156"/>
        <v>46904</v>
      </c>
      <c r="BD22" s="5">
        <f t="shared" si="156"/>
        <v>46934</v>
      </c>
      <c r="BE22" s="5">
        <f t="shared" si="156"/>
        <v>46965</v>
      </c>
      <c r="BF22" s="5">
        <f t="shared" si="156"/>
        <v>46996</v>
      </c>
      <c r="BG22" s="5">
        <f t="shared" si="156"/>
        <v>47026</v>
      </c>
      <c r="BH22" s="5">
        <f t="shared" si="156"/>
        <v>47057</v>
      </c>
      <c r="BI22" s="5">
        <f t="shared" si="156"/>
        <v>47087</v>
      </c>
      <c r="BJ22" s="5">
        <f t="shared" si="156"/>
        <v>47118</v>
      </c>
      <c r="BK22" s="5">
        <f t="shared" si="156"/>
        <v>47149</v>
      </c>
      <c r="BL22" s="5">
        <f t="shared" si="156"/>
        <v>47177</v>
      </c>
      <c r="BM22" s="5">
        <f t="shared" si="156"/>
        <v>47208</v>
      </c>
    </row>
    <row r="23" spans="4:65" x14ac:dyDescent="0.35">
      <c r="D23" s="7">
        <v>45373</v>
      </c>
      <c r="E23" s="6">
        <f>VLOOKUP($D23,HAVERD!$A:$BL,E18,FALSE)</f>
        <v>5.1905999999999999</v>
      </c>
      <c r="F23" s="6">
        <f>VLOOKUP($D23,HAVERD!$A:$BL,F18,FALSE)</f>
        <v>5.1805712000000002</v>
      </c>
      <c r="G23" s="6">
        <f>VLOOKUP($D23,HAVERD!$A:$BL,G18,FALSE)</f>
        <v>5.1182898000000003</v>
      </c>
      <c r="H23" s="6">
        <f>VLOOKUP($D23,HAVERD!$A:$BL,H18,FALSE)</f>
        <v>5.0372060000000003</v>
      </c>
      <c r="I23" s="6">
        <f>VLOOKUP($D23,HAVERD!$A:$BL,I18,FALSE)</f>
        <v>4.9406043000000004</v>
      </c>
      <c r="J23" s="6">
        <f>VLOOKUP($D23,HAVERD!$A:$BL,J18,FALSE)</f>
        <v>4.8376755999999999</v>
      </c>
      <c r="K23" s="6">
        <f>VLOOKUP($D23,HAVERD!$A:$BL,K18,FALSE)</f>
        <v>4.7334883000000003</v>
      </c>
      <c r="L23" s="6">
        <f>VLOOKUP($D23,HAVERD!$A:$BL,L18,FALSE)</f>
        <v>4.6303638999999999</v>
      </c>
      <c r="M23" s="6">
        <f>VLOOKUP($D23,HAVERD!$A:$BL,M18,FALSE)</f>
        <v>4.5301131999999997</v>
      </c>
      <c r="N23" s="6">
        <f>VLOOKUP($D23,HAVERD!$A:$BL,N18,FALSE)</f>
        <v>4.4343045999999999</v>
      </c>
      <c r="O23" s="6">
        <f>VLOOKUP($D23,HAVERD!$A:$BL,O18,FALSE)</f>
        <v>4.3442696999999999</v>
      </c>
      <c r="P23" s="6">
        <f>VLOOKUP($D23,HAVERD!$A:$BL,P18,FALSE)</f>
        <v>4.2607217000000004</v>
      </c>
      <c r="Q23" s="6">
        <f>VLOOKUP($D23,HAVERD!$A:$BL,Q18,FALSE)</f>
        <v>4.1836630000000001</v>
      </c>
      <c r="R23" s="6">
        <f>VLOOKUP($D23,HAVERD!$A:$BL,R18,FALSE)</f>
        <v>4.1127266999999996</v>
      </c>
      <c r="S23" s="6">
        <f>VLOOKUP($D23,HAVERD!$A:$BL,S18,FALSE)</f>
        <v>4.0474598000000004</v>
      </c>
      <c r="T23" s="6">
        <f>VLOOKUP($D23,HAVERD!$A:$BL,T18,FALSE)</f>
        <v>3.9874071999999998</v>
      </c>
      <c r="U23" s="6">
        <f>VLOOKUP($D23,HAVERD!$A:$BL,U18,FALSE)</f>
        <v>3.9321139999999999</v>
      </c>
      <c r="V23" s="6">
        <f>VLOOKUP($D23,HAVERD!$A:$BL,V18,FALSE)</f>
        <v>3.8811252999999999</v>
      </c>
      <c r="W23" s="6">
        <f>VLOOKUP($D23,HAVERD!$A:$BL,W18,FALSE)</f>
        <v>3.8339859999999999</v>
      </c>
      <c r="X23" s="6">
        <f>VLOOKUP($D23,HAVERD!$A:$BL,X18,FALSE)</f>
        <v>3.7902733999999998</v>
      </c>
      <c r="Y23" s="6">
        <f>VLOOKUP($D23,HAVERD!$A:$BL,Y18,FALSE)</f>
        <v>3.7497128000000002</v>
      </c>
      <c r="Z23" s="6">
        <f>VLOOKUP($D23,HAVERD!$A:$BL,Z18,FALSE)</f>
        <v>3.7120728999999999</v>
      </c>
      <c r="AA23" s="6">
        <f>VLOOKUP($D23,HAVERD!$A:$BL,AA18,FALSE)</f>
        <v>3.6771223000000002</v>
      </c>
      <c r="AB23" s="6">
        <f>VLOOKUP($D23,HAVERD!$A:$BL,AB18,FALSE)</f>
        <v>3.6446295000000002</v>
      </c>
      <c r="AC23" s="6">
        <f>VLOOKUP($D23,HAVERD!$A:$BL,AC18,FALSE)</f>
        <v>3.6143630999999998</v>
      </c>
      <c r="AD23" s="6">
        <f>VLOOKUP($D23,HAVERD!$A:$BL,AD18,FALSE)</f>
        <v>3.5861122999999999</v>
      </c>
      <c r="AE23" s="6">
        <f>VLOOKUP($D23,HAVERD!$A:$BL,AE18,FALSE)</f>
        <v>3.5597572999999998</v>
      </c>
      <c r="AF23" s="6">
        <f>VLOOKUP($D23,HAVERD!$A:$BL,AF18,FALSE)</f>
        <v>3.5352035000000002</v>
      </c>
      <c r="AG23" s="6">
        <f>VLOOKUP($D23,HAVERD!$A:$BL,AG18,FALSE)</f>
        <v>3.5123562000000002</v>
      </c>
      <c r="AH23" s="6">
        <f>VLOOKUP($D23,HAVERD!$A:$BL,AH18,FALSE)</f>
        <v>3.4911205999999999</v>
      </c>
      <c r="AI23" s="6">
        <f>VLOOKUP($D23,HAVERD!$A:$BL,AI18,FALSE)</f>
        <v>3.4714022</v>
      </c>
      <c r="AJ23" s="6">
        <f>VLOOKUP($D23,HAVERD!$A:$BL,AJ18,FALSE)</f>
        <v>3.4531063</v>
      </c>
      <c r="AK23" s="6">
        <f>VLOOKUP($D23,HAVERD!$A:$BL,AK18,FALSE)</f>
        <v>3.4361381999999998</v>
      </c>
      <c r="AL23" s="6">
        <f>VLOOKUP($D23,HAVERD!$A:$BL,AL18,FALSE)</f>
        <v>3.4204031000000001</v>
      </c>
      <c r="AM23" s="6">
        <f>VLOOKUP($D23,HAVERD!$A:$BL,AM18,FALSE)</f>
        <v>3.4058066</v>
      </c>
      <c r="AN23" s="6">
        <f>VLOOKUP($D23,HAVERD!$A:$BL,AN18,FALSE)</f>
        <v>3.3922538000000002</v>
      </c>
      <c r="AO23" s="6">
        <f>VLOOKUP($D23,HAVERD!$A:$BL,AO18,FALSE)</f>
        <v>3.3796501000000001</v>
      </c>
      <c r="AP23" s="6">
        <f>VLOOKUP($D23,HAVERD!$A:$BL,AP18,FALSE)</f>
        <v>3.3679125000000001</v>
      </c>
      <c r="AQ23" s="6">
        <f>VLOOKUP($D23,HAVERD!$A:$BL,AQ18,FALSE)</f>
        <v>3.3570044999999999</v>
      </c>
      <c r="AR23" s="6">
        <f>VLOOKUP($D23,HAVERD!$A:$BL,AR18,FALSE)</f>
        <v>3.3469015</v>
      </c>
      <c r="AS23" s="6">
        <f>VLOOKUP($D23,HAVERD!$A:$BL,AS18,FALSE)</f>
        <v>3.3375786000000001</v>
      </c>
      <c r="AT23" s="6">
        <f>VLOOKUP($D23,HAVERD!$A:$BL,AT18,FALSE)</f>
        <v>3.3290110999999998</v>
      </c>
      <c r="AU23" s="6">
        <f>VLOOKUP($D23,HAVERD!$A:$BL,AU18,FALSE)</f>
        <v>3.3211742000000002</v>
      </c>
      <c r="AV23" s="6">
        <f>VLOOKUP($D23,HAVERD!$A:$BL,AV18,FALSE)</f>
        <v>3.3140431000000001</v>
      </c>
      <c r="AW23" s="6">
        <f>VLOOKUP($D23,HAVERD!$A:$BL,AW18,FALSE)</f>
        <v>3.3075931999999999</v>
      </c>
      <c r="AX23" s="6">
        <f>VLOOKUP($D23,HAVERD!$A:$BL,AX18,FALSE)</f>
        <v>3.3017995999999998</v>
      </c>
      <c r="AY23" s="6">
        <f>VLOOKUP($D23,HAVERD!$A:$BL,AY18,FALSE)</f>
        <v>3.2966375000000001</v>
      </c>
      <c r="AZ23" s="6">
        <f>VLOOKUP($D23,HAVERD!$A:$BL,AZ18,FALSE)</f>
        <v>3.2920823000000001</v>
      </c>
      <c r="BA23" s="6">
        <f>VLOOKUP($D23,HAVERD!$A:$BL,BA18,FALSE)</f>
        <v>3.2881090999999998</v>
      </c>
      <c r="BB23" s="6">
        <f>VLOOKUP($D23,HAVERD!$A:$BL,BB18,FALSE)</f>
        <v>3.2846951</v>
      </c>
      <c r="BC23" s="6">
        <f>VLOOKUP($D23,HAVERD!$A:$BL,BC18,FALSE)</f>
        <v>3.2818263999999999</v>
      </c>
      <c r="BD23" s="6">
        <f>VLOOKUP($D23,HAVERD!$A:$BL,BD18,FALSE)</f>
        <v>3.2794911</v>
      </c>
      <c r="BE23" s="6">
        <f>VLOOKUP($D23,HAVERD!$A:$BL,BE18,FALSE)</f>
        <v>3.2776776999999999</v>
      </c>
      <c r="BF23" s="6">
        <f>VLOOKUP($D23,HAVERD!$A:$BL,BF18,FALSE)</f>
        <v>3.2763745000000002</v>
      </c>
      <c r="BG23" s="6">
        <f>VLOOKUP($D23,HAVERD!$A:$BL,BG18,FALSE)</f>
        <v>3.2755697000000001</v>
      </c>
      <c r="BH23" s="6">
        <f>VLOOKUP($D23,HAVERD!$A:$BL,BH18,FALSE)</f>
        <v>3.2752517999999999</v>
      </c>
      <c r="BI23" s="6">
        <f>VLOOKUP($D23,HAVERD!$A:$BL,BI18,FALSE)</f>
        <v>3.2754089999999998</v>
      </c>
      <c r="BJ23" s="6">
        <f>VLOOKUP($D23,HAVERD!$A:$BL,BJ18,FALSE)</f>
        <v>3.2760297999999999</v>
      </c>
      <c r="BK23" s="6">
        <f>VLOOKUP($D23,HAVERD!$A:$BL,BK18,FALSE)</f>
        <v>3.2771023000000001</v>
      </c>
      <c r="BL23" s="6">
        <f>VLOOKUP($D23,HAVERD!$A:$BL,BL18,FALSE)</f>
        <v>3.2786149999999998</v>
      </c>
      <c r="BM23" s="6">
        <f>VLOOKUP($D23,HAVERD!$A:$BL,BM18,FALSE)</f>
        <v>3.2805561999999999</v>
      </c>
    </row>
    <row r="24" spans="4:65" x14ac:dyDescent="0.35">
      <c r="D24" t="s">
        <v>2772</v>
      </c>
      <c r="E24" s="6"/>
      <c r="F24" s="6">
        <f>F23-$E$23</f>
        <v>-1.0028799999999727E-2</v>
      </c>
      <c r="G24" s="6">
        <f t="shared" ref="G24:BM24" si="157">G23-$E$23</f>
        <v>-7.2310199999999547E-2</v>
      </c>
      <c r="H24" s="6">
        <f t="shared" si="157"/>
        <v>-0.15339399999999959</v>
      </c>
      <c r="I24" s="6">
        <f t="shared" si="157"/>
        <v>-0.24999569999999949</v>
      </c>
      <c r="J24" s="6">
        <f t="shared" si="157"/>
        <v>-0.35292440000000003</v>
      </c>
      <c r="K24" s="6">
        <f t="shared" si="157"/>
        <v>-0.45711169999999957</v>
      </c>
      <c r="L24" s="6">
        <f t="shared" si="157"/>
        <v>-0.56023610000000001</v>
      </c>
      <c r="M24" s="6">
        <f t="shared" si="157"/>
        <v>-0.66048680000000015</v>
      </c>
      <c r="N24" s="6">
        <f t="shared" si="157"/>
        <v>-0.75629539999999995</v>
      </c>
      <c r="O24" s="24">
        <f t="shared" si="157"/>
        <v>-0.84633029999999998</v>
      </c>
      <c r="P24" s="6">
        <f t="shared" si="157"/>
        <v>-0.92987829999999949</v>
      </c>
      <c r="Q24" s="6">
        <f t="shared" si="157"/>
        <v>-1.0069369999999997</v>
      </c>
      <c r="R24" s="6">
        <f t="shared" si="157"/>
        <v>-1.0778733000000003</v>
      </c>
      <c r="S24" s="6">
        <f t="shared" si="157"/>
        <v>-1.1431401999999995</v>
      </c>
      <c r="T24" s="6">
        <f t="shared" si="157"/>
        <v>-1.2031928000000001</v>
      </c>
      <c r="U24" s="6">
        <f t="shared" si="157"/>
        <v>-1.258486</v>
      </c>
      <c r="V24" s="6">
        <f t="shared" si="157"/>
        <v>-1.3094747</v>
      </c>
      <c r="W24" s="6">
        <f t="shared" si="157"/>
        <v>-1.356614</v>
      </c>
      <c r="X24" s="6">
        <f t="shared" si="157"/>
        <v>-1.4003266000000001</v>
      </c>
      <c r="Y24" s="6">
        <f t="shared" si="157"/>
        <v>-1.4408871999999997</v>
      </c>
      <c r="Z24" s="6">
        <f t="shared" si="157"/>
        <v>-1.4785271</v>
      </c>
      <c r="AA24" s="6">
        <f t="shared" si="157"/>
        <v>-1.5134776999999997</v>
      </c>
      <c r="AB24" s="6">
        <f t="shared" si="157"/>
        <v>-1.5459704999999997</v>
      </c>
      <c r="AC24" s="24">
        <f t="shared" si="157"/>
        <v>-1.5762369000000001</v>
      </c>
      <c r="AD24" s="6">
        <f t="shared" si="157"/>
        <v>-1.6044877</v>
      </c>
      <c r="AE24" s="6">
        <f t="shared" si="157"/>
        <v>-1.6308427000000001</v>
      </c>
      <c r="AF24" s="6">
        <f t="shared" si="157"/>
        <v>-1.6553964999999997</v>
      </c>
      <c r="AG24" s="6">
        <f t="shared" si="157"/>
        <v>-1.6782437999999997</v>
      </c>
      <c r="AH24" s="6">
        <f t="shared" si="157"/>
        <v>-1.6994794</v>
      </c>
      <c r="AI24" s="6">
        <f t="shared" si="157"/>
        <v>-1.7191977999999999</v>
      </c>
      <c r="AJ24" s="6">
        <f t="shared" si="157"/>
        <v>-1.7374936999999999</v>
      </c>
      <c r="AK24" s="6">
        <f t="shared" si="157"/>
        <v>-1.7544618000000001</v>
      </c>
      <c r="AL24" s="6">
        <f t="shared" si="157"/>
        <v>-1.7701968999999997</v>
      </c>
      <c r="AM24" s="6">
        <f t="shared" si="157"/>
        <v>-1.7847933999999999</v>
      </c>
      <c r="AN24" s="6">
        <f t="shared" si="157"/>
        <v>-1.7983461999999997</v>
      </c>
      <c r="AO24" s="24">
        <f t="shared" si="157"/>
        <v>-1.8109498999999998</v>
      </c>
      <c r="AP24" s="6">
        <f t="shared" si="157"/>
        <v>-1.8226874999999998</v>
      </c>
      <c r="AQ24" s="6">
        <f t="shared" si="157"/>
        <v>-1.8335954999999999</v>
      </c>
      <c r="AR24" s="6">
        <f t="shared" si="157"/>
        <v>-1.8436984999999999</v>
      </c>
      <c r="AS24" s="6">
        <f t="shared" si="157"/>
        <v>-1.8530213999999998</v>
      </c>
      <c r="AT24" s="6">
        <f t="shared" si="157"/>
        <v>-1.8615889000000001</v>
      </c>
      <c r="AU24" s="6">
        <f t="shared" si="157"/>
        <v>-1.8694257999999997</v>
      </c>
      <c r="AV24" s="6">
        <f t="shared" si="157"/>
        <v>-1.8765568999999998</v>
      </c>
      <c r="AW24" s="6">
        <f t="shared" si="157"/>
        <v>-1.8830068</v>
      </c>
      <c r="AX24" s="6">
        <f t="shared" si="157"/>
        <v>-1.8888004</v>
      </c>
      <c r="AY24" s="6">
        <f t="shared" si="157"/>
        <v>-1.8939624999999998</v>
      </c>
      <c r="AZ24" s="6">
        <f t="shared" si="157"/>
        <v>-1.8985176999999998</v>
      </c>
      <c r="BA24" s="6">
        <f t="shared" si="157"/>
        <v>-1.9024909000000001</v>
      </c>
      <c r="BB24" s="6">
        <f t="shared" si="157"/>
        <v>-1.9059048999999999</v>
      </c>
      <c r="BC24" s="6">
        <f t="shared" si="157"/>
        <v>-1.9087736</v>
      </c>
      <c r="BD24" s="6">
        <f t="shared" si="157"/>
        <v>-1.9111088999999999</v>
      </c>
      <c r="BE24" s="6">
        <f t="shared" si="157"/>
        <v>-1.9129223</v>
      </c>
      <c r="BF24" s="6">
        <f t="shared" si="157"/>
        <v>-1.9142254999999997</v>
      </c>
      <c r="BG24" s="6">
        <f t="shared" si="157"/>
        <v>-1.9150302999999997</v>
      </c>
      <c r="BH24" s="6">
        <f t="shared" si="157"/>
        <v>-1.9153481999999999</v>
      </c>
      <c r="BI24" s="6">
        <f t="shared" si="157"/>
        <v>-1.9151910000000001</v>
      </c>
      <c r="BJ24" s="6">
        <f t="shared" si="157"/>
        <v>-1.9145702</v>
      </c>
      <c r="BK24" s="6">
        <f t="shared" si="157"/>
        <v>-1.9134976999999997</v>
      </c>
      <c r="BL24" s="6">
        <f t="shared" si="157"/>
        <v>-1.911985</v>
      </c>
      <c r="BM24" s="6">
        <f t="shared" si="157"/>
        <v>-1.9100438</v>
      </c>
    </row>
    <row r="26" spans="4:65" x14ac:dyDescent="0.35">
      <c r="D26" t="s">
        <v>841</v>
      </c>
      <c r="E26">
        <v>4</v>
      </c>
      <c r="F26">
        <f t="shared" ref="F26:AO26" si="158">+E26+1</f>
        <v>5</v>
      </c>
      <c r="G26">
        <f t="shared" si="158"/>
        <v>6</v>
      </c>
      <c r="H26">
        <f t="shared" si="158"/>
        <v>7</v>
      </c>
      <c r="I26">
        <f t="shared" si="158"/>
        <v>8</v>
      </c>
      <c r="J26">
        <f t="shared" si="158"/>
        <v>9</v>
      </c>
      <c r="K26">
        <f t="shared" si="158"/>
        <v>10</v>
      </c>
      <c r="L26">
        <f t="shared" si="158"/>
        <v>11</v>
      </c>
      <c r="M26">
        <f t="shared" si="158"/>
        <v>12</v>
      </c>
      <c r="N26">
        <f t="shared" si="158"/>
        <v>13</v>
      </c>
      <c r="O26">
        <f t="shared" si="158"/>
        <v>14</v>
      </c>
      <c r="P26">
        <f t="shared" si="158"/>
        <v>15</v>
      </c>
      <c r="Q26">
        <f t="shared" si="158"/>
        <v>16</v>
      </c>
      <c r="R26">
        <f t="shared" si="158"/>
        <v>17</v>
      </c>
      <c r="S26">
        <f t="shared" si="158"/>
        <v>18</v>
      </c>
      <c r="T26">
        <f t="shared" si="158"/>
        <v>19</v>
      </c>
      <c r="U26">
        <f t="shared" si="158"/>
        <v>20</v>
      </c>
      <c r="V26">
        <f t="shared" si="158"/>
        <v>21</v>
      </c>
      <c r="W26">
        <f t="shared" si="158"/>
        <v>22</v>
      </c>
      <c r="X26">
        <f t="shared" si="158"/>
        <v>23</v>
      </c>
      <c r="Y26">
        <f t="shared" si="158"/>
        <v>24</v>
      </c>
      <c r="Z26">
        <f t="shared" si="158"/>
        <v>25</v>
      </c>
      <c r="AA26">
        <f t="shared" si="158"/>
        <v>26</v>
      </c>
      <c r="AB26">
        <f t="shared" si="158"/>
        <v>27</v>
      </c>
      <c r="AC26">
        <f t="shared" si="158"/>
        <v>28</v>
      </c>
      <c r="AD26">
        <f t="shared" si="158"/>
        <v>29</v>
      </c>
      <c r="AE26">
        <f t="shared" si="158"/>
        <v>30</v>
      </c>
      <c r="AF26">
        <f t="shared" si="158"/>
        <v>31</v>
      </c>
      <c r="AG26">
        <f t="shared" si="158"/>
        <v>32</v>
      </c>
      <c r="AH26">
        <f t="shared" si="158"/>
        <v>33</v>
      </c>
      <c r="AI26">
        <f t="shared" si="158"/>
        <v>34</v>
      </c>
      <c r="AJ26">
        <f t="shared" si="158"/>
        <v>35</v>
      </c>
      <c r="AK26">
        <f t="shared" si="158"/>
        <v>36</v>
      </c>
      <c r="AL26">
        <f t="shared" si="158"/>
        <v>37</v>
      </c>
      <c r="AM26">
        <f t="shared" si="158"/>
        <v>38</v>
      </c>
      <c r="AN26">
        <f t="shared" si="158"/>
        <v>39</v>
      </c>
      <c r="AO26">
        <f t="shared" si="158"/>
        <v>40</v>
      </c>
      <c r="AP26">
        <f t="shared" ref="AP26" si="159">+AO26+1</f>
        <v>41</v>
      </c>
      <c r="AQ26">
        <f t="shared" ref="AQ26" si="160">+AP26+1</f>
        <v>42</v>
      </c>
      <c r="AR26">
        <f t="shared" ref="AR26" si="161">+AQ26+1</f>
        <v>43</v>
      </c>
      <c r="AS26">
        <f t="shared" ref="AS26" si="162">+AR26+1</f>
        <v>44</v>
      </c>
      <c r="AT26">
        <f t="shared" ref="AT26" si="163">+AS26+1</f>
        <v>45</v>
      </c>
      <c r="AU26">
        <f t="shared" ref="AU26" si="164">+AT26+1</f>
        <v>46</v>
      </c>
      <c r="AV26">
        <f t="shared" ref="AV26" si="165">+AU26+1</f>
        <v>47</v>
      </c>
      <c r="AW26">
        <f t="shared" ref="AW26" si="166">+AV26+1</f>
        <v>48</v>
      </c>
      <c r="AX26">
        <f t="shared" ref="AX26" si="167">+AW26+1</f>
        <v>49</v>
      </c>
      <c r="AY26">
        <f t="shared" ref="AY26" si="168">+AX26+1</f>
        <v>50</v>
      </c>
      <c r="AZ26">
        <f t="shared" ref="AZ26" si="169">+AY26+1</f>
        <v>51</v>
      </c>
      <c r="BA26">
        <f t="shared" ref="BA26" si="170">+AZ26+1</f>
        <v>52</v>
      </c>
      <c r="BB26">
        <f t="shared" ref="BB26" si="171">+BA26+1</f>
        <v>53</v>
      </c>
      <c r="BC26">
        <f t="shared" ref="BC26" si="172">+BB26+1</f>
        <v>54</v>
      </c>
      <c r="BD26">
        <f t="shared" ref="BD26" si="173">+BC26+1</f>
        <v>55</v>
      </c>
      <c r="BE26">
        <f t="shared" ref="BE26" si="174">+BD26+1</f>
        <v>56</v>
      </c>
      <c r="BF26">
        <f t="shared" ref="BF26" si="175">+BE26+1</f>
        <v>57</v>
      </c>
      <c r="BG26">
        <f t="shared" ref="BG26" si="176">+BF26+1</f>
        <v>58</v>
      </c>
      <c r="BH26">
        <f t="shared" ref="BH26" si="177">+BG26+1</f>
        <v>59</v>
      </c>
      <c r="BI26">
        <f t="shared" ref="BI26" si="178">+BH26+1</f>
        <v>60</v>
      </c>
      <c r="BJ26">
        <f t="shared" ref="BJ26" si="179">+BI26+1</f>
        <v>61</v>
      </c>
      <c r="BK26">
        <f t="shared" ref="BK26" si="180">+BJ26+1</f>
        <v>62</v>
      </c>
      <c r="BL26">
        <f t="shared" ref="BL26" si="181">+BK26+1</f>
        <v>63</v>
      </c>
      <c r="BM26">
        <f t="shared" ref="BM26" si="182">+BL26+1</f>
        <v>64</v>
      </c>
    </row>
    <row r="27" spans="4:65" x14ac:dyDescent="0.35">
      <c r="D27" t="s">
        <v>842</v>
      </c>
      <c r="E27" t="str">
        <f>HAVERD!D$1</f>
        <v>Overnight</v>
      </c>
      <c r="F27">
        <f>HAVERD!E$1</f>
        <v>1</v>
      </c>
      <c r="G27">
        <f>HAVERD!F$1</f>
        <v>2</v>
      </c>
      <c r="H27">
        <f>HAVERD!G$1</f>
        <v>3</v>
      </c>
      <c r="I27">
        <f>HAVERD!H$1</f>
        <v>4</v>
      </c>
      <c r="J27">
        <f>HAVERD!I$1</f>
        <v>5</v>
      </c>
      <c r="K27">
        <f>HAVERD!J$1</f>
        <v>6</v>
      </c>
      <c r="L27">
        <f>HAVERD!K$1</f>
        <v>7</v>
      </c>
      <c r="M27">
        <f>HAVERD!L$1</f>
        <v>8</v>
      </c>
      <c r="N27">
        <f>HAVERD!M$1</f>
        <v>9</v>
      </c>
      <c r="O27">
        <f>HAVERD!N$1</f>
        <v>10</v>
      </c>
      <c r="P27">
        <f>HAVERD!O$1</f>
        <v>11</v>
      </c>
      <c r="Q27">
        <f>HAVERD!P$1</f>
        <v>12</v>
      </c>
      <c r="R27">
        <f>HAVERD!Q$1</f>
        <v>13</v>
      </c>
      <c r="S27">
        <f>HAVERD!R$1</f>
        <v>14</v>
      </c>
      <c r="T27">
        <f>HAVERD!S$1</f>
        <v>15</v>
      </c>
      <c r="U27">
        <f>HAVERD!T$1</f>
        <v>16</v>
      </c>
      <c r="V27">
        <f>HAVERD!U$1</f>
        <v>17</v>
      </c>
      <c r="W27">
        <f>HAVERD!V$1</f>
        <v>18</v>
      </c>
      <c r="X27">
        <f>HAVERD!W$1</f>
        <v>19</v>
      </c>
      <c r="Y27">
        <f>HAVERD!X$1</f>
        <v>20</v>
      </c>
      <c r="Z27">
        <f>HAVERD!Y$1</f>
        <v>21</v>
      </c>
      <c r="AA27">
        <f>HAVERD!Z$1</f>
        <v>22</v>
      </c>
      <c r="AB27">
        <f>HAVERD!AA$1</f>
        <v>23</v>
      </c>
      <c r="AC27">
        <f>HAVERD!AB$1</f>
        <v>24</v>
      </c>
      <c r="AD27">
        <f>HAVERD!AC$1</f>
        <v>25</v>
      </c>
      <c r="AE27">
        <f>HAVERD!AD$1</f>
        <v>26</v>
      </c>
      <c r="AF27">
        <f>HAVERD!AE$1</f>
        <v>27</v>
      </c>
      <c r="AG27">
        <f>HAVERD!AF$1</f>
        <v>28</v>
      </c>
      <c r="AH27">
        <f>HAVERD!AG$1</f>
        <v>29</v>
      </c>
      <c r="AI27">
        <f>HAVERD!AH$1</f>
        <v>30</v>
      </c>
      <c r="AJ27">
        <f>HAVERD!AI$1</f>
        <v>31</v>
      </c>
      <c r="AK27">
        <f>HAVERD!AJ$1</f>
        <v>32</v>
      </c>
      <c r="AL27">
        <f>HAVERD!AK$1</f>
        <v>33</v>
      </c>
      <c r="AM27">
        <f>HAVERD!AL$1</f>
        <v>34</v>
      </c>
      <c r="AN27">
        <f>HAVERD!AM$1</f>
        <v>35</v>
      </c>
      <c r="AO27">
        <f>HAVERD!AN$1</f>
        <v>36</v>
      </c>
      <c r="AP27">
        <f>HAVERD!AO$1</f>
        <v>37</v>
      </c>
      <c r="AQ27">
        <f>HAVERD!AP$1</f>
        <v>38</v>
      </c>
      <c r="AR27">
        <f>HAVERD!AQ$1</f>
        <v>39</v>
      </c>
      <c r="AS27">
        <f>HAVERD!AR$1</f>
        <v>40</v>
      </c>
      <c r="AT27">
        <f>HAVERD!AS$1</f>
        <v>41</v>
      </c>
      <c r="AU27">
        <f>HAVERD!AT$1</f>
        <v>42</v>
      </c>
      <c r="AV27">
        <f>HAVERD!AU$1</f>
        <v>43</v>
      </c>
      <c r="AW27">
        <f>HAVERD!AV$1</f>
        <v>44</v>
      </c>
      <c r="AX27">
        <f>HAVERD!AW$1</f>
        <v>45</v>
      </c>
      <c r="AY27">
        <f>HAVERD!AX$1</f>
        <v>46</v>
      </c>
      <c r="AZ27">
        <f>HAVERD!AY$1</f>
        <v>47</v>
      </c>
      <c r="BA27">
        <f>HAVERD!AZ$1</f>
        <v>48</v>
      </c>
      <c r="BB27">
        <f>HAVERD!BA$1</f>
        <v>49</v>
      </c>
      <c r="BC27">
        <f>HAVERD!BB$1</f>
        <v>50</v>
      </c>
      <c r="BD27">
        <f>HAVERD!BC$1</f>
        <v>51</v>
      </c>
      <c r="BE27">
        <f>HAVERD!BD$1</f>
        <v>52</v>
      </c>
      <c r="BF27">
        <f>HAVERD!BE$1</f>
        <v>53</v>
      </c>
      <c r="BG27">
        <f>HAVERD!BF$1</f>
        <v>54</v>
      </c>
      <c r="BH27">
        <f>HAVERD!BG$1</f>
        <v>55</v>
      </c>
      <c r="BI27">
        <f>HAVERD!BH$1</f>
        <v>56</v>
      </c>
      <c r="BJ27">
        <f>HAVERD!BI$1</f>
        <v>57</v>
      </c>
      <c r="BK27">
        <f>HAVERD!BJ$1</f>
        <v>58</v>
      </c>
      <c r="BL27">
        <f>HAVERD!BK$1</f>
        <v>59</v>
      </c>
      <c r="BM27">
        <f>HAVERD!BL$1</f>
        <v>60</v>
      </c>
    </row>
    <row r="28" spans="4:65" x14ac:dyDescent="0.35">
      <c r="D28" t="s">
        <v>843</v>
      </c>
      <c r="F28">
        <v>30.4166667</v>
      </c>
      <c r="G28">
        <f>+F28+30.4166667</f>
        <v>60.833333400000001</v>
      </c>
      <c r="H28">
        <f t="shared" ref="H28:AO28" si="183">+G28+30.4166667</f>
        <v>91.250000099999994</v>
      </c>
      <c r="I28">
        <f t="shared" si="183"/>
        <v>121.6666668</v>
      </c>
      <c r="J28">
        <f t="shared" si="183"/>
        <v>152.08333350000001</v>
      </c>
      <c r="K28">
        <f t="shared" si="183"/>
        <v>182.50000020000002</v>
      </c>
      <c r="L28">
        <f t="shared" si="183"/>
        <v>212.91666690000002</v>
      </c>
      <c r="M28">
        <f t="shared" si="183"/>
        <v>243.33333360000003</v>
      </c>
      <c r="N28">
        <f t="shared" si="183"/>
        <v>273.75000030000001</v>
      </c>
      <c r="O28">
        <f t="shared" si="183"/>
        <v>304.16666700000002</v>
      </c>
      <c r="P28">
        <f t="shared" si="183"/>
        <v>334.58333370000003</v>
      </c>
      <c r="Q28">
        <f t="shared" si="183"/>
        <v>365.00000040000003</v>
      </c>
      <c r="R28">
        <f t="shared" si="183"/>
        <v>395.41666710000004</v>
      </c>
      <c r="S28">
        <f t="shared" si="183"/>
        <v>425.83333380000005</v>
      </c>
      <c r="T28">
        <f t="shared" si="183"/>
        <v>456.25000050000006</v>
      </c>
      <c r="U28">
        <f t="shared" si="183"/>
        <v>486.66666720000006</v>
      </c>
      <c r="V28">
        <f t="shared" si="183"/>
        <v>517.08333390000007</v>
      </c>
      <c r="W28">
        <f t="shared" si="183"/>
        <v>547.50000060000002</v>
      </c>
      <c r="X28">
        <f t="shared" si="183"/>
        <v>577.91666729999997</v>
      </c>
      <c r="Y28">
        <f t="shared" si="183"/>
        <v>608.33333399999992</v>
      </c>
      <c r="Z28">
        <f t="shared" si="183"/>
        <v>638.75000069999987</v>
      </c>
      <c r="AA28">
        <f t="shared" si="183"/>
        <v>669.16666739999982</v>
      </c>
      <c r="AB28">
        <f t="shared" si="183"/>
        <v>699.58333409999977</v>
      </c>
      <c r="AC28">
        <f t="shared" si="183"/>
        <v>730.00000079999973</v>
      </c>
      <c r="AD28">
        <f t="shared" si="183"/>
        <v>760.41666749999968</v>
      </c>
      <c r="AE28">
        <f t="shared" si="183"/>
        <v>790.83333419999963</v>
      </c>
      <c r="AF28">
        <f t="shared" si="183"/>
        <v>821.25000089999958</v>
      </c>
      <c r="AG28">
        <f t="shared" si="183"/>
        <v>851.66666759999953</v>
      </c>
      <c r="AH28">
        <f t="shared" si="183"/>
        <v>882.08333429999948</v>
      </c>
      <c r="AI28">
        <f t="shared" si="183"/>
        <v>912.50000099999943</v>
      </c>
      <c r="AJ28">
        <f t="shared" si="183"/>
        <v>942.91666769999938</v>
      </c>
      <c r="AK28">
        <f t="shared" si="183"/>
        <v>973.33333439999933</v>
      </c>
      <c r="AL28">
        <f t="shared" si="183"/>
        <v>1003.7500010999993</v>
      </c>
      <c r="AM28">
        <f t="shared" si="183"/>
        <v>1034.1666677999992</v>
      </c>
      <c r="AN28">
        <f t="shared" si="183"/>
        <v>1064.5833344999992</v>
      </c>
      <c r="AO28">
        <f t="shared" si="183"/>
        <v>1095.0000011999991</v>
      </c>
      <c r="AP28">
        <f t="shared" ref="AP28" si="184">+AO28+30.4166667</f>
        <v>1125.4166678999991</v>
      </c>
      <c r="AQ28">
        <f t="shared" ref="AQ28" si="185">+AP28+30.4166667</f>
        <v>1155.833334599999</v>
      </c>
      <c r="AR28">
        <f t="shared" ref="AR28" si="186">+AQ28+30.4166667</f>
        <v>1186.250001299999</v>
      </c>
      <c r="AS28">
        <f t="shared" ref="AS28" si="187">+AR28+30.4166667</f>
        <v>1216.6666679999989</v>
      </c>
      <c r="AT28">
        <f t="shared" ref="AT28" si="188">+AS28+30.4166667</f>
        <v>1247.0833346999989</v>
      </c>
      <c r="AU28">
        <f t="shared" ref="AU28" si="189">+AT28+30.4166667</f>
        <v>1277.5000013999988</v>
      </c>
      <c r="AV28">
        <f t="shared" ref="AV28" si="190">+AU28+30.4166667</f>
        <v>1307.9166680999988</v>
      </c>
      <c r="AW28">
        <f t="shared" ref="AW28" si="191">+AV28+30.4166667</f>
        <v>1338.3333347999987</v>
      </c>
      <c r="AX28">
        <f t="shared" ref="AX28" si="192">+AW28+30.4166667</f>
        <v>1368.7500014999987</v>
      </c>
      <c r="AY28">
        <f t="shared" ref="AY28" si="193">+AX28+30.4166667</f>
        <v>1399.1666681999986</v>
      </c>
      <c r="AZ28">
        <f t="shared" ref="AZ28" si="194">+AY28+30.4166667</f>
        <v>1429.5833348999986</v>
      </c>
      <c r="BA28">
        <f t="shared" ref="BA28" si="195">+AZ28+30.4166667</f>
        <v>1460.0000015999985</v>
      </c>
      <c r="BB28">
        <f t="shared" ref="BB28" si="196">+BA28+30.4166667</f>
        <v>1490.4166682999985</v>
      </c>
      <c r="BC28">
        <f t="shared" ref="BC28" si="197">+BB28+30.4166667</f>
        <v>1520.8333349999984</v>
      </c>
      <c r="BD28">
        <f t="shared" ref="BD28" si="198">+BC28+30.4166667</f>
        <v>1551.2500016999984</v>
      </c>
      <c r="BE28">
        <f t="shared" ref="BE28" si="199">+BD28+30.4166667</f>
        <v>1581.6666683999983</v>
      </c>
      <c r="BF28">
        <f t="shared" ref="BF28" si="200">+BE28+30.4166667</f>
        <v>1612.0833350999983</v>
      </c>
      <c r="BG28">
        <f t="shared" ref="BG28" si="201">+BF28+30.4166667</f>
        <v>1642.5000017999982</v>
      </c>
      <c r="BH28">
        <f t="shared" ref="BH28" si="202">+BG28+30.4166667</f>
        <v>1672.9166684999982</v>
      </c>
      <c r="BI28">
        <f t="shared" ref="BI28" si="203">+BH28+30.4166667</f>
        <v>1703.3333351999981</v>
      </c>
      <c r="BJ28">
        <f t="shared" ref="BJ28" si="204">+BI28+30.4166667</f>
        <v>1733.7500018999981</v>
      </c>
      <c r="BK28">
        <f t="shared" ref="BK28" si="205">+BJ28+30.4166667</f>
        <v>1764.166668599998</v>
      </c>
      <c r="BL28">
        <f t="shared" ref="BL28" si="206">+BK28+30.4166667</f>
        <v>1794.583335299998</v>
      </c>
      <c r="BM28">
        <f t="shared" ref="BM28" si="207">+BL28+30.4166667</f>
        <v>1825.0000019999979</v>
      </c>
    </row>
    <row r="29" spans="4:65" x14ac:dyDescent="0.35">
      <c r="E29" s="5">
        <f>D31</f>
        <v>45399</v>
      </c>
      <c r="F29" s="5">
        <f>$E29+F28</f>
        <v>45429.416666700003</v>
      </c>
      <c r="G29" s="5">
        <f t="shared" ref="G29" si="208">$E29+G28</f>
        <v>45459.833333399998</v>
      </c>
      <c r="H29" s="5">
        <f t="shared" ref="H29" si="209">$E29+H28</f>
        <v>45490.250000100001</v>
      </c>
      <c r="I29" s="5">
        <f t="shared" ref="I29" si="210">$E29+I28</f>
        <v>45520.666666800003</v>
      </c>
      <c r="J29" s="5">
        <f t="shared" ref="J29" si="211">$E29+J28</f>
        <v>45551.083333499999</v>
      </c>
      <c r="K29" s="5">
        <f t="shared" ref="K29" si="212">$E29+K28</f>
        <v>45581.500000200002</v>
      </c>
      <c r="L29" s="5">
        <f t="shared" ref="L29" si="213">$E29+L28</f>
        <v>45611.916666899997</v>
      </c>
      <c r="M29" s="5">
        <f t="shared" ref="M29" si="214">$E29+M28</f>
        <v>45642.3333336</v>
      </c>
      <c r="N29" s="5">
        <f t="shared" ref="N29" si="215">$E29+N28</f>
        <v>45672.750000300002</v>
      </c>
      <c r="O29" s="5">
        <f t="shared" ref="O29" si="216">$E29+O28</f>
        <v>45703.166666999998</v>
      </c>
      <c r="P29" s="5">
        <f t="shared" ref="P29" si="217">$E29+P28</f>
        <v>45733.5833337</v>
      </c>
      <c r="Q29" s="5">
        <f t="shared" ref="Q29" si="218">$E29+Q28</f>
        <v>45764.000000400003</v>
      </c>
      <c r="R29" s="5">
        <f t="shared" ref="R29" si="219">$E29+R28</f>
        <v>45794.416667099998</v>
      </c>
      <c r="S29" s="5">
        <f t="shared" ref="S29" si="220">$E29+S28</f>
        <v>45824.833333800001</v>
      </c>
      <c r="T29" s="5">
        <f t="shared" ref="T29" si="221">$E29+T28</f>
        <v>45855.250000499997</v>
      </c>
      <c r="U29" s="5">
        <f t="shared" ref="U29" si="222">$E29+U28</f>
        <v>45885.666667199999</v>
      </c>
      <c r="V29" s="5">
        <f t="shared" ref="V29" si="223">$E29+V28</f>
        <v>45916.083333900002</v>
      </c>
      <c r="W29" s="5">
        <f t="shared" ref="W29" si="224">$E29+W28</f>
        <v>45946.500000599997</v>
      </c>
      <c r="X29" s="5">
        <f t="shared" ref="X29" si="225">$E29+X28</f>
        <v>45976.9166673</v>
      </c>
      <c r="Y29" s="5">
        <f t="shared" ref="Y29" si="226">$E29+Y28</f>
        <v>46007.333334000003</v>
      </c>
      <c r="Z29" s="5">
        <f t="shared" ref="Z29" si="227">$E29+Z28</f>
        <v>46037.750000699998</v>
      </c>
      <c r="AA29" s="5">
        <f t="shared" ref="AA29" si="228">$E29+AA28</f>
        <v>46068.166667400001</v>
      </c>
      <c r="AB29" s="5">
        <f t="shared" ref="AB29" si="229">$E29+AB28</f>
        <v>46098.583334099996</v>
      </c>
      <c r="AC29" s="5">
        <f t="shared" ref="AC29" si="230">$E29+AC28</f>
        <v>46129.000000799999</v>
      </c>
      <c r="AD29" s="5">
        <f t="shared" ref="AD29" si="231">$E29+AD28</f>
        <v>46159.416667500001</v>
      </c>
      <c r="AE29" s="5">
        <f t="shared" ref="AE29" si="232">$E29+AE28</f>
        <v>46189.833334199997</v>
      </c>
      <c r="AF29" s="5">
        <f t="shared" ref="AF29" si="233">$E29+AF28</f>
        <v>46220.2500009</v>
      </c>
      <c r="AG29" s="5">
        <f t="shared" ref="AG29" si="234">$E29+AG28</f>
        <v>46250.666667600002</v>
      </c>
      <c r="AH29" s="5">
        <f t="shared" ref="AH29" si="235">$E29+AH28</f>
        <v>46281.083334299998</v>
      </c>
      <c r="AI29" s="5">
        <f t="shared" ref="AI29" si="236">$E29+AI28</f>
        <v>46311.500001</v>
      </c>
      <c r="AJ29" s="5">
        <f t="shared" ref="AJ29" si="237">$E29+AJ28</f>
        <v>46341.916667700003</v>
      </c>
      <c r="AK29" s="5">
        <f t="shared" ref="AK29" si="238">$E29+AK28</f>
        <v>46372.333334399998</v>
      </c>
      <c r="AL29" s="5">
        <f t="shared" ref="AL29" si="239">$E29+AL28</f>
        <v>46402.750001100001</v>
      </c>
      <c r="AM29" s="5">
        <f t="shared" ref="AM29" si="240">$E29+AM28</f>
        <v>46433.166667799997</v>
      </c>
      <c r="AN29" s="5">
        <f t="shared" ref="AN29" si="241">$E29+AN28</f>
        <v>46463.583334499999</v>
      </c>
      <c r="AO29" s="5">
        <f t="shared" ref="AO29:BM29" si="242">$E29+AO28</f>
        <v>46494.000001200002</v>
      </c>
      <c r="AP29" s="5">
        <f t="shared" si="242"/>
        <v>46524.416667899997</v>
      </c>
      <c r="AQ29" s="5">
        <f t="shared" si="242"/>
        <v>46554.8333346</v>
      </c>
      <c r="AR29" s="5">
        <f t="shared" si="242"/>
        <v>46585.250001299995</v>
      </c>
      <c r="AS29" s="5">
        <f t="shared" si="242"/>
        <v>46615.666667999998</v>
      </c>
      <c r="AT29" s="5">
        <f t="shared" si="242"/>
        <v>46646.083334700001</v>
      </c>
      <c r="AU29" s="5">
        <f t="shared" si="242"/>
        <v>46676.500001399996</v>
      </c>
      <c r="AV29" s="5">
        <f t="shared" si="242"/>
        <v>46706.916668099999</v>
      </c>
      <c r="AW29" s="5">
        <f t="shared" si="242"/>
        <v>46737.333334800001</v>
      </c>
      <c r="AX29" s="5">
        <f t="shared" si="242"/>
        <v>46767.750001499997</v>
      </c>
      <c r="AY29" s="5">
        <f t="shared" si="242"/>
        <v>46798.1666682</v>
      </c>
      <c r="AZ29" s="5">
        <f t="shared" si="242"/>
        <v>46828.583334900002</v>
      </c>
      <c r="BA29" s="5">
        <f t="shared" si="242"/>
        <v>46859.000001599998</v>
      </c>
      <c r="BB29" s="5">
        <f t="shared" si="242"/>
        <v>46889.4166683</v>
      </c>
      <c r="BC29" s="5">
        <f t="shared" si="242"/>
        <v>46919.833334999996</v>
      </c>
      <c r="BD29" s="5">
        <f t="shared" si="242"/>
        <v>46950.250001699998</v>
      </c>
      <c r="BE29" s="5">
        <f t="shared" si="242"/>
        <v>46980.666668400001</v>
      </c>
      <c r="BF29" s="5">
        <f t="shared" si="242"/>
        <v>47011.083335099996</v>
      </c>
      <c r="BG29" s="5">
        <f t="shared" si="242"/>
        <v>47041.500001799999</v>
      </c>
      <c r="BH29" s="5">
        <f t="shared" si="242"/>
        <v>47071.916668499995</v>
      </c>
      <c r="BI29" s="5">
        <f t="shared" si="242"/>
        <v>47102.333335199997</v>
      </c>
      <c r="BJ29" s="5">
        <f t="shared" si="242"/>
        <v>47132.7500019</v>
      </c>
      <c r="BK29" s="5">
        <f t="shared" si="242"/>
        <v>47163.166668599995</v>
      </c>
      <c r="BL29" s="5">
        <f t="shared" si="242"/>
        <v>47193.583335299998</v>
      </c>
      <c r="BM29" s="5">
        <f t="shared" si="242"/>
        <v>47224.000002000001</v>
      </c>
    </row>
    <row r="30" spans="4:65" x14ac:dyDescent="0.35">
      <c r="E30" s="5">
        <f t="shared" ref="E30:AO30" si="243">EOMONTH(E29,0)</f>
        <v>45412</v>
      </c>
      <c r="F30" s="5">
        <f t="shared" si="243"/>
        <v>45443</v>
      </c>
      <c r="G30" s="5">
        <f t="shared" si="243"/>
        <v>45473</v>
      </c>
      <c r="H30" s="5">
        <f t="shared" si="243"/>
        <v>45504</v>
      </c>
      <c r="I30" s="5">
        <f t="shared" si="243"/>
        <v>45535</v>
      </c>
      <c r="J30" s="5">
        <f t="shared" si="243"/>
        <v>45565</v>
      </c>
      <c r="K30" s="5">
        <f t="shared" si="243"/>
        <v>45596</v>
      </c>
      <c r="L30" s="5">
        <f t="shared" si="243"/>
        <v>45626</v>
      </c>
      <c r="M30" s="5">
        <f t="shared" si="243"/>
        <v>45657</v>
      </c>
      <c r="N30" s="5">
        <f t="shared" si="243"/>
        <v>45688</v>
      </c>
      <c r="O30" s="5">
        <f t="shared" si="243"/>
        <v>45716</v>
      </c>
      <c r="P30" s="5">
        <f t="shared" si="243"/>
        <v>45747</v>
      </c>
      <c r="Q30" s="5">
        <f t="shared" si="243"/>
        <v>45777</v>
      </c>
      <c r="R30" s="5">
        <f t="shared" si="243"/>
        <v>45808</v>
      </c>
      <c r="S30" s="5">
        <f t="shared" si="243"/>
        <v>45838</v>
      </c>
      <c r="T30" s="5">
        <f t="shared" si="243"/>
        <v>45869</v>
      </c>
      <c r="U30" s="5">
        <f t="shared" si="243"/>
        <v>45900</v>
      </c>
      <c r="V30" s="5">
        <f t="shared" si="243"/>
        <v>45930</v>
      </c>
      <c r="W30" s="5">
        <f t="shared" si="243"/>
        <v>45961</v>
      </c>
      <c r="X30" s="5">
        <f t="shared" si="243"/>
        <v>45991</v>
      </c>
      <c r="Y30" s="5">
        <f t="shared" si="243"/>
        <v>46022</v>
      </c>
      <c r="Z30" s="5">
        <f t="shared" si="243"/>
        <v>46053</v>
      </c>
      <c r="AA30" s="5">
        <f t="shared" si="243"/>
        <v>46081</v>
      </c>
      <c r="AB30" s="5">
        <f t="shared" si="243"/>
        <v>46112</v>
      </c>
      <c r="AC30" s="5">
        <f t="shared" si="243"/>
        <v>46142</v>
      </c>
      <c r="AD30" s="5">
        <f t="shared" si="243"/>
        <v>46173</v>
      </c>
      <c r="AE30" s="5">
        <f t="shared" si="243"/>
        <v>46203</v>
      </c>
      <c r="AF30" s="5">
        <f t="shared" si="243"/>
        <v>46234</v>
      </c>
      <c r="AG30" s="5">
        <f t="shared" si="243"/>
        <v>46265</v>
      </c>
      <c r="AH30" s="5">
        <f t="shared" si="243"/>
        <v>46295</v>
      </c>
      <c r="AI30" s="5">
        <f t="shared" si="243"/>
        <v>46326</v>
      </c>
      <c r="AJ30" s="5">
        <f t="shared" si="243"/>
        <v>46356</v>
      </c>
      <c r="AK30" s="5">
        <f t="shared" si="243"/>
        <v>46387</v>
      </c>
      <c r="AL30" s="5">
        <f t="shared" si="243"/>
        <v>46418</v>
      </c>
      <c r="AM30" s="5">
        <f t="shared" si="243"/>
        <v>46446</v>
      </c>
      <c r="AN30" s="5">
        <f t="shared" si="243"/>
        <v>46477</v>
      </c>
      <c r="AO30" s="5">
        <f t="shared" si="243"/>
        <v>46507</v>
      </c>
      <c r="AP30" s="5">
        <f t="shared" ref="AP30:BM30" si="244">EOMONTH(AP29,0)</f>
        <v>46538</v>
      </c>
      <c r="AQ30" s="5">
        <f t="shared" si="244"/>
        <v>46568</v>
      </c>
      <c r="AR30" s="5">
        <f t="shared" si="244"/>
        <v>46599</v>
      </c>
      <c r="AS30" s="5">
        <f t="shared" si="244"/>
        <v>46630</v>
      </c>
      <c r="AT30" s="5">
        <f t="shared" si="244"/>
        <v>46660</v>
      </c>
      <c r="AU30" s="5">
        <f t="shared" si="244"/>
        <v>46691</v>
      </c>
      <c r="AV30" s="5">
        <f t="shared" si="244"/>
        <v>46721</v>
      </c>
      <c r="AW30" s="5">
        <f t="shared" si="244"/>
        <v>46752</v>
      </c>
      <c r="AX30" s="5">
        <f t="shared" si="244"/>
        <v>46783</v>
      </c>
      <c r="AY30" s="5">
        <f t="shared" si="244"/>
        <v>46812</v>
      </c>
      <c r="AZ30" s="5">
        <f t="shared" si="244"/>
        <v>46843</v>
      </c>
      <c r="BA30" s="5">
        <f t="shared" si="244"/>
        <v>46873</v>
      </c>
      <c r="BB30" s="5">
        <f t="shared" si="244"/>
        <v>46904</v>
      </c>
      <c r="BC30" s="5">
        <f t="shared" si="244"/>
        <v>46934</v>
      </c>
      <c r="BD30" s="5">
        <f t="shared" si="244"/>
        <v>46965</v>
      </c>
      <c r="BE30" s="5">
        <f t="shared" si="244"/>
        <v>46996</v>
      </c>
      <c r="BF30" s="5">
        <f t="shared" si="244"/>
        <v>47026</v>
      </c>
      <c r="BG30" s="5">
        <f t="shared" si="244"/>
        <v>47057</v>
      </c>
      <c r="BH30" s="5">
        <f t="shared" si="244"/>
        <v>47087</v>
      </c>
      <c r="BI30" s="5">
        <f t="shared" si="244"/>
        <v>47118</v>
      </c>
      <c r="BJ30" s="5">
        <f t="shared" si="244"/>
        <v>47149</v>
      </c>
      <c r="BK30" s="5">
        <f t="shared" si="244"/>
        <v>47177</v>
      </c>
      <c r="BL30" s="5">
        <f t="shared" si="244"/>
        <v>47208</v>
      </c>
      <c r="BM30" s="5">
        <f t="shared" si="244"/>
        <v>47238</v>
      </c>
    </row>
    <row r="31" spans="4:65" x14ac:dyDescent="0.35">
      <c r="D31" s="7">
        <v>45399</v>
      </c>
      <c r="E31" s="6">
        <f>VLOOKUP($D31,HAVERD!$A:$BL,E26,FALSE)</f>
        <v>5.1984000000000004</v>
      </c>
      <c r="F31" s="6">
        <f>VLOOKUP($D31,HAVERD!$A:$BL,F26,FALSE)</f>
        <v>5.1864648999999998</v>
      </c>
      <c r="G31" s="6">
        <f>VLOOKUP($D31,HAVERD!$A:$BL,G26,FALSE)</f>
        <v>5.1406634999999996</v>
      </c>
      <c r="H31" s="6">
        <f>VLOOKUP($D31,HAVERD!$A:$BL,H26,FALSE)</f>
        <v>5.0823780000000003</v>
      </c>
      <c r="I31" s="6">
        <f>VLOOKUP($D31,HAVERD!$A:$BL,I26,FALSE)</f>
        <v>5.0182776000000002</v>
      </c>
      <c r="J31" s="6">
        <f>VLOOKUP($D31,HAVERD!$A:$BL,J26,FALSE)</f>
        <v>4.9533389999999997</v>
      </c>
      <c r="K31" s="6">
        <f>VLOOKUP($D31,HAVERD!$A:$BL,K26,FALSE)</f>
        <v>4.8893763999999997</v>
      </c>
      <c r="L31" s="6">
        <f>VLOOKUP($D31,HAVERD!$A:$BL,L26,FALSE)</f>
        <v>4.8279116999999996</v>
      </c>
      <c r="M31" s="6">
        <f>VLOOKUP($D31,HAVERD!$A:$BL,M26,FALSE)</f>
        <v>4.7707195999999996</v>
      </c>
      <c r="N31" s="6">
        <f>VLOOKUP($D31,HAVERD!$A:$BL,N26,FALSE)</f>
        <v>4.7193813999999996</v>
      </c>
      <c r="O31" s="6">
        <f>VLOOKUP($D31,HAVERD!$A:$BL,O26,FALSE)</f>
        <v>4.6742080000000001</v>
      </c>
      <c r="P31" s="6">
        <f>VLOOKUP($D31,HAVERD!$A:$BL,P26,FALSE)</f>
        <v>4.6341650000000003</v>
      </c>
      <c r="Q31" s="6">
        <f>VLOOKUP($D31,HAVERD!$A:$BL,Q26,FALSE)</f>
        <v>4.5975444999999997</v>
      </c>
      <c r="R31" s="6">
        <f>VLOOKUP($D31,HAVERD!$A:$BL,R26,FALSE)</f>
        <v>4.5610470000000003</v>
      </c>
      <c r="S31" s="6">
        <f>VLOOKUP($D31,HAVERD!$A:$BL,S26,FALSE)</f>
        <v>4.5238100000000001</v>
      </c>
      <c r="T31" s="6">
        <f>VLOOKUP($D31,HAVERD!$A:$BL,T26,FALSE)</f>
        <v>4.4857237999999997</v>
      </c>
      <c r="U31" s="6">
        <f>VLOOKUP($D31,HAVERD!$A:$BL,U26,FALSE)</f>
        <v>4.4466786000000003</v>
      </c>
      <c r="V31" s="6">
        <f>VLOOKUP($D31,HAVERD!$A:$BL,V26,FALSE)</f>
        <v>4.4065643999999997</v>
      </c>
      <c r="W31" s="6">
        <f>VLOOKUP($D31,HAVERD!$A:$BL,W26,FALSE)</f>
        <v>4.3652715999999998</v>
      </c>
      <c r="X31" s="6">
        <f>VLOOKUP($D31,HAVERD!$A:$BL,X26,FALSE)</f>
        <v>4.3227817000000002</v>
      </c>
      <c r="Y31" s="6">
        <f>VLOOKUP($D31,HAVERD!$A:$BL,Y26,FALSE)</f>
        <v>4.2794606999999996</v>
      </c>
      <c r="Z31" s="6">
        <f>VLOOKUP($D31,HAVERD!$A:$BL,Z26,FALSE)</f>
        <v>4.2357750999999997</v>
      </c>
      <c r="AA31" s="6">
        <f>VLOOKUP($D31,HAVERD!$A:$BL,AA26,FALSE)</f>
        <v>4.1921917999999998</v>
      </c>
      <c r="AB31" s="6">
        <f>VLOOKUP($D31,HAVERD!$A:$BL,AB26,FALSE)</f>
        <v>4.1491775000000004</v>
      </c>
      <c r="AC31" s="6">
        <f>VLOOKUP($D31,HAVERD!$A:$BL,AC26,FALSE)</f>
        <v>4.1071989000000002</v>
      </c>
      <c r="AD31" s="6">
        <f>VLOOKUP($D31,HAVERD!$A:$BL,AD26,FALSE)</f>
        <v>4.0666478000000001</v>
      </c>
      <c r="AE31" s="6">
        <f>VLOOKUP($D31,HAVERD!$A:$BL,AE26,FALSE)</f>
        <v>4.0276154000000002</v>
      </c>
      <c r="AF31" s="6">
        <f>VLOOKUP($D31,HAVERD!$A:$BL,AF26,FALSE)</f>
        <v>3.9901181000000001</v>
      </c>
      <c r="AG31" s="6">
        <f>VLOOKUP($D31,HAVERD!$A:$BL,AG26,FALSE)</f>
        <v>3.9541723000000002</v>
      </c>
      <c r="AH31" s="6">
        <f>VLOOKUP($D31,HAVERD!$A:$BL,AH26,FALSE)</f>
        <v>3.9197940999999998</v>
      </c>
      <c r="AI31" s="6">
        <f>VLOOKUP($D31,HAVERD!$A:$BL,AI26,FALSE)</f>
        <v>3.887</v>
      </c>
      <c r="AJ31" s="6">
        <f>VLOOKUP($D31,HAVERD!$A:$BL,AJ26,FALSE)</f>
        <v>3.8558061000000001</v>
      </c>
      <c r="AK31" s="6">
        <f>VLOOKUP($D31,HAVERD!$A:$BL,AK26,FALSE)</f>
        <v>3.8262288999999998</v>
      </c>
      <c r="AL31" s="6">
        <f>VLOOKUP($D31,HAVERD!$A:$BL,AL26,FALSE)</f>
        <v>3.7982846000000001</v>
      </c>
      <c r="AM31" s="6">
        <f>VLOOKUP($D31,HAVERD!$A:$BL,AM26,FALSE)</f>
        <v>3.7719895000000001</v>
      </c>
      <c r="AN31" s="6">
        <f>VLOOKUP($D31,HAVERD!$A:$BL,AN26,FALSE)</f>
        <v>3.7473599000000002</v>
      </c>
      <c r="AO31" s="6">
        <f>VLOOKUP($D31,HAVERD!$A:$BL,AO26,FALSE)</f>
        <v>3.7244122000000002</v>
      </c>
      <c r="AP31" s="6">
        <f>VLOOKUP($D31,HAVERD!$A:$BL,AP26,FALSE)</f>
        <v>3.7031516999999998</v>
      </c>
      <c r="AQ31" s="6">
        <f>VLOOKUP($D31,HAVERD!$A:$BL,AQ26,FALSE)</f>
        <v>3.6835306999999999</v>
      </c>
      <c r="AR31" s="6">
        <f>VLOOKUP($D31,HAVERD!$A:$BL,AR26,FALSE)</f>
        <v>3.6654852999999998</v>
      </c>
      <c r="AS31" s="6">
        <f>VLOOKUP($D31,HAVERD!$A:$BL,AS26,FALSE)</f>
        <v>3.6489517</v>
      </c>
      <c r="AT31" s="6">
        <f>VLOOKUP($D31,HAVERD!$A:$BL,AT26,FALSE)</f>
        <v>3.6338659999999998</v>
      </c>
      <c r="AU31" s="6">
        <f>VLOOKUP($D31,HAVERD!$A:$BL,AU26,FALSE)</f>
        <v>3.6201642000000001</v>
      </c>
      <c r="AV31" s="6">
        <f>VLOOKUP($D31,HAVERD!$A:$BL,AV26,FALSE)</f>
        <v>3.6077824999999999</v>
      </c>
      <c r="AW31" s="6">
        <f>VLOOKUP($D31,HAVERD!$A:$BL,AW26,FALSE)</f>
        <v>3.596657</v>
      </c>
      <c r="AX31" s="6">
        <f>VLOOKUP($D31,HAVERD!$A:$BL,AX26,FALSE)</f>
        <v>3.5867238000000001</v>
      </c>
      <c r="AY31" s="6">
        <f>VLOOKUP($D31,HAVERD!$A:$BL,AY26,FALSE)</f>
        <v>3.5779190999999999</v>
      </c>
      <c r="AZ31" s="6">
        <f>VLOOKUP($D31,HAVERD!$A:$BL,AZ26,FALSE)</f>
        <v>3.5701789000000002</v>
      </c>
      <c r="BA31" s="6">
        <f>VLOOKUP($D31,HAVERD!$A:$BL,BA26,FALSE)</f>
        <v>3.5634393000000002</v>
      </c>
      <c r="BB31" s="6">
        <f>VLOOKUP($D31,HAVERD!$A:$BL,BB26,FALSE)</f>
        <v>3.5576398</v>
      </c>
      <c r="BC31" s="6">
        <f>VLOOKUP($D31,HAVERD!$A:$BL,BC26,FALSE)</f>
        <v>3.5527354999999998</v>
      </c>
      <c r="BD31" s="6">
        <f>VLOOKUP($D31,HAVERD!$A:$BL,BD26,FALSE)</f>
        <v>3.5486865000000001</v>
      </c>
      <c r="BE31" s="6">
        <f>VLOOKUP($D31,HAVERD!$A:$BL,BE26,FALSE)</f>
        <v>3.5454528999999999</v>
      </c>
      <c r="BF31" s="6">
        <f>VLOOKUP($D31,HAVERD!$A:$BL,BF26,FALSE)</f>
        <v>3.5429948000000002</v>
      </c>
      <c r="BG31" s="6">
        <f>VLOOKUP($D31,HAVERD!$A:$BL,BG26,FALSE)</f>
        <v>3.5412723000000002</v>
      </c>
      <c r="BH31" s="6">
        <f>VLOOKUP($D31,HAVERD!$A:$BL,BH26,FALSE)</f>
        <v>3.5402453</v>
      </c>
      <c r="BI31" s="6">
        <f>VLOOKUP($D31,HAVERD!$A:$BL,BI26,FALSE)</f>
        <v>3.5398740000000002</v>
      </c>
      <c r="BJ31" s="6">
        <f>VLOOKUP($D31,HAVERD!$A:$BL,BJ26,FALSE)</f>
        <v>3.5401185000000002</v>
      </c>
      <c r="BK31" s="6">
        <f>VLOOKUP($D31,HAVERD!$A:$BL,BK26,FALSE)</f>
        <v>3.5409386999999999</v>
      </c>
      <c r="BL31" s="6">
        <f>VLOOKUP($D31,HAVERD!$A:$BL,BL26,FALSE)</f>
        <v>3.5422948999999999</v>
      </c>
      <c r="BM31" s="6">
        <f>VLOOKUP($D31,HAVERD!$A:$BL,BM26,FALSE)</f>
        <v>3.5441470000000002</v>
      </c>
    </row>
    <row r="32" spans="4:65" x14ac:dyDescent="0.35">
      <c r="D32" t="s">
        <v>2713</v>
      </c>
      <c r="E32" s="6"/>
      <c r="F32" s="6">
        <f>F31-$E$31</f>
        <v>-1.1935100000000531E-2</v>
      </c>
      <c r="G32" s="6">
        <f t="shared" ref="G32:BM32" si="245">G31-$E$31</f>
        <v>-5.7736500000000746E-2</v>
      </c>
      <c r="H32" s="6">
        <f t="shared" si="245"/>
        <v>-0.11602200000000007</v>
      </c>
      <c r="I32" s="6">
        <f t="shared" si="245"/>
        <v>-0.18012240000000013</v>
      </c>
      <c r="J32" s="6">
        <f t="shared" si="245"/>
        <v>-0.24506100000000064</v>
      </c>
      <c r="K32" s="6">
        <f t="shared" si="245"/>
        <v>-0.30902360000000062</v>
      </c>
      <c r="L32" s="6">
        <f t="shared" si="245"/>
        <v>-0.37048830000000077</v>
      </c>
      <c r="M32" s="24">
        <f t="shared" si="245"/>
        <v>-0.42768040000000074</v>
      </c>
      <c r="N32" s="6">
        <f t="shared" si="245"/>
        <v>-0.47901860000000074</v>
      </c>
      <c r="O32" s="6">
        <f t="shared" si="245"/>
        <v>-0.52419200000000021</v>
      </c>
      <c r="P32" s="6">
        <f t="shared" si="245"/>
        <v>-0.56423500000000004</v>
      </c>
      <c r="Q32" s="6">
        <f t="shared" si="245"/>
        <v>-0.60085550000000065</v>
      </c>
      <c r="R32" s="6">
        <f t="shared" si="245"/>
        <v>-0.63735300000000006</v>
      </c>
      <c r="S32" s="6">
        <f t="shared" si="245"/>
        <v>-0.67459000000000024</v>
      </c>
      <c r="T32" s="6">
        <f t="shared" si="245"/>
        <v>-0.71267620000000065</v>
      </c>
      <c r="U32" s="6">
        <f t="shared" si="245"/>
        <v>-0.7517214000000001</v>
      </c>
      <c r="V32" s="6">
        <f t="shared" si="245"/>
        <v>-0.79183560000000064</v>
      </c>
      <c r="W32" s="6">
        <f t="shared" si="245"/>
        <v>-0.83312840000000055</v>
      </c>
      <c r="X32" s="6">
        <f t="shared" si="245"/>
        <v>-0.87561830000000018</v>
      </c>
      <c r="Y32" s="6">
        <f t="shared" si="245"/>
        <v>-0.91893930000000079</v>
      </c>
      <c r="Z32" s="6">
        <f t="shared" si="245"/>
        <v>-0.96262490000000067</v>
      </c>
      <c r="AA32" s="24">
        <f t="shared" si="245"/>
        <v>-1.0062082000000006</v>
      </c>
      <c r="AB32" s="6">
        <f t="shared" si="245"/>
        <v>-1.0492224999999999</v>
      </c>
      <c r="AC32" s="6">
        <f t="shared" si="245"/>
        <v>-1.0912011000000001</v>
      </c>
      <c r="AD32" s="6">
        <f t="shared" si="245"/>
        <v>-1.1317522000000002</v>
      </c>
      <c r="AE32" s="6">
        <f t="shared" si="245"/>
        <v>-1.1707846000000002</v>
      </c>
      <c r="AF32" s="6">
        <f t="shared" si="245"/>
        <v>-1.2082819000000002</v>
      </c>
      <c r="AG32" s="6">
        <f t="shared" si="245"/>
        <v>-1.2442277000000002</v>
      </c>
      <c r="AH32" s="6">
        <f t="shared" si="245"/>
        <v>-1.2786059000000005</v>
      </c>
      <c r="AI32" s="6">
        <f t="shared" si="245"/>
        <v>-1.3114000000000003</v>
      </c>
      <c r="AJ32" s="6">
        <f t="shared" si="245"/>
        <v>-1.3425939000000002</v>
      </c>
      <c r="AK32" s="6">
        <f t="shared" si="245"/>
        <v>-1.3721711000000005</v>
      </c>
      <c r="AL32" s="6">
        <f t="shared" si="245"/>
        <v>-1.4001154000000002</v>
      </c>
      <c r="AM32" s="24">
        <f t="shared" si="245"/>
        <v>-1.4264105000000002</v>
      </c>
      <c r="AN32" s="6">
        <f t="shared" si="245"/>
        <v>-1.4510401000000002</v>
      </c>
      <c r="AO32" s="6">
        <f t="shared" si="245"/>
        <v>-1.4739878000000002</v>
      </c>
      <c r="AP32" s="6">
        <f t="shared" si="245"/>
        <v>-1.4952483000000005</v>
      </c>
      <c r="AQ32" s="6">
        <f t="shared" si="245"/>
        <v>-1.5148693000000004</v>
      </c>
      <c r="AR32" s="6">
        <f t="shared" si="245"/>
        <v>-1.5329147000000005</v>
      </c>
      <c r="AS32" s="6">
        <f t="shared" si="245"/>
        <v>-1.5494483000000003</v>
      </c>
      <c r="AT32" s="6">
        <f t="shared" si="245"/>
        <v>-1.5645340000000005</v>
      </c>
      <c r="AU32" s="6">
        <f t="shared" si="245"/>
        <v>-1.5782358000000003</v>
      </c>
      <c r="AV32" s="6">
        <f t="shared" si="245"/>
        <v>-1.5906175000000005</v>
      </c>
      <c r="AW32" s="6">
        <f t="shared" si="245"/>
        <v>-1.6017430000000004</v>
      </c>
      <c r="AX32" s="6">
        <f t="shared" si="245"/>
        <v>-1.6116762000000002</v>
      </c>
      <c r="AY32" s="6">
        <f t="shared" si="245"/>
        <v>-1.6204809000000004</v>
      </c>
      <c r="AZ32" s="6">
        <f t="shared" si="245"/>
        <v>-1.6282211000000002</v>
      </c>
      <c r="BA32" s="6">
        <f t="shared" si="245"/>
        <v>-1.6349607000000002</v>
      </c>
      <c r="BB32" s="6">
        <f t="shared" si="245"/>
        <v>-1.6407602000000003</v>
      </c>
      <c r="BC32" s="6">
        <f t="shared" si="245"/>
        <v>-1.6456645000000005</v>
      </c>
      <c r="BD32" s="6">
        <f t="shared" si="245"/>
        <v>-1.6497135000000003</v>
      </c>
      <c r="BE32" s="6">
        <f t="shared" si="245"/>
        <v>-1.6529471000000004</v>
      </c>
      <c r="BF32" s="6">
        <f t="shared" si="245"/>
        <v>-1.6554052000000001</v>
      </c>
      <c r="BG32" s="6">
        <f t="shared" si="245"/>
        <v>-1.6571277000000002</v>
      </c>
      <c r="BH32" s="6">
        <f t="shared" si="245"/>
        <v>-1.6581547000000003</v>
      </c>
      <c r="BI32" s="6">
        <f t="shared" si="245"/>
        <v>-1.6585260000000002</v>
      </c>
      <c r="BJ32" s="6">
        <f t="shared" si="245"/>
        <v>-1.6582815000000002</v>
      </c>
      <c r="BK32" s="6">
        <f t="shared" si="245"/>
        <v>-1.6574613000000005</v>
      </c>
      <c r="BL32" s="6">
        <f t="shared" si="245"/>
        <v>-1.6561051000000004</v>
      </c>
      <c r="BM32" s="6">
        <f t="shared" si="245"/>
        <v>-1.6542530000000002</v>
      </c>
    </row>
    <row r="33" spans="2:88" x14ac:dyDescent="0.35">
      <c r="F33" s="6"/>
      <c r="J33" s="6"/>
      <c r="K33" s="6"/>
      <c r="L33" s="6"/>
    </row>
    <row r="34" spans="2:88" x14ac:dyDescent="0.35">
      <c r="E34" s="5">
        <f>E2</f>
        <v>43466</v>
      </c>
      <c r="F34" s="5">
        <f t="shared" ref="F34:BQ34" si="246">F2</f>
        <v>43497</v>
      </c>
      <c r="G34" s="5">
        <f t="shared" si="246"/>
        <v>43525</v>
      </c>
      <c r="H34" s="5">
        <f t="shared" si="246"/>
        <v>43556</v>
      </c>
      <c r="I34" s="5">
        <f t="shared" si="246"/>
        <v>43586</v>
      </c>
      <c r="J34" s="5">
        <f t="shared" si="246"/>
        <v>43617</v>
      </c>
      <c r="K34" s="5">
        <f t="shared" si="246"/>
        <v>43647</v>
      </c>
      <c r="L34" s="5">
        <f t="shared" si="246"/>
        <v>43678</v>
      </c>
      <c r="M34" s="5">
        <f t="shared" si="246"/>
        <v>43709</v>
      </c>
      <c r="N34" s="5">
        <f t="shared" si="246"/>
        <v>43739</v>
      </c>
      <c r="O34" s="5">
        <f t="shared" si="246"/>
        <v>43770</v>
      </c>
      <c r="P34" s="5">
        <f t="shared" si="246"/>
        <v>43800</v>
      </c>
      <c r="Q34" s="5">
        <f t="shared" si="246"/>
        <v>43831</v>
      </c>
      <c r="R34" s="5">
        <f t="shared" si="246"/>
        <v>43862</v>
      </c>
      <c r="S34" s="5">
        <f t="shared" si="246"/>
        <v>43891</v>
      </c>
      <c r="T34" s="5">
        <f t="shared" si="246"/>
        <v>43922</v>
      </c>
      <c r="U34" s="5">
        <f t="shared" si="246"/>
        <v>43952</v>
      </c>
      <c r="V34" s="5">
        <f t="shared" si="246"/>
        <v>43983</v>
      </c>
      <c r="W34" s="5">
        <f t="shared" si="246"/>
        <v>44013</v>
      </c>
      <c r="X34" s="5">
        <f t="shared" si="246"/>
        <v>44044</v>
      </c>
      <c r="Y34" s="5">
        <f t="shared" si="246"/>
        <v>44075</v>
      </c>
      <c r="Z34" s="5">
        <f t="shared" si="246"/>
        <v>44105</v>
      </c>
      <c r="AA34" s="5">
        <f t="shared" si="246"/>
        <v>44136</v>
      </c>
      <c r="AB34" s="5">
        <f t="shared" si="246"/>
        <v>44166</v>
      </c>
      <c r="AC34" s="5">
        <f t="shared" si="246"/>
        <v>44197</v>
      </c>
      <c r="AD34" s="5">
        <f t="shared" si="246"/>
        <v>44228</v>
      </c>
      <c r="AE34" s="5">
        <f t="shared" si="246"/>
        <v>44256</v>
      </c>
      <c r="AF34" s="5">
        <f t="shared" si="246"/>
        <v>44287</v>
      </c>
      <c r="AG34" s="5">
        <f t="shared" si="246"/>
        <v>44317</v>
      </c>
      <c r="AH34" s="5">
        <f t="shared" si="246"/>
        <v>44348</v>
      </c>
      <c r="AI34" s="5">
        <f t="shared" si="246"/>
        <v>44378</v>
      </c>
      <c r="AJ34" s="5">
        <f t="shared" si="246"/>
        <v>44409</v>
      </c>
      <c r="AK34" s="5">
        <f t="shared" si="246"/>
        <v>44440</v>
      </c>
      <c r="AL34" s="5">
        <f t="shared" si="246"/>
        <v>44470</v>
      </c>
      <c r="AM34" s="5">
        <f t="shared" si="246"/>
        <v>44501</v>
      </c>
      <c r="AN34" s="5">
        <f t="shared" si="246"/>
        <v>44531</v>
      </c>
      <c r="AO34" s="5">
        <f t="shared" si="246"/>
        <v>44562</v>
      </c>
      <c r="AP34" s="5">
        <f t="shared" si="246"/>
        <v>44593</v>
      </c>
      <c r="AQ34" s="5">
        <f t="shared" si="246"/>
        <v>44621</v>
      </c>
      <c r="AR34" s="5">
        <f t="shared" si="246"/>
        <v>44652</v>
      </c>
      <c r="AS34" s="5">
        <f t="shared" si="246"/>
        <v>44682</v>
      </c>
      <c r="AT34" s="5">
        <f t="shared" si="246"/>
        <v>44713</v>
      </c>
      <c r="AU34" s="5">
        <f t="shared" si="246"/>
        <v>44743</v>
      </c>
      <c r="AV34" s="5">
        <f t="shared" si="246"/>
        <v>44774</v>
      </c>
      <c r="AW34" s="5">
        <f t="shared" si="246"/>
        <v>44805</v>
      </c>
      <c r="AX34" s="5">
        <f t="shared" si="246"/>
        <v>44835</v>
      </c>
      <c r="AY34" s="5">
        <f t="shared" si="246"/>
        <v>44866</v>
      </c>
      <c r="AZ34" s="5">
        <f t="shared" si="246"/>
        <v>44896</v>
      </c>
      <c r="BA34" s="5">
        <f t="shared" si="246"/>
        <v>44927</v>
      </c>
      <c r="BB34" s="5">
        <f t="shared" si="246"/>
        <v>44958</v>
      </c>
      <c r="BC34" s="5">
        <f t="shared" si="246"/>
        <v>44986</v>
      </c>
      <c r="BD34" s="5">
        <f t="shared" si="246"/>
        <v>45017</v>
      </c>
      <c r="BE34" s="5">
        <f t="shared" si="246"/>
        <v>45047</v>
      </c>
      <c r="BF34" s="5">
        <f t="shared" si="246"/>
        <v>45078</v>
      </c>
      <c r="BG34" s="5">
        <f t="shared" si="246"/>
        <v>45108</v>
      </c>
      <c r="BH34" s="5">
        <f t="shared" si="246"/>
        <v>45139</v>
      </c>
      <c r="BI34" s="5">
        <f t="shared" si="246"/>
        <v>45170</v>
      </c>
      <c r="BJ34" s="5">
        <f t="shared" si="246"/>
        <v>45200</v>
      </c>
      <c r="BK34" s="5">
        <f t="shared" si="246"/>
        <v>45231</v>
      </c>
      <c r="BL34" s="5">
        <f t="shared" si="246"/>
        <v>45261</v>
      </c>
      <c r="BM34" s="5">
        <f t="shared" si="246"/>
        <v>45292</v>
      </c>
      <c r="BN34" s="5">
        <f t="shared" si="246"/>
        <v>45323</v>
      </c>
      <c r="BO34" s="5">
        <f t="shared" si="246"/>
        <v>45352</v>
      </c>
      <c r="BP34" s="5">
        <f t="shared" si="246"/>
        <v>45383</v>
      </c>
      <c r="BQ34" s="5">
        <f t="shared" si="246"/>
        <v>45413</v>
      </c>
      <c r="BR34" s="5">
        <f t="shared" ref="BR34:BX34" si="247">BR2</f>
        <v>45444</v>
      </c>
      <c r="BS34" s="5">
        <f t="shared" si="247"/>
        <v>45474</v>
      </c>
      <c r="BT34" s="5">
        <f t="shared" si="247"/>
        <v>45505</v>
      </c>
      <c r="BU34" s="5">
        <f t="shared" si="247"/>
        <v>45536</v>
      </c>
      <c r="BV34" s="5">
        <f t="shared" si="247"/>
        <v>45566</v>
      </c>
      <c r="BW34" s="5">
        <f t="shared" si="247"/>
        <v>45597</v>
      </c>
      <c r="BX34" s="5">
        <f t="shared" si="247"/>
        <v>45627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</row>
    <row r="35" spans="2:88" x14ac:dyDescent="0.35">
      <c r="E35" s="5">
        <f>E34+30</f>
        <v>43496</v>
      </c>
      <c r="F35" s="5">
        <f t="shared" ref="F35:BQ35" si="248">F34+30</f>
        <v>43527</v>
      </c>
      <c r="G35" s="5">
        <f t="shared" si="248"/>
        <v>43555</v>
      </c>
      <c r="H35" s="5">
        <f t="shared" si="248"/>
        <v>43586</v>
      </c>
      <c r="I35" s="5">
        <f t="shared" si="248"/>
        <v>43616</v>
      </c>
      <c r="J35" s="5">
        <f t="shared" si="248"/>
        <v>43647</v>
      </c>
      <c r="K35" s="5">
        <f t="shared" si="248"/>
        <v>43677</v>
      </c>
      <c r="L35" s="5">
        <f t="shared" si="248"/>
        <v>43708</v>
      </c>
      <c r="M35" s="5">
        <f t="shared" si="248"/>
        <v>43739</v>
      </c>
      <c r="N35" s="5">
        <f t="shared" si="248"/>
        <v>43769</v>
      </c>
      <c r="O35" s="5">
        <f t="shared" si="248"/>
        <v>43800</v>
      </c>
      <c r="P35" s="5">
        <f t="shared" si="248"/>
        <v>43830</v>
      </c>
      <c r="Q35" s="5">
        <f t="shared" si="248"/>
        <v>43861</v>
      </c>
      <c r="R35" s="5">
        <f t="shared" si="248"/>
        <v>43892</v>
      </c>
      <c r="S35" s="5">
        <f t="shared" si="248"/>
        <v>43921</v>
      </c>
      <c r="T35" s="5">
        <f t="shared" si="248"/>
        <v>43952</v>
      </c>
      <c r="U35" s="5">
        <f t="shared" si="248"/>
        <v>43982</v>
      </c>
      <c r="V35" s="5">
        <f t="shared" si="248"/>
        <v>44013</v>
      </c>
      <c r="W35" s="5">
        <f t="shared" si="248"/>
        <v>44043</v>
      </c>
      <c r="X35" s="5">
        <f t="shared" si="248"/>
        <v>44074</v>
      </c>
      <c r="Y35" s="5">
        <f t="shared" si="248"/>
        <v>44105</v>
      </c>
      <c r="Z35" s="5">
        <f t="shared" si="248"/>
        <v>44135</v>
      </c>
      <c r="AA35" s="5">
        <f t="shared" si="248"/>
        <v>44166</v>
      </c>
      <c r="AB35" s="5">
        <f t="shared" si="248"/>
        <v>44196</v>
      </c>
      <c r="AC35" s="5">
        <f t="shared" si="248"/>
        <v>44227</v>
      </c>
      <c r="AD35" s="5">
        <f t="shared" si="248"/>
        <v>44258</v>
      </c>
      <c r="AE35" s="5">
        <f t="shared" si="248"/>
        <v>44286</v>
      </c>
      <c r="AF35" s="5">
        <f t="shared" si="248"/>
        <v>44317</v>
      </c>
      <c r="AG35" s="5">
        <f t="shared" si="248"/>
        <v>44347</v>
      </c>
      <c r="AH35" s="5">
        <f t="shared" si="248"/>
        <v>44378</v>
      </c>
      <c r="AI35" s="5">
        <f t="shared" si="248"/>
        <v>44408</v>
      </c>
      <c r="AJ35" s="5">
        <f t="shared" si="248"/>
        <v>44439</v>
      </c>
      <c r="AK35" s="5">
        <f t="shared" si="248"/>
        <v>44470</v>
      </c>
      <c r="AL35" s="5">
        <f t="shared" si="248"/>
        <v>44500</v>
      </c>
      <c r="AM35" s="5">
        <f t="shared" si="248"/>
        <v>44531</v>
      </c>
      <c r="AN35" s="5">
        <f t="shared" si="248"/>
        <v>44561</v>
      </c>
      <c r="AO35" s="5">
        <f t="shared" si="248"/>
        <v>44592</v>
      </c>
      <c r="AP35" s="5">
        <f t="shared" si="248"/>
        <v>44623</v>
      </c>
      <c r="AQ35" s="5">
        <f t="shared" si="248"/>
        <v>44651</v>
      </c>
      <c r="AR35" s="5">
        <f t="shared" si="248"/>
        <v>44682</v>
      </c>
      <c r="AS35" s="5">
        <f t="shared" si="248"/>
        <v>44712</v>
      </c>
      <c r="AT35" s="5">
        <f t="shared" si="248"/>
        <v>44743</v>
      </c>
      <c r="AU35" s="5">
        <f t="shared" si="248"/>
        <v>44773</v>
      </c>
      <c r="AV35" s="5">
        <f t="shared" si="248"/>
        <v>44804</v>
      </c>
      <c r="AW35" s="5">
        <f t="shared" si="248"/>
        <v>44835</v>
      </c>
      <c r="AX35" s="5">
        <f t="shared" si="248"/>
        <v>44865</v>
      </c>
      <c r="AY35" s="5">
        <f t="shared" si="248"/>
        <v>44896</v>
      </c>
      <c r="AZ35" s="5">
        <f t="shared" si="248"/>
        <v>44926</v>
      </c>
      <c r="BA35" s="5">
        <f t="shared" si="248"/>
        <v>44957</v>
      </c>
      <c r="BB35" s="5">
        <f t="shared" si="248"/>
        <v>44988</v>
      </c>
      <c r="BC35" s="5">
        <f t="shared" si="248"/>
        <v>45016</v>
      </c>
      <c r="BD35" s="5">
        <f t="shared" si="248"/>
        <v>45047</v>
      </c>
      <c r="BE35" s="5">
        <f t="shared" si="248"/>
        <v>45077</v>
      </c>
      <c r="BF35" s="5">
        <f t="shared" si="248"/>
        <v>45108</v>
      </c>
      <c r="BG35" s="5">
        <f t="shared" si="248"/>
        <v>45138</v>
      </c>
      <c r="BH35" s="5">
        <f t="shared" si="248"/>
        <v>45169</v>
      </c>
      <c r="BI35" s="5">
        <f t="shared" si="248"/>
        <v>45200</v>
      </c>
      <c r="BJ35" s="5">
        <f t="shared" si="248"/>
        <v>45230</v>
      </c>
      <c r="BK35" s="5">
        <f t="shared" si="248"/>
        <v>45261</v>
      </c>
      <c r="BL35" s="5">
        <f t="shared" si="248"/>
        <v>45291</v>
      </c>
      <c r="BM35" s="5">
        <f t="shared" si="248"/>
        <v>45322</v>
      </c>
      <c r="BN35" s="5">
        <f t="shared" si="248"/>
        <v>45353</v>
      </c>
      <c r="BO35" s="5">
        <f t="shared" si="248"/>
        <v>45382</v>
      </c>
      <c r="BP35" s="5">
        <f t="shared" si="248"/>
        <v>45413</v>
      </c>
      <c r="BQ35" s="5">
        <f t="shared" si="248"/>
        <v>45443</v>
      </c>
      <c r="BR35" s="5">
        <f t="shared" ref="BR35:BX35" si="249">BR34+30</f>
        <v>45474</v>
      </c>
      <c r="BS35" s="5">
        <f t="shared" si="249"/>
        <v>45504</v>
      </c>
      <c r="BT35" s="5">
        <f t="shared" si="249"/>
        <v>45535</v>
      </c>
      <c r="BU35" s="5">
        <f t="shared" si="249"/>
        <v>45566</v>
      </c>
      <c r="BV35" s="5">
        <f t="shared" si="249"/>
        <v>45596</v>
      </c>
      <c r="BW35" s="5">
        <f t="shared" si="249"/>
        <v>45627</v>
      </c>
      <c r="BX35" s="5">
        <f t="shared" si="249"/>
        <v>45657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</row>
    <row r="36" spans="2:88" x14ac:dyDescent="0.35">
      <c r="D36" t="s">
        <v>840</v>
      </c>
      <c r="E36">
        <f>VLOOKUP(E34,Data!$A:$D,4,FALSE)</f>
        <v>0.75</v>
      </c>
      <c r="F36" t="e">
        <f>VLOOKUP(F34,Data!$A:$D,4,FALSE)</f>
        <v>#N/A</v>
      </c>
      <c r="G36" t="e">
        <f>VLOOKUP(G34,Data!$A:$D,4,FALSE)</f>
        <v>#N/A</v>
      </c>
      <c r="H36">
        <f>VLOOKUP(H34,Data!$A:$D,4,FALSE)</f>
        <v>0.75</v>
      </c>
      <c r="I36" t="e">
        <f>VLOOKUP(I34,Data!$A:$D,4,FALSE)</f>
        <v>#N/A</v>
      </c>
      <c r="J36" t="e">
        <f>VLOOKUP(J34,Data!$A:$D,4,FALSE)</f>
        <v>#N/A</v>
      </c>
      <c r="K36">
        <f>VLOOKUP(K34,Data!$A:$D,4,FALSE)</f>
        <v>0.75</v>
      </c>
      <c r="L36" t="e">
        <f>VLOOKUP(L34,Data!$A:$D,4,FALSE)</f>
        <v>#N/A</v>
      </c>
      <c r="M36" t="e">
        <f>VLOOKUP(M34,Data!$A:$D,4,FALSE)</f>
        <v>#N/A</v>
      </c>
      <c r="N36">
        <f>VLOOKUP(N34,Data!$A:$D,4,FALSE)</f>
        <v>0.75</v>
      </c>
      <c r="O36" t="e">
        <f>VLOOKUP(O34,Data!$A:$D,4,FALSE)</f>
        <v>#N/A</v>
      </c>
      <c r="P36" t="e">
        <f>VLOOKUP(P34,Data!$A:$D,4,FALSE)</f>
        <v>#N/A</v>
      </c>
      <c r="Q36">
        <f>VLOOKUP(Q34,Data!$A:$D,4,FALSE)</f>
        <v>0.1</v>
      </c>
      <c r="R36" t="e">
        <f>VLOOKUP(R34,Data!$A:$D,4,FALSE)</f>
        <v>#N/A</v>
      </c>
      <c r="S36" t="e">
        <f>VLOOKUP(S34,Data!$A:$D,4,FALSE)</f>
        <v>#N/A</v>
      </c>
      <c r="T36">
        <f>VLOOKUP(T34,Data!$A:$D,4,FALSE)</f>
        <v>0.1</v>
      </c>
      <c r="U36" t="e">
        <f>VLOOKUP(U34,Data!$A:$D,4,FALSE)</f>
        <v>#N/A</v>
      </c>
      <c r="V36" t="e">
        <f>VLOOKUP(V34,Data!$A:$D,4,FALSE)</f>
        <v>#N/A</v>
      </c>
      <c r="W36">
        <f>VLOOKUP(W34,Data!$A:$D,4,FALSE)</f>
        <v>0.1</v>
      </c>
      <c r="X36" t="e">
        <f>VLOOKUP(X34,Data!$A:$D,4,FALSE)</f>
        <v>#N/A</v>
      </c>
      <c r="Y36" t="e">
        <f>VLOOKUP(Y34,Data!$A:$D,4,FALSE)</f>
        <v>#N/A</v>
      </c>
      <c r="Z36">
        <f>VLOOKUP(Z34,Data!$A:$D,4,FALSE)</f>
        <v>0.1</v>
      </c>
      <c r="AA36" t="e">
        <f>VLOOKUP(AA34,Data!$A:$D,4,FALSE)</f>
        <v>#N/A</v>
      </c>
      <c r="AB36" t="e">
        <f>VLOOKUP(AB34,Data!$A:$D,4,FALSE)</f>
        <v>#N/A</v>
      </c>
      <c r="AC36">
        <f>VLOOKUP(AC34,Data!$A:$D,4,FALSE)</f>
        <v>0.1</v>
      </c>
      <c r="AD36" t="e">
        <f>VLOOKUP(AD34,Data!$A:$D,4,FALSE)</f>
        <v>#N/A</v>
      </c>
      <c r="AE36" t="e">
        <f>VLOOKUP(AE34,Data!$A:$D,4,FALSE)</f>
        <v>#N/A</v>
      </c>
      <c r="AF36">
        <f>VLOOKUP(AF34,Data!$A:$D,4,FALSE)</f>
        <v>0.1</v>
      </c>
      <c r="AG36" t="e">
        <f>VLOOKUP(AG34,Data!$A:$D,4,FALSE)</f>
        <v>#N/A</v>
      </c>
      <c r="AH36" t="e">
        <f>VLOOKUP(AH34,Data!$A:$D,4,FALSE)</f>
        <v>#N/A</v>
      </c>
      <c r="AI36">
        <f>VLOOKUP(AI34,Data!$A:$D,4,FALSE)</f>
        <v>0.1</v>
      </c>
      <c r="AJ36" t="e">
        <f>VLOOKUP(AJ34,Data!$A:$D,4,FALSE)</f>
        <v>#N/A</v>
      </c>
      <c r="AK36" t="e">
        <f>VLOOKUP(AK34,Data!$A:$D,4,FALSE)</f>
        <v>#N/A</v>
      </c>
      <c r="AL36">
        <f>VLOOKUP(AL34,Data!$A:$D,4,FALSE)</f>
        <v>0.25</v>
      </c>
      <c r="AM36" t="e">
        <f>VLOOKUP(AM34,Data!$A:$D,4,FALSE)</f>
        <v>#N/A</v>
      </c>
      <c r="AN36" t="e">
        <f>VLOOKUP(AN34,Data!$A:$D,4,FALSE)</f>
        <v>#N/A</v>
      </c>
      <c r="AO36">
        <f>VLOOKUP(AO34,Data!$A:$D,4,FALSE)</f>
        <v>0.75</v>
      </c>
      <c r="AP36" t="e">
        <f>VLOOKUP(AP34,Data!$A:$D,4,FALSE)</f>
        <v>#N/A</v>
      </c>
      <c r="AQ36" t="e">
        <f>VLOOKUP(AQ34,Data!$A:$D,4,FALSE)</f>
        <v>#N/A</v>
      </c>
      <c r="AR36">
        <f>VLOOKUP(AR34,Data!$A:$D,4,FALSE)</f>
        <v>1.25</v>
      </c>
      <c r="AS36" t="e">
        <f>VLOOKUP(AS34,Data!$A:$D,4,FALSE)</f>
        <v>#N/A</v>
      </c>
      <c r="AT36" t="e">
        <f>VLOOKUP(AT34,Data!$A:$D,4,FALSE)</f>
        <v>#N/A</v>
      </c>
      <c r="AU36">
        <f>VLOOKUP(AU34,Data!$A:$D,4,FALSE)</f>
        <v>2.25</v>
      </c>
      <c r="AV36" t="e">
        <f>VLOOKUP(AV34,Data!$A:$D,4,FALSE)</f>
        <v>#N/A</v>
      </c>
      <c r="AW36" t="e">
        <f>VLOOKUP(AW34,Data!$A:$D,4,FALSE)</f>
        <v>#N/A</v>
      </c>
      <c r="AX36">
        <f>VLOOKUP(AX34,Data!$A:$D,4,FALSE)</f>
        <v>3.5</v>
      </c>
      <c r="AY36" t="e">
        <f>VLOOKUP(AY34,Data!$A:$D,4,FALSE)</f>
        <v>#N/A</v>
      </c>
      <c r="AZ36" t="e">
        <f>VLOOKUP(AZ34,Data!$A:$D,4,FALSE)</f>
        <v>#N/A</v>
      </c>
      <c r="BA36">
        <f>VLOOKUP(BA34,Data!$A:$D,4,FALSE)</f>
        <v>4.25</v>
      </c>
      <c r="BB36" t="e">
        <f>VLOOKUP(BB34,Data!$A:$D,4,FALSE)</f>
        <v>#N/A</v>
      </c>
      <c r="BC36" t="e">
        <f>VLOOKUP(BC34,Data!$A:$D,4,FALSE)</f>
        <v>#N/A</v>
      </c>
      <c r="BD36">
        <f>VLOOKUP(BD34,Data!$A:$D,4,FALSE)</f>
        <v>5</v>
      </c>
      <c r="BE36" t="e">
        <f>VLOOKUP(BE34,Data!$A:$D,4,FALSE)</f>
        <v>#N/A</v>
      </c>
      <c r="BF36" t="e">
        <f>VLOOKUP(BF34,Data!$A:$D,4,FALSE)</f>
        <v>#N/A</v>
      </c>
      <c r="BG36">
        <f>VLOOKUP(BG34,Data!$A:$D,4,FALSE)</f>
        <v>5.25</v>
      </c>
      <c r="BH36" t="e">
        <f>VLOOKUP(BH34,Data!$A:$D,4,FALSE)</f>
        <v>#N/A</v>
      </c>
      <c r="BI36" t="e">
        <f>VLOOKUP(BI34,Data!$A:$D,4,FALSE)</f>
        <v>#N/A</v>
      </c>
      <c r="BJ36">
        <f>VLOOKUP(BJ34,Data!$A:$D,4,FALSE)</f>
        <v>5.25</v>
      </c>
      <c r="BK36" t="e">
        <f>VLOOKUP(BK34,Data!$A:$D,4,FALSE)</f>
        <v>#N/A</v>
      </c>
      <c r="BL36" t="e">
        <f>VLOOKUP(BL34,Data!$A:$D,4,FALSE)</f>
        <v>#N/A</v>
      </c>
      <c r="BM36">
        <f>VLOOKUP(BM34,Data!$A:$D,4,FALSE)</f>
        <v>5.25</v>
      </c>
      <c r="BN36" t="e">
        <f>VLOOKUP(BN34,Data!$A:$D,4,FALSE)</f>
        <v>#N/A</v>
      </c>
      <c r="BO36" t="e">
        <f>VLOOKUP(BO34,Data!$A:$D,4,FALSE)</f>
        <v>#N/A</v>
      </c>
      <c r="BP36">
        <f>VLOOKUP(BP34,Data!$A:$D,4,FALSE)</f>
        <v>5</v>
      </c>
      <c r="BQ36" t="e">
        <f>VLOOKUP(BQ34,Data!$A:$D,4,FALSE)</f>
        <v>#N/A</v>
      </c>
      <c r="BR36" t="e">
        <f>VLOOKUP(BR34,Data!$A:$D,4,FALSE)</f>
        <v>#N/A</v>
      </c>
      <c r="BS36">
        <f>VLOOKUP(BS34,Data!$A:$D,4,FALSE)</f>
        <v>4.75</v>
      </c>
      <c r="BT36" t="e">
        <f>VLOOKUP(BT34,Data!$A:$D,4,FALSE)</f>
        <v>#N/A</v>
      </c>
      <c r="BU36" t="e">
        <f>VLOOKUP(BU34,Data!$A:$D,4,FALSE)</f>
        <v>#N/A</v>
      </c>
      <c r="BV36">
        <f>VLOOKUP(BV34,Data!$A:$D,4,FALSE)</f>
        <v>4.5</v>
      </c>
      <c r="BW36" t="e">
        <f>VLOOKUP(BW34,Data!$A:$D,4,FALSE)</f>
        <v>#N/A</v>
      </c>
      <c r="BX36" t="e">
        <f>VLOOKUP(BX34,Data!$A:$D,4,FALSE)</f>
        <v>#N/A</v>
      </c>
    </row>
    <row r="38" spans="2:88" x14ac:dyDescent="0.35">
      <c r="H38" s="6">
        <f>AVERAGE(K31:M31)</f>
        <v>4.8293358999999993</v>
      </c>
      <c r="K38" s="6"/>
      <c r="T38" s="6"/>
    </row>
    <row r="39" spans="2:88" x14ac:dyDescent="0.35">
      <c r="B39" t="s">
        <v>2529</v>
      </c>
      <c r="E39" s="23">
        <f>(F31-E31)/0.25</f>
        <v>-4.7740400000002126E-2</v>
      </c>
    </row>
    <row r="40" spans="2:88" x14ac:dyDescent="0.35">
      <c r="B40" t="s">
        <v>2584</v>
      </c>
      <c r="E40" s="23">
        <f>(F31-E31-0.25)/0.25</f>
        <v>-1.0477404000000021</v>
      </c>
    </row>
    <row r="41" spans="2:88" x14ac:dyDescent="0.35">
      <c r="O41" s="6"/>
    </row>
    <row r="42" spans="2:88" x14ac:dyDescent="0.35">
      <c r="B42" t="s">
        <v>2653</v>
      </c>
      <c r="E42" s="23">
        <f>((MAX(F31:Q31)-E31)/0.25)</f>
        <v>-4.7740400000002126E-2</v>
      </c>
    </row>
    <row r="44" spans="2:88" x14ac:dyDescent="0.35">
      <c r="B44" t="s">
        <v>2697</v>
      </c>
      <c r="E44" s="23">
        <f>(L31-E31)/-0.25</f>
        <v>1.4819532000000031</v>
      </c>
    </row>
    <row r="45" spans="2:88" x14ac:dyDescent="0.35">
      <c r="B45" t="s">
        <v>2698</v>
      </c>
      <c r="E45" s="23">
        <f>(R31-E31)/-0.25</f>
        <v>2.5494120000000002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514-1CC2-4B05-B9B9-93970108F7D9}">
  <sheetPr codeName="Sheet5"/>
  <dimension ref="A1:D56"/>
  <sheetViews>
    <sheetView workbookViewId="0">
      <pane xSplit="2" ySplit="6" topLeftCell="C40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defaultRowHeight="14.5" x14ac:dyDescent="0.35"/>
  <cols>
    <col min="1" max="1" width="10.7265625" customWidth="1"/>
    <col min="3" max="4" width="16" customWidth="1"/>
  </cols>
  <sheetData>
    <row r="1" spans="1:4" x14ac:dyDescent="0.35">
      <c r="B1" s="1" t="s">
        <v>2065</v>
      </c>
      <c r="C1" t="s">
        <v>2040</v>
      </c>
      <c r="D1" t="s">
        <v>0</v>
      </c>
    </row>
    <row r="2" spans="1:4" s="11" customFormat="1" ht="58" x14ac:dyDescent="0.35">
      <c r="B2" s="11" t="s">
        <v>44</v>
      </c>
      <c r="C2" s="11" t="s">
        <v>2475</v>
      </c>
      <c r="D2" s="11" t="s">
        <v>46</v>
      </c>
    </row>
    <row r="3" spans="1:4" x14ac:dyDescent="0.35">
      <c r="B3" t="s">
        <v>43</v>
      </c>
      <c r="C3" t="s">
        <v>2765</v>
      </c>
      <c r="D3" t="s">
        <v>2742</v>
      </c>
    </row>
    <row r="4" spans="1:4" x14ac:dyDescent="0.35">
      <c r="B4" t="s">
        <v>42</v>
      </c>
      <c r="C4" t="s">
        <v>2764</v>
      </c>
      <c r="D4" t="s">
        <v>2831</v>
      </c>
    </row>
    <row r="5" spans="1:4" x14ac:dyDescent="0.35">
      <c r="B5" t="s">
        <v>41</v>
      </c>
      <c r="C5" t="s">
        <v>45</v>
      </c>
      <c r="D5" t="s">
        <v>45</v>
      </c>
    </row>
    <row r="6" spans="1:4" x14ac:dyDescent="0.35">
      <c r="B6" t="s">
        <v>40</v>
      </c>
      <c r="C6" t="s">
        <v>2763</v>
      </c>
      <c r="D6" t="s">
        <v>2822</v>
      </c>
    </row>
    <row r="7" spans="1:4" x14ac:dyDescent="0.35">
      <c r="A7" s="5">
        <v>42005</v>
      </c>
      <c r="B7" t="s">
        <v>2066</v>
      </c>
      <c r="C7" s="6" t="e">
        <v>#N/A</v>
      </c>
      <c r="D7" s="2">
        <v>0.5</v>
      </c>
    </row>
    <row r="8" spans="1:4" x14ac:dyDescent="0.35">
      <c r="A8" s="5">
        <v>42095</v>
      </c>
      <c r="B8" t="s">
        <v>2067</v>
      </c>
      <c r="C8" s="6" t="e">
        <v>#N/A</v>
      </c>
      <c r="D8" s="2">
        <v>0.5</v>
      </c>
    </row>
    <row r="9" spans="1:4" x14ac:dyDescent="0.35">
      <c r="A9" s="5">
        <v>42186</v>
      </c>
      <c r="B9" t="s">
        <v>2068</v>
      </c>
      <c r="C9" s="6" t="e">
        <v>#N/A</v>
      </c>
      <c r="D9" s="2">
        <v>0.5</v>
      </c>
    </row>
    <row r="10" spans="1:4" x14ac:dyDescent="0.35">
      <c r="A10" s="5">
        <v>42278</v>
      </c>
      <c r="B10" t="s">
        <v>2069</v>
      </c>
      <c r="C10" s="6" t="e">
        <v>#N/A</v>
      </c>
      <c r="D10" s="2">
        <v>0.5</v>
      </c>
    </row>
    <row r="11" spans="1:4" x14ac:dyDescent="0.35">
      <c r="A11" s="5">
        <v>42370</v>
      </c>
      <c r="B11" t="s">
        <v>2070</v>
      </c>
      <c r="C11" s="6" t="e">
        <v>#N/A</v>
      </c>
      <c r="D11" s="2">
        <v>0.5</v>
      </c>
    </row>
    <row r="12" spans="1:4" x14ac:dyDescent="0.35">
      <c r="A12" s="5">
        <v>42461</v>
      </c>
      <c r="B12" t="s">
        <v>2071</v>
      </c>
      <c r="C12" s="6" t="e">
        <v>#N/A</v>
      </c>
      <c r="D12" s="2">
        <v>0.5</v>
      </c>
    </row>
    <row r="13" spans="1:4" x14ac:dyDescent="0.35">
      <c r="A13" s="5">
        <v>42552</v>
      </c>
      <c r="B13" t="s">
        <v>2072</v>
      </c>
      <c r="C13" s="6" t="e">
        <v>#N/A</v>
      </c>
      <c r="D13" s="2">
        <v>0.34090909090909088</v>
      </c>
    </row>
    <row r="14" spans="1:4" x14ac:dyDescent="0.35">
      <c r="A14" s="5">
        <v>42644</v>
      </c>
      <c r="B14" t="s">
        <v>2073</v>
      </c>
      <c r="C14" s="6" t="e">
        <v>#N/A</v>
      </c>
      <c r="D14" s="2">
        <v>0.25</v>
      </c>
    </row>
    <row r="15" spans="1:4" x14ac:dyDescent="0.35">
      <c r="A15" s="5">
        <v>42736</v>
      </c>
      <c r="B15" t="s">
        <v>2074</v>
      </c>
      <c r="C15" s="6" t="e">
        <v>#N/A</v>
      </c>
      <c r="D15" s="2">
        <v>0.25</v>
      </c>
    </row>
    <row r="16" spans="1:4" x14ac:dyDescent="0.35">
      <c r="A16" s="5">
        <v>42826</v>
      </c>
      <c r="B16" t="s">
        <v>2075</v>
      </c>
      <c r="C16" s="6" t="e">
        <v>#N/A</v>
      </c>
      <c r="D16" s="2">
        <v>0.25</v>
      </c>
    </row>
    <row r="17" spans="1:4" x14ac:dyDescent="0.35">
      <c r="A17" s="5">
        <v>42917</v>
      </c>
      <c r="B17" t="s">
        <v>2076</v>
      </c>
      <c r="C17" s="6" t="e">
        <v>#N/A</v>
      </c>
      <c r="D17" s="2">
        <v>0.25</v>
      </c>
    </row>
    <row r="18" spans="1:4" x14ac:dyDescent="0.35">
      <c r="A18" s="5">
        <v>43009</v>
      </c>
      <c r="B18" t="s">
        <v>2077</v>
      </c>
      <c r="C18" s="6" t="e">
        <v>#N/A</v>
      </c>
      <c r="D18" s="2">
        <v>0.41153846153846152</v>
      </c>
    </row>
    <row r="19" spans="1:4" x14ac:dyDescent="0.35">
      <c r="A19" s="5">
        <v>43101</v>
      </c>
      <c r="B19" t="s">
        <v>2078</v>
      </c>
      <c r="C19" s="6" t="e">
        <v>#N/A</v>
      </c>
      <c r="D19" s="2">
        <v>0.5</v>
      </c>
    </row>
    <row r="20" spans="1:4" x14ac:dyDescent="0.35">
      <c r="A20" s="5">
        <v>43191</v>
      </c>
      <c r="B20" t="s">
        <v>2079</v>
      </c>
      <c r="C20" s="6" t="e">
        <v>#N/A</v>
      </c>
      <c r="D20" s="2">
        <v>0.5</v>
      </c>
    </row>
    <row r="21" spans="1:4" x14ac:dyDescent="0.35">
      <c r="A21" s="5">
        <v>43282</v>
      </c>
      <c r="B21" t="s">
        <v>2080</v>
      </c>
      <c r="C21" s="6" t="e">
        <v>#N/A</v>
      </c>
      <c r="D21" s="2">
        <v>0.66153846153846152</v>
      </c>
    </row>
    <row r="22" spans="1:4" x14ac:dyDescent="0.35">
      <c r="A22" s="5">
        <v>43374</v>
      </c>
      <c r="B22" t="s">
        <v>2081</v>
      </c>
      <c r="C22" s="6" t="e">
        <v>#N/A</v>
      </c>
      <c r="D22" s="2">
        <v>0.75</v>
      </c>
    </row>
    <row r="23" spans="1:4" x14ac:dyDescent="0.35">
      <c r="A23" s="5">
        <v>43466</v>
      </c>
      <c r="B23" t="s">
        <v>2082</v>
      </c>
      <c r="C23" s="6" t="e">
        <v>#N/A</v>
      </c>
      <c r="D23" s="2">
        <v>0.75</v>
      </c>
    </row>
    <row r="24" spans="1:4" x14ac:dyDescent="0.35">
      <c r="A24" s="5">
        <v>43556</v>
      </c>
      <c r="B24" t="s">
        <v>2083</v>
      </c>
      <c r="C24" s="6" t="e">
        <v>#N/A</v>
      </c>
      <c r="D24" s="2">
        <v>0.75</v>
      </c>
    </row>
    <row r="25" spans="1:4" x14ac:dyDescent="0.35">
      <c r="A25" s="5">
        <v>43647</v>
      </c>
      <c r="B25" t="s">
        <v>2084</v>
      </c>
      <c r="C25" s="6" t="e">
        <v>#N/A</v>
      </c>
      <c r="D25" s="2">
        <v>0.75</v>
      </c>
    </row>
    <row r="26" spans="1:4" x14ac:dyDescent="0.35">
      <c r="A26" s="5">
        <v>43739</v>
      </c>
      <c r="B26" t="s">
        <v>2085</v>
      </c>
      <c r="C26" s="6" t="e">
        <v>#N/A</v>
      </c>
      <c r="D26" s="2">
        <v>0.75</v>
      </c>
    </row>
    <row r="27" spans="1:4" x14ac:dyDescent="0.35">
      <c r="A27" s="5">
        <v>43831</v>
      </c>
      <c r="B27" t="s">
        <v>2044</v>
      </c>
      <c r="C27" s="6" t="e">
        <v>#N/A</v>
      </c>
      <c r="D27" s="2">
        <v>0.61384615384615404</v>
      </c>
    </row>
    <row r="28" spans="1:4" x14ac:dyDescent="0.35">
      <c r="A28" s="5">
        <v>43922</v>
      </c>
      <c r="B28" t="s">
        <v>2045</v>
      </c>
      <c r="C28" s="6" t="e">
        <v>#N/A</v>
      </c>
      <c r="D28" s="2">
        <v>9.9999999999999895E-2</v>
      </c>
    </row>
    <row r="29" spans="1:4" x14ac:dyDescent="0.35">
      <c r="A29" s="5">
        <v>44013</v>
      </c>
      <c r="B29" t="s">
        <v>2046</v>
      </c>
      <c r="C29" s="6" t="e">
        <v>#N/A</v>
      </c>
      <c r="D29" s="2">
        <v>9.9999999999999881E-2</v>
      </c>
    </row>
    <row r="30" spans="1:4" x14ac:dyDescent="0.35">
      <c r="A30" s="5">
        <v>44105</v>
      </c>
      <c r="B30" t="s">
        <v>2047</v>
      </c>
      <c r="C30" s="6" t="e">
        <v>#N/A</v>
      </c>
      <c r="D30" s="2">
        <v>9.9999999999999881E-2</v>
      </c>
    </row>
    <row r="31" spans="1:4" x14ac:dyDescent="0.35">
      <c r="A31" s="5">
        <v>44197</v>
      </c>
      <c r="B31" t="s">
        <v>2048</v>
      </c>
      <c r="C31" s="6" t="e">
        <v>#N/A</v>
      </c>
      <c r="D31" s="2">
        <v>9.9999999999999895E-2</v>
      </c>
    </row>
    <row r="32" spans="1:4" x14ac:dyDescent="0.35">
      <c r="A32" s="5">
        <v>44287</v>
      </c>
      <c r="B32" t="s">
        <v>2049</v>
      </c>
      <c r="C32" s="6" t="e">
        <v>#N/A</v>
      </c>
      <c r="D32" s="2">
        <v>9.9999999999999895E-2</v>
      </c>
    </row>
    <row r="33" spans="1:4" x14ac:dyDescent="0.35">
      <c r="A33" s="5">
        <v>44378</v>
      </c>
      <c r="B33" t="s">
        <v>2050</v>
      </c>
      <c r="C33" s="6" t="e">
        <v>#N/A</v>
      </c>
      <c r="D33" s="2">
        <v>9.9999999999999881E-2</v>
      </c>
    </row>
    <row r="34" spans="1:4" x14ac:dyDescent="0.35">
      <c r="A34" s="5">
        <v>44470</v>
      </c>
      <c r="B34" t="s">
        <v>2051</v>
      </c>
      <c r="C34" s="6" t="e">
        <v>#N/A</v>
      </c>
      <c r="D34" s="2">
        <v>0.12727272727272723</v>
      </c>
    </row>
    <row r="35" spans="1:4" x14ac:dyDescent="0.35">
      <c r="A35" s="5">
        <v>44562</v>
      </c>
      <c r="B35" t="s">
        <v>2052</v>
      </c>
      <c r="C35" s="6" t="e">
        <v>#N/A</v>
      </c>
      <c r="D35" s="2">
        <v>0.453125</v>
      </c>
    </row>
    <row r="36" spans="1:4" x14ac:dyDescent="0.35">
      <c r="A36" s="5">
        <v>44652</v>
      </c>
      <c r="B36" t="s">
        <v>2053</v>
      </c>
      <c r="C36" s="6" t="e">
        <v>#N/A</v>
      </c>
      <c r="D36" s="2">
        <v>0.95</v>
      </c>
    </row>
    <row r="37" spans="1:4" x14ac:dyDescent="0.35">
      <c r="A37" s="5">
        <v>44743</v>
      </c>
      <c r="B37" t="s">
        <v>2054</v>
      </c>
      <c r="C37" s="6" t="e">
        <v>#N/A</v>
      </c>
      <c r="D37" s="2">
        <v>1.6212121212121211</v>
      </c>
    </row>
    <row r="38" spans="1:4" x14ac:dyDescent="0.35">
      <c r="A38" s="5">
        <v>44835</v>
      </c>
      <c r="B38" t="s">
        <v>2055</v>
      </c>
      <c r="C38" s="6" t="e">
        <v>#N/A</v>
      </c>
      <c r="D38" s="2">
        <v>2.8269230769230771</v>
      </c>
    </row>
    <row r="39" spans="1:4" x14ac:dyDescent="0.35">
      <c r="A39" s="5">
        <v>44927</v>
      </c>
      <c r="B39" t="s">
        <v>2056</v>
      </c>
      <c r="C39" s="6" t="e">
        <v>#N/A</v>
      </c>
      <c r="D39" s="2">
        <v>3.85</v>
      </c>
    </row>
    <row r="40" spans="1:4" x14ac:dyDescent="0.35">
      <c r="A40" s="5">
        <v>45017</v>
      </c>
      <c r="B40" t="s">
        <v>2057</v>
      </c>
      <c r="C40" s="6" t="e">
        <v>#N/A</v>
      </c>
      <c r="D40" s="2">
        <v>4.4461538461538463</v>
      </c>
    </row>
    <row r="41" spans="1:4" x14ac:dyDescent="0.35">
      <c r="A41" s="5">
        <v>45108</v>
      </c>
      <c r="B41" t="s">
        <v>2058</v>
      </c>
      <c r="C41" s="6" t="e">
        <v>#N/A</v>
      </c>
      <c r="D41" s="2">
        <v>5.1615384615384619</v>
      </c>
    </row>
    <row r="42" spans="1:4" x14ac:dyDescent="0.35">
      <c r="A42" s="5">
        <v>45200</v>
      </c>
      <c r="B42" t="s">
        <v>2059</v>
      </c>
      <c r="C42" s="6" t="e">
        <v>#N/A</v>
      </c>
      <c r="D42" s="2">
        <v>5.25</v>
      </c>
    </row>
    <row r="43" spans="1:4" x14ac:dyDescent="0.35">
      <c r="A43" s="5">
        <v>45292</v>
      </c>
      <c r="B43" t="s">
        <v>2060</v>
      </c>
      <c r="C43" s="6">
        <v>5.1100000000000003</v>
      </c>
      <c r="D43" s="2">
        <v>5.25</v>
      </c>
    </row>
    <row r="44" spans="1:4" x14ac:dyDescent="0.35">
      <c r="A44" s="5">
        <v>45383</v>
      </c>
      <c r="B44" t="s">
        <v>2061</v>
      </c>
      <c r="C44" s="6">
        <v>5.0199999999999996</v>
      </c>
    </row>
    <row r="45" spans="1:4" x14ac:dyDescent="0.35">
      <c r="A45" s="5">
        <v>45474</v>
      </c>
      <c r="B45" t="s">
        <v>2062</v>
      </c>
      <c r="C45" s="6">
        <v>4.63</v>
      </c>
    </row>
    <row r="46" spans="1:4" x14ac:dyDescent="0.35">
      <c r="A46" s="5">
        <v>45566</v>
      </c>
      <c r="B46" t="s">
        <v>2063</v>
      </c>
      <c r="C46" s="6">
        <v>4.22</v>
      </c>
    </row>
    <row r="47" spans="1:4" x14ac:dyDescent="0.35">
      <c r="A47" s="5">
        <v>45658</v>
      </c>
      <c r="B47" t="s">
        <v>2064</v>
      </c>
      <c r="C47" s="6">
        <v>3.92</v>
      </c>
    </row>
    <row r="48" spans="1:4" x14ac:dyDescent="0.35">
      <c r="A48" s="5">
        <v>45748</v>
      </c>
      <c r="B48" t="s">
        <v>2144</v>
      </c>
      <c r="C48" s="6">
        <v>3.7</v>
      </c>
    </row>
    <row r="49" spans="1:3" x14ac:dyDescent="0.35">
      <c r="A49" s="5">
        <v>45839</v>
      </c>
      <c r="B49" t="s">
        <v>2212</v>
      </c>
      <c r="C49" s="6">
        <v>3.52</v>
      </c>
    </row>
    <row r="50" spans="1:3" x14ac:dyDescent="0.35">
      <c r="A50" s="5">
        <v>45931</v>
      </c>
      <c r="B50" t="s">
        <v>2294</v>
      </c>
      <c r="C50" s="6">
        <v>3.4</v>
      </c>
    </row>
    <row r="51" spans="1:3" x14ac:dyDescent="0.35">
      <c r="A51" s="5">
        <v>46023</v>
      </c>
      <c r="B51" t="s">
        <v>2406</v>
      </c>
      <c r="C51" s="6">
        <v>3.31</v>
      </c>
    </row>
    <row r="52" spans="1:3" x14ac:dyDescent="0.35">
      <c r="A52" s="5">
        <v>46113</v>
      </c>
      <c r="B52" t="s">
        <v>2476</v>
      </c>
      <c r="C52" s="6">
        <v>3.25</v>
      </c>
    </row>
    <row r="53" spans="1:3" x14ac:dyDescent="0.35">
      <c r="A53" s="5">
        <v>46204</v>
      </c>
      <c r="B53" t="s">
        <v>2551</v>
      </c>
      <c r="C53" s="6">
        <v>3.21</v>
      </c>
    </row>
    <row r="54" spans="1:3" x14ac:dyDescent="0.35">
      <c r="A54" s="5">
        <v>46296</v>
      </c>
      <c r="B54" t="s">
        <v>2616</v>
      </c>
      <c r="C54" s="6">
        <v>3.18</v>
      </c>
    </row>
    <row r="55" spans="1:3" x14ac:dyDescent="0.35">
      <c r="A55" s="5">
        <v>46388</v>
      </c>
      <c r="B55" t="s">
        <v>2687</v>
      </c>
      <c r="C55" s="6">
        <v>3.17</v>
      </c>
    </row>
    <row r="56" spans="1:3" x14ac:dyDescent="0.35">
      <c r="A56" s="5">
        <v>46478</v>
      </c>
      <c r="B56" t="s">
        <v>2766</v>
      </c>
      <c r="C56" s="6">
        <v>3.16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69AB-4FCA-48E3-937D-4B767C7C9D85}">
  <sheetPr codeName="Sheet6"/>
  <dimension ref="A1:BN1390"/>
  <sheetViews>
    <sheetView zoomScaleNormal="100" workbookViewId="0">
      <pane xSplit="2" ySplit="7" topLeftCell="C1385" activePane="bottomRight" state="frozen"/>
      <selection pane="topRight" activeCell="B1" sqref="B1"/>
      <selection pane="bottomLeft" activeCell="A7" sqref="A7"/>
      <selection pane="bottomRight" activeCell="B1390" sqref="B1390:C1390"/>
    </sheetView>
  </sheetViews>
  <sheetFormatPr defaultRowHeight="14.5" x14ac:dyDescent="0.35"/>
  <cols>
    <col min="1" max="1" width="10.7265625" bestFit="1" customWidth="1"/>
    <col min="3" max="40" width="11.7265625" customWidth="1"/>
    <col min="41" max="64" width="10.26953125" bestFit="1" customWidth="1"/>
    <col min="65" max="66" width="9.54296875" bestFit="1" customWidth="1"/>
  </cols>
  <sheetData>
    <row r="1" spans="1:66" x14ac:dyDescent="0.35">
      <c r="C1" t="s">
        <v>839</v>
      </c>
      <c r="D1" t="s">
        <v>844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 t="s">
        <v>2336</v>
      </c>
      <c r="BN1" t="s">
        <v>2337</v>
      </c>
    </row>
    <row r="2" spans="1:66" s="9" customFormat="1" x14ac:dyDescent="0.35">
      <c r="B2" s="10" t="s">
        <v>38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2310</v>
      </c>
      <c r="AP2" s="9" t="s">
        <v>2311</v>
      </c>
      <c r="AQ2" s="9" t="s">
        <v>2312</v>
      </c>
      <c r="AR2" s="9" t="s">
        <v>2313</v>
      </c>
      <c r="AS2" s="9" t="s">
        <v>2314</v>
      </c>
      <c r="AT2" s="9" t="s">
        <v>2315</v>
      </c>
      <c r="AU2" s="9" t="s">
        <v>2316</v>
      </c>
      <c r="AV2" s="9" t="s">
        <v>2317</v>
      </c>
      <c r="AW2" s="9" t="s">
        <v>2318</v>
      </c>
      <c r="AX2" s="9" t="s">
        <v>2319</v>
      </c>
      <c r="AY2" s="9" t="s">
        <v>2320</v>
      </c>
      <c r="AZ2" s="9" t="s">
        <v>2321</v>
      </c>
      <c r="BA2" s="9" t="s">
        <v>2322</v>
      </c>
      <c r="BB2" s="9" t="s">
        <v>2323</v>
      </c>
      <c r="BC2" s="9" t="s">
        <v>2324</v>
      </c>
      <c r="BD2" s="9" t="s">
        <v>2325</v>
      </c>
      <c r="BE2" s="9" t="s">
        <v>2326</v>
      </c>
      <c r="BF2" s="9" t="s">
        <v>2327</v>
      </c>
      <c r="BG2" s="9" t="s">
        <v>2328</v>
      </c>
      <c r="BH2" s="9" t="s">
        <v>2329</v>
      </c>
      <c r="BI2" s="9" t="s">
        <v>2330</v>
      </c>
      <c r="BJ2" s="9" t="s">
        <v>2331</v>
      </c>
      <c r="BK2" s="9" t="s">
        <v>2332</v>
      </c>
      <c r="BL2" s="9" t="s">
        <v>2333</v>
      </c>
      <c r="BM2" s="9" t="s">
        <v>2334</v>
      </c>
      <c r="BN2" s="22" t="s">
        <v>2335</v>
      </c>
    </row>
    <row r="3" spans="1:66" s="11" customFormat="1" ht="116" x14ac:dyDescent="0.35">
      <c r="B3" s="11" t="s">
        <v>44</v>
      </c>
      <c r="C3" s="11" t="s">
        <v>46</v>
      </c>
      <c r="D3" s="11" t="s">
        <v>48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  <c r="K3" s="11" t="s">
        <v>56</v>
      </c>
      <c r="L3" s="11" t="s">
        <v>57</v>
      </c>
      <c r="M3" s="11" t="s">
        <v>58</v>
      </c>
      <c r="N3" s="11" t="s">
        <v>59</v>
      </c>
      <c r="O3" s="11" t="s">
        <v>60</v>
      </c>
      <c r="P3" s="11" t="s">
        <v>61</v>
      </c>
      <c r="Q3" s="11" t="s">
        <v>62</v>
      </c>
      <c r="R3" s="11" t="s">
        <v>63</v>
      </c>
      <c r="S3" s="11" t="s">
        <v>64</v>
      </c>
      <c r="T3" s="11" t="s">
        <v>65</v>
      </c>
      <c r="U3" s="11" t="s">
        <v>66</v>
      </c>
      <c r="V3" s="11" t="s">
        <v>67</v>
      </c>
      <c r="W3" s="11" t="s">
        <v>68</v>
      </c>
      <c r="X3" s="11" t="s">
        <v>69</v>
      </c>
      <c r="Y3" s="11" t="s">
        <v>70</v>
      </c>
      <c r="Z3" s="11" t="s">
        <v>71</v>
      </c>
      <c r="AA3" s="11" t="s">
        <v>72</v>
      </c>
      <c r="AB3" s="11" t="s">
        <v>73</v>
      </c>
      <c r="AC3" s="11" t="s">
        <v>74</v>
      </c>
      <c r="AD3" s="11" t="s">
        <v>75</v>
      </c>
      <c r="AE3" s="11" t="s">
        <v>76</v>
      </c>
      <c r="AF3" s="11" t="s">
        <v>77</v>
      </c>
      <c r="AG3" s="11" t="s">
        <v>78</v>
      </c>
      <c r="AH3" s="11" t="s">
        <v>79</v>
      </c>
      <c r="AI3" s="11" t="s">
        <v>80</v>
      </c>
      <c r="AJ3" s="11" t="s">
        <v>81</v>
      </c>
      <c r="AK3" s="11" t="s">
        <v>82</v>
      </c>
      <c r="AL3" s="11" t="s">
        <v>83</v>
      </c>
      <c r="AM3" s="11" t="s">
        <v>84</v>
      </c>
      <c r="AN3" s="11" t="s">
        <v>85</v>
      </c>
      <c r="AO3" s="11" t="s">
        <v>2338</v>
      </c>
      <c r="AP3" s="11" t="s">
        <v>2339</v>
      </c>
      <c r="AQ3" s="11" t="s">
        <v>2340</v>
      </c>
      <c r="AR3" s="11" t="s">
        <v>2341</v>
      </c>
      <c r="AS3" s="11" t="s">
        <v>2342</v>
      </c>
      <c r="AT3" s="11" t="s">
        <v>2343</v>
      </c>
      <c r="AU3" s="11" t="s">
        <v>2344</v>
      </c>
      <c r="AV3" s="11" t="s">
        <v>2345</v>
      </c>
      <c r="AW3" s="11" t="s">
        <v>2346</v>
      </c>
      <c r="AX3" s="11" t="s">
        <v>2347</v>
      </c>
      <c r="AY3" s="11" t="s">
        <v>2348</v>
      </c>
      <c r="AZ3" s="11" t="s">
        <v>2349</v>
      </c>
      <c r="BA3" s="11" t="s">
        <v>2350</v>
      </c>
      <c r="BB3" s="11" t="s">
        <v>2351</v>
      </c>
      <c r="BC3" s="11" t="s">
        <v>2352</v>
      </c>
      <c r="BD3" s="11" t="s">
        <v>2353</v>
      </c>
      <c r="BE3" s="11" t="s">
        <v>2354</v>
      </c>
      <c r="BF3" s="11" t="s">
        <v>2355</v>
      </c>
      <c r="BG3" s="11" t="s">
        <v>2356</v>
      </c>
      <c r="BH3" s="11" t="s">
        <v>2357</v>
      </c>
      <c r="BI3" s="11" t="s">
        <v>2358</v>
      </c>
      <c r="BJ3" s="11" t="s">
        <v>2359</v>
      </c>
      <c r="BK3" s="11" t="s">
        <v>2360</v>
      </c>
      <c r="BL3" s="11" t="s">
        <v>2361</v>
      </c>
      <c r="BM3" s="11" t="s">
        <v>2363</v>
      </c>
      <c r="BN3" s="11" t="s">
        <v>2364</v>
      </c>
    </row>
    <row r="4" spans="1:66" x14ac:dyDescent="0.35">
      <c r="B4" t="s">
        <v>43</v>
      </c>
      <c r="C4" t="s">
        <v>2738</v>
      </c>
      <c r="D4" t="s">
        <v>47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  <c r="AX4" t="s">
        <v>49</v>
      </c>
      <c r="AY4" t="s">
        <v>49</v>
      </c>
      <c r="AZ4" t="s">
        <v>49</v>
      </c>
      <c r="BA4" t="s">
        <v>49</v>
      </c>
      <c r="BB4" t="s">
        <v>49</v>
      </c>
      <c r="BC4" t="s">
        <v>49</v>
      </c>
      <c r="BD4" t="s">
        <v>49</v>
      </c>
      <c r="BE4" t="s">
        <v>49</v>
      </c>
      <c r="BF4" t="s">
        <v>49</v>
      </c>
      <c r="BG4" t="s">
        <v>49</v>
      </c>
      <c r="BH4" t="s">
        <v>49</v>
      </c>
      <c r="BI4" t="s">
        <v>49</v>
      </c>
      <c r="BJ4" t="s">
        <v>49</v>
      </c>
      <c r="BK4" t="s">
        <v>49</v>
      </c>
      <c r="BL4" t="s">
        <v>49</v>
      </c>
      <c r="BM4" t="s">
        <v>2362</v>
      </c>
      <c r="BN4" t="s">
        <v>2362</v>
      </c>
    </row>
    <row r="5" spans="1:66" x14ac:dyDescent="0.35">
      <c r="B5" t="s">
        <v>42</v>
      </c>
      <c r="C5" t="s">
        <v>2838</v>
      </c>
      <c r="D5" t="s">
        <v>2823</v>
      </c>
      <c r="E5" t="s">
        <v>2823</v>
      </c>
      <c r="F5" t="s">
        <v>2823</v>
      </c>
      <c r="G5" t="s">
        <v>2823</v>
      </c>
      <c r="H5" t="s">
        <v>2823</v>
      </c>
      <c r="I5" t="s">
        <v>2823</v>
      </c>
      <c r="J5" t="s">
        <v>2823</v>
      </c>
      <c r="K5" t="s">
        <v>2823</v>
      </c>
      <c r="L5" t="s">
        <v>2823</v>
      </c>
      <c r="M5" t="s">
        <v>2823</v>
      </c>
      <c r="N5" t="s">
        <v>2823</v>
      </c>
      <c r="O5" t="s">
        <v>2823</v>
      </c>
      <c r="P5" t="s">
        <v>2823</v>
      </c>
      <c r="Q5" t="s">
        <v>2823</v>
      </c>
      <c r="R5" t="s">
        <v>2823</v>
      </c>
      <c r="S5" t="s">
        <v>2823</v>
      </c>
      <c r="T5" t="s">
        <v>2823</v>
      </c>
      <c r="U5" t="s">
        <v>2823</v>
      </c>
      <c r="V5" t="s">
        <v>2823</v>
      </c>
      <c r="W5" t="s">
        <v>2823</v>
      </c>
      <c r="X5" t="s">
        <v>2823</v>
      </c>
      <c r="Y5" t="s">
        <v>2823</v>
      </c>
      <c r="Z5" t="s">
        <v>2823</v>
      </c>
      <c r="AA5" t="s">
        <v>2823</v>
      </c>
      <c r="AB5" t="s">
        <v>2823</v>
      </c>
      <c r="AC5" t="s">
        <v>2823</v>
      </c>
      <c r="AD5" t="s">
        <v>2823</v>
      </c>
      <c r="AE5" t="s">
        <v>2823</v>
      </c>
      <c r="AF5" t="s">
        <v>2823</v>
      </c>
      <c r="AG5" t="s">
        <v>2823</v>
      </c>
      <c r="AH5" t="s">
        <v>2823</v>
      </c>
      <c r="AI5" t="s">
        <v>2823</v>
      </c>
      <c r="AJ5" t="s">
        <v>2823</v>
      </c>
      <c r="AK5" t="s">
        <v>2823</v>
      </c>
      <c r="AL5" t="s">
        <v>2823</v>
      </c>
      <c r="AM5" t="s">
        <v>2823</v>
      </c>
      <c r="AN5" t="s">
        <v>2823</v>
      </c>
      <c r="AO5" t="s">
        <v>2823</v>
      </c>
      <c r="AP5" t="s">
        <v>2823</v>
      </c>
      <c r="AQ5" t="s">
        <v>2823</v>
      </c>
      <c r="AR5" t="s">
        <v>2823</v>
      </c>
      <c r="AS5" t="s">
        <v>2823</v>
      </c>
      <c r="AT5" t="s">
        <v>2823</v>
      </c>
      <c r="AU5" t="s">
        <v>2823</v>
      </c>
      <c r="AV5" t="s">
        <v>2823</v>
      </c>
      <c r="AW5" t="s">
        <v>2823</v>
      </c>
      <c r="AX5" t="s">
        <v>2823</v>
      </c>
      <c r="AY5" t="s">
        <v>2823</v>
      </c>
      <c r="AZ5" t="s">
        <v>2823</v>
      </c>
      <c r="BA5" t="s">
        <v>2823</v>
      </c>
      <c r="BB5" t="s">
        <v>2823</v>
      </c>
      <c r="BC5" t="s">
        <v>2823</v>
      </c>
      <c r="BD5" t="s">
        <v>2823</v>
      </c>
      <c r="BE5" t="s">
        <v>2823</v>
      </c>
      <c r="BF5" t="s">
        <v>2823</v>
      </c>
      <c r="BG5" t="s">
        <v>2823</v>
      </c>
      <c r="BH5" t="s">
        <v>2823</v>
      </c>
      <c r="BI5" t="s">
        <v>2823</v>
      </c>
      <c r="BJ5" t="s">
        <v>2823</v>
      </c>
      <c r="BK5" t="s">
        <v>2823</v>
      </c>
      <c r="BL5" t="s">
        <v>2823</v>
      </c>
      <c r="BM5" t="s">
        <v>2823</v>
      </c>
      <c r="BN5" t="s">
        <v>2823</v>
      </c>
    </row>
    <row r="6" spans="1:66" x14ac:dyDescent="0.35">
      <c r="B6" t="s">
        <v>41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</row>
    <row r="7" spans="1:66" x14ac:dyDescent="0.35">
      <c r="B7" t="s">
        <v>40</v>
      </c>
      <c r="C7" t="s">
        <v>2837</v>
      </c>
      <c r="D7" t="s">
        <v>2839</v>
      </c>
      <c r="E7" t="s">
        <v>2832</v>
      </c>
      <c r="F7" t="s">
        <v>2832</v>
      </c>
      <c r="G7" t="s">
        <v>2832</v>
      </c>
      <c r="H7" t="s">
        <v>2832</v>
      </c>
      <c r="I7" t="s">
        <v>2832</v>
      </c>
      <c r="J7" t="s">
        <v>2832</v>
      </c>
      <c r="K7" t="s">
        <v>2832</v>
      </c>
      <c r="L7" t="s">
        <v>2832</v>
      </c>
      <c r="M7" t="s">
        <v>2832</v>
      </c>
      <c r="N7" t="s">
        <v>2832</v>
      </c>
      <c r="O7" t="s">
        <v>2832</v>
      </c>
      <c r="P7" t="s">
        <v>2832</v>
      </c>
      <c r="Q7" t="s">
        <v>2832</v>
      </c>
      <c r="R7" t="s">
        <v>2832</v>
      </c>
      <c r="S7" t="s">
        <v>2832</v>
      </c>
      <c r="T7" t="s">
        <v>2832</v>
      </c>
      <c r="U7" t="s">
        <v>2832</v>
      </c>
      <c r="V7" t="s">
        <v>2832</v>
      </c>
      <c r="W7" t="s">
        <v>2832</v>
      </c>
      <c r="X7" t="s">
        <v>2832</v>
      </c>
      <c r="Y7" t="s">
        <v>2832</v>
      </c>
      <c r="Z7" t="s">
        <v>2832</v>
      </c>
      <c r="AA7" t="s">
        <v>2832</v>
      </c>
      <c r="AB7" t="s">
        <v>2832</v>
      </c>
      <c r="AC7" t="s">
        <v>2832</v>
      </c>
      <c r="AD7" t="s">
        <v>2832</v>
      </c>
      <c r="AE7" t="s">
        <v>2832</v>
      </c>
      <c r="AF7" t="s">
        <v>2832</v>
      </c>
      <c r="AG7" t="s">
        <v>2832</v>
      </c>
      <c r="AH7" t="s">
        <v>2832</v>
      </c>
      <c r="AI7" t="s">
        <v>2832</v>
      </c>
      <c r="AJ7" t="s">
        <v>2832</v>
      </c>
      <c r="AK7" t="s">
        <v>2832</v>
      </c>
      <c r="AL7" t="s">
        <v>2832</v>
      </c>
      <c r="AM7" t="s">
        <v>2832</v>
      </c>
      <c r="AN7" t="s">
        <v>2832</v>
      </c>
      <c r="AO7" t="s">
        <v>2832</v>
      </c>
      <c r="AP7" t="s">
        <v>2832</v>
      </c>
      <c r="AQ7" t="s">
        <v>2832</v>
      </c>
      <c r="AR7" t="s">
        <v>2832</v>
      </c>
      <c r="AS7" t="s">
        <v>2832</v>
      </c>
      <c r="AT7" t="s">
        <v>2832</v>
      </c>
      <c r="AU7" t="s">
        <v>2832</v>
      </c>
      <c r="AV7" t="s">
        <v>2832</v>
      </c>
      <c r="AW7" t="s">
        <v>2832</v>
      </c>
      <c r="AX7" t="s">
        <v>2832</v>
      </c>
      <c r="AY7" t="s">
        <v>2832</v>
      </c>
      <c r="AZ7" t="s">
        <v>2832</v>
      </c>
      <c r="BA7" t="s">
        <v>2832</v>
      </c>
      <c r="BB7" t="s">
        <v>2832</v>
      </c>
      <c r="BC7" t="s">
        <v>2832</v>
      </c>
      <c r="BD7" t="s">
        <v>2832</v>
      </c>
      <c r="BE7" t="s">
        <v>2832</v>
      </c>
      <c r="BF7" t="s">
        <v>2832</v>
      </c>
      <c r="BG7" t="s">
        <v>2832</v>
      </c>
      <c r="BH7" t="s">
        <v>2832</v>
      </c>
      <c r="BI7" t="s">
        <v>2832</v>
      </c>
      <c r="BJ7" t="s">
        <v>2832</v>
      </c>
      <c r="BK7" t="s">
        <v>2832</v>
      </c>
      <c r="BL7" t="s">
        <v>2832</v>
      </c>
      <c r="BM7" t="s">
        <v>2832</v>
      </c>
      <c r="BN7" t="s">
        <v>2832</v>
      </c>
    </row>
    <row r="8" spans="1:66" x14ac:dyDescent="0.35">
      <c r="A8" s="5">
        <v>43466</v>
      </c>
      <c r="B8" t="s">
        <v>39</v>
      </c>
      <c r="C8" s="2">
        <v>0.75</v>
      </c>
      <c r="D8" s="2" t="e">
        <v>#N/A</v>
      </c>
      <c r="E8" s="3" t="e">
        <v>#N/A</v>
      </c>
      <c r="F8" s="3" t="e">
        <v>#N/A</v>
      </c>
      <c r="G8" s="3" t="e">
        <v>#N/A</v>
      </c>
      <c r="H8" s="3" t="e">
        <v>#N/A</v>
      </c>
      <c r="I8" s="3" t="e">
        <v>#N/A</v>
      </c>
      <c r="J8" s="3" t="e">
        <v>#N/A</v>
      </c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e">
        <v>#N/A</v>
      </c>
      <c r="AK8" s="3" t="e">
        <v>#N/A</v>
      </c>
      <c r="AL8" s="3" t="e">
        <v>#N/A</v>
      </c>
      <c r="AM8" s="3" t="e">
        <v>#N/A</v>
      </c>
      <c r="AN8" s="3" t="e">
        <v>#N/A</v>
      </c>
      <c r="AO8" s="3" t="e">
        <v>#N/A</v>
      </c>
      <c r="AP8" s="3" t="e">
        <v>#N/A</v>
      </c>
      <c r="AQ8" s="3" t="e">
        <v>#N/A</v>
      </c>
      <c r="AR8" s="3" t="e">
        <v>#N/A</v>
      </c>
      <c r="AS8" s="3" t="e">
        <v>#N/A</v>
      </c>
      <c r="AT8" s="3" t="e">
        <v>#N/A</v>
      </c>
      <c r="AU8" s="3" t="e">
        <v>#N/A</v>
      </c>
      <c r="AV8" s="3" t="e">
        <v>#N/A</v>
      </c>
      <c r="AW8" s="3" t="e">
        <v>#N/A</v>
      </c>
      <c r="AX8" s="3" t="e">
        <v>#N/A</v>
      </c>
      <c r="AY8" s="3" t="e">
        <v>#N/A</v>
      </c>
      <c r="AZ8" s="3" t="e">
        <v>#N/A</v>
      </c>
      <c r="BA8" s="3" t="e">
        <v>#N/A</v>
      </c>
      <c r="BB8" s="3" t="e">
        <v>#N/A</v>
      </c>
      <c r="BC8" s="3" t="e">
        <v>#N/A</v>
      </c>
      <c r="BD8" s="3" t="e">
        <v>#N/A</v>
      </c>
      <c r="BE8" s="3" t="e">
        <v>#N/A</v>
      </c>
      <c r="BF8" s="3" t="e">
        <v>#N/A</v>
      </c>
      <c r="BG8" s="3" t="e">
        <v>#N/A</v>
      </c>
      <c r="BH8" s="3" t="e">
        <v>#N/A</v>
      </c>
      <c r="BI8" s="3" t="e">
        <v>#N/A</v>
      </c>
      <c r="BJ8" s="3" t="e">
        <v>#N/A</v>
      </c>
      <c r="BK8" s="3" t="e">
        <v>#N/A</v>
      </c>
      <c r="BL8" s="3" t="e">
        <v>#N/A</v>
      </c>
      <c r="BM8" s="3" t="e">
        <v>#N/A</v>
      </c>
      <c r="BN8" s="3" t="e">
        <v>#N/A</v>
      </c>
    </row>
    <row r="9" spans="1:66" x14ac:dyDescent="0.35">
      <c r="A9" s="5">
        <v>43467</v>
      </c>
      <c r="B9" t="s">
        <v>86</v>
      </c>
      <c r="C9" s="2">
        <v>0.75</v>
      </c>
      <c r="D9" s="2">
        <v>0.70440000000000003</v>
      </c>
      <c r="E9" s="3">
        <v>0.70320369999999999</v>
      </c>
      <c r="F9" s="3">
        <v>0.70898139999999998</v>
      </c>
      <c r="G9" s="3">
        <v>0.71929779999999999</v>
      </c>
      <c r="H9" s="3">
        <v>0.73532109999999995</v>
      </c>
      <c r="I9" s="3">
        <v>0.75364580000000003</v>
      </c>
      <c r="J9" s="3">
        <v>0.77078000000000002</v>
      </c>
      <c r="K9" s="3">
        <v>0.78540650000000001</v>
      </c>
      <c r="L9" s="3">
        <v>0.79813279999999998</v>
      </c>
      <c r="M9" s="3">
        <v>0.80985289999999999</v>
      </c>
      <c r="N9" s="3">
        <v>0.82098150000000003</v>
      </c>
      <c r="O9" s="3">
        <v>0.8316713</v>
      </c>
      <c r="P9" s="3">
        <v>0.84189979999999998</v>
      </c>
      <c r="Q9" s="3">
        <v>0.85155800000000004</v>
      </c>
      <c r="R9" s="3">
        <v>0.86067680000000002</v>
      </c>
      <c r="S9" s="3">
        <v>0.86932730000000003</v>
      </c>
      <c r="T9" s="3">
        <v>0.8775809</v>
      </c>
      <c r="U9" s="3">
        <v>0.88550870000000004</v>
      </c>
      <c r="V9" s="3">
        <v>0.89318200000000003</v>
      </c>
      <c r="W9" s="3">
        <v>0.90066690000000005</v>
      </c>
      <c r="X9" s="3">
        <v>0.90801010000000004</v>
      </c>
      <c r="Y9" s="3">
        <v>0.91525369999999995</v>
      </c>
      <c r="Z9" s="3">
        <v>0.92243989999999998</v>
      </c>
      <c r="AA9" s="3">
        <v>0.92961070000000001</v>
      </c>
      <c r="AB9" s="3">
        <v>0.93680839999999999</v>
      </c>
      <c r="AC9" s="3">
        <v>0.94406690000000004</v>
      </c>
      <c r="AD9" s="3">
        <v>0.95137689999999997</v>
      </c>
      <c r="AE9" s="3">
        <v>0.95871439999999997</v>
      </c>
      <c r="AF9" s="3">
        <v>0.96605560000000001</v>
      </c>
      <c r="AG9" s="3">
        <v>0.97337649999999998</v>
      </c>
      <c r="AH9" s="3">
        <v>0.9806532</v>
      </c>
      <c r="AI9" s="3">
        <v>0.98786169999999995</v>
      </c>
      <c r="AJ9" s="3">
        <v>0.99497820000000003</v>
      </c>
      <c r="AK9" s="3">
        <v>1.0019787</v>
      </c>
      <c r="AL9" s="3">
        <v>1.0088393</v>
      </c>
      <c r="AM9" s="3">
        <v>1.0155361000000001</v>
      </c>
      <c r="AN9" s="3">
        <v>1.0220450000000001</v>
      </c>
      <c r="AO9" s="3">
        <v>1.0283462000000001</v>
      </c>
      <c r="AP9" s="3">
        <v>1.0344397000000001</v>
      </c>
      <c r="AQ9" s="3">
        <v>1.0403331</v>
      </c>
      <c r="AR9" s="3">
        <v>1.0460334</v>
      </c>
      <c r="AS9" s="3">
        <v>1.0515479000000001</v>
      </c>
      <c r="AT9" s="3">
        <v>1.0568839000000001</v>
      </c>
      <c r="AU9" s="3">
        <v>1.0620486</v>
      </c>
      <c r="AV9" s="3">
        <v>1.0670493000000001</v>
      </c>
      <c r="AW9" s="3">
        <v>1.0718931</v>
      </c>
      <c r="AX9" s="3">
        <v>1.0765875</v>
      </c>
      <c r="AY9" s="3">
        <v>1.0811394999999999</v>
      </c>
      <c r="AZ9" s="3">
        <v>1.0855565</v>
      </c>
      <c r="BA9" s="3">
        <v>1.0898463</v>
      </c>
      <c r="BB9" s="3">
        <v>1.0940202000000001</v>
      </c>
      <c r="BC9" s="3">
        <v>1.0980905000000001</v>
      </c>
      <c r="BD9" s="3">
        <v>1.1020692000000001</v>
      </c>
      <c r="BE9" s="3">
        <v>1.1059688000000001</v>
      </c>
      <c r="BF9" s="3">
        <v>1.1098013</v>
      </c>
      <c r="BG9" s="3">
        <v>1.1135790000000001</v>
      </c>
      <c r="BH9" s="3">
        <v>1.1173141</v>
      </c>
      <c r="BI9" s="3">
        <v>1.1210188999999999</v>
      </c>
      <c r="BJ9" s="3">
        <v>1.1247056</v>
      </c>
      <c r="BK9" s="3">
        <v>1.1283863999999999</v>
      </c>
      <c r="BL9" s="3">
        <v>1.1320733999999999</v>
      </c>
      <c r="BM9" s="3" t="e">
        <v>#N/A</v>
      </c>
      <c r="BN9" s="3" t="e">
        <v>#N/A</v>
      </c>
    </row>
    <row r="10" spans="1:66" x14ac:dyDescent="0.35">
      <c r="A10" s="5">
        <v>43468</v>
      </c>
      <c r="B10" t="s">
        <v>87</v>
      </c>
      <c r="C10" s="2">
        <v>0.75</v>
      </c>
      <c r="D10" s="2">
        <v>0.70479999999999998</v>
      </c>
      <c r="E10" s="3">
        <v>0.70299769999999995</v>
      </c>
      <c r="F10" s="3">
        <v>0.71346489999999996</v>
      </c>
      <c r="G10" s="3">
        <v>0.72209190000000001</v>
      </c>
      <c r="H10" s="3">
        <v>0.73124840000000002</v>
      </c>
      <c r="I10" s="3">
        <v>0.74115839999999999</v>
      </c>
      <c r="J10" s="3">
        <v>0.75025920000000001</v>
      </c>
      <c r="K10" s="3">
        <v>0.75846579999999997</v>
      </c>
      <c r="L10" s="3">
        <v>0.76697579999999999</v>
      </c>
      <c r="M10" s="3">
        <v>0.77711580000000002</v>
      </c>
      <c r="N10" s="3">
        <v>0.78949510000000001</v>
      </c>
      <c r="O10" s="3">
        <v>0.80385930000000005</v>
      </c>
      <c r="P10" s="3">
        <v>0.81942459999999995</v>
      </c>
      <c r="Q10" s="3">
        <v>0.83499950000000001</v>
      </c>
      <c r="R10" s="3">
        <v>0.85004250000000003</v>
      </c>
      <c r="S10" s="3">
        <v>0.86420629999999998</v>
      </c>
      <c r="T10" s="3">
        <v>0.87714349999999996</v>
      </c>
      <c r="U10" s="3">
        <v>0.88850680000000004</v>
      </c>
      <c r="V10" s="3">
        <v>0.89794890000000005</v>
      </c>
      <c r="W10" s="3">
        <v>0.90526079999999998</v>
      </c>
      <c r="X10" s="3">
        <v>0.91076000000000001</v>
      </c>
      <c r="Y10" s="3">
        <v>0.91488919999999996</v>
      </c>
      <c r="Z10" s="3">
        <v>0.91809130000000005</v>
      </c>
      <c r="AA10" s="3">
        <v>0.92080890000000004</v>
      </c>
      <c r="AB10" s="3">
        <v>0.92348509999999995</v>
      </c>
      <c r="AC10" s="3">
        <v>0.92649879999999996</v>
      </c>
      <c r="AD10" s="3">
        <v>0.92991950000000001</v>
      </c>
      <c r="AE10" s="3">
        <v>0.9337221</v>
      </c>
      <c r="AF10" s="3">
        <v>0.93788159999999998</v>
      </c>
      <c r="AG10" s="3">
        <v>0.94237309999999996</v>
      </c>
      <c r="AH10" s="3">
        <v>0.9471714</v>
      </c>
      <c r="AI10" s="3">
        <v>0.95225159999999998</v>
      </c>
      <c r="AJ10" s="3">
        <v>0.95758869999999996</v>
      </c>
      <c r="AK10" s="3">
        <v>0.96315759999999995</v>
      </c>
      <c r="AL10" s="3">
        <v>0.96893339999999994</v>
      </c>
      <c r="AM10" s="3">
        <v>0.97489099999999995</v>
      </c>
      <c r="AN10" s="3">
        <v>0.98100540000000003</v>
      </c>
      <c r="AO10" s="3">
        <v>0.9872514</v>
      </c>
      <c r="AP10" s="3">
        <v>0.99360230000000005</v>
      </c>
      <c r="AQ10" s="3">
        <v>1.0000313000000001</v>
      </c>
      <c r="AR10" s="3">
        <v>1.0065113999999999</v>
      </c>
      <c r="AS10" s="3">
        <v>1.0130157</v>
      </c>
      <c r="AT10" s="3">
        <v>1.0195173</v>
      </c>
      <c r="AU10" s="3">
        <v>1.0259891999999999</v>
      </c>
      <c r="AV10" s="3">
        <v>1.0324044999999999</v>
      </c>
      <c r="AW10" s="3">
        <v>1.0387362</v>
      </c>
      <c r="AX10" s="3">
        <v>1.0449575</v>
      </c>
      <c r="AY10" s="3">
        <v>1.0510413999999999</v>
      </c>
      <c r="AZ10" s="3">
        <v>1.0569609</v>
      </c>
      <c r="BA10" s="3">
        <v>1.0626951</v>
      </c>
      <c r="BB10" s="3">
        <v>1.0682488999999999</v>
      </c>
      <c r="BC10" s="3">
        <v>1.0736345</v>
      </c>
      <c r="BD10" s="3">
        <v>1.0788641000000001</v>
      </c>
      <c r="BE10" s="3">
        <v>1.0839498000000001</v>
      </c>
      <c r="BF10" s="3">
        <v>1.0889038</v>
      </c>
      <c r="BG10" s="3">
        <v>1.0937383000000001</v>
      </c>
      <c r="BH10" s="3">
        <v>1.0984655000000001</v>
      </c>
      <c r="BI10" s="3">
        <v>1.1030975000000001</v>
      </c>
      <c r="BJ10" s="3">
        <v>1.1076466</v>
      </c>
      <c r="BK10" s="3">
        <v>1.1121247999999999</v>
      </c>
      <c r="BL10" s="3">
        <v>1.1165444</v>
      </c>
      <c r="BM10" s="3" t="e">
        <v>#N/A</v>
      </c>
      <c r="BN10" s="3" t="e">
        <v>#N/A</v>
      </c>
    </row>
    <row r="11" spans="1:66" x14ac:dyDescent="0.35">
      <c r="A11" s="5">
        <v>43469</v>
      </c>
      <c r="B11" t="s">
        <v>88</v>
      </c>
      <c r="C11" s="2">
        <v>0.75</v>
      </c>
      <c r="D11" s="2">
        <v>0.7046</v>
      </c>
      <c r="E11" s="3">
        <v>0.69924010000000003</v>
      </c>
      <c r="F11" s="3">
        <v>0.70907640000000005</v>
      </c>
      <c r="G11" s="3">
        <v>0.72181470000000003</v>
      </c>
      <c r="H11" s="3">
        <v>0.73808870000000004</v>
      </c>
      <c r="I11" s="3">
        <v>0.75605359999999999</v>
      </c>
      <c r="J11" s="3">
        <v>0.77314039999999995</v>
      </c>
      <c r="K11" s="3">
        <v>0.78873579999999999</v>
      </c>
      <c r="L11" s="3">
        <v>0.80292699999999995</v>
      </c>
      <c r="M11" s="3">
        <v>0.81630369999999997</v>
      </c>
      <c r="N11" s="3">
        <v>0.82952009999999998</v>
      </c>
      <c r="O11" s="3">
        <v>0.84248279999999998</v>
      </c>
      <c r="P11" s="3">
        <v>0.8548654</v>
      </c>
      <c r="Q11" s="3">
        <v>0.86615200000000003</v>
      </c>
      <c r="R11" s="3">
        <v>0.87635470000000004</v>
      </c>
      <c r="S11" s="3">
        <v>0.8856695</v>
      </c>
      <c r="T11" s="3">
        <v>0.89429239999999999</v>
      </c>
      <c r="U11" s="3">
        <v>0.90241930000000004</v>
      </c>
      <c r="V11" s="3">
        <v>0.91024620000000001</v>
      </c>
      <c r="W11" s="3">
        <v>0.91794690000000001</v>
      </c>
      <c r="X11" s="3">
        <v>0.92559219999999998</v>
      </c>
      <c r="Y11" s="3">
        <v>0.93322300000000002</v>
      </c>
      <c r="Z11" s="3">
        <v>0.94088000000000005</v>
      </c>
      <c r="AA11" s="3">
        <v>0.94860440000000001</v>
      </c>
      <c r="AB11" s="3">
        <v>0.95643690000000003</v>
      </c>
      <c r="AC11" s="3">
        <v>0.96440780000000004</v>
      </c>
      <c r="AD11" s="3">
        <v>0.97250040000000004</v>
      </c>
      <c r="AE11" s="3">
        <v>0.98068520000000003</v>
      </c>
      <c r="AF11" s="3">
        <v>0.98893260000000005</v>
      </c>
      <c r="AG11" s="3">
        <v>0.99721280000000001</v>
      </c>
      <c r="AH11" s="3">
        <v>1.0054964</v>
      </c>
      <c r="AI11" s="3">
        <v>1.0137537000000001</v>
      </c>
      <c r="AJ11" s="3">
        <v>1.0219549999999999</v>
      </c>
      <c r="AK11" s="3">
        <v>1.0300708999999999</v>
      </c>
      <c r="AL11" s="3">
        <v>1.0380716000000001</v>
      </c>
      <c r="AM11" s="3">
        <v>1.0459276</v>
      </c>
      <c r="AN11" s="3">
        <v>1.0536093</v>
      </c>
      <c r="AO11" s="3">
        <v>1.0610922</v>
      </c>
      <c r="AP11" s="3">
        <v>1.0683756</v>
      </c>
      <c r="AQ11" s="3">
        <v>1.0754646999999999</v>
      </c>
      <c r="AR11" s="3">
        <v>1.0823651999999999</v>
      </c>
      <c r="AS11" s="3">
        <v>1.0890823999999999</v>
      </c>
      <c r="AT11" s="3">
        <v>1.0956218</v>
      </c>
      <c r="AU11" s="3">
        <v>1.1019889</v>
      </c>
      <c r="AV11" s="3">
        <v>1.1081892</v>
      </c>
      <c r="AW11" s="3">
        <v>1.1142281000000001</v>
      </c>
      <c r="AX11" s="3">
        <v>1.1201110999999999</v>
      </c>
      <c r="AY11" s="3">
        <v>1.1258436000000001</v>
      </c>
      <c r="AZ11" s="3">
        <v>1.1314312</v>
      </c>
      <c r="BA11" s="3">
        <v>1.1368796999999999</v>
      </c>
      <c r="BB11" s="3">
        <v>1.1421971</v>
      </c>
      <c r="BC11" s="3">
        <v>1.1473918999999999</v>
      </c>
      <c r="BD11" s="3">
        <v>1.1524728</v>
      </c>
      <c r="BE11" s="3">
        <v>1.1574481000000001</v>
      </c>
      <c r="BF11" s="3">
        <v>1.1623265</v>
      </c>
      <c r="BG11" s="3">
        <v>1.1671164999999999</v>
      </c>
      <c r="BH11" s="3">
        <v>1.1718265000000001</v>
      </c>
      <c r="BI11" s="3">
        <v>1.1764652</v>
      </c>
      <c r="BJ11" s="3">
        <v>1.1810411000000001</v>
      </c>
      <c r="BK11" s="3">
        <v>1.1855625999999999</v>
      </c>
      <c r="BL11" s="3">
        <v>1.1900383999999999</v>
      </c>
      <c r="BM11" s="3" t="e">
        <v>#N/A</v>
      </c>
      <c r="BN11" s="3" t="e">
        <v>#N/A</v>
      </c>
    </row>
    <row r="12" spans="1:66" x14ac:dyDescent="0.35">
      <c r="A12" s="5">
        <v>43472</v>
      </c>
      <c r="B12" t="s">
        <v>89</v>
      </c>
      <c r="C12" s="2">
        <v>0.75</v>
      </c>
      <c r="D12" s="2">
        <v>0.70520000000000005</v>
      </c>
      <c r="E12" s="3">
        <v>0.70218219999999998</v>
      </c>
      <c r="F12" s="3">
        <v>0.70857780000000004</v>
      </c>
      <c r="G12" s="3">
        <v>0.71764640000000002</v>
      </c>
      <c r="H12" s="3">
        <v>0.7311107</v>
      </c>
      <c r="I12" s="3">
        <v>0.74765239999999999</v>
      </c>
      <c r="J12" s="3">
        <v>0.76554770000000005</v>
      </c>
      <c r="K12" s="3">
        <v>0.78330809999999995</v>
      </c>
      <c r="L12" s="3">
        <v>0.79970560000000002</v>
      </c>
      <c r="M12" s="3">
        <v>0.81425449999999999</v>
      </c>
      <c r="N12" s="3">
        <v>0.82727660000000003</v>
      </c>
      <c r="O12" s="3">
        <v>0.83919770000000005</v>
      </c>
      <c r="P12" s="3">
        <v>0.85037470000000004</v>
      </c>
      <c r="Q12" s="3">
        <v>0.86107670000000003</v>
      </c>
      <c r="R12" s="3">
        <v>0.8713862</v>
      </c>
      <c r="S12" s="3">
        <v>0.8813415</v>
      </c>
      <c r="T12" s="3">
        <v>0.89098109999999997</v>
      </c>
      <c r="U12" s="3">
        <v>0.90034329999999996</v>
      </c>
      <c r="V12" s="3">
        <v>0.90946640000000001</v>
      </c>
      <c r="W12" s="3">
        <v>0.91838500000000001</v>
      </c>
      <c r="X12" s="3">
        <v>0.92711849999999996</v>
      </c>
      <c r="Y12" s="3">
        <v>0.9356833</v>
      </c>
      <c r="Z12" s="3">
        <v>0.94409509999999996</v>
      </c>
      <c r="AA12" s="3">
        <v>0.9523703</v>
      </c>
      <c r="AB12" s="3">
        <v>0.96052479999999996</v>
      </c>
      <c r="AC12" s="3">
        <v>0.96857150000000003</v>
      </c>
      <c r="AD12" s="3">
        <v>0.9765085</v>
      </c>
      <c r="AE12" s="3">
        <v>0.98433000000000004</v>
      </c>
      <c r="AF12" s="3">
        <v>0.99203019999999997</v>
      </c>
      <c r="AG12" s="3">
        <v>0.99960340000000003</v>
      </c>
      <c r="AH12" s="3">
        <v>1.0070436</v>
      </c>
      <c r="AI12" s="3">
        <v>1.0143451999999999</v>
      </c>
      <c r="AJ12" s="3">
        <v>1.0215022</v>
      </c>
      <c r="AK12" s="3">
        <v>1.0285089999999999</v>
      </c>
      <c r="AL12" s="3">
        <v>1.0353596</v>
      </c>
      <c r="AM12" s="3">
        <v>1.0420483</v>
      </c>
      <c r="AN12" s="3">
        <v>1.0485693</v>
      </c>
      <c r="AO12" s="3">
        <v>1.0549189999999999</v>
      </c>
      <c r="AP12" s="3">
        <v>1.061104</v>
      </c>
      <c r="AQ12" s="3">
        <v>1.0671333999999999</v>
      </c>
      <c r="AR12" s="3">
        <v>1.0730166999999999</v>
      </c>
      <c r="AS12" s="3">
        <v>1.0787629999999999</v>
      </c>
      <c r="AT12" s="3">
        <v>1.0843817</v>
      </c>
      <c r="AU12" s="3">
        <v>1.0898819</v>
      </c>
      <c r="AV12" s="3">
        <v>1.0952731</v>
      </c>
      <c r="AW12" s="3">
        <v>1.1005644000000001</v>
      </c>
      <c r="AX12" s="3">
        <v>1.1057650999999999</v>
      </c>
      <c r="AY12" s="3">
        <v>1.1108846000000001</v>
      </c>
      <c r="AZ12" s="3">
        <v>1.1159319999999999</v>
      </c>
      <c r="BA12" s="3">
        <v>1.1209161000000001</v>
      </c>
      <c r="BB12" s="3">
        <v>1.1258429000000001</v>
      </c>
      <c r="BC12" s="3">
        <v>1.1307171</v>
      </c>
      <c r="BD12" s="3">
        <v>1.1355436999999999</v>
      </c>
      <c r="BE12" s="3">
        <v>1.1403274999999999</v>
      </c>
      <c r="BF12" s="3">
        <v>1.1450735000000001</v>
      </c>
      <c r="BG12" s="3">
        <v>1.1497865</v>
      </c>
      <c r="BH12" s="3">
        <v>1.1544715000000001</v>
      </c>
      <c r="BI12" s="3">
        <v>1.1591332999999999</v>
      </c>
      <c r="BJ12" s="3">
        <v>1.1637767999999999</v>
      </c>
      <c r="BK12" s="3">
        <v>1.168407</v>
      </c>
      <c r="BL12" s="3">
        <v>1.1730286000000001</v>
      </c>
      <c r="BM12" s="3" t="e">
        <v>#N/A</v>
      </c>
      <c r="BN12" s="3" t="e">
        <v>#N/A</v>
      </c>
    </row>
    <row r="13" spans="1:66" x14ac:dyDescent="0.35">
      <c r="A13" s="5">
        <f>+A8+7</f>
        <v>43473</v>
      </c>
      <c r="B13" t="s">
        <v>90</v>
      </c>
      <c r="C13" s="2">
        <v>0.75</v>
      </c>
      <c r="D13" s="2">
        <v>0.70520000000000005</v>
      </c>
      <c r="E13" s="3">
        <v>0.70601080000000005</v>
      </c>
      <c r="F13" s="3">
        <v>0.71918599999999999</v>
      </c>
      <c r="G13" s="3">
        <v>0.73305120000000001</v>
      </c>
      <c r="H13" s="3">
        <v>0.74758040000000003</v>
      </c>
      <c r="I13" s="3">
        <v>0.76224570000000003</v>
      </c>
      <c r="J13" s="3">
        <v>0.77590239999999999</v>
      </c>
      <c r="K13" s="3">
        <v>0.78851079999999996</v>
      </c>
      <c r="L13" s="3">
        <v>0.80098000000000003</v>
      </c>
      <c r="M13" s="3">
        <v>0.81418199999999996</v>
      </c>
      <c r="N13" s="3">
        <v>0.82845880000000005</v>
      </c>
      <c r="O13" s="3">
        <v>0.84367170000000002</v>
      </c>
      <c r="P13" s="3">
        <v>0.85937479999999999</v>
      </c>
      <c r="Q13" s="3">
        <v>0.87473400000000001</v>
      </c>
      <c r="R13" s="3">
        <v>0.88950479999999998</v>
      </c>
      <c r="S13" s="3">
        <v>0.90362569999999998</v>
      </c>
      <c r="T13" s="3">
        <v>0.9170353</v>
      </c>
      <c r="U13" s="3">
        <v>0.9296721</v>
      </c>
      <c r="V13" s="3">
        <v>0.94147479999999995</v>
      </c>
      <c r="W13" s="3">
        <v>0.95240910000000001</v>
      </c>
      <c r="X13" s="3">
        <v>0.96254459999999997</v>
      </c>
      <c r="Y13" s="3">
        <v>0.97197529999999999</v>
      </c>
      <c r="Z13" s="3">
        <v>0.98079539999999998</v>
      </c>
      <c r="AA13" s="3">
        <v>0.98909919999999996</v>
      </c>
      <c r="AB13" s="3">
        <v>0.99698070000000005</v>
      </c>
      <c r="AC13" s="3">
        <v>1.0045230000000001</v>
      </c>
      <c r="AD13" s="3">
        <v>1.0117592</v>
      </c>
      <c r="AE13" s="3">
        <v>1.0187092</v>
      </c>
      <c r="AF13" s="3">
        <v>1.0253924999999999</v>
      </c>
      <c r="AG13" s="3">
        <v>1.0318288</v>
      </c>
      <c r="AH13" s="3">
        <v>1.0380377999999999</v>
      </c>
      <c r="AI13" s="3">
        <v>1.0440391</v>
      </c>
      <c r="AJ13" s="3">
        <v>1.0498523</v>
      </c>
      <c r="AK13" s="3">
        <v>1.0554972</v>
      </c>
      <c r="AL13" s="3">
        <v>1.0609933</v>
      </c>
      <c r="AM13" s="3">
        <v>1.0663604</v>
      </c>
      <c r="AN13" s="3">
        <v>1.071618</v>
      </c>
      <c r="AO13" s="3">
        <v>1.0767842000000001</v>
      </c>
      <c r="AP13" s="3">
        <v>1.0818681000000001</v>
      </c>
      <c r="AQ13" s="3">
        <v>1.0868758999999999</v>
      </c>
      <c r="AR13" s="3">
        <v>1.0918136000000001</v>
      </c>
      <c r="AS13" s="3">
        <v>1.0966875</v>
      </c>
      <c r="AT13" s="3">
        <v>1.1015036</v>
      </c>
      <c r="AU13" s="3">
        <v>1.1062681999999999</v>
      </c>
      <c r="AV13" s="3">
        <v>1.1109872999999999</v>
      </c>
      <c r="AW13" s="3">
        <v>1.115667</v>
      </c>
      <c r="AX13" s="3">
        <v>1.1203136</v>
      </c>
      <c r="AY13" s="3">
        <v>1.1249332000000001</v>
      </c>
      <c r="AZ13" s="3">
        <v>1.1295318999999999</v>
      </c>
      <c r="BA13" s="3">
        <v>1.1341152999999999</v>
      </c>
      <c r="BB13" s="3">
        <v>1.1386868999999999</v>
      </c>
      <c r="BC13" s="3">
        <v>1.1432491</v>
      </c>
      <c r="BD13" s="3">
        <v>1.1478046</v>
      </c>
      <c r="BE13" s="3">
        <v>1.1523559999999999</v>
      </c>
      <c r="BF13" s="3">
        <v>1.1569058000000001</v>
      </c>
      <c r="BG13" s="3">
        <v>1.1614568000000001</v>
      </c>
      <c r="BH13" s="3">
        <v>1.1660113999999999</v>
      </c>
      <c r="BI13" s="3">
        <v>1.1705722999999999</v>
      </c>
      <c r="BJ13" s="3">
        <v>1.1751422</v>
      </c>
      <c r="BK13" s="3">
        <v>1.1797234999999999</v>
      </c>
      <c r="BL13" s="3">
        <v>1.1843189000000001</v>
      </c>
      <c r="BM13" s="3" t="e">
        <v>#N/A</v>
      </c>
      <c r="BN13" s="3" t="e">
        <v>#N/A</v>
      </c>
    </row>
    <row r="14" spans="1:66" x14ac:dyDescent="0.35">
      <c r="A14" s="5">
        <f t="shared" ref="A14:A77" si="0">+A9+7</f>
        <v>43474</v>
      </c>
      <c r="B14" t="s">
        <v>91</v>
      </c>
      <c r="C14" s="2">
        <v>0.75</v>
      </c>
      <c r="D14" s="2">
        <v>0.70630000000000004</v>
      </c>
      <c r="E14" s="3">
        <v>0.7100109</v>
      </c>
      <c r="F14" s="3">
        <v>0.71784800000000004</v>
      </c>
      <c r="G14" s="3">
        <v>0.73089309999999996</v>
      </c>
      <c r="H14" s="3">
        <v>0.74824900000000005</v>
      </c>
      <c r="I14" s="3">
        <v>0.76759849999999996</v>
      </c>
      <c r="J14" s="3">
        <v>0.7857248</v>
      </c>
      <c r="K14" s="3">
        <v>0.80118929999999999</v>
      </c>
      <c r="L14" s="3">
        <v>0.81488170000000004</v>
      </c>
      <c r="M14" s="3">
        <v>0.82813239999999999</v>
      </c>
      <c r="N14" s="3">
        <v>0.8417694</v>
      </c>
      <c r="O14" s="3">
        <v>0.85596729999999999</v>
      </c>
      <c r="P14" s="3">
        <v>0.87049750000000004</v>
      </c>
      <c r="Q14" s="3">
        <v>0.88469810000000004</v>
      </c>
      <c r="R14" s="3">
        <v>0.89832259999999997</v>
      </c>
      <c r="S14" s="3">
        <v>0.91125900000000004</v>
      </c>
      <c r="T14" s="3">
        <v>0.92339530000000003</v>
      </c>
      <c r="U14" s="3">
        <v>0.93461970000000005</v>
      </c>
      <c r="V14" s="3">
        <v>0.9448202</v>
      </c>
      <c r="W14" s="3">
        <v>0.95393589999999995</v>
      </c>
      <c r="X14" s="3">
        <v>0.96210030000000002</v>
      </c>
      <c r="Y14" s="3">
        <v>0.9694933</v>
      </c>
      <c r="Z14" s="3">
        <v>0.97629440000000001</v>
      </c>
      <c r="AA14" s="3">
        <v>0.98268339999999998</v>
      </c>
      <c r="AB14" s="3">
        <v>0.9888401</v>
      </c>
      <c r="AC14" s="3">
        <v>0.99492159999999996</v>
      </c>
      <c r="AD14" s="3">
        <v>1.0009637</v>
      </c>
      <c r="AE14" s="3">
        <v>1.0069611999999999</v>
      </c>
      <c r="AF14" s="3">
        <v>1.0129090000000001</v>
      </c>
      <c r="AG14" s="3">
        <v>1.0188021</v>
      </c>
      <c r="AH14" s="3">
        <v>1.0246352999999999</v>
      </c>
      <c r="AI14" s="3">
        <v>1.0304035</v>
      </c>
      <c r="AJ14" s="3">
        <v>1.0361016999999999</v>
      </c>
      <c r="AK14" s="3">
        <v>1.0417247000000001</v>
      </c>
      <c r="AL14" s="3">
        <v>1.0472674</v>
      </c>
      <c r="AM14" s="3">
        <v>1.0527248</v>
      </c>
      <c r="AN14" s="3">
        <v>1.0580916</v>
      </c>
      <c r="AO14" s="3">
        <v>1.063364</v>
      </c>
      <c r="AP14" s="3">
        <v>1.0685431000000001</v>
      </c>
      <c r="AQ14" s="3">
        <v>1.0736317</v>
      </c>
      <c r="AR14" s="3">
        <v>1.0786324</v>
      </c>
      <c r="AS14" s="3">
        <v>1.0835482000000001</v>
      </c>
      <c r="AT14" s="3">
        <v>1.0883818000000001</v>
      </c>
      <c r="AU14" s="3">
        <v>1.0931359</v>
      </c>
      <c r="AV14" s="3">
        <v>1.0978133000000001</v>
      </c>
      <c r="AW14" s="3">
        <v>1.1024168999999999</v>
      </c>
      <c r="AX14" s="3">
        <v>1.1069492999999999</v>
      </c>
      <c r="AY14" s="3">
        <v>1.1114132999999999</v>
      </c>
      <c r="AZ14" s="3">
        <v>1.1158117999999999</v>
      </c>
      <c r="BA14" s="3">
        <v>1.1201479999999999</v>
      </c>
      <c r="BB14" s="3">
        <v>1.124428</v>
      </c>
      <c r="BC14" s="3">
        <v>1.1286582000000001</v>
      </c>
      <c r="BD14" s="3">
        <v>1.1328454999999999</v>
      </c>
      <c r="BE14" s="3">
        <v>1.1369963000000001</v>
      </c>
      <c r="BF14" s="3">
        <v>1.1411172999999999</v>
      </c>
      <c r="BG14" s="3">
        <v>1.1452152</v>
      </c>
      <c r="BH14" s="3">
        <v>1.1492964999999999</v>
      </c>
      <c r="BI14" s="3">
        <v>1.1533679999999999</v>
      </c>
      <c r="BJ14" s="3">
        <v>1.1574362</v>
      </c>
      <c r="BK14" s="3">
        <v>1.1615078000000001</v>
      </c>
      <c r="BL14" s="3">
        <v>1.1655892999999999</v>
      </c>
      <c r="BM14" s="3" t="e">
        <v>#N/A</v>
      </c>
      <c r="BN14" s="3" t="e">
        <v>#N/A</v>
      </c>
    </row>
    <row r="15" spans="1:66" x14ac:dyDescent="0.35">
      <c r="A15" s="5">
        <f t="shared" si="0"/>
        <v>43475</v>
      </c>
      <c r="B15" t="s">
        <v>92</v>
      </c>
      <c r="C15" s="2">
        <v>0.75</v>
      </c>
      <c r="D15" s="2">
        <v>0.70669999999999999</v>
      </c>
      <c r="E15" s="3">
        <v>0.70924290000000001</v>
      </c>
      <c r="F15" s="3">
        <v>0.71519940000000004</v>
      </c>
      <c r="G15" s="3">
        <v>0.73075259999999997</v>
      </c>
      <c r="H15" s="3">
        <v>0.75384030000000002</v>
      </c>
      <c r="I15" s="3">
        <v>0.778424</v>
      </c>
      <c r="J15" s="3">
        <v>0.80039830000000001</v>
      </c>
      <c r="K15" s="3">
        <v>0.81894460000000002</v>
      </c>
      <c r="L15" s="3">
        <v>0.83507390000000004</v>
      </c>
      <c r="M15" s="3">
        <v>0.85001059999999995</v>
      </c>
      <c r="N15" s="3">
        <v>0.86450000000000005</v>
      </c>
      <c r="O15" s="3">
        <v>0.87883739999999999</v>
      </c>
      <c r="P15" s="3">
        <v>0.89303319999999997</v>
      </c>
      <c r="Q15" s="3">
        <v>0.90680550000000004</v>
      </c>
      <c r="R15" s="3">
        <v>0.92006909999999997</v>
      </c>
      <c r="S15" s="3">
        <v>0.93280770000000002</v>
      </c>
      <c r="T15" s="3">
        <v>0.94500459999999997</v>
      </c>
      <c r="U15" s="3">
        <v>0.95664349999999998</v>
      </c>
      <c r="V15" s="3">
        <v>0.96770780000000001</v>
      </c>
      <c r="W15" s="3">
        <v>0.97818859999999996</v>
      </c>
      <c r="X15" s="3">
        <v>0.98810600000000004</v>
      </c>
      <c r="Y15" s="3">
        <v>0.99748700000000001</v>
      </c>
      <c r="Z15" s="3">
        <v>1.0063584000000001</v>
      </c>
      <c r="AA15" s="3">
        <v>1.0147473</v>
      </c>
      <c r="AB15" s="3">
        <v>1.0226804</v>
      </c>
      <c r="AC15" s="3">
        <v>1.0301848</v>
      </c>
      <c r="AD15" s="3">
        <v>1.0372869</v>
      </c>
      <c r="AE15" s="3">
        <v>1.0440130999999999</v>
      </c>
      <c r="AF15" s="3">
        <v>1.0503898</v>
      </c>
      <c r="AG15" s="3">
        <v>1.0564435000000001</v>
      </c>
      <c r="AH15" s="3">
        <v>1.0622005999999999</v>
      </c>
      <c r="AI15" s="3">
        <v>1.0676874000000001</v>
      </c>
      <c r="AJ15" s="3">
        <v>1.0729305</v>
      </c>
      <c r="AK15" s="3">
        <v>1.0779561</v>
      </c>
      <c r="AL15" s="3">
        <v>1.0827907000000001</v>
      </c>
      <c r="AM15" s="3">
        <v>1.0874607999999999</v>
      </c>
      <c r="AN15" s="3">
        <v>1.0919927</v>
      </c>
      <c r="AO15" s="3">
        <v>1.0964103000000001</v>
      </c>
      <c r="AP15" s="3">
        <v>1.1007264000000001</v>
      </c>
      <c r="AQ15" s="3">
        <v>1.1049507999999999</v>
      </c>
      <c r="AR15" s="3">
        <v>1.1090930999999999</v>
      </c>
      <c r="AS15" s="3">
        <v>1.1131629999999999</v>
      </c>
      <c r="AT15" s="3">
        <v>1.1171702999999999</v>
      </c>
      <c r="AU15" s="3">
        <v>1.1211245999999999</v>
      </c>
      <c r="AV15" s="3">
        <v>1.1250358</v>
      </c>
      <c r="AW15" s="3">
        <v>1.1289134000000001</v>
      </c>
      <c r="AX15" s="3">
        <v>1.1327672</v>
      </c>
      <c r="AY15" s="3">
        <v>1.1366069000000001</v>
      </c>
      <c r="AZ15" s="3">
        <v>1.1404422999999999</v>
      </c>
      <c r="BA15" s="3">
        <v>1.1442817999999999</v>
      </c>
      <c r="BB15" s="3">
        <v>1.1481288999999999</v>
      </c>
      <c r="BC15" s="3">
        <v>1.1519853</v>
      </c>
      <c r="BD15" s="3">
        <v>1.1558531000000001</v>
      </c>
      <c r="BE15" s="3">
        <v>1.1597341999999999</v>
      </c>
      <c r="BF15" s="3">
        <v>1.1636304</v>
      </c>
      <c r="BG15" s="3">
        <v>1.1675437</v>
      </c>
      <c r="BH15" s="3">
        <v>1.1714761</v>
      </c>
      <c r="BI15" s="3">
        <v>1.1754294000000001</v>
      </c>
      <c r="BJ15" s="3">
        <v>1.1794055000000001</v>
      </c>
      <c r="BK15" s="3">
        <v>1.1834064</v>
      </c>
      <c r="BL15" s="3">
        <v>1.1874339</v>
      </c>
      <c r="BM15" s="3" t="e">
        <v>#N/A</v>
      </c>
      <c r="BN15" s="3" t="e">
        <v>#N/A</v>
      </c>
    </row>
    <row r="16" spans="1:66" x14ac:dyDescent="0.35">
      <c r="A16" s="5">
        <f t="shared" si="0"/>
        <v>43476</v>
      </c>
      <c r="B16" t="s">
        <v>93</v>
      </c>
      <c r="C16" s="2">
        <v>0.75</v>
      </c>
      <c r="D16" s="2">
        <v>0.70720000000000005</v>
      </c>
      <c r="E16" s="3">
        <v>0.70508959999999998</v>
      </c>
      <c r="F16" s="3">
        <v>0.72046840000000001</v>
      </c>
      <c r="G16" s="3">
        <v>0.73863259999999997</v>
      </c>
      <c r="H16" s="3">
        <v>0.76113649999999999</v>
      </c>
      <c r="I16" s="3">
        <v>0.78502360000000004</v>
      </c>
      <c r="J16" s="3">
        <v>0.80750520000000003</v>
      </c>
      <c r="K16" s="3">
        <v>0.82785940000000002</v>
      </c>
      <c r="L16" s="3">
        <v>0.84670330000000005</v>
      </c>
      <c r="M16" s="3">
        <v>0.86470279999999999</v>
      </c>
      <c r="N16" s="3">
        <v>0.88214590000000004</v>
      </c>
      <c r="O16" s="3">
        <v>0.89903630000000001</v>
      </c>
      <c r="P16" s="3">
        <v>0.9152555</v>
      </c>
      <c r="Q16" s="3">
        <v>0.93043339999999997</v>
      </c>
      <c r="R16" s="3">
        <v>0.94454009999999999</v>
      </c>
      <c r="S16" s="3">
        <v>0.95767380000000002</v>
      </c>
      <c r="T16" s="3">
        <v>0.96993280000000004</v>
      </c>
      <c r="U16" s="3">
        <v>0.98141529999999999</v>
      </c>
      <c r="V16" s="3">
        <v>0.99221950000000003</v>
      </c>
      <c r="W16" s="3">
        <v>1.0024351</v>
      </c>
      <c r="X16" s="3">
        <v>1.0121119000000001</v>
      </c>
      <c r="Y16" s="3">
        <v>1.0212884</v>
      </c>
      <c r="Z16" s="3">
        <v>1.0300028999999999</v>
      </c>
      <c r="AA16" s="3">
        <v>1.0382937999999999</v>
      </c>
      <c r="AB16" s="3">
        <v>1.0461993000000001</v>
      </c>
      <c r="AC16" s="3">
        <v>1.0537546</v>
      </c>
      <c r="AD16" s="3">
        <v>1.0609804</v>
      </c>
      <c r="AE16" s="3">
        <v>1.0678932000000001</v>
      </c>
      <c r="AF16" s="3">
        <v>1.0745099</v>
      </c>
      <c r="AG16" s="3">
        <v>1.0808469999999999</v>
      </c>
      <c r="AH16" s="3">
        <v>1.0869211999999999</v>
      </c>
      <c r="AI16" s="3">
        <v>1.0927492000000001</v>
      </c>
      <c r="AJ16" s="3">
        <v>1.0983476999999999</v>
      </c>
      <c r="AK16" s="3">
        <v>1.1037333</v>
      </c>
      <c r="AL16" s="3">
        <v>1.1089228</v>
      </c>
      <c r="AM16" s="3">
        <v>1.1139327000000001</v>
      </c>
      <c r="AN16" s="3">
        <v>1.1187798</v>
      </c>
      <c r="AO16" s="3">
        <v>1.1234797000000001</v>
      </c>
      <c r="AP16" s="3">
        <v>1.1280432</v>
      </c>
      <c r="AQ16" s="3">
        <v>1.1324799000000001</v>
      </c>
      <c r="AR16" s="3">
        <v>1.1367993999999999</v>
      </c>
      <c r="AS16" s="3">
        <v>1.1410111999999999</v>
      </c>
      <c r="AT16" s="3">
        <v>1.1451248999999999</v>
      </c>
      <c r="AU16" s="3">
        <v>1.1491501</v>
      </c>
      <c r="AV16" s="3">
        <v>1.1530963000000001</v>
      </c>
      <c r="AW16" s="3">
        <v>1.1569731000000001</v>
      </c>
      <c r="AX16" s="3">
        <v>1.16079</v>
      </c>
      <c r="AY16" s="3">
        <v>1.1645566999999999</v>
      </c>
      <c r="AZ16" s="3">
        <v>1.1682827</v>
      </c>
      <c r="BA16" s="3">
        <v>1.1719765</v>
      </c>
      <c r="BB16" s="3">
        <v>1.1756418</v>
      </c>
      <c r="BC16" s="3">
        <v>1.1792811000000001</v>
      </c>
      <c r="BD16" s="3">
        <v>1.1828966999999999</v>
      </c>
      <c r="BE16" s="3">
        <v>1.1864912000000001</v>
      </c>
      <c r="BF16" s="3">
        <v>1.1900668999999999</v>
      </c>
      <c r="BG16" s="3">
        <v>1.1936263</v>
      </c>
      <c r="BH16" s="3">
        <v>1.1971716999999999</v>
      </c>
      <c r="BI16" s="3">
        <v>1.2007057000000001</v>
      </c>
      <c r="BJ16" s="3">
        <v>1.2042307000000001</v>
      </c>
      <c r="BK16" s="3">
        <v>1.207749</v>
      </c>
      <c r="BL16" s="3">
        <v>1.2112632000000001</v>
      </c>
      <c r="BM16" s="3" t="e">
        <v>#N/A</v>
      </c>
      <c r="BN16" s="3" t="e">
        <v>#N/A</v>
      </c>
    </row>
    <row r="17" spans="1:66" x14ac:dyDescent="0.35">
      <c r="A17" s="5">
        <f t="shared" si="0"/>
        <v>43479</v>
      </c>
      <c r="B17" t="s">
        <v>94</v>
      </c>
      <c r="C17" s="2">
        <v>0.75</v>
      </c>
      <c r="D17" s="2">
        <v>0.70669999999999999</v>
      </c>
      <c r="E17" s="3">
        <v>0.70596159999999997</v>
      </c>
      <c r="F17" s="3">
        <v>0.71862329999999996</v>
      </c>
      <c r="G17" s="3">
        <v>0.73833950000000004</v>
      </c>
      <c r="H17" s="3">
        <v>0.76341720000000002</v>
      </c>
      <c r="I17" s="3">
        <v>0.78880039999999996</v>
      </c>
      <c r="J17" s="3">
        <v>0.81115939999999997</v>
      </c>
      <c r="K17" s="3">
        <v>0.83016389999999995</v>
      </c>
      <c r="L17" s="3">
        <v>0.84722719999999996</v>
      </c>
      <c r="M17" s="3">
        <v>0.86370930000000001</v>
      </c>
      <c r="N17" s="3">
        <v>0.88033530000000004</v>
      </c>
      <c r="O17" s="3">
        <v>0.89728850000000004</v>
      </c>
      <c r="P17" s="3">
        <v>0.91441419999999995</v>
      </c>
      <c r="Q17" s="3">
        <v>0.93131969999999997</v>
      </c>
      <c r="R17" s="3">
        <v>0.94777350000000005</v>
      </c>
      <c r="S17" s="3">
        <v>0.96360210000000002</v>
      </c>
      <c r="T17" s="3">
        <v>0.9786321</v>
      </c>
      <c r="U17" s="3">
        <v>0.99268979999999996</v>
      </c>
      <c r="V17" s="3">
        <v>1.0056019</v>
      </c>
      <c r="W17" s="3">
        <v>1.017253</v>
      </c>
      <c r="X17" s="3">
        <v>1.0277502999999999</v>
      </c>
      <c r="Y17" s="3">
        <v>1.0372536000000001</v>
      </c>
      <c r="Z17" s="3">
        <v>1.0459227</v>
      </c>
      <c r="AA17" s="3">
        <v>1.0539175999999999</v>
      </c>
      <c r="AB17" s="3">
        <v>1.0613980000000001</v>
      </c>
      <c r="AC17" s="3">
        <v>1.0685028999999999</v>
      </c>
      <c r="AD17" s="3">
        <v>1.0752793</v>
      </c>
      <c r="AE17" s="3">
        <v>1.0817485</v>
      </c>
      <c r="AF17" s="3">
        <v>1.0879319999999999</v>
      </c>
      <c r="AG17" s="3">
        <v>1.0938511</v>
      </c>
      <c r="AH17" s="3">
        <v>1.0995273999999999</v>
      </c>
      <c r="AI17" s="3">
        <v>1.1049822</v>
      </c>
      <c r="AJ17" s="3">
        <v>1.1102369999999999</v>
      </c>
      <c r="AK17" s="3">
        <v>1.1153131999999999</v>
      </c>
      <c r="AL17" s="3">
        <v>1.1202322</v>
      </c>
      <c r="AM17" s="3">
        <v>1.1250154999999999</v>
      </c>
      <c r="AN17" s="3">
        <v>1.1296845</v>
      </c>
      <c r="AO17" s="3">
        <v>1.1342578000000001</v>
      </c>
      <c r="AP17" s="3">
        <v>1.1387419999999999</v>
      </c>
      <c r="AQ17" s="3">
        <v>1.1431403</v>
      </c>
      <c r="AR17" s="3">
        <v>1.1474559</v>
      </c>
      <c r="AS17" s="3">
        <v>1.1516921</v>
      </c>
      <c r="AT17" s="3">
        <v>1.1558519</v>
      </c>
      <c r="AU17" s="3">
        <v>1.1599387000000001</v>
      </c>
      <c r="AV17" s="3">
        <v>1.1639554999999999</v>
      </c>
      <c r="AW17" s="3">
        <v>1.1679056999999999</v>
      </c>
      <c r="AX17" s="3">
        <v>1.1717925</v>
      </c>
      <c r="AY17" s="3">
        <v>1.1756188999999999</v>
      </c>
      <c r="AZ17" s="3">
        <v>1.1793882</v>
      </c>
      <c r="BA17" s="3">
        <v>1.1831043000000001</v>
      </c>
      <c r="BB17" s="3">
        <v>1.1867745000000001</v>
      </c>
      <c r="BC17" s="3">
        <v>1.1904072999999999</v>
      </c>
      <c r="BD17" s="3">
        <v>1.1940109999999999</v>
      </c>
      <c r="BE17" s="3">
        <v>1.1975941999999999</v>
      </c>
      <c r="BF17" s="3">
        <v>1.2011654</v>
      </c>
      <c r="BG17" s="3">
        <v>1.2047330000000001</v>
      </c>
      <c r="BH17" s="3">
        <v>1.2083055</v>
      </c>
      <c r="BI17" s="3">
        <v>1.2118914000000001</v>
      </c>
      <c r="BJ17" s="3">
        <v>1.2154990999999999</v>
      </c>
      <c r="BK17" s="3">
        <v>1.2191371</v>
      </c>
      <c r="BL17" s="3">
        <v>1.2228139</v>
      </c>
      <c r="BM17" s="3" t="e">
        <v>#N/A</v>
      </c>
      <c r="BN17" s="3" t="e">
        <v>#N/A</v>
      </c>
    </row>
    <row r="18" spans="1:66" x14ac:dyDescent="0.35">
      <c r="A18" s="5">
        <f t="shared" si="0"/>
        <v>43480</v>
      </c>
      <c r="B18" t="s">
        <v>95</v>
      </c>
      <c r="C18" s="2">
        <v>0.75</v>
      </c>
      <c r="D18" s="2">
        <v>0.70569999999999999</v>
      </c>
      <c r="E18" s="3">
        <v>0.70759830000000001</v>
      </c>
      <c r="F18" s="3">
        <v>0.71464320000000003</v>
      </c>
      <c r="G18" s="3">
        <v>0.73058020000000001</v>
      </c>
      <c r="H18" s="3">
        <v>0.75314170000000003</v>
      </c>
      <c r="I18" s="3">
        <v>0.77814309999999998</v>
      </c>
      <c r="J18" s="3">
        <v>0.80302249999999997</v>
      </c>
      <c r="K18" s="3">
        <v>0.82649050000000002</v>
      </c>
      <c r="L18" s="3">
        <v>0.84775400000000001</v>
      </c>
      <c r="M18" s="3">
        <v>0.86666739999999998</v>
      </c>
      <c r="N18" s="3">
        <v>0.88354480000000002</v>
      </c>
      <c r="O18" s="3">
        <v>0.89858289999999996</v>
      </c>
      <c r="P18" s="3">
        <v>0.91197870000000003</v>
      </c>
      <c r="Q18" s="3">
        <v>0.92401339999999998</v>
      </c>
      <c r="R18" s="3">
        <v>0.93489949999999999</v>
      </c>
      <c r="S18" s="3">
        <v>0.94482560000000004</v>
      </c>
      <c r="T18" s="3">
        <v>0.95398050000000001</v>
      </c>
      <c r="U18" s="3">
        <v>0.96255279999999999</v>
      </c>
      <c r="V18" s="3">
        <v>0.97073120000000002</v>
      </c>
      <c r="W18" s="3">
        <v>0.97867519999999997</v>
      </c>
      <c r="X18" s="3">
        <v>0.98643409999999998</v>
      </c>
      <c r="Y18" s="3">
        <v>0.99403059999999999</v>
      </c>
      <c r="Z18" s="3">
        <v>1.0014875000000001</v>
      </c>
      <c r="AA18" s="3">
        <v>1.0088276</v>
      </c>
      <c r="AB18" s="3">
        <v>1.0160735000000001</v>
      </c>
      <c r="AC18" s="3">
        <v>1.0232431</v>
      </c>
      <c r="AD18" s="3">
        <v>1.0303309</v>
      </c>
      <c r="AE18" s="3">
        <v>1.0373254999999999</v>
      </c>
      <c r="AF18" s="3">
        <v>1.0442153000000001</v>
      </c>
      <c r="AG18" s="3">
        <v>1.0509888000000001</v>
      </c>
      <c r="AH18" s="3">
        <v>1.0576345</v>
      </c>
      <c r="AI18" s="3">
        <v>1.0641407000000001</v>
      </c>
      <c r="AJ18" s="3">
        <v>1.0704959000000001</v>
      </c>
      <c r="AK18" s="3">
        <v>1.0766887000000001</v>
      </c>
      <c r="AL18" s="3">
        <v>1.0827074000000001</v>
      </c>
      <c r="AM18" s="3">
        <v>1.0885404000000001</v>
      </c>
      <c r="AN18" s="3">
        <v>1.0941764</v>
      </c>
      <c r="AO18" s="3">
        <v>1.0996063</v>
      </c>
      <c r="AP18" s="3">
        <v>1.1048361</v>
      </c>
      <c r="AQ18" s="3">
        <v>1.1098762</v>
      </c>
      <c r="AR18" s="3">
        <v>1.1147374999999999</v>
      </c>
      <c r="AS18" s="3">
        <v>1.1194305</v>
      </c>
      <c r="AT18" s="3">
        <v>1.1239659</v>
      </c>
      <c r="AU18" s="3">
        <v>1.1283544000000001</v>
      </c>
      <c r="AV18" s="3">
        <v>1.1326065999999999</v>
      </c>
      <c r="AW18" s="3">
        <v>1.1367332000000001</v>
      </c>
      <c r="AX18" s="3">
        <v>1.1407448</v>
      </c>
      <c r="AY18" s="3">
        <v>1.1446521000000001</v>
      </c>
      <c r="AZ18" s="3">
        <v>1.1484658000000001</v>
      </c>
      <c r="BA18" s="3">
        <v>1.1521964</v>
      </c>
      <c r="BB18" s="3">
        <v>1.1558541</v>
      </c>
      <c r="BC18" s="3">
        <v>1.1594488000000001</v>
      </c>
      <c r="BD18" s="3">
        <v>1.1629904</v>
      </c>
      <c r="BE18" s="3">
        <v>1.1664890000000001</v>
      </c>
      <c r="BF18" s="3">
        <v>1.1699545</v>
      </c>
      <c r="BG18" s="3">
        <v>1.173397</v>
      </c>
      <c r="BH18" s="3">
        <v>1.1768263000000001</v>
      </c>
      <c r="BI18" s="3">
        <v>1.1802524000000001</v>
      </c>
      <c r="BJ18" s="3">
        <v>1.1836854000000001</v>
      </c>
      <c r="BK18" s="3">
        <v>1.1871351999999999</v>
      </c>
      <c r="BL18" s="3">
        <v>1.1906118000000001</v>
      </c>
      <c r="BM18" s="3" t="e">
        <v>#N/A</v>
      </c>
      <c r="BN18" s="3" t="e">
        <v>#N/A</v>
      </c>
    </row>
    <row r="19" spans="1:66" x14ac:dyDescent="0.35">
      <c r="A19" s="5">
        <f t="shared" si="0"/>
        <v>43481</v>
      </c>
      <c r="B19" t="s">
        <v>96</v>
      </c>
      <c r="C19" s="2">
        <v>0.75</v>
      </c>
      <c r="D19" s="2">
        <v>0.70589999999999997</v>
      </c>
      <c r="E19" s="3">
        <v>0.70679780000000003</v>
      </c>
      <c r="F19" s="3">
        <v>0.71362769999999998</v>
      </c>
      <c r="G19" s="3">
        <v>0.72638139999999995</v>
      </c>
      <c r="H19" s="3">
        <v>0.74624009999999996</v>
      </c>
      <c r="I19" s="3">
        <v>0.77029669999999995</v>
      </c>
      <c r="J19" s="3">
        <v>0.79547670000000004</v>
      </c>
      <c r="K19" s="3">
        <v>0.81953819999999999</v>
      </c>
      <c r="L19" s="3">
        <v>0.84152260000000001</v>
      </c>
      <c r="M19" s="3">
        <v>0.86171629999999999</v>
      </c>
      <c r="N19" s="3">
        <v>0.88082990000000005</v>
      </c>
      <c r="O19" s="3">
        <v>0.8993795</v>
      </c>
      <c r="P19" s="3">
        <v>0.91754939999999996</v>
      </c>
      <c r="Q19" s="3">
        <v>0.93525939999999996</v>
      </c>
      <c r="R19" s="3">
        <v>0.95235340000000002</v>
      </c>
      <c r="S19" s="3">
        <v>0.96866730000000001</v>
      </c>
      <c r="T19" s="3">
        <v>0.9840371</v>
      </c>
      <c r="U19" s="3">
        <v>0.99829860000000004</v>
      </c>
      <c r="V19" s="3">
        <v>1.0112877</v>
      </c>
      <c r="W19" s="3">
        <v>1.0229014999999999</v>
      </c>
      <c r="X19" s="3">
        <v>1.0332695999999999</v>
      </c>
      <c r="Y19" s="3">
        <v>1.0425773</v>
      </c>
      <c r="Z19" s="3">
        <v>1.0510094999999999</v>
      </c>
      <c r="AA19" s="3">
        <v>1.0587513</v>
      </c>
      <c r="AB19" s="3">
        <v>1.0659879000000001</v>
      </c>
      <c r="AC19" s="3">
        <v>1.0728839999999999</v>
      </c>
      <c r="AD19" s="3">
        <v>1.0794949</v>
      </c>
      <c r="AE19" s="3">
        <v>1.0858391999999999</v>
      </c>
      <c r="AF19" s="3">
        <v>1.0919353999999999</v>
      </c>
      <c r="AG19" s="3">
        <v>1.0978019999999999</v>
      </c>
      <c r="AH19" s="3">
        <v>1.1034576</v>
      </c>
      <c r="AI19" s="3">
        <v>1.1089207999999999</v>
      </c>
      <c r="AJ19" s="3">
        <v>1.1142101</v>
      </c>
      <c r="AK19" s="3">
        <v>1.1193441</v>
      </c>
      <c r="AL19" s="3">
        <v>1.1243411999999999</v>
      </c>
      <c r="AM19" s="3">
        <v>1.1292200999999999</v>
      </c>
      <c r="AN19" s="3">
        <v>1.1339992999999999</v>
      </c>
      <c r="AO19" s="3">
        <v>1.1386951000000001</v>
      </c>
      <c r="AP19" s="3">
        <v>1.1433133</v>
      </c>
      <c r="AQ19" s="3">
        <v>1.1478565000000001</v>
      </c>
      <c r="AR19" s="3">
        <v>1.1523272</v>
      </c>
      <c r="AS19" s="3">
        <v>1.1567278000000001</v>
      </c>
      <c r="AT19" s="3">
        <v>1.1610609999999999</v>
      </c>
      <c r="AU19" s="3">
        <v>1.1653292</v>
      </c>
      <c r="AV19" s="3">
        <v>1.169535</v>
      </c>
      <c r="AW19" s="3">
        <v>1.173681</v>
      </c>
      <c r="AX19" s="3">
        <v>1.1777694999999999</v>
      </c>
      <c r="AY19" s="3">
        <v>1.1818032000000001</v>
      </c>
      <c r="AZ19" s="3">
        <v>1.1857846000000001</v>
      </c>
      <c r="BA19" s="3">
        <v>1.1897169000000001</v>
      </c>
      <c r="BB19" s="3">
        <v>1.1936062999999999</v>
      </c>
      <c r="BC19" s="3">
        <v>1.1974598999999999</v>
      </c>
      <c r="BD19" s="3">
        <v>1.2012849000000001</v>
      </c>
      <c r="BE19" s="3">
        <v>1.2050882000000001</v>
      </c>
      <c r="BF19" s="3">
        <v>1.2088768999999999</v>
      </c>
      <c r="BG19" s="3">
        <v>1.2126581999999999</v>
      </c>
      <c r="BH19" s="3">
        <v>1.2164391000000001</v>
      </c>
      <c r="BI19" s="3">
        <v>1.2202267</v>
      </c>
      <c r="BJ19" s="3">
        <v>1.2240281</v>
      </c>
      <c r="BK19" s="3">
        <v>1.2278503000000001</v>
      </c>
      <c r="BL19" s="3">
        <v>1.2317004</v>
      </c>
      <c r="BM19" s="3" t="e">
        <v>#N/A</v>
      </c>
      <c r="BN19" s="3" t="e">
        <v>#N/A</v>
      </c>
    </row>
    <row r="20" spans="1:66" x14ac:dyDescent="0.35">
      <c r="A20" s="5">
        <f t="shared" si="0"/>
        <v>43482</v>
      </c>
      <c r="B20" t="s">
        <v>97</v>
      </c>
      <c r="C20" s="2">
        <v>0.75</v>
      </c>
      <c r="D20" s="2">
        <v>0.70550000000000002</v>
      </c>
      <c r="E20" s="3">
        <v>0.70488260000000003</v>
      </c>
      <c r="F20" s="3">
        <v>0.71189530000000001</v>
      </c>
      <c r="G20" s="3">
        <v>0.72390699999999997</v>
      </c>
      <c r="H20" s="3">
        <v>0.74106930000000004</v>
      </c>
      <c r="I20" s="3">
        <v>0.76124250000000004</v>
      </c>
      <c r="J20" s="3">
        <v>0.78229669999999996</v>
      </c>
      <c r="K20" s="3">
        <v>0.80288570000000004</v>
      </c>
      <c r="L20" s="3">
        <v>0.82271870000000002</v>
      </c>
      <c r="M20" s="3">
        <v>0.84225050000000001</v>
      </c>
      <c r="N20" s="3">
        <v>0.86193019999999998</v>
      </c>
      <c r="O20" s="3">
        <v>0.88181220000000005</v>
      </c>
      <c r="P20" s="3">
        <v>0.9016248</v>
      </c>
      <c r="Q20" s="3">
        <v>0.92070969999999996</v>
      </c>
      <c r="R20" s="3">
        <v>0.9388784</v>
      </c>
      <c r="S20" s="3">
        <v>0.95608910000000003</v>
      </c>
      <c r="T20" s="3">
        <v>0.97230030000000001</v>
      </c>
      <c r="U20" s="3">
        <v>0.98747030000000002</v>
      </c>
      <c r="V20" s="3">
        <v>1.0015575000000001</v>
      </c>
      <c r="W20" s="3">
        <v>1.0145499</v>
      </c>
      <c r="X20" s="3">
        <v>1.0265488</v>
      </c>
      <c r="Y20" s="3">
        <v>1.0376821000000001</v>
      </c>
      <c r="Z20" s="3">
        <v>1.0480780000000001</v>
      </c>
      <c r="AA20" s="3">
        <v>1.0578646</v>
      </c>
      <c r="AB20" s="3">
        <v>1.0671698000000001</v>
      </c>
      <c r="AC20" s="3">
        <v>1.0761067</v>
      </c>
      <c r="AD20" s="3">
        <v>1.0847135000000001</v>
      </c>
      <c r="AE20" s="3">
        <v>1.0930059999999999</v>
      </c>
      <c r="AF20" s="3">
        <v>1.1010001</v>
      </c>
      <c r="AG20" s="3">
        <v>1.1087115000000001</v>
      </c>
      <c r="AH20" s="3">
        <v>1.1161559000000001</v>
      </c>
      <c r="AI20" s="3">
        <v>1.1233492</v>
      </c>
      <c r="AJ20" s="3">
        <v>1.1303072000000001</v>
      </c>
      <c r="AK20" s="3">
        <v>1.1370454999999999</v>
      </c>
      <c r="AL20" s="3">
        <v>1.14358</v>
      </c>
      <c r="AM20" s="3">
        <v>1.1499265000000001</v>
      </c>
      <c r="AN20" s="3">
        <v>1.1561007000000001</v>
      </c>
      <c r="AO20" s="3">
        <v>1.1621170999999999</v>
      </c>
      <c r="AP20" s="3">
        <v>1.1679843999999999</v>
      </c>
      <c r="AQ20" s="3">
        <v>1.1737097000000001</v>
      </c>
      <c r="AR20" s="3">
        <v>1.1793</v>
      </c>
      <c r="AS20" s="3">
        <v>1.1847624000000001</v>
      </c>
      <c r="AT20" s="3">
        <v>1.1901041000000001</v>
      </c>
      <c r="AU20" s="3">
        <v>1.1953320999999999</v>
      </c>
      <c r="AV20" s="3">
        <v>1.2004535000000001</v>
      </c>
      <c r="AW20" s="3">
        <v>1.2054754999999999</v>
      </c>
      <c r="AX20" s="3">
        <v>1.210405</v>
      </c>
      <c r="AY20" s="3">
        <v>1.2152491000000001</v>
      </c>
      <c r="AZ20" s="3">
        <v>1.2200150000000001</v>
      </c>
      <c r="BA20" s="3">
        <v>1.2247094000000001</v>
      </c>
      <c r="BB20" s="3">
        <v>1.2293373999999999</v>
      </c>
      <c r="BC20" s="3">
        <v>1.2339035</v>
      </c>
      <c r="BD20" s="3">
        <v>1.2384124000000001</v>
      </c>
      <c r="BE20" s="3">
        <v>1.2428686</v>
      </c>
      <c r="BF20" s="3">
        <v>1.2472768999999999</v>
      </c>
      <c r="BG20" s="3">
        <v>1.2516419000000001</v>
      </c>
      <c r="BH20" s="3">
        <v>1.255968</v>
      </c>
      <c r="BI20" s="3">
        <v>1.2602601</v>
      </c>
      <c r="BJ20" s="3">
        <v>1.2645226000000001</v>
      </c>
      <c r="BK20" s="3">
        <v>1.2687602</v>
      </c>
      <c r="BL20" s="3">
        <v>1.2729775000000001</v>
      </c>
      <c r="BM20" s="3" t="e">
        <v>#N/A</v>
      </c>
      <c r="BN20" s="3" t="e">
        <v>#N/A</v>
      </c>
    </row>
    <row r="21" spans="1:66" x14ac:dyDescent="0.35">
      <c r="A21" s="5">
        <f t="shared" si="0"/>
        <v>43483</v>
      </c>
      <c r="B21" t="s">
        <v>98</v>
      </c>
      <c r="C21" s="2">
        <v>0.75</v>
      </c>
      <c r="D21" s="2">
        <v>0.70589999999999997</v>
      </c>
      <c r="E21" s="3">
        <v>0.70883090000000004</v>
      </c>
      <c r="F21" s="3">
        <v>0.71501539999999997</v>
      </c>
      <c r="G21" s="3">
        <v>0.72683549999999997</v>
      </c>
      <c r="H21" s="3">
        <v>0.74178789999999994</v>
      </c>
      <c r="I21" s="3">
        <v>0.75828700000000004</v>
      </c>
      <c r="J21" s="3">
        <v>0.77582200000000001</v>
      </c>
      <c r="K21" s="3">
        <v>0.79398299999999999</v>
      </c>
      <c r="L21" s="3">
        <v>0.81246459999999998</v>
      </c>
      <c r="M21" s="3">
        <v>0.83147040000000005</v>
      </c>
      <c r="N21" s="3">
        <v>0.85113740000000004</v>
      </c>
      <c r="O21" s="3">
        <v>0.87120169999999997</v>
      </c>
      <c r="P21" s="3">
        <v>0.89116099999999998</v>
      </c>
      <c r="Q21" s="3">
        <v>0.91013560000000004</v>
      </c>
      <c r="R21" s="3">
        <v>0.92794160000000003</v>
      </c>
      <c r="S21" s="3">
        <v>0.94464559999999997</v>
      </c>
      <c r="T21" s="3">
        <v>0.96031440000000001</v>
      </c>
      <c r="U21" s="3">
        <v>0.97501479999999996</v>
      </c>
      <c r="V21" s="3">
        <v>0.98881350000000001</v>
      </c>
      <c r="W21" s="3">
        <v>1.0017838999999999</v>
      </c>
      <c r="X21" s="3">
        <v>1.0140302000000001</v>
      </c>
      <c r="Y21" s="3">
        <v>1.0256654000000001</v>
      </c>
      <c r="Z21" s="3">
        <v>1.0368028</v>
      </c>
      <c r="AA21" s="3">
        <v>1.0475553</v>
      </c>
      <c r="AB21" s="3">
        <v>1.0580361</v>
      </c>
      <c r="AC21" s="3">
        <v>1.0683399</v>
      </c>
      <c r="AD21" s="3">
        <v>1.0784800000000001</v>
      </c>
      <c r="AE21" s="3">
        <v>1.0884474</v>
      </c>
      <c r="AF21" s="3">
        <v>1.098233</v>
      </c>
      <c r="AG21" s="3">
        <v>1.1078279</v>
      </c>
      <c r="AH21" s="3">
        <v>1.1172228</v>
      </c>
      <c r="AI21" s="3">
        <v>1.1264088999999999</v>
      </c>
      <c r="AJ21" s="3">
        <v>1.1353770000000001</v>
      </c>
      <c r="AK21" s="3">
        <v>1.1441181</v>
      </c>
      <c r="AL21" s="3">
        <v>1.1526232000000001</v>
      </c>
      <c r="AM21" s="3">
        <v>1.1608832</v>
      </c>
      <c r="AN21" s="3">
        <v>1.1688890000000001</v>
      </c>
      <c r="AO21" s="3">
        <v>1.1766342000000001</v>
      </c>
      <c r="AP21" s="3">
        <v>1.1841235000000001</v>
      </c>
      <c r="AQ21" s="3">
        <v>1.1913647999999999</v>
      </c>
      <c r="AR21" s="3">
        <v>1.198366</v>
      </c>
      <c r="AS21" s="3">
        <v>1.2051350000000001</v>
      </c>
      <c r="AT21" s="3">
        <v>1.2116796000000001</v>
      </c>
      <c r="AU21" s="3">
        <v>1.2180078000000001</v>
      </c>
      <c r="AV21" s="3">
        <v>1.2241272999999999</v>
      </c>
      <c r="AW21" s="3">
        <v>1.2300461</v>
      </c>
      <c r="AX21" s="3">
        <v>1.2357722</v>
      </c>
      <c r="AY21" s="3">
        <v>1.2413132</v>
      </c>
      <c r="AZ21" s="3">
        <v>1.2466771999999999</v>
      </c>
      <c r="BA21" s="3">
        <v>1.2518724999999999</v>
      </c>
      <c r="BB21" s="3">
        <v>1.2569096</v>
      </c>
      <c r="BC21" s="3">
        <v>1.2617996</v>
      </c>
      <c r="BD21" s="3">
        <v>1.2665537</v>
      </c>
      <c r="BE21" s="3">
        <v>1.2711828999999999</v>
      </c>
      <c r="BF21" s="3">
        <v>1.2756985000000001</v>
      </c>
      <c r="BG21" s="3">
        <v>1.2801114</v>
      </c>
      <c r="BH21" s="3">
        <v>1.2844329000000001</v>
      </c>
      <c r="BI21" s="3">
        <v>1.2886740000000001</v>
      </c>
      <c r="BJ21" s="3">
        <v>1.2928458</v>
      </c>
      <c r="BK21" s="3">
        <v>1.2969595</v>
      </c>
      <c r="BL21" s="3">
        <v>1.3010261999999999</v>
      </c>
      <c r="BM21" s="3" t="e">
        <v>#N/A</v>
      </c>
      <c r="BN21" s="3" t="e">
        <v>#N/A</v>
      </c>
    </row>
    <row r="22" spans="1:66" x14ac:dyDescent="0.35">
      <c r="A22" s="5">
        <f t="shared" si="0"/>
        <v>43486</v>
      </c>
      <c r="B22" t="s">
        <v>99</v>
      </c>
      <c r="C22" s="2">
        <v>0.75</v>
      </c>
      <c r="D22" s="2">
        <v>0.70550000000000002</v>
      </c>
      <c r="E22" s="3">
        <v>0.70910050000000002</v>
      </c>
      <c r="F22" s="3">
        <v>0.71291709999999997</v>
      </c>
      <c r="G22" s="3">
        <v>0.72069190000000005</v>
      </c>
      <c r="H22" s="3">
        <v>0.73365170000000002</v>
      </c>
      <c r="I22" s="3">
        <v>0.74896160000000001</v>
      </c>
      <c r="J22" s="3">
        <v>0.76505029999999996</v>
      </c>
      <c r="K22" s="3">
        <v>0.78131640000000002</v>
      </c>
      <c r="L22" s="3">
        <v>0.79778199999999999</v>
      </c>
      <c r="M22" s="3">
        <v>0.81491670000000005</v>
      </c>
      <c r="N22" s="3">
        <v>0.83291930000000003</v>
      </c>
      <c r="O22" s="3">
        <v>0.85160369999999996</v>
      </c>
      <c r="P22" s="3">
        <v>0.87059739999999997</v>
      </c>
      <c r="Q22" s="3">
        <v>0.88937200000000005</v>
      </c>
      <c r="R22" s="3">
        <v>0.90768040000000005</v>
      </c>
      <c r="S22" s="3">
        <v>0.92536189999999996</v>
      </c>
      <c r="T22" s="3">
        <v>0.94225590000000004</v>
      </c>
      <c r="U22" s="3">
        <v>0.95820170000000005</v>
      </c>
      <c r="V22" s="3">
        <v>0.97303879999999998</v>
      </c>
      <c r="W22" s="3">
        <v>0.98666229999999999</v>
      </c>
      <c r="X22" s="3">
        <v>0.99918119999999999</v>
      </c>
      <c r="Y22" s="3">
        <v>1.0107550999999999</v>
      </c>
      <c r="Z22" s="3">
        <v>1.0215434999999999</v>
      </c>
      <c r="AA22" s="3">
        <v>1.031706</v>
      </c>
      <c r="AB22" s="3">
        <v>1.0414022999999999</v>
      </c>
      <c r="AC22" s="3">
        <v>1.05077</v>
      </c>
      <c r="AD22" s="3">
        <v>1.0598502999999999</v>
      </c>
      <c r="AE22" s="3">
        <v>1.0686576000000001</v>
      </c>
      <c r="AF22" s="3">
        <v>1.0772065</v>
      </c>
      <c r="AG22" s="3">
        <v>1.0855113000000001</v>
      </c>
      <c r="AH22" s="3">
        <v>1.0935866000000001</v>
      </c>
      <c r="AI22" s="3">
        <v>1.1014467999999999</v>
      </c>
      <c r="AJ22" s="3">
        <v>1.1091063999999999</v>
      </c>
      <c r="AK22" s="3">
        <v>1.1165798</v>
      </c>
      <c r="AL22" s="3">
        <v>1.1238816</v>
      </c>
      <c r="AM22" s="3">
        <v>1.1310263</v>
      </c>
      <c r="AN22" s="3">
        <v>1.1380281999999999</v>
      </c>
      <c r="AO22" s="3">
        <v>1.1448997999999999</v>
      </c>
      <c r="AP22" s="3">
        <v>1.1516446</v>
      </c>
      <c r="AQ22" s="3">
        <v>1.1582635999999999</v>
      </c>
      <c r="AR22" s="3">
        <v>1.1647575999999999</v>
      </c>
      <c r="AS22" s="3">
        <v>1.1711275999999999</v>
      </c>
      <c r="AT22" s="3">
        <v>1.1773747000000001</v>
      </c>
      <c r="AU22" s="3">
        <v>1.1834997</v>
      </c>
      <c r="AV22" s="3">
        <v>1.1895036000000001</v>
      </c>
      <c r="AW22" s="3">
        <v>1.1953875</v>
      </c>
      <c r="AX22" s="3">
        <v>1.2011521999999999</v>
      </c>
      <c r="AY22" s="3">
        <v>1.2067985999999999</v>
      </c>
      <c r="AZ22" s="3">
        <v>1.2123279</v>
      </c>
      <c r="BA22" s="3">
        <v>1.2177418</v>
      </c>
      <c r="BB22" s="3">
        <v>1.223047</v>
      </c>
      <c r="BC22" s="3">
        <v>1.2282518</v>
      </c>
      <c r="BD22" s="3">
        <v>1.2333645</v>
      </c>
      <c r="BE22" s="3">
        <v>1.2383934000000001</v>
      </c>
      <c r="BF22" s="3">
        <v>1.2433468999999999</v>
      </c>
      <c r="BG22" s="3">
        <v>1.2482332</v>
      </c>
      <c r="BH22" s="3">
        <v>1.2530607</v>
      </c>
      <c r="BI22" s="3">
        <v>1.2578376</v>
      </c>
      <c r="BJ22" s="3">
        <v>1.2625721999999999</v>
      </c>
      <c r="BK22" s="3">
        <v>1.2672729</v>
      </c>
      <c r="BL22" s="3">
        <v>1.2719479</v>
      </c>
      <c r="BM22" s="3" t="e">
        <v>#N/A</v>
      </c>
      <c r="BN22" s="3" t="e">
        <v>#N/A</v>
      </c>
    </row>
    <row r="23" spans="1:66" x14ac:dyDescent="0.35">
      <c r="A23" s="5">
        <f t="shared" si="0"/>
        <v>43487</v>
      </c>
      <c r="B23" t="s">
        <v>100</v>
      </c>
      <c r="C23" s="2">
        <v>0.75</v>
      </c>
      <c r="D23" s="2">
        <v>0.70469999999999999</v>
      </c>
      <c r="E23" s="3">
        <v>0.70649890000000004</v>
      </c>
      <c r="F23" s="3">
        <v>0.71226389999999995</v>
      </c>
      <c r="G23" s="3">
        <v>0.72404979999999997</v>
      </c>
      <c r="H23" s="3">
        <v>0.74034809999999995</v>
      </c>
      <c r="I23" s="3">
        <v>0.75860079999999996</v>
      </c>
      <c r="J23" s="3">
        <v>0.77780229999999995</v>
      </c>
      <c r="K23" s="3">
        <v>0.79742080000000004</v>
      </c>
      <c r="L23" s="3">
        <v>0.81714439999999999</v>
      </c>
      <c r="M23" s="3">
        <v>0.8368485</v>
      </c>
      <c r="N23" s="3">
        <v>0.85632810000000004</v>
      </c>
      <c r="O23" s="3">
        <v>0.87532189999999999</v>
      </c>
      <c r="P23" s="3">
        <v>0.89358890000000002</v>
      </c>
      <c r="Q23" s="3">
        <v>0.91082450000000004</v>
      </c>
      <c r="R23" s="3">
        <v>0.92702249999999997</v>
      </c>
      <c r="S23" s="3">
        <v>0.94226220000000005</v>
      </c>
      <c r="T23" s="3">
        <v>0.9566228</v>
      </c>
      <c r="U23" s="3">
        <v>0.97018349999999998</v>
      </c>
      <c r="V23" s="3">
        <v>0.9830236</v>
      </c>
      <c r="W23" s="3">
        <v>0.99521990000000005</v>
      </c>
      <c r="X23" s="3">
        <v>1.0068391999999999</v>
      </c>
      <c r="Y23" s="3">
        <v>1.0179465000000001</v>
      </c>
      <c r="Z23" s="3">
        <v>1.0286063000000001</v>
      </c>
      <c r="AA23" s="3">
        <v>1.0388835000000001</v>
      </c>
      <c r="AB23" s="3">
        <v>1.0488427</v>
      </c>
      <c r="AC23" s="3">
        <v>1.0585386999999999</v>
      </c>
      <c r="AD23" s="3">
        <v>1.0679818999999999</v>
      </c>
      <c r="AE23" s="3">
        <v>1.0771705</v>
      </c>
      <c r="AF23" s="3">
        <v>1.086103</v>
      </c>
      <c r="AG23" s="3">
        <v>1.0947773999999999</v>
      </c>
      <c r="AH23" s="3">
        <v>1.1031921</v>
      </c>
      <c r="AI23" s="3">
        <v>1.1113454</v>
      </c>
      <c r="AJ23" s="3">
        <v>1.1192354</v>
      </c>
      <c r="AK23" s="3">
        <v>1.1268606000000001</v>
      </c>
      <c r="AL23" s="3">
        <v>1.1342190000000001</v>
      </c>
      <c r="AM23" s="3">
        <v>1.1413089999999999</v>
      </c>
      <c r="AN23" s="3">
        <v>1.1481288999999999</v>
      </c>
      <c r="AO23" s="3">
        <v>1.1546789</v>
      </c>
      <c r="AP23" s="3">
        <v>1.1609697999999999</v>
      </c>
      <c r="AQ23" s="3">
        <v>1.1670163</v>
      </c>
      <c r="AR23" s="3">
        <v>1.1728327000000001</v>
      </c>
      <c r="AS23" s="3">
        <v>1.1784336</v>
      </c>
      <c r="AT23" s="3">
        <v>1.1838333999999999</v>
      </c>
      <c r="AU23" s="3">
        <v>1.1890467</v>
      </c>
      <c r="AV23" s="3">
        <v>1.1940879</v>
      </c>
      <c r="AW23" s="3">
        <v>1.1989715000000001</v>
      </c>
      <c r="AX23" s="3">
        <v>1.2037119999999999</v>
      </c>
      <c r="AY23" s="3">
        <v>1.2083238999999999</v>
      </c>
      <c r="AZ23" s="3">
        <v>1.2128216999999999</v>
      </c>
      <c r="BA23" s="3">
        <v>1.2172190000000001</v>
      </c>
      <c r="BB23" s="3">
        <v>1.2215248999999999</v>
      </c>
      <c r="BC23" s="3">
        <v>1.2257473999999999</v>
      </c>
      <c r="BD23" s="3">
        <v>1.2298944999999999</v>
      </c>
      <c r="BE23" s="3">
        <v>1.2339739000000001</v>
      </c>
      <c r="BF23" s="3">
        <v>1.2379936</v>
      </c>
      <c r="BG23" s="3">
        <v>1.2419614000000001</v>
      </c>
      <c r="BH23" s="3">
        <v>1.2458853000000001</v>
      </c>
      <c r="BI23" s="3">
        <v>1.2497731999999999</v>
      </c>
      <c r="BJ23" s="3">
        <v>1.2536328999999999</v>
      </c>
      <c r="BK23" s="3">
        <v>1.2574723999999999</v>
      </c>
      <c r="BL23" s="3">
        <v>1.2612995</v>
      </c>
      <c r="BM23" s="3" t="e">
        <v>#N/A</v>
      </c>
      <c r="BN23" s="3" t="e">
        <v>#N/A</v>
      </c>
    </row>
    <row r="24" spans="1:66" x14ac:dyDescent="0.35">
      <c r="A24" s="5">
        <f t="shared" si="0"/>
        <v>43488</v>
      </c>
      <c r="B24" t="s">
        <v>101</v>
      </c>
      <c r="C24" s="2">
        <v>0.75</v>
      </c>
      <c r="D24" s="2">
        <v>0.70530000000000004</v>
      </c>
      <c r="E24" s="3">
        <v>0.70770840000000002</v>
      </c>
      <c r="F24" s="3">
        <v>0.71815910000000005</v>
      </c>
      <c r="G24" s="3">
        <v>0.73327290000000001</v>
      </c>
      <c r="H24" s="3">
        <v>0.75051409999999996</v>
      </c>
      <c r="I24" s="3">
        <v>0.76839259999999998</v>
      </c>
      <c r="J24" s="3">
        <v>0.78668669999999996</v>
      </c>
      <c r="K24" s="3">
        <v>0.80518129999999999</v>
      </c>
      <c r="L24" s="3">
        <v>0.82368479999999999</v>
      </c>
      <c r="M24" s="3">
        <v>0.84233809999999998</v>
      </c>
      <c r="N24" s="3">
        <v>0.86118600000000001</v>
      </c>
      <c r="O24" s="3">
        <v>0.88008330000000001</v>
      </c>
      <c r="P24" s="3">
        <v>0.89882899999999999</v>
      </c>
      <c r="Q24" s="3">
        <v>0.91701549999999998</v>
      </c>
      <c r="R24" s="3">
        <v>0.93449890000000002</v>
      </c>
      <c r="S24" s="3">
        <v>0.9512197</v>
      </c>
      <c r="T24" s="3">
        <v>0.96711829999999999</v>
      </c>
      <c r="U24" s="3">
        <v>0.98213530000000004</v>
      </c>
      <c r="V24" s="3">
        <v>0.99621130000000002</v>
      </c>
      <c r="W24" s="3">
        <v>1.0093147</v>
      </c>
      <c r="X24" s="3">
        <v>1.0215202999999999</v>
      </c>
      <c r="Y24" s="3">
        <v>1.0329282</v>
      </c>
      <c r="Z24" s="3">
        <v>1.0436387</v>
      </c>
      <c r="AA24" s="3">
        <v>1.053752</v>
      </c>
      <c r="AB24" s="3">
        <v>1.0633680999999999</v>
      </c>
      <c r="AC24" s="3">
        <v>1.0725775</v>
      </c>
      <c r="AD24" s="3">
        <v>1.0814178999999999</v>
      </c>
      <c r="AE24" s="3">
        <v>1.0899095000000001</v>
      </c>
      <c r="AF24" s="3">
        <v>1.0980723999999999</v>
      </c>
      <c r="AG24" s="3">
        <v>1.1059266999999999</v>
      </c>
      <c r="AH24" s="3">
        <v>1.1134923999999999</v>
      </c>
      <c r="AI24" s="3">
        <v>1.1207898000000001</v>
      </c>
      <c r="AJ24" s="3">
        <v>1.1278389</v>
      </c>
      <c r="AK24" s="3">
        <v>1.1346598000000001</v>
      </c>
      <c r="AL24" s="3">
        <v>1.1412727</v>
      </c>
      <c r="AM24" s="3">
        <v>1.1476976999999999</v>
      </c>
      <c r="AN24" s="3">
        <v>1.1539547999999999</v>
      </c>
      <c r="AO24" s="3">
        <v>1.1600623000000001</v>
      </c>
      <c r="AP24" s="3">
        <v>1.166029</v>
      </c>
      <c r="AQ24" s="3">
        <v>1.1718607999999999</v>
      </c>
      <c r="AR24" s="3">
        <v>1.1775635</v>
      </c>
      <c r="AS24" s="3">
        <v>1.1831432</v>
      </c>
      <c r="AT24" s="3">
        <v>1.1886059</v>
      </c>
      <c r="AU24" s="3">
        <v>1.1939573000000001</v>
      </c>
      <c r="AV24" s="3">
        <v>1.1992035000000001</v>
      </c>
      <c r="AW24" s="3">
        <v>1.2043503</v>
      </c>
      <c r="AX24" s="3">
        <v>1.2094038</v>
      </c>
      <c r="AY24" s="3">
        <v>1.2143698999999999</v>
      </c>
      <c r="AZ24" s="3">
        <v>1.2192544000000001</v>
      </c>
      <c r="BA24" s="3">
        <v>1.2240635</v>
      </c>
      <c r="BB24" s="3">
        <v>1.2288041000000001</v>
      </c>
      <c r="BC24" s="3">
        <v>1.2334832</v>
      </c>
      <c r="BD24" s="3">
        <v>1.2381081</v>
      </c>
      <c r="BE24" s="3">
        <v>1.2426855999999999</v>
      </c>
      <c r="BF24" s="3">
        <v>1.2472231</v>
      </c>
      <c r="BG24" s="3">
        <v>1.2517274</v>
      </c>
      <c r="BH24" s="3">
        <v>1.2562059000000001</v>
      </c>
      <c r="BI24" s="3">
        <v>1.2606653999999999</v>
      </c>
      <c r="BJ24" s="3">
        <v>1.2651132</v>
      </c>
      <c r="BK24" s="3">
        <v>1.2695563000000001</v>
      </c>
      <c r="BL24" s="3">
        <v>1.2740019</v>
      </c>
      <c r="BM24" s="3" t="e">
        <v>#N/A</v>
      </c>
      <c r="BN24" s="3" t="e">
        <v>#N/A</v>
      </c>
    </row>
    <row r="25" spans="1:66" x14ac:dyDescent="0.35">
      <c r="A25" s="5">
        <f t="shared" si="0"/>
        <v>43489</v>
      </c>
      <c r="B25" t="s">
        <v>102</v>
      </c>
      <c r="C25" s="2">
        <v>0.75</v>
      </c>
      <c r="D25" s="2">
        <v>0.70569999999999999</v>
      </c>
      <c r="E25" s="3">
        <v>0.70992370000000005</v>
      </c>
      <c r="F25" s="3">
        <v>0.71977849999999999</v>
      </c>
      <c r="G25" s="3">
        <v>0.73442830000000003</v>
      </c>
      <c r="H25" s="3">
        <v>0.74987800000000004</v>
      </c>
      <c r="I25" s="3">
        <v>0.76436689999999996</v>
      </c>
      <c r="J25" s="3">
        <v>0.77855580000000002</v>
      </c>
      <c r="K25" s="3">
        <v>0.79310420000000004</v>
      </c>
      <c r="L25" s="3">
        <v>0.80819229999999997</v>
      </c>
      <c r="M25" s="3">
        <v>0.82400709999999999</v>
      </c>
      <c r="N25" s="3">
        <v>0.84044839999999998</v>
      </c>
      <c r="O25" s="3">
        <v>0.85717960000000004</v>
      </c>
      <c r="P25" s="3">
        <v>0.87384899999999999</v>
      </c>
      <c r="Q25" s="3">
        <v>0.88989870000000004</v>
      </c>
      <c r="R25" s="3">
        <v>0.90515809999999997</v>
      </c>
      <c r="S25" s="3">
        <v>0.91957449999999996</v>
      </c>
      <c r="T25" s="3">
        <v>0.93309509999999996</v>
      </c>
      <c r="U25" s="3">
        <v>0.94566700000000004</v>
      </c>
      <c r="V25" s="3">
        <v>0.95723749999999996</v>
      </c>
      <c r="W25" s="3">
        <v>0.96779219999999999</v>
      </c>
      <c r="X25" s="3">
        <v>0.97746279999999997</v>
      </c>
      <c r="Y25" s="3">
        <v>0.98641590000000001</v>
      </c>
      <c r="Z25" s="3">
        <v>0.99481790000000003</v>
      </c>
      <c r="AA25" s="3">
        <v>1.0028353999999999</v>
      </c>
      <c r="AB25" s="3">
        <v>1.0106348000000001</v>
      </c>
      <c r="AC25" s="3">
        <v>1.0183584999999999</v>
      </c>
      <c r="AD25" s="3">
        <v>1.0260301999999999</v>
      </c>
      <c r="AE25" s="3">
        <v>1.0336376</v>
      </c>
      <c r="AF25" s="3">
        <v>1.0411683</v>
      </c>
      <c r="AG25" s="3">
        <v>1.0486101999999999</v>
      </c>
      <c r="AH25" s="3">
        <v>1.0559510000000001</v>
      </c>
      <c r="AI25" s="3">
        <v>1.0631782999999999</v>
      </c>
      <c r="AJ25" s="3">
        <v>1.0702798</v>
      </c>
      <c r="AK25" s="3">
        <v>1.0772434</v>
      </c>
      <c r="AL25" s="3">
        <v>1.0840567000000001</v>
      </c>
      <c r="AM25" s="3">
        <v>1.0907074000000001</v>
      </c>
      <c r="AN25" s="3">
        <v>1.0971831999999999</v>
      </c>
      <c r="AO25" s="3">
        <v>1.1034744000000001</v>
      </c>
      <c r="AP25" s="3">
        <v>1.1095826</v>
      </c>
      <c r="AQ25" s="3">
        <v>1.1155123</v>
      </c>
      <c r="AR25" s="3">
        <v>1.1212683000000001</v>
      </c>
      <c r="AS25" s="3">
        <v>1.1268552000000001</v>
      </c>
      <c r="AT25" s="3">
        <v>1.1322776000000001</v>
      </c>
      <c r="AU25" s="3">
        <v>1.1375402999999999</v>
      </c>
      <c r="AV25" s="3">
        <v>1.1426476999999999</v>
      </c>
      <c r="AW25" s="3">
        <v>1.1476046</v>
      </c>
      <c r="AX25" s="3">
        <v>1.1524156999999999</v>
      </c>
      <c r="AY25" s="3">
        <v>1.1570856</v>
      </c>
      <c r="AZ25" s="3">
        <v>1.1616188000000001</v>
      </c>
      <c r="BA25" s="3">
        <v>1.166021</v>
      </c>
      <c r="BB25" s="3">
        <v>1.1703007000000001</v>
      </c>
      <c r="BC25" s="3">
        <v>1.1744676000000001</v>
      </c>
      <c r="BD25" s="3">
        <v>1.1785315999999999</v>
      </c>
      <c r="BE25" s="3">
        <v>1.1825021</v>
      </c>
      <c r="BF25" s="3">
        <v>1.1863889000000001</v>
      </c>
      <c r="BG25" s="3">
        <v>1.1902017</v>
      </c>
      <c r="BH25" s="3">
        <v>1.1939500999999999</v>
      </c>
      <c r="BI25" s="3">
        <v>1.1976438</v>
      </c>
      <c r="BJ25" s="3">
        <v>1.2012925000000001</v>
      </c>
      <c r="BK25" s="3">
        <v>1.2049059</v>
      </c>
      <c r="BL25" s="3">
        <v>1.2084935999999999</v>
      </c>
      <c r="BM25" s="3" t="e">
        <v>#N/A</v>
      </c>
      <c r="BN25" s="3" t="e">
        <v>#N/A</v>
      </c>
    </row>
    <row r="26" spans="1:66" x14ac:dyDescent="0.35">
      <c r="A26" s="5">
        <f t="shared" si="0"/>
        <v>43490</v>
      </c>
      <c r="B26" t="s">
        <v>103</v>
      </c>
      <c r="C26" s="2">
        <v>0.75</v>
      </c>
      <c r="D26" s="2">
        <v>0.70450000000000002</v>
      </c>
      <c r="E26" s="3">
        <v>0.70498329999999998</v>
      </c>
      <c r="F26" s="3">
        <v>0.71575920000000004</v>
      </c>
      <c r="G26" s="3">
        <v>0.73228720000000003</v>
      </c>
      <c r="H26" s="3">
        <v>0.75235050000000003</v>
      </c>
      <c r="I26" s="3">
        <v>0.77349920000000005</v>
      </c>
      <c r="J26" s="3">
        <v>0.79461749999999998</v>
      </c>
      <c r="K26" s="3">
        <v>0.81479199999999996</v>
      </c>
      <c r="L26" s="3">
        <v>0.83354989999999995</v>
      </c>
      <c r="M26" s="3">
        <v>0.85102990000000001</v>
      </c>
      <c r="N26" s="3">
        <v>0.86739500000000003</v>
      </c>
      <c r="O26" s="3">
        <v>0.8826659</v>
      </c>
      <c r="P26" s="3">
        <v>0.89688009999999996</v>
      </c>
      <c r="Q26" s="3">
        <v>0.91001920000000003</v>
      </c>
      <c r="R26" s="3">
        <v>0.92220000000000002</v>
      </c>
      <c r="S26" s="3">
        <v>0.93358989999999997</v>
      </c>
      <c r="T26" s="3">
        <v>0.94435610000000003</v>
      </c>
      <c r="U26" s="3">
        <v>0.95466600000000001</v>
      </c>
      <c r="V26" s="3">
        <v>0.96468699999999996</v>
      </c>
      <c r="W26" s="3">
        <v>0.9745646</v>
      </c>
      <c r="X26" s="3">
        <v>0.98434299999999997</v>
      </c>
      <c r="Y26" s="3">
        <v>0.99403699999999995</v>
      </c>
      <c r="Z26" s="3">
        <v>1.0036616</v>
      </c>
      <c r="AA26" s="3">
        <v>1.0132315000000001</v>
      </c>
      <c r="AB26" s="3">
        <v>1.0227617</v>
      </c>
      <c r="AC26" s="3">
        <v>1.032262</v>
      </c>
      <c r="AD26" s="3">
        <v>1.0417202999999999</v>
      </c>
      <c r="AE26" s="3">
        <v>1.0511181000000001</v>
      </c>
      <c r="AF26" s="3">
        <v>1.0604373</v>
      </c>
      <c r="AG26" s="3">
        <v>1.0696595</v>
      </c>
      <c r="AH26" s="3">
        <v>1.0787663999999999</v>
      </c>
      <c r="AI26" s="3">
        <v>1.0877398</v>
      </c>
      <c r="AJ26" s="3">
        <v>1.0965613000000001</v>
      </c>
      <c r="AK26" s="3">
        <v>1.1052127</v>
      </c>
      <c r="AL26" s="3">
        <v>1.1136756999999999</v>
      </c>
      <c r="AM26" s="3">
        <v>1.1219319999999999</v>
      </c>
      <c r="AN26" s="3">
        <v>1.1299631999999999</v>
      </c>
      <c r="AO26" s="3">
        <v>1.1377548</v>
      </c>
      <c r="AP26" s="3">
        <v>1.1453084</v>
      </c>
      <c r="AQ26" s="3">
        <v>1.1526301999999999</v>
      </c>
      <c r="AR26" s="3">
        <v>1.1597263</v>
      </c>
      <c r="AS26" s="3">
        <v>1.1666027999999999</v>
      </c>
      <c r="AT26" s="3">
        <v>1.1732658</v>
      </c>
      <c r="AU26" s="3">
        <v>1.1797215000000001</v>
      </c>
      <c r="AV26" s="3">
        <v>1.1859759000000001</v>
      </c>
      <c r="AW26" s="3">
        <v>1.1920352999999999</v>
      </c>
      <c r="AX26" s="3">
        <v>1.1979058</v>
      </c>
      <c r="AY26" s="3">
        <v>1.2035935</v>
      </c>
      <c r="AZ26" s="3">
        <v>1.2091044</v>
      </c>
      <c r="BA26" s="3">
        <v>1.2144455000000001</v>
      </c>
      <c r="BB26" s="3">
        <v>1.2196263000000001</v>
      </c>
      <c r="BC26" s="3">
        <v>1.2246573999999999</v>
      </c>
      <c r="BD26" s="3">
        <v>1.2295491000000001</v>
      </c>
      <c r="BE26" s="3">
        <v>1.2343120999999999</v>
      </c>
      <c r="BF26" s="3">
        <v>1.2389566000000001</v>
      </c>
      <c r="BG26" s="3">
        <v>1.2434932000000001</v>
      </c>
      <c r="BH26" s="3">
        <v>1.2479324000000001</v>
      </c>
      <c r="BI26" s="3">
        <v>1.2522846000000001</v>
      </c>
      <c r="BJ26" s="3">
        <v>1.2565603000000001</v>
      </c>
      <c r="BK26" s="3">
        <v>1.2607699000000001</v>
      </c>
      <c r="BL26" s="3">
        <v>1.2649239999999999</v>
      </c>
      <c r="BM26" s="3" t="e">
        <v>#N/A</v>
      </c>
      <c r="BN26" s="3" t="e">
        <v>#N/A</v>
      </c>
    </row>
    <row r="27" spans="1:66" x14ac:dyDescent="0.35">
      <c r="A27" s="5">
        <f t="shared" si="0"/>
        <v>43493</v>
      </c>
      <c r="B27" t="s">
        <v>104</v>
      </c>
      <c r="C27" s="2">
        <v>0.75</v>
      </c>
      <c r="D27" s="2">
        <v>0.70540000000000003</v>
      </c>
      <c r="E27" s="3">
        <v>0.71185620000000005</v>
      </c>
      <c r="F27" s="3">
        <v>0.71644989999999997</v>
      </c>
      <c r="G27" s="3">
        <v>0.72815359999999996</v>
      </c>
      <c r="H27" s="3">
        <v>0.74485460000000003</v>
      </c>
      <c r="I27" s="3">
        <v>0.76212100000000005</v>
      </c>
      <c r="J27" s="3">
        <v>0.77850529999999996</v>
      </c>
      <c r="K27" s="3">
        <v>0.79372920000000002</v>
      </c>
      <c r="L27" s="3">
        <v>0.80798740000000002</v>
      </c>
      <c r="M27" s="3">
        <v>0.82178169999999995</v>
      </c>
      <c r="N27" s="3">
        <v>0.83543040000000002</v>
      </c>
      <c r="O27" s="3">
        <v>0.84906979999999999</v>
      </c>
      <c r="P27" s="3">
        <v>0.86280590000000001</v>
      </c>
      <c r="Q27" s="3">
        <v>0.87662989999999996</v>
      </c>
      <c r="R27" s="3">
        <v>0.89043150000000004</v>
      </c>
      <c r="S27" s="3">
        <v>0.9040821</v>
      </c>
      <c r="T27" s="3">
        <v>0.91745299999999996</v>
      </c>
      <c r="U27" s="3">
        <v>0.93041560000000001</v>
      </c>
      <c r="V27" s="3">
        <v>0.94284120000000005</v>
      </c>
      <c r="W27" s="3">
        <v>0.95463629999999999</v>
      </c>
      <c r="X27" s="3">
        <v>0.96584130000000001</v>
      </c>
      <c r="Y27" s="3">
        <v>0.97652810000000001</v>
      </c>
      <c r="Z27" s="3">
        <v>0.9867688</v>
      </c>
      <c r="AA27" s="3">
        <v>0.99663550000000001</v>
      </c>
      <c r="AB27" s="3">
        <v>1.0062002999999999</v>
      </c>
      <c r="AC27" s="3">
        <v>1.0155242</v>
      </c>
      <c r="AD27" s="3">
        <v>1.0246198</v>
      </c>
      <c r="AE27" s="3">
        <v>1.0334862</v>
      </c>
      <c r="AF27" s="3">
        <v>1.0421225000000001</v>
      </c>
      <c r="AG27" s="3">
        <v>1.0505278</v>
      </c>
      <c r="AH27" s="3">
        <v>1.0587013000000001</v>
      </c>
      <c r="AI27" s="3">
        <v>1.0666420000000001</v>
      </c>
      <c r="AJ27" s="3">
        <v>1.0743491999999999</v>
      </c>
      <c r="AK27" s="3">
        <v>1.0818217999999999</v>
      </c>
      <c r="AL27" s="3">
        <v>1.0890591000000001</v>
      </c>
      <c r="AM27" s="3">
        <v>1.0960601999999999</v>
      </c>
      <c r="AN27" s="3">
        <v>1.1028241000000001</v>
      </c>
      <c r="AO27" s="3">
        <v>1.1093516999999999</v>
      </c>
      <c r="AP27" s="3">
        <v>1.1156509999999999</v>
      </c>
      <c r="AQ27" s="3">
        <v>1.121732</v>
      </c>
      <c r="AR27" s="3">
        <v>1.1276047</v>
      </c>
      <c r="AS27" s="3">
        <v>1.1332793999999999</v>
      </c>
      <c r="AT27" s="3">
        <v>1.1387658000000001</v>
      </c>
      <c r="AU27" s="3">
        <v>1.1440741999999999</v>
      </c>
      <c r="AV27" s="3">
        <v>1.1492146000000001</v>
      </c>
      <c r="AW27" s="3">
        <v>1.1541969999999999</v>
      </c>
      <c r="AX27" s="3">
        <v>1.1590313999999999</v>
      </c>
      <c r="AY27" s="3">
        <v>1.1637280000000001</v>
      </c>
      <c r="AZ27" s="3">
        <v>1.1682967</v>
      </c>
      <c r="BA27" s="3">
        <v>1.1727475000000001</v>
      </c>
      <c r="BB27" s="3">
        <v>1.1770901</v>
      </c>
      <c r="BC27" s="3">
        <v>1.1813336999999999</v>
      </c>
      <c r="BD27" s="3">
        <v>1.1854879</v>
      </c>
      <c r="BE27" s="3">
        <v>1.1895621999999999</v>
      </c>
      <c r="BF27" s="3">
        <v>1.1935658</v>
      </c>
      <c r="BG27" s="3">
        <v>1.1975083</v>
      </c>
      <c r="BH27" s="3">
        <v>1.2013992</v>
      </c>
      <c r="BI27" s="3">
        <v>1.2052476999999999</v>
      </c>
      <c r="BJ27" s="3">
        <v>1.2090635000000001</v>
      </c>
      <c r="BK27" s="3">
        <v>1.2128558</v>
      </c>
      <c r="BL27" s="3">
        <v>1.2166342000000001</v>
      </c>
      <c r="BM27" s="3" t="e">
        <v>#N/A</v>
      </c>
      <c r="BN27" s="3" t="e">
        <v>#N/A</v>
      </c>
    </row>
    <row r="28" spans="1:66" x14ac:dyDescent="0.35">
      <c r="A28" s="5">
        <f t="shared" si="0"/>
        <v>43494</v>
      </c>
      <c r="B28" t="s">
        <v>105</v>
      </c>
      <c r="C28" s="2">
        <v>0.75</v>
      </c>
      <c r="D28" s="2">
        <v>0.7036</v>
      </c>
      <c r="E28" s="3">
        <v>0.70990379999999997</v>
      </c>
      <c r="F28" s="3">
        <v>0.71930760000000005</v>
      </c>
      <c r="G28" s="3">
        <v>0.73118930000000004</v>
      </c>
      <c r="H28" s="3">
        <v>0.7451219</v>
      </c>
      <c r="I28" s="3">
        <v>0.75880150000000002</v>
      </c>
      <c r="J28" s="3">
        <v>0.77205520000000005</v>
      </c>
      <c r="K28" s="3">
        <v>0.78511160000000002</v>
      </c>
      <c r="L28" s="3">
        <v>0.79821350000000002</v>
      </c>
      <c r="M28" s="3">
        <v>0.81165089999999995</v>
      </c>
      <c r="N28" s="3">
        <v>0.82541759999999997</v>
      </c>
      <c r="O28" s="3">
        <v>0.83938500000000005</v>
      </c>
      <c r="P28" s="3">
        <v>0.85347189999999995</v>
      </c>
      <c r="Q28" s="3">
        <v>0.86745209999999995</v>
      </c>
      <c r="R28" s="3">
        <v>0.88120290000000001</v>
      </c>
      <c r="S28" s="3">
        <v>0.89464160000000004</v>
      </c>
      <c r="T28" s="3">
        <v>0.90768530000000003</v>
      </c>
      <c r="U28" s="3">
        <v>0.92025129999999999</v>
      </c>
      <c r="V28" s="3">
        <v>0.93225670000000005</v>
      </c>
      <c r="W28" s="3">
        <v>0.94364570000000003</v>
      </c>
      <c r="X28" s="3">
        <v>0.95446549999999997</v>
      </c>
      <c r="Y28" s="3">
        <v>0.96478770000000003</v>
      </c>
      <c r="Z28" s="3">
        <v>0.97468399999999999</v>
      </c>
      <c r="AA28" s="3">
        <v>0.98422589999999999</v>
      </c>
      <c r="AB28" s="3">
        <v>0.99348530000000002</v>
      </c>
      <c r="AC28" s="3">
        <v>1.0025234999999999</v>
      </c>
      <c r="AD28" s="3">
        <v>1.0113578999999999</v>
      </c>
      <c r="AE28" s="3">
        <v>1.0199933000000001</v>
      </c>
      <c r="AF28" s="3">
        <v>1.0284347</v>
      </c>
      <c r="AG28" s="3">
        <v>1.0366871</v>
      </c>
      <c r="AH28" s="3">
        <v>1.0447553000000001</v>
      </c>
      <c r="AI28" s="3">
        <v>1.0526443999999999</v>
      </c>
      <c r="AJ28" s="3">
        <v>1.0603593</v>
      </c>
      <c r="AK28" s="3">
        <v>1.0679049</v>
      </c>
      <c r="AL28" s="3">
        <v>1.0752861</v>
      </c>
      <c r="AM28" s="3">
        <v>1.082508</v>
      </c>
      <c r="AN28" s="3">
        <v>1.0895754</v>
      </c>
      <c r="AO28" s="3">
        <v>1.0964932000000001</v>
      </c>
      <c r="AP28" s="3">
        <v>1.1032649999999999</v>
      </c>
      <c r="AQ28" s="3">
        <v>1.1098942999999999</v>
      </c>
      <c r="AR28" s="3">
        <v>1.1163845999999999</v>
      </c>
      <c r="AS28" s="3">
        <v>1.1227393999999999</v>
      </c>
      <c r="AT28" s="3">
        <v>1.128962</v>
      </c>
      <c r="AU28" s="3">
        <v>1.1350559</v>
      </c>
      <c r="AV28" s="3">
        <v>1.1410245999999999</v>
      </c>
      <c r="AW28" s="3">
        <v>1.1468714</v>
      </c>
      <c r="AX28" s="3">
        <v>1.1526000000000001</v>
      </c>
      <c r="AY28" s="3">
        <v>1.1582135</v>
      </c>
      <c r="AZ28" s="3">
        <v>1.1637157</v>
      </c>
      <c r="BA28" s="3">
        <v>1.1691102</v>
      </c>
      <c r="BB28" s="3">
        <v>1.1744032</v>
      </c>
      <c r="BC28" s="3">
        <v>1.1796013999999999</v>
      </c>
      <c r="BD28" s="3">
        <v>1.1847114000000001</v>
      </c>
      <c r="BE28" s="3">
        <v>1.1897399</v>
      </c>
      <c r="BF28" s="3">
        <v>1.1946937</v>
      </c>
      <c r="BG28" s="3">
        <v>1.1995794</v>
      </c>
      <c r="BH28" s="3">
        <v>1.2044037000000001</v>
      </c>
      <c r="BI28" s="3">
        <v>1.2091734000000001</v>
      </c>
      <c r="BJ28" s="3">
        <v>1.2138951</v>
      </c>
      <c r="BK28" s="3">
        <v>1.2185755</v>
      </c>
      <c r="BL28" s="3">
        <v>1.2232213999999999</v>
      </c>
      <c r="BM28" s="3" t="e">
        <v>#N/A</v>
      </c>
      <c r="BN28" s="3" t="e">
        <v>#N/A</v>
      </c>
    </row>
    <row r="29" spans="1:66" x14ac:dyDescent="0.35">
      <c r="A29" s="5">
        <f t="shared" si="0"/>
        <v>43495</v>
      </c>
      <c r="B29" t="s">
        <v>106</v>
      </c>
      <c r="C29" s="2">
        <v>0.75</v>
      </c>
      <c r="D29" s="2">
        <v>0.70340000000000003</v>
      </c>
      <c r="E29" s="3">
        <v>0.70875580000000005</v>
      </c>
      <c r="F29" s="3">
        <v>0.71742859999999997</v>
      </c>
      <c r="G29" s="3">
        <v>0.72971850000000005</v>
      </c>
      <c r="H29" s="3">
        <v>0.74480800000000003</v>
      </c>
      <c r="I29" s="3">
        <v>0.75981399999999999</v>
      </c>
      <c r="J29" s="3">
        <v>0.77424110000000002</v>
      </c>
      <c r="K29" s="3">
        <v>0.78819600000000001</v>
      </c>
      <c r="L29" s="3">
        <v>0.8019906</v>
      </c>
      <c r="M29" s="3">
        <v>0.81601789999999996</v>
      </c>
      <c r="N29" s="3">
        <v>0.83028880000000005</v>
      </c>
      <c r="O29" s="3">
        <v>0.84459740000000005</v>
      </c>
      <c r="P29" s="3">
        <v>0.85878960000000004</v>
      </c>
      <c r="Q29" s="3">
        <v>0.8726064</v>
      </c>
      <c r="R29" s="3">
        <v>0.88595840000000003</v>
      </c>
      <c r="S29" s="3">
        <v>0.89881080000000002</v>
      </c>
      <c r="T29" s="3">
        <v>0.91112850000000001</v>
      </c>
      <c r="U29" s="3">
        <v>0.92287669999999999</v>
      </c>
      <c r="V29" s="3">
        <v>0.93402030000000003</v>
      </c>
      <c r="W29" s="3">
        <v>0.94454329999999997</v>
      </c>
      <c r="X29" s="3">
        <v>0.95450140000000006</v>
      </c>
      <c r="Y29" s="3">
        <v>0.96396729999999997</v>
      </c>
      <c r="Z29" s="3">
        <v>0.97301389999999999</v>
      </c>
      <c r="AA29" s="3">
        <v>0.98171379999999997</v>
      </c>
      <c r="AB29" s="3">
        <v>0.99014000000000002</v>
      </c>
      <c r="AC29" s="3">
        <v>0.99835739999999995</v>
      </c>
      <c r="AD29" s="3">
        <v>1.0063899000000001</v>
      </c>
      <c r="AE29" s="3">
        <v>1.0142473999999999</v>
      </c>
      <c r="AF29" s="3">
        <v>1.0219396000000001</v>
      </c>
      <c r="AG29" s="3">
        <v>1.0294766</v>
      </c>
      <c r="AH29" s="3">
        <v>1.0368681</v>
      </c>
      <c r="AI29" s="3">
        <v>1.0441241000000001</v>
      </c>
      <c r="AJ29" s="3">
        <v>1.0512543999999999</v>
      </c>
      <c r="AK29" s="3">
        <v>1.0582689999999999</v>
      </c>
      <c r="AL29" s="3">
        <v>1.0651777</v>
      </c>
      <c r="AM29" s="3">
        <v>1.0719903</v>
      </c>
      <c r="AN29" s="3">
        <v>1.0787168</v>
      </c>
      <c r="AO29" s="3">
        <v>1.0853653999999999</v>
      </c>
      <c r="AP29" s="3">
        <v>1.0919361999999999</v>
      </c>
      <c r="AQ29" s="3">
        <v>1.098427</v>
      </c>
      <c r="AR29" s="3">
        <v>1.1048353</v>
      </c>
      <c r="AS29" s="3">
        <v>1.111159</v>
      </c>
      <c r="AT29" s="3">
        <v>1.1173956</v>
      </c>
      <c r="AU29" s="3">
        <v>1.1235428999999999</v>
      </c>
      <c r="AV29" s="3">
        <v>1.1295986</v>
      </c>
      <c r="AW29" s="3">
        <v>1.1355603999999999</v>
      </c>
      <c r="AX29" s="3">
        <v>1.1414259</v>
      </c>
      <c r="AY29" s="3">
        <v>1.1471929000000001</v>
      </c>
      <c r="AZ29" s="3">
        <v>1.1528589</v>
      </c>
      <c r="BA29" s="3">
        <v>1.158423</v>
      </c>
      <c r="BB29" s="3">
        <v>1.163889</v>
      </c>
      <c r="BC29" s="3">
        <v>1.1692624</v>
      </c>
      <c r="BD29" s="3">
        <v>1.1745486000000001</v>
      </c>
      <c r="BE29" s="3">
        <v>1.1797530000000001</v>
      </c>
      <c r="BF29" s="3">
        <v>1.1848809</v>
      </c>
      <c r="BG29" s="3">
        <v>1.1899379000000001</v>
      </c>
      <c r="BH29" s="3">
        <v>1.1949292</v>
      </c>
      <c r="BI29" s="3">
        <v>1.1998603999999999</v>
      </c>
      <c r="BJ29" s="3">
        <v>1.2047368000000001</v>
      </c>
      <c r="BK29" s="3">
        <v>1.2095638</v>
      </c>
      <c r="BL29" s="3">
        <v>1.2143467999999999</v>
      </c>
      <c r="BM29" s="3" t="e">
        <v>#N/A</v>
      </c>
      <c r="BN29" s="3" t="e">
        <v>#N/A</v>
      </c>
    </row>
    <row r="30" spans="1:66" x14ac:dyDescent="0.35">
      <c r="A30" s="5">
        <f t="shared" si="0"/>
        <v>43496</v>
      </c>
      <c r="B30" t="s">
        <v>107</v>
      </c>
      <c r="C30" s="2">
        <v>0.75</v>
      </c>
      <c r="D30" s="2">
        <v>0.70340000000000003</v>
      </c>
      <c r="E30" s="3">
        <v>0.70330990000000004</v>
      </c>
      <c r="F30" s="3">
        <v>0.70693220000000001</v>
      </c>
      <c r="G30" s="3">
        <v>0.71769260000000001</v>
      </c>
      <c r="H30" s="3">
        <v>0.73297610000000002</v>
      </c>
      <c r="I30" s="3">
        <v>0.74870300000000001</v>
      </c>
      <c r="J30" s="3">
        <v>0.76378420000000002</v>
      </c>
      <c r="K30" s="3">
        <v>0.77810590000000002</v>
      </c>
      <c r="L30" s="3">
        <v>0.79184569999999999</v>
      </c>
      <c r="M30" s="3">
        <v>0.80532939999999997</v>
      </c>
      <c r="N30" s="3">
        <v>0.81856030000000002</v>
      </c>
      <c r="O30" s="3">
        <v>0.83137649999999996</v>
      </c>
      <c r="P30" s="3">
        <v>0.84372190000000002</v>
      </c>
      <c r="Q30" s="3">
        <v>0.85553009999999996</v>
      </c>
      <c r="R30" s="3">
        <v>0.86679930000000005</v>
      </c>
      <c r="S30" s="3">
        <v>0.87754860000000001</v>
      </c>
      <c r="T30" s="3">
        <v>0.8877969</v>
      </c>
      <c r="U30" s="3">
        <v>0.89756309999999995</v>
      </c>
      <c r="V30" s="3">
        <v>0.90686610000000001</v>
      </c>
      <c r="W30" s="3">
        <v>0.91573420000000005</v>
      </c>
      <c r="X30" s="3">
        <v>0.92423100000000002</v>
      </c>
      <c r="Y30" s="3">
        <v>0.93242849999999999</v>
      </c>
      <c r="Z30" s="3">
        <v>0.94039870000000003</v>
      </c>
      <c r="AA30" s="3">
        <v>0.94821370000000005</v>
      </c>
      <c r="AB30" s="3">
        <v>0.95594539999999995</v>
      </c>
      <c r="AC30" s="3">
        <v>0.96365500000000004</v>
      </c>
      <c r="AD30" s="3">
        <v>0.97134949999999998</v>
      </c>
      <c r="AE30" s="3">
        <v>0.97901970000000005</v>
      </c>
      <c r="AF30" s="3">
        <v>0.98665639999999999</v>
      </c>
      <c r="AG30" s="3">
        <v>0.99425039999999998</v>
      </c>
      <c r="AH30" s="3">
        <v>1.0017925000000001</v>
      </c>
      <c r="AI30" s="3">
        <v>1.0092734000000001</v>
      </c>
      <c r="AJ30" s="3">
        <v>1.0166839000000001</v>
      </c>
      <c r="AK30" s="3">
        <v>1.0240148</v>
      </c>
      <c r="AL30" s="3">
        <v>1.0312569</v>
      </c>
      <c r="AM30" s="3">
        <v>1.0384009000000001</v>
      </c>
      <c r="AN30" s="3">
        <v>1.0454376999999999</v>
      </c>
      <c r="AO30" s="3">
        <v>1.0523591000000001</v>
      </c>
      <c r="AP30" s="3">
        <v>1.0591625</v>
      </c>
      <c r="AQ30" s="3">
        <v>1.0658464000000001</v>
      </c>
      <c r="AR30" s="3">
        <v>1.0724096000000001</v>
      </c>
      <c r="AS30" s="3">
        <v>1.0788504999999999</v>
      </c>
      <c r="AT30" s="3">
        <v>1.0851679999999999</v>
      </c>
      <c r="AU30" s="3">
        <v>1.0913606</v>
      </c>
      <c r="AV30" s="3">
        <v>1.0974271</v>
      </c>
      <c r="AW30" s="3">
        <v>1.1033660000000001</v>
      </c>
      <c r="AX30" s="3">
        <v>1.1091759999999999</v>
      </c>
      <c r="AY30" s="3">
        <v>1.1148556999999999</v>
      </c>
      <c r="AZ30" s="3">
        <v>1.1204038999999999</v>
      </c>
      <c r="BA30" s="3">
        <v>1.1258204000000001</v>
      </c>
      <c r="BB30" s="3">
        <v>1.1311112999999999</v>
      </c>
      <c r="BC30" s="3">
        <v>1.1362840999999999</v>
      </c>
      <c r="BD30" s="3">
        <v>1.1413462999999999</v>
      </c>
      <c r="BE30" s="3">
        <v>1.1463055</v>
      </c>
      <c r="BF30" s="3">
        <v>1.1511692</v>
      </c>
      <c r="BG30" s="3">
        <v>1.1559451000000001</v>
      </c>
      <c r="BH30" s="3">
        <v>1.1606407000000001</v>
      </c>
      <c r="BI30" s="3">
        <v>1.1652635</v>
      </c>
      <c r="BJ30" s="3">
        <v>1.1698211999999999</v>
      </c>
      <c r="BK30" s="3">
        <v>1.1743212000000001</v>
      </c>
      <c r="BL30" s="3">
        <v>1.1787711000000001</v>
      </c>
      <c r="BM30" s="3" t="e">
        <v>#N/A</v>
      </c>
      <c r="BN30" s="3" t="e">
        <v>#N/A</v>
      </c>
    </row>
    <row r="31" spans="1:66" x14ac:dyDescent="0.35">
      <c r="A31" s="5">
        <f t="shared" si="0"/>
        <v>43497</v>
      </c>
      <c r="B31" t="s">
        <v>108</v>
      </c>
      <c r="C31" s="2">
        <v>0.75</v>
      </c>
      <c r="D31" s="2">
        <v>0.70250000000000001</v>
      </c>
      <c r="E31" s="3">
        <v>0.70456280000000004</v>
      </c>
      <c r="F31" s="3">
        <v>0.71056960000000002</v>
      </c>
      <c r="G31" s="3">
        <v>0.72208709999999998</v>
      </c>
      <c r="H31" s="3">
        <v>0.73785069999999997</v>
      </c>
      <c r="I31" s="3">
        <v>0.75354920000000003</v>
      </c>
      <c r="J31" s="3">
        <v>0.76807890000000001</v>
      </c>
      <c r="K31" s="3">
        <v>0.78151280000000001</v>
      </c>
      <c r="L31" s="3">
        <v>0.79435040000000001</v>
      </c>
      <c r="M31" s="3">
        <v>0.80719569999999996</v>
      </c>
      <c r="N31" s="3">
        <v>0.8201908</v>
      </c>
      <c r="O31" s="3">
        <v>0.83320609999999995</v>
      </c>
      <c r="P31" s="3">
        <v>0.84605549999999996</v>
      </c>
      <c r="Q31" s="3">
        <v>0.8584406</v>
      </c>
      <c r="R31" s="3">
        <v>0.87027529999999997</v>
      </c>
      <c r="S31" s="3">
        <v>0.88155150000000004</v>
      </c>
      <c r="T31" s="3">
        <v>0.89226110000000003</v>
      </c>
      <c r="U31" s="3">
        <v>0.90239630000000004</v>
      </c>
      <c r="V31" s="3">
        <v>0.91194889999999995</v>
      </c>
      <c r="W31" s="3">
        <v>0.92092700000000005</v>
      </c>
      <c r="X31" s="3">
        <v>0.92941390000000002</v>
      </c>
      <c r="Y31" s="3">
        <v>0.93751450000000003</v>
      </c>
      <c r="Z31" s="3">
        <v>0.94533350000000005</v>
      </c>
      <c r="AA31" s="3">
        <v>0.95297609999999999</v>
      </c>
      <c r="AB31" s="3">
        <v>0.96054689999999998</v>
      </c>
      <c r="AC31" s="3">
        <v>0.96813349999999998</v>
      </c>
      <c r="AD31" s="3">
        <v>0.97574570000000005</v>
      </c>
      <c r="AE31" s="3">
        <v>0.98337189999999997</v>
      </c>
      <c r="AF31" s="3">
        <v>0.99100069999999996</v>
      </c>
      <c r="AG31" s="3">
        <v>0.99862059999999997</v>
      </c>
      <c r="AH31" s="3">
        <v>1.0062199999999999</v>
      </c>
      <c r="AI31" s="3">
        <v>1.0137875000000001</v>
      </c>
      <c r="AJ31" s="3">
        <v>1.0213116</v>
      </c>
      <c r="AK31" s="3">
        <v>1.0287807</v>
      </c>
      <c r="AL31" s="3">
        <v>1.0361833</v>
      </c>
      <c r="AM31" s="3">
        <v>1.0435080000000001</v>
      </c>
      <c r="AN31" s="3">
        <v>1.0507432000000001</v>
      </c>
      <c r="AO31" s="3">
        <v>1.0578791000000001</v>
      </c>
      <c r="AP31" s="3">
        <v>1.0649131999999999</v>
      </c>
      <c r="AQ31" s="3">
        <v>1.0718449000000001</v>
      </c>
      <c r="AR31" s="3">
        <v>1.0786739000000001</v>
      </c>
      <c r="AS31" s="3">
        <v>1.0853995999999999</v>
      </c>
      <c r="AT31" s="3">
        <v>1.0920215</v>
      </c>
      <c r="AU31" s="3">
        <v>1.0985392</v>
      </c>
      <c r="AV31" s="3">
        <v>1.1049521</v>
      </c>
      <c r="AW31" s="3">
        <v>1.1112598</v>
      </c>
      <c r="AX31" s="3">
        <v>1.1174618000000001</v>
      </c>
      <c r="AY31" s="3">
        <v>1.1235576</v>
      </c>
      <c r="AZ31" s="3">
        <v>1.1295466999999999</v>
      </c>
      <c r="BA31" s="3">
        <v>1.1354295999999999</v>
      </c>
      <c r="BB31" s="3">
        <v>1.141211</v>
      </c>
      <c r="BC31" s="3">
        <v>1.1468969</v>
      </c>
      <c r="BD31" s="3">
        <v>1.152493</v>
      </c>
      <c r="BE31" s="3">
        <v>1.1580055</v>
      </c>
      <c r="BF31" s="3">
        <v>1.16344</v>
      </c>
      <c r="BG31" s="3">
        <v>1.1688027000000001</v>
      </c>
      <c r="BH31" s="3">
        <v>1.1740993</v>
      </c>
      <c r="BI31" s="3">
        <v>1.1793357</v>
      </c>
      <c r="BJ31" s="3">
        <v>1.184518</v>
      </c>
      <c r="BK31" s="3">
        <v>1.1896519000000001</v>
      </c>
      <c r="BL31" s="3">
        <v>1.1947433999999999</v>
      </c>
      <c r="BM31" s="3" t="e">
        <v>#N/A</v>
      </c>
      <c r="BN31" s="3" t="e">
        <v>#N/A</v>
      </c>
    </row>
    <row r="32" spans="1:66" x14ac:dyDescent="0.35">
      <c r="A32" s="5">
        <f t="shared" si="0"/>
        <v>43500</v>
      </c>
      <c r="B32" t="s">
        <v>109</v>
      </c>
      <c r="C32" s="2">
        <v>0.75</v>
      </c>
      <c r="D32" s="2">
        <v>0.70509999999999995</v>
      </c>
      <c r="E32" s="3">
        <v>0.71547749999999999</v>
      </c>
      <c r="F32" s="3">
        <v>0.71844549999999996</v>
      </c>
      <c r="G32" s="3">
        <v>0.73010620000000004</v>
      </c>
      <c r="H32" s="3">
        <v>0.74676869999999995</v>
      </c>
      <c r="I32" s="3">
        <v>0.76395250000000003</v>
      </c>
      <c r="J32" s="3">
        <v>0.78039170000000002</v>
      </c>
      <c r="K32" s="3">
        <v>0.79588800000000004</v>
      </c>
      <c r="L32" s="3">
        <v>0.81057559999999995</v>
      </c>
      <c r="M32" s="3">
        <v>0.82472429999999997</v>
      </c>
      <c r="N32" s="3">
        <v>0.83838849999999998</v>
      </c>
      <c r="O32" s="3">
        <v>0.85161209999999998</v>
      </c>
      <c r="P32" s="3">
        <v>0.86452309999999999</v>
      </c>
      <c r="Q32" s="3">
        <v>0.87728490000000003</v>
      </c>
      <c r="R32" s="3">
        <v>0.88990089999999999</v>
      </c>
      <c r="S32" s="3">
        <v>0.90232950000000001</v>
      </c>
      <c r="T32" s="3">
        <v>0.91452909999999998</v>
      </c>
      <c r="U32" s="3">
        <v>0.92645829999999996</v>
      </c>
      <c r="V32" s="3">
        <v>0.93807560000000001</v>
      </c>
      <c r="W32" s="3">
        <v>0.94934600000000002</v>
      </c>
      <c r="X32" s="3">
        <v>0.96026060000000002</v>
      </c>
      <c r="Y32" s="3">
        <v>0.97081609999999996</v>
      </c>
      <c r="Z32" s="3">
        <v>0.98100949999999998</v>
      </c>
      <c r="AA32" s="3">
        <v>0.99083770000000004</v>
      </c>
      <c r="AB32" s="3">
        <v>1.0002977</v>
      </c>
      <c r="AC32" s="3">
        <v>1.0093904</v>
      </c>
      <c r="AD32" s="3">
        <v>1.0181344000000001</v>
      </c>
      <c r="AE32" s="3">
        <v>1.0265531999999999</v>
      </c>
      <c r="AF32" s="3">
        <v>1.0346702999999999</v>
      </c>
      <c r="AG32" s="3">
        <v>1.0425093000000001</v>
      </c>
      <c r="AH32" s="3">
        <v>1.0500936000000001</v>
      </c>
      <c r="AI32" s="3">
        <v>1.0574467000000001</v>
      </c>
      <c r="AJ32" s="3">
        <v>1.0645922000000001</v>
      </c>
      <c r="AK32" s="3">
        <v>1.0715535</v>
      </c>
      <c r="AL32" s="3">
        <v>1.0783541999999999</v>
      </c>
      <c r="AM32" s="3">
        <v>1.0850177999999999</v>
      </c>
      <c r="AN32" s="3">
        <v>1.0915676999999999</v>
      </c>
      <c r="AO32" s="3">
        <v>1.0980245</v>
      </c>
      <c r="AP32" s="3">
        <v>1.1043951000000001</v>
      </c>
      <c r="AQ32" s="3">
        <v>1.1106826999999999</v>
      </c>
      <c r="AR32" s="3">
        <v>1.1168906999999999</v>
      </c>
      <c r="AS32" s="3">
        <v>1.1230224</v>
      </c>
      <c r="AT32" s="3">
        <v>1.1290808999999999</v>
      </c>
      <c r="AU32" s="3">
        <v>1.1350695</v>
      </c>
      <c r="AV32" s="3">
        <v>1.1409916</v>
      </c>
      <c r="AW32" s="3">
        <v>1.1468503999999999</v>
      </c>
      <c r="AX32" s="3">
        <v>1.1526491000000001</v>
      </c>
      <c r="AY32" s="3">
        <v>1.1583911</v>
      </c>
      <c r="AZ32" s="3">
        <v>1.1640794999999999</v>
      </c>
      <c r="BA32" s="3">
        <v>1.1697176</v>
      </c>
      <c r="BB32" s="3">
        <v>1.1753076</v>
      </c>
      <c r="BC32" s="3">
        <v>1.1808516</v>
      </c>
      <c r="BD32" s="3">
        <v>1.1863516999999999</v>
      </c>
      <c r="BE32" s="3">
        <v>1.19181</v>
      </c>
      <c r="BF32" s="3">
        <v>1.1972285</v>
      </c>
      <c r="BG32" s="3">
        <v>1.2026093</v>
      </c>
      <c r="BH32" s="3">
        <v>1.2079544</v>
      </c>
      <c r="BI32" s="3">
        <v>1.213266</v>
      </c>
      <c r="BJ32" s="3">
        <v>1.2185459999999999</v>
      </c>
      <c r="BK32" s="3">
        <v>1.2237967000000001</v>
      </c>
      <c r="BL32" s="3">
        <v>1.22902</v>
      </c>
      <c r="BM32" s="3" t="e">
        <v>#N/A</v>
      </c>
      <c r="BN32" s="3" t="e">
        <v>#N/A</v>
      </c>
    </row>
    <row r="33" spans="1:66" x14ac:dyDescent="0.35">
      <c r="A33" s="5">
        <f t="shared" si="0"/>
        <v>43501</v>
      </c>
      <c r="B33" t="s">
        <v>110</v>
      </c>
      <c r="C33" s="2">
        <v>0.75</v>
      </c>
      <c r="D33" s="2">
        <v>0.70479999999999998</v>
      </c>
      <c r="E33" s="3">
        <v>0.71124319999999996</v>
      </c>
      <c r="F33" s="3">
        <v>0.71603720000000004</v>
      </c>
      <c r="G33" s="3">
        <v>0.72678759999999998</v>
      </c>
      <c r="H33" s="3">
        <v>0.74153159999999996</v>
      </c>
      <c r="I33" s="3">
        <v>0.7569456</v>
      </c>
      <c r="J33" s="3">
        <v>0.77205440000000003</v>
      </c>
      <c r="K33" s="3">
        <v>0.78644959999999997</v>
      </c>
      <c r="L33" s="3">
        <v>0.80009810000000003</v>
      </c>
      <c r="M33" s="3">
        <v>0.813226</v>
      </c>
      <c r="N33" s="3">
        <v>0.82592129999999997</v>
      </c>
      <c r="O33" s="3">
        <v>0.83824189999999998</v>
      </c>
      <c r="P33" s="3">
        <v>0.85027920000000001</v>
      </c>
      <c r="Q33" s="3">
        <v>0.86210030000000004</v>
      </c>
      <c r="R33" s="3">
        <v>0.87367030000000001</v>
      </c>
      <c r="S33" s="3">
        <v>0.88492910000000002</v>
      </c>
      <c r="T33" s="3">
        <v>0.89581639999999996</v>
      </c>
      <c r="U33" s="3">
        <v>0.90627230000000003</v>
      </c>
      <c r="V33" s="3">
        <v>0.91623659999999996</v>
      </c>
      <c r="W33" s="3">
        <v>0.92566809999999999</v>
      </c>
      <c r="X33" s="3">
        <v>0.93459820000000005</v>
      </c>
      <c r="Y33" s="3">
        <v>0.94307510000000006</v>
      </c>
      <c r="Z33" s="3">
        <v>0.95114750000000003</v>
      </c>
      <c r="AA33" s="3">
        <v>0.95886360000000004</v>
      </c>
      <c r="AB33" s="3">
        <v>0.96627189999999996</v>
      </c>
      <c r="AC33" s="3">
        <v>0.97341650000000002</v>
      </c>
      <c r="AD33" s="3">
        <v>0.98032229999999998</v>
      </c>
      <c r="AE33" s="3">
        <v>0.98700889999999997</v>
      </c>
      <c r="AF33" s="3">
        <v>0.99349580000000004</v>
      </c>
      <c r="AG33" s="3">
        <v>0.99980259999999999</v>
      </c>
      <c r="AH33" s="3">
        <v>1.005949</v>
      </c>
      <c r="AI33" s="3">
        <v>1.0119545000000001</v>
      </c>
      <c r="AJ33" s="3">
        <v>1.0178385999999999</v>
      </c>
      <c r="AK33" s="3">
        <v>1.0236209999999999</v>
      </c>
      <c r="AL33" s="3">
        <v>1.0293213000000001</v>
      </c>
      <c r="AM33" s="3">
        <v>1.034959</v>
      </c>
      <c r="AN33" s="3">
        <v>1.0405538000000001</v>
      </c>
      <c r="AO33" s="3">
        <v>1.0461228</v>
      </c>
      <c r="AP33" s="3">
        <v>1.0516711999999999</v>
      </c>
      <c r="AQ33" s="3">
        <v>1.0571997</v>
      </c>
      <c r="AR33" s="3">
        <v>1.0627091</v>
      </c>
      <c r="AS33" s="3">
        <v>1.0682004</v>
      </c>
      <c r="AT33" s="3">
        <v>1.0736741999999999</v>
      </c>
      <c r="AU33" s="3">
        <v>1.0791316</v>
      </c>
      <c r="AV33" s="3">
        <v>1.0845731999999999</v>
      </c>
      <c r="AW33" s="3">
        <v>1.0900000000000001</v>
      </c>
      <c r="AX33" s="3">
        <v>1.0954128000000001</v>
      </c>
      <c r="AY33" s="3">
        <v>1.1008123000000001</v>
      </c>
      <c r="AZ33" s="3">
        <v>1.1061995</v>
      </c>
      <c r="BA33" s="3">
        <v>1.1115751</v>
      </c>
      <c r="BB33" s="3">
        <v>1.1169397999999999</v>
      </c>
      <c r="BC33" s="3">
        <v>1.1222939999999999</v>
      </c>
      <c r="BD33" s="3">
        <v>1.1276382</v>
      </c>
      <c r="BE33" s="3">
        <v>1.132973</v>
      </c>
      <c r="BF33" s="3">
        <v>1.1382989999999999</v>
      </c>
      <c r="BG33" s="3">
        <v>1.1436165</v>
      </c>
      <c r="BH33" s="3">
        <v>1.1489263000000001</v>
      </c>
      <c r="BI33" s="3">
        <v>1.1542287</v>
      </c>
      <c r="BJ33" s="3">
        <v>1.1595241999999999</v>
      </c>
      <c r="BK33" s="3">
        <v>1.1648134999999999</v>
      </c>
      <c r="BL33" s="3">
        <v>1.1700971</v>
      </c>
      <c r="BM33" s="3" t="e">
        <v>#N/A</v>
      </c>
      <c r="BN33" s="3" t="e">
        <v>#N/A</v>
      </c>
    </row>
    <row r="34" spans="1:66" x14ac:dyDescent="0.35">
      <c r="A34" s="5">
        <f t="shared" si="0"/>
        <v>43502</v>
      </c>
      <c r="B34" t="s">
        <v>111</v>
      </c>
      <c r="C34" s="2">
        <v>0.75</v>
      </c>
      <c r="D34" s="2">
        <v>0.70660000000000001</v>
      </c>
      <c r="E34" s="3">
        <v>0.70647910000000003</v>
      </c>
      <c r="F34" s="3">
        <v>0.71191009999999999</v>
      </c>
      <c r="G34" s="3">
        <v>0.72459340000000005</v>
      </c>
      <c r="H34" s="3">
        <v>0.74037109999999995</v>
      </c>
      <c r="I34" s="3">
        <v>0.75655939999999999</v>
      </c>
      <c r="J34" s="3">
        <v>0.77269259999999995</v>
      </c>
      <c r="K34" s="3">
        <v>0.78844420000000004</v>
      </c>
      <c r="L34" s="3">
        <v>0.80351589999999995</v>
      </c>
      <c r="M34" s="3">
        <v>0.81786950000000003</v>
      </c>
      <c r="N34" s="3">
        <v>0.8313741</v>
      </c>
      <c r="O34" s="3">
        <v>0.8438774</v>
      </c>
      <c r="P34" s="3">
        <v>0.85543849999999999</v>
      </c>
      <c r="Q34" s="3">
        <v>0.86637019999999998</v>
      </c>
      <c r="R34" s="3">
        <v>0.87676310000000002</v>
      </c>
      <c r="S34" s="3">
        <v>0.88663510000000001</v>
      </c>
      <c r="T34" s="3">
        <v>0.89600409999999997</v>
      </c>
      <c r="U34" s="3">
        <v>0.90488780000000002</v>
      </c>
      <c r="V34" s="3">
        <v>0.91330409999999995</v>
      </c>
      <c r="W34" s="3">
        <v>0.92127859999999995</v>
      </c>
      <c r="X34" s="3">
        <v>0.9288672</v>
      </c>
      <c r="Y34" s="3">
        <v>0.93613270000000004</v>
      </c>
      <c r="Z34" s="3">
        <v>0.94313789999999997</v>
      </c>
      <c r="AA34" s="3">
        <v>0.94994559999999995</v>
      </c>
      <c r="AB34" s="3">
        <v>0.95661870000000004</v>
      </c>
      <c r="AC34" s="3">
        <v>0.96321259999999997</v>
      </c>
      <c r="AD34" s="3">
        <v>0.96974170000000004</v>
      </c>
      <c r="AE34" s="3">
        <v>0.97620689999999999</v>
      </c>
      <c r="AF34" s="3">
        <v>0.98260919999999996</v>
      </c>
      <c r="AG34" s="3">
        <v>0.98894950000000004</v>
      </c>
      <c r="AH34" s="3">
        <v>0.99522860000000002</v>
      </c>
      <c r="AI34" s="3">
        <v>1.0014474</v>
      </c>
      <c r="AJ34" s="3">
        <v>1.0076068</v>
      </c>
      <c r="AK34" s="3">
        <v>1.0137077999999999</v>
      </c>
      <c r="AL34" s="3">
        <v>1.0197510999999999</v>
      </c>
      <c r="AM34" s="3">
        <v>1.0257377000000001</v>
      </c>
      <c r="AN34" s="3">
        <v>1.0316685999999999</v>
      </c>
      <c r="AO34" s="3">
        <v>1.0375443</v>
      </c>
      <c r="AP34" s="3">
        <v>1.0433645</v>
      </c>
      <c r="AQ34" s="3">
        <v>1.0491287</v>
      </c>
      <c r="AR34" s="3">
        <v>1.0548360999999999</v>
      </c>
      <c r="AS34" s="3">
        <v>1.0604861000000001</v>
      </c>
      <c r="AT34" s="3">
        <v>1.0660780000000001</v>
      </c>
      <c r="AU34" s="3">
        <v>1.0716113</v>
      </c>
      <c r="AV34" s="3">
        <v>1.0770853</v>
      </c>
      <c r="AW34" s="3">
        <v>1.0824993000000001</v>
      </c>
      <c r="AX34" s="3">
        <v>1.0878527</v>
      </c>
      <c r="AY34" s="3">
        <v>1.0931449</v>
      </c>
      <c r="AZ34" s="3">
        <v>1.0983752</v>
      </c>
      <c r="BA34" s="3">
        <v>1.1035436000000001</v>
      </c>
      <c r="BB34" s="3">
        <v>1.1086537000000001</v>
      </c>
      <c r="BC34" s="3">
        <v>1.1137094999999999</v>
      </c>
      <c r="BD34" s="3">
        <v>1.1187155</v>
      </c>
      <c r="BE34" s="3">
        <v>1.1236758</v>
      </c>
      <c r="BF34" s="3">
        <v>1.1285947000000001</v>
      </c>
      <c r="BG34" s="3">
        <v>1.1334765</v>
      </c>
      <c r="BH34" s="3">
        <v>1.1383254</v>
      </c>
      <c r="BI34" s="3">
        <v>1.1431457</v>
      </c>
      <c r="BJ34" s="3">
        <v>1.1479417000000001</v>
      </c>
      <c r="BK34" s="3">
        <v>1.1527177</v>
      </c>
      <c r="BL34" s="3">
        <v>1.1574777999999999</v>
      </c>
      <c r="BM34" s="3" t="e">
        <v>#N/A</v>
      </c>
      <c r="BN34" s="3" t="e">
        <v>#N/A</v>
      </c>
    </row>
    <row r="35" spans="1:66" x14ac:dyDescent="0.35">
      <c r="A35" s="5">
        <f t="shared" si="0"/>
        <v>43503</v>
      </c>
      <c r="B35" t="s">
        <v>112</v>
      </c>
      <c r="C35" s="2">
        <v>0.75</v>
      </c>
      <c r="D35" s="2">
        <v>0.70650000000000002</v>
      </c>
      <c r="E35" s="3">
        <v>0.70394829999999997</v>
      </c>
      <c r="F35" s="3">
        <v>0.70704880000000003</v>
      </c>
      <c r="G35" s="3">
        <v>0.71460060000000003</v>
      </c>
      <c r="H35" s="3">
        <v>0.72490580000000004</v>
      </c>
      <c r="I35" s="3">
        <v>0.73542819999999998</v>
      </c>
      <c r="J35" s="3">
        <v>0.74583239999999995</v>
      </c>
      <c r="K35" s="3">
        <v>0.75623609999999997</v>
      </c>
      <c r="L35" s="3">
        <v>0.76706890000000005</v>
      </c>
      <c r="M35" s="3">
        <v>0.77872059999999999</v>
      </c>
      <c r="N35" s="3">
        <v>0.79107590000000005</v>
      </c>
      <c r="O35" s="3">
        <v>0.80380050000000003</v>
      </c>
      <c r="P35" s="3">
        <v>0.81658830000000004</v>
      </c>
      <c r="Q35" s="3">
        <v>0.82909549999999999</v>
      </c>
      <c r="R35" s="3">
        <v>0.84119279999999996</v>
      </c>
      <c r="S35" s="3">
        <v>0.85281220000000002</v>
      </c>
      <c r="T35" s="3">
        <v>0.86388589999999998</v>
      </c>
      <c r="U35" s="3">
        <v>0.87434559999999995</v>
      </c>
      <c r="V35" s="3">
        <v>0.8841234</v>
      </c>
      <c r="W35" s="3">
        <v>0.89318220000000004</v>
      </c>
      <c r="X35" s="3">
        <v>0.90160280000000004</v>
      </c>
      <c r="Y35" s="3">
        <v>0.90949369999999996</v>
      </c>
      <c r="Z35" s="3">
        <v>0.91696370000000005</v>
      </c>
      <c r="AA35" s="3">
        <v>0.92412150000000004</v>
      </c>
      <c r="AB35" s="3">
        <v>0.93107580000000001</v>
      </c>
      <c r="AC35" s="3">
        <v>0.93792140000000002</v>
      </c>
      <c r="AD35" s="3">
        <v>0.94468600000000003</v>
      </c>
      <c r="AE35" s="3">
        <v>0.95137620000000001</v>
      </c>
      <c r="AF35" s="3">
        <v>0.95799920000000005</v>
      </c>
      <c r="AG35" s="3">
        <v>0.96456180000000002</v>
      </c>
      <c r="AH35" s="3">
        <v>0.97107100000000002</v>
      </c>
      <c r="AI35" s="3">
        <v>0.97753369999999995</v>
      </c>
      <c r="AJ35" s="3">
        <v>0.98395690000000002</v>
      </c>
      <c r="AK35" s="3">
        <v>0.99034739999999999</v>
      </c>
      <c r="AL35" s="3">
        <v>0.9967123</v>
      </c>
      <c r="AM35" s="3">
        <v>1.0030584</v>
      </c>
      <c r="AN35" s="3">
        <v>1.0093927</v>
      </c>
      <c r="AO35" s="3">
        <v>1.01572</v>
      </c>
      <c r="AP35" s="3">
        <v>1.0220355999999999</v>
      </c>
      <c r="AQ35" s="3">
        <v>1.0283321999999999</v>
      </c>
      <c r="AR35" s="3">
        <v>1.0346024</v>
      </c>
      <c r="AS35" s="3">
        <v>1.0408390999999999</v>
      </c>
      <c r="AT35" s="3">
        <v>1.0470348</v>
      </c>
      <c r="AU35" s="3">
        <v>1.0531823</v>
      </c>
      <c r="AV35" s="3">
        <v>1.0592741999999999</v>
      </c>
      <c r="AW35" s="3">
        <v>1.0653033000000001</v>
      </c>
      <c r="AX35" s="3">
        <v>1.0712622999999999</v>
      </c>
      <c r="AY35" s="3">
        <v>1.0771438</v>
      </c>
      <c r="AZ35" s="3">
        <v>1.0829405999999999</v>
      </c>
      <c r="BA35" s="3">
        <v>1.0886468</v>
      </c>
      <c r="BB35" s="3">
        <v>1.0942635999999999</v>
      </c>
      <c r="BC35" s="3">
        <v>1.0997939000000001</v>
      </c>
      <c r="BD35" s="3">
        <v>1.1052405000000001</v>
      </c>
      <c r="BE35" s="3">
        <v>1.1106064</v>
      </c>
      <c r="BF35" s="3">
        <v>1.1158945</v>
      </c>
      <c r="BG35" s="3">
        <v>1.1211077</v>
      </c>
      <c r="BH35" s="3">
        <v>1.1262490000000001</v>
      </c>
      <c r="BI35" s="3">
        <v>1.1313213</v>
      </c>
      <c r="BJ35" s="3">
        <v>1.1363274999999999</v>
      </c>
      <c r="BK35" s="3">
        <v>1.1412704</v>
      </c>
      <c r="BL35" s="3">
        <v>1.1461532000000001</v>
      </c>
      <c r="BM35" s="3" t="e">
        <v>#N/A</v>
      </c>
      <c r="BN35" s="3" t="e">
        <v>#N/A</v>
      </c>
    </row>
    <row r="36" spans="1:66" x14ac:dyDescent="0.35">
      <c r="A36" s="5">
        <f t="shared" si="0"/>
        <v>43504</v>
      </c>
      <c r="B36" t="s">
        <v>113</v>
      </c>
      <c r="C36" s="2">
        <v>0.75</v>
      </c>
      <c r="D36" s="2">
        <v>0.7056</v>
      </c>
      <c r="E36" s="3">
        <v>0.70503610000000005</v>
      </c>
      <c r="F36" s="3">
        <v>0.70328930000000001</v>
      </c>
      <c r="G36" s="3">
        <v>0.70897019999999999</v>
      </c>
      <c r="H36" s="3">
        <v>0.71719820000000001</v>
      </c>
      <c r="I36" s="3">
        <v>0.72479789999999999</v>
      </c>
      <c r="J36" s="3">
        <v>0.73219449999999997</v>
      </c>
      <c r="K36" s="3">
        <v>0.74002900000000005</v>
      </c>
      <c r="L36" s="3">
        <v>0.74883230000000001</v>
      </c>
      <c r="M36" s="3">
        <v>0.75887190000000004</v>
      </c>
      <c r="N36" s="3">
        <v>0.76990170000000002</v>
      </c>
      <c r="O36" s="3">
        <v>0.78150260000000005</v>
      </c>
      <c r="P36" s="3">
        <v>0.79330639999999997</v>
      </c>
      <c r="Q36" s="3">
        <v>0.80493720000000002</v>
      </c>
      <c r="R36" s="3">
        <v>0.81623869999999998</v>
      </c>
      <c r="S36" s="3">
        <v>0.82712750000000002</v>
      </c>
      <c r="T36" s="3">
        <v>0.83752009999999999</v>
      </c>
      <c r="U36" s="3">
        <v>0.847333</v>
      </c>
      <c r="V36" s="3">
        <v>0.85648279999999999</v>
      </c>
      <c r="W36" s="3">
        <v>0.86491560000000001</v>
      </c>
      <c r="X36" s="3">
        <v>0.8727144</v>
      </c>
      <c r="Y36" s="3">
        <v>0.8800019</v>
      </c>
      <c r="Z36" s="3">
        <v>0.88690100000000005</v>
      </c>
      <c r="AA36" s="3">
        <v>0.89353439999999995</v>
      </c>
      <c r="AB36" s="3">
        <v>0.90002490000000002</v>
      </c>
      <c r="AC36" s="3">
        <v>0.90647610000000001</v>
      </c>
      <c r="AD36" s="3">
        <v>0.91290720000000003</v>
      </c>
      <c r="AE36" s="3">
        <v>0.91931390000000002</v>
      </c>
      <c r="AF36" s="3">
        <v>0.92569230000000002</v>
      </c>
      <c r="AG36" s="3">
        <v>0.93203820000000004</v>
      </c>
      <c r="AH36" s="3">
        <v>0.9383473</v>
      </c>
      <c r="AI36" s="3">
        <v>0.9446156</v>
      </c>
      <c r="AJ36" s="3">
        <v>0.95083899999999999</v>
      </c>
      <c r="AK36" s="3">
        <v>0.95701329999999996</v>
      </c>
      <c r="AL36" s="3">
        <v>0.9631343</v>
      </c>
      <c r="AM36" s="3">
        <v>0.96919789999999995</v>
      </c>
      <c r="AN36" s="3">
        <v>0.97519999999999996</v>
      </c>
      <c r="AO36" s="3">
        <v>0.98113689999999998</v>
      </c>
      <c r="AP36" s="3">
        <v>0.98700690000000002</v>
      </c>
      <c r="AQ36" s="3">
        <v>0.99280880000000005</v>
      </c>
      <c r="AR36" s="3">
        <v>0.99854149999999997</v>
      </c>
      <c r="AS36" s="3">
        <v>1.0042036999999999</v>
      </c>
      <c r="AT36" s="3">
        <v>1.0097943</v>
      </c>
      <c r="AU36" s="3">
        <v>1.0153122999999999</v>
      </c>
      <c r="AV36" s="3">
        <v>1.0207562999999999</v>
      </c>
      <c r="AW36" s="3">
        <v>1.0261252000000001</v>
      </c>
      <c r="AX36" s="3">
        <v>1.0314179000000001</v>
      </c>
      <c r="AY36" s="3">
        <v>1.0366331</v>
      </c>
      <c r="AZ36" s="3">
        <v>1.0417698</v>
      </c>
      <c r="BA36" s="3">
        <v>1.0468280000000001</v>
      </c>
      <c r="BB36" s="3">
        <v>1.0518130999999999</v>
      </c>
      <c r="BC36" s="3">
        <v>1.0567321000000001</v>
      </c>
      <c r="BD36" s="3">
        <v>1.0615918</v>
      </c>
      <c r="BE36" s="3">
        <v>1.0663990999999999</v>
      </c>
      <c r="BF36" s="3">
        <v>1.071161</v>
      </c>
      <c r="BG36" s="3">
        <v>1.0758844999999999</v>
      </c>
      <c r="BH36" s="3">
        <v>1.0805762999999999</v>
      </c>
      <c r="BI36" s="3">
        <v>1.0852435</v>
      </c>
      <c r="BJ36" s="3">
        <v>1.0898928999999999</v>
      </c>
      <c r="BK36" s="3">
        <v>1.0945315</v>
      </c>
      <c r="BL36" s="3">
        <v>1.0991662</v>
      </c>
      <c r="BM36" s="3" t="e">
        <v>#N/A</v>
      </c>
      <c r="BN36" s="3" t="e">
        <v>#N/A</v>
      </c>
    </row>
    <row r="37" spans="1:66" x14ac:dyDescent="0.35">
      <c r="A37" s="5">
        <f t="shared" si="0"/>
        <v>43507</v>
      </c>
      <c r="B37" t="s">
        <v>114</v>
      </c>
      <c r="C37" s="2">
        <v>0.75</v>
      </c>
      <c r="D37" s="2">
        <v>0.70589999999999997</v>
      </c>
      <c r="E37" s="3">
        <v>0.70585220000000004</v>
      </c>
      <c r="F37" s="3">
        <v>0.70552099999999995</v>
      </c>
      <c r="G37" s="3">
        <v>0.71130939999999998</v>
      </c>
      <c r="H37" s="3">
        <v>0.72102719999999998</v>
      </c>
      <c r="I37" s="3">
        <v>0.73274720000000004</v>
      </c>
      <c r="J37" s="3">
        <v>0.74509610000000004</v>
      </c>
      <c r="K37" s="3">
        <v>0.75713059999999999</v>
      </c>
      <c r="L37" s="3">
        <v>0.76864290000000002</v>
      </c>
      <c r="M37" s="3">
        <v>0.77961069999999999</v>
      </c>
      <c r="N37" s="3">
        <v>0.7898406</v>
      </c>
      <c r="O37" s="3">
        <v>0.79922139999999997</v>
      </c>
      <c r="P37" s="3">
        <v>0.80793879999999996</v>
      </c>
      <c r="Q37" s="3">
        <v>0.81636089999999994</v>
      </c>
      <c r="R37" s="3">
        <v>0.82463390000000003</v>
      </c>
      <c r="S37" s="3">
        <v>0.83283430000000003</v>
      </c>
      <c r="T37" s="3">
        <v>0.84103870000000003</v>
      </c>
      <c r="U37" s="3">
        <v>0.84932339999999995</v>
      </c>
      <c r="V37" s="3">
        <v>0.85776509999999995</v>
      </c>
      <c r="W37" s="3">
        <v>0.86641690000000005</v>
      </c>
      <c r="X37" s="3">
        <v>0.87524299999999999</v>
      </c>
      <c r="Y37" s="3">
        <v>0.88418669999999999</v>
      </c>
      <c r="Z37" s="3">
        <v>0.89319110000000002</v>
      </c>
      <c r="AA37" s="3">
        <v>0.90219939999999998</v>
      </c>
      <c r="AB37" s="3">
        <v>0.91115460000000004</v>
      </c>
      <c r="AC37" s="3">
        <v>0.92000749999999998</v>
      </c>
      <c r="AD37" s="3">
        <v>0.9287415</v>
      </c>
      <c r="AE37" s="3">
        <v>0.93734910000000005</v>
      </c>
      <c r="AF37" s="3">
        <v>0.94582279999999996</v>
      </c>
      <c r="AG37" s="3">
        <v>0.95415530000000004</v>
      </c>
      <c r="AH37" s="3">
        <v>0.9623391</v>
      </c>
      <c r="AI37" s="3">
        <v>0.97036670000000003</v>
      </c>
      <c r="AJ37" s="3">
        <v>0.97823070000000001</v>
      </c>
      <c r="AK37" s="3">
        <v>0.98592369999999996</v>
      </c>
      <c r="AL37" s="3">
        <v>0.99343809999999999</v>
      </c>
      <c r="AM37" s="3">
        <v>1.0007664999999999</v>
      </c>
      <c r="AN37" s="3">
        <v>1.0079015</v>
      </c>
      <c r="AO37" s="3">
        <v>1.0148379000000001</v>
      </c>
      <c r="AP37" s="3">
        <v>1.0215813</v>
      </c>
      <c r="AQ37" s="3">
        <v>1.0281399</v>
      </c>
      <c r="AR37" s="3">
        <v>1.0345219000000001</v>
      </c>
      <c r="AS37" s="3">
        <v>1.0407356999999999</v>
      </c>
      <c r="AT37" s="3">
        <v>1.0467895</v>
      </c>
      <c r="AU37" s="3">
        <v>1.0526917</v>
      </c>
      <c r="AV37" s="3">
        <v>1.0584506</v>
      </c>
      <c r="AW37" s="3">
        <v>1.0640744</v>
      </c>
      <c r="AX37" s="3">
        <v>1.0695713</v>
      </c>
      <c r="AY37" s="3">
        <v>1.0749498</v>
      </c>
      <c r="AZ37" s="3">
        <v>1.0802182</v>
      </c>
      <c r="BA37" s="3">
        <v>1.0853843999999999</v>
      </c>
      <c r="BB37" s="3">
        <v>1.0904558</v>
      </c>
      <c r="BC37" s="3">
        <v>1.0954391999999999</v>
      </c>
      <c r="BD37" s="3">
        <v>1.1003417</v>
      </c>
      <c r="BE37" s="3">
        <v>1.10517</v>
      </c>
      <c r="BF37" s="3">
        <v>1.1099311000000001</v>
      </c>
      <c r="BG37" s="3">
        <v>1.1146320000000001</v>
      </c>
      <c r="BH37" s="3">
        <v>1.1192795</v>
      </c>
      <c r="BI37" s="3">
        <v>1.1238805999999999</v>
      </c>
      <c r="BJ37" s="3">
        <v>1.1284422000000001</v>
      </c>
      <c r="BK37" s="3">
        <v>1.1329712000000001</v>
      </c>
      <c r="BL37" s="3">
        <v>1.1374744999999999</v>
      </c>
      <c r="BM37" s="3" t="e">
        <v>#N/A</v>
      </c>
      <c r="BN37" s="3" t="e">
        <v>#N/A</v>
      </c>
    </row>
    <row r="38" spans="1:66" x14ac:dyDescent="0.35">
      <c r="A38" s="5">
        <f t="shared" si="0"/>
        <v>43508</v>
      </c>
      <c r="B38" t="s">
        <v>115</v>
      </c>
      <c r="C38" s="2">
        <v>0.75</v>
      </c>
      <c r="D38" s="2">
        <v>0.70499999999999996</v>
      </c>
      <c r="E38" s="3">
        <v>0.69870989999999999</v>
      </c>
      <c r="F38" s="3">
        <v>0.70330570000000003</v>
      </c>
      <c r="G38" s="3">
        <v>0.71241860000000001</v>
      </c>
      <c r="H38" s="3">
        <v>0.72180880000000003</v>
      </c>
      <c r="I38" s="3">
        <v>0.72940389999999999</v>
      </c>
      <c r="J38" s="3">
        <v>0.73576889999999995</v>
      </c>
      <c r="K38" s="3">
        <v>0.74201050000000002</v>
      </c>
      <c r="L38" s="3">
        <v>0.74942319999999996</v>
      </c>
      <c r="M38" s="3">
        <v>0.75880610000000004</v>
      </c>
      <c r="N38" s="3">
        <v>0.76995460000000004</v>
      </c>
      <c r="O38" s="3">
        <v>0.78231879999999998</v>
      </c>
      <c r="P38" s="3">
        <v>0.79528049999999995</v>
      </c>
      <c r="Q38" s="3">
        <v>0.80819300000000005</v>
      </c>
      <c r="R38" s="3">
        <v>0.82087120000000002</v>
      </c>
      <c r="S38" s="3">
        <v>0.83325519999999997</v>
      </c>
      <c r="T38" s="3">
        <v>0.84528559999999997</v>
      </c>
      <c r="U38" s="3">
        <v>0.85690250000000001</v>
      </c>
      <c r="V38" s="3">
        <v>0.8680464</v>
      </c>
      <c r="W38" s="3">
        <v>0.87867450000000002</v>
      </c>
      <c r="X38" s="3">
        <v>0.88880879999999995</v>
      </c>
      <c r="Y38" s="3">
        <v>0.89848689999999998</v>
      </c>
      <c r="Z38" s="3">
        <v>0.9077461</v>
      </c>
      <c r="AA38" s="3">
        <v>0.91662390000000005</v>
      </c>
      <c r="AB38" s="3">
        <v>0.92515769999999997</v>
      </c>
      <c r="AC38" s="3">
        <v>0.93338239999999995</v>
      </c>
      <c r="AD38" s="3">
        <v>0.94132039999999995</v>
      </c>
      <c r="AE38" s="3">
        <v>0.94899120000000003</v>
      </c>
      <c r="AF38" s="3">
        <v>0.95641419999999999</v>
      </c>
      <c r="AG38" s="3">
        <v>0.96360869999999998</v>
      </c>
      <c r="AH38" s="3">
        <v>0.97059399999999996</v>
      </c>
      <c r="AI38" s="3">
        <v>0.97738950000000002</v>
      </c>
      <c r="AJ38" s="3">
        <v>0.98401459999999996</v>
      </c>
      <c r="AK38" s="3">
        <v>0.99048849999999999</v>
      </c>
      <c r="AL38" s="3">
        <v>0.99683069999999996</v>
      </c>
      <c r="AM38" s="3">
        <v>1.0030604999999999</v>
      </c>
      <c r="AN38" s="3">
        <v>1.0091972</v>
      </c>
      <c r="AO38" s="3">
        <v>1.0152581000000001</v>
      </c>
      <c r="AP38" s="3">
        <v>1.0212489</v>
      </c>
      <c r="AQ38" s="3">
        <v>1.0271713</v>
      </c>
      <c r="AR38" s="3">
        <v>1.0330273000000001</v>
      </c>
      <c r="AS38" s="3">
        <v>1.0388185999999999</v>
      </c>
      <c r="AT38" s="3">
        <v>1.0445469999999999</v>
      </c>
      <c r="AU38" s="3">
        <v>1.0502144</v>
      </c>
      <c r="AV38" s="3">
        <v>1.0558225999999999</v>
      </c>
      <c r="AW38" s="3">
        <v>1.0613735</v>
      </c>
      <c r="AX38" s="3">
        <v>1.0668688</v>
      </c>
      <c r="AY38" s="3">
        <v>1.0723103</v>
      </c>
      <c r="AZ38" s="3">
        <v>1.0777000000000001</v>
      </c>
      <c r="BA38" s="3">
        <v>1.0830397</v>
      </c>
      <c r="BB38" s="3">
        <v>1.0883318</v>
      </c>
      <c r="BC38" s="3">
        <v>1.0935786999999999</v>
      </c>
      <c r="BD38" s="3">
        <v>1.0987830999999999</v>
      </c>
      <c r="BE38" s="3">
        <v>1.1039473</v>
      </c>
      <c r="BF38" s="3">
        <v>1.1090739000000001</v>
      </c>
      <c r="BG38" s="3">
        <v>1.1141654000000001</v>
      </c>
      <c r="BH38" s="3">
        <v>1.1192242999999999</v>
      </c>
      <c r="BI38" s="3">
        <v>1.1242531</v>
      </c>
      <c r="BJ38" s="3">
        <v>1.1292542000000001</v>
      </c>
      <c r="BK38" s="3">
        <v>1.1342303</v>
      </c>
      <c r="BL38" s="3">
        <v>1.1391837</v>
      </c>
      <c r="BM38" s="3" t="e">
        <v>#N/A</v>
      </c>
      <c r="BN38" s="3" t="e">
        <v>#N/A</v>
      </c>
    </row>
    <row r="39" spans="1:66" x14ac:dyDescent="0.35">
      <c r="A39" s="5">
        <f t="shared" si="0"/>
        <v>43509</v>
      </c>
      <c r="B39" t="s">
        <v>116</v>
      </c>
      <c r="C39" s="2">
        <v>0.75</v>
      </c>
      <c r="D39" s="2">
        <v>0.70689999999999997</v>
      </c>
      <c r="E39" s="3">
        <v>0.70218950000000002</v>
      </c>
      <c r="F39" s="3">
        <v>0.70232609999999995</v>
      </c>
      <c r="G39" s="3">
        <v>0.71099480000000004</v>
      </c>
      <c r="H39" s="3">
        <v>0.72241100000000003</v>
      </c>
      <c r="I39" s="3">
        <v>0.73328740000000003</v>
      </c>
      <c r="J39" s="3">
        <v>0.7431238</v>
      </c>
      <c r="K39" s="3">
        <v>0.75213669999999999</v>
      </c>
      <c r="L39" s="3">
        <v>0.76118949999999996</v>
      </c>
      <c r="M39" s="3">
        <v>0.77101439999999999</v>
      </c>
      <c r="N39" s="3">
        <v>0.7817153</v>
      </c>
      <c r="O39" s="3">
        <v>0.79311640000000005</v>
      </c>
      <c r="P39" s="3">
        <v>0.80491900000000005</v>
      </c>
      <c r="Q39" s="3">
        <v>0.81674349999999996</v>
      </c>
      <c r="R39" s="3">
        <v>0.82843710000000004</v>
      </c>
      <c r="S39" s="3">
        <v>0.83991179999999999</v>
      </c>
      <c r="T39" s="3">
        <v>0.85107940000000004</v>
      </c>
      <c r="U39" s="3">
        <v>0.86185199999999995</v>
      </c>
      <c r="V39" s="3">
        <v>0.87214130000000001</v>
      </c>
      <c r="W39" s="3">
        <v>0.88188789999999995</v>
      </c>
      <c r="X39" s="3">
        <v>0.89114020000000005</v>
      </c>
      <c r="Y39" s="3">
        <v>0.89997269999999996</v>
      </c>
      <c r="Z39" s="3">
        <v>0.90845960000000003</v>
      </c>
      <c r="AA39" s="3">
        <v>0.91667540000000003</v>
      </c>
      <c r="AB39" s="3">
        <v>0.92469440000000003</v>
      </c>
      <c r="AC39" s="3">
        <v>0.93258200000000002</v>
      </c>
      <c r="AD39" s="3">
        <v>0.94035519999999995</v>
      </c>
      <c r="AE39" s="3">
        <v>0.94801489999999999</v>
      </c>
      <c r="AF39" s="3">
        <v>0.95556169999999996</v>
      </c>
      <c r="AG39" s="3">
        <v>0.96299659999999998</v>
      </c>
      <c r="AH39" s="3">
        <v>0.97032030000000002</v>
      </c>
      <c r="AI39" s="3">
        <v>0.9775336</v>
      </c>
      <c r="AJ39" s="3">
        <v>0.9846374</v>
      </c>
      <c r="AK39" s="3">
        <v>0.99163239999999997</v>
      </c>
      <c r="AL39" s="3">
        <v>0.9985195</v>
      </c>
      <c r="AM39" s="3">
        <v>1.0052994</v>
      </c>
      <c r="AN39" s="3">
        <v>1.0119729</v>
      </c>
      <c r="AO39" s="3">
        <v>1.0185411</v>
      </c>
      <c r="AP39" s="3">
        <v>1.0250052000000001</v>
      </c>
      <c r="AQ39" s="3">
        <v>1.0313669999999999</v>
      </c>
      <c r="AR39" s="3">
        <v>1.037628</v>
      </c>
      <c r="AS39" s="3">
        <v>1.0437898999999999</v>
      </c>
      <c r="AT39" s="3">
        <v>1.0498543</v>
      </c>
      <c r="AU39" s="3">
        <v>1.0558227</v>
      </c>
      <c r="AV39" s="3">
        <v>1.0616969000000001</v>
      </c>
      <c r="AW39" s="3">
        <v>1.0674783999999999</v>
      </c>
      <c r="AX39" s="3">
        <v>1.0731689</v>
      </c>
      <c r="AY39" s="3">
        <v>1.0787698999999999</v>
      </c>
      <c r="AZ39" s="3">
        <v>1.0842830999999999</v>
      </c>
      <c r="BA39" s="3">
        <v>1.0897106999999999</v>
      </c>
      <c r="BB39" s="3">
        <v>1.0950576000000001</v>
      </c>
      <c r="BC39" s="3">
        <v>1.1003293999999999</v>
      </c>
      <c r="BD39" s="3">
        <v>1.1055318999999999</v>
      </c>
      <c r="BE39" s="3">
        <v>1.1106706</v>
      </c>
      <c r="BF39" s="3">
        <v>1.1157512000000001</v>
      </c>
      <c r="BG39" s="3">
        <v>1.1207794</v>
      </c>
      <c r="BH39" s="3">
        <v>1.1257609</v>
      </c>
      <c r="BI39" s="3">
        <v>1.1307012000000001</v>
      </c>
      <c r="BJ39" s="3">
        <v>1.1356059999999999</v>
      </c>
      <c r="BK39" s="3">
        <v>1.1404810000000001</v>
      </c>
      <c r="BL39" s="3">
        <v>1.1453317999999999</v>
      </c>
      <c r="BM39" s="3" t="e">
        <v>#N/A</v>
      </c>
      <c r="BN39" s="3" t="e">
        <v>#N/A</v>
      </c>
    </row>
    <row r="40" spans="1:66" x14ac:dyDescent="0.35">
      <c r="A40" s="5">
        <f t="shared" si="0"/>
        <v>43510</v>
      </c>
      <c r="B40" t="s">
        <v>117</v>
      </c>
      <c r="C40" s="2">
        <v>0.75</v>
      </c>
      <c r="D40" s="2">
        <v>0.70630000000000004</v>
      </c>
      <c r="E40" s="3">
        <v>0.69856309999999999</v>
      </c>
      <c r="F40" s="3">
        <v>0.69645760000000001</v>
      </c>
      <c r="G40" s="3">
        <v>0.70455829999999997</v>
      </c>
      <c r="H40" s="3">
        <v>0.71521259999999998</v>
      </c>
      <c r="I40" s="3">
        <v>0.72468560000000004</v>
      </c>
      <c r="J40" s="3">
        <v>0.73267249999999995</v>
      </c>
      <c r="K40" s="3">
        <v>0.73969700000000005</v>
      </c>
      <c r="L40" s="3">
        <v>0.74694680000000002</v>
      </c>
      <c r="M40" s="3">
        <v>0.75533380000000006</v>
      </c>
      <c r="N40" s="3">
        <v>0.76498690000000003</v>
      </c>
      <c r="O40" s="3">
        <v>0.7756246</v>
      </c>
      <c r="P40" s="3">
        <v>0.78685539999999998</v>
      </c>
      <c r="Q40" s="3">
        <v>0.79815440000000004</v>
      </c>
      <c r="R40" s="3">
        <v>0.80932139999999997</v>
      </c>
      <c r="S40" s="3">
        <v>0.82025170000000003</v>
      </c>
      <c r="T40" s="3">
        <v>0.83084040000000003</v>
      </c>
      <c r="U40" s="3">
        <v>0.84098280000000003</v>
      </c>
      <c r="V40" s="3">
        <v>0.85057389999999999</v>
      </c>
      <c r="W40" s="3">
        <v>0.85954419999999998</v>
      </c>
      <c r="X40" s="3">
        <v>0.86795849999999997</v>
      </c>
      <c r="Y40" s="3">
        <v>0.87591359999999996</v>
      </c>
      <c r="Z40" s="3">
        <v>0.88350640000000003</v>
      </c>
      <c r="AA40" s="3">
        <v>0.89083369999999995</v>
      </c>
      <c r="AB40" s="3">
        <v>0.89799209999999996</v>
      </c>
      <c r="AC40" s="3">
        <v>0.90506589999999998</v>
      </c>
      <c r="AD40" s="3">
        <v>0.91207629999999995</v>
      </c>
      <c r="AE40" s="3">
        <v>0.91902589999999995</v>
      </c>
      <c r="AF40" s="3">
        <v>0.92591710000000005</v>
      </c>
      <c r="AG40" s="3">
        <v>0.93275229999999998</v>
      </c>
      <c r="AH40" s="3">
        <v>0.93953399999999998</v>
      </c>
      <c r="AI40" s="3">
        <v>0.94626460000000001</v>
      </c>
      <c r="AJ40" s="3">
        <v>0.95294659999999998</v>
      </c>
      <c r="AK40" s="3">
        <v>0.95958239999999995</v>
      </c>
      <c r="AL40" s="3">
        <v>0.96617450000000005</v>
      </c>
      <c r="AM40" s="3">
        <v>0.97272519999999996</v>
      </c>
      <c r="AN40" s="3">
        <v>0.97923709999999997</v>
      </c>
      <c r="AO40" s="3">
        <v>0.98571169999999997</v>
      </c>
      <c r="AP40" s="3">
        <v>0.99214619999999998</v>
      </c>
      <c r="AQ40" s="3">
        <v>0.99853689999999995</v>
      </c>
      <c r="AR40" s="3">
        <v>1.0048798999999999</v>
      </c>
      <c r="AS40" s="3">
        <v>1.0111714000000001</v>
      </c>
      <c r="AT40" s="3">
        <v>1.0174076000000001</v>
      </c>
      <c r="AU40" s="3">
        <v>1.0235848000000001</v>
      </c>
      <c r="AV40" s="3">
        <v>1.0296989000000001</v>
      </c>
      <c r="AW40" s="3">
        <v>1.0357464000000001</v>
      </c>
      <c r="AX40" s="3">
        <v>1.0417232000000001</v>
      </c>
      <c r="AY40" s="3">
        <v>1.0476257</v>
      </c>
      <c r="AZ40" s="3">
        <v>1.05345</v>
      </c>
      <c r="BA40" s="3">
        <v>1.0591934000000001</v>
      </c>
      <c r="BB40" s="3">
        <v>1.0648580999999999</v>
      </c>
      <c r="BC40" s="3">
        <v>1.0704476999999999</v>
      </c>
      <c r="BD40" s="3">
        <v>1.0759658999999999</v>
      </c>
      <c r="BE40" s="3">
        <v>1.0814162</v>
      </c>
      <c r="BF40" s="3">
        <v>1.0868021999999999</v>
      </c>
      <c r="BG40" s="3">
        <v>1.0921274999999999</v>
      </c>
      <c r="BH40" s="3">
        <v>1.0973957000000001</v>
      </c>
      <c r="BI40" s="3">
        <v>1.1026104000000001</v>
      </c>
      <c r="BJ40" s="3">
        <v>1.1077752999999999</v>
      </c>
      <c r="BK40" s="3">
        <v>1.1128937999999999</v>
      </c>
      <c r="BL40" s="3">
        <v>1.1179695999999999</v>
      </c>
      <c r="BM40" s="3" t="e">
        <v>#N/A</v>
      </c>
      <c r="BN40" s="3" t="e">
        <v>#N/A</v>
      </c>
    </row>
    <row r="41" spans="1:66" x14ac:dyDescent="0.35">
      <c r="A41" s="5">
        <f t="shared" si="0"/>
        <v>43511</v>
      </c>
      <c r="B41" t="s">
        <v>118</v>
      </c>
      <c r="C41" s="2">
        <v>0.75</v>
      </c>
      <c r="D41" s="2">
        <v>0.70609999999999995</v>
      </c>
      <c r="E41" s="3">
        <v>0.70486459999999995</v>
      </c>
      <c r="F41" s="3">
        <v>0.70575840000000001</v>
      </c>
      <c r="G41" s="3">
        <v>0.70826180000000005</v>
      </c>
      <c r="H41" s="3">
        <v>0.71424860000000001</v>
      </c>
      <c r="I41" s="3">
        <v>0.72403499999999998</v>
      </c>
      <c r="J41" s="3">
        <v>0.73642989999999997</v>
      </c>
      <c r="K41" s="3">
        <v>0.74941179999999996</v>
      </c>
      <c r="L41" s="3">
        <v>0.76165640000000001</v>
      </c>
      <c r="M41" s="3">
        <v>0.77277830000000003</v>
      </c>
      <c r="N41" s="3">
        <v>0.78280090000000002</v>
      </c>
      <c r="O41" s="3">
        <v>0.79192709999999999</v>
      </c>
      <c r="P41" s="3">
        <v>0.80037630000000004</v>
      </c>
      <c r="Q41" s="3">
        <v>0.80829759999999995</v>
      </c>
      <c r="R41" s="3">
        <v>0.8158396</v>
      </c>
      <c r="S41" s="3">
        <v>0.82315629999999995</v>
      </c>
      <c r="T41" s="3">
        <v>0.83040119999999995</v>
      </c>
      <c r="U41" s="3">
        <v>0.83772820000000003</v>
      </c>
      <c r="V41" s="3">
        <v>0.84529109999999996</v>
      </c>
      <c r="W41" s="3">
        <v>0.85321060000000004</v>
      </c>
      <c r="X41" s="3">
        <v>0.86145369999999999</v>
      </c>
      <c r="Y41" s="3">
        <v>0.86994280000000002</v>
      </c>
      <c r="Z41" s="3">
        <v>0.87860050000000001</v>
      </c>
      <c r="AA41" s="3">
        <v>0.88734930000000001</v>
      </c>
      <c r="AB41" s="3">
        <v>0.89611180000000001</v>
      </c>
      <c r="AC41" s="3">
        <v>0.90482050000000003</v>
      </c>
      <c r="AD41" s="3">
        <v>0.91345270000000001</v>
      </c>
      <c r="AE41" s="3">
        <v>0.92199830000000005</v>
      </c>
      <c r="AF41" s="3">
        <v>0.93044669999999996</v>
      </c>
      <c r="AG41" s="3">
        <v>0.9387877</v>
      </c>
      <c r="AH41" s="3">
        <v>0.94701089999999999</v>
      </c>
      <c r="AI41" s="3">
        <v>0.95510600000000001</v>
      </c>
      <c r="AJ41" s="3">
        <v>0.9630628</v>
      </c>
      <c r="AK41" s="3">
        <v>0.97087069999999998</v>
      </c>
      <c r="AL41" s="3">
        <v>0.97851960000000004</v>
      </c>
      <c r="AM41" s="3">
        <v>0.98599899999999996</v>
      </c>
      <c r="AN41" s="3">
        <v>0.99329860000000003</v>
      </c>
      <c r="AO41" s="3">
        <v>1.0004112999999999</v>
      </c>
      <c r="AP41" s="3">
        <v>1.0073436</v>
      </c>
      <c r="AQ41" s="3">
        <v>1.0141061</v>
      </c>
      <c r="AR41" s="3">
        <v>1.0207090000000001</v>
      </c>
      <c r="AS41" s="3">
        <v>1.0271629</v>
      </c>
      <c r="AT41" s="3">
        <v>1.0334782</v>
      </c>
      <c r="AU41" s="3">
        <v>1.0396652</v>
      </c>
      <c r="AV41" s="3">
        <v>1.0457346000000001</v>
      </c>
      <c r="AW41" s="3">
        <v>1.0516966000000001</v>
      </c>
      <c r="AX41" s="3">
        <v>1.0575618</v>
      </c>
      <c r="AY41" s="3">
        <v>1.0633405</v>
      </c>
      <c r="AZ41" s="3">
        <v>1.0690432000000001</v>
      </c>
      <c r="BA41" s="3">
        <v>1.0746792000000001</v>
      </c>
      <c r="BB41" s="3">
        <v>1.0802533000000001</v>
      </c>
      <c r="BC41" s="3">
        <v>1.0857686</v>
      </c>
      <c r="BD41" s="3">
        <v>1.0912286</v>
      </c>
      <c r="BE41" s="3">
        <v>1.0966365</v>
      </c>
      <c r="BF41" s="3">
        <v>1.1019958000000001</v>
      </c>
      <c r="BG41" s="3">
        <v>1.1073097000000001</v>
      </c>
      <c r="BH41" s="3">
        <v>1.1125814999999999</v>
      </c>
      <c r="BI41" s="3">
        <v>1.1178147</v>
      </c>
      <c r="BJ41" s="3">
        <v>1.1230123999999999</v>
      </c>
      <c r="BK41" s="3">
        <v>1.1281781</v>
      </c>
      <c r="BL41" s="3">
        <v>1.1333150999999999</v>
      </c>
      <c r="BM41" s="3" t="e">
        <v>#N/A</v>
      </c>
      <c r="BN41" s="3" t="e">
        <v>#N/A</v>
      </c>
    </row>
    <row r="42" spans="1:66" x14ac:dyDescent="0.35">
      <c r="A42" s="5">
        <f t="shared" si="0"/>
        <v>43514</v>
      </c>
      <c r="B42" t="s">
        <v>119</v>
      </c>
      <c r="C42" s="2">
        <v>0.75</v>
      </c>
      <c r="D42" s="2">
        <v>0.70550000000000002</v>
      </c>
      <c r="E42" s="3">
        <v>0.6975943</v>
      </c>
      <c r="F42" s="3">
        <v>0.69599560000000005</v>
      </c>
      <c r="G42" s="3">
        <v>0.70397829999999995</v>
      </c>
      <c r="H42" s="3">
        <v>0.71461770000000002</v>
      </c>
      <c r="I42" s="3">
        <v>0.72495430000000005</v>
      </c>
      <c r="J42" s="3">
        <v>0.73442640000000003</v>
      </c>
      <c r="K42" s="3">
        <v>0.74302889999999999</v>
      </c>
      <c r="L42" s="3">
        <v>0.75148250000000005</v>
      </c>
      <c r="M42" s="3">
        <v>0.76038760000000005</v>
      </c>
      <c r="N42" s="3">
        <v>0.76985999999999999</v>
      </c>
      <c r="O42" s="3">
        <v>0.7798387</v>
      </c>
      <c r="P42" s="3">
        <v>0.79013319999999998</v>
      </c>
      <c r="Q42" s="3">
        <v>0.80040710000000004</v>
      </c>
      <c r="R42" s="3">
        <v>0.81056680000000003</v>
      </c>
      <c r="S42" s="3">
        <v>0.82059369999999998</v>
      </c>
      <c r="T42" s="3">
        <v>0.83046949999999997</v>
      </c>
      <c r="U42" s="3">
        <v>0.84017589999999998</v>
      </c>
      <c r="V42" s="3">
        <v>0.84969439999999996</v>
      </c>
      <c r="W42" s="3">
        <v>0.85901340000000004</v>
      </c>
      <c r="X42" s="3">
        <v>0.86814720000000001</v>
      </c>
      <c r="Y42" s="3">
        <v>0.87711589999999995</v>
      </c>
      <c r="Z42" s="3">
        <v>0.8859399</v>
      </c>
      <c r="AA42" s="3">
        <v>0.89463959999999998</v>
      </c>
      <c r="AB42" s="3">
        <v>0.90323520000000002</v>
      </c>
      <c r="AC42" s="3">
        <v>0.91174310000000003</v>
      </c>
      <c r="AD42" s="3">
        <v>0.92016200000000004</v>
      </c>
      <c r="AE42" s="3">
        <v>0.92848600000000003</v>
      </c>
      <c r="AF42" s="3">
        <v>0.93670880000000001</v>
      </c>
      <c r="AG42" s="3">
        <v>0.94482440000000001</v>
      </c>
      <c r="AH42" s="3">
        <v>0.95282690000000003</v>
      </c>
      <c r="AI42" s="3">
        <v>0.96070999999999995</v>
      </c>
      <c r="AJ42" s="3">
        <v>0.96846770000000004</v>
      </c>
      <c r="AK42" s="3">
        <v>0.97609400000000002</v>
      </c>
      <c r="AL42" s="3">
        <v>0.98358279999999998</v>
      </c>
      <c r="AM42" s="3">
        <v>0.99092800000000003</v>
      </c>
      <c r="AN42" s="3">
        <v>0.99812350000000005</v>
      </c>
      <c r="AO42" s="3">
        <v>1.0051650999999999</v>
      </c>
      <c r="AP42" s="3">
        <v>1.0120571</v>
      </c>
      <c r="AQ42" s="3">
        <v>1.0188060000000001</v>
      </c>
      <c r="AR42" s="3">
        <v>1.0254182000000001</v>
      </c>
      <c r="AS42" s="3">
        <v>1.0319003</v>
      </c>
      <c r="AT42" s="3">
        <v>1.0382587000000001</v>
      </c>
      <c r="AU42" s="3">
        <v>1.0444998999999999</v>
      </c>
      <c r="AV42" s="3">
        <v>1.0506305</v>
      </c>
      <c r="AW42" s="3">
        <v>1.0566568999999999</v>
      </c>
      <c r="AX42" s="3">
        <v>1.0625857000000001</v>
      </c>
      <c r="AY42" s="3">
        <v>1.0684233000000001</v>
      </c>
      <c r="AZ42" s="3">
        <v>1.0741761999999999</v>
      </c>
      <c r="BA42" s="3">
        <v>1.0798508</v>
      </c>
      <c r="BB42" s="3">
        <v>1.0854524000000001</v>
      </c>
      <c r="BC42" s="3">
        <v>1.0909861000000001</v>
      </c>
      <c r="BD42" s="3">
        <v>1.0964569</v>
      </c>
      <c r="BE42" s="3">
        <v>1.1018698</v>
      </c>
      <c r="BF42" s="3">
        <v>1.1072299000000001</v>
      </c>
      <c r="BG42" s="3">
        <v>1.1125422</v>
      </c>
      <c r="BH42" s="3">
        <v>1.1178117999999999</v>
      </c>
      <c r="BI42" s="3">
        <v>1.1230437</v>
      </c>
      <c r="BJ42" s="3">
        <v>1.1282429</v>
      </c>
      <c r="BK42" s="3">
        <v>1.1334145</v>
      </c>
      <c r="BL42" s="3">
        <v>1.1385635999999999</v>
      </c>
      <c r="BM42" s="3" t="e">
        <v>#N/A</v>
      </c>
      <c r="BN42" s="3" t="e">
        <v>#N/A</v>
      </c>
    </row>
    <row r="43" spans="1:66" x14ac:dyDescent="0.35">
      <c r="A43" s="5">
        <f t="shared" si="0"/>
        <v>43515</v>
      </c>
      <c r="B43" t="s">
        <v>120</v>
      </c>
      <c r="C43" s="2">
        <v>0.75</v>
      </c>
      <c r="D43" s="2">
        <v>0.70599999999999996</v>
      </c>
      <c r="E43" s="3">
        <v>0.69503939999999997</v>
      </c>
      <c r="F43" s="3">
        <v>0.69608700000000001</v>
      </c>
      <c r="G43" s="3">
        <v>0.70498159999999999</v>
      </c>
      <c r="H43" s="3">
        <v>0.71642459999999997</v>
      </c>
      <c r="I43" s="3">
        <v>0.72793719999999995</v>
      </c>
      <c r="J43" s="3">
        <v>0.73879349999999999</v>
      </c>
      <c r="K43" s="3">
        <v>0.74885299999999999</v>
      </c>
      <c r="L43" s="3">
        <v>0.75882150000000004</v>
      </c>
      <c r="M43" s="3">
        <v>0.76929449999999999</v>
      </c>
      <c r="N43" s="3">
        <v>0.78032480000000004</v>
      </c>
      <c r="O43" s="3">
        <v>0.79176970000000002</v>
      </c>
      <c r="P43" s="3">
        <v>0.80332740000000002</v>
      </c>
      <c r="Q43" s="3">
        <v>0.81449170000000004</v>
      </c>
      <c r="R43" s="3">
        <v>0.82515910000000003</v>
      </c>
      <c r="S43" s="3">
        <v>0.83534679999999994</v>
      </c>
      <c r="T43" s="3">
        <v>0.84507209999999999</v>
      </c>
      <c r="U43" s="3">
        <v>0.85435209999999995</v>
      </c>
      <c r="V43" s="3">
        <v>0.86320410000000003</v>
      </c>
      <c r="W43" s="3">
        <v>0.87165159999999997</v>
      </c>
      <c r="X43" s="3">
        <v>0.87974090000000005</v>
      </c>
      <c r="Y43" s="3">
        <v>0.88752430000000004</v>
      </c>
      <c r="Z43" s="3">
        <v>0.89505389999999996</v>
      </c>
      <c r="AA43" s="3">
        <v>0.90238169999999995</v>
      </c>
      <c r="AB43" s="3">
        <v>0.90955980000000003</v>
      </c>
      <c r="AC43" s="3">
        <v>0.91663309999999998</v>
      </c>
      <c r="AD43" s="3">
        <v>0.92361329999999997</v>
      </c>
      <c r="AE43" s="3">
        <v>0.93050339999999998</v>
      </c>
      <c r="AF43" s="3">
        <v>0.93730639999999998</v>
      </c>
      <c r="AG43" s="3">
        <v>0.94402509999999995</v>
      </c>
      <c r="AH43" s="3">
        <v>0.95066240000000002</v>
      </c>
      <c r="AI43" s="3">
        <v>0.95722130000000005</v>
      </c>
      <c r="AJ43" s="3">
        <v>0.96370469999999997</v>
      </c>
      <c r="AK43" s="3">
        <v>0.97011539999999996</v>
      </c>
      <c r="AL43" s="3">
        <v>0.9764564</v>
      </c>
      <c r="AM43" s="3">
        <v>0.98273049999999995</v>
      </c>
      <c r="AN43" s="3">
        <v>0.98894079999999995</v>
      </c>
      <c r="AO43" s="3">
        <v>0.99509000000000003</v>
      </c>
      <c r="AP43" s="3">
        <v>1.0011801</v>
      </c>
      <c r="AQ43" s="3">
        <v>1.0072131</v>
      </c>
      <c r="AR43" s="3">
        <v>1.0131908000000001</v>
      </c>
      <c r="AS43" s="3">
        <v>1.0191152000000001</v>
      </c>
      <c r="AT43" s="3">
        <v>1.024988</v>
      </c>
      <c r="AU43" s="3">
        <v>1.0308111</v>
      </c>
      <c r="AV43" s="3">
        <v>1.0365865000000001</v>
      </c>
      <c r="AW43" s="3">
        <v>1.042316</v>
      </c>
      <c r="AX43" s="3">
        <v>1.0480014</v>
      </c>
      <c r="AY43" s="3">
        <v>1.0536447</v>
      </c>
      <c r="AZ43" s="3">
        <v>1.0592477</v>
      </c>
      <c r="BA43" s="3">
        <v>1.0648124000000001</v>
      </c>
      <c r="BB43" s="3">
        <v>1.0703414</v>
      </c>
      <c r="BC43" s="3">
        <v>1.0758376000000001</v>
      </c>
      <c r="BD43" s="3">
        <v>1.0813035</v>
      </c>
      <c r="BE43" s="3">
        <v>1.0867420999999999</v>
      </c>
      <c r="BF43" s="3">
        <v>1.0921562</v>
      </c>
      <c r="BG43" s="3">
        <v>1.0975484</v>
      </c>
      <c r="BH43" s="3">
        <v>1.1029215999999999</v>
      </c>
      <c r="BI43" s="3">
        <v>1.1082786</v>
      </c>
      <c r="BJ43" s="3">
        <v>1.1136220999999999</v>
      </c>
      <c r="BK43" s="3">
        <v>1.1189548</v>
      </c>
      <c r="BL43" s="3">
        <v>1.1242797</v>
      </c>
      <c r="BM43" s="3" t="e">
        <v>#N/A</v>
      </c>
      <c r="BN43" s="3" t="e">
        <v>#N/A</v>
      </c>
    </row>
    <row r="44" spans="1:66" x14ac:dyDescent="0.35">
      <c r="A44" s="5">
        <f t="shared" si="0"/>
        <v>43516</v>
      </c>
      <c r="B44" t="s">
        <v>121</v>
      </c>
      <c r="C44" s="2">
        <v>0.75</v>
      </c>
      <c r="D44" s="2">
        <v>0.7077</v>
      </c>
      <c r="E44" s="3">
        <v>0.70033659999999998</v>
      </c>
      <c r="F44" s="3">
        <v>0.70038650000000002</v>
      </c>
      <c r="G44" s="3">
        <v>0.70793870000000003</v>
      </c>
      <c r="H44" s="3">
        <v>0.71882349999999995</v>
      </c>
      <c r="I44" s="3">
        <v>0.73247379999999995</v>
      </c>
      <c r="J44" s="3">
        <v>0.74726269999999995</v>
      </c>
      <c r="K44" s="3">
        <v>0.76178820000000003</v>
      </c>
      <c r="L44" s="3">
        <v>0.7758294</v>
      </c>
      <c r="M44" s="3">
        <v>0.78951749999999998</v>
      </c>
      <c r="N44" s="3">
        <v>0.80286469999999999</v>
      </c>
      <c r="O44" s="3">
        <v>0.81582710000000003</v>
      </c>
      <c r="P44" s="3">
        <v>0.82826739999999999</v>
      </c>
      <c r="Q44" s="3">
        <v>0.83989250000000004</v>
      </c>
      <c r="R44" s="3">
        <v>0.85068809999999995</v>
      </c>
      <c r="S44" s="3">
        <v>0.86072320000000002</v>
      </c>
      <c r="T44" s="3">
        <v>0.87006689999999998</v>
      </c>
      <c r="U44" s="3">
        <v>0.87878809999999996</v>
      </c>
      <c r="V44" s="3">
        <v>0.88695590000000002</v>
      </c>
      <c r="W44" s="3">
        <v>0.89464140000000003</v>
      </c>
      <c r="X44" s="3">
        <v>0.90192309999999998</v>
      </c>
      <c r="Y44" s="3">
        <v>0.90888159999999996</v>
      </c>
      <c r="Z44" s="3">
        <v>0.9155972</v>
      </c>
      <c r="AA44" s="3">
        <v>0.92215049999999998</v>
      </c>
      <c r="AB44" s="3">
        <v>0.92862180000000005</v>
      </c>
      <c r="AC44" s="3">
        <v>0.9350813</v>
      </c>
      <c r="AD44" s="3">
        <v>0.94154320000000002</v>
      </c>
      <c r="AE44" s="3">
        <v>0.94800280000000003</v>
      </c>
      <c r="AF44" s="3">
        <v>0.95445559999999996</v>
      </c>
      <c r="AG44" s="3">
        <v>0.96089709999999995</v>
      </c>
      <c r="AH44" s="3">
        <v>0.96732260000000003</v>
      </c>
      <c r="AI44" s="3">
        <v>0.97372769999999997</v>
      </c>
      <c r="AJ44" s="3">
        <v>0.98010759999999997</v>
      </c>
      <c r="AK44" s="3">
        <v>0.9864579</v>
      </c>
      <c r="AL44" s="3">
        <v>0.99277400000000005</v>
      </c>
      <c r="AM44" s="3">
        <v>0.99905129999999998</v>
      </c>
      <c r="AN44" s="3">
        <v>1.0052852000000001</v>
      </c>
      <c r="AO44" s="3">
        <v>1.0114717</v>
      </c>
      <c r="AP44" s="3">
        <v>1.0176094</v>
      </c>
      <c r="AQ44" s="3">
        <v>1.0236974999999999</v>
      </c>
      <c r="AR44" s="3">
        <v>1.0297354000000001</v>
      </c>
      <c r="AS44" s="3">
        <v>1.0357224</v>
      </c>
      <c r="AT44" s="3">
        <v>1.0416578999999999</v>
      </c>
      <c r="AU44" s="3">
        <v>1.0475410999999999</v>
      </c>
      <c r="AV44" s="3">
        <v>1.0533714000000001</v>
      </c>
      <c r="AW44" s="3">
        <v>1.0591481</v>
      </c>
      <c r="AX44" s="3">
        <v>1.0648705000000001</v>
      </c>
      <c r="AY44" s="3">
        <v>1.070538</v>
      </c>
      <c r="AZ44" s="3">
        <v>1.0761499000000001</v>
      </c>
      <c r="BA44" s="3">
        <v>1.0817060999999999</v>
      </c>
      <c r="BB44" s="3">
        <v>1.0872096</v>
      </c>
      <c r="BC44" s="3">
        <v>1.0926638</v>
      </c>
      <c r="BD44" s="3">
        <v>1.0980726000000001</v>
      </c>
      <c r="BE44" s="3">
        <v>1.1034394999999999</v>
      </c>
      <c r="BF44" s="3">
        <v>1.1087682000000001</v>
      </c>
      <c r="BG44" s="3">
        <v>1.1140622</v>
      </c>
      <c r="BH44" s="3">
        <v>1.1193253000000001</v>
      </c>
      <c r="BI44" s="3">
        <v>1.1245612</v>
      </c>
      <c r="BJ44" s="3">
        <v>1.1297733000000001</v>
      </c>
      <c r="BK44" s="3">
        <v>1.1349654</v>
      </c>
      <c r="BL44" s="3">
        <v>1.1401410999999999</v>
      </c>
      <c r="BM44" s="3" t="e">
        <v>#N/A</v>
      </c>
      <c r="BN44" s="3" t="e">
        <v>#N/A</v>
      </c>
    </row>
    <row r="45" spans="1:66" x14ac:dyDescent="0.35">
      <c r="A45" s="5">
        <f t="shared" si="0"/>
        <v>43517</v>
      </c>
      <c r="B45" t="s">
        <v>122</v>
      </c>
      <c r="C45" s="2">
        <v>0.75</v>
      </c>
      <c r="D45" s="2">
        <v>0.70720000000000005</v>
      </c>
      <c r="E45" s="3">
        <v>0.70239770000000001</v>
      </c>
      <c r="F45" s="3">
        <v>0.69972520000000005</v>
      </c>
      <c r="G45" s="3">
        <v>0.70906849999999999</v>
      </c>
      <c r="H45" s="3">
        <v>0.72343840000000004</v>
      </c>
      <c r="I45" s="3">
        <v>0.73959050000000004</v>
      </c>
      <c r="J45" s="3">
        <v>0.75620310000000002</v>
      </c>
      <c r="K45" s="3">
        <v>0.7723333</v>
      </c>
      <c r="L45" s="3">
        <v>0.78774560000000005</v>
      </c>
      <c r="M45" s="3">
        <v>0.8024654</v>
      </c>
      <c r="N45" s="3">
        <v>0.81651879999999999</v>
      </c>
      <c r="O45" s="3">
        <v>0.8300052</v>
      </c>
      <c r="P45" s="3">
        <v>0.84293560000000001</v>
      </c>
      <c r="Q45" s="3">
        <v>0.85519330000000005</v>
      </c>
      <c r="R45" s="3">
        <v>0.8667781</v>
      </c>
      <c r="S45" s="3">
        <v>0.87772720000000004</v>
      </c>
      <c r="T45" s="3">
        <v>0.88807769999999997</v>
      </c>
      <c r="U45" s="3">
        <v>0.89786699999999997</v>
      </c>
      <c r="V45" s="3">
        <v>0.9071321</v>
      </c>
      <c r="W45" s="3">
        <v>0.91591679999999998</v>
      </c>
      <c r="X45" s="3">
        <v>0.92428929999999998</v>
      </c>
      <c r="Y45" s="3">
        <v>0.93232389999999998</v>
      </c>
      <c r="Z45" s="3">
        <v>0.94009480000000001</v>
      </c>
      <c r="AA45" s="3">
        <v>0.94767610000000002</v>
      </c>
      <c r="AB45" s="3">
        <v>0.95514189999999999</v>
      </c>
      <c r="AC45" s="3">
        <v>0.96255590000000002</v>
      </c>
      <c r="AD45" s="3">
        <v>0.96992940000000005</v>
      </c>
      <c r="AE45" s="3">
        <v>0.97725790000000001</v>
      </c>
      <c r="AF45" s="3">
        <v>0.984537</v>
      </c>
      <c r="AG45" s="3">
        <v>0.99176220000000004</v>
      </c>
      <c r="AH45" s="3">
        <v>0.99892899999999996</v>
      </c>
      <c r="AI45" s="3">
        <v>1.006033</v>
      </c>
      <c r="AJ45" s="3">
        <v>1.0130695999999999</v>
      </c>
      <c r="AK45" s="3">
        <v>1.0200345</v>
      </c>
      <c r="AL45" s="3">
        <v>1.0269231999999999</v>
      </c>
      <c r="AM45" s="3">
        <v>1.0337311</v>
      </c>
      <c r="AN45" s="3">
        <v>1.0404538999999999</v>
      </c>
      <c r="AO45" s="3">
        <v>1.0470877000000001</v>
      </c>
      <c r="AP45" s="3">
        <v>1.0536315000000001</v>
      </c>
      <c r="AQ45" s="3">
        <v>1.0600851</v>
      </c>
      <c r="AR45" s="3">
        <v>1.0664483</v>
      </c>
      <c r="AS45" s="3">
        <v>1.0727207000000001</v>
      </c>
      <c r="AT45" s="3">
        <v>1.0789023</v>
      </c>
      <c r="AU45" s="3">
        <v>1.0849928</v>
      </c>
      <c r="AV45" s="3">
        <v>1.0909918999999999</v>
      </c>
      <c r="AW45" s="3">
        <v>1.0968994999999999</v>
      </c>
      <c r="AX45" s="3">
        <v>1.1027153000000001</v>
      </c>
      <c r="AY45" s="3">
        <v>1.108439</v>
      </c>
      <c r="AZ45" s="3">
        <v>1.1140706</v>
      </c>
      <c r="BA45" s="3">
        <v>1.1196105999999999</v>
      </c>
      <c r="BB45" s="3">
        <v>1.1250639</v>
      </c>
      <c r="BC45" s="3">
        <v>1.1304365000000001</v>
      </c>
      <c r="BD45" s="3">
        <v>1.1357344</v>
      </c>
      <c r="BE45" s="3">
        <v>1.1409636000000001</v>
      </c>
      <c r="BF45" s="3">
        <v>1.1461300000000001</v>
      </c>
      <c r="BG45" s="3">
        <v>1.1512397000000001</v>
      </c>
      <c r="BH45" s="3">
        <v>1.1562984999999999</v>
      </c>
      <c r="BI45" s="3">
        <v>1.1613125</v>
      </c>
      <c r="BJ45" s="3">
        <v>1.1662877</v>
      </c>
      <c r="BK45" s="3">
        <v>1.17123</v>
      </c>
      <c r="BL45" s="3">
        <v>1.1761455000000001</v>
      </c>
      <c r="BM45" s="3" t="e">
        <v>#N/A</v>
      </c>
      <c r="BN45" s="3" t="e">
        <v>#N/A</v>
      </c>
    </row>
    <row r="46" spans="1:66" x14ac:dyDescent="0.35">
      <c r="A46" s="5">
        <f t="shared" si="0"/>
        <v>43518</v>
      </c>
      <c r="B46" t="s">
        <v>123</v>
      </c>
      <c r="C46" s="2">
        <v>0.75</v>
      </c>
      <c r="D46" s="2">
        <v>0.70830000000000004</v>
      </c>
      <c r="E46" s="3">
        <v>0.69587469999999996</v>
      </c>
      <c r="F46" s="3">
        <v>0.69464709999999996</v>
      </c>
      <c r="G46" s="3">
        <v>0.70452539999999997</v>
      </c>
      <c r="H46" s="3">
        <v>0.71845809999999999</v>
      </c>
      <c r="I46" s="3">
        <v>0.73346429999999996</v>
      </c>
      <c r="J46" s="3">
        <v>0.7484362</v>
      </c>
      <c r="K46" s="3">
        <v>0.76268789999999997</v>
      </c>
      <c r="L46" s="3">
        <v>0.77618359999999997</v>
      </c>
      <c r="M46" s="3">
        <v>0.78901540000000003</v>
      </c>
      <c r="N46" s="3">
        <v>0.80120179999999996</v>
      </c>
      <c r="O46" s="3">
        <v>0.81281709999999996</v>
      </c>
      <c r="P46" s="3">
        <v>0.82388059999999996</v>
      </c>
      <c r="Q46" s="3">
        <v>0.83431860000000002</v>
      </c>
      <c r="R46" s="3">
        <v>0.84415859999999998</v>
      </c>
      <c r="S46" s="3">
        <v>0.85346699999999998</v>
      </c>
      <c r="T46" s="3">
        <v>0.86231000000000002</v>
      </c>
      <c r="U46" s="3">
        <v>0.87075380000000002</v>
      </c>
      <c r="V46" s="3">
        <v>0.8788646</v>
      </c>
      <c r="W46" s="3">
        <v>0.88670329999999997</v>
      </c>
      <c r="X46" s="3">
        <v>0.8943063</v>
      </c>
      <c r="Y46" s="3">
        <v>0.90170280000000003</v>
      </c>
      <c r="Z46" s="3">
        <v>0.9089218</v>
      </c>
      <c r="AA46" s="3">
        <v>0.91599249999999999</v>
      </c>
      <c r="AB46" s="3">
        <v>0.92294410000000005</v>
      </c>
      <c r="AC46" s="3">
        <v>0.92980160000000001</v>
      </c>
      <c r="AD46" s="3">
        <v>0.93657100000000004</v>
      </c>
      <c r="AE46" s="3">
        <v>0.94325320000000001</v>
      </c>
      <c r="AF46" s="3">
        <v>0.94984919999999995</v>
      </c>
      <c r="AG46" s="3">
        <v>0.95635999999999999</v>
      </c>
      <c r="AH46" s="3">
        <v>0.96278629999999998</v>
      </c>
      <c r="AI46" s="3">
        <v>0.96912920000000002</v>
      </c>
      <c r="AJ46" s="3">
        <v>0.97538959999999997</v>
      </c>
      <c r="AK46" s="3">
        <v>0.98156849999999995</v>
      </c>
      <c r="AL46" s="3">
        <v>0.98766659999999995</v>
      </c>
      <c r="AM46" s="3">
        <v>0.99368500000000004</v>
      </c>
      <c r="AN46" s="3">
        <v>0.99962470000000003</v>
      </c>
      <c r="AO46" s="3">
        <v>1.0054866</v>
      </c>
      <c r="AP46" s="3">
        <v>1.0112730000000001</v>
      </c>
      <c r="AQ46" s="3">
        <v>1.0169862000000001</v>
      </c>
      <c r="AR46" s="3">
        <v>1.0226284999999999</v>
      </c>
      <c r="AS46" s="3">
        <v>1.0282023</v>
      </c>
      <c r="AT46" s="3">
        <v>1.0337099000000001</v>
      </c>
      <c r="AU46" s="3">
        <v>1.0391537</v>
      </c>
      <c r="AV46" s="3">
        <v>1.0445361</v>
      </c>
      <c r="AW46" s="3">
        <v>1.0498594000000001</v>
      </c>
      <c r="AX46" s="3">
        <v>1.0551258999999999</v>
      </c>
      <c r="AY46" s="3">
        <v>1.060338</v>
      </c>
      <c r="AZ46" s="3">
        <v>1.0654980999999999</v>
      </c>
      <c r="BA46" s="3">
        <v>1.0706085000000001</v>
      </c>
      <c r="BB46" s="3">
        <v>1.0756718999999999</v>
      </c>
      <c r="BC46" s="3">
        <v>1.0806910000000001</v>
      </c>
      <c r="BD46" s="3">
        <v>1.0856683</v>
      </c>
      <c r="BE46" s="3">
        <v>1.0906066999999999</v>
      </c>
      <c r="BF46" s="3">
        <v>1.0955086999999999</v>
      </c>
      <c r="BG46" s="3">
        <v>1.1003771</v>
      </c>
      <c r="BH46" s="3">
        <v>1.1052145</v>
      </c>
      <c r="BI46" s="3">
        <v>1.1100235000000001</v>
      </c>
      <c r="BJ46" s="3">
        <v>1.1148069</v>
      </c>
      <c r="BK46" s="3">
        <v>1.1195674</v>
      </c>
      <c r="BL46" s="3">
        <v>1.1243076000000001</v>
      </c>
      <c r="BM46" s="3" t="e">
        <v>#N/A</v>
      </c>
      <c r="BN46" s="3" t="e">
        <v>#N/A</v>
      </c>
    </row>
    <row r="47" spans="1:66" x14ac:dyDescent="0.35">
      <c r="A47" s="5">
        <f t="shared" si="0"/>
        <v>43521</v>
      </c>
      <c r="B47" t="s">
        <v>124</v>
      </c>
      <c r="C47" s="2">
        <v>0.75</v>
      </c>
      <c r="D47" s="2">
        <v>0.70799999999999996</v>
      </c>
      <c r="E47" s="3">
        <v>0.69497169999999997</v>
      </c>
      <c r="F47" s="3">
        <v>0.69720090000000001</v>
      </c>
      <c r="G47" s="3">
        <v>0.70854550000000005</v>
      </c>
      <c r="H47" s="3">
        <v>0.72297</v>
      </c>
      <c r="I47" s="3">
        <v>0.73831089999999999</v>
      </c>
      <c r="J47" s="3">
        <v>0.75335980000000002</v>
      </c>
      <c r="K47" s="3">
        <v>0.7672831</v>
      </c>
      <c r="L47" s="3">
        <v>0.78007219999999999</v>
      </c>
      <c r="M47" s="3">
        <v>0.79189469999999995</v>
      </c>
      <c r="N47" s="3">
        <v>0.80292509999999995</v>
      </c>
      <c r="O47" s="3">
        <v>0.81350529999999999</v>
      </c>
      <c r="P47" s="3">
        <v>0.82394089999999998</v>
      </c>
      <c r="Q47" s="3">
        <v>0.83463469999999995</v>
      </c>
      <c r="R47" s="3">
        <v>0.84560729999999995</v>
      </c>
      <c r="S47" s="3">
        <v>0.85676560000000002</v>
      </c>
      <c r="T47" s="3">
        <v>0.86801680000000003</v>
      </c>
      <c r="U47" s="3">
        <v>0.87926800000000005</v>
      </c>
      <c r="V47" s="3">
        <v>0.89042639999999995</v>
      </c>
      <c r="W47" s="3">
        <v>0.90140659999999995</v>
      </c>
      <c r="X47" s="3">
        <v>0.91215250000000003</v>
      </c>
      <c r="Y47" s="3">
        <v>0.92261459999999995</v>
      </c>
      <c r="Z47" s="3">
        <v>0.93274380000000001</v>
      </c>
      <c r="AA47" s="3">
        <v>0.94249059999999996</v>
      </c>
      <c r="AB47" s="3">
        <v>0.95180580000000004</v>
      </c>
      <c r="AC47" s="3">
        <v>0.9606519</v>
      </c>
      <c r="AD47" s="3">
        <v>0.96904469999999998</v>
      </c>
      <c r="AE47" s="3">
        <v>0.97701439999999995</v>
      </c>
      <c r="AF47" s="3">
        <v>0.98459140000000001</v>
      </c>
      <c r="AG47" s="3">
        <v>0.99180579999999996</v>
      </c>
      <c r="AH47" s="3">
        <v>0.99868789999999996</v>
      </c>
      <c r="AI47" s="3">
        <v>1.0052680000000001</v>
      </c>
      <c r="AJ47" s="3">
        <v>1.0115764</v>
      </c>
      <c r="AK47" s="3">
        <v>1.0176434000000001</v>
      </c>
      <c r="AL47" s="3">
        <v>1.0234991</v>
      </c>
      <c r="AM47" s="3">
        <v>1.029174</v>
      </c>
      <c r="AN47" s="3">
        <v>1.0346982</v>
      </c>
      <c r="AO47" s="3">
        <v>1.0400992</v>
      </c>
      <c r="AP47" s="3">
        <v>1.0453918</v>
      </c>
      <c r="AQ47" s="3">
        <v>1.0505872000000001</v>
      </c>
      <c r="AR47" s="3">
        <v>1.0556970000000001</v>
      </c>
      <c r="AS47" s="3">
        <v>1.0607323</v>
      </c>
      <c r="AT47" s="3">
        <v>1.0657045999999999</v>
      </c>
      <c r="AU47" s="3">
        <v>1.0706252000000001</v>
      </c>
      <c r="AV47" s="3">
        <v>1.0755053000000001</v>
      </c>
      <c r="AW47" s="3">
        <v>1.0803564000000001</v>
      </c>
      <c r="AX47" s="3">
        <v>1.0851898</v>
      </c>
      <c r="AY47" s="3">
        <v>1.0900167999999999</v>
      </c>
      <c r="AZ47" s="3">
        <v>1.0948488000000001</v>
      </c>
      <c r="BA47" s="3">
        <v>1.0996961999999999</v>
      </c>
      <c r="BB47" s="3">
        <v>1.1045651000000001</v>
      </c>
      <c r="BC47" s="3">
        <v>1.1094599999999999</v>
      </c>
      <c r="BD47" s="3">
        <v>1.1143855</v>
      </c>
      <c r="BE47" s="3">
        <v>1.1193458999999999</v>
      </c>
      <c r="BF47" s="3">
        <v>1.1243459</v>
      </c>
      <c r="BG47" s="3">
        <v>1.1293899999999999</v>
      </c>
      <c r="BH47" s="3">
        <v>1.1344827</v>
      </c>
      <c r="BI47" s="3">
        <v>1.1396284999999999</v>
      </c>
      <c r="BJ47" s="3">
        <v>1.1448319</v>
      </c>
      <c r="BK47" s="3">
        <v>1.1500975</v>
      </c>
      <c r="BL47" s="3">
        <v>1.1554297</v>
      </c>
      <c r="BM47" s="3" t="e">
        <v>#N/A</v>
      </c>
      <c r="BN47" s="3" t="e">
        <v>#N/A</v>
      </c>
    </row>
    <row r="48" spans="1:66" x14ac:dyDescent="0.35">
      <c r="A48" s="5">
        <f t="shared" si="0"/>
        <v>43522</v>
      </c>
      <c r="B48" t="s">
        <v>125</v>
      </c>
      <c r="C48" s="2">
        <v>0.75</v>
      </c>
      <c r="D48" s="2">
        <v>0.70740000000000003</v>
      </c>
      <c r="E48" s="3">
        <v>0.69349150000000004</v>
      </c>
      <c r="F48" s="3">
        <v>0.69936920000000002</v>
      </c>
      <c r="G48" s="3">
        <v>0.71207569999999998</v>
      </c>
      <c r="H48" s="3">
        <v>0.72757340000000004</v>
      </c>
      <c r="I48" s="3">
        <v>0.74482950000000003</v>
      </c>
      <c r="J48" s="3">
        <v>0.76274229999999998</v>
      </c>
      <c r="K48" s="3">
        <v>0.78004359999999995</v>
      </c>
      <c r="L48" s="3">
        <v>0.79625429999999997</v>
      </c>
      <c r="M48" s="3">
        <v>0.81113460000000004</v>
      </c>
      <c r="N48" s="3">
        <v>0.82470299999999996</v>
      </c>
      <c r="O48" s="3">
        <v>0.83723769999999997</v>
      </c>
      <c r="P48" s="3">
        <v>0.84909299999999999</v>
      </c>
      <c r="Q48" s="3">
        <v>0.86073040000000001</v>
      </c>
      <c r="R48" s="3">
        <v>0.87224290000000004</v>
      </c>
      <c r="S48" s="3">
        <v>0.88361679999999998</v>
      </c>
      <c r="T48" s="3">
        <v>0.89483840000000003</v>
      </c>
      <c r="U48" s="3">
        <v>0.90589399999999998</v>
      </c>
      <c r="V48" s="3">
        <v>0.91676999999999997</v>
      </c>
      <c r="W48" s="3">
        <v>0.92744700000000002</v>
      </c>
      <c r="X48" s="3">
        <v>0.93788349999999998</v>
      </c>
      <c r="Y48" s="3">
        <v>0.94803309999999996</v>
      </c>
      <c r="Z48" s="3">
        <v>0.95784899999999995</v>
      </c>
      <c r="AA48" s="3">
        <v>0.9672849</v>
      </c>
      <c r="AB48" s="3">
        <v>0.976294</v>
      </c>
      <c r="AC48" s="3">
        <v>0.98484179999999999</v>
      </c>
      <c r="AD48" s="3">
        <v>0.99294590000000005</v>
      </c>
      <c r="AE48" s="3">
        <v>1.0006383999999999</v>
      </c>
      <c r="AF48" s="3">
        <v>1.0079515999999999</v>
      </c>
      <c r="AG48" s="3">
        <v>1.0149176</v>
      </c>
      <c r="AH48" s="3">
        <v>1.0215685999999999</v>
      </c>
      <c r="AI48" s="3">
        <v>1.0279368</v>
      </c>
      <c r="AJ48" s="3">
        <v>1.0340541999999999</v>
      </c>
      <c r="AK48" s="3">
        <v>1.0399532</v>
      </c>
      <c r="AL48" s="3">
        <v>1.0456658000000001</v>
      </c>
      <c r="AM48" s="3">
        <v>1.0512242999999999</v>
      </c>
      <c r="AN48" s="3">
        <v>1.0566608</v>
      </c>
      <c r="AO48" s="3">
        <v>1.0620045</v>
      </c>
      <c r="AP48" s="3">
        <v>1.0672691999999999</v>
      </c>
      <c r="AQ48" s="3">
        <v>1.0724634</v>
      </c>
      <c r="AR48" s="3">
        <v>1.0775954999999999</v>
      </c>
      <c r="AS48" s="3">
        <v>1.0826739999999999</v>
      </c>
      <c r="AT48" s="3">
        <v>1.0877074</v>
      </c>
      <c r="AU48" s="3">
        <v>1.0927041</v>
      </c>
      <c r="AV48" s="3">
        <v>1.0976726000000001</v>
      </c>
      <c r="AW48" s="3">
        <v>1.1026214999999999</v>
      </c>
      <c r="AX48" s="3">
        <v>1.1075591</v>
      </c>
      <c r="AY48" s="3">
        <v>1.1124940000000001</v>
      </c>
      <c r="AZ48" s="3">
        <v>1.1174345999999999</v>
      </c>
      <c r="BA48" s="3">
        <v>1.1223879999999999</v>
      </c>
      <c r="BB48" s="3">
        <v>1.1273553000000001</v>
      </c>
      <c r="BC48" s="3">
        <v>1.1323353</v>
      </c>
      <c r="BD48" s="3">
        <v>1.1373268999999999</v>
      </c>
      <c r="BE48" s="3">
        <v>1.1423291</v>
      </c>
      <c r="BF48" s="3">
        <v>1.1473409000000001</v>
      </c>
      <c r="BG48" s="3">
        <v>1.1523612000000001</v>
      </c>
      <c r="BH48" s="3">
        <v>1.1573888999999999</v>
      </c>
      <c r="BI48" s="3">
        <v>1.1624231</v>
      </c>
      <c r="BJ48" s="3">
        <v>1.1674625000000001</v>
      </c>
      <c r="BK48" s="3">
        <v>1.1725063</v>
      </c>
      <c r="BL48" s="3">
        <v>1.1775533</v>
      </c>
      <c r="BM48" s="3" t="e">
        <v>#N/A</v>
      </c>
      <c r="BN48" s="3" t="e">
        <v>#N/A</v>
      </c>
    </row>
    <row r="49" spans="1:66" x14ac:dyDescent="0.35">
      <c r="A49" s="5">
        <f t="shared" si="0"/>
        <v>43523</v>
      </c>
      <c r="B49" t="s">
        <v>126</v>
      </c>
      <c r="C49" s="2">
        <v>0.75</v>
      </c>
      <c r="D49" s="2">
        <v>0.70650000000000002</v>
      </c>
      <c r="E49" s="3">
        <v>0.6957333</v>
      </c>
      <c r="F49" s="3">
        <v>0.70186850000000001</v>
      </c>
      <c r="G49" s="3">
        <v>0.71559649999999997</v>
      </c>
      <c r="H49" s="3">
        <v>0.73294550000000003</v>
      </c>
      <c r="I49" s="3">
        <v>0.7527855</v>
      </c>
      <c r="J49" s="3">
        <v>0.7736094</v>
      </c>
      <c r="K49" s="3">
        <v>0.79390139999999998</v>
      </c>
      <c r="L49" s="3">
        <v>0.81327300000000002</v>
      </c>
      <c r="M49" s="3">
        <v>0.83162340000000001</v>
      </c>
      <c r="N49" s="3">
        <v>0.84897940000000005</v>
      </c>
      <c r="O49" s="3">
        <v>0.86553729999999995</v>
      </c>
      <c r="P49" s="3">
        <v>0.88147989999999998</v>
      </c>
      <c r="Q49" s="3">
        <v>0.89694580000000002</v>
      </c>
      <c r="R49" s="3">
        <v>0.91193789999999997</v>
      </c>
      <c r="S49" s="3">
        <v>0.9264249</v>
      </c>
      <c r="T49" s="3">
        <v>0.94037570000000004</v>
      </c>
      <c r="U49" s="3">
        <v>0.95375909999999997</v>
      </c>
      <c r="V49" s="3">
        <v>0.96654370000000001</v>
      </c>
      <c r="W49" s="3">
        <v>0.97871459999999999</v>
      </c>
      <c r="X49" s="3">
        <v>0.99031800000000003</v>
      </c>
      <c r="Y49" s="3">
        <v>1.0014151</v>
      </c>
      <c r="Z49" s="3">
        <v>1.0120667999999999</v>
      </c>
      <c r="AA49" s="3">
        <v>1.0223342</v>
      </c>
      <c r="AB49" s="3">
        <v>1.0322783</v>
      </c>
      <c r="AC49" s="3">
        <v>1.0419536</v>
      </c>
      <c r="AD49" s="3">
        <v>1.0513794000000001</v>
      </c>
      <c r="AE49" s="3">
        <v>1.0605633999999999</v>
      </c>
      <c r="AF49" s="3">
        <v>1.0695129999999999</v>
      </c>
      <c r="AG49" s="3">
        <v>1.078236</v>
      </c>
      <c r="AH49" s="3">
        <v>1.0867397999999999</v>
      </c>
      <c r="AI49" s="3">
        <v>1.0950321000000001</v>
      </c>
      <c r="AJ49" s="3">
        <v>1.1031203000000001</v>
      </c>
      <c r="AK49" s="3">
        <v>1.1110122</v>
      </c>
      <c r="AL49" s="3">
        <v>1.1187153000000001</v>
      </c>
      <c r="AM49" s="3">
        <v>1.1262371</v>
      </c>
      <c r="AN49" s="3">
        <v>1.1335853</v>
      </c>
      <c r="AO49" s="3">
        <v>1.1407669</v>
      </c>
      <c r="AP49" s="3">
        <v>1.1477869999999999</v>
      </c>
      <c r="AQ49" s="3">
        <v>1.15465</v>
      </c>
      <c r="AR49" s="3">
        <v>1.1613601</v>
      </c>
      <c r="AS49" s="3">
        <v>1.1679217</v>
      </c>
      <c r="AT49" s="3">
        <v>1.1743391999999999</v>
      </c>
      <c r="AU49" s="3">
        <v>1.1806169</v>
      </c>
      <c r="AV49" s="3">
        <v>1.1867592</v>
      </c>
      <c r="AW49" s="3">
        <v>1.1927703999999999</v>
      </c>
      <c r="AX49" s="3">
        <v>1.1986549</v>
      </c>
      <c r="AY49" s="3">
        <v>1.2044170000000001</v>
      </c>
      <c r="AZ49" s="3">
        <v>1.2100610999999999</v>
      </c>
      <c r="BA49" s="3">
        <v>1.215592</v>
      </c>
      <c r="BB49" s="3">
        <v>1.2210167000000001</v>
      </c>
      <c r="BC49" s="3">
        <v>1.2263428999999999</v>
      </c>
      <c r="BD49" s="3">
        <v>1.2315782</v>
      </c>
      <c r="BE49" s="3">
        <v>1.2367302</v>
      </c>
      <c r="BF49" s="3">
        <v>1.2418065</v>
      </c>
      <c r="BG49" s="3">
        <v>1.2468148999999999</v>
      </c>
      <c r="BH49" s="3">
        <v>1.2517628000000001</v>
      </c>
      <c r="BI49" s="3">
        <v>1.2566579</v>
      </c>
      <c r="BJ49" s="3">
        <v>1.2615079</v>
      </c>
      <c r="BK49" s="3">
        <v>1.2663203999999999</v>
      </c>
      <c r="BL49" s="3">
        <v>1.2711030000000001</v>
      </c>
      <c r="BM49" s="3" t="e">
        <v>#N/A</v>
      </c>
      <c r="BN49" s="3" t="e">
        <v>#N/A</v>
      </c>
    </row>
    <row r="50" spans="1:66" x14ac:dyDescent="0.35">
      <c r="A50" s="5">
        <f t="shared" si="0"/>
        <v>43524</v>
      </c>
      <c r="B50" t="s">
        <v>127</v>
      </c>
      <c r="C50" s="2">
        <v>0.75</v>
      </c>
      <c r="D50" s="2">
        <v>0.70499999999999996</v>
      </c>
      <c r="E50" s="3">
        <v>0.70843619999999996</v>
      </c>
      <c r="F50" s="3">
        <v>0.70780469999999995</v>
      </c>
      <c r="G50" s="3">
        <v>0.71339960000000002</v>
      </c>
      <c r="H50" s="3">
        <v>0.72693319999999995</v>
      </c>
      <c r="I50" s="3">
        <v>0.74597769999999997</v>
      </c>
      <c r="J50" s="3">
        <v>0.76709320000000003</v>
      </c>
      <c r="K50" s="3">
        <v>0.78866130000000001</v>
      </c>
      <c r="L50" s="3">
        <v>0.81042139999999996</v>
      </c>
      <c r="M50" s="3">
        <v>0.83196809999999999</v>
      </c>
      <c r="N50" s="3">
        <v>0.85222609999999999</v>
      </c>
      <c r="O50" s="3">
        <v>0.87058020000000003</v>
      </c>
      <c r="P50" s="3">
        <v>0.88713379999999997</v>
      </c>
      <c r="Q50" s="3">
        <v>0.90259909999999999</v>
      </c>
      <c r="R50" s="3">
        <v>0.91728080000000001</v>
      </c>
      <c r="S50" s="3">
        <v>0.93128339999999998</v>
      </c>
      <c r="T50" s="3">
        <v>0.94471130000000003</v>
      </c>
      <c r="U50" s="3">
        <v>0.95766890000000005</v>
      </c>
      <c r="V50" s="3">
        <v>0.97026040000000002</v>
      </c>
      <c r="W50" s="3">
        <v>0.98257669999999997</v>
      </c>
      <c r="X50" s="3">
        <v>0.99463140000000005</v>
      </c>
      <c r="Y50" s="3">
        <v>1.0064109999999999</v>
      </c>
      <c r="Z50" s="3">
        <v>1.0179019</v>
      </c>
      <c r="AA50" s="3">
        <v>1.0290904999999999</v>
      </c>
      <c r="AB50" s="3">
        <v>1.0399635</v>
      </c>
      <c r="AC50" s="3">
        <v>1.0505104999999999</v>
      </c>
      <c r="AD50" s="3">
        <v>1.0607375000000001</v>
      </c>
      <c r="AE50" s="3">
        <v>1.0706553999999999</v>
      </c>
      <c r="AF50" s="3">
        <v>1.0802749</v>
      </c>
      <c r="AG50" s="3">
        <v>1.0896068999999999</v>
      </c>
      <c r="AH50" s="3">
        <v>1.0986623</v>
      </c>
      <c r="AI50" s="3">
        <v>1.1074520000000001</v>
      </c>
      <c r="AJ50" s="3">
        <v>1.1159867000000001</v>
      </c>
      <c r="AK50" s="3">
        <v>1.1242772999999999</v>
      </c>
      <c r="AL50" s="3">
        <v>1.1323346000000001</v>
      </c>
      <c r="AM50" s="3">
        <v>1.1401695999999999</v>
      </c>
      <c r="AN50" s="3">
        <v>1.1477929</v>
      </c>
      <c r="AO50" s="3">
        <v>1.1552153999999999</v>
      </c>
      <c r="AP50" s="3">
        <v>1.1624464000000001</v>
      </c>
      <c r="AQ50" s="3">
        <v>1.1694951</v>
      </c>
      <c r="AR50" s="3">
        <v>1.1763707999999999</v>
      </c>
      <c r="AS50" s="3">
        <v>1.1830826000000001</v>
      </c>
      <c r="AT50" s="3">
        <v>1.1896397999999999</v>
      </c>
      <c r="AU50" s="3">
        <v>1.1960516000000001</v>
      </c>
      <c r="AV50" s="3">
        <v>1.2023271</v>
      </c>
      <c r="AW50" s="3">
        <v>1.2084755</v>
      </c>
      <c r="AX50" s="3">
        <v>1.2145060999999999</v>
      </c>
      <c r="AY50" s="3">
        <v>1.2204280999999999</v>
      </c>
      <c r="AZ50" s="3">
        <v>1.2262506</v>
      </c>
      <c r="BA50" s="3">
        <v>1.2319823000000001</v>
      </c>
      <c r="BB50" s="3">
        <v>1.2376294999999999</v>
      </c>
      <c r="BC50" s="3">
        <v>1.2431977000000001</v>
      </c>
      <c r="BD50" s="3">
        <v>1.2486925</v>
      </c>
      <c r="BE50" s="3">
        <v>1.2541195999999999</v>
      </c>
      <c r="BF50" s="3">
        <v>1.2594844000000001</v>
      </c>
      <c r="BG50" s="3">
        <v>1.2647927000000001</v>
      </c>
      <c r="BH50" s="3">
        <v>1.2700498</v>
      </c>
      <c r="BI50" s="3">
        <v>1.2752615</v>
      </c>
      <c r="BJ50" s="3">
        <v>1.2804333999999999</v>
      </c>
      <c r="BK50" s="3">
        <v>1.2855709</v>
      </c>
      <c r="BL50" s="3">
        <v>1.2906797000000001</v>
      </c>
      <c r="BM50" s="3" t="e">
        <v>#N/A</v>
      </c>
      <c r="BN50" s="3" t="e">
        <v>#N/A</v>
      </c>
    </row>
    <row r="51" spans="1:66" x14ac:dyDescent="0.35">
      <c r="A51" s="5">
        <f t="shared" si="0"/>
        <v>43525</v>
      </c>
      <c r="B51" t="s">
        <v>128</v>
      </c>
      <c r="C51" s="2">
        <v>0.75</v>
      </c>
      <c r="D51" s="2">
        <v>0.70569999999999999</v>
      </c>
      <c r="E51" s="3">
        <v>0.69016010000000005</v>
      </c>
      <c r="F51" s="3">
        <v>0.70263019999999998</v>
      </c>
      <c r="G51" s="3">
        <v>0.71794369999999996</v>
      </c>
      <c r="H51" s="3">
        <v>0.73364030000000002</v>
      </c>
      <c r="I51" s="3">
        <v>0.75092800000000004</v>
      </c>
      <c r="J51" s="3">
        <v>0.76958550000000003</v>
      </c>
      <c r="K51" s="3">
        <v>0.78871880000000005</v>
      </c>
      <c r="L51" s="3">
        <v>0.80803950000000002</v>
      </c>
      <c r="M51" s="3">
        <v>0.82714449999999995</v>
      </c>
      <c r="N51" s="3">
        <v>0.84560999999999997</v>
      </c>
      <c r="O51" s="3">
        <v>0.86328170000000004</v>
      </c>
      <c r="P51" s="3">
        <v>0.88017259999999997</v>
      </c>
      <c r="Q51" s="3">
        <v>0.89656780000000003</v>
      </c>
      <c r="R51" s="3">
        <v>0.91257650000000001</v>
      </c>
      <c r="S51" s="3">
        <v>0.92821739999999997</v>
      </c>
      <c r="T51" s="3">
        <v>0.94350909999999999</v>
      </c>
      <c r="U51" s="3">
        <v>0.9584703</v>
      </c>
      <c r="V51" s="3">
        <v>0.97311959999999997</v>
      </c>
      <c r="W51" s="3">
        <v>0.98746940000000005</v>
      </c>
      <c r="X51" s="3">
        <v>1.0014991</v>
      </c>
      <c r="Y51" s="3">
        <v>1.0151779000000001</v>
      </c>
      <c r="Z51" s="3">
        <v>1.0284747999999999</v>
      </c>
      <c r="AA51" s="3">
        <v>1.0413591</v>
      </c>
      <c r="AB51" s="3">
        <v>1.0537996999999999</v>
      </c>
      <c r="AC51" s="3">
        <v>1.0657722999999999</v>
      </c>
      <c r="AD51" s="3">
        <v>1.0772816000000001</v>
      </c>
      <c r="AE51" s="3">
        <v>1.0883400999999999</v>
      </c>
      <c r="AF51" s="3">
        <v>1.0989603999999999</v>
      </c>
      <c r="AG51" s="3">
        <v>1.1091550999999999</v>
      </c>
      <c r="AH51" s="3">
        <v>1.1189368</v>
      </c>
      <c r="AI51" s="3">
        <v>1.1283179999999999</v>
      </c>
      <c r="AJ51" s="3">
        <v>1.1373114</v>
      </c>
      <c r="AK51" s="3">
        <v>1.1459294</v>
      </c>
      <c r="AL51" s="3">
        <v>1.1541847999999999</v>
      </c>
      <c r="AM51" s="3">
        <v>1.1620900999999999</v>
      </c>
      <c r="AN51" s="3">
        <v>1.1696579</v>
      </c>
      <c r="AO51" s="3">
        <v>1.1769016999999999</v>
      </c>
      <c r="AP51" s="3">
        <v>1.1838398000000001</v>
      </c>
      <c r="AQ51" s="3">
        <v>1.1904916999999999</v>
      </c>
      <c r="AR51" s="3">
        <v>1.1968767</v>
      </c>
      <c r="AS51" s="3">
        <v>1.2030141999999999</v>
      </c>
      <c r="AT51" s="3">
        <v>1.2089238</v>
      </c>
      <c r="AU51" s="3">
        <v>1.2146249</v>
      </c>
      <c r="AV51" s="3">
        <v>1.2201369</v>
      </c>
      <c r="AW51" s="3">
        <v>1.2254792000000001</v>
      </c>
      <c r="AX51" s="3">
        <v>1.2306713</v>
      </c>
      <c r="AY51" s="3">
        <v>1.2357327</v>
      </c>
      <c r="AZ51" s="3">
        <v>1.2406827</v>
      </c>
      <c r="BA51" s="3">
        <v>1.245539</v>
      </c>
      <c r="BB51" s="3">
        <v>1.2503112000000001</v>
      </c>
      <c r="BC51" s="3">
        <v>1.2550067</v>
      </c>
      <c r="BD51" s="3">
        <v>1.2596327</v>
      </c>
      <c r="BE51" s="3">
        <v>1.2641967000000001</v>
      </c>
      <c r="BF51" s="3">
        <v>1.2687060999999999</v>
      </c>
      <c r="BG51" s="3">
        <v>1.2731682</v>
      </c>
      <c r="BH51" s="3">
        <v>1.2775903</v>
      </c>
      <c r="BI51" s="3">
        <v>1.2819799000000001</v>
      </c>
      <c r="BJ51" s="3">
        <v>1.2863443999999999</v>
      </c>
      <c r="BK51" s="3">
        <v>1.290691</v>
      </c>
      <c r="BL51" s="3">
        <v>1.2950271</v>
      </c>
      <c r="BM51" s="3" t="e">
        <v>#N/A</v>
      </c>
      <c r="BN51" s="3" t="e">
        <v>#N/A</v>
      </c>
    </row>
    <row r="52" spans="1:66" x14ac:dyDescent="0.35">
      <c r="A52" s="5">
        <f t="shared" si="0"/>
        <v>43528</v>
      </c>
      <c r="B52" t="s">
        <v>129</v>
      </c>
      <c r="C52" s="2">
        <v>0.75</v>
      </c>
      <c r="D52" s="2">
        <v>0.70689999999999997</v>
      </c>
      <c r="E52" s="3">
        <v>0.6880077</v>
      </c>
      <c r="F52" s="3">
        <v>0.70168960000000002</v>
      </c>
      <c r="G52" s="3">
        <v>0.71553480000000003</v>
      </c>
      <c r="H52" s="3">
        <v>0.72915280000000005</v>
      </c>
      <c r="I52" s="3">
        <v>0.74476180000000003</v>
      </c>
      <c r="J52" s="3">
        <v>0.76253159999999998</v>
      </c>
      <c r="K52" s="3">
        <v>0.78170300000000004</v>
      </c>
      <c r="L52" s="3">
        <v>0.80181849999999999</v>
      </c>
      <c r="M52" s="3">
        <v>0.82226509999999997</v>
      </c>
      <c r="N52" s="3">
        <v>0.84253460000000002</v>
      </c>
      <c r="O52" s="3">
        <v>0.86239319999999997</v>
      </c>
      <c r="P52" s="3">
        <v>0.88170139999999997</v>
      </c>
      <c r="Q52" s="3">
        <v>0.90047829999999995</v>
      </c>
      <c r="R52" s="3">
        <v>0.91866959999999998</v>
      </c>
      <c r="S52" s="3">
        <v>0.93618389999999996</v>
      </c>
      <c r="T52" s="3">
        <v>0.95292969999999999</v>
      </c>
      <c r="U52" s="3">
        <v>0.96881569999999995</v>
      </c>
      <c r="V52" s="3">
        <v>0.98375040000000002</v>
      </c>
      <c r="W52" s="3">
        <v>0.99766639999999995</v>
      </c>
      <c r="X52" s="3">
        <v>1.0106196000000001</v>
      </c>
      <c r="Y52" s="3">
        <v>1.022705</v>
      </c>
      <c r="Z52" s="3">
        <v>1.0340179</v>
      </c>
      <c r="AA52" s="3">
        <v>1.0446533</v>
      </c>
      <c r="AB52" s="3">
        <v>1.0547063000000001</v>
      </c>
      <c r="AC52" s="3">
        <v>1.0642627</v>
      </c>
      <c r="AD52" s="3">
        <v>1.0733656</v>
      </c>
      <c r="AE52" s="3">
        <v>1.0820467</v>
      </c>
      <c r="AF52" s="3">
        <v>1.0903377000000001</v>
      </c>
      <c r="AG52" s="3">
        <v>1.0982700999999999</v>
      </c>
      <c r="AH52" s="3">
        <v>1.1058756999999999</v>
      </c>
      <c r="AI52" s="3">
        <v>1.113186</v>
      </c>
      <c r="AJ52" s="3">
        <v>1.1202327000000001</v>
      </c>
      <c r="AK52" s="3">
        <v>1.1270473999999999</v>
      </c>
      <c r="AL52" s="3">
        <v>1.1336618000000001</v>
      </c>
      <c r="AM52" s="3">
        <v>1.1401075000000001</v>
      </c>
      <c r="AN52" s="3">
        <v>1.1464162</v>
      </c>
      <c r="AO52" s="3">
        <v>1.1526152999999999</v>
      </c>
      <c r="AP52" s="3">
        <v>1.1587145000000001</v>
      </c>
      <c r="AQ52" s="3">
        <v>1.1647179999999999</v>
      </c>
      <c r="AR52" s="3">
        <v>1.1706304999999999</v>
      </c>
      <c r="AS52" s="3">
        <v>1.1764562999999999</v>
      </c>
      <c r="AT52" s="3">
        <v>1.1822001</v>
      </c>
      <c r="AU52" s="3">
        <v>1.1878662</v>
      </c>
      <c r="AV52" s="3">
        <v>1.1934591000000001</v>
      </c>
      <c r="AW52" s="3">
        <v>1.1989833999999999</v>
      </c>
      <c r="AX52" s="3">
        <v>1.2044435</v>
      </c>
      <c r="AY52" s="3">
        <v>1.2098438</v>
      </c>
      <c r="AZ52" s="3">
        <v>1.2151890000000001</v>
      </c>
      <c r="BA52" s="3">
        <v>1.2204831</v>
      </c>
      <c r="BB52" s="3">
        <v>1.2257293</v>
      </c>
      <c r="BC52" s="3">
        <v>1.2309303</v>
      </c>
      <c r="BD52" s="3">
        <v>1.2360888000000001</v>
      </c>
      <c r="BE52" s="3">
        <v>1.2412072999999999</v>
      </c>
      <c r="BF52" s="3">
        <v>1.2462887</v>
      </c>
      <c r="BG52" s="3">
        <v>1.2513356</v>
      </c>
      <c r="BH52" s="3">
        <v>1.2563506</v>
      </c>
      <c r="BI52" s="3">
        <v>1.2613364</v>
      </c>
      <c r="BJ52" s="3">
        <v>1.2662958</v>
      </c>
      <c r="BK52" s="3">
        <v>1.2712313</v>
      </c>
      <c r="BL52" s="3">
        <v>1.2761457</v>
      </c>
      <c r="BM52" s="3" t="e">
        <v>#N/A</v>
      </c>
      <c r="BN52" s="3" t="e">
        <v>#N/A</v>
      </c>
    </row>
    <row r="53" spans="1:66" x14ac:dyDescent="0.35">
      <c r="A53" s="5">
        <f t="shared" si="0"/>
        <v>43529</v>
      </c>
      <c r="B53" t="s">
        <v>130</v>
      </c>
      <c r="C53" s="2">
        <v>0.75</v>
      </c>
      <c r="D53" s="2">
        <v>0.70650000000000002</v>
      </c>
      <c r="E53" s="3">
        <v>0.68507969999999996</v>
      </c>
      <c r="F53" s="3">
        <v>0.70288249999999997</v>
      </c>
      <c r="G53" s="3">
        <v>0.71927890000000005</v>
      </c>
      <c r="H53" s="3">
        <v>0.73468929999999999</v>
      </c>
      <c r="I53" s="3">
        <v>0.75155660000000002</v>
      </c>
      <c r="J53" s="3">
        <v>0.77011430000000003</v>
      </c>
      <c r="K53" s="3">
        <v>0.78976650000000004</v>
      </c>
      <c r="L53" s="3">
        <v>0.81011509999999998</v>
      </c>
      <c r="M53" s="3">
        <v>0.83055420000000002</v>
      </c>
      <c r="N53" s="3">
        <v>0.85059110000000004</v>
      </c>
      <c r="O53" s="3">
        <v>0.87003260000000004</v>
      </c>
      <c r="P53" s="3">
        <v>0.8887678</v>
      </c>
      <c r="Q53" s="3">
        <v>0.90680320000000003</v>
      </c>
      <c r="R53" s="3">
        <v>0.92415020000000003</v>
      </c>
      <c r="S53" s="3">
        <v>0.94081000000000004</v>
      </c>
      <c r="T53" s="3">
        <v>0.95678370000000001</v>
      </c>
      <c r="U53" s="3">
        <v>0.97207250000000001</v>
      </c>
      <c r="V53" s="3">
        <v>0.98667769999999999</v>
      </c>
      <c r="W53" s="3">
        <v>1.000604</v>
      </c>
      <c r="X53" s="3">
        <v>1.0138777999999999</v>
      </c>
      <c r="Y53" s="3">
        <v>1.0265340999999999</v>
      </c>
      <c r="Z53" s="3">
        <v>1.0386078000000001</v>
      </c>
      <c r="AA53" s="3">
        <v>1.0501339000000001</v>
      </c>
      <c r="AB53" s="3">
        <v>1.0611473</v>
      </c>
      <c r="AC53" s="3">
        <v>1.0716810000000001</v>
      </c>
      <c r="AD53" s="3">
        <v>1.0817595</v>
      </c>
      <c r="AE53" s="3">
        <v>1.0914048000000001</v>
      </c>
      <c r="AF53" s="3">
        <v>1.1006389999999999</v>
      </c>
      <c r="AG53" s="3">
        <v>1.1094841</v>
      </c>
      <c r="AH53" s="3">
        <v>1.1179623999999999</v>
      </c>
      <c r="AI53" s="3">
        <v>1.1260957</v>
      </c>
      <c r="AJ53" s="3">
        <v>1.1339062</v>
      </c>
      <c r="AK53" s="3">
        <v>1.141416</v>
      </c>
      <c r="AL53" s="3">
        <v>1.148647</v>
      </c>
      <c r="AM53" s="3">
        <v>1.1556215000000001</v>
      </c>
      <c r="AN53" s="3">
        <v>1.1623614</v>
      </c>
      <c r="AO53" s="3">
        <v>1.1688875000000001</v>
      </c>
      <c r="AP53" s="3">
        <v>1.1752129</v>
      </c>
      <c r="AQ53" s="3">
        <v>1.1813482</v>
      </c>
      <c r="AR53" s="3">
        <v>1.1873039999999999</v>
      </c>
      <c r="AS53" s="3">
        <v>1.1930911</v>
      </c>
      <c r="AT53" s="3">
        <v>1.19872</v>
      </c>
      <c r="AU53" s="3">
        <v>1.2042013</v>
      </c>
      <c r="AV53" s="3">
        <v>1.2095457999999999</v>
      </c>
      <c r="AW53" s="3">
        <v>1.214764</v>
      </c>
      <c r="AX53" s="3">
        <v>1.2198666</v>
      </c>
      <c r="AY53" s="3">
        <v>1.2248642000000001</v>
      </c>
      <c r="AZ53" s="3">
        <v>1.2297674000000001</v>
      </c>
      <c r="BA53" s="3">
        <v>1.2345862000000001</v>
      </c>
      <c r="BB53" s="3">
        <v>1.2393268</v>
      </c>
      <c r="BC53" s="3">
        <v>1.2439944999999999</v>
      </c>
      <c r="BD53" s="3">
        <v>1.2485944</v>
      </c>
      <c r="BE53" s="3">
        <v>1.2531318</v>
      </c>
      <c r="BF53" s="3">
        <v>1.2576118999999999</v>
      </c>
      <c r="BG53" s="3">
        <v>1.2620397999999999</v>
      </c>
      <c r="BH53" s="3">
        <v>1.2664209</v>
      </c>
      <c r="BI53" s="3">
        <v>1.2707602</v>
      </c>
      <c r="BJ53" s="3">
        <v>1.2750630000000001</v>
      </c>
      <c r="BK53" s="3">
        <v>1.2793345</v>
      </c>
      <c r="BL53" s="3">
        <v>1.2835799000000001</v>
      </c>
      <c r="BM53" s="3" t="e">
        <v>#N/A</v>
      </c>
      <c r="BN53" s="3" t="e">
        <v>#N/A</v>
      </c>
    </row>
    <row r="54" spans="1:66" x14ac:dyDescent="0.35">
      <c r="A54" s="5">
        <f t="shared" si="0"/>
        <v>43530</v>
      </c>
      <c r="B54" t="s">
        <v>131</v>
      </c>
      <c r="C54" s="2">
        <v>0.75</v>
      </c>
      <c r="D54" s="2">
        <v>0.70660000000000001</v>
      </c>
      <c r="E54" s="3">
        <v>0.70724810000000005</v>
      </c>
      <c r="F54" s="3">
        <v>0.71300079999999999</v>
      </c>
      <c r="G54" s="3">
        <v>0.71819029999999995</v>
      </c>
      <c r="H54" s="3">
        <v>0.72726820000000003</v>
      </c>
      <c r="I54" s="3">
        <v>0.74163539999999994</v>
      </c>
      <c r="J54" s="3">
        <v>0.759714</v>
      </c>
      <c r="K54" s="3">
        <v>0.77953289999999997</v>
      </c>
      <c r="L54" s="3">
        <v>0.79951490000000003</v>
      </c>
      <c r="M54" s="3">
        <v>0.81844419999999996</v>
      </c>
      <c r="N54" s="3">
        <v>0.83577509999999999</v>
      </c>
      <c r="O54" s="3">
        <v>0.85164770000000001</v>
      </c>
      <c r="P54" s="3">
        <v>0.86646129999999999</v>
      </c>
      <c r="Q54" s="3">
        <v>0.88070559999999998</v>
      </c>
      <c r="R54" s="3">
        <v>0.89450689999999999</v>
      </c>
      <c r="S54" s="3">
        <v>0.90787759999999995</v>
      </c>
      <c r="T54" s="3">
        <v>0.92082980000000003</v>
      </c>
      <c r="U54" s="3">
        <v>0.93337610000000004</v>
      </c>
      <c r="V54" s="3">
        <v>0.94552860000000005</v>
      </c>
      <c r="W54" s="3">
        <v>0.95729949999999997</v>
      </c>
      <c r="X54" s="3">
        <v>0.96870049999999996</v>
      </c>
      <c r="Y54" s="3">
        <v>0.97974289999999997</v>
      </c>
      <c r="Z54" s="3">
        <v>0.99043820000000005</v>
      </c>
      <c r="AA54" s="3">
        <v>1.0007976000000001</v>
      </c>
      <c r="AB54" s="3">
        <v>1.0108326999999999</v>
      </c>
      <c r="AC54" s="3">
        <v>1.0205541</v>
      </c>
      <c r="AD54" s="3">
        <v>1.0299689999999999</v>
      </c>
      <c r="AE54" s="3">
        <v>1.0390836000000001</v>
      </c>
      <c r="AF54" s="3">
        <v>1.0479038000000001</v>
      </c>
      <c r="AG54" s="3">
        <v>1.0564357</v>
      </c>
      <c r="AH54" s="3">
        <v>1.0646853000000001</v>
      </c>
      <c r="AI54" s="3">
        <v>1.0726587000000001</v>
      </c>
      <c r="AJ54" s="3">
        <v>1.0803619</v>
      </c>
      <c r="AK54" s="3">
        <v>1.0878009</v>
      </c>
      <c r="AL54" s="3">
        <v>1.0949818</v>
      </c>
      <c r="AM54" s="3">
        <v>1.1019106000000001</v>
      </c>
      <c r="AN54" s="3">
        <v>1.1085934</v>
      </c>
      <c r="AO54" s="3">
        <v>1.1150367999999999</v>
      </c>
      <c r="AP54" s="3">
        <v>1.1212508000000001</v>
      </c>
      <c r="AQ54" s="3">
        <v>1.1272462000000001</v>
      </c>
      <c r="AR54" s="3">
        <v>1.1330338</v>
      </c>
      <c r="AS54" s="3">
        <v>1.1386244999999999</v>
      </c>
      <c r="AT54" s="3">
        <v>1.1440292000000001</v>
      </c>
      <c r="AU54" s="3">
        <v>1.1492587000000001</v>
      </c>
      <c r="AV54" s="3">
        <v>1.1543238</v>
      </c>
      <c r="AW54" s="3">
        <v>1.1592355000000001</v>
      </c>
      <c r="AX54" s="3">
        <v>1.1640045999999999</v>
      </c>
      <c r="AY54" s="3">
        <v>1.1686418999999999</v>
      </c>
      <c r="AZ54" s="3">
        <v>1.1731583000000001</v>
      </c>
      <c r="BA54" s="3">
        <v>1.1775641999999999</v>
      </c>
      <c r="BB54" s="3">
        <v>1.1818683999999999</v>
      </c>
      <c r="BC54" s="3">
        <v>1.1860790999999999</v>
      </c>
      <c r="BD54" s="3">
        <v>1.1902045000000001</v>
      </c>
      <c r="BE54" s="3">
        <v>1.1942527999999999</v>
      </c>
      <c r="BF54" s="3">
        <v>1.1982322999999999</v>
      </c>
      <c r="BG54" s="3">
        <v>1.2021512000000001</v>
      </c>
      <c r="BH54" s="3">
        <v>1.2060177000000001</v>
      </c>
      <c r="BI54" s="3">
        <v>1.2098401000000001</v>
      </c>
      <c r="BJ54" s="3">
        <v>1.2136264999999999</v>
      </c>
      <c r="BK54" s="3">
        <v>1.2173852000000001</v>
      </c>
      <c r="BL54" s="3">
        <v>1.2211244999999999</v>
      </c>
      <c r="BM54" s="3" t="e">
        <v>#N/A</v>
      </c>
      <c r="BN54" s="3" t="e">
        <v>#N/A</v>
      </c>
    </row>
    <row r="55" spans="1:66" x14ac:dyDescent="0.35">
      <c r="A55" s="5">
        <f t="shared" si="0"/>
        <v>43531</v>
      </c>
      <c r="B55" t="s">
        <v>132</v>
      </c>
      <c r="C55" s="2">
        <v>0.75</v>
      </c>
      <c r="D55" s="2">
        <v>0.70550000000000002</v>
      </c>
      <c r="E55" s="3">
        <v>0.68343770000000004</v>
      </c>
      <c r="F55" s="3">
        <v>0.7010111</v>
      </c>
      <c r="G55" s="3">
        <v>0.71465009999999995</v>
      </c>
      <c r="H55" s="3">
        <v>0.72446909999999998</v>
      </c>
      <c r="I55" s="3">
        <v>0.73382230000000004</v>
      </c>
      <c r="J55" s="3">
        <v>0.74436270000000004</v>
      </c>
      <c r="K55" s="3">
        <v>0.75647410000000004</v>
      </c>
      <c r="L55" s="3">
        <v>0.77008840000000001</v>
      </c>
      <c r="M55" s="3">
        <v>0.78442789999999996</v>
      </c>
      <c r="N55" s="3">
        <v>0.79893740000000002</v>
      </c>
      <c r="O55" s="3">
        <v>0.81356050000000002</v>
      </c>
      <c r="P55" s="3">
        <v>0.82837930000000004</v>
      </c>
      <c r="Q55" s="3">
        <v>0.84384029999999999</v>
      </c>
      <c r="R55" s="3">
        <v>0.85986479999999998</v>
      </c>
      <c r="S55" s="3">
        <v>0.8761428</v>
      </c>
      <c r="T55" s="3">
        <v>0.89236369999999998</v>
      </c>
      <c r="U55" s="3">
        <v>0.90821719999999995</v>
      </c>
      <c r="V55" s="3">
        <v>0.92339280000000001</v>
      </c>
      <c r="W55" s="3">
        <v>0.93762639999999997</v>
      </c>
      <c r="X55" s="3">
        <v>0.95089009999999996</v>
      </c>
      <c r="Y55" s="3">
        <v>0.96323179999999997</v>
      </c>
      <c r="Z55" s="3">
        <v>0.97469919999999999</v>
      </c>
      <c r="AA55" s="3">
        <v>0.98534010000000005</v>
      </c>
      <c r="AB55" s="3">
        <v>0.99520240000000004</v>
      </c>
      <c r="AC55" s="3">
        <v>1.0043344999999999</v>
      </c>
      <c r="AD55" s="3">
        <v>1.0127877000000001</v>
      </c>
      <c r="AE55" s="3">
        <v>1.0206142</v>
      </c>
      <c r="AF55" s="3">
        <v>1.0278661</v>
      </c>
      <c r="AG55" s="3">
        <v>1.0345958</v>
      </c>
      <c r="AH55" s="3">
        <v>1.0408554000000001</v>
      </c>
      <c r="AI55" s="3">
        <v>1.0466971</v>
      </c>
      <c r="AJ55" s="3">
        <v>1.0521731000000001</v>
      </c>
      <c r="AK55" s="3">
        <v>1.0573357000000001</v>
      </c>
      <c r="AL55" s="3">
        <v>1.0622370000000001</v>
      </c>
      <c r="AM55" s="3">
        <v>1.0669293</v>
      </c>
      <c r="AN55" s="3">
        <v>1.0714646999999999</v>
      </c>
      <c r="AO55" s="3">
        <v>1.0758886999999999</v>
      </c>
      <c r="AP55" s="3">
        <v>1.0802174</v>
      </c>
      <c r="AQ55" s="3">
        <v>1.0844585</v>
      </c>
      <c r="AR55" s="3">
        <v>1.0886198</v>
      </c>
      <c r="AS55" s="3">
        <v>1.0927091</v>
      </c>
      <c r="AT55" s="3">
        <v>1.0967342</v>
      </c>
      <c r="AU55" s="3">
        <v>1.1007028999999999</v>
      </c>
      <c r="AV55" s="3">
        <v>1.1046229999999999</v>
      </c>
      <c r="AW55" s="3">
        <v>1.1085023000000001</v>
      </c>
      <c r="AX55" s="3">
        <v>1.1123485</v>
      </c>
      <c r="AY55" s="3">
        <v>1.1161695</v>
      </c>
      <c r="AZ55" s="3">
        <v>1.1199730999999999</v>
      </c>
      <c r="BA55" s="3">
        <v>1.1237661999999999</v>
      </c>
      <c r="BB55" s="3">
        <v>1.1275520999999999</v>
      </c>
      <c r="BC55" s="3">
        <v>1.1313329999999999</v>
      </c>
      <c r="BD55" s="3">
        <v>1.1351111</v>
      </c>
      <c r="BE55" s="3">
        <v>1.1388886</v>
      </c>
      <c r="BF55" s="3">
        <v>1.1426679</v>
      </c>
      <c r="BG55" s="3">
        <v>1.1464510000000001</v>
      </c>
      <c r="BH55" s="3">
        <v>1.1502403000000001</v>
      </c>
      <c r="BI55" s="3">
        <v>1.1540379000000001</v>
      </c>
      <c r="BJ55" s="3">
        <v>1.1578462</v>
      </c>
      <c r="BK55" s="3">
        <v>1.1616671999999999</v>
      </c>
      <c r="BL55" s="3">
        <v>1.1655032999999999</v>
      </c>
      <c r="BM55" s="3" t="e">
        <v>#N/A</v>
      </c>
      <c r="BN55" s="3" t="e">
        <v>#N/A</v>
      </c>
    </row>
    <row r="56" spans="1:66" x14ac:dyDescent="0.35">
      <c r="A56" s="5">
        <f t="shared" si="0"/>
        <v>43532</v>
      </c>
      <c r="B56" t="s">
        <v>133</v>
      </c>
      <c r="C56" s="2">
        <v>0.75</v>
      </c>
      <c r="D56" s="2">
        <v>0.70489999999999997</v>
      </c>
      <c r="E56" s="3">
        <v>0.70758109999999996</v>
      </c>
      <c r="F56" s="3">
        <v>0.71043429999999996</v>
      </c>
      <c r="G56" s="3">
        <v>0.71494239999999998</v>
      </c>
      <c r="H56" s="3">
        <v>0.72251160000000003</v>
      </c>
      <c r="I56" s="3">
        <v>0.73322449999999995</v>
      </c>
      <c r="J56" s="3">
        <v>0.74639739999999999</v>
      </c>
      <c r="K56" s="3">
        <v>0.76140180000000002</v>
      </c>
      <c r="L56" s="3">
        <v>0.7774546</v>
      </c>
      <c r="M56" s="3">
        <v>0.79327939999999997</v>
      </c>
      <c r="N56" s="3">
        <v>0.80784140000000004</v>
      </c>
      <c r="O56" s="3">
        <v>0.82080560000000002</v>
      </c>
      <c r="P56" s="3">
        <v>0.83234450000000004</v>
      </c>
      <c r="Q56" s="3">
        <v>0.84316539999999995</v>
      </c>
      <c r="R56" s="3">
        <v>0.85358579999999995</v>
      </c>
      <c r="S56" s="3">
        <v>0.86373639999999996</v>
      </c>
      <c r="T56" s="3">
        <v>0.87374770000000002</v>
      </c>
      <c r="U56" s="3">
        <v>0.88375040000000005</v>
      </c>
      <c r="V56" s="3">
        <v>0.89387499999999998</v>
      </c>
      <c r="W56" s="3">
        <v>0.90422860000000005</v>
      </c>
      <c r="X56" s="3">
        <v>0.91479699999999997</v>
      </c>
      <c r="Y56" s="3">
        <v>0.92552769999999995</v>
      </c>
      <c r="Z56" s="3">
        <v>0.93636799999999998</v>
      </c>
      <c r="AA56" s="3">
        <v>0.94726520000000003</v>
      </c>
      <c r="AB56" s="3">
        <v>0.95816670000000004</v>
      </c>
      <c r="AC56" s="3">
        <v>0.96902299999999997</v>
      </c>
      <c r="AD56" s="3">
        <v>0.97979930000000004</v>
      </c>
      <c r="AE56" s="3">
        <v>0.99046440000000002</v>
      </c>
      <c r="AF56" s="3">
        <v>1.0009874000000001</v>
      </c>
      <c r="AG56" s="3">
        <v>1.0113372</v>
      </c>
      <c r="AH56" s="3">
        <v>1.0214829000000001</v>
      </c>
      <c r="AI56" s="3">
        <v>1.0313934</v>
      </c>
      <c r="AJ56" s="3">
        <v>1.0410377</v>
      </c>
      <c r="AK56" s="3">
        <v>1.0503848</v>
      </c>
      <c r="AL56" s="3">
        <v>1.0594037000000001</v>
      </c>
      <c r="AM56" s="3">
        <v>1.0680634</v>
      </c>
      <c r="AN56" s="3">
        <v>1.0763328999999999</v>
      </c>
      <c r="AO56" s="3">
        <v>1.0841885</v>
      </c>
      <c r="AP56" s="3">
        <v>1.0916394</v>
      </c>
      <c r="AQ56" s="3">
        <v>1.0987036999999999</v>
      </c>
      <c r="AR56" s="3">
        <v>1.1053994</v>
      </c>
      <c r="AS56" s="3">
        <v>1.1117446</v>
      </c>
      <c r="AT56" s="3">
        <v>1.1177575</v>
      </c>
      <c r="AU56" s="3">
        <v>1.1234561999999999</v>
      </c>
      <c r="AV56" s="3">
        <v>1.1288587000000001</v>
      </c>
      <c r="AW56" s="3">
        <v>1.1339832000000001</v>
      </c>
      <c r="AX56" s="3">
        <v>1.1388476999999999</v>
      </c>
      <c r="AY56" s="3">
        <v>1.1434704</v>
      </c>
      <c r="AZ56" s="3">
        <v>1.1478693</v>
      </c>
      <c r="BA56" s="3">
        <v>1.1520622</v>
      </c>
      <c r="BB56" s="3">
        <v>1.1560653999999999</v>
      </c>
      <c r="BC56" s="3">
        <v>1.1598944</v>
      </c>
      <c r="BD56" s="3">
        <v>1.1635652000000001</v>
      </c>
      <c r="BE56" s="3">
        <v>1.1670933999999999</v>
      </c>
      <c r="BF56" s="3">
        <v>1.1704947000000001</v>
      </c>
      <c r="BG56" s="3">
        <v>1.1737850000000001</v>
      </c>
      <c r="BH56" s="3">
        <v>1.1769799000000001</v>
      </c>
      <c r="BI56" s="3">
        <v>1.1800953000000001</v>
      </c>
      <c r="BJ56" s="3">
        <v>1.1831468000000001</v>
      </c>
      <c r="BK56" s="3">
        <v>1.1861503</v>
      </c>
      <c r="BL56" s="3">
        <v>1.1891214000000001</v>
      </c>
      <c r="BM56" s="3" t="e">
        <v>#N/A</v>
      </c>
      <c r="BN56" s="3" t="e">
        <v>#N/A</v>
      </c>
    </row>
    <row r="57" spans="1:66" x14ac:dyDescent="0.35">
      <c r="A57" s="5">
        <f t="shared" si="0"/>
        <v>43535</v>
      </c>
      <c r="B57" t="s">
        <v>134</v>
      </c>
      <c r="C57" s="2">
        <v>0.75</v>
      </c>
      <c r="D57" s="2">
        <v>0.7046</v>
      </c>
      <c r="E57" s="3">
        <v>0.68386159999999996</v>
      </c>
      <c r="F57" s="3">
        <v>0.70379440000000004</v>
      </c>
      <c r="G57" s="3">
        <v>0.71945800000000004</v>
      </c>
      <c r="H57" s="3">
        <v>0.73029520000000003</v>
      </c>
      <c r="I57" s="3">
        <v>0.73831340000000001</v>
      </c>
      <c r="J57" s="3">
        <v>0.74637819999999999</v>
      </c>
      <c r="K57" s="3">
        <v>0.75682309999999997</v>
      </c>
      <c r="L57" s="3">
        <v>0.76997530000000003</v>
      </c>
      <c r="M57" s="3">
        <v>0.78469999999999995</v>
      </c>
      <c r="N57" s="3">
        <v>0.79987039999999998</v>
      </c>
      <c r="O57" s="3">
        <v>0.81482220000000005</v>
      </c>
      <c r="P57" s="3">
        <v>0.82917600000000002</v>
      </c>
      <c r="Q57" s="3">
        <v>0.84271770000000001</v>
      </c>
      <c r="R57" s="3">
        <v>0.85552629999999996</v>
      </c>
      <c r="S57" s="3">
        <v>0.86775849999999999</v>
      </c>
      <c r="T57" s="3">
        <v>0.87957099999999999</v>
      </c>
      <c r="U57" s="3">
        <v>0.89112029999999998</v>
      </c>
      <c r="V57" s="3">
        <v>0.90256309999999995</v>
      </c>
      <c r="W57" s="3">
        <v>0.91402499999999998</v>
      </c>
      <c r="X57" s="3">
        <v>0.92547219999999997</v>
      </c>
      <c r="Y57" s="3">
        <v>0.93682010000000004</v>
      </c>
      <c r="Z57" s="3">
        <v>0.94798400000000005</v>
      </c>
      <c r="AA57" s="3">
        <v>0.95887929999999999</v>
      </c>
      <c r="AB57" s="3">
        <v>0.96942139999999999</v>
      </c>
      <c r="AC57" s="3">
        <v>0.97954050000000004</v>
      </c>
      <c r="AD57" s="3">
        <v>0.98923269999999996</v>
      </c>
      <c r="AE57" s="3">
        <v>0.99851239999999997</v>
      </c>
      <c r="AF57" s="3">
        <v>1.0073938</v>
      </c>
      <c r="AG57" s="3">
        <v>1.0158914000000001</v>
      </c>
      <c r="AH57" s="3">
        <v>1.0240193</v>
      </c>
      <c r="AI57" s="3">
        <v>1.0317919</v>
      </c>
      <c r="AJ57" s="3">
        <v>1.0392235000000001</v>
      </c>
      <c r="AK57" s="3">
        <v>1.0463283999999999</v>
      </c>
      <c r="AL57" s="3">
        <v>1.053121</v>
      </c>
      <c r="AM57" s="3">
        <v>1.0596154</v>
      </c>
      <c r="AN57" s="3">
        <v>1.0658261</v>
      </c>
      <c r="AO57" s="3">
        <v>1.0717680000000001</v>
      </c>
      <c r="AP57" s="3">
        <v>1.0774585999999999</v>
      </c>
      <c r="AQ57" s="3">
        <v>1.0829162999999999</v>
      </c>
      <c r="AR57" s="3">
        <v>1.0881594999999999</v>
      </c>
      <c r="AS57" s="3">
        <v>1.0932063999999999</v>
      </c>
      <c r="AT57" s="3">
        <v>1.0980755</v>
      </c>
      <c r="AU57" s="3">
        <v>1.1027851</v>
      </c>
      <c r="AV57" s="3">
        <v>1.1073535999999999</v>
      </c>
      <c r="AW57" s="3">
        <v>1.1117992000000001</v>
      </c>
      <c r="AX57" s="3">
        <v>1.1161403999999999</v>
      </c>
      <c r="AY57" s="3">
        <v>1.1203955000000001</v>
      </c>
      <c r="AZ57" s="3">
        <v>1.1245828</v>
      </c>
      <c r="BA57" s="3">
        <v>1.1287187999999999</v>
      </c>
      <c r="BB57" s="3">
        <v>1.1328099</v>
      </c>
      <c r="BC57" s="3">
        <v>1.1368590000000001</v>
      </c>
      <c r="BD57" s="3">
        <v>1.1408691</v>
      </c>
      <c r="BE57" s="3">
        <v>1.1448430999999999</v>
      </c>
      <c r="BF57" s="3">
        <v>1.1487841000000001</v>
      </c>
      <c r="BG57" s="3">
        <v>1.152695</v>
      </c>
      <c r="BH57" s="3">
        <v>1.1565787000000001</v>
      </c>
      <c r="BI57" s="3">
        <v>1.1604383</v>
      </c>
      <c r="BJ57" s="3">
        <v>1.1642766</v>
      </c>
      <c r="BK57" s="3">
        <v>1.1680967</v>
      </c>
      <c r="BL57" s="3">
        <v>1.1719014999999999</v>
      </c>
      <c r="BM57" s="3" t="e">
        <v>#N/A</v>
      </c>
      <c r="BN57" s="3" t="e">
        <v>#N/A</v>
      </c>
    </row>
    <row r="58" spans="1:66" x14ac:dyDescent="0.35">
      <c r="A58" s="5">
        <f t="shared" si="0"/>
        <v>43536</v>
      </c>
      <c r="B58" t="s">
        <v>135</v>
      </c>
      <c r="C58" s="2">
        <v>0.75</v>
      </c>
      <c r="D58" s="2">
        <v>0.70609999999999995</v>
      </c>
      <c r="E58" s="3">
        <v>0.70813680000000001</v>
      </c>
      <c r="F58" s="3">
        <v>0.70753940000000004</v>
      </c>
      <c r="G58" s="3">
        <v>0.71059950000000005</v>
      </c>
      <c r="H58" s="3">
        <v>0.71806060000000005</v>
      </c>
      <c r="I58" s="3">
        <v>0.72878929999999997</v>
      </c>
      <c r="J58" s="3">
        <v>0.74156239999999995</v>
      </c>
      <c r="K58" s="3">
        <v>0.75574140000000001</v>
      </c>
      <c r="L58" s="3">
        <v>0.77073639999999999</v>
      </c>
      <c r="M58" s="3">
        <v>0.78583570000000003</v>
      </c>
      <c r="N58" s="3">
        <v>0.80043350000000002</v>
      </c>
      <c r="O58" s="3">
        <v>0.81420899999999996</v>
      </c>
      <c r="P58" s="3">
        <v>0.82700810000000002</v>
      </c>
      <c r="Q58" s="3">
        <v>0.83875310000000003</v>
      </c>
      <c r="R58" s="3">
        <v>0.84956679999999996</v>
      </c>
      <c r="S58" s="3">
        <v>0.85962749999999999</v>
      </c>
      <c r="T58" s="3">
        <v>0.86911320000000003</v>
      </c>
      <c r="U58" s="3">
        <v>0.87820220000000004</v>
      </c>
      <c r="V58" s="3">
        <v>0.88707279999999999</v>
      </c>
      <c r="W58" s="3">
        <v>0.89588369999999995</v>
      </c>
      <c r="X58" s="3">
        <v>0.90467180000000003</v>
      </c>
      <c r="Y58" s="3">
        <v>0.91342710000000005</v>
      </c>
      <c r="Z58" s="3">
        <v>0.9221393</v>
      </c>
      <c r="AA58" s="3">
        <v>0.93079809999999996</v>
      </c>
      <c r="AB58" s="3">
        <v>0.93939340000000005</v>
      </c>
      <c r="AC58" s="3">
        <v>0.94791429999999999</v>
      </c>
      <c r="AD58" s="3">
        <v>0.95634819999999998</v>
      </c>
      <c r="AE58" s="3">
        <v>0.96468160000000003</v>
      </c>
      <c r="AF58" s="3">
        <v>0.97290129999999997</v>
      </c>
      <c r="AG58" s="3">
        <v>0.98099389999999997</v>
      </c>
      <c r="AH58" s="3">
        <v>0.98894610000000005</v>
      </c>
      <c r="AI58" s="3">
        <v>0.99674450000000003</v>
      </c>
      <c r="AJ58" s="3">
        <v>1.0043759000000001</v>
      </c>
      <c r="AK58" s="3">
        <v>1.0118267000000001</v>
      </c>
      <c r="AL58" s="3">
        <v>1.0190838</v>
      </c>
      <c r="AM58" s="3">
        <v>1.0261336999999999</v>
      </c>
      <c r="AN58" s="3">
        <v>1.0329632</v>
      </c>
      <c r="AO58" s="3">
        <v>1.0395616000000001</v>
      </c>
      <c r="AP58" s="3">
        <v>1.0459331000000001</v>
      </c>
      <c r="AQ58" s="3">
        <v>1.0520868000000001</v>
      </c>
      <c r="AR58" s="3">
        <v>1.0580319</v>
      </c>
      <c r="AS58" s="3">
        <v>1.0637775</v>
      </c>
      <c r="AT58" s="3">
        <v>1.0693326999999999</v>
      </c>
      <c r="AU58" s="3">
        <v>1.0747066999999999</v>
      </c>
      <c r="AV58" s="3">
        <v>1.0799086</v>
      </c>
      <c r="AW58" s="3">
        <v>1.0849475</v>
      </c>
      <c r="AX58" s="3">
        <v>1.0898325</v>
      </c>
      <c r="AY58" s="3">
        <v>1.0945727999999999</v>
      </c>
      <c r="AZ58" s="3">
        <v>1.0991776</v>
      </c>
      <c r="BA58" s="3">
        <v>1.1036557</v>
      </c>
      <c r="BB58" s="3">
        <v>1.1080155</v>
      </c>
      <c r="BC58" s="3">
        <v>1.1122650000000001</v>
      </c>
      <c r="BD58" s="3">
        <v>1.1164122999999999</v>
      </c>
      <c r="BE58" s="3">
        <v>1.1204654000000001</v>
      </c>
      <c r="BF58" s="3">
        <v>1.1244323000000001</v>
      </c>
      <c r="BG58" s="3">
        <v>1.1283212</v>
      </c>
      <c r="BH58" s="3">
        <v>1.1321399999999999</v>
      </c>
      <c r="BI58" s="3">
        <v>1.1358968</v>
      </c>
      <c r="BJ58" s="3">
        <v>1.1395997</v>
      </c>
      <c r="BK58" s="3">
        <v>1.1432567</v>
      </c>
      <c r="BL58" s="3">
        <v>1.1468757999999999</v>
      </c>
      <c r="BM58" s="3" t="e">
        <v>#N/A</v>
      </c>
      <c r="BN58" s="3" t="e">
        <v>#N/A</v>
      </c>
    </row>
    <row r="59" spans="1:66" x14ac:dyDescent="0.35">
      <c r="A59" s="5">
        <f t="shared" si="0"/>
        <v>43537</v>
      </c>
      <c r="B59" t="s">
        <v>136</v>
      </c>
      <c r="C59" s="2">
        <v>0.75</v>
      </c>
      <c r="D59" s="2">
        <v>0.70550000000000002</v>
      </c>
      <c r="E59" s="3">
        <v>0.70908130000000003</v>
      </c>
      <c r="F59" s="3">
        <v>0.70783099999999999</v>
      </c>
      <c r="G59" s="3">
        <v>0.71118340000000002</v>
      </c>
      <c r="H59" s="3">
        <v>0.71928499999999995</v>
      </c>
      <c r="I59" s="3">
        <v>0.73095699999999997</v>
      </c>
      <c r="J59" s="3">
        <v>0.74506190000000005</v>
      </c>
      <c r="K59" s="3">
        <v>0.76099300000000003</v>
      </c>
      <c r="L59" s="3">
        <v>0.77801390000000004</v>
      </c>
      <c r="M59" s="3">
        <v>0.79526189999999997</v>
      </c>
      <c r="N59" s="3">
        <v>0.81212470000000003</v>
      </c>
      <c r="O59" s="3">
        <v>0.82834859999999999</v>
      </c>
      <c r="P59" s="3">
        <v>0.84384720000000002</v>
      </c>
      <c r="Q59" s="3">
        <v>0.85858100000000004</v>
      </c>
      <c r="R59" s="3">
        <v>0.87255050000000001</v>
      </c>
      <c r="S59" s="3">
        <v>0.8857661</v>
      </c>
      <c r="T59" s="3">
        <v>0.89823810000000004</v>
      </c>
      <c r="U59" s="3">
        <v>0.90997669999999997</v>
      </c>
      <c r="V59" s="3">
        <v>0.92099229999999999</v>
      </c>
      <c r="W59" s="3">
        <v>0.93130539999999995</v>
      </c>
      <c r="X59" s="3">
        <v>0.94099520000000003</v>
      </c>
      <c r="Y59" s="3">
        <v>0.95016120000000004</v>
      </c>
      <c r="Z59" s="3">
        <v>0.95890310000000001</v>
      </c>
      <c r="AA59" s="3">
        <v>0.96732059999999997</v>
      </c>
      <c r="AB59" s="3">
        <v>0.97551330000000003</v>
      </c>
      <c r="AC59" s="3">
        <v>0.98356900000000003</v>
      </c>
      <c r="AD59" s="3">
        <v>0.99151180000000005</v>
      </c>
      <c r="AE59" s="3">
        <v>0.99934460000000003</v>
      </c>
      <c r="AF59" s="3">
        <v>1.0070699000000001</v>
      </c>
      <c r="AG59" s="3">
        <v>1.0146906</v>
      </c>
      <c r="AH59" s="3">
        <v>1.0222093999999999</v>
      </c>
      <c r="AI59" s="3">
        <v>1.0296289000000001</v>
      </c>
      <c r="AJ59" s="3">
        <v>1.0369520999999999</v>
      </c>
      <c r="AK59" s="3">
        <v>1.0441814</v>
      </c>
      <c r="AL59" s="3">
        <v>1.0513197999999999</v>
      </c>
      <c r="AM59" s="3">
        <v>1.0583699</v>
      </c>
      <c r="AN59" s="3">
        <v>1.0653345000000001</v>
      </c>
      <c r="AO59" s="3">
        <v>1.0722152</v>
      </c>
      <c r="AP59" s="3">
        <v>1.0790084</v>
      </c>
      <c r="AQ59" s="3">
        <v>1.0857091000000001</v>
      </c>
      <c r="AR59" s="3">
        <v>1.0923122000000001</v>
      </c>
      <c r="AS59" s="3">
        <v>1.0988123999999999</v>
      </c>
      <c r="AT59" s="3">
        <v>1.1052047</v>
      </c>
      <c r="AU59" s="3">
        <v>1.1114839999999999</v>
      </c>
      <c r="AV59" s="3">
        <v>1.117645</v>
      </c>
      <c r="AW59" s="3">
        <v>1.1236828000000001</v>
      </c>
      <c r="AX59" s="3">
        <v>1.1295921</v>
      </c>
      <c r="AY59" s="3">
        <v>1.1353679000000001</v>
      </c>
      <c r="AZ59" s="3">
        <v>1.141005</v>
      </c>
      <c r="BA59" s="3">
        <v>1.1465000999999999</v>
      </c>
      <c r="BB59" s="3">
        <v>1.1518584000000001</v>
      </c>
      <c r="BC59" s="3">
        <v>1.1570871</v>
      </c>
      <c r="BD59" s="3">
        <v>1.1621937</v>
      </c>
      <c r="BE59" s="3">
        <v>1.1671853999999999</v>
      </c>
      <c r="BF59" s="3">
        <v>1.1720697</v>
      </c>
      <c r="BG59" s="3">
        <v>1.1768537999999999</v>
      </c>
      <c r="BH59" s="3">
        <v>1.1815450999999999</v>
      </c>
      <c r="BI59" s="3">
        <v>1.186151</v>
      </c>
      <c r="BJ59" s="3">
        <v>1.1906787999999999</v>
      </c>
      <c r="BK59" s="3">
        <v>1.1951358999999999</v>
      </c>
      <c r="BL59" s="3">
        <v>1.1995294999999999</v>
      </c>
      <c r="BM59" s="3" t="e">
        <v>#N/A</v>
      </c>
      <c r="BN59" s="3" t="e">
        <v>#N/A</v>
      </c>
    </row>
    <row r="60" spans="1:66" x14ac:dyDescent="0.35">
      <c r="A60" s="5">
        <f t="shared" si="0"/>
        <v>43538</v>
      </c>
      <c r="B60" t="s">
        <v>137</v>
      </c>
      <c r="C60" s="2">
        <v>0.75</v>
      </c>
      <c r="D60" s="2">
        <v>0.70389999999999997</v>
      </c>
      <c r="E60" s="3">
        <v>0.70841350000000003</v>
      </c>
      <c r="F60" s="3">
        <v>0.70871519999999999</v>
      </c>
      <c r="G60" s="3">
        <v>0.71304060000000002</v>
      </c>
      <c r="H60" s="3">
        <v>0.72230749999999999</v>
      </c>
      <c r="I60" s="3">
        <v>0.73557349999999999</v>
      </c>
      <c r="J60" s="3">
        <v>0.75113790000000003</v>
      </c>
      <c r="K60" s="3">
        <v>0.76783319999999999</v>
      </c>
      <c r="L60" s="3">
        <v>0.7849701</v>
      </c>
      <c r="M60" s="3">
        <v>0.80188479999999995</v>
      </c>
      <c r="N60" s="3">
        <v>0.81808910000000001</v>
      </c>
      <c r="O60" s="3">
        <v>0.83344629999999997</v>
      </c>
      <c r="P60" s="3">
        <v>0.84801910000000003</v>
      </c>
      <c r="Q60" s="3">
        <v>0.86219670000000004</v>
      </c>
      <c r="R60" s="3">
        <v>0.87611309999999998</v>
      </c>
      <c r="S60" s="3">
        <v>0.88977519999999999</v>
      </c>
      <c r="T60" s="3">
        <v>0.90319000000000005</v>
      </c>
      <c r="U60" s="3">
        <v>0.91636430000000002</v>
      </c>
      <c r="V60" s="3">
        <v>0.92930500000000005</v>
      </c>
      <c r="W60" s="3">
        <v>0.94201299999999999</v>
      </c>
      <c r="X60" s="3">
        <v>0.95445860000000005</v>
      </c>
      <c r="Y60" s="3">
        <v>0.96660199999999996</v>
      </c>
      <c r="Z60" s="3">
        <v>0.97840380000000005</v>
      </c>
      <c r="AA60" s="3">
        <v>0.98982440000000005</v>
      </c>
      <c r="AB60" s="3">
        <v>1.0008241</v>
      </c>
      <c r="AC60" s="3">
        <v>1.0113711999999999</v>
      </c>
      <c r="AD60" s="3">
        <v>1.0214726000000001</v>
      </c>
      <c r="AE60" s="3">
        <v>1.0311467000000001</v>
      </c>
      <c r="AF60" s="3">
        <v>1.0404121</v>
      </c>
      <c r="AG60" s="3">
        <v>1.0492874000000001</v>
      </c>
      <c r="AH60" s="3">
        <v>1.0577909999999999</v>
      </c>
      <c r="AI60" s="3">
        <v>1.0659414</v>
      </c>
      <c r="AJ60" s="3">
        <v>1.0737572</v>
      </c>
      <c r="AK60" s="3">
        <v>1.0812568</v>
      </c>
      <c r="AL60" s="3">
        <v>1.0884589</v>
      </c>
      <c r="AM60" s="3">
        <v>1.0953820000000001</v>
      </c>
      <c r="AN60" s="3">
        <v>1.1020444</v>
      </c>
      <c r="AO60" s="3">
        <v>1.1084639999999999</v>
      </c>
      <c r="AP60" s="3">
        <v>1.1146547</v>
      </c>
      <c r="AQ60" s="3">
        <v>1.1206292</v>
      </c>
      <c r="AR60" s="3">
        <v>1.1264006</v>
      </c>
      <c r="AS60" s="3">
        <v>1.1319817000000001</v>
      </c>
      <c r="AT60" s="3">
        <v>1.1373853</v>
      </c>
      <c r="AU60" s="3">
        <v>1.1426244999999999</v>
      </c>
      <c r="AV60" s="3">
        <v>1.1477119</v>
      </c>
      <c r="AW60" s="3">
        <v>1.1526605999999999</v>
      </c>
      <c r="AX60" s="3">
        <v>1.1574835000000001</v>
      </c>
      <c r="AY60" s="3">
        <v>1.1621933</v>
      </c>
      <c r="AZ60" s="3">
        <v>1.1668031000000001</v>
      </c>
      <c r="BA60" s="3">
        <v>1.1713245999999999</v>
      </c>
      <c r="BB60" s="3">
        <v>1.1757654</v>
      </c>
      <c r="BC60" s="3">
        <v>1.1801318000000001</v>
      </c>
      <c r="BD60" s="3">
        <v>1.1844300999999999</v>
      </c>
      <c r="BE60" s="3">
        <v>1.1886665000000001</v>
      </c>
      <c r="BF60" s="3">
        <v>1.1928474</v>
      </c>
      <c r="BG60" s="3">
        <v>1.196979</v>
      </c>
      <c r="BH60" s="3">
        <v>1.2010676</v>
      </c>
      <c r="BI60" s="3">
        <v>1.2051196</v>
      </c>
      <c r="BJ60" s="3">
        <v>1.2091411999999999</v>
      </c>
      <c r="BK60" s="3">
        <v>1.2131387</v>
      </c>
      <c r="BL60" s="3">
        <v>1.2171183999999999</v>
      </c>
      <c r="BM60" s="3" t="e">
        <v>#N/A</v>
      </c>
      <c r="BN60" s="3" t="e">
        <v>#N/A</v>
      </c>
    </row>
    <row r="61" spans="1:66" x14ac:dyDescent="0.35">
      <c r="A61" s="5">
        <f t="shared" si="0"/>
        <v>43539</v>
      </c>
      <c r="B61" t="s">
        <v>138</v>
      </c>
      <c r="C61" s="2">
        <v>0.75</v>
      </c>
      <c r="D61" s="2">
        <v>0.7046</v>
      </c>
      <c r="E61" s="3">
        <v>0.70653370000000004</v>
      </c>
      <c r="F61" s="3">
        <v>0.70998609999999995</v>
      </c>
      <c r="G61" s="3">
        <v>0.71566529999999995</v>
      </c>
      <c r="H61" s="3">
        <v>0.72559300000000004</v>
      </c>
      <c r="I61" s="3">
        <v>0.73914610000000003</v>
      </c>
      <c r="J61" s="3">
        <v>0.75471739999999998</v>
      </c>
      <c r="K61" s="3">
        <v>0.77119970000000004</v>
      </c>
      <c r="L61" s="3">
        <v>0.78798570000000001</v>
      </c>
      <c r="M61" s="3">
        <v>0.80447139999999995</v>
      </c>
      <c r="N61" s="3">
        <v>0.82032769999999999</v>
      </c>
      <c r="O61" s="3">
        <v>0.83557389999999998</v>
      </c>
      <c r="P61" s="3">
        <v>0.85032459999999999</v>
      </c>
      <c r="Q61" s="3">
        <v>0.86474669999999998</v>
      </c>
      <c r="R61" s="3">
        <v>0.87886690000000001</v>
      </c>
      <c r="S61" s="3">
        <v>0.89265910000000004</v>
      </c>
      <c r="T61" s="3">
        <v>0.90609700000000004</v>
      </c>
      <c r="U61" s="3">
        <v>0.91915429999999998</v>
      </c>
      <c r="V61" s="3">
        <v>0.93180479999999999</v>
      </c>
      <c r="W61" s="3">
        <v>0.94402620000000004</v>
      </c>
      <c r="X61" s="3">
        <v>0.95581669999999996</v>
      </c>
      <c r="Y61" s="3">
        <v>0.9671807</v>
      </c>
      <c r="Z61" s="3">
        <v>0.97812299999999996</v>
      </c>
      <c r="AA61" s="3">
        <v>0.98864810000000003</v>
      </c>
      <c r="AB61" s="3">
        <v>0.9987606</v>
      </c>
      <c r="AC61" s="3">
        <v>1.0084668000000001</v>
      </c>
      <c r="AD61" s="3">
        <v>1.0177797</v>
      </c>
      <c r="AE61" s="3">
        <v>1.0267143000000001</v>
      </c>
      <c r="AF61" s="3">
        <v>1.0352855999999999</v>
      </c>
      <c r="AG61" s="3">
        <v>1.0435086</v>
      </c>
      <c r="AH61" s="3">
        <v>1.0513983</v>
      </c>
      <c r="AI61" s="3">
        <v>1.0589696</v>
      </c>
      <c r="AJ61" s="3">
        <v>1.0662374999999999</v>
      </c>
      <c r="AK61" s="3">
        <v>1.0732170999999999</v>
      </c>
      <c r="AL61" s="3">
        <v>1.0799234</v>
      </c>
      <c r="AM61" s="3">
        <v>1.0863712000000001</v>
      </c>
      <c r="AN61" s="3">
        <v>1.0925757</v>
      </c>
      <c r="AO61" s="3">
        <v>1.0985513</v>
      </c>
      <c r="AP61" s="3">
        <v>1.1043109</v>
      </c>
      <c r="AQ61" s="3">
        <v>1.1098665000000001</v>
      </c>
      <c r="AR61" s="3">
        <v>1.1152302999999999</v>
      </c>
      <c r="AS61" s="3">
        <v>1.1204145999999999</v>
      </c>
      <c r="AT61" s="3">
        <v>1.1254316</v>
      </c>
      <c r="AU61" s="3">
        <v>1.1302934</v>
      </c>
      <c r="AV61" s="3">
        <v>1.1350122</v>
      </c>
      <c r="AW61" s="3">
        <v>1.1396001</v>
      </c>
      <c r="AX61" s="3">
        <v>1.1440695000000001</v>
      </c>
      <c r="AY61" s="3">
        <v>1.1484325</v>
      </c>
      <c r="AZ61" s="3">
        <v>1.1527012999999999</v>
      </c>
      <c r="BA61" s="3">
        <v>1.1568871999999999</v>
      </c>
      <c r="BB61" s="3">
        <v>1.160998</v>
      </c>
      <c r="BC61" s="3">
        <v>1.1650404000000001</v>
      </c>
      <c r="BD61" s="3">
        <v>1.1690214000000001</v>
      </c>
      <c r="BE61" s="3">
        <v>1.1729475</v>
      </c>
      <c r="BF61" s="3">
        <v>1.1768257</v>
      </c>
      <c r="BG61" s="3">
        <v>1.1806626</v>
      </c>
      <c r="BH61" s="3">
        <v>1.1844650999999999</v>
      </c>
      <c r="BI61" s="3">
        <v>1.1882398000000001</v>
      </c>
      <c r="BJ61" s="3">
        <v>1.1919937</v>
      </c>
      <c r="BK61" s="3">
        <v>1.1957333999999999</v>
      </c>
      <c r="BL61" s="3">
        <v>1.1994657</v>
      </c>
      <c r="BM61" s="3" t="e">
        <v>#N/A</v>
      </c>
      <c r="BN61" s="3" t="e">
        <v>#N/A</v>
      </c>
    </row>
    <row r="62" spans="1:66" x14ac:dyDescent="0.35">
      <c r="A62" s="5">
        <f t="shared" si="0"/>
        <v>43542</v>
      </c>
      <c r="B62" t="s">
        <v>139</v>
      </c>
      <c r="C62" s="2">
        <v>0.75</v>
      </c>
      <c r="D62" s="2">
        <v>0.7056</v>
      </c>
      <c r="E62" s="3">
        <v>0.70892270000000002</v>
      </c>
      <c r="F62" s="3">
        <v>0.70492049999999995</v>
      </c>
      <c r="G62" s="3">
        <v>0.70914509999999997</v>
      </c>
      <c r="H62" s="3">
        <v>0.72200589999999998</v>
      </c>
      <c r="I62" s="3">
        <v>0.73892959999999996</v>
      </c>
      <c r="J62" s="3">
        <v>0.75596169999999996</v>
      </c>
      <c r="K62" s="3">
        <v>0.77077439999999997</v>
      </c>
      <c r="L62" s="3">
        <v>0.78313480000000002</v>
      </c>
      <c r="M62" s="3">
        <v>0.79463950000000005</v>
      </c>
      <c r="N62" s="3">
        <v>0.80682069999999995</v>
      </c>
      <c r="O62" s="3">
        <v>0.82011369999999995</v>
      </c>
      <c r="P62" s="3">
        <v>0.83430280000000001</v>
      </c>
      <c r="Q62" s="3">
        <v>0.84865990000000002</v>
      </c>
      <c r="R62" s="3">
        <v>0.86291629999999997</v>
      </c>
      <c r="S62" s="3">
        <v>0.8769787</v>
      </c>
      <c r="T62" s="3">
        <v>0.89075409999999999</v>
      </c>
      <c r="U62" s="3">
        <v>0.90414919999999999</v>
      </c>
      <c r="V62" s="3">
        <v>0.91707079999999996</v>
      </c>
      <c r="W62" s="3">
        <v>0.92944150000000003</v>
      </c>
      <c r="X62" s="3">
        <v>0.94126390000000004</v>
      </c>
      <c r="Y62" s="3">
        <v>0.95256649999999998</v>
      </c>
      <c r="Z62" s="3">
        <v>0.96337759999999995</v>
      </c>
      <c r="AA62" s="3">
        <v>0.97372559999999997</v>
      </c>
      <c r="AB62" s="3">
        <v>0.98363889999999998</v>
      </c>
      <c r="AC62" s="3">
        <v>0.99314369999999996</v>
      </c>
      <c r="AD62" s="3">
        <v>1.0022567</v>
      </c>
      <c r="AE62" s="3">
        <v>1.0109916999999999</v>
      </c>
      <c r="AF62" s="3">
        <v>1.0193627000000001</v>
      </c>
      <c r="AG62" s="3">
        <v>1.0273836999999999</v>
      </c>
      <c r="AH62" s="3">
        <v>1.0350687000000001</v>
      </c>
      <c r="AI62" s="3">
        <v>1.0424315</v>
      </c>
      <c r="AJ62" s="3">
        <v>1.0494861</v>
      </c>
      <c r="AK62" s="3">
        <v>1.0562465999999999</v>
      </c>
      <c r="AL62" s="3">
        <v>1.0627268000000001</v>
      </c>
      <c r="AM62" s="3">
        <v>1.0689407</v>
      </c>
      <c r="AN62" s="3">
        <v>1.0749023</v>
      </c>
      <c r="AO62" s="3">
        <v>1.0806258</v>
      </c>
      <c r="AP62" s="3">
        <v>1.0861266999999999</v>
      </c>
      <c r="AQ62" s="3">
        <v>1.0914211</v>
      </c>
      <c r="AR62" s="3">
        <v>1.0965248000000001</v>
      </c>
      <c r="AS62" s="3">
        <v>1.1014538</v>
      </c>
      <c r="AT62" s="3">
        <v>1.1062240000000001</v>
      </c>
      <c r="AU62" s="3">
        <v>1.1108513</v>
      </c>
      <c r="AV62" s="3">
        <v>1.1153516999999999</v>
      </c>
      <c r="AW62" s="3">
        <v>1.1197410999999999</v>
      </c>
      <c r="AX62" s="3">
        <v>1.1240353999999999</v>
      </c>
      <c r="AY62" s="3">
        <v>1.1282506000000001</v>
      </c>
      <c r="AZ62" s="3">
        <v>1.1324026</v>
      </c>
      <c r="BA62" s="3">
        <v>1.1365059</v>
      </c>
      <c r="BB62" s="3">
        <v>1.1405669000000001</v>
      </c>
      <c r="BC62" s="3">
        <v>1.1445896</v>
      </c>
      <c r="BD62" s="3">
        <v>1.1485780000000001</v>
      </c>
      <c r="BE62" s="3">
        <v>1.1525358000000001</v>
      </c>
      <c r="BF62" s="3">
        <v>1.1564671</v>
      </c>
      <c r="BG62" s="3">
        <v>1.1603756000000001</v>
      </c>
      <c r="BH62" s="3">
        <v>1.1642653000000001</v>
      </c>
      <c r="BI62" s="3">
        <v>1.1681401</v>
      </c>
      <c r="BJ62" s="3">
        <v>1.1720039</v>
      </c>
      <c r="BK62" s="3">
        <v>1.1758605</v>
      </c>
      <c r="BL62" s="3">
        <v>1.1797139000000001</v>
      </c>
      <c r="BM62" s="3" t="e">
        <v>#N/A</v>
      </c>
      <c r="BN62" s="3" t="e">
        <v>#N/A</v>
      </c>
    </row>
    <row r="63" spans="1:66" x14ac:dyDescent="0.35">
      <c r="A63" s="5">
        <f t="shared" si="0"/>
        <v>43543</v>
      </c>
      <c r="B63" t="s">
        <v>140</v>
      </c>
      <c r="C63" s="2">
        <v>0.75</v>
      </c>
      <c r="D63" s="2">
        <v>0.70499999999999996</v>
      </c>
      <c r="E63" s="3">
        <v>0.70977809999999997</v>
      </c>
      <c r="F63" s="3">
        <v>0.70723020000000003</v>
      </c>
      <c r="G63" s="3">
        <v>0.71181709999999998</v>
      </c>
      <c r="H63" s="3">
        <v>0.72261980000000003</v>
      </c>
      <c r="I63" s="3">
        <v>0.73527679999999995</v>
      </c>
      <c r="J63" s="3">
        <v>0.74775619999999998</v>
      </c>
      <c r="K63" s="3">
        <v>0.75991299999999995</v>
      </c>
      <c r="L63" s="3">
        <v>0.7722677</v>
      </c>
      <c r="M63" s="3">
        <v>0.78513239999999995</v>
      </c>
      <c r="N63" s="3">
        <v>0.79885280000000003</v>
      </c>
      <c r="O63" s="3">
        <v>0.81376139999999997</v>
      </c>
      <c r="P63" s="3">
        <v>0.82990010000000003</v>
      </c>
      <c r="Q63" s="3">
        <v>0.84623839999999995</v>
      </c>
      <c r="R63" s="3">
        <v>0.86234379999999999</v>
      </c>
      <c r="S63" s="3">
        <v>0.87806169999999995</v>
      </c>
      <c r="T63" s="3">
        <v>0.89323730000000001</v>
      </c>
      <c r="U63" s="3">
        <v>0.90771630000000003</v>
      </c>
      <c r="V63" s="3">
        <v>0.92134380000000005</v>
      </c>
      <c r="W63" s="3">
        <v>0.93399080000000001</v>
      </c>
      <c r="X63" s="3">
        <v>0.94568750000000001</v>
      </c>
      <c r="Y63" s="3">
        <v>0.95652570000000003</v>
      </c>
      <c r="Z63" s="3">
        <v>0.96659740000000005</v>
      </c>
      <c r="AA63" s="3">
        <v>0.97599469999999999</v>
      </c>
      <c r="AB63" s="3">
        <v>0.9848095</v>
      </c>
      <c r="AC63" s="3">
        <v>0.99312469999999997</v>
      </c>
      <c r="AD63" s="3">
        <v>1.0009828999999999</v>
      </c>
      <c r="AE63" s="3">
        <v>1.0084154999999999</v>
      </c>
      <c r="AF63" s="3">
        <v>1.0154538</v>
      </c>
      <c r="AG63" s="3">
        <v>1.0221294000000001</v>
      </c>
      <c r="AH63" s="3">
        <v>1.0284736999999999</v>
      </c>
      <c r="AI63" s="3">
        <v>1.034518</v>
      </c>
      <c r="AJ63" s="3">
        <v>1.0402937999999999</v>
      </c>
      <c r="AK63" s="3">
        <v>1.0458326</v>
      </c>
      <c r="AL63" s="3">
        <v>1.0511657000000001</v>
      </c>
      <c r="AM63" s="3">
        <v>1.0563245999999999</v>
      </c>
      <c r="AN63" s="3">
        <v>1.0613406999999999</v>
      </c>
      <c r="AO63" s="3">
        <v>1.0662425</v>
      </c>
      <c r="AP63" s="3">
        <v>1.0710427</v>
      </c>
      <c r="AQ63" s="3">
        <v>1.0757486999999999</v>
      </c>
      <c r="AR63" s="3">
        <v>1.0803678999999999</v>
      </c>
      <c r="AS63" s="3">
        <v>1.0849077</v>
      </c>
      <c r="AT63" s="3">
        <v>1.0893755000000001</v>
      </c>
      <c r="AU63" s="3">
        <v>1.0937787999999999</v>
      </c>
      <c r="AV63" s="3">
        <v>1.0981249</v>
      </c>
      <c r="AW63" s="3">
        <v>1.1024212</v>
      </c>
      <c r="AX63" s="3">
        <v>1.1066752</v>
      </c>
      <c r="AY63" s="3">
        <v>1.1108941999999999</v>
      </c>
      <c r="AZ63" s="3">
        <v>1.1150857000000001</v>
      </c>
      <c r="BA63" s="3">
        <v>1.1192561999999999</v>
      </c>
      <c r="BB63" s="3">
        <v>1.1234082999999999</v>
      </c>
      <c r="BC63" s="3">
        <v>1.1275434</v>
      </c>
      <c r="BD63" s="3">
        <v>1.1316630000000001</v>
      </c>
      <c r="BE63" s="3">
        <v>1.1357683000000001</v>
      </c>
      <c r="BF63" s="3">
        <v>1.1398607999999999</v>
      </c>
      <c r="BG63" s="3">
        <v>1.1439419</v>
      </c>
      <c r="BH63" s="3">
        <v>1.148013</v>
      </c>
      <c r="BI63" s="3">
        <v>1.1520754</v>
      </c>
      <c r="BJ63" s="3">
        <v>1.1561304999999999</v>
      </c>
      <c r="BK63" s="3">
        <v>1.1601797</v>
      </c>
      <c r="BL63" s="3">
        <v>1.1642243999999999</v>
      </c>
      <c r="BM63" s="3" t="e">
        <v>#N/A</v>
      </c>
      <c r="BN63" s="3" t="e">
        <v>#N/A</v>
      </c>
    </row>
    <row r="64" spans="1:66" x14ac:dyDescent="0.35">
      <c r="A64" s="5">
        <f t="shared" si="0"/>
        <v>43544</v>
      </c>
      <c r="B64" t="s">
        <v>141</v>
      </c>
      <c r="C64" s="2">
        <v>0.75</v>
      </c>
      <c r="D64" s="2">
        <v>0.70540000000000003</v>
      </c>
      <c r="E64" s="3">
        <v>0.70530720000000002</v>
      </c>
      <c r="F64" s="3">
        <v>0.70638900000000004</v>
      </c>
      <c r="G64" s="3">
        <v>0.7070919</v>
      </c>
      <c r="H64" s="3">
        <v>0.71000929999999995</v>
      </c>
      <c r="I64" s="3">
        <v>0.71606639999999999</v>
      </c>
      <c r="J64" s="3">
        <v>0.72468739999999998</v>
      </c>
      <c r="K64" s="3">
        <v>0.73526899999999995</v>
      </c>
      <c r="L64" s="3">
        <v>0.74724849999999998</v>
      </c>
      <c r="M64" s="3">
        <v>0.76002380000000003</v>
      </c>
      <c r="N64" s="3">
        <v>0.77310179999999995</v>
      </c>
      <c r="O64" s="3">
        <v>0.78619459999999997</v>
      </c>
      <c r="P64" s="3">
        <v>0.79915659999999999</v>
      </c>
      <c r="Q64" s="3">
        <v>0.81186550000000002</v>
      </c>
      <c r="R64" s="3">
        <v>0.82426949999999999</v>
      </c>
      <c r="S64" s="3">
        <v>0.83633780000000002</v>
      </c>
      <c r="T64" s="3">
        <v>0.84804009999999996</v>
      </c>
      <c r="U64" s="3">
        <v>0.85934569999999999</v>
      </c>
      <c r="V64" s="3">
        <v>0.8702242</v>
      </c>
      <c r="W64" s="3">
        <v>0.88065360000000004</v>
      </c>
      <c r="X64" s="3">
        <v>0.89066129999999999</v>
      </c>
      <c r="Y64" s="3">
        <v>0.90029190000000003</v>
      </c>
      <c r="Z64" s="3">
        <v>0.90959009999999996</v>
      </c>
      <c r="AA64" s="3">
        <v>0.91860070000000005</v>
      </c>
      <c r="AB64" s="3">
        <v>0.92736810000000003</v>
      </c>
      <c r="AC64" s="3">
        <v>0.93593170000000003</v>
      </c>
      <c r="AD64" s="3">
        <v>0.94430060000000005</v>
      </c>
      <c r="AE64" s="3">
        <v>0.9524743</v>
      </c>
      <c r="AF64" s="3">
        <v>0.96045210000000003</v>
      </c>
      <c r="AG64" s="3">
        <v>0.96823320000000002</v>
      </c>
      <c r="AH64" s="3">
        <v>0.97581709999999999</v>
      </c>
      <c r="AI64" s="3">
        <v>0.98320300000000005</v>
      </c>
      <c r="AJ64" s="3">
        <v>0.9903904</v>
      </c>
      <c r="AK64" s="3">
        <v>0.9973784</v>
      </c>
      <c r="AL64" s="3">
        <v>1.0041665</v>
      </c>
      <c r="AM64" s="3">
        <v>1.0107539999999999</v>
      </c>
      <c r="AN64" s="3">
        <v>1.0171402</v>
      </c>
      <c r="AO64" s="3">
        <v>1.0233255000000001</v>
      </c>
      <c r="AP64" s="3">
        <v>1.0293156999999999</v>
      </c>
      <c r="AQ64" s="3">
        <v>1.0351182999999999</v>
      </c>
      <c r="AR64" s="3">
        <v>1.0407407</v>
      </c>
      <c r="AS64" s="3">
        <v>1.0461902999999999</v>
      </c>
      <c r="AT64" s="3">
        <v>1.0514745000000001</v>
      </c>
      <c r="AU64" s="3">
        <v>1.0566006999999999</v>
      </c>
      <c r="AV64" s="3">
        <v>1.0615764000000001</v>
      </c>
      <c r="AW64" s="3">
        <v>1.0664089999999999</v>
      </c>
      <c r="AX64" s="3">
        <v>1.0711059000000001</v>
      </c>
      <c r="AY64" s="3">
        <v>1.0756745000000001</v>
      </c>
      <c r="AZ64" s="3">
        <v>1.0801221999999999</v>
      </c>
      <c r="BA64" s="3">
        <v>1.0844568000000001</v>
      </c>
      <c r="BB64" s="3">
        <v>1.0886863</v>
      </c>
      <c r="BC64" s="3">
        <v>1.0928195000000001</v>
      </c>
      <c r="BD64" s="3">
        <v>1.0968648000000001</v>
      </c>
      <c r="BE64" s="3">
        <v>1.1008306999999999</v>
      </c>
      <c r="BF64" s="3">
        <v>1.1047256999999999</v>
      </c>
      <c r="BG64" s="3">
        <v>1.1085585</v>
      </c>
      <c r="BH64" s="3">
        <v>1.1123375</v>
      </c>
      <c r="BI64" s="3">
        <v>1.1160711000000001</v>
      </c>
      <c r="BJ64" s="3">
        <v>1.1197680999999999</v>
      </c>
      <c r="BK64" s="3">
        <v>1.1234367999999999</v>
      </c>
      <c r="BL64" s="3">
        <v>1.1270857999999999</v>
      </c>
      <c r="BM64" s="3" t="e">
        <v>#N/A</v>
      </c>
      <c r="BN64" s="3" t="e">
        <v>#N/A</v>
      </c>
    </row>
    <row r="65" spans="1:66" x14ac:dyDescent="0.35">
      <c r="A65" s="5">
        <f t="shared" si="0"/>
        <v>43545</v>
      </c>
      <c r="B65" t="s">
        <v>142</v>
      </c>
      <c r="C65" s="2">
        <v>0.75</v>
      </c>
      <c r="D65" s="2">
        <v>0.70499999999999996</v>
      </c>
      <c r="E65" s="3">
        <v>0.69775710000000002</v>
      </c>
      <c r="F65" s="3">
        <v>0.68984840000000003</v>
      </c>
      <c r="G65" s="3">
        <v>0.68460980000000005</v>
      </c>
      <c r="H65" s="3">
        <v>0.68205340000000003</v>
      </c>
      <c r="I65" s="3">
        <v>0.68230349999999995</v>
      </c>
      <c r="J65" s="3">
        <v>0.68499509999999997</v>
      </c>
      <c r="K65" s="3">
        <v>0.68957999999999997</v>
      </c>
      <c r="L65" s="3">
        <v>0.69550279999999998</v>
      </c>
      <c r="M65" s="3">
        <v>0.702125</v>
      </c>
      <c r="N65" s="3">
        <v>0.70903870000000002</v>
      </c>
      <c r="O65" s="3">
        <v>0.71603689999999998</v>
      </c>
      <c r="P65" s="3">
        <v>0.72306320000000002</v>
      </c>
      <c r="Q65" s="3">
        <v>0.73026020000000003</v>
      </c>
      <c r="R65" s="3">
        <v>0.73768120000000004</v>
      </c>
      <c r="S65" s="3">
        <v>0.74532710000000002</v>
      </c>
      <c r="T65" s="3">
        <v>0.75319919999999996</v>
      </c>
      <c r="U65" s="3">
        <v>0.76129840000000004</v>
      </c>
      <c r="V65" s="3">
        <v>0.76962589999999997</v>
      </c>
      <c r="W65" s="3">
        <v>0.77817639999999999</v>
      </c>
      <c r="X65" s="3">
        <v>0.78691339999999999</v>
      </c>
      <c r="Y65" s="3">
        <v>0.7957902</v>
      </c>
      <c r="Z65" s="3">
        <v>0.80476000000000003</v>
      </c>
      <c r="AA65" s="3">
        <v>0.8137761</v>
      </c>
      <c r="AB65" s="3">
        <v>0.82279190000000002</v>
      </c>
      <c r="AC65" s="3">
        <v>0.83176399999999995</v>
      </c>
      <c r="AD65" s="3">
        <v>0.84066560000000001</v>
      </c>
      <c r="AE65" s="3">
        <v>0.84947479999999997</v>
      </c>
      <c r="AF65" s="3">
        <v>0.85816999999999999</v>
      </c>
      <c r="AG65" s="3">
        <v>0.86672930000000004</v>
      </c>
      <c r="AH65" s="3">
        <v>0.87513079999999999</v>
      </c>
      <c r="AI65" s="3">
        <v>0.8833529</v>
      </c>
      <c r="AJ65" s="3">
        <v>0.89137370000000005</v>
      </c>
      <c r="AK65" s="3">
        <v>0.89917150000000001</v>
      </c>
      <c r="AL65" s="3">
        <v>0.90672439999999999</v>
      </c>
      <c r="AM65" s="3">
        <v>0.91401060000000001</v>
      </c>
      <c r="AN65" s="3">
        <v>0.92100850000000001</v>
      </c>
      <c r="AO65" s="3">
        <v>0.92770160000000002</v>
      </c>
      <c r="AP65" s="3">
        <v>0.93409830000000005</v>
      </c>
      <c r="AQ65" s="3">
        <v>0.94021379999999999</v>
      </c>
      <c r="AR65" s="3">
        <v>0.94606299999999999</v>
      </c>
      <c r="AS65" s="3">
        <v>0.95166099999999998</v>
      </c>
      <c r="AT65" s="3">
        <v>0.95702299999999996</v>
      </c>
      <c r="AU65" s="3">
        <v>0.96216389999999996</v>
      </c>
      <c r="AV65" s="3">
        <v>0.96709880000000004</v>
      </c>
      <c r="AW65" s="3">
        <v>0.97184289999999995</v>
      </c>
      <c r="AX65" s="3">
        <v>0.97641109999999998</v>
      </c>
      <c r="AY65" s="3">
        <v>0.98081850000000004</v>
      </c>
      <c r="AZ65" s="3">
        <v>0.98508030000000002</v>
      </c>
      <c r="BA65" s="3">
        <v>0.98921079999999995</v>
      </c>
      <c r="BB65" s="3">
        <v>0.99322100000000002</v>
      </c>
      <c r="BC65" s="3">
        <v>0.99712120000000004</v>
      </c>
      <c r="BD65" s="3">
        <v>1.0009216000000001</v>
      </c>
      <c r="BE65" s="3">
        <v>1.0046324</v>
      </c>
      <c r="BF65" s="3">
        <v>1.0082639</v>
      </c>
      <c r="BG65" s="3">
        <v>1.0118263999999999</v>
      </c>
      <c r="BH65" s="3">
        <v>1.0153299</v>
      </c>
      <c r="BI65" s="3">
        <v>1.0187847999999999</v>
      </c>
      <c r="BJ65" s="3">
        <v>1.0222012</v>
      </c>
      <c r="BK65" s="3">
        <v>1.0255894000000001</v>
      </c>
      <c r="BL65" s="3">
        <v>1.0289596999999999</v>
      </c>
      <c r="BM65" s="3" t="e">
        <v>#N/A</v>
      </c>
      <c r="BN65" s="3" t="e">
        <v>#N/A</v>
      </c>
    </row>
    <row r="66" spans="1:66" x14ac:dyDescent="0.35">
      <c r="A66" s="5">
        <f t="shared" si="0"/>
        <v>43546</v>
      </c>
      <c r="B66" t="s">
        <v>143</v>
      </c>
      <c r="C66" s="2">
        <v>0.75</v>
      </c>
      <c r="D66" s="2">
        <v>0.70530000000000004</v>
      </c>
      <c r="E66" s="3">
        <v>0.70608360000000003</v>
      </c>
      <c r="F66" s="3">
        <v>0.68879080000000004</v>
      </c>
      <c r="G66" s="3">
        <v>0.67794520000000003</v>
      </c>
      <c r="H66" s="3">
        <v>0.67179230000000001</v>
      </c>
      <c r="I66" s="3">
        <v>0.66848989999999997</v>
      </c>
      <c r="J66" s="3">
        <v>0.66697700000000004</v>
      </c>
      <c r="K66" s="3">
        <v>0.66689509999999996</v>
      </c>
      <c r="L66" s="3">
        <v>0.66827360000000002</v>
      </c>
      <c r="M66" s="3">
        <v>0.6712321</v>
      </c>
      <c r="N66" s="3">
        <v>0.67581590000000002</v>
      </c>
      <c r="O66" s="3">
        <v>0.68187949999999997</v>
      </c>
      <c r="P66" s="3">
        <v>0.68915599999999999</v>
      </c>
      <c r="Q66" s="3">
        <v>0.69727850000000002</v>
      </c>
      <c r="R66" s="3">
        <v>0.70599310000000004</v>
      </c>
      <c r="S66" s="3">
        <v>0.71509339999999999</v>
      </c>
      <c r="T66" s="3">
        <v>0.72437339999999995</v>
      </c>
      <c r="U66" s="3">
        <v>0.73362660000000002</v>
      </c>
      <c r="V66" s="3">
        <v>0.7426471</v>
      </c>
      <c r="W66" s="3">
        <v>0.7512586</v>
      </c>
      <c r="X66" s="3">
        <v>0.7594398</v>
      </c>
      <c r="Y66" s="3">
        <v>0.76721830000000002</v>
      </c>
      <c r="Z66" s="3">
        <v>0.77462220000000004</v>
      </c>
      <c r="AA66" s="3">
        <v>0.78167920000000002</v>
      </c>
      <c r="AB66" s="3">
        <v>0.78841720000000004</v>
      </c>
      <c r="AC66" s="3">
        <v>0.7948634</v>
      </c>
      <c r="AD66" s="3">
        <v>0.80104169999999997</v>
      </c>
      <c r="AE66" s="3">
        <v>0.80697529999999995</v>
      </c>
      <c r="AF66" s="3">
        <v>0.8126871</v>
      </c>
      <c r="AG66" s="3">
        <v>0.8182005</v>
      </c>
      <c r="AH66" s="3">
        <v>0.82353829999999995</v>
      </c>
      <c r="AI66" s="3">
        <v>0.82872369999999995</v>
      </c>
      <c r="AJ66" s="3">
        <v>0.83377990000000002</v>
      </c>
      <c r="AK66" s="3">
        <v>0.83872999999999998</v>
      </c>
      <c r="AL66" s="3">
        <v>0.84359689999999998</v>
      </c>
      <c r="AM66" s="3">
        <v>0.84840389999999999</v>
      </c>
      <c r="AN66" s="3">
        <v>0.85317399999999999</v>
      </c>
      <c r="AO66" s="3">
        <v>0.857927</v>
      </c>
      <c r="AP66" s="3">
        <v>0.86266790000000004</v>
      </c>
      <c r="AQ66" s="3">
        <v>0.86739790000000005</v>
      </c>
      <c r="AR66" s="3">
        <v>0.87211780000000005</v>
      </c>
      <c r="AS66" s="3">
        <v>0.87682870000000002</v>
      </c>
      <c r="AT66" s="3">
        <v>0.88153159999999997</v>
      </c>
      <c r="AU66" s="3">
        <v>0.88622749999999995</v>
      </c>
      <c r="AV66" s="3">
        <v>0.89091750000000003</v>
      </c>
      <c r="AW66" s="3">
        <v>0.89560249999999997</v>
      </c>
      <c r="AX66" s="3">
        <v>0.90028350000000001</v>
      </c>
      <c r="AY66" s="3">
        <v>0.90496160000000003</v>
      </c>
      <c r="AZ66" s="3">
        <v>0.90963769999999999</v>
      </c>
      <c r="BA66" s="3">
        <v>0.91431289999999998</v>
      </c>
      <c r="BB66" s="3">
        <v>0.91898800000000003</v>
      </c>
      <c r="BC66" s="3">
        <v>0.92366400000000004</v>
      </c>
      <c r="BD66" s="3">
        <v>0.92834170000000005</v>
      </c>
      <c r="BE66" s="3">
        <v>0.93302200000000002</v>
      </c>
      <c r="BF66" s="3">
        <v>0.93770580000000003</v>
      </c>
      <c r="BG66" s="3">
        <v>0.94239390000000001</v>
      </c>
      <c r="BH66" s="3">
        <v>0.94708720000000002</v>
      </c>
      <c r="BI66" s="3">
        <v>0.95178660000000004</v>
      </c>
      <c r="BJ66" s="3">
        <v>0.95649309999999998</v>
      </c>
      <c r="BK66" s="3">
        <v>0.96120740000000005</v>
      </c>
      <c r="BL66" s="3">
        <v>0.96593039999999997</v>
      </c>
      <c r="BM66" s="3" t="e">
        <v>#N/A</v>
      </c>
      <c r="BN66" s="3" t="e">
        <v>#N/A</v>
      </c>
    </row>
    <row r="67" spans="1:66" x14ac:dyDescent="0.35">
      <c r="A67" s="5">
        <f t="shared" si="0"/>
        <v>43549</v>
      </c>
      <c r="B67" t="s">
        <v>144</v>
      </c>
      <c r="C67" s="2">
        <v>0.75</v>
      </c>
      <c r="D67" s="2">
        <v>0.7046</v>
      </c>
      <c r="E67" s="3">
        <v>0.70076550000000004</v>
      </c>
      <c r="F67" s="3">
        <v>0.68198080000000005</v>
      </c>
      <c r="G67" s="3">
        <v>0.66934749999999998</v>
      </c>
      <c r="H67" s="3">
        <v>0.66406339999999997</v>
      </c>
      <c r="I67" s="3">
        <v>0.66157160000000004</v>
      </c>
      <c r="J67" s="3">
        <v>0.65841360000000004</v>
      </c>
      <c r="K67" s="3">
        <v>0.65443689999999999</v>
      </c>
      <c r="L67" s="3">
        <v>0.6507617</v>
      </c>
      <c r="M67" s="3">
        <v>0.64826209999999995</v>
      </c>
      <c r="N67" s="3">
        <v>0.64746170000000003</v>
      </c>
      <c r="O67" s="3">
        <v>0.6483776</v>
      </c>
      <c r="P67" s="3">
        <v>0.65081630000000001</v>
      </c>
      <c r="Q67" s="3">
        <v>0.65459259999999997</v>
      </c>
      <c r="R67" s="3">
        <v>0.65954449999999998</v>
      </c>
      <c r="S67" s="3">
        <v>0.66551400000000005</v>
      </c>
      <c r="T67" s="3">
        <v>0.67234280000000002</v>
      </c>
      <c r="U67" s="3">
        <v>0.6798729</v>
      </c>
      <c r="V67" s="3">
        <v>0.6879461</v>
      </c>
      <c r="W67" s="3">
        <v>0.69640979999999997</v>
      </c>
      <c r="X67" s="3">
        <v>0.70513840000000005</v>
      </c>
      <c r="Y67" s="3">
        <v>0.71401510000000001</v>
      </c>
      <c r="Z67" s="3">
        <v>0.72292319999999999</v>
      </c>
      <c r="AA67" s="3">
        <v>0.73174600000000001</v>
      </c>
      <c r="AB67" s="3">
        <v>0.74036679999999999</v>
      </c>
      <c r="AC67" s="3">
        <v>0.74868809999999997</v>
      </c>
      <c r="AD67" s="3">
        <v>0.75669869999999995</v>
      </c>
      <c r="AE67" s="3">
        <v>0.7644107</v>
      </c>
      <c r="AF67" s="3">
        <v>0.77183639999999998</v>
      </c>
      <c r="AG67" s="3">
        <v>0.77898809999999996</v>
      </c>
      <c r="AH67" s="3">
        <v>0.78587799999999997</v>
      </c>
      <c r="AI67" s="3">
        <v>0.79251850000000001</v>
      </c>
      <c r="AJ67" s="3">
        <v>0.79892180000000002</v>
      </c>
      <c r="AK67" s="3">
        <v>0.80510009999999999</v>
      </c>
      <c r="AL67" s="3">
        <v>0.8110657</v>
      </c>
      <c r="AM67" s="3">
        <v>0.81683090000000003</v>
      </c>
      <c r="AN67" s="3">
        <v>0.82240800000000003</v>
      </c>
      <c r="AO67" s="3">
        <v>0.82780929999999997</v>
      </c>
      <c r="AP67" s="3">
        <v>0.83304800000000001</v>
      </c>
      <c r="AQ67" s="3">
        <v>0.83813729999999997</v>
      </c>
      <c r="AR67" s="3">
        <v>0.84309060000000002</v>
      </c>
      <c r="AS67" s="3">
        <v>0.84792120000000004</v>
      </c>
      <c r="AT67" s="3">
        <v>0.85264229999999996</v>
      </c>
      <c r="AU67" s="3">
        <v>0.85726729999999995</v>
      </c>
      <c r="AV67" s="3">
        <v>0.86180939999999995</v>
      </c>
      <c r="AW67" s="3">
        <v>0.866282</v>
      </c>
      <c r="AX67" s="3">
        <v>0.87069830000000004</v>
      </c>
      <c r="AY67" s="3">
        <v>0.87507159999999995</v>
      </c>
      <c r="AZ67" s="3">
        <v>0.87941530000000001</v>
      </c>
      <c r="BA67" s="3">
        <v>0.88374129999999995</v>
      </c>
      <c r="BB67" s="3">
        <v>0.88805480000000003</v>
      </c>
      <c r="BC67" s="3">
        <v>0.8923586</v>
      </c>
      <c r="BD67" s="3">
        <v>0.89665570000000006</v>
      </c>
      <c r="BE67" s="3">
        <v>0.90094879999999999</v>
      </c>
      <c r="BF67" s="3">
        <v>0.90524079999999996</v>
      </c>
      <c r="BG67" s="3">
        <v>0.90953450000000002</v>
      </c>
      <c r="BH67" s="3">
        <v>0.91383289999999995</v>
      </c>
      <c r="BI67" s="3">
        <v>0.91813860000000003</v>
      </c>
      <c r="BJ67" s="3">
        <v>0.92245469999999996</v>
      </c>
      <c r="BK67" s="3">
        <v>0.92678400000000005</v>
      </c>
      <c r="BL67" s="3">
        <v>0.93112919999999999</v>
      </c>
      <c r="BM67" s="3" t="e">
        <v>#N/A</v>
      </c>
      <c r="BN67" s="3" t="e">
        <v>#N/A</v>
      </c>
    </row>
    <row r="68" spans="1:66" x14ac:dyDescent="0.35">
      <c r="A68" s="5">
        <f t="shared" si="0"/>
        <v>43550</v>
      </c>
      <c r="B68" t="s">
        <v>145</v>
      </c>
      <c r="C68" s="2">
        <v>0.75</v>
      </c>
      <c r="D68" s="2">
        <v>0.70589999999999997</v>
      </c>
      <c r="E68" s="3">
        <v>0.70396250000000005</v>
      </c>
      <c r="F68" s="3">
        <v>0.69295220000000002</v>
      </c>
      <c r="G68" s="3">
        <v>0.68752120000000005</v>
      </c>
      <c r="H68" s="3">
        <v>0.68886340000000001</v>
      </c>
      <c r="I68" s="3">
        <v>0.69210539999999998</v>
      </c>
      <c r="J68" s="3">
        <v>0.69353719999999996</v>
      </c>
      <c r="K68" s="3">
        <v>0.69311540000000005</v>
      </c>
      <c r="L68" s="3">
        <v>0.69215859999999996</v>
      </c>
      <c r="M68" s="3">
        <v>0.69175750000000003</v>
      </c>
      <c r="N68" s="3">
        <v>0.69264970000000003</v>
      </c>
      <c r="O68" s="3">
        <v>0.69509790000000005</v>
      </c>
      <c r="P68" s="3">
        <v>0.69922410000000002</v>
      </c>
      <c r="Q68" s="3">
        <v>0.70448310000000003</v>
      </c>
      <c r="R68" s="3">
        <v>0.71054609999999996</v>
      </c>
      <c r="S68" s="3">
        <v>0.71721619999999997</v>
      </c>
      <c r="T68" s="3">
        <v>0.72429670000000002</v>
      </c>
      <c r="U68" s="3">
        <v>0.73159090000000004</v>
      </c>
      <c r="V68" s="3">
        <v>0.73890199999999995</v>
      </c>
      <c r="W68" s="3">
        <v>0.74605580000000005</v>
      </c>
      <c r="X68" s="3">
        <v>0.75301819999999997</v>
      </c>
      <c r="Y68" s="3">
        <v>0.75980950000000003</v>
      </c>
      <c r="Z68" s="3">
        <v>0.76645019999999997</v>
      </c>
      <c r="AA68" s="3">
        <v>0.77296069999999995</v>
      </c>
      <c r="AB68" s="3">
        <v>0.77936150000000004</v>
      </c>
      <c r="AC68" s="3">
        <v>0.78566979999999997</v>
      </c>
      <c r="AD68" s="3">
        <v>0.7918885</v>
      </c>
      <c r="AE68" s="3">
        <v>0.79801690000000003</v>
      </c>
      <c r="AF68" s="3">
        <v>0.80405400000000005</v>
      </c>
      <c r="AG68" s="3">
        <v>0.80999900000000002</v>
      </c>
      <c r="AH68" s="3">
        <v>0.81585099999999999</v>
      </c>
      <c r="AI68" s="3">
        <v>0.82160909999999998</v>
      </c>
      <c r="AJ68" s="3">
        <v>0.82727240000000002</v>
      </c>
      <c r="AK68" s="3">
        <v>0.83284009999999997</v>
      </c>
      <c r="AL68" s="3">
        <v>0.83831129999999998</v>
      </c>
      <c r="AM68" s="3">
        <v>0.84368500000000002</v>
      </c>
      <c r="AN68" s="3">
        <v>0.84896039999999995</v>
      </c>
      <c r="AO68" s="3">
        <v>0.85413740000000005</v>
      </c>
      <c r="AP68" s="3">
        <v>0.85921950000000002</v>
      </c>
      <c r="AQ68" s="3">
        <v>0.86421159999999997</v>
      </c>
      <c r="AR68" s="3">
        <v>0.86911859999999996</v>
      </c>
      <c r="AS68" s="3">
        <v>0.87394539999999998</v>
      </c>
      <c r="AT68" s="3">
        <v>0.8786967</v>
      </c>
      <c r="AU68" s="3">
        <v>0.88337750000000004</v>
      </c>
      <c r="AV68" s="3">
        <v>0.88799269999999997</v>
      </c>
      <c r="AW68" s="3">
        <v>0.89254719999999999</v>
      </c>
      <c r="AX68" s="3">
        <v>0.89704569999999995</v>
      </c>
      <c r="AY68" s="3">
        <v>0.90149319999999999</v>
      </c>
      <c r="AZ68" s="3">
        <v>0.90589459999999999</v>
      </c>
      <c r="BA68" s="3">
        <v>0.91025460000000002</v>
      </c>
      <c r="BB68" s="3">
        <v>0.91457770000000005</v>
      </c>
      <c r="BC68" s="3">
        <v>0.91886849999999998</v>
      </c>
      <c r="BD68" s="3">
        <v>0.92313129999999999</v>
      </c>
      <c r="BE68" s="3">
        <v>0.92737040000000004</v>
      </c>
      <c r="BF68" s="3">
        <v>0.93159049999999999</v>
      </c>
      <c r="BG68" s="3">
        <v>0.93579579999999996</v>
      </c>
      <c r="BH68" s="3">
        <v>0.93999080000000002</v>
      </c>
      <c r="BI68" s="3">
        <v>0.94417989999999996</v>
      </c>
      <c r="BJ68" s="3">
        <v>0.94836759999999998</v>
      </c>
      <c r="BK68" s="3">
        <v>0.95255820000000002</v>
      </c>
      <c r="BL68" s="3">
        <v>0.95675619999999995</v>
      </c>
      <c r="BM68" s="3" t="e">
        <v>#N/A</v>
      </c>
      <c r="BN68" s="3" t="e">
        <v>#N/A</v>
      </c>
    </row>
    <row r="69" spans="1:66" x14ac:dyDescent="0.35">
      <c r="A69" s="5">
        <f t="shared" si="0"/>
        <v>43551</v>
      </c>
      <c r="B69" t="s">
        <v>146</v>
      </c>
      <c r="C69" s="2">
        <v>0.75</v>
      </c>
      <c r="D69" s="2">
        <v>0.70469999999999999</v>
      </c>
      <c r="E69" s="3">
        <v>0.70381199999999999</v>
      </c>
      <c r="F69" s="3">
        <v>0.69333109999999998</v>
      </c>
      <c r="G69" s="3">
        <v>0.68894089999999997</v>
      </c>
      <c r="H69" s="3">
        <v>0.69052100000000005</v>
      </c>
      <c r="I69" s="3">
        <v>0.69314359999999997</v>
      </c>
      <c r="J69" s="3">
        <v>0.69374829999999998</v>
      </c>
      <c r="K69" s="3">
        <v>0.69257409999999997</v>
      </c>
      <c r="L69" s="3">
        <v>0.6911311</v>
      </c>
      <c r="M69" s="3">
        <v>0.69073479999999998</v>
      </c>
      <c r="N69" s="3">
        <v>0.69213749999999996</v>
      </c>
      <c r="O69" s="3">
        <v>0.69545729999999994</v>
      </c>
      <c r="P69" s="3">
        <v>0.70043350000000004</v>
      </c>
      <c r="Q69" s="3">
        <v>0.70667550000000001</v>
      </c>
      <c r="R69" s="3">
        <v>0.71387670000000003</v>
      </c>
      <c r="S69" s="3">
        <v>0.72176050000000003</v>
      </c>
      <c r="T69" s="3">
        <v>0.73005070000000005</v>
      </c>
      <c r="U69" s="3">
        <v>0.73847099999999999</v>
      </c>
      <c r="V69" s="3">
        <v>0.74674510000000005</v>
      </c>
      <c r="W69" s="3">
        <v>0.75463170000000002</v>
      </c>
      <c r="X69" s="3">
        <v>0.76208759999999998</v>
      </c>
      <c r="Y69" s="3">
        <v>0.76913929999999997</v>
      </c>
      <c r="Z69" s="3">
        <v>0.77581350000000004</v>
      </c>
      <c r="AA69" s="3">
        <v>0.78213679999999997</v>
      </c>
      <c r="AB69" s="3">
        <v>0.78813580000000005</v>
      </c>
      <c r="AC69" s="3">
        <v>0.79383769999999998</v>
      </c>
      <c r="AD69" s="3">
        <v>0.79927230000000005</v>
      </c>
      <c r="AE69" s="3">
        <v>0.80447009999999997</v>
      </c>
      <c r="AF69" s="3">
        <v>0.80946200000000001</v>
      </c>
      <c r="AG69" s="3">
        <v>0.81427850000000002</v>
      </c>
      <c r="AH69" s="3">
        <v>0.81895039999999997</v>
      </c>
      <c r="AI69" s="3">
        <v>0.82350840000000003</v>
      </c>
      <c r="AJ69" s="3">
        <v>0.82798309999999997</v>
      </c>
      <c r="AK69" s="3">
        <v>0.83240519999999996</v>
      </c>
      <c r="AL69" s="3">
        <v>0.83680540000000003</v>
      </c>
      <c r="AM69" s="3">
        <v>0.84121440000000003</v>
      </c>
      <c r="AN69" s="3">
        <v>0.84566280000000005</v>
      </c>
      <c r="AO69" s="3">
        <v>0.85017659999999995</v>
      </c>
      <c r="AP69" s="3">
        <v>0.85475849999999998</v>
      </c>
      <c r="AQ69" s="3">
        <v>0.8594039</v>
      </c>
      <c r="AR69" s="3">
        <v>0.8641084</v>
      </c>
      <c r="AS69" s="3">
        <v>0.86886750000000001</v>
      </c>
      <c r="AT69" s="3">
        <v>0.87367680000000003</v>
      </c>
      <c r="AU69" s="3">
        <v>0.87853190000000003</v>
      </c>
      <c r="AV69" s="3">
        <v>0.8834282</v>
      </c>
      <c r="AW69" s="3">
        <v>0.88836139999999997</v>
      </c>
      <c r="AX69" s="3">
        <v>0.89332690000000003</v>
      </c>
      <c r="AY69" s="3">
        <v>0.89832040000000002</v>
      </c>
      <c r="AZ69" s="3">
        <v>0.90333730000000001</v>
      </c>
      <c r="BA69" s="3">
        <v>0.90837349999999994</v>
      </c>
      <c r="BB69" s="3">
        <v>0.9134253</v>
      </c>
      <c r="BC69" s="3">
        <v>0.91848960000000002</v>
      </c>
      <c r="BD69" s="3">
        <v>0.92356300000000002</v>
      </c>
      <c r="BE69" s="3">
        <v>0.92864239999999998</v>
      </c>
      <c r="BF69" s="3">
        <v>0.93372440000000001</v>
      </c>
      <c r="BG69" s="3">
        <v>0.93880569999999997</v>
      </c>
      <c r="BH69" s="3">
        <v>0.94388320000000003</v>
      </c>
      <c r="BI69" s="3">
        <v>0.94895339999999995</v>
      </c>
      <c r="BJ69" s="3">
        <v>0.95401329999999995</v>
      </c>
      <c r="BK69" s="3">
        <v>0.95905940000000001</v>
      </c>
      <c r="BL69" s="3">
        <v>0.96408859999999996</v>
      </c>
      <c r="BM69" s="3" t="e">
        <v>#N/A</v>
      </c>
      <c r="BN69" s="3" t="e">
        <v>#N/A</v>
      </c>
    </row>
    <row r="70" spans="1:66" x14ac:dyDescent="0.35">
      <c r="A70" s="5">
        <f t="shared" si="0"/>
        <v>43552</v>
      </c>
      <c r="B70" t="s">
        <v>147</v>
      </c>
      <c r="C70" s="2">
        <v>0.75</v>
      </c>
      <c r="D70" s="2">
        <v>0.70509999999999995</v>
      </c>
      <c r="E70" s="3">
        <v>0.70258830000000005</v>
      </c>
      <c r="F70" s="3">
        <v>0.69467000000000001</v>
      </c>
      <c r="G70" s="3">
        <v>0.69192960000000003</v>
      </c>
      <c r="H70" s="3">
        <v>0.69363739999999996</v>
      </c>
      <c r="I70" s="3">
        <v>0.69509560000000004</v>
      </c>
      <c r="J70" s="3">
        <v>0.69389800000000001</v>
      </c>
      <c r="K70" s="3">
        <v>0.69074979999999997</v>
      </c>
      <c r="L70" s="3">
        <v>0.68708360000000002</v>
      </c>
      <c r="M70" s="3">
        <v>0.68392790000000003</v>
      </c>
      <c r="N70" s="3">
        <v>0.68186210000000003</v>
      </c>
      <c r="O70" s="3">
        <v>0.68103829999999999</v>
      </c>
      <c r="P70" s="3">
        <v>0.68143909999999996</v>
      </c>
      <c r="Q70" s="3">
        <v>0.68329510000000004</v>
      </c>
      <c r="R70" s="3">
        <v>0.68656669999999997</v>
      </c>
      <c r="S70" s="3">
        <v>0.69107350000000001</v>
      </c>
      <c r="T70" s="3">
        <v>0.69663489999999995</v>
      </c>
      <c r="U70" s="3">
        <v>0.70307030000000004</v>
      </c>
      <c r="V70" s="3">
        <v>0.71019940000000004</v>
      </c>
      <c r="W70" s="3">
        <v>0.71785189999999999</v>
      </c>
      <c r="X70" s="3">
        <v>0.72591119999999998</v>
      </c>
      <c r="Y70" s="3">
        <v>0.73427779999999998</v>
      </c>
      <c r="Z70" s="3">
        <v>0.74285199999999996</v>
      </c>
      <c r="AA70" s="3">
        <v>0.75153429999999999</v>
      </c>
      <c r="AB70" s="3">
        <v>0.76022509999999999</v>
      </c>
      <c r="AC70" s="3">
        <v>0.7688372</v>
      </c>
      <c r="AD70" s="3">
        <v>0.77734340000000002</v>
      </c>
      <c r="AE70" s="3">
        <v>0.78573459999999995</v>
      </c>
      <c r="AF70" s="3">
        <v>0.79400210000000004</v>
      </c>
      <c r="AG70" s="3">
        <v>0.80213679999999998</v>
      </c>
      <c r="AH70" s="3">
        <v>0.81012980000000001</v>
      </c>
      <c r="AI70" s="3">
        <v>0.81797229999999999</v>
      </c>
      <c r="AJ70" s="3">
        <v>0.82565520000000003</v>
      </c>
      <c r="AK70" s="3">
        <v>0.83316959999999995</v>
      </c>
      <c r="AL70" s="3">
        <v>0.84050659999999999</v>
      </c>
      <c r="AM70" s="3">
        <v>0.84765729999999995</v>
      </c>
      <c r="AN70" s="3">
        <v>0.8546127</v>
      </c>
      <c r="AO70" s="3">
        <v>0.86136630000000003</v>
      </c>
      <c r="AP70" s="3">
        <v>0.86792239999999998</v>
      </c>
      <c r="AQ70" s="3">
        <v>0.87428779999999995</v>
      </c>
      <c r="AR70" s="3">
        <v>0.88046990000000003</v>
      </c>
      <c r="AS70" s="3">
        <v>0.88647560000000003</v>
      </c>
      <c r="AT70" s="3">
        <v>0.8923122</v>
      </c>
      <c r="AU70" s="3">
        <v>0.89798650000000002</v>
      </c>
      <c r="AV70" s="3">
        <v>0.90350589999999997</v>
      </c>
      <c r="AW70" s="3">
        <v>0.9088773</v>
      </c>
      <c r="AX70" s="3">
        <v>0.91410789999999997</v>
      </c>
      <c r="AY70" s="3">
        <v>0.91920480000000004</v>
      </c>
      <c r="AZ70" s="3">
        <v>0.92417499999999997</v>
      </c>
      <c r="BA70" s="3">
        <v>0.92902580000000001</v>
      </c>
      <c r="BB70" s="3">
        <v>0.93376490000000001</v>
      </c>
      <c r="BC70" s="3">
        <v>0.93839980000000001</v>
      </c>
      <c r="BD70" s="3">
        <v>0.94293850000000001</v>
      </c>
      <c r="BE70" s="3">
        <v>0.94738869999999997</v>
      </c>
      <c r="BF70" s="3">
        <v>0.9517582</v>
      </c>
      <c r="BG70" s="3">
        <v>0.95605459999999998</v>
      </c>
      <c r="BH70" s="3">
        <v>0.96028579999999997</v>
      </c>
      <c r="BI70" s="3">
        <v>0.96445950000000003</v>
      </c>
      <c r="BJ70" s="3">
        <v>0.96858350000000004</v>
      </c>
      <c r="BK70" s="3">
        <v>0.97266549999999996</v>
      </c>
      <c r="BL70" s="3">
        <v>0.97671339999999995</v>
      </c>
      <c r="BM70" s="3" t="e">
        <v>#N/A</v>
      </c>
      <c r="BN70" s="3" t="e">
        <v>#N/A</v>
      </c>
    </row>
    <row r="71" spans="1:66" x14ac:dyDescent="0.35">
      <c r="A71" s="5">
        <f t="shared" si="0"/>
        <v>43553</v>
      </c>
      <c r="B71" t="s">
        <v>148</v>
      </c>
      <c r="C71" s="2">
        <v>0.75</v>
      </c>
      <c r="D71" s="2">
        <v>0.7036</v>
      </c>
      <c r="E71" s="3">
        <v>0.69892200000000004</v>
      </c>
      <c r="F71" s="3">
        <v>0.69050999999999996</v>
      </c>
      <c r="G71" s="3">
        <v>0.68613829999999998</v>
      </c>
      <c r="H71" s="3">
        <v>0.6863245</v>
      </c>
      <c r="I71" s="3">
        <v>0.68725919999999996</v>
      </c>
      <c r="J71" s="3">
        <v>0.6863262</v>
      </c>
      <c r="K71" s="3">
        <v>0.68364329999999995</v>
      </c>
      <c r="L71" s="3">
        <v>0.68020170000000002</v>
      </c>
      <c r="M71" s="3">
        <v>0.67688280000000001</v>
      </c>
      <c r="N71" s="3">
        <v>0.67436249999999998</v>
      </c>
      <c r="O71" s="3">
        <v>0.67299620000000004</v>
      </c>
      <c r="P71" s="3">
        <v>0.67294540000000003</v>
      </c>
      <c r="Q71" s="3">
        <v>0.67465600000000003</v>
      </c>
      <c r="R71" s="3">
        <v>0.67809799999999998</v>
      </c>
      <c r="S71" s="3">
        <v>0.68304100000000001</v>
      </c>
      <c r="T71" s="3">
        <v>0.68925449999999999</v>
      </c>
      <c r="U71" s="3">
        <v>0.69650800000000002</v>
      </c>
      <c r="V71" s="3">
        <v>0.70457110000000001</v>
      </c>
      <c r="W71" s="3">
        <v>0.7132271</v>
      </c>
      <c r="X71" s="3">
        <v>0.72232890000000005</v>
      </c>
      <c r="Y71" s="3">
        <v>0.73175199999999996</v>
      </c>
      <c r="Z71" s="3">
        <v>0.74137169999999997</v>
      </c>
      <c r="AA71" s="3">
        <v>0.75106340000000005</v>
      </c>
      <c r="AB71" s="3">
        <v>0.76070260000000001</v>
      </c>
      <c r="AC71" s="3">
        <v>0.77018220000000004</v>
      </c>
      <c r="AD71" s="3">
        <v>0.77947270000000002</v>
      </c>
      <c r="AE71" s="3">
        <v>0.78856590000000004</v>
      </c>
      <c r="AF71" s="3">
        <v>0.79745379999999999</v>
      </c>
      <c r="AG71" s="3">
        <v>0.80612830000000002</v>
      </c>
      <c r="AH71" s="3">
        <v>0.81458120000000001</v>
      </c>
      <c r="AI71" s="3">
        <v>0.82280439999999999</v>
      </c>
      <c r="AJ71" s="3">
        <v>0.83078989999999997</v>
      </c>
      <c r="AK71" s="3">
        <v>0.83852950000000004</v>
      </c>
      <c r="AL71" s="3">
        <v>0.84601510000000002</v>
      </c>
      <c r="AM71" s="3">
        <v>0.85323870000000002</v>
      </c>
      <c r="AN71" s="3">
        <v>0.86019199999999996</v>
      </c>
      <c r="AO71" s="3">
        <v>0.86687009999999998</v>
      </c>
      <c r="AP71" s="3">
        <v>0.87328150000000004</v>
      </c>
      <c r="AQ71" s="3">
        <v>0.87943870000000002</v>
      </c>
      <c r="AR71" s="3">
        <v>0.88535390000000003</v>
      </c>
      <c r="AS71" s="3">
        <v>0.89103940000000004</v>
      </c>
      <c r="AT71" s="3">
        <v>0.89650770000000002</v>
      </c>
      <c r="AU71" s="3">
        <v>0.90177110000000005</v>
      </c>
      <c r="AV71" s="3">
        <v>0.90684189999999998</v>
      </c>
      <c r="AW71" s="3">
        <v>0.9117324</v>
      </c>
      <c r="AX71" s="3">
        <v>0.91645500000000002</v>
      </c>
      <c r="AY71" s="3">
        <v>0.92102209999999995</v>
      </c>
      <c r="AZ71" s="3">
        <v>0.92544590000000004</v>
      </c>
      <c r="BA71" s="3">
        <v>0.92973870000000003</v>
      </c>
      <c r="BB71" s="3">
        <v>0.93391219999999997</v>
      </c>
      <c r="BC71" s="3">
        <v>0.93797770000000003</v>
      </c>
      <c r="BD71" s="3">
        <v>0.94194690000000003</v>
      </c>
      <c r="BE71" s="3">
        <v>0.94583119999999998</v>
      </c>
      <c r="BF71" s="3">
        <v>0.94964210000000004</v>
      </c>
      <c r="BG71" s="3">
        <v>0.95339099999999999</v>
      </c>
      <c r="BH71" s="3">
        <v>0.95708950000000004</v>
      </c>
      <c r="BI71" s="3">
        <v>0.96074899999999996</v>
      </c>
      <c r="BJ71" s="3">
        <v>0.96438109999999999</v>
      </c>
      <c r="BK71" s="3">
        <v>0.9679972</v>
      </c>
      <c r="BL71" s="3">
        <v>0.97160880000000005</v>
      </c>
      <c r="BM71" s="3" t="e">
        <v>#N/A</v>
      </c>
      <c r="BN71" s="3" t="e">
        <v>#N/A</v>
      </c>
    </row>
    <row r="72" spans="1:66" x14ac:dyDescent="0.35">
      <c r="A72" s="5">
        <f t="shared" si="0"/>
        <v>43556</v>
      </c>
      <c r="B72" t="s">
        <v>149</v>
      </c>
      <c r="C72" s="2">
        <v>0.75</v>
      </c>
      <c r="D72" s="2">
        <v>0.70550000000000002</v>
      </c>
      <c r="E72" s="3">
        <v>0.69864970000000004</v>
      </c>
      <c r="F72" s="3">
        <v>0.68955599999999995</v>
      </c>
      <c r="G72" s="3">
        <v>0.68714549999999996</v>
      </c>
      <c r="H72" s="3">
        <v>0.69001409999999996</v>
      </c>
      <c r="I72" s="3">
        <v>0.6930056</v>
      </c>
      <c r="J72" s="3">
        <v>0.693801</v>
      </c>
      <c r="K72" s="3">
        <v>0.6932644</v>
      </c>
      <c r="L72" s="3">
        <v>0.6928453</v>
      </c>
      <c r="M72" s="3">
        <v>0.69335780000000002</v>
      </c>
      <c r="N72" s="3">
        <v>0.69511020000000001</v>
      </c>
      <c r="O72" s="3">
        <v>0.69809310000000002</v>
      </c>
      <c r="P72" s="3">
        <v>0.7022988</v>
      </c>
      <c r="Q72" s="3">
        <v>0.70795490000000005</v>
      </c>
      <c r="R72" s="3">
        <v>0.71495260000000005</v>
      </c>
      <c r="S72" s="3">
        <v>0.72306380000000003</v>
      </c>
      <c r="T72" s="3">
        <v>0.7320603</v>
      </c>
      <c r="U72" s="3">
        <v>0.74171399999999998</v>
      </c>
      <c r="V72" s="3">
        <v>0.75179689999999999</v>
      </c>
      <c r="W72" s="3">
        <v>0.76210089999999997</v>
      </c>
      <c r="X72" s="3">
        <v>0.77251159999999996</v>
      </c>
      <c r="Y72" s="3">
        <v>0.78294169999999996</v>
      </c>
      <c r="Z72" s="3">
        <v>0.79330400000000001</v>
      </c>
      <c r="AA72" s="3">
        <v>0.80351090000000003</v>
      </c>
      <c r="AB72" s="3">
        <v>0.81347539999999996</v>
      </c>
      <c r="AC72" s="3">
        <v>0.82312430000000003</v>
      </c>
      <c r="AD72" s="3">
        <v>0.83244779999999996</v>
      </c>
      <c r="AE72" s="3">
        <v>0.84145349999999997</v>
      </c>
      <c r="AF72" s="3">
        <v>0.85014900000000004</v>
      </c>
      <c r="AG72" s="3">
        <v>0.85854200000000003</v>
      </c>
      <c r="AH72" s="3">
        <v>0.86663999999999997</v>
      </c>
      <c r="AI72" s="3">
        <v>0.87445059999999997</v>
      </c>
      <c r="AJ72" s="3">
        <v>0.88198140000000003</v>
      </c>
      <c r="AK72" s="3">
        <v>0.88924000000000003</v>
      </c>
      <c r="AL72" s="3">
        <v>0.89623410000000003</v>
      </c>
      <c r="AM72" s="3">
        <v>0.90297119999999997</v>
      </c>
      <c r="AN72" s="3">
        <v>0.90945889999999996</v>
      </c>
      <c r="AO72" s="3">
        <v>0.91570569999999996</v>
      </c>
      <c r="AP72" s="3">
        <v>0.92172419999999999</v>
      </c>
      <c r="AQ72" s="3">
        <v>0.92752780000000001</v>
      </c>
      <c r="AR72" s="3">
        <v>0.93313000000000001</v>
      </c>
      <c r="AS72" s="3">
        <v>0.93854459999999995</v>
      </c>
      <c r="AT72" s="3">
        <v>0.94378499999999999</v>
      </c>
      <c r="AU72" s="3">
        <v>0.94886479999999995</v>
      </c>
      <c r="AV72" s="3">
        <v>0.95379749999999996</v>
      </c>
      <c r="AW72" s="3">
        <v>0.95859669999999997</v>
      </c>
      <c r="AX72" s="3">
        <v>0.96327600000000002</v>
      </c>
      <c r="AY72" s="3">
        <v>0.96784890000000001</v>
      </c>
      <c r="AZ72" s="3">
        <v>0.972329</v>
      </c>
      <c r="BA72" s="3">
        <v>0.97672910000000002</v>
      </c>
      <c r="BB72" s="3">
        <v>0.98105759999999997</v>
      </c>
      <c r="BC72" s="3">
        <v>0.98532189999999997</v>
      </c>
      <c r="BD72" s="3">
        <v>0.98952879999999999</v>
      </c>
      <c r="BE72" s="3">
        <v>0.99368570000000001</v>
      </c>
      <c r="BF72" s="3">
        <v>0.99779960000000001</v>
      </c>
      <c r="BG72" s="3">
        <v>1.0018777000000001</v>
      </c>
      <c r="BH72" s="3">
        <v>1.0059271000000001</v>
      </c>
      <c r="BI72" s="3">
        <v>1.0099549000000001</v>
      </c>
      <c r="BJ72" s="3">
        <v>1.0139682000000001</v>
      </c>
      <c r="BK72" s="3">
        <v>1.0179742000000001</v>
      </c>
      <c r="BL72" s="3">
        <v>1.0219800999999999</v>
      </c>
      <c r="BM72" s="3" t="e">
        <v>#N/A</v>
      </c>
      <c r="BN72" s="3" t="e">
        <v>#N/A</v>
      </c>
    </row>
    <row r="73" spans="1:66" x14ac:dyDescent="0.35">
      <c r="A73" s="5">
        <f t="shared" si="0"/>
        <v>43557</v>
      </c>
      <c r="B73" t="s">
        <v>150</v>
      </c>
      <c r="C73" s="2">
        <v>0.75</v>
      </c>
      <c r="D73" s="2">
        <v>0.70550000000000002</v>
      </c>
      <c r="E73" s="3">
        <v>0.69540900000000005</v>
      </c>
      <c r="F73" s="3">
        <v>0.68170200000000003</v>
      </c>
      <c r="G73" s="3">
        <v>0.67369880000000004</v>
      </c>
      <c r="H73" s="3">
        <v>0.6693287</v>
      </c>
      <c r="I73" s="3">
        <v>0.66693409999999997</v>
      </c>
      <c r="J73" s="3">
        <v>0.66549700000000001</v>
      </c>
      <c r="K73" s="3">
        <v>0.66444360000000002</v>
      </c>
      <c r="L73" s="3">
        <v>0.66368190000000005</v>
      </c>
      <c r="M73" s="3">
        <v>0.6635122</v>
      </c>
      <c r="N73" s="3">
        <v>0.66444199999999998</v>
      </c>
      <c r="O73" s="3">
        <v>0.66696639999999996</v>
      </c>
      <c r="P73" s="3">
        <v>0.67151830000000001</v>
      </c>
      <c r="Q73" s="3">
        <v>0.67859480000000005</v>
      </c>
      <c r="R73" s="3">
        <v>0.6878687</v>
      </c>
      <c r="S73" s="3">
        <v>0.69876280000000002</v>
      </c>
      <c r="T73" s="3">
        <v>0.71069979999999999</v>
      </c>
      <c r="U73" s="3">
        <v>0.72310249999999998</v>
      </c>
      <c r="V73" s="3">
        <v>0.73539379999999999</v>
      </c>
      <c r="W73" s="3">
        <v>0.74708450000000004</v>
      </c>
      <c r="X73" s="3">
        <v>0.7580945</v>
      </c>
      <c r="Y73" s="3">
        <v>0.76846179999999997</v>
      </c>
      <c r="Z73" s="3">
        <v>0.77822480000000005</v>
      </c>
      <c r="AA73" s="3">
        <v>0.7874215</v>
      </c>
      <c r="AB73" s="3">
        <v>0.79609019999999997</v>
      </c>
      <c r="AC73" s="3">
        <v>0.80426940000000002</v>
      </c>
      <c r="AD73" s="3">
        <v>0.81199920000000003</v>
      </c>
      <c r="AE73" s="3">
        <v>0.81932039999999995</v>
      </c>
      <c r="AF73" s="3">
        <v>0.82627399999999995</v>
      </c>
      <c r="AG73" s="3">
        <v>0.8329008</v>
      </c>
      <c r="AH73" s="3">
        <v>0.83924169999999998</v>
      </c>
      <c r="AI73" s="3">
        <v>0.84533740000000002</v>
      </c>
      <c r="AJ73" s="3">
        <v>0.85122900000000001</v>
      </c>
      <c r="AK73" s="3">
        <v>0.85695719999999997</v>
      </c>
      <c r="AL73" s="3">
        <v>0.86256290000000002</v>
      </c>
      <c r="AM73" s="3">
        <v>0.86808689999999999</v>
      </c>
      <c r="AN73" s="3">
        <v>0.87357019999999996</v>
      </c>
      <c r="AO73" s="3">
        <v>0.8790481</v>
      </c>
      <c r="AP73" s="3">
        <v>0.88452710000000001</v>
      </c>
      <c r="AQ73" s="3">
        <v>0.89000349999999995</v>
      </c>
      <c r="AR73" s="3">
        <v>0.89547399999999999</v>
      </c>
      <c r="AS73" s="3">
        <v>0.90093500000000004</v>
      </c>
      <c r="AT73" s="3">
        <v>0.90638320000000006</v>
      </c>
      <c r="AU73" s="3">
        <v>0.91181489999999998</v>
      </c>
      <c r="AV73" s="3">
        <v>0.91722680000000001</v>
      </c>
      <c r="AW73" s="3">
        <v>0.92261539999999997</v>
      </c>
      <c r="AX73" s="3">
        <v>0.92797719999999995</v>
      </c>
      <c r="AY73" s="3">
        <v>0.93330880000000005</v>
      </c>
      <c r="AZ73" s="3">
        <v>0.93860659999999996</v>
      </c>
      <c r="BA73" s="3">
        <v>0.94386789999999998</v>
      </c>
      <c r="BB73" s="3">
        <v>0.94909330000000003</v>
      </c>
      <c r="BC73" s="3">
        <v>0.95428469999999999</v>
      </c>
      <c r="BD73" s="3">
        <v>0.95944370000000001</v>
      </c>
      <c r="BE73" s="3">
        <v>0.96457210000000004</v>
      </c>
      <c r="BF73" s="3">
        <v>0.96967170000000003</v>
      </c>
      <c r="BG73" s="3">
        <v>0.97474400000000005</v>
      </c>
      <c r="BH73" s="3">
        <v>0.97979090000000002</v>
      </c>
      <c r="BI73" s="3">
        <v>0.98481419999999997</v>
      </c>
      <c r="BJ73" s="3">
        <v>0.98981540000000001</v>
      </c>
      <c r="BK73" s="3">
        <v>0.99479649999999997</v>
      </c>
      <c r="BL73" s="3">
        <v>0.99975899999999995</v>
      </c>
      <c r="BM73" s="3" t="e">
        <v>#N/A</v>
      </c>
      <c r="BN73" s="3" t="e">
        <v>#N/A</v>
      </c>
    </row>
    <row r="74" spans="1:66" x14ac:dyDescent="0.35">
      <c r="A74" s="5">
        <f t="shared" si="0"/>
        <v>43558</v>
      </c>
      <c r="B74" t="s">
        <v>151</v>
      </c>
      <c r="C74" s="2">
        <v>0.75</v>
      </c>
      <c r="D74" s="2">
        <v>0.70640000000000003</v>
      </c>
      <c r="E74" s="3">
        <v>0.69666890000000004</v>
      </c>
      <c r="F74" s="3">
        <v>0.69019739999999996</v>
      </c>
      <c r="G74" s="3">
        <v>0.68852630000000004</v>
      </c>
      <c r="H74" s="3">
        <v>0.68959340000000002</v>
      </c>
      <c r="I74" s="3">
        <v>0.69188170000000004</v>
      </c>
      <c r="J74" s="3">
        <v>0.695133</v>
      </c>
      <c r="K74" s="3">
        <v>0.69966280000000003</v>
      </c>
      <c r="L74" s="3">
        <v>0.70566870000000004</v>
      </c>
      <c r="M74" s="3">
        <v>0.71309560000000005</v>
      </c>
      <c r="N74" s="3">
        <v>0.72167709999999996</v>
      </c>
      <c r="O74" s="3">
        <v>0.7311259</v>
      </c>
      <c r="P74" s="3">
        <v>0.74125730000000001</v>
      </c>
      <c r="Q74" s="3">
        <v>0.75198989999999999</v>
      </c>
      <c r="R74" s="3">
        <v>0.76316220000000001</v>
      </c>
      <c r="S74" s="3">
        <v>0.77458320000000003</v>
      </c>
      <c r="T74" s="3">
        <v>0.78606169999999997</v>
      </c>
      <c r="U74" s="3">
        <v>0.79740670000000002</v>
      </c>
      <c r="V74" s="3">
        <v>0.80842709999999995</v>
      </c>
      <c r="W74" s="3">
        <v>0.81895910000000005</v>
      </c>
      <c r="X74" s="3">
        <v>0.82899250000000002</v>
      </c>
      <c r="Y74" s="3">
        <v>0.83857159999999997</v>
      </c>
      <c r="Z74" s="3">
        <v>0.84774050000000001</v>
      </c>
      <c r="AA74" s="3">
        <v>0.85654339999999995</v>
      </c>
      <c r="AB74" s="3">
        <v>0.86502449999999997</v>
      </c>
      <c r="AC74" s="3">
        <v>0.87322460000000002</v>
      </c>
      <c r="AD74" s="3">
        <v>0.88116470000000002</v>
      </c>
      <c r="AE74" s="3">
        <v>0.88885820000000004</v>
      </c>
      <c r="AF74" s="3">
        <v>0.89631859999999997</v>
      </c>
      <c r="AG74" s="3">
        <v>0.90355960000000002</v>
      </c>
      <c r="AH74" s="3">
        <v>0.91059460000000003</v>
      </c>
      <c r="AI74" s="3">
        <v>0.91743710000000001</v>
      </c>
      <c r="AJ74" s="3">
        <v>0.9241007</v>
      </c>
      <c r="AK74" s="3">
        <v>0.93059890000000001</v>
      </c>
      <c r="AL74" s="3">
        <v>0.93694509999999998</v>
      </c>
      <c r="AM74" s="3">
        <v>0.94315300000000002</v>
      </c>
      <c r="AN74" s="3">
        <v>0.94923599999999997</v>
      </c>
      <c r="AO74" s="3">
        <v>0.95520609999999995</v>
      </c>
      <c r="AP74" s="3">
        <v>0.96106780000000003</v>
      </c>
      <c r="AQ74" s="3">
        <v>0.96682349999999995</v>
      </c>
      <c r="AR74" s="3">
        <v>0.97247539999999999</v>
      </c>
      <c r="AS74" s="3">
        <v>0.97802579999999995</v>
      </c>
      <c r="AT74" s="3">
        <v>0.98347689999999999</v>
      </c>
      <c r="AU74" s="3">
        <v>0.98883089999999996</v>
      </c>
      <c r="AV74" s="3">
        <v>0.99409029999999998</v>
      </c>
      <c r="AW74" s="3">
        <v>0.99925719999999996</v>
      </c>
      <c r="AX74" s="3">
        <v>1.0043337999999999</v>
      </c>
      <c r="AY74" s="3">
        <v>1.0093226</v>
      </c>
      <c r="AZ74" s="3">
        <v>1.0142256999999999</v>
      </c>
      <c r="BA74" s="3">
        <v>1.0190458</v>
      </c>
      <c r="BB74" s="3">
        <v>1.0237874</v>
      </c>
      <c r="BC74" s="3">
        <v>1.0284555</v>
      </c>
      <c r="BD74" s="3">
        <v>1.0330550999999999</v>
      </c>
      <c r="BE74" s="3">
        <v>1.0375913000000001</v>
      </c>
      <c r="BF74" s="3">
        <v>1.0420689999999999</v>
      </c>
      <c r="BG74" s="3">
        <v>1.0464932</v>
      </c>
      <c r="BH74" s="3">
        <v>1.0508689</v>
      </c>
      <c r="BI74" s="3">
        <v>1.0552010999999999</v>
      </c>
      <c r="BJ74" s="3">
        <v>1.0594949</v>
      </c>
      <c r="BK74" s="3">
        <v>1.0637551999999999</v>
      </c>
      <c r="BL74" s="3">
        <v>1.067987</v>
      </c>
      <c r="BM74" s="3" t="e">
        <v>#N/A</v>
      </c>
      <c r="BN74" s="3" t="e">
        <v>#N/A</v>
      </c>
    </row>
    <row r="75" spans="1:66" x14ac:dyDescent="0.35">
      <c r="A75" s="5">
        <f t="shared" si="0"/>
        <v>43559</v>
      </c>
      <c r="B75" t="s">
        <v>152</v>
      </c>
      <c r="C75" s="2">
        <v>0.75</v>
      </c>
      <c r="D75" s="2">
        <v>0.70679999999999998</v>
      </c>
      <c r="E75" s="3">
        <v>0.70071839999999996</v>
      </c>
      <c r="F75" s="3">
        <v>0.69583300000000003</v>
      </c>
      <c r="G75" s="3">
        <v>0.69336350000000002</v>
      </c>
      <c r="H75" s="3">
        <v>0.693469</v>
      </c>
      <c r="I75" s="3">
        <v>0.6953511</v>
      </c>
      <c r="J75" s="3">
        <v>0.69830570000000003</v>
      </c>
      <c r="K75" s="3">
        <v>0.7019225</v>
      </c>
      <c r="L75" s="3">
        <v>0.70590260000000005</v>
      </c>
      <c r="M75" s="3">
        <v>0.71021939999999995</v>
      </c>
      <c r="N75" s="3">
        <v>0.71513439999999995</v>
      </c>
      <c r="O75" s="3">
        <v>0.72089369999999997</v>
      </c>
      <c r="P75" s="3">
        <v>0.7276707</v>
      </c>
      <c r="Q75" s="3">
        <v>0.73547050000000003</v>
      </c>
      <c r="R75" s="3">
        <v>0.74414990000000003</v>
      </c>
      <c r="S75" s="3">
        <v>0.75352839999999999</v>
      </c>
      <c r="T75" s="3">
        <v>0.76342540000000003</v>
      </c>
      <c r="U75" s="3">
        <v>0.77366040000000003</v>
      </c>
      <c r="V75" s="3">
        <v>0.78405270000000005</v>
      </c>
      <c r="W75" s="3">
        <v>0.79444130000000002</v>
      </c>
      <c r="X75" s="3">
        <v>0.80476479999999995</v>
      </c>
      <c r="Y75" s="3">
        <v>0.81499390000000005</v>
      </c>
      <c r="Z75" s="3">
        <v>0.82509909999999997</v>
      </c>
      <c r="AA75" s="3">
        <v>0.83505110000000005</v>
      </c>
      <c r="AB75" s="3">
        <v>0.84482049999999997</v>
      </c>
      <c r="AC75" s="3">
        <v>0.85438130000000001</v>
      </c>
      <c r="AD75" s="3">
        <v>0.86372660000000001</v>
      </c>
      <c r="AE75" s="3">
        <v>0.87285570000000001</v>
      </c>
      <c r="AF75" s="3">
        <v>0.88176790000000005</v>
      </c>
      <c r="AG75" s="3">
        <v>0.89046270000000005</v>
      </c>
      <c r="AH75" s="3">
        <v>0.8989393</v>
      </c>
      <c r="AI75" s="3">
        <v>0.90719700000000003</v>
      </c>
      <c r="AJ75" s="3">
        <v>0.91523529999999997</v>
      </c>
      <c r="AK75" s="3">
        <v>0.92305349999999997</v>
      </c>
      <c r="AL75" s="3">
        <v>0.93065089999999995</v>
      </c>
      <c r="AM75" s="3">
        <v>0.93802680000000005</v>
      </c>
      <c r="AN75" s="3">
        <v>0.94518069999999998</v>
      </c>
      <c r="AO75" s="3">
        <v>0.95211330000000005</v>
      </c>
      <c r="AP75" s="3">
        <v>0.95883260000000003</v>
      </c>
      <c r="AQ75" s="3">
        <v>0.96534830000000005</v>
      </c>
      <c r="AR75" s="3">
        <v>0.97167000000000003</v>
      </c>
      <c r="AS75" s="3">
        <v>0.9778076</v>
      </c>
      <c r="AT75" s="3">
        <v>0.9837707</v>
      </c>
      <c r="AU75" s="3">
        <v>0.98956909999999998</v>
      </c>
      <c r="AV75" s="3">
        <v>0.9952124</v>
      </c>
      <c r="AW75" s="3">
        <v>1.0007105000000001</v>
      </c>
      <c r="AX75" s="3">
        <v>1.0060731000000001</v>
      </c>
      <c r="AY75" s="3">
        <v>1.0113099000000001</v>
      </c>
      <c r="AZ75" s="3">
        <v>1.0164305</v>
      </c>
      <c r="BA75" s="3">
        <v>1.0214445000000001</v>
      </c>
      <c r="BB75" s="3">
        <v>1.0263594</v>
      </c>
      <c r="BC75" s="3">
        <v>1.0311824999999999</v>
      </c>
      <c r="BD75" s="3">
        <v>1.0359210999999999</v>
      </c>
      <c r="BE75" s="3">
        <v>1.0405823999999999</v>
      </c>
      <c r="BF75" s="3">
        <v>1.0451736</v>
      </c>
      <c r="BG75" s="3">
        <v>1.0497019999999999</v>
      </c>
      <c r="BH75" s="3">
        <v>1.0541748</v>
      </c>
      <c r="BI75" s="3">
        <v>1.0585993</v>
      </c>
      <c r="BJ75" s="3">
        <v>1.0629827000000001</v>
      </c>
      <c r="BK75" s="3">
        <v>1.0673322000000001</v>
      </c>
      <c r="BL75" s="3">
        <v>1.0716551999999999</v>
      </c>
      <c r="BM75" s="3" t="e">
        <v>#N/A</v>
      </c>
      <c r="BN75" s="3" t="e">
        <v>#N/A</v>
      </c>
    </row>
    <row r="76" spans="1:66" x14ac:dyDescent="0.35">
      <c r="A76" s="5">
        <f t="shared" si="0"/>
        <v>43560</v>
      </c>
      <c r="B76" t="s">
        <v>153</v>
      </c>
      <c r="C76" s="2">
        <v>0.75</v>
      </c>
      <c r="D76" s="2">
        <v>0.70760000000000001</v>
      </c>
      <c r="E76" s="3">
        <v>0.70042859999999996</v>
      </c>
      <c r="F76" s="3">
        <v>0.69193139999999997</v>
      </c>
      <c r="G76" s="3">
        <v>0.68820680000000001</v>
      </c>
      <c r="H76" s="3">
        <v>0.69002680000000005</v>
      </c>
      <c r="I76" s="3">
        <v>0.69447199999999998</v>
      </c>
      <c r="J76" s="3">
        <v>0.69970960000000004</v>
      </c>
      <c r="K76" s="3">
        <v>0.70518729999999996</v>
      </c>
      <c r="L76" s="3">
        <v>0.71074150000000003</v>
      </c>
      <c r="M76" s="3">
        <v>0.71640440000000005</v>
      </c>
      <c r="N76" s="3">
        <v>0.72239249999999999</v>
      </c>
      <c r="O76" s="3">
        <v>0.72898859999999999</v>
      </c>
      <c r="P76" s="3">
        <v>0.7365024</v>
      </c>
      <c r="Q76" s="3">
        <v>0.74537279999999995</v>
      </c>
      <c r="R76" s="3">
        <v>0.75551749999999995</v>
      </c>
      <c r="S76" s="3">
        <v>0.766675</v>
      </c>
      <c r="T76" s="3">
        <v>0.77858360000000004</v>
      </c>
      <c r="U76" s="3">
        <v>0.79098190000000002</v>
      </c>
      <c r="V76" s="3">
        <v>0.80360810000000005</v>
      </c>
      <c r="W76" s="3">
        <v>0.81623020000000002</v>
      </c>
      <c r="X76" s="3">
        <v>0.82875359999999998</v>
      </c>
      <c r="Y76" s="3">
        <v>0.84112339999999997</v>
      </c>
      <c r="Z76" s="3">
        <v>0.85328459999999995</v>
      </c>
      <c r="AA76" s="3">
        <v>0.86518240000000002</v>
      </c>
      <c r="AB76" s="3">
        <v>0.87676189999999998</v>
      </c>
      <c r="AC76" s="3">
        <v>0.88797709999999996</v>
      </c>
      <c r="AD76" s="3">
        <v>0.89882580000000001</v>
      </c>
      <c r="AE76" s="3">
        <v>0.90931919999999999</v>
      </c>
      <c r="AF76" s="3">
        <v>0.91946839999999996</v>
      </c>
      <c r="AG76" s="3">
        <v>0.92928460000000002</v>
      </c>
      <c r="AH76" s="3">
        <v>0.93877880000000002</v>
      </c>
      <c r="AI76" s="3">
        <v>0.94796219999999998</v>
      </c>
      <c r="AJ76" s="3">
        <v>0.95684590000000003</v>
      </c>
      <c r="AK76" s="3">
        <v>0.96544110000000005</v>
      </c>
      <c r="AL76" s="3">
        <v>0.97375880000000004</v>
      </c>
      <c r="AM76" s="3">
        <v>0.98181030000000002</v>
      </c>
      <c r="AN76" s="3">
        <v>0.9896066</v>
      </c>
      <c r="AO76" s="3">
        <v>0.99715799999999999</v>
      </c>
      <c r="AP76" s="3">
        <v>1.0044711</v>
      </c>
      <c r="AQ76" s="3">
        <v>1.0115513</v>
      </c>
      <c r="AR76" s="3">
        <v>1.0184042</v>
      </c>
      <c r="AS76" s="3">
        <v>1.0250352</v>
      </c>
      <c r="AT76" s="3">
        <v>1.0314498000000001</v>
      </c>
      <c r="AU76" s="3">
        <v>1.0376536999999999</v>
      </c>
      <c r="AV76" s="3">
        <v>1.0436521000000001</v>
      </c>
      <c r="AW76" s="3">
        <v>1.0494507</v>
      </c>
      <c r="AX76" s="3">
        <v>1.0550550000000001</v>
      </c>
      <c r="AY76" s="3">
        <v>1.0604704</v>
      </c>
      <c r="AZ76" s="3">
        <v>1.0657023999999999</v>
      </c>
      <c r="BA76" s="3">
        <v>1.0707574</v>
      </c>
      <c r="BB76" s="3">
        <v>1.0756456000000001</v>
      </c>
      <c r="BC76" s="3">
        <v>1.0803780999999999</v>
      </c>
      <c r="BD76" s="3">
        <v>1.0849662</v>
      </c>
      <c r="BE76" s="3">
        <v>1.0894208999999999</v>
      </c>
      <c r="BF76" s="3">
        <v>1.0937535</v>
      </c>
      <c r="BG76" s="3">
        <v>1.0979752</v>
      </c>
      <c r="BH76" s="3">
        <v>1.1020972</v>
      </c>
      <c r="BI76" s="3">
        <v>1.1061307</v>
      </c>
      <c r="BJ76" s="3">
        <v>1.1100867000000001</v>
      </c>
      <c r="BK76" s="3">
        <v>1.1139766</v>
      </c>
      <c r="BL76" s="3">
        <v>1.1178116</v>
      </c>
      <c r="BM76" s="3" t="e">
        <v>#N/A</v>
      </c>
      <c r="BN76" s="3" t="e">
        <v>#N/A</v>
      </c>
    </row>
    <row r="77" spans="1:66" x14ac:dyDescent="0.35">
      <c r="A77" s="5">
        <f t="shared" si="0"/>
        <v>43563</v>
      </c>
      <c r="B77" t="s">
        <v>154</v>
      </c>
      <c r="C77" s="2">
        <v>0.75</v>
      </c>
      <c r="D77" s="2">
        <v>0.70789999999999997</v>
      </c>
      <c r="E77" s="3">
        <v>0.69721010000000005</v>
      </c>
      <c r="F77" s="3">
        <v>0.68879539999999995</v>
      </c>
      <c r="G77" s="3">
        <v>0.68614589999999998</v>
      </c>
      <c r="H77" s="3">
        <v>0.68824459999999998</v>
      </c>
      <c r="I77" s="3">
        <v>0.69231069999999995</v>
      </c>
      <c r="J77" s="3">
        <v>0.69720629999999995</v>
      </c>
      <c r="K77" s="3">
        <v>0.70287580000000005</v>
      </c>
      <c r="L77" s="3">
        <v>0.70922079999999998</v>
      </c>
      <c r="M77" s="3">
        <v>0.71608099999999997</v>
      </c>
      <c r="N77" s="3">
        <v>0.72340599999999999</v>
      </c>
      <c r="O77" s="3">
        <v>0.73127319999999996</v>
      </c>
      <c r="P77" s="3">
        <v>0.73984139999999998</v>
      </c>
      <c r="Q77" s="3">
        <v>0.74937659999999995</v>
      </c>
      <c r="R77" s="3">
        <v>0.75982729999999998</v>
      </c>
      <c r="S77" s="3">
        <v>0.77103940000000004</v>
      </c>
      <c r="T77" s="3">
        <v>0.78285890000000002</v>
      </c>
      <c r="U77" s="3">
        <v>0.79513160000000005</v>
      </c>
      <c r="V77" s="3">
        <v>0.80770359999999997</v>
      </c>
      <c r="W77" s="3">
        <v>0.82042899999999996</v>
      </c>
      <c r="X77" s="3">
        <v>0.83319960000000004</v>
      </c>
      <c r="Y77" s="3">
        <v>0.84591850000000002</v>
      </c>
      <c r="Z77" s="3">
        <v>0.85848849999999999</v>
      </c>
      <c r="AA77" s="3">
        <v>0.8708127</v>
      </c>
      <c r="AB77" s="3">
        <v>0.88279379999999996</v>
      </c>
      <c r="AC77" s="3">
        <v>0.89435100000000001</v>
      </c>
      <c r="AD77" s="3">
        <v>0.90547409999999995</v>
      </c>
      <c r="AE77" s="3">
        <v>0.91617269999999995</v>
      </c>
      <c r="AF77" s="3">
        <v>0.92645619999999995</v>
      </c>
      <c r="AG77" s="3">
        <v>0.93633429999999995</v>
      </c>
      <c r="AH77" s="3">
        <v>0.9458164</v>
      </c>
      <c r="AI77" s="3">
        <v>0.95491199999999998</v>
      </c>
      <c r="AJ77" s="3">
        <v>0.9636306</v>
      </c>
      <c r="AK77" s="3">
        <v>0.97198189999999995</v>
      </c>
      <c r="AL77" s="3">
        <v>0.97997520000000005</v>
      </c>
      <c r="AM77" s="3">
        <v>0.98762000000000005</v>
      </c>
      <c r="AN77" s="3">
        <v>0.99492599999999998</v>
      </c>
      <c r="AO77" s="3">
        <v>1.0019039000000001</v>
      </c>
      <c r="AP77" s="3">
        <v>1.0085701</v>
      </c>
      <c r="AQ77" s="3">
        <v>1.0149427</v>
      </c>
      <c r="AR77" s="3">
        <v>1.0210395999999999</v>
      </c>
      <c r="AS77" s="3">
        <v>1.0268789</v>
      </c>
      <c r="AT77" s="3">
        <v>1.0324785999999999</v>
      </c>
      <c r="AU77" s="3">
        <v>1.0378566</v>
      </c>
      <c r="AV77" s="3">
        <v>1.043031</v>
      </c>
      <c r="AW77" s="3">
        <v>1.0480197</v>
      </c>
      <c r="AX77" s="3">
        <v>1.0528409000000001</v>
      </c>
      <c r="AY77" s="3">
        <v>1.0575124</v>
      </c>
      <c r="AZ77" s="3">
        <v>1.0620522999999999</v>
      </c>
      <c r="BA77" s="3">
        <v>1.0664775</v>
      </c>
      <c r="BB77" s="3">
        <v>1.0707989</v>
      </c>
      <c r="BC77" s="3">
        <v>1.0750249000000001</v>
      </c>
      <c r="BD77" s="3">
        <v>1.0791639</v>
      </c>
      <c r="BE77" s="3">
        <v>1.0832246000000001</v>
      </c>
      <c r="BF77" s="3">
        <v>1.0872153</v>
      </c>
      <c r="BG77" s="3">
        <v>1.0911446</v>
      </c>
      <c r="BH77" s="3">
        <v>1.0950209</v>
      </c>
      <c r="BI77" s="3">
        <v>1.0988528</v>
      </c>
      <c r="BJ77" s="3">
        <v>1.1026487</v>
      </c>
      <c r="BK77" s="3">
        <v>1.106417</v>
      </c>
      <c r="BL77" s="3">
        <v>1.1101662999999999</v>
      </c>
      <c r="BM77" s="3" t="e">
        <v>#N/A</v>
      </c>
      <c r="BN77" s="3" t="e">
        <v>#N/A</v>
      </c>
    </row>
    <row r="78" spans="1:66" x14ac:dyDescent="0.35">
      <c r="A78" s="5">
        <f t="shared" ref="A78:A141" si="1">+A73+7</f>
        <v>43564</v>
      </c>
      <c r="B78" t="s">
        <v>155</v>
      </c>
      <c r="C78" s="2">
        <v>0.75</v>
      </c>
      <c r="D78" s="2">
        <v>0.70720000000000005</v>
      </c>
      <c r="E78" s="3">
        <v>0.6973336</v>
      </c>
      <c r="F78" s="3">
        <v>0.69127179999999999</v>
      </c>
      <c r="G78" s="3">
        <v>0.68966950000000005</v>
      </c>
      <c r="H78" s="3">
        <v>0.69172549999999999</v>
      </c>
      <c r="I78" s="3">
        <v>0.69493780000000005</v>
      </c>
      <c r="J78" s="3">
        <v>0.69850909999999999</v>
      </c>
      <c r="K78" s="3">
        <v>0.70266169999999994</v>
      </c>
      <c r="L78" s="3">
        <v>0.70746540000000002</v>
      </c>
      <c r="M78" s="3">
        <v>0.71285370000000003</v>
      </c>
      <c r="N78" s="3">
        <v>0.71884389999999998</v>
      </c>
      <c r="O78" s="3">
        <v>0.7255585</v>
      </c>
      <c r="P78" s="3">
        <v>0.73321959999999997</v>
      </c>
      <c r="Q78" s="3">
        <v>0.74217379999999999</v>
      </c>
      <c r="R78" s="3">
        <v>0.75229369999999995</v>
      </c>
      <c r="S78" s="3">
        <v>0.76330439999999999</v>
      </c>
      <c r="T78" s="3">
        <v>0.77493100000000004</v>
      </c>
      <c r="U78" s="3">
        <v>0.7868984</v>
      </c>
      <c r="V78" s="3">
        <v>0.79893170000000002</v>
      </c>
      <c r="W78" s="3">
        <v>0.81079109999999999</v>
      </c>
      <c r="X78" s="3">
        <v>0.82239910000000005</v>
      </c>
      <c r="Y78" s="3">
        <v>0.83372559999999996</v>
      </c>
      <c r="Z78" s="3">
        <v>0.84474039999999995</v>
      </c>
      <c r="AA78" s="3">
        <v>0.85541319999999998</v>
      </c>
      <c r="AB78" s="3">
        <v>0.86571399999999998</v>
      </c>
      <c r="AC78" s="3">
        <v>0.87561990000000001</v>
      </c>
      <c r="AD78" s="3">
        <v>0.88514060000000006</v>
      </c>
      <c r="AE78" s="3">
        <v>0.89429499999999995</v>
      </c>
      <c r="AF78" s="3">
        <v>0.90310159999999995</v>
      </c>
      <c r="AG78" s="3">
        <v>0.91157940000000004</v>
      </c>
      <c r="AH78" s="3">
        <v>0.91974710000000004</v>
      </c>
      <c r="AI78" s="3">
        <v>0.92762330000000004</v>
      </c>
      <c r="AJ78" s="3">
        <v>0.93522689999999997</v>
      </c>
      <c r="AK78" s="3">
        <v>0.94257670000000005</v>
      </c>
      <c r="AL78" s="3">
        <v>0.94969119999999996</v>
      </c>
      <c r="AM78" s="3">
        <v>0.95658940000000003</v>
      </c>
      <c r="AN78" s="3">
        <v>0.96328990000000003</v>
      </c>
      <c r="AO78" s="3">
        <v>0.96981010000000001</v>
      </c>
      <c r="AP78" s="3">
        <v>0.97615949999999996</v>
      </c>
      <c r="AQ78" s="3">
        <v>0.98234529999999998</v>
      </c>
      <c r="AR78" s="3">
        <v>0.98837450000000004</v>
      </c>
      <c r="AS78" s="3">
        <v>0.99425399999999997</v>
      </c>
      <c r="AT78" s="3">
        <v>0.99999090000000002</v>
      </c>
      <c r="AU78" s="3">
        <v>1.0055921999999999</v>
      </c>
      <c r="AV78" s="3">
        <v>1.0110650000000001</v>
      </c>
      <c r="AW78" s="3">
        <v>1.0164162999999999</v>
      </c>
      <c r="AX78" s="3">
        <v>1.0216532</v>
      </c>
      <c r="AY78" s="3">
        <v>1.0267826</v>
      </c>
      <c r="AZ78" s="3">
        <v>1.0318115000000001</v>
      </c>
      <c r="BA78" s="3">
        <v>1.0367469</v>
      </c>
      <c r="BB78" s="3">
        <v>1.0415943999999999</v>
      </c>
      <c r="BC78" s="3">
        <v>1.0463594000000001</v>
      </c>
      <c r="BD78" s="3">
        <v>1.0510470999999999</v>
      </c>
      <c r="BE78" s="3">
        <v>1.055663</v>
      </c>
      <c r="BF78" s="3">
        <v>1.0602123999999999</v>
      </c>
      <c r="BG78" s="3">
        <v>1.0647006000000001</v>
      </c>
      <c r="BH78" s="3">
        <v>1.0691329000000001</v>
      </c>
      <c r="BI78" s="3">
        <v>1.0735147</v>
      </c>
      <c r="BJ78" s="3">
        <v>1.0778513999999999</v>
      </c>
      <c r="BK78" s="3">
        <v>1.0821483000000001</v>
      </c>
      <c r="BL78" s="3">
        <v>1.0864106</v>
      </c>
      <c r="BM78" s="3" t="e">
        <v>#N/A</v>
      </c>
      <c r="BN78" s="3" t="e">
        <v>#N/A</v>
      </c>
    </row>
    <row r="79" spans="1:66" x14ac:dyDescent="0.35">
      <c r="A79" s="5">
        <f t="shared" si="1"/>
        <v>43565</v>
      </c>
      <c r="B79" t="s">
        <v>156</v>
      </c>
      <c r="C79" s="2">
        <v>0.75</v>
      </c>
      <c r="D79" s="2">
        <v>0.70809999999999995</v>
      </c>
      <c r="E79" s="3">
        <v>0.69849620000000001</v>
      </c>
      <c r="F79" s="3">
        <v>0.69155789999999995</v>
      </c>
      <c r="G79" s="3">
        <v>0.68970489999999995</v>
      </c>
      <c r="H79" s="3">
        <v>0.6919862</v>
      </c>
      <c r="I79" s="3">
        <v>0.69564289999999995</v>
      </c>
      <c r="J79" s="3">
        <v>0.69979340000000001</v>
      </c>
      <c r="K79" s="3">
        <v>0.70456010000000002</v>
      </c>
      <c r="L79" s="3">
        <v>0.70983859999999999</v>
      </c>
      <c r="M79" s="3">
        <v>0.71544149999999995</v>
      </c>
      <c r="N79" s="3">
        <v>0.72135959999999999</v>
      </c>
      <c r="O79" s="3">
        <v>0.72773960000000004</v>
      </c>
      <c r="P79" s="3">
        <v>0.734815</v>
      </c>
      <c r="Q79" s="3">
        <v>0.74291640000000003</v>
      </c>
      <c r="R79" s="3">
        <v>0.75198410000000004</v>
      </c>
      <c r="S79" s="3">
        <v>0.76178380000000001</v>
      </c>
      <c r="T79" s="3">
        <v>0.77208060000000001</v>
      </c>
      <c r="U79" s="3">
        <v>0.78263959999999999</v>
      </c>
      <c r="V79" s="3">
        <v>0.79322610000000005</v>
      </c>
      <c r="W79" s="3">
        <v>0.80363030000000002</v>
      </c>
      <c r="X79" s="3">
        <v>0.81378499999999998</v>
      </c>
      <c r="Y79" s="3">
        <v>0.82367299999999999</v>
      </c>
      <c r="Z79" s="3">
        <v>0.83327720000000005</v>
      </c>
      <c r="AA79" s="3">
        <v>0.84258049999999995</v>
      </c>
      <c r="AB79" s="3">
        <v>0.85156569999999998</v>
      </c>
      <c r="AC79" s="3">
        <v>0.86021990000000004</v>
      </c>
      <c r="AD79" s="3">
        <v>0.8685524</v>
      </c>
      <c r="AE79" s="3">
        <v>0.87658000000000003</v>
      </c>
      <c r="AF79" s="3">
        <v>0.88431950000000004</v>
      </c>
      <c r="AG79" s="3">
        <v>0.89178780000000002</v>
      </c>
      <c r="AH79" s="3">
        <v>0.89900150000000001</v>
      </c>
      <c r="AI79" s="3">
        <v>0.90597760000000005</v>
      </c>
      <c r="AJ79" s="3">
        <v>0.91273289999999996</v>
      </c>
      <c r="AK79" s="3">
        <v>0.91928399999999999</v>
      </c>
      <c r="AL79" s="3">
        <v>0.92564800000000003</v>
      </c>
      <c r="AM79" s="3">
        <v>0.93184149999999999</v>
      </c>
      <c r="AN79" s="3">
        <v>0.93788139999999998</v>
      </c>
      <c r="AO79" s="3">
        <v>0.94378300000000004</v>
      </c>
      <c r="AP79" s="3">
        <v>0.94955469999999997</v>
      </c>
      <c r="AQ79" s="3">
        <v>0.95520289999999997</v>
      </c>
      <c r="AR79" s="3">
        <v>0.96073370000000002</v>
      </c>
      <c r="AS79" s="3">
        <v>0.9661535</v>
      </c>
      <c r="AT79" s="3">
        <v>0.97146840000000001</v>
      </c>
      <c r="AU79" s="3">
        <v>0.97668480000000002</v>
      </c>
      <c r="AV79" s="3">
        <v>0.98180900000000004</v>
      </c>
      <c r="AW79" s="3">
        <v>0.98684709999999998</v>
      </c>
      <c r="AX79" s="3">
        <v>0.99180550000000001</v>
      </c>
      <c r="AY79" s="3">
        <v>0.99669039999999998</v>
      </c>
      <c r="AZ79" s="3">
        <v>1.0015080999999999</v>
      </c>
      <c r="BA79" s="3">
        <v>1.0062644999999999</v>
      </c>
      <c r="BB79" s="3">
        <v>1.0109636</v>
      </c>
      <c r="BC79" s="3">
        <v>1.0156088999999999</v>
      </c>
      <c r="BD79" s="3">
        <v>1.0202038</v>
      </c>
      <c r="BE79" s="3">
        <v>1.0247520000000001</v>
      </c>
      <c r="BF79" s="3">
        <v>1.0292566999999999</v>
      </c>
      <c r="BG79" s="3">
        <v>1.0337216</v>
      </c>
      <c r="BH79" s="3">
        <v>1.0381501</v>
      </c>
      <c r="BI79" s="3">
        <v>1.0425457</v>
      </c>
      <c r="BJ79" s="3">
        <v>1.0469117999999999</v>
      </c>
      <c r="BK79" s="3">
        <v>1.0512520000000001</v>
      </c>
      <c r="BL79" s="3">
        <v>1.0555696999999999</v>
      </c>
      <c r="BM79" s="3" t="e">
        <v>#N/A</v>
      </c>
      <c r="BN79" s="3" t="e">
        <v>#N/A</v>
      </c>
    </row>
    <row r="80" spans="1:66" x14ac:dyDescent="0.35">
      <c r="A80" s="5">
        <f t="shared" si="1"/>
        <v>43566</v>
      </c>
      <c r="B80" t="s">
        <v>157</v>
      </c>
      <c r="C80" s="2">
        <v>0.75</v>
      </c>
      <c r="D80" s="2">
        <v>0.70750000000000002</v>
      </c>
      <c r="E80" s="3">
        <v>0.69590589999999997</v>
      </c>
      <c r="F80" s="3">
        <v>0.69596290000000005</v>
      </c>
      <c r="G80" s="3">
        <v>0.7021406</v>
      </c>
      <c r="H80" s="3">
        <v>0.71017169999999996</v>
      </c>
      <c r="I80" s="3">
        <v>0.71778889999999995</v>
      </c>
      <c r="J80" s="3">
        <v>0.7251223</v>
      </c>
      <c r="K80" s="3">
        <v>0.73277749999999997</v>
      </c>
      <c r="L80" s="3">
        <v>0.74082840000000005</v>
      </c>
      <c r="M80" s="3">
        <v>0.74909859999999995</v>
      </c>
      <c r="N80" s="3">
        <v>0.75751029999999997</v>
      </c>
      <c r="O80" s="3">
        <v>0.76608960000000004</v>
      </c>
      <c r="P80" s="3">
        <v>0.77495340000000001</v>
      </c>
      <c r="Q80" s="3">
        <v>0.78423670000000001</v>
      </c>
      <c r="R80" s="3">
        <v>0.79392359999999995</v>
      </c>
      <c r="S80" s="3">
        <v>0.80393959999999998</v>
      </c>
      <c r="T80" s="3">
        <v>0.81421030000000005</v>
      </c>
      <c r="U80" s="3">
        <v>0.82466130000000004</v>
      </c>
      <c r="V80" s="3">
        <v>0.83521809999999996</v>
      </c>
      <c r="W80" s="3">
        <v>0.84580829999999996</v>
      </c>
      <c r="X80" s="3">
        <v>0.85636959999999995</v>
      </c>
      <c r="Y80" s="3">
        <v>0.86684280000000002</v>
      </c>
      <c r="Z80" s="3">
        <v>0.87716879999999997</v>
      </c>
      <c r="AA80" s="3">
        <v>0.88728859999999998</v>
      </c>
      <c r="AB80" s="3">
        <v>0.89714309999999997</v>
      </c>
      <c r="AC80" s="3">
        <v>0.90668300000000002</v>
      </c>
      <c r="AD80" s="3">
        <v>0.91590760000000004</v>
      </c>
      <c r="AE80" s="3">
        <v>0.92483099999999996</v>
      </c>
      <c r="AF80" s="3">
        <v>0.93346700000000005</v>
      </c>
      <c r="AG80" s="3">
        <v>0.94182969999999999</v>
      </c>
      <c r="AH80" s="3">
        <v>0.94993300000000003</v>
      </c>
      <c r="AI80" s="3">
        <v>0.95779080000000005</v>
      </c>
      <c r="AJ80" s="3">
        <v>0.96541730000000003</v>
      </c>
      <c r="AK80" s="3">
        <v>0.97282630000000003</v>
      </c>
      <c r="AL80" s="3">
        <v>0.98003180000000001</v>
      </c>
      <c r="AM80" s="3">
        <v>0.98704780000000003</v>
      </c>
      <c r="AN80" s="3">
        <v>0.99388829999999995</v>
      </c>
      <c r="AO80" s="3">
        <v>1.0005660000000001</v>
      </c>
      <c r="AP80" s="3">
        <v>1.0070881</v>
      </c>
      <c r="AQ80" s="3">
        <v>1.0134604</v>
      </c>
      <c r="AR80" s="3">
        <v>1.0196886000000001</v>
      </c>
      <c r="AS80" s="3">
        <v>1.0257783</v>
      </c>
      <c r="AT80" s="3">
        <v>1.0317354000000001</v>
      </c>
      <c r="AU80" s="3">
        <v>1.0375654999999999</v>
      </c>
      <c r="AV80" s="3">
        <v>1.0432743</v>
      </c>
      <c r="AW80" s="3">
        <v>1.0488675999999999</v>
      </c>
      <c r="AX80" s="3">
        <v>1.0543511999999999</v>
      </c>
      <c r="AY80" s="3">
        <v>1.0597306</v>
      </c>
      <c r="AZ80" s="3">
        <v>1.0650116000000001</v>
      </c>
      <c r="BA80" s="3">
        <v>1.0701997999999999</v>
      </c>
      <c r="BB80" s="3">
        <v>1.0752994</v>
      </c>
      <c r="BC80" s="3">
        <v>1.0803145999999999</v>
      </c>
      <c r="BD80" s="3">
        <v>1.0852493000000001</v>
      </c>
      <c r="BE80" s="3">
        <v>1.0901078</v>
      </c>
      <c r="BF80" s="3">
        <v>1.094894</v>
      </c>
      <c r="BG80" s="3">
        <v>1.0996121000000001</v>
      </c>
      <c r="BH80" s="3">
        <v>1.1042661</v>
      </c>
      <c r="BI80" s="3">
        <v>1.1088601</v>
      </c>
      <c r="BJ80" s="3">
        <v>1.1133980999999999</v>
      </c>
      <c r="BK80" s="3">
        <v>1.1178842</v>
      </c>
      <c r="BL80" s="3">
        <v>1.1223224999999999</v>
      </c>
      <c r="BM80" s="3" t="e">
        <v>#N/A</v>
      </c>
      <c r="BN80" s="3" t="e">
        <v>#N/A</v>
      </c>
    </row>
    <row r="81" spans="1:66" x14ac:dyDescent="0.35">
      <c r="A81" s="5">
        <f t="shared" si="1"/>
        <v>43567</v>
      </c>
      <c r="B81" t="s">
        <v>158</v>
      </c>
      <c r="C81" s="2">
        <v>0.75</v>
      </c>
      <c r="D81" s="2">
        <v>0.70740000000000003</v>
      </c>
      <c r="E81" s="3">
        <v>0.70737810000000001</v>
      </c>
      <c r="F81" s="3">
        <v>0.70945829999999999</v>
      </c>
      <c r="G81" s="3">
        <v>0.7140474</v>
      </c>
      <c r="H81" s="3">
        <v>0.72150879999999995</v>
      </c>
      <c r="I81" s="3">
        <v>0.73102290000000003</v>
      </c>
      <c r="J81" s="3">
        <v>0.74189260000000001</v>
      </c>
      <c r="K81" s="3">
        <v>0.75342390000000004</v>
      </c>
      <c r="L81" s="3">
        <v>0.76485769999999997</v>
      </c>
      <c r="M81" s="3">
        <v>0.77578369999999996</v>
      </c>
      <c r="N81" s="3">
        <v>0.78616430000000004</v>
      </c>
      <c r="O81" s="3">
        <v>0.79615670000000005</v>
      </c>
      <c r="P81" s="3">
        <v>0.80600289999999997</v>
      </c>
      <c r="Q81" s="3">
        <v>0.81601919999999994</v>
      </c>
      <c r="R81" s="3">
        <v>0.82633279999999998</v>
      </c>
      <c r="S81" s="3">
        <v>0.83699829999999997</v>
      </c>
      <c r="T81" s="3">
        <v>0.8480702</v>
      </c>
      <c r="U81" s="3">
        <v>0.85960300000000001</v>
      </c>
      <c r="V81" s="3">
        <v>0.87165119999999996</v>
      </c>
      <c r="W81" s="3">
        <v>0.88423600000000002</v>
      </c>
      <c r="X81" s="3">
        <v>0.89722369999999996</v>
      </c>
      <c r="Y81" s="3">
        <v>0.91043600000000002</v>
      </c>
      <c r="Z81" s="3">
        <v>0.92369429999999997</v>
      </c>
      <c r="AA81" s="3">
        <v>0.93682010000000004</v>
      </c>
      <c r="AB81" s="3">
        <v>0.94963520000000001</v>
      </c>
      <c r="AC81" s="3">
        <v>0.96199020000000002</v>
      </c>
      <c r="AD81" s="3">
        <v>0.9738656</v>
      </c>
      <c r="AE81" s="3">
        <v>0.98527739999999997</v>
      </c>
      <c r="AF81" s="3">
        <v>0.99624170000000001</v>
      </c>
      <c r="AG81" s="3">
        <v>1.0067746</v>
      </c>
      <c r="AH81" s="3">
        <v>1.0168919999999999</v>
      </c>
      <c r="AI81" s="3">
        <v>1.0266101999999999</v>
      </c>
      <c r="AJ81" s="3">
        <v>1.0359449999999999</v>
      </c>
      <c r="AK81" s="3">
        <v>1.0449127</v>
      </c>
      <c r="AL81" s="3">
        <v>1.0535292000000001</v>
      </c>
      <c r="AM81" s="3">
        <v>1.0618107000000001</v>
      </c>
      <c r="AN81" s="3">
        <v>1.0697732</v>
      </c>
      <c r="AO81" s="3">
        <v>1.0774325</v>
      </c>
      <c r="AP81" s="3">
        <v>1.0848040999999999</v>
      </c>
      <c r="AQ81" s="3">
        <v>1.0919030000000001</v>
      </c>
      <c r="AR81" s="3">
        <v>1.0987444</v>
      </c>
      <c r="AS81" s="3">
        <v>1.1053434</v>
      </c>
      <c r="AT81" s="3">
        <v>1.1117151000000001</v>
      </c>
      <c r="AU81" s="3">
        <v>1.1178747</v>
      </c>
      <c r="AV81" s="3">
        <v>1.1238372000000001</v>
      </c>
      <c r="AW81" s="3">
        <v>1.1296179</v>
      </c>
      <c r="AX81" s="3">
        <v>1.1352317999999999</v>
      </c>
      <c r="AY81" s="3">
        <v>1.1406940000000001</v>
      </c>
      <c r="AZ81" s="3">
        <v>1.1460197999999999</v>
      </c>
      <c r="BA81" s="3">
        <v>1.1512226999999999</v>
      </c>
      <c r="BB81" s="3">
        <v>1.1563105</v>
      </c>
      <c r="BC81" s="3">
        <v>1.1612889</v>
      </c>
      <c r="BD81" s="3">
        <v>1.1661638000000001</v>
      </c>
      <c r="BE81" s="3">
        <v>1.1709411000000001</v>
      </c>
      <c r="BF81" s="3">
        <v>1.1756267</v>
      </c>
      <c r="BG81" s="3">
        <v>1.1802264</v>
      </c>
      <c r="BH81" s="3">
        <v>1.1847460000000001</v>
      </c>
      <c r="BI81" s="3">
        <v>1.1891915</v>
      </c>
      <c r="BJ81" s="3">
        <v>1.1935686999999999</v>
      </c>
      <c r="BK81" s="3">
        <v>1.1978835000000001</v>
      </c>
      <c r="BL81" s="3">
        <v>1.2021417000000001</v>
      </c>
      <c r="BM81" s="3" t="e">
        <v>#N/A</v>
      </c>
      <c r="BN81" s="3" t="e">
        <v>#N/A</v>
      </c>
    </row>
    <row r="82" spans="1:66" x14ac:dyDescent="0.35">
      <c r="A82" s="5">
        <f t="shared" si="1"/>
        <v>43570</v>
      </c>
      <c r="B82" t="s">
        <v>159</v>
      </c>
      <c r="C82" s="2">
        <v>0.75</v>
      </c>
      <c r="D82" s="2">
        <v>0.70820000000000005</v>
      </c>
      <c r="E82" s="3">
        <v>0.70351220000000003</v>
      </c>
      <c r="F82" s="3">
        <v>0.70281059999999995</v>
      </c>
      <c r="G82" s="3">
        <v>0.70760299999999998</v>
      </c>
      <c r="H82" s="3">
        <v>0.71761960000000002</v>
      </c>
      <c r="I82" s="3">
        <v>0.72959339999999995</v>
      </c>
      <c r="J82" s="3">
        <v>0.74203220000000003</v>
      </c>
      <c r="K82" s="3">
        <v>0.75459299999999996</v>
      </c>
      <c r="L82" s="3">
        <v>0.76702729999999997</v>
      </c>
      <c r="M82" s="3">
        <v>0.77923160000000002</v>
      </c>
      <c r="N82" s="3">
        <v>0.791323</v>
      </c>
      <c r="O82" s="3">
        <v>0.80351430000000001</v>
      </c>
      <c r="P82" s="3">
        <v>0.81602209999999997</v>
      </c>
      <c r="Q82" s="3">
        <v>0.82904270000000002</v>
      </c>
      <c r="R82" s="3">
        <v>0.84250460000000005</v>
      </c>
      <c r="S82" s="3">
        <v>0.85625839999999998</v>
      </c>
      <c r="T82" s="3">
        <v>0.87015480000000001</v>
      </c>
      <c r="U82" s="3">
        <v>0.88404419999999995</v>
      </c>
      <c r="V82" s="3">
        <v>0.89777739999999995</v>
      </c>
      <c r="W82" s="3">
        <v>0.91121890000000005</v>
      </c>
      <c r="X82" s="3">
        <v>0.92429839999999996</v>
      </c>
      <c r="Y82" s="3">
        <v>0.93696449999999998</v>
      </c>
      <c r="Z82" s="3">
        <v>0.9491655</v>
      </c>
      <c r="AA82" s="3">
        <v>0.96085010000000004</v>
      </c>
      <c r="AB82" s="3">
        <v>0.97196680000000002</v>
      </c>
      <c r="AC82" s="3">
        <v>0.98247799999999996</v>
      </c>
      <c r="AD82" s="3">
        <v>0.99240839999999997</v>
      </c>
      <c r="AE82" s="3">
        <v>1.0017993999999999</v>
      </c>
      <c r="AF82" s="3">
        <v>1.0106927999999999</v>
      </c>
      <c r="AG82" s="3">
        <v>1.0191300000000001</v>
      </c>
      <c r="AH82" s="3">
        <v>1.0271528000000001</v>
      </c>
      <c r="AI82" s="3">
        <v>1.0348025999999999</v>
      </c>
      <c r="AJ82" s="3">
        <v>1.0421210000000001</v>
      </c>
      <c r="AK82" s="3">
        <v>1.0491497999999999</v>
      </c>
      <c r="AL82" s="3">
        <v>1.0559304</v>
      </c>
      <c r="AM82" s="3">
        <v>1.0625043999999999</v>
      </c>
      <c r="AN82" s="3">
        <v>1.0689135000000001</v>
      </c>
      <c r="AO82" s="3">
        <v>1.0751956</v>
      </c>
      <c r="AP82" s="3">
        <v>1.0813653000000001</v>
      </c>
      <c r="AQ82" s="3">
        <v>1.0874273999999999</v>
      </c>
      <c r="AR82" s="3">
        <v>1.0933868</v>
      </c>
      <c r="AS82" s="3">
        <v>1.0992485000000001</v>
      </c>
      <c r="AT82" s="3">
        <v>1.1050172</v>
      </c>
      <c r="AU82" s="3">
        <v>1.1106978000000001</v>
      </c>
      <c r="AV82" s="3">
        <v>1.1162954</v>
      </c>
      <c r="AW82" s="3">
        <v>1.1218146</v>
      </c>
      <c r="AX82" s="3">
        <v>1.1272605</v>
      </c>
      <c r="AY82" s="3">
        <v>1.1326379</v>
      </c>
      <c r="AZ82" s="3">
        <v>1.1379516000000001</v>
      </c>
      <c r="BA82" s="3">
        <v>1.1432062000000001</v>
      </c>
      <c r="BB82" s="3">
        <v>1.1484034000000001</v>
      </c>
      <c r="BC82" s="3">
        <v>1.1535443999999999</v>
      </c>
      <c r="BD82" s="3">
        <v>1.1586301999999999</v>
      </c>
      <c r="BE82" s="3">
        <v>1.1636618000000001</v>
      </c>
      <c r="BF82" s="3">
        <v>1.1686403999999999</v>
      </c>
      <c r="BG82" s="3">
        <v>1.1735669</v>
      </c>
      <c r="BH82" s="3">
        <v>1.1784425000000001</v>
      </c>
      <c r="BI82" s="3">
        <v>1.1832681</v>
      </c>
      <c r="BJ82" s="3">
        <v>1.1880447999999999</v>
      </c>
      <c r="BK82" s="3">
        <v>1.1927738000000001</v>
      </c>
      <c r="BL82" s="3">
        <v>1.1974559</v>
      </c>
      <c r="BM82" s="3" t="e">
        <v>#N/A</v>
      </c>
      <c r="BN82" s="3" t="e">
        <v>#N/A</v>
      </c>
    </row>
    <row r="83" spans="1:66" x14ac:dyDescent="0.35">
      <c r="A83" s="5">
        <f t="shared" si="1"/>
        <v>43571</v>
      </c>
      <c r="B83" t="s">
        <v>160</v>
      </c>
      <c r="C83" s="2">
        <v>0.75</v>
      </c>
      <c r="D83" s="2">
        <v>0.70809999999999995</v>
      </c>
      <c r="E83" s="3">
        <v>0.70542380000000005</v>
      </c>
      <c r="F83" s="3">
        <v>0.70805379999999996</v>
      </c>
      <c r="G83" s="3">
        <v>0.71394480000000005</v>
      </c>
      <c r="H83" s="3">
        <v>0.72364260000000002</v>
      </c>
      <c r="I83" s="3">
        <v>0.73572789999999999</v>
      </c>
      <c r="J83" s="3">
        <v>0.74897389999999997</v>
      </c>
      <c r="K83" s="3">
        <v>0.76250669999999998</v>
      </c>
      <c r="L83" s="3">
        <v>0.77564129999999998</v>
      </c>
      <c r="M83" s="3">
        <v>0.78822840000000005</v>
      </c>
      <c r="N83" s="3">
        <v>0.80055030000000005</v>
      </c>
      <c r="O83" s="3">
        <v>0.81294120000000003</v>
      </c>
      <c r="P83" s="3">
        <v>0.82568359999999996</v>
      </c>
      <c r="Q83" s="3">
        <v>0.8389896</v>
      </c>
      <c r="R83" s="3">
        <v>0.85276209999999997</v>
      </c>
      <c r="S83" s="3">
        <v>0.86681730000000001</v>
      </c>
      <c r="T83" s="3">
        <v>0.88097130000000001</v>
      </c>
      <c r="U83" s="3">
        <v>0.89504030000000001</v>
      </c>
      <c r="V83" s="3">
        <v>0.90884050000000005</v>
      </c>
      <c r="W83" s="3">
        <v>0.922211</v>
      </c>
      <c r="X83" s="3">
        <v>0.93509819999999999</v>
      </c>
      <c r="Y83" s="3">
        <v>0.94747950000000003</v>
      </c>
      <c r="Z83" s="3">
        <v>0.95933230000000003</v>
      </c>
      <c r="AA83" s="3">
        <v>0.97063390000000005</v>
      </c>
      <c r="AB83" s="3">
        <v>0.98136179999999995</v>
      </c>
      <c r="AC83" s="3">
        <v>0.99150240000000001</v>
      </c>
      <c r="AD83" s="3">
        <v>1.0010825999999999</v>
      </c>
      <c r="AE83" s="3">
        <v>1.0101405999999999</v>
      </c>
      <c r="AF83" s="3">
        <v>1.0187143999999999</v>
      </c>
      <c r="AG83" s="3">
        <v>1.0268421000000001</v>
      </c>
      <c r="AH83" s="3">
        <v>1.0345617</v>
      </c>
      <c r="AI83" s="3">
        <v>1.0419114</v>
      </c>
      <c r="AJ83" s="3">
        <v>1.048929</v>
      </c>
      <c r="AK83" s="3">
        <v>1.0556528000000001</v>
      </c>
      <c r="AL83" s="3">
        <v>1.0621209</v>
      </c>
      <c r="AM83" s="3">
        <v>1.0683711</v>
      </c>
      <c r="AN83" s="3">
        <v>1.0744416999999999</v>
      </c>
      <c r="AO83" s="3">
        <v>1.0803676</v>
      </c>
      <c r="AP83" s="3">
        <v>1.0861647999999999</v>
      </c>
      <c r="AQ83" s="3">
        <v>1.0918426999999999</v>
      </c>
      <c r="AR83" s="3">
        <v>1.0974105000000001</v>
      </c>
      <c r="AS83" s="3">
        <v>1.1028773000000001</v>
      </c>
      <c r="AT83" s="3">
        <v>1.1082525999999999</v>
      </c>
      <c r="AU83" s="3">
        <v>1.1135454</v>
      </c>
      <c r="AV83" s="3">
        <v>1.1187649</v>
      </c>
      <c r="AW83" s="3">
        <v>1.1239205999999999</v>
      </c>
      <c r="AX83" s="3">
        <v>1.1290214999999999</v>
      </c>
      <c r="AY83" s="3">
        <v>1.1340768999999999</v>
      </c>
      <c r="AZ83" s="3">
        <v>1.1390960000000001</v>
      </c>
      <c r="BA83" s="3">
        <v>1.1440869</v>
      </c>
      <c r="BB83" s="3">
        <v>1.1490517</v>
      </c>
      <c r="BC83" s="3">
        <v>1.1539908999999999</v>
      </c>
      <c r="BD83" s="3">
        <v>1.1589048</v>
      </c>
      <c r="BE83" s="3">
        <v>1.1637938999999999</v>
      </c>
      <c r="BF83" s="3">
        <v>1.1686585</v>
      </c>
      <c r="BG83" s="3">
        <v>1.1734990999999999</v>
      </c>
      <c r="BH83" s="3">
        <v>1.1783161</v>
      </c>
      <c r="BI83" s="3">
        <v>1.1831099</v>
      </c>
      <c r="BJ83" s="3">
        <v>1.1878808999999999</v>
      </c>
      <c r="BK83" s="3">
        <v>1.1926294</v>
      </c>
      <c r="BL83" s="3">
        <v>1.1973559</v>
      </c>
      <c r="BM83" s="3" t="e">
        <v>#N/A</v>
      </c>
      <c r="BN83" s="3" t="e">
        <v>#N/A</v>
      </c>
    </row>
    <row r="84" spans="1:66" x14ac:dyDescent="0.35">
      <c r="A84" s="5">
        <f t="shared" si="1"/>
        <v>43572</v>
      </c>
      <c r="B84" t="s">
        <v>161</v>
      </c>
      <c r="C84" s="2">
        <v>0.75</v>
      </c>
      <c r="D84" s="2">
        <v>0.70840000000000003</v>
      </c>
      <c r="E84" s="3">
        <v>0.70697500000000002</v>
      </c>
      <c r="F84" s="3">
        <v>0.70919299999999996</v>
      </c>
      <c r="G84" s="3">
        <v>0.71593739999999995</v>
      </c>
      <c r="H84" s="3">
        <v>0.72685569999999999</v>
      </c>
      <c r="I84" s="3">
        <v>0.74045740000000004</v>
      </c>
      <c r="J84" s="3">
        <v>0.75538510000000003</v>
      </c>
      <c r="K84" s="3">
        <v>0.77058550000000003</v>
      </c>
      <c r="L84" s="3">
        <v>0.78531329999999999</v>
      </c>
      <c r="M84" s="3">
        <v>0.79946329999999999</v>
      </c>
      <c r="N84" s="3">
        <v>0.81331439999999999</v>
      </c>
      <c r="O84" s="3">
        <v>0.82718550000000002</v>
      </c>
      <c r="P84" s="3">
        <v>0.84126020000000001</v>
      </c>
      <c r="Q84" s="3">
        <v>0.85555570000000003</v>
      </c>
      <c r="R84" s="3">
        <v>0.86995250000000002</v>
      </c>
      <c r="S84" s="3">
        <v>0.88430160000000002</v>
      </c>
      <c r="T84" s="3">
        <v>0.89845379999999997</v>
      </c>
      <c r="U84" s="3">
        <v>0.91225990000000001</v>
      </c>
      <c r="V84" s="3">
        <v>0.92557100000000003</v>
      </c>
      <c r="W84" s="3">
        <v>0.93825689999999995</v>
      </c>
      <c r="X84" s="3">
        <v>0.95029669999999999</v>
      </c>
      <c r="Y84" s="3">
        <v>0.96170770000000005</v>
      </c>
      <c r="Z84" s="3">
        <v>0.97250700000000001</v>
      </c>
      <c r="AA84" s="3">
        <v>0.98271209999999998</v>
      </c>
      <c r="AB84" s="3">
        <v>0.99234009999999995</v>
      </c>
      <c r="AC84" s="3">
        <v>1.001412</v>
      </c>
      <c r="AD84" s="3">
        <v>1.0099688</v>
      </c>
      <c r="AE84" s="3">
        <v>1.0180579000000001</v>
      </c>
      <c r="AF84" s="3">
        <v>1.0257269</v>
      </c>
      <c r="AG84" s="3">
        <v>1.0330235000000001</v>
      </c>
      <c r="AH84" s="3">
        <v>1.0399951000000001</v>
      </c>
      <c r="AI84" s="3">
        <v>1.0466892999999999</v>
      </c>
      <c r="AJ84" s="3">
        <v>1.0531537</v>
      </c>
      <c r="AK84" s="3">
        <v>1.0594357999999999</v>
      </c>
      <c r="AL84" s="3">
        <v>1.0655831</v>
      </c>
      <c r="AM84" s="3">
        <v>1.0716433000000001</v>
      </c>
      <c r="AN84" s="3">
        <v>1.0776638999999999</v>
      </c>
      <c r="AO84" s="3">
        <v>1.0836859999999999</v>
      </c>
      <c r="AP84" s="3">
        <v>1.0897155000000001</v>
      </c>
      <c r="AQ84" s="3">
        <v>1.0957466</v>
      </c>
      <c r="AR84" s="3">
        <v>1.1017736</v>
      </c>
      <c r="AS84" s="3">
        <v>1.1077908000000001</v>
      </c>
      <c r="AT84" s="3">
        <v>1.1137922</v>
      </c>
      <c r="AU84" s="3">
        <v>1.1197722999999999</v>
      </c>
      <c r="AV84" s="3">
        <v>1.1257250999999999</v>
      </c>
      <c r="AW84" s="3">
        <v>1.1316449</v>
      </c>
      <c r="AX84" s="3">
        <v>1.1375259</v>
      </c>
      <c r="AY84" s="3">
        <v>1.1433624</v>
      </c>
      <c r="AZ84" s="3">
        <v>1.1491486</v>
      </c>
      <c r="BA84" s="3">
        <v>1.1548792999999999</v>
      </c>
      <c r="BB84" s="3">
        <v>1.1605524</v>
      </c>
      <c r="BC84" s="3">
        <v>1.1661667</v>
      </c>
      <c r="BD84" s="3">
        <v>1.1717207000000001</v>
      </c>
      <c r="BE84" s="3">
        <v>1.1772130999999999</v>
      </c>
      <c r="BF84" s="3">
        <v>1.1826425</v>
      </c>
      <c r="BG84" s="3">
        <v>1.1880078000000001</v>
      </c>
      <c r="BH84" s="3">
        <v>1.1933073999999999</v>
      </c>
      <c r="BI84" s="3">
        <v>1.1985402000000001</v>
      </c>
      <c r="BJ84" s="3">
        <v>1.2037046</v>
      </c>
      <c r="BK84" s="3">
        <v>1.2087995</v>
      </c>
      <c r="BL84" s="3">
        <v>1.2138234999999999</v>
      </c>
      <c r="BM84" s="3" t="e">
        <v>#N/A</v>
      </c>
      <c r="BN84" s="3" t="e">
        <v>#N/A</v>
      </c>
    </row>
    <row r="85" spans="1:66" x14ac:dyDescent="0.35">
      <c r="A85" s="5">
        <f t="shared" si="1"/>
        <v>43573</v>
      </c>
      <c r="B85" t="s">
        <v>162</v>
      </c>
      <c r="C85" s="2">
        <v>0.75</v>
      </c>
      <c r="D85" s="2">
        <v>0.7087</v>
      </c>
      <c r="E85" s="3">
        <v>0.70724100000000001</v>
      </c>
      <c r="F85" s="3">
        <v>0.70920919999999998</v>
      </c>
      <c r="G85" s="3">
        <v>0.71519630000000001</v>
      </c>
      <c r="H85" s="3">
        <v>0.72457369999999999</v>
      </c>
      <c r="I85" s="3">
        <v>0.73612719999999998</v>
      </c>
      <c r="J85" s="3">
        <v>0.74899039999999995</v>
      </c>
      <c r="K85" s="3">
        <v>0.76242690000000002</v>
      </c>
      <c r="L85" s="3">
        <v>0.77570269999999997</v>
      </c>
      <c r="M85" s="3">
        <v>0.78845229999999999</v>
      </c>
      <c r="N85" s="3">
        <v>0.8006183</v>
      </c>
      <c r="O85" s="3">
        <v>0.8122933</v>
      </c>
      <c r="P85" s="3">
        <v>0.82358750000000003</v>
      </c>
      <c r="Q85" s="3">
        <v>0.83459110000000003</v>
      </c>
      <c r="R85" s="3">
        <v>0.84537320000000005</v>
      </c>
      <c r="S85" s="3">
        <v>0.85599650000000005</v>
      </c>
      <c r="T85" s="3">
        <v>0.86652419999999997</v>
      </c>
      <c r="U85" s="3">
        <v>0.87701910000000005</v>
      </c>
      <c r="V85" s="3">
        <v>0.88754420000000001</v>
      </c>
      <c r="W85" s="3">
        <v>0.8981481</v>
      </c>
      <c r="X85" s="3">
        <v>0.90880570000000005</v>
      </c>
      <c r="Y85" s="3">
        <v>0.91946839999999996</v>
      </c>
      <c r="Z85" s="3">
        <v>0.93008749999999996</v>
      </c>
      <c r="AA85" s="3">
        <v>0.94061439999999996</v>
      </c>
      <c r="AB85" s="3">
        <v>0.95100050000000003</v>
      </c>
      <c r="AC85" s="3">
        <v>0.96120269999999997</v>
      </c>
      <c r="AD85" s="3">
        <v>0.97120490000000004</v>
      </c>
      <c r="AE85" s="3">
        <v>0.98099939999999997</v>
      </c>
      <c r="AF85" s="3">
        <v>0.99057819999999996</v>
      </c>
      <c r="AG85" s="3">
        <v>0.99993370000000004</v>
      </c>
      <c r="AH85" s="3">
        <v>1.0090579</v>
      </c>
      <c r="AI85" s="3">
        <v>1.0179431000000001</v>
      </c>
      <c r="AJ85" s="3">
        <v>1.0265814</v>
      </c>
      <c r="AK85" s="3">
        <v>1.0349649999999999</v>
      </c>
      <c r="AL85" s="3">
        <v>1.0430861</v>
      </c>
      <c r="AM85" s="3">
        <v>1.0509369</v>
      </c>
      <c r="AN85" s="3">
        <v>1.0585095</v>
      </c>
      <c r="AO85" s="3">
        <v>1.0657988</v>
      </c>
      <c r="AP85" s="3">
        <v>1.0728120000000001</v>
      </c>
      <c r="AQ85" s="3">
        <v>1.0795604999999999</v>
      </c>
      <c r="AR85" s="3">
        <v>1.0860552999999999</v>
      </c>
      <c r="AS85" s="3">
        <v>1.0923077999999999</v>
      </c>
      <c r="AT85" s="3">
        <v>1.0983290000000001</v>
      </c>
      <c r="AU85" s="3">
        <v>1.1041302</v>
      </c>
      <c r="AV85" s="3">
        <v>1.1097227000000001</v>
      </c>
      <c r="AW85" s="3">
        <v>1.1151175</v>
      </c>
      <c r="AX85" s="3">
        <v>1.1203259999999999</v>
      </c>
      <c r="AY85" s="3">
        <v>1.1253591999999999</v>
      </c>
      <c r="AZ85" s="3">
        <v>1.1302285000000001</v>
      </c>
      <c r="BA85" s="3">
        <v>1.1349446999999999</v>
      </c>
      <c r="BB85" s="3">
        <v>1.139518</v>
      </c>
      <c r="BC85" s="3">
        <v>1.143958</v>
      </c>
      <c r="BD85" s="3">
        <v>1.1482745999999999</v>
      </c>
      <c r="BE85" s="3">
        <v>1.1524774</v>
      </c>
      <c r="BF85" s="3">
        <v>1.1565763</v>
      </c>
      <c r="BG85" s="3">
        <v>1.1605809</v>
      </c>
      <c r="BH85" s="3">
        <v>1.1645011000000001</v>
      </c>
      <c r="BI85" s="3">
        <v>1.1683466</v>
      </c>
      <c r="BJ85" s="3">
        <v>1.1721271</v>
      </c>
      <c r="BK85" s="3">
        <v>1.1758523999999999</v>
      </c>
      <c r="BL85" s="3">
        <v>1.1795321999999999</v>
      </c>
      <c r="BM85" s="3" t="e">
        <v>#N/A</v>
      </c>
      <c r="BN85" s="3" t="e">
        <v>#N/A</v>
      </c>
    </row>
    <row r="86" spans="1:66" x14ac:dyDescent="0.35">
      <c r="A86" s="5">
        <f t="shared" si="1"/>
        <v>43574</v>
      </c>
      <c r="B86" t="s">
        <v>163</v>
      </c>
      <c r="C86" s="2">
        <v>0.75</v>
      </c>
      <c r="D86" s="2" t="e">
        <v>#N/A</v>
      </c>
      <c r="E86" s="3" t="e">
        <v>#N/A</v>
      </c>
      <c r="F86" s="3" t="e">
        <v>#N/A</v>
      </c>
      <c r="G86" s="3" t="e">
        <v>#N/A</v>
      </c>
      <c r="H86" s="3" t="e">
        <v>#N/A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 t="e">
        <v>#N/A</v>
      </c>
      <c r="Q86" s="3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e">
        <v>#N/A</v>
      </c>
      <c r="AK86" s="3" t="e">
        <v>#N/A</v>
      </c>
      <c r="AL86" s="3" t="e">
        <v>#N/A</v>
      </c>
      <c r="AM86" s="3" t="e">
        <v>#N/A</v>
      </c>
      <c r="AN86" s="3" t="e">
        <v>#N/A</v>
      </c>
      <c r="AO86" s="3" t="e">
        <v>#N/A</v>
      </c>
      <c r="AP86" s="3" t="e">
        <v>#N/A</v>
      </c>
      <c r="AQ86" s="3" t="e">
        <v>#N/A</v>
      </c>
      <c r="AR86" s="3" t="e">
        <v>#N/A</v>
      </c>
      <c r="AS86" s="3" t="e">
        <v>#N/A</v>
      </c>
      <c r="AT86" s="3" t="e">
        <v>#N/A</v>
      </c>
      <c r="AU86" s="3" t="e">
        <v>#N/A</v>
      </c>
      <c r="AV86" s="3" t="e">
        <v>#N/A</v>
      </c>
      <c r="AW86" s="3" t="e">
        <v>#N/A</v>
      </c>
      <c r="AX86" s="3" t="e">
        <v>#N/A</v>
      </c>
      <c r="AY86" s="3" t="e">
        <v>#N/A</v>
      </c>
      <c r="AZ86" s="3" t="e">
        <v>#N/A</v>
      </c>
      <c r="BA86" s="3" t="e">
        <v>#N/A</v>
      </c>
      <c r="BB86" s="3" t="e">
        <v>#N/A</v>
      </c>
      <c r="BC86" s="3" t="e">
        <v>#N/A</v>
      </c>
      <c r="BD86" s="3" t="e">
        <v>#N/A</v>
      </c>
      <c r="BE86" s="3" t="e">
        <v>#N/A</v>
      </c>
      <c r="BF86" s="3" t="e">
        <v>#N/A</v>
      </c>
      <c r="BG86" s="3" t="e">
        <v>#N/A</v>
      </c>
      <c r="BH86" s="3" t="e">
        <v>#N/A</v>
      </c>
      <c r="BI86" s="3" t="e">
        <v>#N/A</v>
      </c>
      <c r="BJ86" s="3" t="e">
        <v>#N/A</v>
      </c>
      <c r="BK86" s="3" t="e">
        <v>#N/A</v>
      </c>
      <c r="BL86" s="3" t="e">
        <v>#N/A</v>
      </c>
      <c r="BM86" s="3" t="e">
        <v>#N/A</v>
      </c>
      <c r="BN86" s="3" t="e">
        <v>#N/A</v>
      </c>
    </row>
    <row r="87" spans="1:66" x14ac:dyDescent="0.35">
      <c r="A87" s="5">
        <f t="shared" si="1"/>
        <v>43577</v>
      </c>
      <c r="B87" t="s">
        <v>164</v>
      </c>
      <c r="C87" s="2">
        <v>0.75</v>
      </c>
      <c r="D87" s="2" t="e">
        <v>#N/A</v>
      </c>
      <c r="E87" s="3" t="e">
        <v>#N/A</v>
      </c>
      <c r="F87" s="3" t="e">
        <v>#N/A</v>
      </c>
      <c r="G87" s="3" t="e">
        <v>#N/A</v>
      </c>
      <c r="H87" s="3" t="e">
        <v>#N/A</v>
      </c>
      <c r="I87" s="3" t="e">
        <v>#N/A</v>
      </c>
      <c r="J87" s="3" t="e">
        <v>#N/A</v>
      </c>
      <c r="K87" s="3" t="e">
        <v>#N/A</v>
      </c>
      <c r="L87" s="3" t="e">
        <v>#N/A</v>
      </c>
      <c r="M87" s="3" t="e">
        <v>#N/A</v>
      </c>
      <c r="N87" s="3" t="e">
        <v>#N/A</v>
      </c>
      <c r="O87" s="3" t="e">
        <v>#N/A</v>
      </c>
      <c r="P87" s="3" t="e">
        <v>#N/A</v>
      </c>
      <c r="Q87" s="3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 t="e">
        <v>#N/A</v>
      </c>
      <c r="AE87" s="3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e">
        <v>#N/A</v>
      </c>
      <c r="AK87" s="3" t="e">
        <v>#N/A</v>
      </c>
      <c r="AL87" s="3" t="e">
        <v>#N/A</v>
      </c>
      <c r="AM87" s="3" t="e">
        <v>#N/A</v>
      </c>
      <c r="AN87" s="3" t="e">
        <v>#N/A</v>
      </c>
      <c r="AO87" s="3" t="e">
        <v>#N/A</v>
      </c>
      <c r="AP87" s="3" t="e">
        <v>#N/A</v>
      </c>
      <c r="AQ87" s="3" t="e">
        <v>#N/A</v>
      </c>
      <c r="AR87" s="3" t="e">
        <v>#N/A</v>
      </c>
      <c r="AS87" s="3" t="e">
        <v>#N/A</v>
      </c>
      <c r="AT87" s="3" t="e">
        <v>#N/A</v>
      </c>
      <c r="AU87" s="3" t="e">
        <v>#N/A</v>
      </c>
      <c r="AV87" s="3" t="e">
        <v>#N/A</v>
      </c>
      <c r="AW87" s="3" t="e">
        <v>#N/A</v>
      </c>
      <c r="AX87" s="3" t="e">
        <v>#N/A</v>
      </c>
      <c r="AY87" s="3" t="e">
        <v>#N/A</v>
      </c>
      <c r="AZ87" s="3" t="e">
        <v>#N/A</v>
      </c>
      <c r="BA87" s="3" t="e">
        <v>#N/A</v>
      </c>
      <c r="BB87" s="3" t="e">
        <v>#N/A</v>
      </c>
      <c r="BC87" s="3" t="e">
        <v>#N/A</v>
      </c>
      <c r="BD87" s="3" t="e">
        <v>#N/A</v>
      </c>
      <c r="BE87" s="3" t="e">
        <v>#N/A</v>
      </c>
      <c r="BF87" s="3" t="e">
        <v>#N/A</v>
      </c>
      <c r="BG87" s="3" t="e">
        <v>#N/A</v>
      </c>
      <c r="BH87" s="3" t="e">
        <v>#N/A</v>
      </c>
      <c r="BI87" s="3" t="e">
        <v>#N/A</v>
      </c>
      <c r="BJ87" s="3" t="e">
        <v>#N/A</v>
      </c>
      <c r="BK87" s="3" t="e">
        <v>#N/A</v>
      </c>
      <c r="BL87" s="3" t="e">
        <v>#N/A</v>
      </c>
      <c r="BM87" s="3" t="e">
        <v>#N/A</v>
      </c>
      <c r="BN87" s="3" t="e">
        <v>#N/A</v>
      </c>
    </row>
    <row r="88" spans="1:66" x14ac:dyDescent="0.35">
      <c r="A88" s="5">
        <f t="shared" si="1"/>
        <v>43578</v>
      </c>
      <c r="B88" t="s">
        <v>165</v>
      </c>
      <c r="C88" s="2">
        <v>0.75</v>
      </c>
      <c r="D88" s="2">
        <v>0.70920000000000005</v>
      </c>
      <c r="E88" s="3">
        <v>0.70647979999999999</v>
      </c>
      <c r="F88" s="3">
        <v>0.71461889999999995</v>
      </c>
      <c r="G88" s="3">
        <v>0.72737390000000002</v>
      </c>
      <c r="H88" s="3">
        <v>0.74257419999999996</v>
      </c>
      <c r="I88" s="3">
        <v>0.75799300000000003</v>
      </c>
      <c r="J88" s="3">
        <v>0.77326229999999996</v>
      </c>
      <c r="K88" s="3">
        <v>0.78825800000000001</v>
      </c>
      <c r="L88" s="3">
        <v>0.80256919999999998</v>
      </c>
      <c r="M88" s="3">
        <v>0.81598159999999997</v>
      </c>
      <c r="N88" s="3">
        <v>0.82856989999999997</v>
      </c>
      <c r="O88" s="3">
        <v>0.84053699999999998</v>
      </c>
      <c r="P88" s="3">
        <v>0.85209619999999997</v>
      </c>
      <c r="Q88" s="3">
        <v>0.86347070000000004</v>
      </c>
      <c r="R88" s="3">
        <v>0.87472280000000002</v>
      </c>
      <c r="S88" s="3">
        <v>0.88586580000000004</v>
      </c>
      <c r="T88" s="3">
        <v>0.89691310000000002</v>
      </c>
      <c r="U88" s="3">
        <v>0.90787810000000002</v>
      </c>
      <c r="V88" s="3">
        <v>0.91877410000000004</v>
      </c>
      <c r="W88" s="3">
        <v>0.92960679999999996</v>
      </c>
      <c r="X88" s="3">
        <v>0.94034519999999999</v>
      </c>
      <c r="Y88" s="3">
        <v>0.95094800000000002</v>
      </c>
      <c r="Z88" s="3">
        <v>0.96137349999999999</v>
      </c>
      <c r="AA88" s="3">
        <v>0.97158049999999996</v>
      </c>
      <c r="AB88" s="3">
        <v>0.9815275</v>
      </c>
      <c r="AC88" s="3">
        <v>0.99118019999999996</v>
      </c>
      <c r="AD88" s="3">
        <v>1.0005360000000001</v>
      </c>
      <c r="AE88" s="3">
        <v>1.0096008999999999</v>
      </c>
      <c r="AF88" s="3">
        <v>1.018381</v>
      </c>
      <c r="AG88" s="3">
        <v>1.0268824000000001</v>
      </c>
      <c r="AH88" s="3">
        <v>1.0351113000000001</v>
      </c>
      <c r="AI88" s="3">
        <v>1.0430736</v>
      </c>
      <c r="AJ88" s="3">
        <v>1.0507755000000001</v>
      </c>
      <c r="AK88" s="3">
        <v>1.0582229999999999</v>
      </c>
      <c r="AL88" s="3">
        <v>1.0654222</v>
      </c>
      <c r="AM88" s="3">
        <v>1.0723792000000001</v>
      </c>
      <c r="AN88" s="3">
        <v>1.0791002000000001</v>
      </c>
      <c r="AO88" s="3">
        <v>1.0855916999999999</v>
      </c>
      <c r="AP88" s="3">
        <v>1.0918639999999999</v>
      </c>
      <c r="AQ88" s="3">
        <v>1.0979285000000001</v>
      </c>
      <c r="AR88" s="3">
        <v>1.1037964</v>
      </c>
      <c r="AS88" s="3">
        <v>1.1094790999999999</v>
      </c>
      <c r="AT88" s="3">
        <v>1.1149879</v>
      </c>
      <c r="AU88" s="3">
        <v>1.1203342999999999</v>
      </c>
      <c r="AV88" s="3">
        <v>1.1255295000000001</v>
      </c>
      <c r="AW88" s="3">
        <v>1.1305848000000001</v>
      </c>
      <c r="AX88" s="3">
        <v>1.1355116000000001</v>
      </c>
      <c r="AY88" s="3">
        <v>1.1403213000000001</v>
      </c>
      <c r="AZ88" s="3">
        <v>1.1450251</v>
      </c>
      <c r="BA88" s="3">
        <v>1.1496337999999999</v>
      </c>
      <c r="BB88" s="3">
        <v>1.1541543000000001</v>
      </c>
      <c r="BC88" s="3">
        <v>1.1585928000000001</v>
      </c>
      <c r="BD88" s="3">
        <v>1.1629552999999999</v>
      </c>
      <c r="BE88" s="3">
        <v>1.1672477999999999</v>
      </c>
      <c r="BF88" s="3">
        <v>1.1714764</v>
      </c>
      <c r="BG88" s="3">
        <v>1.1756470000000001</v>
      </c>
      <c r="BH88" s="3">
        <v>1.1797656999999999</v>
      </c>
      <c r="BI88" s="3">
        <v>1.1838386999999999</v>
      </c>
      <c r="BJ88" s="3">
        <v>1.1878717999999999</v>
      </c>
      <c r="BK88" s="3">
        <v>1.1918711</v>
      </c>
      <c r="BL88" s="3">
        <v>1.1958428000000001</v>
      </c>
      <c r="BM88" s="3" t="e">
        <v>#N/A</v>
      </c>
      <c r="BN88" s="3" t="e">
        <v>#N/A</v>
      </c>
    </row>
    <row r="89" spans="1:66" x14ac:dyDescent="0.35">
      <c r="A89" s="5">
        <f t="shared" si="1"/>
        <v>43579</v>
      </c>
      <c r="B89" t="s">
        <v>166</v>
      </c>
      <c r="C89" s="2">
        <v>0.75</v>
      </c>
      <c r="D89" s="2">
        <v>0.7087</v>
      </c>
      <c r="E89" s="3">
        <v>0.70672230000000003</v>
      </c>
      <c r="F89" s="3">
        <v>0.70866870000000004</v>
      </c>
      <c r="G89" s="3">
        <v>0.71643509999999999</v>
      </c>
      <c r="H89" s="3">
        <v>0.72812500000000002</v>
      </c>
      <c r="I89" s="3">
        <v>0.74012230000000001</v>
      </c>
      <c r="J89" s="3">
        <v>0.75149500000000002</v>
      </c>
      <c r="K89" s="3">
        <v>0.76219130000000002</v>
      </c>
      <c r="L89" s="3">
        <v>0.77225650000000001</v>
      </c>
      <c r="M89" s="3">
        <v>0.78203520000000004</v>
      </c>
      <c r="N89" s="3">
        <v>0.7918752</v>
      </c>
      <c r="O89" s="3">
        <v>0.80196789999999996</v>
      </c>
      <c r="P89" s="3">
        <v>0.81240710000000005</v>
      </c>
      <c r="Q89" s="3">
        <v>0.82316469999999997</v>
      </c>
      <c r="R89" s="3">
        <v>0.83411800000000003</v>
      </c>
      <c r="S89" s="3">
        <v>0.84512520000000002</v>
      </c>
      <c r="T89" s="3">
        <v>0.85604420000000003</v>
      </c>
      <c r="U89" s="3">
        <v>0.86673339999999999</v>
      </c>
      <c r="V89" s="3">
        <v>0.87705069999999996</v>
      </c>
      <c r="W89" s="3">
        <v>0.8868781</v>
      </c>
      <c r="X89" s="3">
        <v>0.89623280000000005</v>
      </c>
      <c r="Y89" s="3">
        <v>0.90517939999999997</v>
      </c>
      <c r="Z89" s="3">
        <v>0.9137826</v>
      </c>
      <c r="AA89" s="3">
        <v>0.92210689999999995</v>
      </c>
      <c r="AB89" s="3">
        <v>0.93021730000000002</v>
      </c>
      <c r="AC89" s="3">
        <v>0.93817070000000002</v>
      </c>
      <c r="AD89" s="3">
        <v>0.94598450000000001</v>
      </c>
      <c r="AE89" s="3">
        <v>0.95366240000000002</v>
      </c>
      <c r="AF89" s="3">
        <v>0.96120799999999995</v>
      </c>
      <c r="AG89" s="3">
        <v>0.96862510000000002</v>
      </c>
      <c r="AH89" s="3">
        <v>0.97591740000000005</v>
      </c>
      <c r="AI89" s="3">
        <v>0.98308859999999998</v>
      </c>
      <c r="AJ89" s="3">
        <v>0.99014250000000004</v>
      </c>
      <c r="AK89" s="3">
        <v>0.99708269999999999</v>
      </c>
      <c r="AL89" s="3">
        <v>1.0039130000000001</v>
      </c>
      <c r="AM89" s="3">
        <v>1.0106371000000001</v>
      </c>
      <c r="AN89" s="3">
        <v>1.0172587</v>
      </c>
      <c r="AO89" s="3">
        <v>1.0237809</v>
      </c>
      <c r="AP89" s="3">
        <v>1.0302032999999999</v>
      </c>
      <c r="AQ89" s="3">
        <v>1.0365249000000001</v>
      </c>
      <c r="AR89" s="3">
        <v>1.0427443999999999</v>
      </c>
      <c r="AS89" s="3">
        <v>1.0488605</v>
      </c>
      <c r="AT89" s="3">
        <v>1.0548721000000001</v>
      </c>
      <c r="AU89" s="3">
        <v>1.0607778999999999</v>
      </c>
      <c r="AV89" s="3">
        <v>1.0665766999999999</v>
      </c>
      <c r="AW89" s="3">
        <v>1.0722673</v>
      </c>
      <c r="AX89" s="3">
        <v>1.0778483999999999</v>
      </c>
      <c r="AY89" s="3">
        <v>1.0833188</v>
      </c>
      <c r="AZ89" s="3">
        <v>1.0886773999999999</v>
      </c>
      <c r="BA89" s="3">
        <v>1.0939239000000001</v>
      </c>
      <c r="BB89" s="3">
        <v>1.0990628</v>
      </c>
      <c r="BC89" s="3">
        <v>1.1041000999999999</v>
      </c>
      <c r="BD89" s="3">
        <v>1.1090414</v>
      </c>
      <c r="BE89" s="3">
        <v>1.1138926</v>
      </c>
      <c r="BF89" s="3">
        <v>1.1186596</v>
      </c>
      <c r="BG89" s="3">
        <v>1.123348</v>
      </c>
      <c r="BH89" s="3">
        <v>1.1279638000000001</v>
      </c>
      <c r="BI89" s="3">
        <v>1.1325126999999999</v>
      </c>
      <c r="BJ89" s="3">
        <v>1.1370005999999999</v>
      </c>
      <c r="BK89" s="3">
        <v>1.1414332</v>
      </c>
      <c r="BL89" s="3">
        <v>1.1458165</v>
      </c>
      <c r="BM89" s="3" t="e">
        <v>#N/A</v>
      </c>
      <c r="BN89" s="3" t="e">
        <v>#N/A</v>
      </c>
    </row>
    <row r="90" spans="1:66" x14ac:dyDescent="0.35">
      <c r="A90" s="5">
        <f t="shared" si="1"/>
        <v>43580</v>
      </c>
      <c r="B90" t="s">
        <v>167</v>
      </c>
      <c r="C90" s="2">
        <v>0.75</v>
      </c>
      <c r="D90" s="2">
        <v>0.70960000000000001</v>
      </c>
      <c r="E90" s="3">
        <v>0.70774859999999995</v>
      </c>
      <c r="F90" s="3">
        <v>0.71025229999999995</v>
      </c>
      <c r="G90" s="3">
        <v>0.71900030000000004</v>
      </c>
      <c r="H90" s="3">
        <v>0.7307304</v>
      </c>
      <c r="I90" s="3">
        <v>0.74174870000000004</v>
      </c>
      <c r="J90" s="3">
        <v>0.75176129999999997</v>
      </c>
      <c r="K90" s="3">
        <v>0.7610614</v>
      </c>
      <c r="L90" s="3">
        <v>0.76962640000000004</v>
      </c>
      <c r="M90" s="3">
        <v>0.77760059999999998</v>
      </c>
      <c r="N90" s="3">
        <v>0.78521200000000002</v>
      </c>
      <c r="O90" s="3">
        <v>0.79266499999999995</v>
      </c>
      <c r="P90" s="3">
        <v>0.80015259999999999</v>
      </c>
      <c r="Q90" s="3">
        <v>0.80777739999999998</v>
      </c>
      <c r="R90" s="3">
        <v>0.81555219999999995</v>
      </c>
      <c r="S90" s="3">
        <v>0.82346739999999996</v>
      </c>
      <c r="T90" s="3">
        <v>0.83151330000000001</v>
      </c>
      <c r="U90" s="3">
        <v>0.83968010000000004</v>
      </c>
      <c r="V90" s="3">
        <v>0.8479582</v>
      </c>
      <c r="W90" s="3">
        <v>0.85633499999999996</v>
      </c>
      <c r="X90" s="3">
        <v>0.86478310000000003</v>
      </c>
      <c r="Y90" s="3">
        <v>0.87327030000000005</v>
      </c>
      <c r="Z90" s="3">
        <v>0.88176460000000001</v>
      </c>
      <c r="AA90" s="3">
        <v>0.89023390000000002</v>
      </c>
      <c r="AB90" s="3">
        <v>0.8986461</v>
      </c>
      <c r="AC90" s="3">
        <v>0.90697249999999996</v>
      </c>
      <c r="AD90" s="3">
        <v>0.91520100000000004</v>
      </c>
      <c r="AE90" s="3">
        <v>0.92332479999999995</v>
      </c>
      <c r="AF90" s="3">
        <v>0.93133690000000002</v>
      </c>
      <c r="AG90" s="3">
        <v>0.93923029999999996</v>
      </c>
      <c r="AH90" s="3">
        <v>0.94699809999999995</v>
      </c>
      <c r="AI90" s="3">
        <v>0.95463339999999997</v>
      </c>
      <c r="AJ90" s="3">
        <v>0.96212909999999996</v>
      </c>
      <c r="AK90" s="3">
        <v>0.96947839999999996</v>
      </c>
      <c r="AL90" s="3">
        <v>0.97667420000000005</v>
      </c>
      <c r="AM90" s="3">
        <v>0.98370970000000002</v>
      </c>
      <c r="AN90" s="3">
        <v>0.99057790000000001</v>
      </c>
      <c r="AO90" s="3">
        <v>0.99727379999999999</v>
      </c>
      <c r="AP90" s="3">
        <v>1.0038014</v>
      </c>
      <c r="AQ90" s="3">
        <v>1.0101671999999999</v>
      </c>
      <c r="AR90" s="3">
        <v>1.0163774999999999</v>
      </c>
      <c r="AS90" s="3">
        <v>1.0224388</v>
      </c>
      <c r="AT90" s="3">
        <v>1.0283575</v>
      </c>
      <c r="AU90" s="3">
        <v>1.0341400000000001</v>
      </c>
      <c r="AV90" s="3">
        <v>1.0397927</v>
      </c>
      <c r="AW90" s="3">
        <v>1.0453220000000001</v>
      </c>
      <c r="AX90" s="3">
        <v>1.0507344000000001</v>
      </c>
      <c r="AY90" s="3">
        <v>1.0560362999999999</v>
      </c>
      <c r="AZ90" s="3">
        <v>1.061234</v>
      </c>
      <c r="BA90" s="3">
        <v>1.0663338</v>
      </c>
      <c r="BB90" s="3">
        <v>1.0713409</v>
      </c>
      <c r="BC90" s="3">
        <v>1.0762598999999999</v>
      </c>
      <c r="BD90" s="3">
        <v>1.0810957999999999</v>
      </c>
      <c r="BE90" s="3">
        <v>1.0858535</v>
      </c>
      <c r="BF90" s="3">
        <v>1.0905377000000001</v>
      </c>
      <c r="BG90" s="3">
        <v>1.0951533</v>
      </c>
      <c r="BH90" s="3">
        <v>1.0997051</v>
      </c>
      <c r="BI90" s="3">
        <v>1.104198</v>
      </c>
      <c r="BJ90" s="3">
        <v>1.1086368</v>
      </c>
      <c r="BK90" s="3">
        <v>1.1130264000000001</v>
      </c>
      <c r="BL90" s="3">
        <v>1.1173715</v>
      </c>
      <c r="BM90" s="3" t="e">
        <v>#N/A</v>
      </c>
      <c r="BN90" s="3" t="e">
        <v>#N/A</v>
      </c>
    </row>
    <row r="91" spans="1:66" x14ac:dyDescent="0.35">
      <c r="A91" s="5">
        <f t="shared" si="1"/>
        <v>43581</v>
      </c>
      <c r="B91" t="s">
        <v>168</v>
      </c>
      <c r="C91" s="2">
        <v>0.75</v>
      </c>
      <c r="D91" s="2">
        <v>0.7107</v>
      </c>
      <c r="E91" s="3">
        <v>0.70955279999999998</v>
      </c>
      <c r="F91" s="3">
        <v>0.71547879999999997</v>
      </c>
      <c r="G91" s="3">
        <v>0.72696300000000003</v>
      </c>
      <c r="H91" s="3">
        <v>0.74039569999999999</v>
      </c>
      <c r="I91" s="3">
        <v>0.75192519999999996</v>
      </c>
      <c r="J91" s="3">
        <v>0.76100440000000003</v>
      </c>
      <c r="K91" s="3">
        <v>0.76813129999999996</v>
      </c>
      <c r="L91" s="3">
        <v>0.77374639999999995</v>
      </c>
      <c r="M91" s="3">
        <v>0.77827869999999999</v>
      </c>
      <c r="N91" s="3">
        <v>0.78212899999999996</v>
      </c>
      <c r="O91" s="3">
        <v>0.78569310000000003</v>
      </c>
      <c r="P91" s="3">
        <v>0.78937800000000002</v>
      </c>
      <c r="Q91" s="3">
        <v>0.79372140000000002</v>
      </c>
      <c r="R91" s="3">
        <v>0.79881400000000002</v>
      </c>
      <c r="S91" s="3">
        <v>0.80459000000000003</v>
      </c>
      <c r="T91" s="3">
        <v>0.81098369999999997</v>
      </c>
      <c r="U91" s="3">
        <v>0.81792949999999998</v>
      </c>
      <c r="V91" s="3">
        <v>0.82536160000000003</v>
      </c>
      <c r="W91" s="3">
        <v>0.83321060000000002</v>
      </c>
      <c r="X91" s="3">
        <v>0.84138880000000005</v>
      </c>
      <c r="Y91" s="3">
        <v>0.84980350000000004</v>
      </c>
      <c r="Z91" s="3">
        <v>0.85836210000000002</v>
      </c>
      <c r="AA91" s="3">
        <v>0.86697179999999996</v>
      </c>
      <c r="AB91" s="3">
        <v>0.87553979999999998</v>
      </c>
      <c r="AC91" s="3">
        <v>0.88398770000000004</v>
      </c>
      <c r="AD91" s="3">
        <v>0.89229919999999996</v>
      </c>
      <c r="AE91" s="3">
        <v>0.90047569999999999</v>
      </c>
      <c r="AF91" s="3">
        <v>0.9085183</v>
      </c>
      <c r="AG91" s="3">
        <v>0.91642800000000002</v>
      </c>
      <c r="AH91" s="3">
        <v>0.92420619999999998</v>
      </c>
      <c r="AI91" s="3">
        <v>0.93185399999999996</v>
      </c>
      <c r="AJ91" s="3">
        <v>0.93937250000000005</v>
      </c>
      <c r="AK91" s="3">
        <v>0.94676289999999996</v>
      </c>
      <c r="AL91" s="3">
        <v>0.95402640000000005</v>
      </c>
      <c r="AM91" s="3">
        <v>0.96116420000000002</v>
      </c>
      <c r="AN91" s="3">
        <v>0.96817739999999997</v>
      </c>
      <c r="AO91" s="3">
        <v>0.97506720000000002</v>
      </c>
      <c r="AP91" s="3">
        <v>0.98183520000000002</v>
      </c>
      <c r="AQ91" s="3">
        <v>0.988483</v>
      </c>
      <c r="AR91" s="3">
        <v>0.99501209999999995</v>
      </c>
      <c r="AS91" s="3">
        <v>1.0014240000000001</v>
      </c>
      <c r="AT91" s="3">
        <v>1.0077205</v>
      </c>
      <c r="AU91" s="3">
        <v>1.013903</v>
      </c>
      <c r="AV91" s="3">
        <v>1.0199731999999999</v>
      </c>
      <c r="AW91" s="3">
        <v>1.0259324999999999</v>
      </c>
      <c r="AX91" s="3">
        <v>1.0317826999999999</v>
      </c>
      <c r="AY91" s="3">
        <v>1.0375251999999999</v>
      </c>
      <c r="AZ91" s="3">
        <v>1.0431617</v>
      </c>
      <c r="BA91" s="3">
        <v>1.0486941000000001</v>
      </c>
      <c r="BB91" s="3">
        <v>1.0541256000000001</v>
      </c>
      <c r="BC91" s="3">
        <v>1.0594600999999999</v>
      </c>
      <c r="BD91" s="3">
        <v>1.0647013000000001</v>
      </c>
      <c r="BE91" s="3">
        <v>1.0698529000000001</v>
      </c>
      <c r="BF91" s="3">
        <v>1.0749185999999999</v>
      </c>
      <c r="BG91" s="3">
        <v>1.0799022</v>
      </c>
      <c r="BH91" s="3">
        <v>1.0848074999999999</v>
      </c>
      <c r="BI91" s="3">
        <v>1.0896380999999999</v>
      </c>
      <c r="BJ91" s="3">
        <v>1.0943978999999999</v>
      </c>
      <c r="BK91" s="3">
        <v>1.0990905</v>
      </c>
      <c r="BL91" s="3">
        <v>1.1037197000000001</v>
      </c>
      <c r="BM91" s="3" t="e">
        <v>#N/A</v>
      </c>
      <c r="BN91" s="3" t="e">
        <v>#N/A</v>
      </c>
    </row>
    <row r="92" spans="1:66" x14ac:dyDescent="0.35">
      <c r="A92" s="5">
        <f t="shared" si="1"/>
        <v>43584</v>
      </c>
      <c r="B92" t="s">
        <v>169</v>
      </c>
      <c r="C92" s="2">
        <v>0.75</v>
      </c>
      <c r="D92" s="2">
        <v>0.7097</v>
      </c>
      <c r="E92" s="3">
        <v>0.70924569999999998</v>
      </c>
      <c r="F92" s="3">
        <v>0.7172887</v>
      </c>
      <c r="G92" s="3">
        <v>0.72827529999999996</v>
      </c>
      <c r="H92" s="3">
        <v>0.73936740000000001</v>
      </c>
      <c r="I92" s="3">
        <v>0.74889539999999999</v>
      </c>
      <c r="J92" s="3">
        <v>0.75763919999999996</v>
      </c>
      <c r="K92" s="3">
        <v>0.7660091</v>
      </c>
      <c r="L92" s="3">
        <v>0.77391430000000005</v>
      </c>
      <c r="M92" s="3">
        <v>0.78153779999999995</v>
      </c>
      <c r="N92" s="3">
        <v>0.78913160000000004</v>
      </c>
      <c r="O92" s="3">
        <v>0.79690130000000003</v>
      </c>
      <c r="P92" s="3">
        <v>0.80505380000000004</v>
      </c>
      <c r="Q92" s="3">
        <v>0.81381919999999996</v>
      </c>
      <c r="R92" s="3">
        <v>0.82312090000000004</v>
      </c>
      <c r="S92" s="3">
        <v>0.83278969999999997</v>
      </c>
      <c r="T92" s="3">
        <v>0.84265630000000002</v>
      </c>
      <c r="U92" s="3">
        <v>0.85255159999999997</v>
      </c>
      <c r="V92" s="3">
        <v>0.86230629999999997</v>
      </c>
      <c r="W92" s="3">
        <v>0.87177700000000002</v>
      </c>
      <c r="X92" s="3">
        <v>0.8809401</v>
      </c>
      <c r="Y92" s="3">
        <v>0.88980680000000001</v>
      </c>
      <c r="Z92" s="3">
        <v>0.89838819999999997</v>
      </c>
      <c r="AA92" s="3">
        <v>0.90669549999999999</v>
      </c>
      <c r="AB92" s="3">
        <v>0.91473979999999999</v>
      </c>
      <c r="AC92" s="3">
        <v>0.92253280000000004</v>
      </c>
      <c r="AD92" s="3">
        <v>0.93008769999999996</v>
      </c>
      <c r="AE92" s="3">
        <v>0.93741850000000004</v>
      </c>
      <c r="AF92" s="3">
        <v>0.94453909999999996</v>
      </c>
      <c r="AG92" s="3">
        <v>0.95146350000000002</v>
      </c>
      <c r="AH92" s="3">
        <v>0.95820530000000004</v>
      </c>
      <c r="AI92" s="3">
        <v>0.96477869999999999</v>
      </c>
      <c r="AJ92" s="3">
        <v>0.97119739999999999</v>
      </c>
      <c r="AK92" s="3">
        <v>0.97747550000000005</v>
      </c>
      <c r="AL92" s="3">
        <v>0.98362660000000002</v>
      </c>
      <c r="AM92" s="3">
        <v>0.98966489999999996</v>
      </c>
      <c r="AN92" s="3">
        <v>0.99560409999999999</v>
      </c>
      <c r="AO92" s="3">
        <v>1.0014563999999999</v>
      </c>
      <c r="AP92" s="3">
        <v>1.0072266999999999</v>
      </c>
      <c r="AQ92" s="3">
        <v>1.0129177</v>
      </c>
      <c r="AR92" s="3">
        <v>1.0185321000000001</v>
      </c>
      <c r="AS92" s="3">
        <v>1.0240726</v>
      </c>
      <c r="AT92" s="3">
        <v>1.0295418999999999</v>
      </c>
      <c r="AU92" s="3">
        <v>1.0349428000000001</v>
      </c>
      <c r="AV92" s="3">
        <v>1.0402779</v>
      </c>
      <c r="AW92" s="3">
        <v>1.0455501</v>
      </c>
      <c r="AX92" s="3">
        <v>1.050762</v>
      </c>
      <c r="AY92" s="3">
        <v>1.0559164000000001</v>
      </c>
      <c r="AZ92" s="3">
        <v>1.0610158999999999</v>
      </c>
      <c r="BA92" s="3">
        <v>1.0660632999999999</v>
      </c>
      <c r="BB92" s="3">
        <v>1.0710611000000001</v>
      </c>
      <c r="BC92" s="3">
        <v>1.0760114999999999</v>
      </c>
      <c r="BD92" s="3">
        <v>1.0809169999999999</v>
      </c>
      <c r="BE92" s="3">
        <v>1.08578</v>
      </c>
      <c r="BF92" s="3">
        <v>1.0906028000000001</v>
      </c>
      <c r="BG92" s="3">
        <v>1.0953879</v>
      </c>
      <c r="BH92" s="3">
        <v>1.1001375</v>
      </c>
      <c r="BI92" s="3">
        <v>1.1048541000000001</v>
      </c>
      <c r="BJ92" s="3">
        <v>1.1095401</v>
      </c>
      <c r="BK92" s="3">
        <v>1.1141977999999999</v>
      </c>
      <c r="BL92" s="3">
        <v>1.1188296</v>
      </c>
      <c r="BM92" s="3" t="e">
        <v>#N/A</v>
      </c>
      <c r="BN92" s="3" t="e">
        <v>#N/A</v>
      </c>
    </row>
    <row r="93" spans="1:66" x14ac:dyDescent="0.35">
      <c r="A93" s="5">
        <f t="shared" si="1"/>
        <v>43585</v>
      </c>
      <c r="B93" t="s">
        <v>170</v>
      </c>
      <c r="C93" s="2">
        <v>0.75</v>
      </c>
      <c r="D93" s="2">
        <v>0.71089999999999998</v>
      </c>
      <c r="E93" s="3">
        <v>0.7095882</v>
      </c>
      <c r="F93" s="3">
        <v>0.71819509999999998</v>
      </c>
      <c r="G93" s="3">
        <v>0.73103899999999999</v>
      </c>
      <c r="H93" s="3">
        <v>0.74567240000000001</v>
      </c>
      <c r="I93" s="3">
        <v>0.75993339999999998</v>
      </c>
      <c r="J93" s="3">
        <v>0.77355280000000004</v>
      </c>
      <c r="K93" s="3">
        <v>0.78624810000000001</v>
      </c>
      <c r="L93" s="3">
        <v>0.79770700000000005</v>
      </c>
      <c r="M93" s="3">
        <v>0.80820069999999999</v>
      </c>
      <c r="N93" s="3">
        <v>0.81822459999999997</v>
      </c>
      <c r="O93" s="3">
        <v>0.82814160000000003</v>
      </c>
      <c r="P93" s="3">
        <v>0.83817920000000001</v>
      </c>
      <c r="Q93" s="3">
        <v>0.8484199</v>
      </c>
      <c r="R93" s="3">
        <v>0.8587745</v>
      </c>
      <c r="S93" s="3">
        <v>0.86911349999999998</v>
      </c>
      <c r="T93" s="3">
        <v>0.87930739999999996</v>
      </c>
      <c r="U93" s="3">
        <v>0.88922679999999998</v>
      </c>
      <c r="V93" s="3">
        <v>0.89874209999999999</v>
      </c>
      <c r="W93" s="3">
        <v>0.90774350000000004</v>
      </c>
      <c r="X93" s="3">
        <v>0.91624360000000005</v>
      </c>
      <c r="Y93" s="3">
        <v>0.92430250000000003</v>
      </c>
      <c r="Z93" s="3">
        <v>0.93198040000000004</v>
      </c>
      <c r="AA93" s="3">
        <v>0.93933750000000005</v>
      </c>
      <c r="AB93" s="3">
        <v>0.946434</v>
      </c>
      <c r="AC93" s="3">
        <v>0.95332269999999997</v>
      </c>
      <c r="AD93" s="3">
        <v>0.96002299999999996</v>
      </c>
      <c r="AE93" s="3">
        <v>0.96654530000000005</v>
      </c>
      <c r="AF93" s="3">
        <v>0.97289990000000004</v>
      </c>
      <c r="AG93" s="3">
        <v>0.97909729999999995</v>
      </c>
      <c r="AH93" s="3">
        <v>0.98514780000000002</v>
      </c>
      <c r="AI93" s="3">
        <v>0.99106170000000005</v>
      </c>
      <c r="AJ93" s="3">
        <v>0.99684950000000005</v>
      </c>
      <c r="AK93" s="3">
        <v>1.0025215000000001</v>
      </c>
      <c r="AL93" s="3">
        <v>1.0080880000000001</v>
      </c>
      <c r="AM93" s="3">
        <v>1.0135594999999999</v>
      </c>
      <c r="AN93" s="3">
        <v>1.0189463000000001</v>
      </c>
      <c r="AO93" s="3">
        <v>1.0242579000000001</v>
      </c>
      <c r="AP93" s="3">
        <v>1.0294988</v>
      </c>
      <c r="AQ93" s="3">
        <v>1.0346715</v>
      </c>
      <c r="AR93" s="3">
        <v>1.0397786</v>
      </c>
      <c r="AS93" s="3">
        <v>1.0448227000000001</v>
      </c>
      <c r="AT93" s="3">
        <v>1.0498064</v>
      </c>
      <c r="AU93" s="3">
        <v>1.0547321999999999</v>
      </c>
      <c r="AV93" s="3">
        <v>1.0596026999999999</v>
      </c>
      <c r="AW93" s="3">
        <v>1.0644203999999999</v>
      </c>
      <c r="AX93" s="3">
        <v>1.069188</v>
      </c>
      <c r="AY93" s="3">
        <v>1.0739080000000001</v>
      </c>
      <c r="AZ93" s="3">
        <v>1.0785829</v>
      </c>
      <c r="BA93" s="3">
        <v>1.0832155999999999</v>
      </c>
      <c r="BB93" s="3">
        <v>1.0878094</v>
      </c>
      <c r="BC93" s="3">
        <v>1.0923681000000001</v>
      </c>
      <c r="BD93" s="3">
        <v>1.0968954</v>
      </c>
      <c r="BE93" s="3">
        <v>1.1013949999999999</v>
      </c>
      <c r="BF93" s="3">
        <v>1.1058706</v>
      </c>
      <c r="BG93" s="3">
        <v>1.1103259999999999</v>
      </c>
      <c r="BH93" s="3">
        <v>1.1147648999999999</v>
      </c>
      <c r="BI93" s="3">
        <v>1.1191909</v>
      </c>
      <c r="BJ93" s="3">
        <v>1.1236079999999999</v>
      </c>
      <c r="BK93" s="3">
        <v>1.1280196</v>
      </c>
      <c r="BL93" s="3">
        <v>1.1324296</v>
      </c>
      <c r="BM93" s="3" t="e">
        <v>#N/A</v>
      </c>
      <c r="BN93" s="3" t="e">
        <v>#N/A</v>
      </c>
    </row>
    <row r="94" spans="1:66" x14ac:dyDescent="0.35">
      <c r="A94" s="5">
        <f t="shared" si="1"/>
        <v>43586</v>
      </c>
      <c r="B94" t="s">
        <v>171</v>
      </c>
      <c r="C94" s="2">
        <v>0.75</v>
      </c>
      <c r="D94" s="2">
        <v>0.71030000000000004</v>
      </c>
      <c r="E94" s="3">
        <v>0.7094895</v>
      </c>
      <c r="F94" s="3">
        <v>0.72023119999999996</v>
      </c>
      <c r="G94" s="3">
        <v>0.73725609999999997</v>
      </c>
      <c r="H94" s="3">
        <v>0.7551004</v>
      </c>
      <c r="I94" s="3">
        <v>0.76912170000000002</v>
      </c>
      <c r="J94" s="3">
        <v>0.77985450000000001</v>
      </c>
      <c r="K94" s="3">
        <v>0.78879189999999999</v>
      </c>
      <c r="L94" s="3">
        <v>0.79694449999999994</v>
      </c>
      <c r="M94" s="3">
        <v>0.80486400000000002</v>
      </c>
      <c r="N94" s="3">
        <v>0.81279480000000004</v>
      </c>
      <c r="O94" s="3">
        <v>0.82081519999999997</v>
      </c>
      <c r="P94" s="3">
        <v>0.82892920000000003</v>
      </c>
      <c r="Q94" s="3">
        <v>0.83716440000000003</v>
      </c>
      <c r="R94" s="3">
        <v>0.84547669999999997</v>
      </c>
      <c r="S94" s="3">
        <v>0.85379799999999995</v>
      </c>
      <c r="T94" s="3">
        <v>0.86205989999999999</v>
      </c>
      <c r="U94" s="3">
        <v>0.87019420000000003</v>
      </c>
      <c r="V94" s="3">
        <v>0.87813269999999999</v>
      </c>
      <c r="W94" s="3">
        <v>0.88581779999999999</v>
      </c>
      <c r="X94" s="3">
        <v>0.89325339999999998</v>
      </c>
      <c r="Y94" s="3">
        <v>0.9004645</v>
      </c>
      <c r="Z94" s="3">
        <v>0.90747650000000002</v>
      </c>
      <c r="AA94" s="3">
        <v>0.91431450000000003</v>
      </c>
      <c r="AB94" s="3">
        <v>0.92100389999999999</v>
      </c>
      <c r="AC94" s="3">
        <v>0.92756769999999999</v>
      </c>
      <c r="AD94" s="3">
        <v>0.9340157</v>
      </c>
      <c r="AE94" s="3">
        <v>0.94035290000000005</v>
      </c>
      <c r="AF94" s="3">
        <v>0.94658439999999999</v>
      </c>
      <c r="AG94" s="3">
        <v>0.95271519999999998</v>
      </c>
      <c r="AH94" s="3">
        <v>0.9587502</v>
      </c>
      <c r="AI94" s="3">
        <v>0.96469459999999996</v>
      </c>
      <c r="AJ94" s="3">
        <v>0.9705532</v>
      </c>
      <c r="AK94" s="3">
        <v>0.97633110000000001</v>
      </c>
      <c r="AL94" s="3">
        <v>0.9820333</v>
      </c>
      <c r="AM94" s="3">
        <v>0.98766489999999996</v>
      </c>
      <c r="AN94" s="3">
        <v>0.99323070000000002</v>
      </c>
      <c r="AO94" s="3">
        <v>0.99873509999999999</v>
      </c>
      <c r="AP94" s="3">
        <v>1.0041774000000001</v>
      </c>
      <c r="AQ94" s="3">
        <v>1.0095556999999999</v>
      </c>
      <c r="AR94" s="3">
        <v>1.0148680000000001</v>
      </c>
      <c r="AS94" s="3">
        <v>1.0201123000000001</v>
      </c>
      <c r="AT94" s="3">
        <v>1.0252865</v>
      </c>
      <c r="AU94" s="3">
        <v>1.0303887</v>
      </c>
      <c r="AV94" s="3">
        <v>1.0354167999999999</v>
      </c>
      <c r="AW94" s="3">
        <v>1.0403686999999999</v>
      </c>
      <c r="AX94" s="3">
        <v>1.0452425999999999</v>
      </c>
      <c r="AY94" s="3">
        <v>1.0500362999999999</v>
      </c>
      <c r="AZ94" s="3">
        <v>1.0547479</v>
      </c>
      <c r="BA94" s="3">
        <v>1.0593760999999999</v>
      </c>
      <c r="BB94" s="3">
        <v>1.0639240000000001</v>
      </c>
      <c r="BC94" s="3">
        <v>1.0683955999999999</v>
      </c>
      <c r="BD94" s="3">
        <v>1.0727952000000001</v>
      </c>
      <c r="BE94" s="3">
        <v>1.0771269999999999</v>
      </c>
      <c r="BF94" s="3">
        <v>1.0813950000000001</v>
      </c>
      <c r="BG94" s="3">
        <v>1.0856036</v>
      </c>
      <c r="BH94" s="3">
        <v>1.0897568</v>
      </c>
      <c r="BI94" s="3">
        <v>1.0938589000000001</v>
      </c>
      <c r="BJ94" s="3">
        <v>1.0979140000000001</v>
      </c>
      <c r="BK94" s="3">
        <v>1.1019262999999999</v>
      </c>
      <c r="BL94" s="3">
        <v>1.1058999</v>
      </c>
      <c r="BM94" s="3" t="e">
        <v>#N/A</v>
      </c>
      <c r="BN94" s="3" t="e">
        <v>#N/A</v>
      </c>
    </row>
    <row r="95" spans="1:66" x14ac:dyDescent="0.35">
      <c r="A95" s="5">
        <f t="shared" si="1"/>
        <v>43587</v>
      </c>
      <c r="B95" t="s">
        <v>172</v>
      </c>
      <c r="C95" s="2">
        <v>0.75</v>
      </c>
      <c r="D95" s="2">
        <v>0.7107</v>
      </c>
      <c r="E95" s="3">
        <v>0.71034909999999996</v>
      </c>
      <c r="F95" s="3">
        <v>0.71698910000000005</v>
      </c>
      <c r="G95" s="3">
        <v>0.72745939999999998</v>
      </c>
      <c r="H95" s="3">
        <v>0.74011059999999995</v>
      </c>
      <c r="I95" s="3">
        <v>0.75301479999999998</v>
      </c>
      <c r="J95" s="3">
        <v>0.76622440000000003</v>
      </c>
      <c r="K95" s="3">
        <v>0.77979089999999995</v>
      </c>
      <c r="L95" s="3">
        <v>0.79330610000000001</v>
      </c>
      <c r="M95" s="3">
        <v>0.80636379999999996</v>
      </c>
      <c r="N95" s="3">
        <v>0.81866349999999999</v>
      </c>
      <c r="O95" s="3">
        <v>0.83011729999999995</v>
      </c>
      <c r="P95" s="3">
        <v>0.8408506</v>
      </c>
      <c r="Q95" s="3">
        <v>0.8511339</v>
      </c>
      <c r="R95" s="3">
        <v>0.86110529999999996</v>
      </c>
      <c r="S95" s="3">
        <v>0.87083900000000003</v>
      </c>
      <c r="T95" s="3">
        <v>0.88040929999999995</v>
      </c>
      <c r="U95" s="3">
        <v>0.88989030000000002</v>
      </c>
      <c r="V95" s="3">
        <v>0.89935609999999999</v>
      </c>
      <c r="W95" s="3">
        <v>0.90886560000000005</v>
      </c>
      <c r="X95" s="3">
        <v>0.91839760000000004</v>
      </c>
      <c r="Y95" s="3">
        <v>0.92790589999999995</v>
      </c>
      <c r="Z95" s="3">
        <v>0.93734390000000001</v>
      </c>
      <c r="AA95" s="3">
        <v>0.94666530000000004</v>
      </c>
      <c r="AB95" s="3">
        <v>0.95582370000000005</v>
      </c>
      <c r="AC95" s="3">
        <v>0.96477789999999997</v>
      </c>
      <c r="AD95" s="3">
        <v>0.97351620000000005</v>
      </c>
      <c r="AE95" s="3">
        <v>0.98203600000000002</v>
      </c>
      <c r="AF95" s="3">
        <v>0.99033519999999997</v>
      </c>
      <c r="AG95" s="3">
        <v>0.99841139999999995</v>
      </c>
      <c r="AH95" s="3">
        <v>1.0062624</v>
      </c>
      <c r="AI95" s="3">
        <v>1.0138859</v>
      </c>
      <c r="AJ95" s="3">
        <v>1.0212794999999999</v>
      </c>
      <c r="AK95" s="3">
        <v>1.0284411</v>
      </c>
      <c r="AL95" s="3">
        <v>1.0353683</v>
      </c>
      <c r="AM95" s="3">
        <v>1.0420588</v>
      </c>
      <c r="AN95" s="3">
        <v>1.0485103</v>
      </c>
      <c r="AO95" s="3">
        <v>1.0547226000000001</v>
      </c>
      <c r="AP95" s="3">
        <v>1.0607049</v>
      </c>
      <c r="AQ95" s="3">
        <v>1.0664693999999999</v>
      </c>
      <c r="AR95" s="3">
        <v>1.0720282000000001</v>
      </c>
      <c r="AS95" s="3">
        <v>1.0773937</v>
      </c>
      <c r="AT95" s="3">
        <v>1.082578</v>
      </c>
      <c r="AU95" s="3">
        <v>1.0875933</v>
      </c>
      <c r="AV95" s="3">
        <v>1.0924518000000001</v>
      </c>
      <c r="AW95" s="3">
        <v>1.0971656999999999</v>
      </c>
      <c r="AX95" s="3">
        <v>1.1017471999999999</v>
      </c>
      <c r="AY95" s="3">
        <v>1.1062086</v>
      </c>
      <c r="AZ95" s="3">
        <v>1.1105619</v>
      </c>
      <c r="BA95" s="3">
        <v>1.1148188000000001</v>
      </c>
      <c r="BB95" s="3">
        <v>1.1189872999999999</v>
      </c>
      <c r="BC95" s="3">
        <v>1.123075</v>
      </c>
      <c r="BD95" s="3">
        <v>1.1270891000000001</v>
      </c>
      <c r="BE95" s="3">
        <v>1.1310370999999999</v>
      </c>
      <c r="BF95" s="3">
        <v>1.1349262</v>
      </c>
      <c r="BG95" s="3">
        <v>1.1387638</v>
      </c>
      <c r="BH95" s="3">
        <v>1.1425573</v>
      </c>
      <c r="BI95" s="3">
        <v>1.1463140999999999</v>
      </c>
      <c r="BJ95" s="3">
        <v>1.1500414999999999</v>
      </c>
      <c r="BK95" s="3">
        <v>1.1537469</v>
      </c>
      <c r="BL95" s="3">
        <v>1.1574374999999999</v>
      </c>
      <c r="BM95" s="3" t="e">
        <v>#N/A</v>
      </c>
      <c r="BN95" s="3" t="e">
        <v>#N/A</v>
      </c>
    </row>
    <row r="96" spans="1:66" x14ac:dyDescent="0.35">
      <c r="A96" s="5">
        <f t="shared" si="1"/>
        <v>43588</v>
      </c>
      <c r="B96" t="s">
        <v>173</v>
      </c>
      <c r="C96" s="2">
        <v>0.75</v>
      </c>
      <c r="D96" s="2">
        <v>0.70979999999999999</v>
      </c>
      <c r="E96" s="3">
        <v>0.70984309999999995</v>
      </c>
      <c r="F96" s="3">
        <v>0.71660880000000005</v>
      </c>
      <c r="G96" s="3">
        <v>0.72776560000000001</v>
      </c>
      <c r="H96" s="3">
        <v>0.74247379999999996</v>
      </c>
      <c r="I96" s="3">
        <v>0.75928600000000002</v>
      </c>
      <c r="J96" s="3">
        <v>0.77714970000000005</v>
      </c>
      <c r="K96" s="3">
        <v>0.79473720000000003</v>
      </c>
      <c r="L96" s="3">
        <v>0.81096109999999999</v>
      </c>
      <c r="M96" s="3">
        <v>0.82562489999999999</v>
      </c>
      <c r="N96" s="3">
        <v>0.83908669999999996</v>
      </c>
      <c r="O96" s="3">
        <v>0.85192650000000003</v>
      </c>
      <c r="P96" s="3">
        <v>0.86461220000000005</v>
      </c>
      <c r="Q96" s="3">
        <v>0.87731619999999999</v>
      </c>
      <c r="R96" s="3">
        <v>0.89000869999999999</v>
      </c>
      <c r="S96" s="3">
        <v>0.9026149</v>
      </c>
      <c r="T96" s="3">
        <v>0.91506030000000005</v>
      </c>
      <c r="U96" s="3">
        <v>0.92727029999999999</v>
      </c>
      <c r="V96" s="3">
        <v>0.93917030000000001</v>
      </c>
      <c r="W96" s="3">
        <v>0.95069369999999997</v>
      </c>
      <c r="X96" s="3">
        <v>0.96181439999999996</v>
      </c>
      <c r="Y96" s="3">
        <v>0.97251940000000003</v>
      </c>
      <c r="Z96" s="3">
        <v>0.98279550000000004</v>
      </c>
      <c r="AA96" s="3">
        <v>0.99262989999999995</v>
      </c>
      <c r="AB96" s="3">
        <v>1.0020093999999999</v>
      </c>
      <c r="AC96" s="3">
        <v>1.0109262000000001</v>
      </c>
      <c r="AD96" s="3">
        <v>1.0193981000000001</v>
      </c>
      <c r="AE96" s="3">
        <v>1.0274509000000001</v>
      </c>
      <c r="AF96" s="3">
        <v>1.03511</v>
      </c>
      <c r="AG96" s="3">
        <v>1.0424011</v>
      </c>
      <c r="AH96" s="3">
        <v>1.0493498999999999</v>
      </c>
      <c r="AI96" s="3">
        <v>1.0559818000000001</v>
      </c>
      <c r="AJ96" s="3">
        <v>1.0623227</v>
      </c>
      <c r="AK96" s="3">
        <v>1.068398</v>
      </c>
      <c r="AL96" s="3">
        <v>1.0742332999999999</v>
      </c>
      <c r="AM96" s="3">
        <v>1.0798544000000001</v>
      </c>
      <c r="AN96" s="3">
        <v>1.0852868</v>
      </c>
      <c r="AO96" s="3">
        <v>1.0905536</v>
      </c>
      <c r="AP96" s="3">
        <v>1.0956665999999999</v>
      </c>
      <c r="AQ96" s="3">
        <v>1.1006346</v>
      </c>
      <c r="AR96" s="3">
        <v>1.1054664000000001</v>
      </c>
      <c r="AS96" s="3">
        <v>1.1101707999999999</v>
      </c>
      <c r="AT96" s="3">
        <v>1.1147564999999999</v>
      </c>
      <c r="AU96" s="3">
        <v>1.1192323</v>
      </c>
      <c r="AV96" s="3">
        <v>1.1236069</v>
      </c>
      <c r="AW96" s="3">
        <v>1.1278892</v>
      </c>
      <c r="AX96" s="3">
        <v>1.1320878000000001</v>
      </c>
      <c r="AY96" s="3">
        <v>1.1362116</v>
      </c>
      <c r="AZ96" s="3">
        <v>1.1402694</v>
      </c>
      <c r="BA96" s="3">
        <v>1.1442691</v>
      </c>
      <c r="BB96" s="3">
        <v>1.1482161</v>
      </c>
      <c r="BC96" s="3">
        <v>1.1521146</v>
      </c>
      <c r="BD96" s="3">
        <v>1.1559691000000001</v>
      </c>
      <c r="BE96" s="3">
        <v>1.1597839999999999</v>
      </c>
      <c r="BF96" s="3">
        <v>1.1635636</v>
      </c>
      <c r="BG96" s="3">
        <v>1.1673123000000001</v>
      </c>
      <c r="BH96" s="3">
        <v>1.1710345</v>
      </c>
      <c r="BI96" s="3">
        <v>1.1747346000000001</v>
      </c>
      <c r="BJ96" s="3">
        <v>1.1784169</v>
      </c>
      <c r="BK96" s="3">
        <v>1.1820858999999999</v>
      </c>
      <c r="BL96" s="3">
        <v>1.1857458999999999</v>
      </c>
      <c r="BM96" s="3" t="e">
        <v>#N/A</v>
      </c>
      <c r="BN96" s="3" t="e">
        <v>#N/A</v>
      </c>
    </row>
    <row r="97" spans="1:66" x14ac:dyDescent="0.35">
      <c r="A97" s="5">
        <f t="shared" si="1"/>
        <v>43591</v>
      </c>
      <c r="B97" t="s">
        <v>174</v>
      </c>
      <c r="C97" s="2">
        <v>0.75</v>
      </c>
      <c r="D97" s="2" t="e">
        <v>#N/A</v>
      </c>
      <c r="E97" s="3" t="e">
        <v>#N/A</v>
      </c>
      <c r="F97" s="3" t="e">
        <v>#N/A</v>
      </c>
      <c r="G97" s="3" t="e">
        <v>#N/A</v>
      </c>
      <c r="H97" s="3" t="e">
        <v>#N/A</v>
      </c>
      <c r="I97" s="3" t="e">
        <v>#N/A</v>
      </c>
      <c r="J97" s="3" t="e">
        <v>#N/A</v>
      </c>
      <c r="K97" s="3" t="e">
        <v>#N/A</v>
      </c>
      <c r="L97" s="3" t="e">
        <v>#N/A</v>
      </c>
      <c r="M97" s="3" t="e">
        <v>#N/A</v>
      </c>
      <c r="N97" s="3" t="e">
        <v>#N/A</v>
      </c>
      <c r="O97" s="3" t="e">
        <v>#N/A</v>
      </c>
      <c r="P97" s="3" t="e">
        <v>#N/A</v>
      </c>
      <c r="Q97" s="3" t="e">
        <v>#N/A</v>
      </c>
      <c r="R97" s="3" t="e">
        <v>#N/A</v>
      </c>
      <c r="S97" s="3" t="e">
        <v>#N/A</v>
      </c>
      <c r="T97" s="3" t="e">
        <v>#N/A</v>
      </c>
      <c r="U97" s="3" t="e">
        <v>#N/A</v>
      </c>
      <c r="V97" s="3" t="e">
        <v>#N/A</v>
      </c>
      <c r="W97" s="3" t="e">
        <v>#N/A</v>
      </c>
      <c r="X97" s="3" t="e">
        <v>#N/A</v>
      </c>
      <c r="Y97" s="3" t="e">
        <v>#N/A</v>
      </c>
      <c r="Z97" s="3" t="e">
        <v>#N/A</v>
      </c>
      <c r="AA97" s="3" t="e">
        <v>#N/A</v>
      </c>
      <c r="AB97" s="3" t="e">
        <v>#N/A</v>
      </c>
      <c r="AC97" s="3" t="e">
        <v>#N/A</v>
      </c>
      <c r="AD97" s="3" t="e">
        <v>#N/A</v>
      </c>
      <c r="AE97" s="3" t="e">
        <v>#N/A</v>
      </c>
      <c r="AF97" s="3" t="e">
        <v>#N/A</v>
      </c>
      <c r="AG97" s="3" t="e">
        <v>#N/A</v>
      </c>
      <c r="AH97" s="3" t="e">
        <v>#N/A</v>
      </c>
      <c r="AI97" s="3" t="e">
        <v>#N/A</v>
      </c>
      <c r="AJ97" s="3" t="e">
        <v>#N/A</v>
      </c>
      <c r="AK97" s="3" t="e">
        <v>#N/A</v>
      </c>
      <c r="AL97" s="3" t="e">
        <v>#N/A</v>
      </c>
      <c r="AM97" s="3" t="e">
        <v>#N/A</v>
      </c>
      <c r="AN97" s="3" t="e">
        <v>#N/A</v>
      </c>
      <c r="AO97" s="3" t="e">
        <v>#N/A</v>
      </c>
      <c r="AP97" s="3" t="e">
        <v>#N/A</v>
      </c>
      <c r="AQ97" s="3" t="e">
        <v>#N/A</v>
      </c>
      <c r="AR97" s="3" t="e">
        <v>#N/A</v>
      </c>
      <c r="AS97" s="3" t="e">
        <v>#N/A</v>
      </c>
      <c r="AT97" s="3" t="e">
        <v>#N/A</v>
      </c>
      <c r="AU97" s="3" t="e">
        <v>#N/A</v>
      </c>
      <c r="AV97" s="3" t="e">
        <v>#N/A</v>
      </c>
      <c r="AW97" s="3" t="e">
        <v>#N/A</v>
      </c>
      <c r="AX97" s="3" t="e">
        <v>#N/A</v>
      </c>
      <c r="AY97" s="3" t="e">
        <v>#N/A</v>
      </c>
      <c r="AZ97" s="3" t="e">
        <v>#N/A</v>
      </c>
      <c r="BA97" s="3" t="e">
        <v>#N/A</v>
      </c>
      <c r="BB97" s="3" t="e">
        <v>#N/A</v>
      </c>
      <c r="BC97" s="3" t="e">
        <v>#N/A</v>
      </c>
      <c r="BD97" s="3" t="e">
        <v>#N/A</v>
      </c>
      <c r="BE97" s="3" t="e">
        <v>#N/A</v>
      </c>
      <c r="BF97" s="3" t="e">
        <v>#N/A</v>
      </c>
      <c r="BG97" s="3" t="e">
        <v>#N/A</v>
      </c>
      <c r="BH97" s="3" t="e">
        <v>#N/A</v>
      </c>
      <c r="BI97" s="3" t="e">
        <v>#N/A</v>
      </c>
      <c r="BJ97" s="3" t="e">
        <v>#N/A</v>
      </c>
      <c r="BK97" s="3" t="e">
        <v>#N/A</v>
      </c>
      <c r="BL97" s="3" t="e">
        <v>#N/A</v>
      </c>
      <c r="BM97" s="3" t="e">
        <v>#N/A</v>
      </c>
      <c r="BN97" s="3" t="e">
        <v>#N/A</v>
      </c>
    </row>
    <row r="98" spans="1:66" x14ac:dyDescent="0.35">
      <c r="A98" s="5">
        <f t="shared" si="1"/>
        <v>43592</v>
      </c>
      <c r="B98" t="s">
        <v>175</v>
      </c>
      <c r="C98" s="2">
        <v>0.75</v>
      </c>
      <c r="D98" s="2">
        <v>0.70940000000000003</v>
      </c>
      <c r="E98" s="3">
        <v>0.70955349999999995</v>
      </c>
      <c r="F98" s="3">
        <v>0.71578759999999997</v>
      </c>
      <c r="G98" s="3">
        <v>0.72492440000000002</v>
      </c>
      <c r="H98" s="3">
        <v>0.73537660000000005</v>
      </c>
      <c r="I98" s="3">
        <v>0.74659430000000004</v>
      </c>
      <c r="J98" s="3">
        <v>0.75848760000000004</v>
      </c>
      <c r="K98" s="3">
        <v>0.77010710000000004</v>
      </c>
      <c r="L98" s="3">
        <v>0.78068000000000004</v>
      </c>
      <c r="M98" s="3">
        <v>0.79030270000000002</v>
      </c>
      <c r="N98" s="3">
        <v>0.79948549999999996</v>
      </c>
      <c r="O98" s="3">
        <v>0.80880079999999999</v>
      </c>
      <c r="P98" s="3">
        <v>0.81863940000000002</v>
      </c>
      <c r="Q98" s="3">
        <v>0.82896860000000006</v>
      </c>
      <c r="R98" s="3">
        <v>0.83964899999999998</v>
      </c>
      <c r="S98" s="3">
        <v>0.85054209999999997</v>
      </c>
      <c r="T98" s="3">
        <v>0.86150990000000005</v>
      </c>
      <c r="U98" s="3">
        <v>0.87241400000000002</v>
      </c>
      <c r="V98" s="3">
        <v>0.88311620000000002</v>
      </c>
      <c r="W98" s="3">
        <v>0.89349299999999998</v>
      </c>
      <c r="X98" s="3">
        <v>0.90351309999999996</v>
      </c>
      <c r="Y98" s="3">
        <v>0.91318100000000002</v>
      </c>
      <c r="Z98" s="3">
        <v>0.92250129999999997</v>
      </c>
      <c r="AA98" s="3">
        <v>0.93147840000000004</v>
      </c>
      <c r="AB98" s="3">
        <v>0.94011699999999998</v>
      </c>
      <c r="AC98" s="3">
        <v>0.94842340000000003</v>
      </c>
      <c r="AD98" s="3">
        <v>0.95641200000000004</v>
      </c>
      <c r="AE98" s="3">
        <v>0.9640997</v>
      </c>
      <c r="AF98" s="3">
        <v>0.97150309999999995</v>
      </c>
      <c r="AG98" s="3">
        <v>0.97863889999999998</v>
      </c>
      <c r="AH98" s="3">
        <v>0.98552399999999996</v>
      </c>
      <c r="AI98" s="3">
        <v>0.99217489999999997</v>
      </c>
      <c r="AJ98" s="3">
        <v>0.99860839999999995</v>
      </c>
      <c r="AK98" s="3">
        <v>1.0048413</v>
      </c>
      <c r="AL98" s="3">
        <v>1.0108903</v>
      </c>
      <c r="AM98" s="3">
        <v>1.016772</v>
      </c>
      <c r="AN98" s="3">
        <v>1.0225032000000001</v>
      </c>
      <c r="AO98" s="3">
        <v>1.0280990999999999</v>
      </c>
      <c r="AP98" s="3">
        <v>1.0335664</v>
      </c>
      <c r="AQ98" s="3">
        <v>1.0389088</v>
      </c>
      <c r="AR98" s="3">
        <v>1.0441303</v>
      </c>
      <c r="AS98" s="3">
        <v>1.0492345999999999</v>
      </c>
      <c r="AT98" s="3">
        <v>1.0542256999999999</v>
      </c>
      <c r="AU98" s="3">
        <v>1.0591073</v>
      </c>
      <c r="AV98" s="3">
        <v>1.0638833000000001</v>
      </c>
      <c r="AW98" s="3">
        <v>1.0685576000000001</v>
      </c>
      <c r="AX98" s="3">
        <v>1.073134</v>
      </c>
      <c r="AY98" s="3">
        <v>1.0776163000000001</v>
      </c>
      <c r="AZ98" s="3">
        <v>1.0820083</v>
      </c>
      <c r="BA98" s="3">
        <v>1.0863143</v>
      </c>
      <c r="BB98" s="3">
        <v>1.0905399</v>
      </c>
      <c r="BC98" s="3">
        <v>1.0946912</v>
      </c>
      <c r="BD98" s="3">
        <v>1.0987743999999999</v>
      </c>
      <c r="BE98" s="3">
        <v>1.1027955</v>
      </c>
      <c r="BF98" s="3">
        <v>1.1067606999999999</v>
      </c>
      <c r="BG98" s="3">
        <v>1.1106761000000001</v>
      </c>
      <c r="BH98" s="3">
        <v>1.1145478</v>
      </c>
      <c r="BI98" s="3">
        <v>1.118382</v>
      </c>
      <c r="BJ98" s="3">
        <v>1.1221848000000001</v>
      </c>
      <c r="BK98" s="3">
        <v>1.1259622</v>
      </c>
      <c r="BL98" s="3">
        <v>1.1297204999999999</v>
      </c>
      <c r="BM98" s="3" t="e">
        <v>#N/A</v>
      </c>
      <c r="BN98" s="3" t="e">
        <v>#N/A</v>
      </c>
    </row>
    <row r="99" spans="1:66" x14ac:dyDescent="0.35">
      <c r="A99" s="5">
        <f t="shared" si="1"/>
        <v>43593</v>
      </c>
      <c r="B99" t="s">
        <v>176</v>
      </c>
      <c r="C99" s="2">
        <v>0.75</v>
      </c>
      <c r="D99" s="2">
        <v>0.70920000000000005</v>
      </c>
      <c r="E99" s="3">
        <v>0.70952769999999998</v>
      </c>
      <c r="F99" s="3">
        <v>0.71337830000000002</v>
      </c>
      <c r="G99" s="3">
        <v>0.71972579999999997</v>
      </c>
      <c r="H99" s="3">
        <v>0.72734679999999996</v>
      </c>
      <c r="I99" s="3">
        <v>0.73619040000000002</v>
      </c>
      <c r="J99" s="3">
        <v>0.74643769999999998</v>
      </c>
      <c r="K99" s="3">
        <v>0.75738709999999998</v>
      </c>
      <c r="L99" s="3">
        <v>0.76821530000000005</v>
      </c>
      <c r="M99" s="3">
        <v>0.77869100000000002</v>
      </c>
      <c r="N99" s="3">
        <v>0.78899699999999995</v>
      </c>
      <c r="O99" s="3">
        <v>0.79950790000000005</v>
      </c>
      <c r="P99" s="3">
        <v>0.81047999999999998</v>
      </c>
      <c r="Q99" s="3">
        <v>0.82177140000000004</v>
      </c>
      <c r="R99" s="3">
        <v>0.83322110000000005</v>
      </c>
      <c r="S99" s="3">
        <v>0.84469399999999994</v>
      </c>
      <c r="T99" s="3">
        <v>0.85605529999999996</v>
      </c>
      <c r="U99" s="3">
        <v>0.86716990000000005</v>
      </c>
      <c r="V99" s="3">
        <v>0.87790290000000004</v>
      </c>
      <c r="W99" s="3">
        <v>0.88813799999999998</v>
      </c>
      <c r="X99" s="3">
        <v>0.89786589999999999</v>
      </c>
      <c r="Y99" s="3">
        <v>0.90711459999999999</v>
      </c>
      <c r="Z99" s="3">
        <v>0.91591219999999995</v>
      </c>
      <c r="AA99" s="3">
        <v>0.92428699999999997</v>
      </c>
      <c r="AB99" s="3">
        <v>0.93226690000000001</v>
      </c>
      <c r="AC99" s="3">
        <v>0.93987989999999999</v>
      </c>
      <c r="AD99" s="3">
        <v>0.94715210000000005</v>
      </c>
      <c r="AE99" s="3">
        <v>0.95410899999999998</v>
      </c>
      <c r="AF99" s="3">
        <v>0.96077610000000002</v>
      </c>
      <c r="AG99" s="3">
        <v>0.96717909999999996</v>
      </c>
      <c r="AH99" s="3">
        <v>0.97334350000000003</v>
      </c>
      <c r="AI99" s="3">
        <v>0.97929489999999997</v>
      </c>
      <c r="AJ99" s="3">
        <v>0.98505880000000001</v>
      </c>
      <c r="AK99" s="3">
        <v>0.99066080000000001</v>
      </c>
      <c r="AL99" s="3">
        <v>0.99612650000000003</v>
      </c>
      <c r="AM99" s="3">
        <v>1.0014814000000001</v>
      </c>
      <c r="AN99" s="3">
        <v>1.006751</v>
      </c>
      <c r="AO99" s="3">
        <v>1.0119574</v>
      </c>
      <c r="AP99" s="3">
        <v>1.0171051</v>
      </c>
      <c r="AQ99" s="3">
        <v>1.0221933999999999</v>
      </c>
      <c r="AR99" s="3">
        <v>1.0272215</v>
      </c>
      <c r="AS99" s="3">
        <v>1.0321885</v>
      </c>
      <c r="AT99" s="3">
        <v>1.0370938999999999</v>
      </c>
      <c r="AU99" s="3">
        <v>1.0419366999999999</v>
      </c>
      <c r="AV99" s="3">
        <v>1.0467162000000001</v>
      </c>
      <c r="AW99" s="3">
        <v>1.0514318</v>
      </c>
      <c r="AX99" s="3">
        <v>1.0560825</v>
      </c>
      <c r="AY99" s="3">
        <v>1.0606677</v>
      </c>
      <c r="AZ99" s="3">
        <v>1.0651866000000001</v>
      </c>
      <c r="BA99" s="3">
        <v>1.0696391000000001</v>
      </c>
      <c r="BB99" s="3">
        <v>1.0740284</v>
      </c>
      <c r="BC99" s="3">
        <v>1.0783583000000001</v>
      </c>
      <c r="BD99" s="3">
        <v>1.0826328000000001</v>
      </c>
      <c r="BE99" s="3">
        <v>1.0868559</v>
      </c>
      <c r="BF99" s="3">
        <v>1.0910316</v>
      </c>
      <c r="BG99" s="3">
        <v>1.0951637000000001</v>
      </c>
      <c r="BH99" s="3">
        <v>1.0992561999999999</v>
      </c>
      <c r="BI99" s="3">
        <v>1.1033131</v>
      </c>
      <c r="BJ99" s="3">
        <v>1.1073383000000001</v>
      </c>
      <c r="BK99" s="3">
        <v>1.1113358</v>
      </c>
      <c r="BL99" s="3">
        <v>1.1153095</v>
      </c>
      <c r="BM99" s="3" t="e">
        <v>#N/A</v>
      </c>
      <c r="BN99" s="3" t="e">
        <v>#N/A</v>
      </c>
    </row>
    <row r="100" spans="1:66" x14ac:dyDescent="0.35">
      <c r="A100" s="5">
        <f t="shared" si="1"/>
        <v>43594</v>
      </c>
      <c r="B100" t="s">
        <v>177</v>
      </c>
      <c r="C100" s="2">
        <v>0.75</v>
      </c>
      <c r="D100" s="2">
        <v>0.71030000000000004</v>
      </c>
      <c r="E100" s="3">
        <v>0.71084579999999997</v>
      </c>
      <c r="F100" s="3">
        <v>0.71628389999999997</v>
      </c>
      <c r="G100" s="3">
        <v>0.72166980000000003</v>
      </c>
      <c r="H100" s="3">
        <v>0.72612750000000004</v>
      </c>
      <c r="I100" s="3">
        <v>0.73121259999999999</v>
      </c>
      <c r="J100" s="3">
        <v>0.73828309999999997</v>
      </c>
      <c r="K100" s="3">
        <v>0.74688330000000003</v>
      </c>
      <c r="L100" s="3">
        <v>0.75592649999999995</v>
      </c>
      <c r="M100" s="3">
        <v>0.76474569999999997</v>
      </c>
      <c r="N100" s="3">
        <v>0.77329669999999995</v>
      </c>
      <c r="O100" s="3">
        <v>0.78196980000000005</v>
      </c>
      <c r="P100" s="3">
        <v>0.79116299999999995</v>
      </c>
      <c r="Q100" s="3">
        <v>0.80110459999999994</v>
      </c>
      <c r="R100" s="3">
        <v>0.81169780000000002</v>
      </c>
      <c r="S100" s="3">
        <v>0.82274590000000003</v>
      </c>
      <c r="T100" s="3">
        <v>0.83405200000000002</v>
      </c>
      <c r="U100" s="3">
        <v>0.84541940000000004</v>
      </c>
      <c r="V100" s="3">
        <v>0.8566511</v>
      </c>
      <c r="W100" s="3">
        <v>0.86757249999999997</v>
      </c>
      <c r="X100" s="3">
        <v>0.87812199999999996</v>
      </c>
      <c r="Y100" s="3">
        <v>0.88827429999999996</v>
      </c>
      <c r="Z100" s="3">
        <v>0.89800409999999997</v>
      </c>
      <c r="AA100" s="3">
        <v>0.90728589999999998</v>
      </c>
      <c r="AB100" s="3">
        <v>0.91609439999999998</v>
      </c>
      <c r="AC100" s="3">
        <v>0.9244116</v>
      </c>
      <c r="AD100" s="3">
        <v>0.93225449999999999</v>
      </c>
      <c r="AE100" s="3">
        <v>0.93965120000000002</v>
      </c>
      <c r="AF100" s="3">
        <v>0.94662939999999995</v>
      </c>
      <c r="AG100" s="3">
        <v>0.95321719999999999</v>
      </c>
      <c r="AH100" s="3">
        <v>0.95944229999999997</v>
      </c>
      <c r="AI100" s="3">
        <v>0.96533270000000004</v>
      </c>
      <c r="AJ100" s="3">
        <v>0.97091640000000001</v>
      </c>
      <c r="AK100" s="3">
        <v>0.97622109999999995</v>
      </c>
      <c r="AL100" s="3">
        <v>0.98127489999999995</v>
      </c>
      <c r="AM100" s="3">
        <v>0.98610549999999997</v>
      </c>
      <c r="AN100" s="3">
        <v>0.99074099999999998</v>
      </c>
      <c r="AO100" s="3">
        <v>0.99520739999999996</v>
      </c>
      <c r="AP100" s="3">
        <v>0.99952289999999999</v>
      </c>
      <c r="AQ100" s="3">
        <v>1.0037034</v>
      </c>
      <c r="AR100" s="3">
        <v>1.0077647999999999</v>
      </c>
      <c r="AS100" s="3">
        <v>1.0117229999999999</v>
      </c>
      <c r="AT100" s="3">
        <v>1.0155940999999999</v>
      </c>
      <c r="AU100" s="3">
        <v>1.0193939999999999</v>
      </c>
      <c r="AV100" s="3">
        <v>1.0231386</v>
      </c>
      <c r="AW100" s="3">
        <v>1.0268439</v>
      </c>
      <c r="AX100" s="3">
        <v>1.0305257000000001</v>
      </c>
      <c r="AY100" s="3">
        <v>1.0342001000000001</v>
      </c>
      <c r="AZ100" s="3">
        <v>1.0378829000000001</v>
      </c>
      <c r="BA100" s="3">
        <v>1.0415877</v>
      </c>
      <c r="BB100" s="3">
        <v>1.0453162</v>
      </c>
      <c r="BC100" s="3">
        <v>1.0490676000000001</v>
      </c>
      <c r="BD100" s="3">
        <v>1.0528405000000001</v>
      </c>
      <c r="BE100" s="3">
        <v>1.0566339</v>
      </c>
      <c r="BF100" s="3">
        <v>1.0604467</v>
      </c>
      <c r="BG100" s="3">
        <v>1.0642777999999999</v>
      </c>
      <c r="BH100" s="3">
        <v>1.0681259999999999</v>
      </c>
      <c r="BI100" s="3">
        <v>1.0719901000000001</v>
      </c>
      <c r="BJ100" s="3">
        <v>1.0758692000000001</v>
      </c>
      <c r="BK100" s="3">
        <v>1.0797620000000001</v>
      </c>
      <c r="BL100" s="3">
        <v>1.0836675</v>
      </c>
      <c r="BM100" s="3" t="e">
        <v>#N/A</v>
      </c>
      <c r="BN100" s="3" t="e">
        <v>#N/A</v>
      </c>
    </row>
    <row r="101" spans="1:66" x14ac:dyDescent="0.35">
      <c r="A101" s="5">
        <f t="shared" si="1"/>
        <v>43595</v>
      </c>
      <c r="B101" t="s">
        <v>178</v>
      </c>
      <c r="C101" s="2">
        <v>0.75</v>
      </c>
      <c r="D101" s="2">
        <v>0.70979999999999999</v>
      </c>
      <c r="E101" s="3">
        <v>0.7095863</v>
      </c>
      <c r="F101" s="3">
        <v>0.7140917</v>
      </c>
      <c r="G101" s="3">
        <v>0.71885790000000005</v>
      </c>
      <c r="H101" s="3">
        <v>0.72319080000000002</v>
      </c>
      <c r="I101" s="3">
        <v>0.7286532</v>
      </c>
      <c r="J101" s="3">
        <v>0.73631480000000005</v>
      </c>
      <c r="K101" s="3">
        <v>0.74548990000000004</v>
      </c>
      <c r="L101" s="3">
        <v>0.75498719999999997</v>
      </c>
      <c r="M101" s="3">
        <v>0.76418339999999996</v>
      </c>
      <c r="N101" s="3">
        <v>0.77307809999999999</v>
      </c>
      <c r="O101" s="3">
        <v>0.78206589999999998</v>
      </c>
      <c r="P101" s="3">
        <v>0.79147259999999997</v>
      </c>
      <c r="Q101" s="3">
        <v>0.80142060000000004</v>
      </c>
      <c r="R101" s="3">
        <v>0.81182880000000002</v>
      </c>
      <c r="S101" s="3">
        <v>0.82257139999999995</v>
      </c>
      <c r="T101" s="3">
        <v>0.8335224</v>
      </c>
      <c r="U101" s="3">
        <v>0.84455590000000003</v>
      </c>
      <c r="V101" s="3">
        <v>0.85554589999999997</v>
      </c>
      <c r="W101" s="3">
        <v>0.86637750000000002</v>
      </c>
      <c r="X101" s="3">
        <v>0.87699190000000005</v>
      </c>
      <c r="Y101" s="3">
        <v>0.88734840000000004</v>
      </c>
      <c r="Z101" s="3">
        <v>0.89740600000000004</v>
      </c>
      <c r="AA101" s="3">
        <v>0.90712409999999999</v>
      </c>
      <c r="AB101" s="3">
        <v>0.91646190000000005</v>
      </c>
      <c r="AC101" s="3">
        <v>0.92538790000000004</v>
      </c>
      <c r="AD101" s="3">
        <v>0.93391230000000003</v>
      </c>
      <c r="AE101" s="3">
        <v>0.94205689999999997</v>
      </c>
      <c r="AF101" s="3">
        <v>0.94984310000000005</v>
      </c>
      <c r="AG101" s="3">
        <v>0.95729280000000005</v>
      </c>
      <c r="AH101" s="3">
        <v>0.96442740000000005</v>
      </c>
      <c r="AI101" s="3">
        <v>0.97126860000000004</v>
      </c>
      <c r="AJ101" s="3">
        <v>0.97783819999999999</v>
      </c>
      <c r="AK101" s="3">
        <v>0.98415759999999997</v>
      </c>
      <c r="AL101" s="3">
        <v>0.99024860000000003</v>
      </c>
      <c r="AM101" s="3">
        <v>0.99613269999999998</v>
      </c>
      <c r="AN101" s="3">
        <v>1.0018317000000001</v>
      </c>
      <c r="AO101" s="3">
        <v>1.0073654000000001</v>
      </c>
      <c r="AP101" s="3">
        <v>1.0127459000000001</v>
      </c>
      <c r="AQ101" s="3">
        <v>1.0179830999999999</v>
      </c>
      <c r="AR101" s="3">
        <v>1.0230870000000001</v>
      </c>
      <c r="AS101" s="3">
        <v>1.0280674999999999</v>
      </c>
      <c r="AT101" s="3">
        <v>1.0329345999999999</v>
      </c>
      <c r="AU101" s="3">
        <v>1.0376981999999999</v>
      </c>
      <c r="AV101" s="3">
        <v>1.0423682000000001</v>
      </c>
      <c r="AW101" s="3">
        <v>1.0469546999999999</v>
      </c>
      <c r="AX101" s="3">
        <v>1.0514675</v>
      </c>
      <c r="AY101" s="3">
        <v>1.0559164999999999</v>
      </c>
      <c r="AZ101" s="3">
        <v>1.0603118</v>
      </c>
      <c r="BA101" s="3">
        <v>1.0646621000000001</v>
      </c>
      <c r="BB101" s="3">
        <v>1.0689706999999999</v>
      </c>
      <c r="BC101" s="3">
        <v>1.0732397</v>
      </c>
      <c r="BD101" s="3">
        <v>1.0774710000000001</v>
      </c>
      <c r="BE101" s="3">
        <v>1.0816664</v>
      </c>
      <c r="BF101" s="3">
        <v>1.085828</v>
      </c>
      <c r="BG101" s="3">
        <v>1.0899577</v>
      </c>
      <c r="BH101" s="3">
        <v>1.0940574000000001</v>
      </c>
      <c r="BI101" s="3">
        <v>1.0981291</v>
      </c>
      <c r="BJ101" s="3">
        <v>1.1021748</v>
      </c>
      <c r="BK101" s="3">
        <v>1.1061962999999999</v>
      </c>
      <c r="BL101" s="3">
        <v>1.1101955999999999</v>
      </c>
      <c r="BM101" s="3" t="e">
        <v>#N/A</v>
      </c>
      <c r="BN101" s="3" t="e">
        <v>#N/A</v>
      </c>
    </row>
    <row r="102" spans="1:66" x14ac:dyDescent="0.35">
      <c r="A102" s="5">
        <f t="shared" si="1"/>
        <v>43598</v>
      </c>
      <c r="B102" t="s">
        <v>179</v>
      </c>
      <c r="C102" s="2">
        <v>0.75</v>
      </c>
      <c r="D102" s="2">
        <v>0.70960000000000001</v>
      </c>
      <c r="E102" s="3">
        <v>0.71067270000000005</v>
      </c>
      <c r="F102" s="3">
        <v>0.71650610000000003</v>
      </c>
      <c r="G102" s="3">
        <v>0.72322679999999995</v>
      </c>
      <c r="H102" s="3">
        <v>0.73010699999999995</v>
      </c>
      <c r="I102" s="3">
        <v>0.73683359999999998</v>
      </c>
      <c r="J102" s="3">
        <v>0.74338389999999999</v>
      </c>
      <c r="K102" s="3">
        <v>0.7496678</v>
      </c>
      <c r="L102" s="3">
        <v>0.75568400000000002</v>
      </c>
      <c r="M102" s="3">
        <v>0.7616001</v>
      </c>
      <c r="N102" s="3">
        <v>0.76762450000000004</v>
      </c>
      <c r="O102" s="3">
        <v>0.77391860000000001</v>
      </c>
      <c r="P102" s="3">
        <v>0.78054400000000002</v>
      </c>
      <c r="Q102" s="3">
        <v>0.78738859999999999</v>
      </c>
      <c r="R102" s="3">
        <v>0.79439709999999997</v>
      </c>
      <c r="S102" s="3">
        <v>0.80154579999999997</v>
      </c>
      <c r="T102" s="3">
        <v>0.80881130000000001</v>
      </c>
      <c r="U102" s="3">
        <v>0.8161699</v>
      </c>
      <c r="V102" s="3">
        <v>0.82359819999999995</v>
      </c>
      <c r="W102" s="3">
        <v>0.83107370000000003</v>
      </c>
      <c r="X102" s="3">
        <v>0.83858060000000001</v>
      </c>
      <c r="Y102" s="3">
        <v>0.846105</v>
      </c>
      <c r="Z102" s="3">
        <v>0.85363299999999998</v>
      </c>
      <c r="AA102" s="3">
        <v>0.86115070000000005</v>
      </c>
      <c r="AB102" s="3">
        <v>0.86864430000000004</v>
      </c>
      <c r="AC102" s="3">
        <v>0.87610100000000002</v>
      </c>
      <c r="AD102" s="3">
        <v>0.8835134</v>
      </c>
      <c r="AE102" s="3">
        <v>0.89087539999999998</v>
      </c>
      <c r="AF102" s="3">
        <v>0.89818120000000001</v>
      </c>
      <c r="AG102" s="3">
        <v>0.90542449999999997</v>
      </c>
      <c r="AH102" s="3">
        <v>0.91259950000000001</v>
      </c>
      <c r="AI102" s="3">
        <v>0.91970019999999997</v>
      </c>
      <c r="AJ102" s="3">
        <v>0.9267204</v>
      </c>
      <c r="AK102" s="3">
        <v>0.93365419999999999</v>
      </c>
      <c r="AL102" s="3">
        <v>0.94049559999999999</v>
      </c>
      <c r="AM102" s="3">
        <v>0.94723860000000004</v>
      </c>
      <c r="AN102" s="3">
        <v>0.95387710000000003</v>
      </c>
      <c r="AO102" s="3">
        <v>0.96040610000000004</v>
      </c>
      <c r="AP102" s="3">
        <v>0.9668253</v>
      </c>
      <c r="AQ102" s="3">
        <v>0.97313519999999998</v>
      </c>
      <c r="AR102" s="3">
        <v>0.97933669999999995</v>
      </c>
      <c r="AS102" s="3">
        <v>0.98543060000000005</v>
      </c>
      <c r="AT102" s="3">
        <v>0.9914174</v>
      </c>
      <c r="AU102" s="3">
        <v>0.99729809999999997</v>
      </c>
      <c r="AV102" s="3">
        <v>1.0030733999999999</v>
      </c>
      <c r="AW102" s="3">
        <v>1.0087439</v>
      </c>
      <c r="AX102" s="3">
        <v>1.0143106</v>
      </c>
      <c r="AY102" s="3">
        <v>1.019774</v>
      </c>
      <c r="AZ102" s="3">
        <v>1.0251349999999999</v>
      </c>
      <c r="BA102" s="3">
        <v>1.0303948000000001</v>
      </c>
      <c r="BB102" s="3">
        <v>1.0355574000000001</v>
      </c>
      <c r="BC102" s="3">
        <v>1.0406279000000001</v>
      </c>
      <c r="BD102" s="3">
        <v>1.0456113</v>
      </c>
      <c r="BE102" s="3">
        <v>1.0505123999999999</v>
      </c>
      <c r="BF102" s="3">
        <v>1.0553363</v>
      </c>
      <c r="BG102" s="3">
        <v>1.0600879000000001</v>
      </c>
      <c r="BH102" s="3">
        <v>1.0647721999999999</v>
      </c>
      <c r="BI102" s="3">
        <v>1.0693942000000001</v>
      </c>
      <c r="BJ102" s="3">
        <v>1.0739589</v>
      </c>
      <c r="BK102" s="3">
        <v>1.0784712999999999</v>
      </c>
      <c r="BL102" s="3">
        <v>1.0829362</v>
      </c>
      <c r="BM102" s="3" t="e">
        <v>#N/A</v>
      </c>
      <c r="BN102" s="3" t="e">
        <v>#N/A</v>
      </c>
    </row>
    <row r="103" spans="1:66" x14ac:dyDescent="0.35">
      <c r="A103" s="5">
        <f t="shared" si="1"/>
        <v>43599</v>
      </c>
      <c r="B103" t="s">
        <v>180</v>
      </c>
      <c r="C103" s="2">
        <v>0.75</v>
      </c>
      <c r="D103" s="2">
        <v>0.70950000000000002</v>
      </c>
      <c r="E103" s="3">
        <v>0.71082699999999999</v>
      </c>
      <c r="F103" s="3">
        <v>0.71682400000000002</v>
      </c>
      <c r="G103" s="3">
        <v>0.72403870000000004</v>
      </c>
      <c r="H103" s="3">
        <v>0.73134209999999999</v>
      </c>
      <c r="I103" s="3">
        <v>0.7383596</v>
      </c>
      <c r="J103" s="3">
        <v>0.7453149</v>
      </c>
      <c r="K103" s="3">
        <v>0.75218209999999996</v>
      </c>
      <c r="L103" s="3">
        <v>0.75894930000000005</v>
      </c>
      <c r="M103" s="3">
        <v>0.76580559999999998</v>
      </c>
      <c r="N103" s="3">
        <v>0.77284299999999995</v>
      </c>
      <c r="O103" s="3">
        <v>0.78004669999999998</v>
      </c>
      <c r="P103" s="3">
        <v>0.78739729999999997</v>
      </c>
      <c r="Q103" s="3">
        <v>0.79483899999999996</v>
      </c>
      <c r="R103" s="3">
        <v>0.80232349999999997</v>
      </c>
      <c r="S103" s="3">
        <v>0.80980850000000004</v>
      </c>
      <c r="T103" s="3">
        <v>0.81725190000000003</v>
      </c>
      <c r="U103" s="3">
        <v>0.82461139999999999</v>
      </c>
      <c r="V103" s="3">
        <v>0.83184469999999999</v>
      </c>
      <c r="W103" s="3">
        <v>0.83891640000000001</v>
      </c>
      <c r="X103" s="3">
        <v>0.84583229999999998</v>
      </c>
      <c r="Y103" s="3">
        <v>0.8526146</v>
      </c>
      <c r="Z103" s="3">
        <v>0.85928550000000004</v>
      </c>
      <c r="AA103" s="3">
        <v>0.86586700000000005</v>
      </c>
      <c r="AB103" s="3">
        <v>0.87238139999999997</v>
      </c>
      <c r="AC103" s="3">
        <v>0.87884799999999996</v>
      </c>
      <c r="AD103" s="3">
        <v>0.88527429999999996</v>
      </c>
      <c r="AE103" s="3">
        <v>0.89166440000000002</v>
      </c>
      <c r="AF103" s="3">
        <v>0.89802230000000005</v>
      </c>
      <c r="AG103" s="3">
        <v>0.90435209999999999</v>
      </c>
      <c r="AH103" s="3">
        <v>0.91065799999999997</v>
      </c>
      <c r="AI103" s="3">
        <v>0.91694399999999998</v>
      </c>
      <c r="AJ103" s="3">
        <v>0.92321419999999998</v>
      </c>
      <c r="AK103" s="3">
        <v>0.92947259999999998</v>
      </c>
      <c r="AL103" s="3">
        <v>0.93572350000000004</v>
      </c>
      <c r="AM103" s="3">
        <v>0.9419708</v>
      </c>
      <c r="AN103" s="3">
        <v>0.94821869999999997</v>
      </c>
      <c r="AO103" s="3">
        <v>0.95446980000000003</v>
      </c>
      <c r="AP103" s="3">
        <v>0.96071850000000003</v>
      </c>
      <c r="AQ103" s="3">
        <v>0.96695690000000001</v>
      </c>
      <c r="AR103" s="3">
        <v>0.97317679999999995</v>
      </c>
      <c r="AS103" s="3">
        <v>0.97936999999999996</v>
      </c>
      <c r="AT103" s="3">
        <v>0.98552850000000003</v>
      </c>
      <c r="AU103" s="3">
        <v>0.99164410000000003</v>
      </c>
      <c r="AV103" s="3">
        <v>0.9977087</v>
      </c>
      <c r="AW103" s="3">
        <v>1.0037141000000001</v>
      </c>
      <c r="AX103" s="3">
        <v>1.0096522999999999</v>
      </c>
      <c r="AY103" s="3">
        <v>1.0155151</v>
      </c>
      <c r="AZ103" s="3">
        <v>1.0212943000000001</v>
      </c>
      <c r="BA103" s="3">
        <v>1.0269832999999999</v>
      </c>
      <c r="BB103" s="3">
        <v>1.0325816999999999</v>
      </c>
      <c r="BC103" s="3">
        <v>1.0380914000000001</v>
      </c>
      <c r="BD103" s="3">
        <v>1.0435139</v>
      </c>
      <c r="BE103" s="3">
        <v>1.0488511</v>
      </c>
      <c r="BF103" s="3">
        <v>1.0541046000000001</v>
      </c>
      <c r="BG103" s="3">
        <v>1.0592763000000001</v>
      </c>
      <c r="BH103" s="3">
        <v>1.0643678999999999</v>
      </c>
      <c r="BI103" s="3">
        <v>1.0693809999999999</v>
      </c>
      <c r="BJ103" s="3">
        <v>1.0743174</v>
      </c>
      <c r="BK103" s="3">
        <v>1.0791789000000001</v>
      </c>
      <c r="BL103" s="3">
        <v>1.0839672</v>
      </c>
      <c r="BM103" s="3" t="e">
        <v>#N/A</v>
      </c>
      <c r="BN103" s="3" t="e">
        <v>#N/A</v>
      </c>
    </row>
    <row r="104" spans="1:66" x14ac:dyDescent="0.35">
      <c r="A104" s="5">
        <f t="shared" si="1"/>
        <v>43600</v>
      </c>
      <c r="B104" t="s">
        <v>181</v>
      </c>
      <c r="C104" s="2">
        <v>0.75</v>
      </c>
      <c r="D104" s="2">
        <v>0.70960000000000001</v>
      </c>
      <c r="E104" s="3">
        <v>0.70875299999999997</v>
      </c>
      <c r="F104" s="3">
        <v>0.71396669999999995</v>
      </c>
      <c r="G104" s="3">
        <v>0.71988260000000004</v>
      </c>
      <c r="H104" s="3">
        <v>0.72574190000000005</v>
      </c>
      <c r="I104" s="3">
        <v>0.73164169999999995</v>
      </c>
      <c r="J104" s="3">
        <v>0.73781640000000004</v>
      </c>
      <c r="K104" s="3">
        <v>0.74406819999999996</v>
      </c>
      <c r="L104" s="3">
        <v>0.75016899999999997</v>
      </c>
      <c r="M104" s="3">
        <v>0.75605509999999998</v>
      </c>
      <c r="N104" s="3">
        <v>0.76170079999999996</v>
      </c>
      <c r="O104" s="3">
        <v>0.76714039999999994</v>
      </c>
      <c r="P104" s="3">
        <v>0.77241029999999999</v>
      </c>
      <c r="Q104" s="3">
        <v>0.77744840000000004</v>
      </c>
      <c r="R104" s="3">
        <v>0.78230849999999996</v>
      </c>
      <c r="S104" s="3">
        <v>0.78708670000000003</v>
      </c>
      <c r="T104" s="3">
        <v>0.79187920000000001</v>
      </c>
      <c r="U104" s="3">
        <v>0.7967822</v>
      </c>
      <c r="V104" s="3">
        <v>0.80189189999999999</v>
      </c>
      <c r="W104" s="3">
        <v>0.80728880000000003</v>
      </c>
      <c r="X104" s="3">
        <v>0.81296460000000004</v>
      </c>
      <c r="Y104" s="3">
        <v>0.81887960000000004</v>
      </c>
      <c r="Z104" s="3">
        <v>0.82499429999999996</v>
      </c>
      <c r="AA104" s="3">
        <v>0.83126900000000004</v>
      </c>
      <c r="AB104" s="3">
        <v>0.83766410000000002</v>
      </c>
      <c r="AC104" s="3">
        <v>0.84414259999999997</v>
      </c>
      <c r="AD104" s="3">
        <v>0.8506823</v>
      </c>
      <c r="AE104" s="3">
        <v>0.85726550000000001</v>
      </c>
      <c r="AF104" s="3">
        <v>0.8638747</v>
      </c>
      <c r="AG104" s="3">
        <v>0.8704923</v>
      </c>
      <c r="AH104" s="3">
        <v>0.87710080000000001</v>
      </c>
      <c r="AI104" s="3">
        <v>0.88368259999999998</v>
      </c>
      <c r="AJ104" s="3">
        <v>0.89022029999999996</v>
      </c>
      <c r="AK104" s="3">
        <v>0.89669620000000005</v>
      </c>
      <c r="AL104" s="3">
        <v>0.90309289999999998</v>
      </c>
      <c r="AM104" s="3">
        <v>0.90939270000000005</v>
      </c>
      <c r="AN104" s="3">
        <v>0.91557820000000001</v>
      </c>
      <c r="AO104" s="3">
        <v>0.92163499999999998</v>
      </c>
      <c r="AP104" s="3">
        <v>0.92756419999999995</v>
      </c>
      <c r="AQ104" s="3">
        <v>0.93337179999999997</v>
      </c>
      <c r="AR104" s="3">
        <v>0.93906350000000005</v>
      </c>
      <c r="AS104" s="3">
        <v>0.94464539999999997</v>
      </c>
      <c r="AT104" s="3">
        <v>0.95012319999999995</v>
      </c>
      <c r="AU104" s="3">
        <v>0.95550290000000004</v>
      </c>
      <c r="AV104" s="3">
        <v>0.96079029999999999</v>
      </c>
      <c r="AW104" s="3">
        <v>0.96599139999999994</v>
      </c>
      <c r="AX104" s="3">
        <v>0.97111199999999998</v>
      </c>
      <c r="AY104" s="3">
        <v>0.97615799999999997</v>
      </c>
      <c r="AZ104" s="3">
        <v>0.98113519999999999</v>
      </c>
      <c r="BA104" s="3">
        <v>0.98604910000000001</v>
      </c>
      <c r="BB104" s="3">
        <v>0.99090239999999996</v>
      </c>
      <c r="BC104" s="3">
        <v>0.9956971</v>
      </c>
      <c r="BD104" s="3">
        <v>1.0004354</v>
      </c>
      <c r="BE104" s="3">
        <v>1.0051194000000001</v>
      </c>
      <c r="BF104" s="3">
        <v>1.0097512</v>
      </c>
      <c r="BG104" s="3">
        <v>1.0143329000000001</v>
      </c>
      <c r="BH104" s="3">
        <v>1.0188664999999999</v>
      </c>
      <c r="BI104" s="3">
        <v>1.0233540999999999</v>
      </c>
      <c r="BJ104" s="3">
        <v>1.027798</v>
      </c>
      <c r="BK104" s="3">
        <v>1.0322001000000001</v>
      </c>
      <c r="BL104" s="3">
        <v>1.0365625000000001</v>
      </c>
      <c r="BM104" s="3" t="e">
        <v>#N/A</v>
      </c>
      <c r="BN104" s="3" t="e">
        <v>#N/A</v>
      </c>
    </row>
    <row r="105" spans="1:66" x14ac:dyDescent="0.35">
      <c r="A105" s="5">
        <f t="shared" si="1"/>
        <v>43601</v>
      </c>
      <c r="B105" t="s">
        <v>182</v>
      </c>
      <c r="C105" s="2">
        <v>0.75</v>
      </c>
      <c r="D105" s="2">
        <v>0.71</v>
      </c>
      <c r="E105" s="3">
        <v>0.71095280000000005</v>
      </c>
      <c r="F105" s="3">
        <v>0.71631990000000001</v>
      </c>
      <c r="G105" s="3">
        <v>0.72170679999999998</v>
      </c>
      <c r="H105" s="3">
        <v>0.7270723</v>
      </c>
      <c r="I105" s="3">
        <v>0.73251409999999995</v>
      </c>
      <c r="J105" s="3">
        <v>0.73787029999999998</v>
      </c>
      <c r="K105" s="3">
        <v>0.74289090000000002</v>
      </c>
      <c r="L105" s="3">
        <v>0.74758500000000006</v>
      </c>
      <c r="M105" s="3">
        <v>0.75219729999999996</v>
      </c>
      <c r="N105" s="3">
        <v>0.75695619999999997</v>
      </c>
      <c r="O105" s="3">
        <v>0.76205210000000001</v>
      </c>
      <c r="P105" s="3">
        <v>0.76762180000000002</v>
      </c>
      <c r="Q105" s="3">
        <v>0.77358269999999996</v>
      </c>
      <c r="R105" s="3">
        <v>0.77986420000000001</v>
      </c>
      <c r="S105" s="3">
        <v>0.78642239999999997</v>
      </c>
      <c r="T105" s="3">
        <v>0.79321330000000001</v>
      </c>
      <c r="U105" s="3">
        <v>0.80019289999999998</v>
      </c>
      <c r="V105" s="3">
        <v>0.80731750000000002</v>
      </c>
      <c r="W105" s="3">
        <v>0.81454349999999998</v>
      </c>
      <c r="X105" s="3">
        <v>0.82182949999999999</v>
      </c>
      <c r="Y105" s="3">
        <v>0.8291347</v>
      </c>
      <c r="Z105" s="3">
        <v>0.83641860000000001</v>
      </c>
      <c r="AA105" s="3">
        <v>0.84364030000000001</v>
      </c>
      <c r="AB105" s="3">
        <v>0.85075920000000005</v>
      </c>
      <c r="AC105" s="3">
        <v>0.85774030000000001</v>
      </c>
      <c r="AD105" s="3">
        <v>0.86457589999999995</v>
      </c>
      <c r="AE105" s="3">
        <v>0.87126720000000002</v>
      </c>
      <c r="AF105" s="3">
        <v>0.87781480000000001</v>
      </c>
      <c r="AG105" s="3">
        <v>0.88421989999999995</v>
      </c>
      <c r="AH105" s="3">
        <v>0.89048309999999997</v>
      </c>
      <c r="AI105" s="3">
        <v>0.89660550000000006</v>
      </c>
      <c r="AJ105" s="3">
        <v>0.90258799999999995</v>
      </c>
      <c r="AK105" s="3">
        <v>0.9084314</v>
      </c>
      <c r="AL105" s="3">
        <v>0.91413670000000002</v>
      </c>
      <c r="AM105" s="3">
        <v>0.91970470000000004</v>
      </c>
      <c r="AN105" s="3">
        <v>0.92513639999999997</v>
      </c>
      <c r="AO105" s="3">
        <v>0.93043419999999999</v>
      </c>
      <c r="AP105" s="3">
        <v>0.93560770000000004</v>
      </c>
      <c r="AQ105" s="3">
        <v>0.94066830000000001</v>
      </c>
      <c r="AR105" s="3">
        <v>0.94562740000000001</v>
      </c>
      <c r="AS105" s="3">
        <v>0.95049660000000002</v>
      </c>
      <c r="AT105" s="3">
        <v>0.95528729999999995</v>
      </c>
      <c r="AU105" s="3">
        <v>0.96001080000000005</v>
      </c>
      <c r="AV105" s="3">
        <v>0.96467879999999995</v>
      </c>
      <c r="AW105" s="3">
        <v>0.96930260000000001</v>
      </c>
      <c r="AX105" s="3">
        <v>0.97389360000000003</v>
      </c>
      <c r="AY105" s="3">
        <v>0.97846339999999998</v>
      </c>
      <c r="AZ105" s="3">
        <v>0.98302339999999999</v>
      </c>
      <c r="BA105" s="3">
        <v>0.98758330000000005</v>
      </c>
      <c r="BB105" s="3">
        <v>0.99214590000000003</v>
      </c>
      <c r="BC105" s="3">
        <v>0.99671149999999997</v>
      </c>
      <c r="BD105" s="3">
        <v>1.0012809</v>
      </c>
      <c r="BE105" s="3">
        <v>1.0058545999999999</v>
      </c>
      <c r="BF105" s="3">
        <v>1.0104332</v>
      </c>
      <c r="BG105" s="3">
        <v>1.0150172</v>
      </c>
      <c r="BH105" s="3">
        <v>1.0196073000000001</v>
      </c>
      <c r="BI105" s="3">
        <v>1.0242039999999999</v>
      </c>
      <c r="BJ105" s="3">
        <v>1.0288078000000001</v>
      </c>
      <c r="BK105" s="3">
        <v>1.0334194000000001</v>
      </c>
      <c r="BL105" s="3">
        <v>1.0380393000000001</v>
      </c>
      <c r="BM105" s="3" t="e">
        <v>#N/A</v>
      </c>
      <c r="BN105" s="3" t="e">
        <v>#N/A</v>
      </c>
    </row>
    <row r="106" spans="1:66" x14ac:dyDescent="0.35">
      <c r="A106" s="5">
        <f t="shared" si="1"/>
        <v>43602</v>
      </c>
      <c r="B106" t="s">
        <v>183</v>
      </c>
      <c r="C106" s="2">
        <v>0.75</v>
      </c>
      <c r="D106" s="2">
        <v>0.70940000000000003</v>
      </c>
      <c r="E106" s="3">
        <v>0.71098430000000001</v>
      </c>
      <c r="F106" s="3">
        <v>0.71255489999999999</v>
      </c>
      <c r="G106" s="3">
        <v>0.71349830000000003</v>
      </c>
      <c r="H106" s="3">
        <v>0.71423270000000005</v>
      </c>
      <c r="I106" s="3">
        <v>0.71620689999999998</v>
      </c>
      <c r="J106" s="3">
        <v>0.71948780000000001</v>
      </c>
      <c r="K106" s="3">
        <v>0.72303019999999996</v>
      </c>
      <c r="L106" s="3">
        <v>0.72604009999999997</v>
      </c>
      <c r="M106" s="3">
        <v>0.72835930000000004</v>
      </c>
      <c r="N106" s="3">
        <v>0.73026930000000001</v>
      </c>
      <c r="O106" s="3">
        <v>0.73233159999999997</v>
      </c>
      <c r="P106" s="3">
        <v>0.73501340000000004</v>
      </c>
      <c r="Q106" s="3">
        <v>0.73856460000000002</v>
      </c>
      <c r="R106" s="3">
        <v>0.74295239999999996</v>
      </c>
      <c r="S106" s="3">
        <v>0.74806919999999999</v>
      </c>
      <c r="T106" s="3">
        <v>0.75380740000000002</v>
      </c>
      <c r="U106" s="3">
        <v>0.76005940000000005</v>
      </c>
      <c r="V106" s="3">
        <v>0.76671769999999995</v>
      </c>
      <c r="W106" s="3">
        <v>0.77367870000000005</v>
      </c>
      <c r="X106" s="3">
        <v>0.78085970000000005</v>
      </c>
      <c r="Y106" s="3">
        <v>0.78818480000000002</v>
      </c>
      <c r="Z106" s="3">
        <v>0.7955778</v>
      </c>
      <c r="AA106" s="3">
        <v>0.80296270000000003</v>
      </c>
      <c r="AB106" s="3">
        <v>0.81026339999999997</v>
      </c>
      <c r="AC106" s="3">
        <v>0.81741649999999999</v>
      </c>
      <c r="AD106" s="3">
        <v>0.82441330000000002</v>
      </c>
      <c r="AE106" s="3">
        <v>0.83126069999999996</v>
      </c>
      <c r="AF106" s="3">
        <v>0.83796530000000002</v>
      </c>
      <c r="AG106" s="3">
        <v>0.84453389999999995</v>
      </c>
      <c r="AH106" s="3">
        <v>0.85097310000000004</v>
      </c>
      <c r="AI106" s="3">
        <v>0.85728979999999999</v>
      </c>
      <c r="AJ106" s="3">
        <v>0.8634906</v>
      </c>
      <c r="AK106" s="3">
        <v>0.86958230000000003</v>
      </c>
      <c r="AL106" s="3">
        <v>0.87557149999999995</v>
      </c>
      <c r="AM106" s="3">
        <v>0.88146500000000005</v>
      </c>
      <c r="AN106" s="3">
        <v>0.88726959999999999</v>
      </c>
      <c r="AO106" s="3">
        <v>0.89299119999999998</v>
      </c>
      <c r="AP106" s="3">
        <v>0.89863320000000002</v>
      </c>
      <c r="AQ106" s="3">
        <v>0.9041979</v>
      </c>
      <c r="AR106" s="3">
        <v>0.90968789999999999</v>
      </c>
      <c r="AS106" s="3">
        <v>0.91510570000000002</v>
      </c>
      <c r="AT106" s="3">
        <v>0.92045359999999998</v>
      </c>
      <c r="AU106" s="3">
        <v>0.92573419999999995</v>
      </c>
      <c r="AV106" s="3">
        <v>0.93094980000000005</v>
      </c>
      <c r="AW106" s="3">
        <v>0.93610309999999997</v>
      </c>
      <c r="AX106" s="3">
        <v>0.94119640000000004</v>
      </c>
      <c r="AY106" s="3">
        <v>0.94623219999999997</v>
      </c>
      <c r="AZ106" s="3">
        <v>0.95121290000000003</v>
      </c>
      <c r="BA106" s="3">
        <v>0.95614109999999997</v>
      </c>
      <c r="BB106" s="3">
        <v>0.96101939999999997</v>
      </c>
      <c r="BC106" s="3">
        <v>0.9658504</v>
      </c>
      <c r="BD106" s="3">
        <v>0.97063690000000002</v>
      </c>
      <c r="BE106" s="3">
        <v>0.97538139999999995</v>
      </c>
      <c r="BF106" s="3">
        <v>0.98008669999999998</v>
      </c>
      <c r="BG106" s="3">
        <v>0.98475539999999995</v>
      </c>
      <c r="BH106" s="3">
        <v>0.9893902</v>
      </c>
      <c r="BI106" s="3">
        <v>0.99399380000000004</v>
      </c>
      <c r="BJ106" s="3">
        <v>0.99856869999999998</v>
      </c>
      <c r="BK106" s="3">
        <v>1.0031178000000001</v>
      </c>
      <c r="BL106" s="3">
        <v>1.0076436</v>
      </c>
      <c r="BM106" s="3" t="e">
        <v>#N/A</v>
      </c>
      <c r="BN106" s="3" t="e">
        <v>#N/A</v>
      </c>
    </row>
    <row r="107" spans="1:66" x14ac:dyDescent="0.35">
      <c r="A107" s="5">
        <f t="shared" si="1"/>
        <v>43605</v>
      </c>
      <c r="B107" t="s">
        <v>184</v>
      </c>
      <c r="C107" s="2">
        <v>0.75</v>
      </c>
      <c r="D107" s="2">
        <v>0.70960000000000001</v>
      </c>
      <c r="E107" s="3">
        <v>0.71196470000000001</v>
      </c>
      <c r="F107" s="3">
        <v>0.71366090000000004</v>
      </c>
      <c r="G107" s="3">
        <v>0.71566790000000002</v>
      </c>
      <c r="H107" s="3">
        <v>0.71851180000000003</v>
      </c>
      <c r="I107" s="3">
        <v>0.7230683</v>
      </c>
      <c r="J107" s="3">
        <v>0.72882840000000004</v>
      </c>
      <c r="K107" s="3">
        <v>0.73459450000000004</v>
      </c>
      <c r="L107" s="3">
        <v>0.73972839999999995</v>
      </c>
      <c r="M107" s="3">
        <v>0.74426369999999997</v>
      </c>
      <c r="N107" s="3">
        <v>0.74862110000000004</v>
      </c>
      <c r="O107" s="3">
        <v>0.75341000000000002</v>
      </c>
      <c r="P107" s="3">
        <v>0.75903940000000003</v>
      </c>
      <c r="Q107" s="3">
        <v>0.7656676</v>
      </c>
      <c r="R107" s="3">
        <v>0.77312389999999998</v>
      </c>
      <c r="S107" s="3">
        <v>0.78115639999999997</v>
      </c>
      <c r="T107" s="3">
        <v>0.78951329999999997</v>
      </c>
      <c r="U107" s="3">
        <v>0.79794290000000001</v>
      </c>
      <c r="V107" s="3">
        <v>0.8061933</v>
      </c>
      <c r="W107" s="3">
        <v>0.81404949999999998</v>
      </c>
      <c r="X107" s="3">
        <v>0.82148540000000003</v>
      </c>
      <c r="Y107" s="3">
        <v>0.82853529999999997</v>
      </c>
      <c r="Z107" s="3">
        <v>0.83523340000000001</v>
      </c>
      <c r="AA107" s="3">
        <v>0.84161390000000003</v>
      </c>
      <c r="AB107" s="3">
        <v>0.84771099999999999</v>
      </c>
      <c r="AC107" s="3">
        <v>0.85355740000000002</v>
      </c>
      <c r="AD107" s="3">
        <v>0.85917869999999996</v>
      </c>
      <c r="AE107" s="3">
        <v>0.8645988</v>
      </c>
      <c r="AF107" s="3">
        <v>0.86984110000000003</v>
      </c>
      <c r="AG107" s="3">
        <v>0.87492959999999997</v>
      </c>
      <c r="AH107" s="3">
        <v>0.87988789999999995</v>
      </c>
      <c r="AI107" s="3">
        <v>0.88473970000000002</v>
      </c>
      <c r="AJ107" s="3">
        <v>0.88950879999999999</v>
      </c>
      <c r="AK107" s="3">
        <v>0.89421879999999998</v>
      </c>
      <c r="AL107" s="3">
        <v>0.89889350000000001</v>
      </c>
      <c r="AM107" s="3">
        <v>0.90355660000000004</v>
      </c>
      <c r="AN107" s="3">
        <v>0.90823180000000003</v>
      </c>
      <c r="AO107" s="3">
        <v>0.91293880000000005</v>
      </c>
      <c r="AP107" s="3">
        <v>0.91767960000000004</v>
      </c>
      <c r="AQ107" s="3">
        <v>0.92245120000000003</v>
      </c>
      <c r="AR107" s="3">
        <v>0.92725060000000004</v>
      </c>
      <c r="AS107" s="3">
        <v>0.93207479999999998</v>
      </c>
      <c r="AT107" s="3">
        <v>0.936921</v>
      </c>
      <c r="AU107" s="3">
        <v>0.94178609999999996</v>
      </c>
      <c r="AV107" s="3">
        <v>0.94666729999999999</v>
      </c>
      <c r="AW107" s="3">
        <v>0.9515614</v>
      </c>
      <c r="AX107" s="3">
        <v>0.95646560000000003</v>
      </c>
      <c r="AY107" s="3">
        <v>0.96137700000000004</v>
      </c>
      <c r="AZ107" s="3">
        <v>0.9662925</v>
      </c>
      <c r="BA107" s="3">
        <v>0.97120949999999995</v>
      </c>
      <c r="BB107" s="3">
        <v>0.97612679999999996</v>
      </c>
      <c r="BC107" s="3">
        <v>0.98104389999999997</v>
      </c>
      <c r="BD107" s="3">
        <v>0.98596010000000001</v>
      </c>
      <c r="BE107" s="3">
        <v>0.9908749</v>
      </c>
      <c r="BF107" s="3">
        <v>0.99578759999999999</v>
      </c>
      <c r="BG107" s="3">
        <v>1.0006976000000001</v>
      </c>
      <c r="BH107" s="3">
        <v>1.0056042999999999</v>
      </c>
      <c r="BI107" s="3">
        <v>1.0105071000000001</v>
      </c>
      <c r="BJ107" s="3">
        <v>1.0154053999999999</v>
      </c>
      <c r="BK107" s="3">
        <v>1.0202986000000001</v>
      </c>
      <c r="BL107" s="3">
        <v>1.0251859999999999</v>
      </c>
      <c r="BM107" s="3" t="e">
        <v>#N/A</v>
      </c>
      <c r="BN107" s="3" t="e">
        <v>#N/A</v>
      </c>
    </row>
    <row r="108" spans="1:66" x14ac:dyDescent="0.35">
      <c r="A108" s="5">
        <f t="shared" si="1"/>
        <v>43606</v>
      </c>
      <c r="B108" t="s">
        <v>185</v>
      </c>
      <c r="C108" s="2">
        <v>0.75</v>
      </c>
      <c r="D108" s="2">
        <v>0.70930000000000004</v>
      </c>
      <c r="E108" s="3">
        <v>0.71074360000000003</v>
      </c>
      <c r="F108" s="3">
        <v>0.71391830000000001</v>
      </c>
      <c r="G108" s="3">
        <v>0.7168639</v>
      </c>
      <c r="H108" s="3">
        <v>0.720526</v>
      </c>
      <c r="I108" s="3">
        <v>0.72643400000000002</v>
      </c>
      <c r="J108" s="3">
        <v>0.73407069999999996</v>
      </c>
      <c r="K108" s="3">
        <v>0.74184700000000003</v>
      </c>
      <c r="L108" s="3">
        <v>0.74873840000000003</v>
      </c>
      <c r="M108" s="3">
        <v>0.75453749999999997</v>
      </c>
      <c r="N108" s="3">
        <v>0.75957189999999997</v>
      </c>
      <c r="O108" s="3">
        <v>0.76442370000000004</v>
      </c>
      <c r="P108" s="3">
        <v>0.76954440000000002</v>
      </c>
      <c r="Q108" s="3">
        <v>0.77518540000000002</v>
      </c>
      <c r="R108" s="3">
        <v>0.78133269999999999</v>
      </c>
      <c r="S108" s="3">
        <v>0.78790579999999999</v>
      </c>
      <c r="T108" s="3">
        <v>0.79482439999999999</v>
      </c>
      <c r="U108" s="3">
        <v>0.80200800000000005</v>
      </c>
      <c r="V108" s="3">
        <v>0.80937630000000005</v>
      </c>
      <c r="W108" s="3">
        <v>0.81685450000000004</v>
      </c>
      <c r="X108" s="3">
        <v>0.82440349999999996</v>
      </c>
      <c r="Y108" s="3">
        <v>0.83199780000000001</v>
      </c>
      <c r="Z108" s="3">
        <v>0.83961209999999997</v>
      </c>
      <c r="AA108" s="3">
        <v>0.84722090000000005</v>
      </c>
      <c r="AB108" s="3">
        <v>0.85479879999999997</v>
      </c>
      <c r="AC108" s="3">
        <v>0.86232240000000004</v>
      </c>
      <c r="AD108" s="3">
        <v>0.86977599999999999</v>
      </c>
      <c r="AE108" s="3">
        <v>0.87714639999999999</v>
      </c>
      <c r="AF108" s="3">
        <v>0.88442050000000005</v>
      </c>
      <c r="AG108" s="3">
        <v>0.89158479999999996</v>
      </c>
      <c r="AH108" s="3">
        <v>0.89862620000000004</v>
      </c>
      <c r="AI108" s="3">
        <v>0.90553139999999999</v>
      </c>
      <c r="AJ108" s="3">
        <v>0.91228710000000002</v>
      </c>
      <c r="AK108" s="3">
        <v>0.91888009999999998</v>
      </c>
      <c r="AL108" s="3">
        <v>0.92529700000000004</v>
      </c>
      <c r="AM108" s="3">
        <v>0.93152480000000004</v>
      </c>
      <c r="AN108" s="3">
        <v>0.93754999999999999</v>
      </c>
      <c r="AO108" s="3">
        <v>0.94336260000000005</v>
      </c>
      <c r="AP108" s="3">
        <v>0.94896990000000003</v>
      </c>
      <c r="AQ108" s="3">
        <v>0.95438469999999997</v>
      </c>
      <c r="AR108" s="3">
        <v>0.95962000000000003</v>
      </c>
      <c r="AS108" s="3">
        <v>0.96468880000000001</v>
      </c>
      <c r="AT108" s="3">
        <v>0.96960409999999997</v>
      </c>
      <c r="AU108" s="3">
        <v>0.97437879999999999</v>
      </c>
      <c r="AV108" s="3">
        <v>0.97902579999999995</v>
      </c>
      <c r="AW108" s="3">
        <v>0.98355820000000005</v>
      </c>
      <c r="AX108" s="3">
        <v>0.98798889999999995</v>
      </c>
      <c r="AY108" s="3">
        <v>0.99233090000000002</v>
      </c>
      <c r="AZ108" s="3">
        <v>0.99659710000000001</v>
      </c>
      <c r="BA108" s="3">
        <v>1.0007995000000001</v>
      </c>
      <c r="BB108" s="3">
        <v>1.0049452999999999</v>
      </c>
      <c r="BC108" s="3">
        <v>1.0090402999999999</v>
      </c>
      <c r="BD108" s="3">
        <v>1.0130901999999999</v>
      </c>
      <c r="BE108" s="3">
        <v>1.0171007999999999</v>
      </c>
      <c r="BF108" s="3">
        <v>1.0210779000000001</v>
      </c>
      <c r="BG108" s="3">
        <v>1.0250271</v>
      </c>
      <c r="BH108" s="3">
        <v>1.0289543999999999</v>
      </c>
      <c r="BI108" s="3">
        <v>1.0328653000000001</v>
      </c>
      <c r="BJ108" s="3">
        <v>1.0367656999999999</v>
      </c>
      <c r="BK108" s="3">
        <v>1.0406614000000001</v>
      </c>
      <c r="BL108" s="3">
        <v>1.0445580000000001</v>
      </c>
      <c r="BM108" s="3" t="e">
        <v>#N/A</v>
      </c>
      <c r="BN108" s="3" t="e">
        <v>#N/A</v>
      </c>
    </row>
    <row r="109" spans="1:66" x14ac:dyDescent="0.35">
      <c r="A109" s="5">
        <f t="shared" si="1"/>
        <v>43607</v>
      </c>
      <c r="B109" t="s">
        <v>186</v>
      </c>
      <c r="C109" s="2">
        <v>0.75</v>
      </c>
      <c r="D109" s="2">
        <v>0.71060000000000001</v>
      </c>
      <c r="E109" s="3">
        <v>0.71129730000000002</v>
      </c>
      <c r="F109" s="3">
        <v>0.71435499999999996</v>
      </c>
      <c r="G109" s="3">
        <v>0.71763719999999998</v>
      </c>
      <c r="H109" s="3">
        <v>0.72008559999999999</v>
      </c>
      <c r="I109" s="3">
        <v>0.72193499999999999</v>
      </c>
      <c r="J109" s="3">
        <v>0.72369450000000002</v>
      </c>
      <c r="K109" s="3">
        <v>0.72563900000000003</v>
      </c>
      <c r="L109" s="3">
        <v>0.72795399999999999</v>
      </c>
      <c r="M109" s="3">
        <v>0.73078609999999999</v>
      </c>
      <c r="N109" s="3">
        <v>0.73411930000000003</v>
      </c>
      <c r="O109" s="3">
        <v>0.73777820000000005</v>
      </c>
      <c r="P109" s="3">
        <v>0.74157720000000005</v>
      </c>
      <c r="Q109" s="3">
        <v>0.74511039999999995</v>
      </c>
      <c r="R109" s="3">
        <v>0.74834659999999997</v>
      </c>
      <c r="S109" s="3">
        <v>0.75138680000000002</v>
      </c>
      <c r="T109" s="3">
        <v>0.75433220000000001</v>
      </c>
      <c r="U109" s="3">
        <v>0.75728390000000001</v>
      </c>
      <c r="V109" s="3">
        <v>0.76034290000000004</v>
      </c>
      <c r="W109" s="3">
        <v>0.7635999</v>
      </c>
      <c r="X109" s="3">
        <v>0.76708509999999996</v>
      </c>
      <c r="Y109" s="3">
        <v>0.77080780000000004</v>
      </c>
      <c r="Z109" s="3">
        <v>0.77477739999999995</v>
      </c>
      <c r="AA109" s="3">
        <v>0.77900290000000005</v>
      </c>
      <c r="AB109" s="3">
        <v>0.78349360000000001</v>
      </c>
      <c r="AC109" s="3">
        <v>0.78825409999999996</v>
      </c>
      <c r="AD109" s="3">
        <v>0.79326370000000002</v>
      </c>
      <c r="AE109" s="3">
        <v>0.79849349999999997</v>
      </c>
      <c r="AF109" s="3">
        <v>0.80391420000000002</v>
      </c>
      <c r="AG109" s="3">
        <v>0.80949689999999996</v>
      </c>
      <c r="AH109" s="3">
        <v>0.81521250000000001</v>
      </c>
      <c r="AI109" s="3">
        <v>0.82103190000000004</v>
      </c>
      <c r="AJ109" s="3">
        <v>0.82692600000000005</v>
      </c>
      <c r="AK109" s="3">
        <v>0.83286579999999999</v>
      </c>
      <c r="AL109" s="3">
        <v>0.83882230000000002</v>
      </c>
      <c r="AM109" s="3">
        <v>0.84476620000000002</v>
      </c>
      <c r="AN109" s="3">
        <v>0.85066870000000006</v>
      </c>
      <c r="AO109" s="3">
        <v>0.85650470000000001</v>
      </c>
      <c r="AP109" s="3">
        <v>0.86226919999999996</v>
      </c>
      <c r="AQ109" s="3">
        <v>0.86796329999999999</v>
      </c>
      <c r="AR109" s="3">
        <v>0.87358809999999998</v>
      </c>
      <c r="AS109" s="3">
        <v>0.8791447</v>
      </c>
      <c r="AT109" s="3">
        <v>0.88463420000000004</v>
      </c>
      <c r="AU109" s="3">
        <v>0.89005769999999995</v>
      </c>
      <c r="AV109" s="3">
        <v>0.8954162</v>
      </c>
      <c r="AW109" s="3">
        <v>0.90071089999999998</v>
      </c>
      <c r="AX109" s="3">
        <v>0.9059429</v>
      </c>
      <c r="AY109" s="3">
        <v>0.91111319999999996</v>
      </c>
      <c r="AZ109" s="3">
        <v>0.91622289999999995</v>
      </c>
      <c r="BA109" s="3">
        <v>0.92127369999999997</v>
      </c>
      <c r="BB109" s="3">
        <v>0.92626920000000001</v>
      </c>
      <c r="BC109" s="3">
        <v>0.93121399999999999</v>
      </c>
      <c r="BD109" s="3">
        <v>0.93611230000000001</v>
      </c>
      <c r="BE109" s="3">
        <v>0.94096849999999999</v>
      </c>
      <c r="BF109" s="3">
        <v>0.94578709999999999</v>
      </c>
      <c r="BG109" s="3">
        <v>0.95057250000000004</v>
      </c>
      <c r="BH109" s="3">
        <v>0.95532890000000004</v>
      </c>
      <c r="BI109" s="3">
        <v>0.96006080000000005</v>
      </c>
      <c r="BJ109" s="3">
        <v>0.96477259999999998</v>
      </c>
      <c r="BK109" s="3">
        <v>0.96946869999999996</v>
      </c>
      <c r="BL109" s="3">
        <v>0.9741533</v>
      </c>
      <c r="BM109" s="3" t="e">
        <v>#N/A</v>
      </c>
      <c r="BN109" s="3" t="e">
        <v>#N/A</v>
      </c>
    </row>
    <row r="110" spans="1:66" x14ac:dyDescent="0.35">
      <c r="A110" s="5">
        <f t="shared" si="1"/>
        <v>43608</v>
      </c>
      <c r="B110" t="s">
        <v>187</v>
      </c>
      <c r="C110" s="2">
        <v>0.75</v>
      </c>
      <c r="D110" s="2">
        <v>0.71</v>
      </c>
      <c r="E110" s="3">
        <v>0.71078870000000005</v>
      </c>
      <c r="F110" s="3">
        <v>0.70913789999999999</v>
      </c>
      <c r="G110" s="3">
        <v>0.70485779999999998</v>
      </c>
      <c r="H110" s="3">
        <v>0.69893810000000001</v>
      </c>
      <c r="I110" s="3">
        <v>0.6937989</v>
      </c>
      <c r="J110" s="3">
        <v>0.68996109999999999</v>
      </c>
      <c r="K110" s="3">
        <v>0.68650940000000005</v>
      </c>
      <c r="L110" s="3">
        <v>0.68269469999999999</v>
      </c>
      <c r="M110" s="3">
        <v>0.67846770000000001</v>
      </c>
      <c r="N110" s="3">
        <v>0.67438209999999998</v>
      </c>
      <c r="O110" s="3">
        <v>0.67126160000000001</v>
      </c>
      <c r="P110" s="3">
        <v>0.66969129999999999</v>
      </c>
      <c r="Q110" s="3">
        <v>0.6700334</v>
      </c>
      <c r="R110" s="3">
        <v>0.67214940000000001</v>
      </c>
      <c r="S110" s="3">
        <v>0.67572259999999995</v>
      </c>
      <c r="T110" s="3">
        <v>0.68043589999999998</v>
      </c>
      <c r="U110" s="3">
        <v>0.68597229999999998</v>
      </c>
      <c r="V110" s="3">
        <v>0.69201469999999998</v>
      </c>
      <c r="W110" s="3">
        <v>0.6982815</v>
      </c>
      <c r="X110" s="3">
        <v>0.70467060000000004</v>
      </c>
      <c r="Y110" s="3">
        <v>0.71113800000000005</v>
      </c>
      <c r="Z110" s="3">
        <v>0.71763920000000003</v>
      </c>
      <c r="AA110" s="3">
        <v>0.7241301</v>
      </c>
      <c r="AB110" s="3">
        <v>0.73056650000000001</v>
      </c>
      <c r="AC110" s="3">
        <v>0.73691039999999997</v>
      </c>
      <c r="AD110" s="3">
        <v>0.74315520000000002</v>
      </c>
      <c r="AE110" s="3">
        <v>0.74930390000000002</v>
      </c>
      <c r="AF110" s="3">
        <v>0.75535940000000001</v>
      </c>
      <c r="AG110" s="3">
        <v>0.76132440000000001</v>
      </c>
      <c r="AH110" s="3">
        <v>0.76720200000000005</v>
      </c>
      <c r="AI110" s="3">
        <v>0.77299490000000004</v>
      </c>
      <c r="AJ110" s="3">
        <v>0.77870609999999996</v>
      </c>
      <c r="AK110" s="3">
        <v>0.78433850000000005</v>
      </c>
      <c r="AL110" s="3">
        <v>0.78989489999999996</v>
      </c>
      <c r="AM110" s="3">
        <v>0.79537829999999998</v>
      </c>
      <c r="AN110" s="3">
        <v>0.80079140000000004</v>
      </c>
      <c r="AO110" s="3">
        <v>0.80613710000000005</v>
      </c>
      <c r="AP110" s="3">
        <v>0.81141739999999996</v>
      </c>
      <c r="AQ110" s="3">
        <v>0.81663390000000002</v>
      </c>
      <c r="AR110" s="3">
        <v>0.82178850000000003</v>
      </c>
      <c r="AS110" s="3">
        <v>0.82688300000000003</v>
      </c>
      <c r="AT110" s="3">
        <v>0.83191919999999997</v>
      </c>
      <c r="AU110" s="3">
        <v>0.8368989</v>
      </c>
      <c r="AV110" s="3">
        <v>0.84182369999999995</v>
      </c>
      <c r="AW110" s="3">
        <v>0.84669559999999999</v>
      </c>
      <c r="AX110" s="3">
        <v>0.8515163</v>
      </c>
      <c r="AY110" s="3">
        <v>0.85628760000000004</v>
      </c>
      <c r="AZ110" s="3">
        <v>0.86101130000000003</v>
      </c>
      <c r="BA110" s="3">
        <v>0.8656895</v>
      </c>
      <c r="BB110" s="3">
        <v>0.8703263</v>
      </c>
      <c r="BC110" s="3">
        <v>0.87492599999999998</v>
      </c>
      <c r="BD110" s="3">
        <v>0.87949319999999997</v>
      </c>
      <c r="BE110" s="3">
        <v>0.88403220000000005</v>
      </c>
      <c r="BF110" s="3">
        <v>0.88854759999999999</v>
      </c>
      <c r="BG110" s="3">
        <v>0.8930437</v>
      </c>
      <c r="BH110" s="3">
        <v>0.89752509999999996</v>
      </c>
      <c r="BI110" s="3">
        <v>0.90199609999999997</v>
      </c>
      <c r="BJ110" s="3">
        <v>0.90646130000000003</v>
      </c>
      <c r="BK110" s="3">
        <v>0.91092510000000004</v>
      </c>
      <c r="BL110" s="3">
        <v>0.91539190000000004</v>
      </c>
      <c r="BM110" s="3" t="e">
        <v>#N/A</v>
      </c>
      <c r="BN110" s="3" t="e">
        <v>#N/A</v>
      </c>
    </row>
    <row r="111" spans="1:66" x14ac:dyDescent="0.35">
      <c r="A111" s="5">
        <f t="shared" si="1"/>
        <v>43609</v>
      </c>
      <c r="B111" t="s">
        <v>188</v>
      </c>
      <c r="C111" s="2">
        <v>0.75</v>
      </c>
      <c r="D111" s="2">
        <v>0.70860000000000001</v>
      </c>
      <c r="E111" s="3">
        <v>0.71061260000000004</v>
      </c>
      <c r="F111" s="3">
        <v>0.71168240000000005</v>
      </c>
      <c r="G111" s="3">
        <v>0.71270250000000002</v>
      </c>
      <c r="H111" s="3">
        <v>0.71209140000000004</v>
      </c>
      <c r="I111" s="3">
        <v>0.70982659999999997</v>
      </c>
      <c r="J111" s="3">
        <v>0.70656839999999999</v>
      </c>
      <c r="K111" s="3">
        <v>0.70288830000000002</v>
      </c>
      <c r="L111" s="3">
        <v>0.69932559999999999</v>
      </c>
      <c r="M111" s="3">
        <v>0.69630060000000005</v>
      </c>
      <c r="N111" s="3">
        <v>0.69403090000000001</v>
      </c>
      <c r="O111" s="3">
        <v>0.69265770000000004</v>
      </c>
      <c r="P111" s="3">
        <v>0.69229350000000001</v>
      </c>
      <c r="Q111" s="3">
        <v>0.69293819999999995</v>
      </c>
      <c r="R111" s="3">
        <v>0.69450080000000003</v>
      </c>
      <c r="S111" s="3">
        <v>0.69686950000000003</v>
      </c>
      <c r="T111" s="3">
        <v>0.69993229999999995</v>
      </c>
      <c r="U111" s="3">
        <v>0.70357740000000002</v>
      </c>
      <c r="V111" s="3">
        <v>0.70769289999999996</v>
      </c>
      <c r="W111" s="3">
        <v>0.7121748</v>
      </c>
      <c r="X111" s="3">
        <v>0.71696000000000004</v>
      </c>
      <c r="Y111" s="3">
        <v>0.72199800000000003</v>
      </c>
      <c r="Z111" s="3">
        <v>0.72723870000000002</v>
      </c>
      <c r="AA111" s="3">
        <v>0.73263160000000005</v>
      </c>
      <c r="AB111" s="3">
        <v>0.73812659999999997</v>
      </c>
      <c r="AC111" s="3">
        <v>0.74367970000000005</v>
      </c>
      <c r="AD111" s="3">
        <v>0.74927440000000001</v>
      </c>
      <c r="AE111" s="3">
        <v>0.75490210000000002</v>
      </c>
      <c r="AF111" s="3">
        <v>0.7605539</v>
      </c>
      <c r="AG111" s="3">
        <v>0.76622120000000005</v>
      </c>
      <c r="AH111" s="3">
        <v>0.77189529999999995</v>
      </c>
      <c r="AI111" s="3">
        <v>0.77756740000000002</v>
      </c>
      <c r="AJ111" s="3">
        <v>0.7832287</v>
      </c>
      <c r="AK111" s="3">
        <v>0.78887059999999998</v>
      </c>
      <c r="AL111" s="3">
        <v>0.79448430000000003</v>
      </c>
      <c r="AM111" s="3">
        <v>0.80006109999999997</v>
      </c>
      <c r="AN111" s="3">
        <v>0.80559219999999998</v>
      </c>
      <c r="AO111" s="3">
        <v>0.81107030000000002</v>
      </c>
      <c r="AP111" s="3">
        <v>0.81649400000000005</v>
      </c>
      <c r="AQ111" s="3">
        <v>0.82186360000000003</v>
      </c>
      <c r="AR111" s="3">
        <v>0.82717949999999996</v>
      </c>
      <c r="AS111" s="3">
        <v>0.83244189999999996</v>
      </c>
      <c r="AT111" s="3">
        <v>0.83765109999999998</v>
      </c>
      <c r="AU111" s="3">
        <v>0.84280750000000004</v>
      </c>
      <c r="AV111" s="3">
        <v>0.84791139999999998</v>
      </c>
      <c r="AW111" s="3">
        <v>0.85296300000000003</v>
      </c>
      <c r="AX111" s="3">
        <v>0.85796269999999997</v>
      </c>
      <c r="AY111" s="3">
        <v>0.86291070000000003</v>
      </c>
      <c r="AZ111" s="3">
        <v>0.86780749999999995</v>
      </c>
      <c r="BA111" s="3">
        <v>0.87265389999999998</v>
      </c>
      <c r="BB111" s="3">
        <v>0.87745410000000001</v>
      </c>
      <c r="BC111" s="3">
        <v>0.88221320000000003</v>
      </c>
      <c r="BD111" s="3">
        <v>0.88693599999999995</v>
      </c>
      <c r="BE111" s="3">
        <v>0.89162770000000002</v>
      </c>
      <c r="BF111" s="3">
        <v>0.89629309999999995</v>
      </c>
      <c r="BG111" s="3">
        <v>0.90093730000000005</v>
      </c>
      <c r="BH111" s="3">
        <v>0.90556530000000002</v>
      </c>
      <c r="BI111" s="3">
        <v>0.91018209999999999</v>
      </c>
      <c r="BJ111" s="3">
        <v>0.91479250000000001</v>
      </c>
      <c r="BK111" s="3">
        <v>0.91940180000000005</v>
      </c>
      <c r="BL111" s="3">
        <v>0.92401469999999997</v>
      </c>
      <c r="BM111" s="3" t="e">
        <v>#N/A</v>
      </c>
      <c r="BN111" s="3" t="e">
        <v>#N/A</v>
      </c>
    </row>
    <row r="112" spans="1:66" x14ac:dyDescent="0.35">
      <c r="A112" s="5">
        <f t="shared" si="1"/>
        <v>43612</v>
      </c>
      <c r="B112" t="s">
        <v>189</v>
      </c>
      <c r="C112" s="2">
        <v>0.75</v>
      </c>
      <c r="D112" s="2" t="e">
        <v>#N/A</v>
      </c>
      <c r="E112" s="3" t="e">
        <v>#N/A</v>
      </c>
      <c r="F112" s="3" t="e">
        <v>#N/A</v>
      </c>
      <c r="G112" s="3" t="e">
        <v>#N/A</v>
      </c>
      <c r="H112" s="3" t="e">
        <v>#N/A</v>
      </c>
      <c r="I112" s="3" t="e">
        <v>#N/A</v>
      </c>
      <c r="J112" s="3" t="e">
        <v>#N/A</v>
      </c>
      <c r="K112" s="3" t="e">
        <v>#N/A</v>
      </c>
      <c r="L112" s="3" t="e">
        <v>#N/A</v>
      </c>
      <c r="M112" s="3" t="e">
        <v>#N/A</v>
      </c>
      <c r="N112" s="3" t="e">
        <v>#N/A</v>
      </c>
      <c r="O112" s="3" t="e">
        <v>#N/A</v>
      </c>
      <c r="P112" s="3" t="e">
        <v>#N/A</v>
      </c>
      <c r="Q112" s="3" t="e">
        <v>#N/A</v>
      </c>
      <c r="R112" s="3" t="e">
        <v>#N/A</v>
      </c>
      <c r="S112" s="3" t="e">
        <v>#N/A</v>
      </c>
      <c r="T112" s="3" t="e">
        <v>#N/A</v>
      </c>
      <c r="U112" s="3" t="e">
        <v>#N/A</v>
      </c>
      <c r="V112" s="3" t="e">
        <v>#N/A</v>
      </c>
      <c r="W112" s="3" t="e">
        <v>#N/A</v>
      </c>
      <c r="X112" s="3" t="e">
        <v>#N/A</v>
      </c>
      <c r="Y112" s="3" t="e">
        <v>#N/A</v>
      </c>
      <c r="Z112" s="3" t="e">
        <v>#N/A</v>
      </c>
      <c r="AA112" s="3" t="e">
        <v>#N/A</v>
      </c>
      <c r="AB112" s="3" t="e">
        <v>#N/A</v>
      </c>
      <c r="AC112" s="3" t="e">
        <v>#N/A</v>
      </c>
      <c r="AD112" s="3" t="e">
        <v>#N/A</v>
      </c>
      <c r="AE112" s="3" t="e">
        <v>#N/A</v>
      </c>
      <c r="AF112" s="3" t="e">
        <v>#N/A</v>
      </c>
      <c r="AG112" s="3" t="e">
        <v>#N/A</v>
      </c>
      <c r="AH112" s="3" t="e">
        <v>#N/A</v>
      </c>
      <c r="AI112" s="3" t="e">
        <v>#N/A</v>
      </c>
      <c r="AJ112" s="3" t="e">
        <v>#N/A</v>
      </c>
      <c r="AK112" s="3" t="e">
        <v>#N/A</v>
      </c>
      <c r="AL112" s="3" t="e">
        <v>#N/A</v>
      </c>
      <c r="AM112" s="3" t="e">
        <v>#N/A</v>
      </c>
      <c r="AN112" s="3" t="e">
        <v>#N/A</v>
      </c>
      <c r="AO112" s="3" t="e">
        <v>#N/A</v>
      </c>
      <c r="AP112" s="3" t="e">
        <v>#N/A</v>
      </c>
      <c r="AQ112" s="3" t="e">
        <v>#N/A</v>
      </c>
      <c r="AR112" s="3" t="e">
        <v>#N/A</v>
      </c>
      <c r="AS112" s="3" t="e">
        <v>#N/A</v>
      </c>
      <c r="AT112" s="3" t="e">
        <v>#N/A</v>
      </c>
      <c r="AU112" s="3" t="e">
        <v>#N/A</v>
      </c>
      <c r="AV112" s="3" t="e">
        <v>#N/A</v>
      </c>
      <c r="AW112" s="3" t="e">
        <v>#N/A</v>
      </c>
      <c r="AX112" s="3" t="e">
        <v>#N/A</v>
      </c>
      <c r="AY112" s="3" t="e">
        <v>#N/A</v>
      </c>
      <c r="AZ112" s="3" t="e">
        <v>#N/A</v>
      </c>
      <c r="BA112" s="3" t="e">
        <v>#N/A</v>
      </c>
      <c r="BB112" s="3" t="e">
        <v>#N/A</v>
      </c>
      <c r="BC112" s="3" t="e">
        <v>#N/A</v>
      </c>
      <c r="BD112" s="3" t="e">
        <v>#N/A</v>
      </c>
      <c r="BE112" s="3" t="e">
        <v>#N/A</v>
      </c>
      <c r="BF112" s="3" t="e">
        <v>#N/A</v>
      </c>
      <c r="BG112" s="3" t="e">
        <v>#N/A</v>
      </c>
      <c r="BH112" s="3" t="e">
        <v>#N/A</v>
      </c>
      <c r="BI112" s="3" t="e">
        <v>#N/A</v>
      </c>
      <c r="BJ112" s="3" t="e">
        <v>#N/A</v>
      </c>
      <c r="BK112" s="3" t="e">
        <v>#N/A</v>
      </c>
      <c r="BL112" s="3" t="e">
        <v>#N/A</v>
      </c>
      <c r="BM112" s="3" t="e">
        <v>#N/A</v>
      </c>
      <c r="BN112" s="3" t="e">
        <v>#N/A</v>
      </c>
    </row>
    <row r="113" spans="1:66" x14ac:dyDescent="0.35">
      <c r="A113" s="5">
        <f t="shared" si="1"/>
        <v>43613</v>
      </c>
      <c r="B113" t="s">
        <v>190</v>
      </c>
      <c r="C113" s="2">
        <v>0.75</v>
      </c>
      <c r="D113" s="2">
        <v>0.70820000000000005</v>
      </c>
      <c r="E113" s="3">
        <v>0.71065520000000004</v>
      </c>
      <c r="F113" s="3">
        <v>0.70727200000000001</v>
      </c>
      <c r="G113" s="3">
        <v>0.70179429999999998</v>
      </c>
      <c r="H113" s="3">
        <v>0.69648060000000001</v>
      </c>
      <c r="I113" s="3">
        <v>0.69337199999999999</v>
      </c>
      <c r="J113" s="3">
        <v>0.69167990000000001</v>
      </c>
      <c r="K113" s="3">
        <v>0.68954179999999998</v>
      </c>
      <c r="L113" s="3">
        <v>0.68593249999999995</v>
      </c>
      <c r="M113" s="3">
        <v>0.68099540000000003</v>
      </c>
      <c r="N113" s="3">
        <v>0.67569950000000001</v>
      </c>
      <c r="O113" s="3">
        <v>0.67114890000000005</v>
      </c>
      <c r="P113" s="3">
        <v>0.66807879999999997</v>
      </c>
      <c r="Q113" s="3">
        <v>0.66693060000000004</v>
      </c>
      <c r="R113" s="3">
        <v>0.66752599999999995</v>
      </c>
      <c r="S113" s="3">
        <v>0.66951799999999995</v>
      </c>
      <c r="T113" s="3">
        <v>0.67255960000000004</v>
      </c>
      <c r="U113" s="3">
        <v>0.67630349999999995</v>
      </c>
      <c r="V113" s="3">
        <v>0.68040270000000003</v>
      </c>
      <c r="W113" s="3">
        <v>0.68454890000000002</v>
      </c>
      <c r="X113" s="3">
        <v>0.68867619999999996</v>
      </c>
      <c r="Y113" s="3">
        <v>0.69281280000000001</v>
      </c>
      <c r="Z113" s="3">
        <v>0.69698669999999996</v>
      </c>
      <c r="AA113" s="3">
        <v>0.70122629999999997</v>
      </c>
      <c r="AB113" s="3">
        <v>0.70555979999999996</v>
      </c>
      <c r="AC113" s="3">
        <v>0.71001069999999999</v>
      </c>
      <c r="AD113" s="3">
        <v>0.71458069999999996</v>
      </c>
      <c r="AE113" s="3">
        <v>0.71926590000000001</v>
      </c>
      <c r="AF113" s="3">
        <v>0.72406239999999999</v>
      </c>
      <c r="AG113" s="3">
        <v>0.72896620000000001</v>
      </c>
      <c r="AH113" s="3">
        <v>0.73397330000000005</v>
      </c>
      <c r="AI113" s="3">
        <v>0.73907970000000001</v>
      </c>
      <c r="AJ113" s="3">
        <v>0.74428139999999998</v>
      </c>
      <c r="AK113" s="3">
        <v>0.74957439999999997</v>
      </c>
      <c r="AL113" s="3">
        <v>0.75495480000000004</v>
      </c>
      <c r="AM113" s="3">
        <v>0.7604185</v>
      </c>
      <c r="AN113" s="3">
        <v>0.76596169999999997</v>
      </c>
      <c r="AO113" s="3">
        <v>0.77157960000000003</v>
      </c>
      <c r="AP113" s="3">
        <v>0.7772635</v>
      </c>
      <c r="AQ113" s="3">
        <v>0.78300340000000002</v>
      </c>
      <c r="AR113" s="3">
        <v>0.78878910000000002</v>
      </c>
      <c r="AS113" s="3">
        <v>0.7946105</v>
      </c>
      <c r="AT113" s="3">
        <v>0.80045750000000004</v>
      </c>
      <c r="AU113" s="3">
        <v>0.80631980000000003</v>
      </c>
      <c r="AV113" s="3">
        <v>0.81218749999999995</v>
      </c>
      <c r="AW113" s="3">
        <v>0.81805019999999995</v>
      </c>
      <c r="AX113" s="3">
        <v>0.82389800000000002</v>
      </c>
      <c r="AY113" s="3">
        <v>0.82972069999999998</v>
      </c>
      <c r="AZ113" s="3">
        <v>0.83550800000000003</v>
      </c>
      <c r="BA113" s="3">
        <v>0.84125159999999999</v>
      </c>
      <c r="BB113" s="3">
        <v>0.84695109999999996</v>
      </c>
      <c r="BC113" s="3">
        <v>0.85260919999999996</v>
      </c>
      <c r="BD113" s="3">
        <v>0.85822860000000001</v>
      </c>
      <c r="BE113" s="3">
        <v>0.86381180000000002</v>
      </c>
      <c r="BF113" s="3">
        <v>0.86936150000000001</v>
      </c>
      <c r="BG113" s="3">
        <v>0.87488030000000006</v>
      </c>
      <c r="BH113" s="3">
        <v>0.88037089999999996</v>
      </c>
      <c r="BI113" s="3">
        <v>0.88583579999999995</v>
      </c>
      <c r="BJ113" s="3">
        <v>0.89127769999999995</v>
      </c>
      <c r="BK113" s="3">
        <v>0.89669929999999998</v>
      </c>
      <c r="BL113" s="3">
        <v>0.90210310000000005</v>
      </c>
      <c r="BM113" s="3" t="e">
        <v>#N/A</v>
      </c>
      <c r="BN113" s="3" t="e">
        <v>#N/A</v>
      </c>
    </row>
    <row r="114" spans="1:66" x14ac:dyDescent="0.35">
      <c r="A114" s="5">
        <f t="shared" si="1"/>
        <v>43614</v>
      </c>
      <c r="B114" t="s">
        <v>191</v>
      </c>
      <c r="C114" s="2">
        <v>0.75</v>
      </c>
      <c r="D114" s="2">
        <v>0.70730000000000004</v>
      </c>
      <c r="E114" s="3">
        <v>0.70931370000000005</v>
      </c>
      <c r="F114" s="3">
        <v>0.70822660000000004</v>
      </c>
      <c r="G114" s="3">
        <v>0.70655020000000002</v>
      </c>
      <c r="H114" s="3">
        <v>0.7031058</v>
      </c>
      <c r="I114" s="3">
        <v>0.69788819999999996</v>
      </c>
      <c r="J114" s="3">
        <v>0.6915789</v>
      </c>
      <c r="K114" s="3">
        <v>0.68491310000000005</v>
      </c>
      <c r="L114" s="3">
        <v>0.67861199999999999</v>
      </c>
      <c r="M114" s="3">
        <v>0.67315659999999999</v>
      </c>
      <c r="N114" s="3">
        <v>0.66892989999999997</v>
      </c>
      <c r="O114" s="3">
        <v>0.66614309999999999</v>
      </c>
      <c r="P114" s="3">
        <v>0.6648828</v>
      </c>
      <c r="Q114" s="3">
        <v>0.66497079999999997</v>
      </c>
      <c r="R114" s="3">
        <v>0.66615849999999999</v>
      </c>
      <c r="S114" s="3">
        <v>0.66819839999999997</v>
      </c>
      <c r="T114" s="3">
        <v>0.67084319999999997</v>
      </c>
      <c r="U114" s="3">
        <v>0.67384549999999999</v>
      </c>
      <c r="V114" s="3">
        <v>0.6769579</v>
      </c>
      <c r="W114" s="3">
        <v>0.67996719999999999</v>
      </c>
      <c r="X114" s="3">
        <v>0.68285419999999997</v>
      </c>
      <c r="Y114" s="3">
        <v>0.68566780000000005</v>
      </c>
      <c r="Z114" s="3">
        <v>0.68845690000000004</v>
      </c>
      <c r="AA114" s="3">
        <v>0.69127059999999996</v>
      </c>
      <c r="AB114" s="3">
        <v>0.69415780000000005</v>
      </c>
      <c r="AC114" s="3">
        <v>0.6971619</v>
      </c>
      <c r="AD114" s="3">
        <v>0.70029319999999995</v>
      </c>
      <c r="AE114" s="3">
        <v>0.70354969999999994</v>
      </c>
      <c r="AF114" s="3">
        <v>0.70692929999999998</v>
      </c>
      <c r="AG114" s="3">
        <v>0.71043009999999995</v>
      </c>
      <c r="AH114" s="3">
        <v>0.71404999999999996</v>
      </c>
      <c r="AI114" s="3">
        <v>0.71778690000000001</v>
      </c>
      <c r="AJ114" s="3">
        <v>0.72163889999999997</v>
      </c>
      <c r="AK114" s="3">
        <v>0.72560389999999997</v>
      </c>
      <c r="AL114" s="3">
        <v>0.72968</v>
      </c>
      <c r="AM114" s="3">
        <v>0.73386510000000005</v>
      </c>
      <c r="AN114" s="3">
        <v>0.73815710000000001</v>
      </c>
      <c r="AO114" s="3">
        <v>0.74255340000000003</v>
      </c>
      <c r="AP114" s="3">
        <v>0.74704780000000004</v>
      </c>
      <c r="AQ114" s="3">
        <v>0.75163279999999999</v>
      </c>
      <c r="AR114" s="3">
        <v>0.756301</v>
      </c>
      <c r="AS114" s="3">
        <v>0.76104490000000002</v>
      </c>
      <c r="AT114" s="3">
        <v>0.76585720000000002</v>
      </c>
      <c r="AU114" s="3">
        <v>0.77073029999999998</v>
      </c>
      <c r="AV114" s="3">
        <v>0.77565680000000004</v>
      </c>
      <c r="AW114" s="3">
        <v>0.78062940000000003</v>
      </c>
      <c r="AX114" s="3">
        <v>0.78564049999999996</v>
      </c>
      <c r="AY114" s="3">
        <v>0.79068280000000002</v>
      </c>
      <c r="AZ114" s="3">
        <v>0.79574869999999998</v>
      </c>
      <c r="BA114" s="3">
        <v>0.80083179999999998</v>
      </c>
      <c r="BB114" s="3">
        <v>0.80593029999999999</v>
      </c>
      <c r="BC114" s="3">
        <v>0.81104379999999998</v>
      </c>
      <c r="BD114" s="3">
        <v>0.8161716</v>
      </c>
      <c r="BE114" s="3">
        <v>0.82131359999999998</v>
      </c>
      <c r="BF114" s="3">
        <v>0.82646909999999996</v>
      </c>
      <c r="BG114" s="3">
        <v>0.83163770000000004</v>
      </c>
      <c r="BH114" s="3">
        <v>0.83681899999999998</v>
      </c>
      <c r="BI114" s="3">
        <v>0.84201269999999995</v>
      </c>
      <c r="BJ114" s="3">
        <v>0.84721809999999997</v>
      </c>
      <c r="BK114" s="3">
        <v>0.8524349</v>
      </c>
      <c r="BL114" s="3">
        <v>0.85766260000000005</v>
      </c>
      <c r="BM114" s="3" t="e">
        <v>#N/A</v>
      </c>
      <c r="BN114" s="3" t="e">
        <v>#N/A</v>
      </c>
    </row>
    <row r="115" spans="1:66" x14ac:dyDescent="0.35">
      <c r="A115" s="5">
        <f t="shared" si="1"/>
        <v>43615</v>
      </c>
      <c r="B115" t="s">
        <v>192</v>
      </c>
      <c r="C115" s="2">
        <v>0.75</v>
      </c>
      <c r="D115" s="2">
        <v>0.70850000000000002</v>
      </c>
      <c r="E115" s="3">
        <v>0.7092387</v>
      </c>
      <c r="F115" s="3">
        <v>0.70720729999999998</v>
      </c>
      <c r="G115" s="3">
        <v>0.70366640000000003</v>
      </c>
      <c r="H115" s="3">
        <v>0.69843370000000005</v>
      </c>
      <c r="I115" s="3">
        <v>0.69296409999999997</v>
      </c>
      <c r="J115" s="3">
        <v>0.68787620000000005</v>
      </c>
      <c r="K115" s="3">
        <v>0.68330860000000004</v>
      </c>
      <c r="L115" s="3">
        <v>0.67934470000000002</v>
      </c>
      <c r="M115" s="3">
        <v>0.67548660000000005</v>
      </c>
      <c r="N115" s="3">
        <v>0.67150659999999995</v>
      </c>
      <c r="O115" s="3">
        <v>0.66765649999999999</v>
      </c>
      <c r="P115" s="3">
        <v>0.66427020000000003</v>
      </c>
      <c r="Q115" s="3">
        <v>0.66228169999999997</v>
      </c>
      <c r="R115" s="3">
        <v>0.66182209999999997</v>
      </c>
      <c r="S115" s="3">
        <v>0.66267039999999999</v>
      </c>
      <c r="T115" s="3">
        <v>0.66460529999999995</v>
      </c>
      <c r="U115" s="3">
        <v>0.66740540000000004</v>
      </c>
      <c r="V115" s="3">
        <v>0.67084960000000005</v>
      </c>
      <c r="W115" s="3">
        <v>0.67473550000000004</v>
      </c>
      <c r="X115" s="3">
        <v>0.67895859999999997</v>
      </c>
      <c r="Y115" s="3">
        <v>0.68344579999999999</v>
      </c>
      <c r="Z115" s="3">
        <v>0.6881237</v>
      </c>
      <c r="AA115" s="3">
        <v>0.69291910000000001</v>
      </c>
      <c r="AB115" s="3">
        <v>0.69775869999999995</v>
      </c>
      <c r="AC115" s="3">
        <v>0.70257879999999995</v>
      </c>
      <c r="AD115" s="3">
        <v>0.70736600000000005</v>
      </c>
      <c r="AE115" s="3">
        <v>0.71212439999999999</v>
      </c>
      <c r="AF115" s="3">
        <v>0.71685759999999998</v>
      </c>
      <c r="AG115" s="3">
        <v>0.72156949999999997</v>
      </c>
      <c r="AH115" s="3">
        <v>0.72626400000000002</v>
      </c>
      <c r="AI115" s="3">
        <v>0.73094490000000001</v>
      </c>
      <c r="AJ115" s="3">
        <v>0.73561600000000005</v>
      </c>
      <c r="AK115" s="3">
        <v>0.74028110000000003</v>
      </c>
      <c r="AL115" s="3">
        <v>0.74494419999999995</v>
      </c>
      <c r="AM115" s="3">
        <v>0.74960899999999997</v>
      </c>
      <c r="AN115" s="3">
        <v>0.75427929999999999</v>
      </c>
      <c r="AO115" s="3">
        <v>0.75895840000000003</v>
      </c>
      <c r="AP115" s="3">
        <v>0.76364589999999999</v>
      </c>
      <c r="AQ115" s="3">
        <v>0.76834069999999999</v>
      </c>
      <c r="AR115" s="3">
        <v>0.77304150000000005</v>
      </c>
      <c r="AS115" s="3">
        <v>0.77774690000000002</v>
      </c>
      <c r="AT115" s="3">
        <v>0.78245580000000003</v>
      </c>
      <c r="AU115" s="3">
        <v>0.7871669</v>
      </c>
      <c r="AV115" s="3">
        <v>0.791879</v>
      </c>
      <c r="AW115" s="3">
        <v>0.79659069999999998</v>
      </c>
      <c r="AX115" s="3">
        <v>0.80130089999999998</v>
      </c>
      <c r="AY115" s="3">
        <v>0.80600830000000001</v>
      </c>
      <c r="AZ115" s="3">
        <v>0.81071159999999998</v>
      </c>
      <c r="BA115" s="3">
        <v>0.81540999999999997</v>
      </c>
      <c r="BB115" s="3">
        <v>0.82010470000000002</v>
      </c>
      <c r="BC115" s="3">
        <v>0.82479749999999996</v>
      </c>
      <c r="BD115" s="3">
        <v>0.82949010000000001</v>
      </c>
      <c r="BE115" s="3">
        <v>0.83418420000000004</v>
      </c>
      <c r="BF115" s="3">
        <v>0.83888160000000001</v>
      </c>
      <c r="BG115" s="3">
        <v>0.84358390000000005</v>
      </c>
      <c r="BH115" s="3">
        <v>0.84829299999999996</v>
      </c>
      <c r="BI115" s="3">
        <v>0.85301059999999995</v>
      </c>
      <c r="BJ115" s="3">
        <v>0.85773840000000001</v>
      </c>
      <c r="BK115" s="3">
        <v>0.86247819999999997</v>
      </c>
      <c r="BL115" s="3">
        <v>0.86723159999999999</v>
      </c>
      <c r="BM115" s="3" t="e">
        <v>#N/A</v>
      </c>
      <c r="BN115" s="3" t="e">
        <v>#N/A</v>
      </c>
    </row>
    <row r="116" spans="1:66" x14ac:dyDescent="0.35">
      <c r="A116" s="5">
        <f t="shared" si="1"/>
        <v>43616</v>
      </c>
      <c r="B116" t="s">
        <v>193</v>
      </c>
      <c r="C116" s="2">
        <v>0.75</v>
      </c>
      <c r="D116" s="2">
        <v>0.70779999999999998</v>
      </c>
      <c r="E116" s="3">
        <v>0.70765279999999997</v>
      </c>
      <c r="F116" s="3">
        <v>0.70657780000000003</v>
      </c>
      <c r="G116" s="3">
        <v>0.70468010000000003</v>
      </c>
      <c r="H116" s="3">
        <v>0.70120769999999999</v>
      </c>
      <c r="I116" s="3">
        <v>0.69628279999999998</v>
      </c>
      <c r="J116" s="3">
        <v>0.69039340000000005</v>
      </c>
      <c r="K116" s="3">
        <v>0.68407249999999997</v>
      </c>
      <c r="L116" s="3">
        <v>0.6777512</v>
      </c>
      <c r="M116" s="3">
        <v>0.67173629999999995</v>
      </c>
      <c r="N116" s="3">
        <v>0.66625389999999995</v>
      </c>
      <c r="O116" s="3">
        <v>0.66151380000000004</v>
      </c>
      <c r="P116" s="3">
        <v>0.65772200000000003</v>
      </c>
      <c r="Q116" s="3">
        <v>0.65511799999999998</v>
      </c>
      <c r="R116" s="3">
        <v>0.65366210000000002</v>
      </c>
      <c r="S116" s="3">
        <v>0.65322119999999995</v>
      </c>
      <c r="T116" s="3">
        <v>0.65366199999999997</v>
      </c>
      <c r="U116" s="3">
        <v>0.65485150000000003</v>
      </c>
      <c r="V116" s="3">
        <v>0.65665649999999998</v>
      </c>
      <c r="W116" s="3">
        <v>0.65895519999999996</v>
      </c>
      <c r="X116" s="3">
        <v>0.66167889999999996</v>
      </c>
      <c r="Y116" s="3">
        <v>0.66477399999999998</v>
      </c>
      <c r="Z116" s="3">
        <v>0.66818690000000003</v>
      </c>
      <c r="AA116" s="3">
        <v>0.67186409999999996</v>
      </c>
      <c r="AB116" s="3">
        <v>0.67575220000000003</v>
      </c>
      <c r="AC116" s="3">
        <v>0.67980309999999999</v>
      </c>
      <c r="AD116" s="3">
        <v>0.68399620000000005</v>
      </c>
      <c r="AE116" s="3">
        <v>0.68831920000000002</v>
      </c>
      <c r="AF116" s="3">
        <v>0.69275969999999998</v>
      </c>
      <c r="AG116" s="3">
        <v>0.69730539999999996</v>
      </c>
      <c r="AH116" s="3">
        <v>0.70194380000000001</v>
      </c>
      <c r="AI116" s="3">
        <v>0.70666260000000003</v>
      </c>
      <c r="AJ116" s="3">
        <v>0.71144940000000001</v>
      </c>
      <c r="AK116" s="3">
        <v>0.71629189999999998</v>
      </c>
      <c r="AL116" s="3">
        <v>0.72117779999999998</v>
      </c>
      <c r="AM116" s="3">
        <v>0.72609460000000003</v>
      </c>
      <c r="AN116" s="3">
        <v>0.73102999999999996</v>
      </c>
      <c r="AO116" s="3">
        <v>0.7359734</v>
      </c>
      <c r="AP116" s="3">
        <v>0.74092219999999998</v>
      </c>
      <c r="AQ116" s="3">
        <v>0.74587610000000004</v>
      </c>
      <c r="AR116" s="3">
        <v>0.75083449999999996</v>
      </c>
      <c r="AS116" s="3">
        <v>0.75579700000000005</v>
      </c>
      <c r="AT116" s="3">
        <v>0.76076339999999998</v>
      </c>
      <c r="AU116" s="3">
        <v>0.765733</v>
      </c>
      <c r="AV116" s="3">
        <v>0.77070550000000004</v>
      </c>
      <c r="AW116" s="3">
        <v>0.77568049999999999</v>
      </c>
      <c r="AX116" s="3">
        <v>0.7806575</v>
      </c>
      <c r="AY116" s="3">
        <v>0.78563620000000001</v>
      </c>
      <c r="AZ116" s="3">
        <v>0.79061610000000004</v>
      </c>
      <c r="BA116" s="3">
        <v>0.79559659999999999</v>
      </c>
      <c r="BB116" s="3">
        <v>0.80057630000000002</v>
      </c>
      <c r="BC116" s="3">
        <v>0.80555379999999999</v>
      </c>
      <c r="BD116" s="3">
        <v>0.81052740000000001</v>
      </c>
      <c r="BE116" s="3">
        <v>0.81549550000000004</v>
      </c>
      <c r="BF116" s="3">
        <v>0.82045670000000004</v>
      </c>
      <c r="BG116" s="3">
        <v>0.82540919999999995</v>
      </c>
      <c r="BH116" s="3">
        <v>0.83035159999999997</v>
      </c>
      <c r="BI116" s="3">
        <v>0.83528230000000003</v>
      </c>
      <c r="BJ116" s="3">
        <v>0.84019969999999999</v>
      </c>
      <c r="BK116" s="3">
        <v>0.84510220000000003</v>
      </c>
      <c r="BL116" s="3">
        <v>0.84998830000000003</v>
      </c>
      <c r="BM116" s="3" t="e">
        <v>#N/A</v>
      </c>
      <c r="BN116" s="3" t="e">
        <v>#N/A</v>
      </c>
    </row>
    <row r="117" spans="1:66" x14ac:dyDescent="0.35">
      <c r="A117" s="5">
        <f t="shared" si="1"/>
        <v>43619</v>
      </c>
      <c r="B117" t="s">
        <v>194</v>
      </c>
      <c r="C117" s="2">
        <v>0.75</v>
      </c>
      <c r="D117" s="2">
        <v>0.70840000000000003</v>
      </c>
      <c r="E117" s="3">
        <v>0.70970250000000001</v>
      </c>
      <c r="F117" s="3">
        <v>0.70676289999999997</v>
      </c>
      <c r="G117" s="3">
        <v>0.69859640000000001</v>
      </c>
      <c r="H117" s="3">
        <v>0.68638650000000001</v>
      </c>
      <c r="I117" s="3">
        <v>0.67312000000000005</v>
      </c>
      <c r="J117" s="3">
        <v>0.66073479999999996</v>
      </c>
      <c r="K117" s="3">
        <v>0.65020020000000001</v>
      </c>
      <c r="L117" s="3">
        <v>0.6415843</v>
      </c>
      <c r="M117" s="3">
        <v>0.63462589999999997</v>
      </c>
      <c r="N117" s="3">
        <v>0.6291776</v>
      </c>
      <c r="O117" s="3">
        <v>0.62521890000000002</v>
      </c>
      <c r="P117" s="3">
        <v>0.62255749999999999</v>
      </c>
      <c r="Q117" s="3">
        <v>0.62085749999999995</v>
      </c>
      <c r="R117" s="3">
        <v>0.61999789999999999</v>
      </c>
      <c r="S117" s="3">
        <v>0.61993030000000005</v>
      </c>
      <c r="T117" s="3">
        <v>0.62060649999999995</v>
      </c>
      <c r="U117" s="3">
        <v>0.62197820000000004</v>
      </c>
      <c r="V117" s="3">
        <v>0.62399729999999998</v>
      </c>
      <c r="W117" s="3">
        <v>0.62661169999999999</v>
      </c>
      <c r="X117" s="3">
        <v>0.62975329999999996</v>
      </c>
      <c r="Y117" s="3">
        <v>0.63334900000000005</v>
      </c>
      <c r="Z117" s="3">
        <v>0.63732560000000005</v>
      </c>
      <c r="AA117" s="3">
        <v>0.64161020000000002</v>
      </c>
      <c r="AB117" s="3">
        <v>0.64612959999999997</v>
      </c>
      <c r="AC117" s="3">
        <v>0.65081860000000002</v>
      </c>
      <c r="AD117" s="3">
        <v>0.6556476</v>
      </c>
      <c r="AE117" s="3">
        <v>0.66059639999999997</v>
      </c>
      <c r="AF117" s="3">
        <v>0.66564480000000004</v>
      </c>
      <c r="AG117" s="3">
        <v>0.67077279999999995</v>
      </c>
      <c r="AH117" s="3">
        <v>0.67596029999999996</v>
      </c>
      <c r="AI117" s="3">
        <v>0.68118719999999999</v>
      </c>
      <c r="AJ117" s="3">
        <v>0.68643330000000002</v>
      </c>
      <c r="AK117" s="3">
        <v>0.69167860000000003</v>
      </c>
      <c r="AL117" s="3">
        <v>0.69690300000000005</v>
      </c>
      <c r="AM117" s="3">
        <v>0.70208630000000005</v>
      </c>
      <c r="AN117" s="3">
        <v>0.70720850000000002</v>
      </c>
      <c r="AO117" s="3">
        <v>0.71225349999999998</v>
      </c>
      <c r="AP117" s="3">
        <v>0.71722330000000001</v>
      </c>
      <c r="AQ117" s="3">
        <v>0.72212509999999996</v>
      </c>
      <c r="AR117" s="3">
        <v>0.7269658</v>
      </c>
      <c r="AS117" s="3">
        <v>0.73175239999999997</v>
      </c>
      <c r="AT117" s="3">
        <v>0.73649200000000004</v>
      </c>
      <c r="AU117" s="3">
        <v>0.74119159999999995</v>
      </c>
      <c r="AV117" s="3">
        <v>0.74585820000000003</v>
      </c>
      <c r="AW117" s="3">
        <v>0.75049889999999997</v>
      </c>
      <c r="AX117" s="3">
        <v>0.75512060000000003</v>
      </c>
      <c r="AY117" s="3">
        <v>0.75973040000000003</v>
      </c>
      <c r="AZ117" s="3">
        <v>0.76433519999999999</v>
      </c>
      <c r="BA117" s="3">
        <v>0.7689416</v>
      </c>
      <c r="BB117" s="3">
        <v>0.77355249999999998</v>
      </c>
      <c r="BC117" s="3">
        <v>0.77816989999999997</v>
      </c>
      <c r="BD117" s="3">
        <v>0.78279560000000004</v>
      </c>
      <c r="BE117" s="3">
        <v>0.78743149999999995</v>
      </c>
      <c r="BF117" s="3">
        <v>0.79207970000000005</v>
      </c>
      <c r="BG117" s="3">
        <v>0.7967419</v>
      </c>
      <c r="BH117" s="3">
        <v>0.80142000000000002</v>
      </c>
      <c r="BI117" s="3">
        <v>0.80611600000000005</v>
      </c>
      <c r="BJ117" s="3">
        <v>0.81083190000000005</v>
      </c>
      <c r="BK117" s="3">
        <v>0.8155694</v>
      </c>
      <c r="BL117" s="3">
        <v>0.82033049999999996</v>
      </c>
      <c r="BM117" s="3" t="e">
        <v>#N/A</v>
      </c>
      <c r="BN117" s="3" t="e">
        <v>#N/A</v>
      </c>
    </row>
    <row r="118" spans="1:66" x14ac:dyDescent="0.35">
      <c r="A118" s="5">
        <f t="shared" si="1"/>
        <v>43620</v>
      </c>
      <c r="B118" t="s">
        <v>195</v>
      </c>
      <c r="C118" s="2">
        <v>0.75</v>
      </c>
      <c r="D118" s="2">
        <v>0.70840000000000003</v>
      </c>
      <c r="E118" s="3">
        <v>0.70649200000000001</v>
      </c>
      <c r="F118" s="3">
        <v>0.70838449999999997</v>
      </c>
      <c r="G118" s="3">
        <v>0.70880220000000005</v>
      </c>
      <c r="H118" s="3">
        <v>0.70591040000000005</v>
      </c>
      <c r="I118" s="3">
        <v>0.69897750000000003</v>
      </c>
      <c r="J118" s="3">
        <v>0.68909790000000004</v>
      </c>
      <c r="K118" s="3">
        <v>0.67825080000000004</v>
      </c>
      <c r="L118" s="3">
        <v>0.66819470000000003</v>
      </c>
      <c r="M118" s="3">
        <v>0.6600897</v>
      </c>
      <c r="N118" s="3">
        <v>0.65430140000000003</v>
      </c>
      <c r="O118" s="3">
        <v>0.65074379999999998</v>
      </c>
      <c r="P118" s="3">
        <v>0.64914570000000005</v>
      </c>
      <c r="Q118" s="3">
        <v>0.64881500000000003</v>
      </c>
      <c r="R118" s="3">
        <v>0.64946309999999996</v>
      </c>
      <c r="S118" s="3">
        <v>0.65095630000000004</v>
      </c>
      <c r="T118" s="3">
        <v>0.65316070000000004</v>
      </c>
      <c r="U118" s="3">
        <v>0.65594269999999999</v>
      </c>
      <c r="V118" s="3">
        <v>0.65916839999999999</v>
      </c>
      <c r="W118" s="3">
        <v>0.6627189</v>
      </c>
      <c r="X118" s="3">
        <v>0.666543</v>
      </c>
      <c r="Y118" s="3">
        <v>0.67060920000000002</v>
      </c>
      <c r="Z118" s="3">
        <v>0.67488630000000005</v>
      </c>
      <c r="AA118" s="3">
        <v>0.67934280000000002</v>
      </c>
      <c r="AB118" s="3">
        <v>0.68394719999999998</v>
      </c>
      <c r="AC118" s="3">
        <v>0.68867160000000005</v>
      </c>
      <c r="AD118" s="3">
        <v>0.69350230000000002</v>
      </c>
      <c r="AE118" s="3">
        <v>0.69842990000000005</v>
      </c>
      <c r="AF118" s="3">
        <v>0.70344470000000003</v>
      </c>
      <c r="AG118" s="3">
        <v>0.70853730000000004</v>
      </c>
      <c r="AH118" s="3">
        <v>0.7136981</v>
      </c>
      <c r="AI118" s="3">
        <v>0.71891760000000005</v>
      </c>
      <c r="AJ118" s="3">
        <v>0.7241862</v>
      </c>
      <c r="AK118" s="3">
        <v>0.72949450000000005</v>
      </c>
      <c r="AL118" s="3">
        <v>0.73483279999999995</v>
      </c>
      <c r="AM118" s="3">
        <v>0.74019170000000001</v>
      </c>
      <c r="AN118" s="3">
        <v>0.74556160000000005</v>
      </c>
      <c r="AO118" s="3">
        <v>0.75093390000000004</v>
      </c>
      <c r="AP118" s="3">
        <v>0.7563048</v>
      </c>
      <c r="AQ118" s="3">
        <v>0.76167240000000003</v>
      </c>
      <c r="AR118" s="3">
        <v>0.76703440000000001</v>
      </c>
      <c r="AS118" s="3">
        <v>0.77238890000000004</v>
      </c>
      <c r="AT118" s="3">
        <v>0.77773369999999997</v>
      </c>
      <c r="AU118" s="3">
        <v>0.78306679999999995</v>
      </c>
      <c r="AV118" s="3">
        <v>0.78838609999999998</v>
      </c>
      <c r="AW118" s="3">
        <v>0.79368950000000005</v>
      </c>
      <c r="AX118" s="3">
        <v>0.79897499999999999</v>
      </c>
      <c r="AY118" s="3">
        <v>0.80424030000000002</v>
      </c>
      <c r="AZ118" s="3">
        <v>0.80948359999999997</v>
      </c>
      <c r="BA118" s="3">
        <v>0.81470310000000001</v>
      </c>
      <c r="BB118" s="3">
        <v>0.8198993</v>
      </c>
      <c r="BC118" s="3">
        <v>0.82507350000000002</v>
      </c>
      <c r="BD118" s="3">
        <v>0.83022689999999999</v>
      </c>
      <c r="BE118" s="3">
        <v>0.83536060000000001</v>
      </c>
      <c r="BF118" s="3">
        <v>0.8404758</v>
      </c>
      <c r="BG118" s="3">
        <v>0.84557380000000004</v>
      </c>
      <c r="BH118" s="3">
        <v>0.85065570000000001</v>
      </c>
      <c r="BI118" s="3">
        <v>0.85572269999999995</v>
      </c>
      <c r="BJ118" s="3">
        <v>0.86077599999999999</v>
      </c>
      <c r="BK118" s="3">
        <v>0.8658169</v>
      </c>
      <c r="BL118" s="3">
        <v>0.87084640000000002</v>
      </c>
      <c r="BM118" s="3" t="e">
        <v>#N/A</v>
      </c>
      <c r="BN118" s="3" t="e">
        <v>#N/A</v>
      </c>
    </row>
    <row r="119" spans="1:66" x14ac:dyDescent="0.35">
      <c r="A119" s="5">
        <f t="shared" si="1"/>
        <v>43621</v>
      </c>
      <c r="B119" t="s">
        <v>196</v>
      </c>
      <c r="C119" s="2">
        <v>0.75</v>
      </c>
      <c r="D119" s="2">
        <v>0.70940000000000003</v>
      </c>
      <c r="E119" s="3">
        <v>0.70717110000000005</v>
      </c>
      <c r="F119" s="3">
        <v>0.70788499999999999</v>
      </c>
      <c r="G119" s="3">
        <v>0.70665020000000001</v>
      </c>
      <c r="H119" s="3">
        <v>0.70076340000000004</v>
      </c>
      <c r="I119" s="3">
        <v>0.68916540000000004</v>
      </c>
      <c r="J119" s="3">
        <v>0.67368439999999996</v>
      </c>
      <c r="K119" s="3">
        <v>0.65700950000000002</v>
      </c>
      <c r="L119" s="3">
        <v>0.64144900000000005</v>
      </c>
      <c r="M119" s="3">
        <v>0.62844789999999995</v>
      </c>
      <c r="N119" s="3">
        <v>0.6184016</v>
      </c>
      <c r="O119" s="3">
        <v>0.61121400000000004</v>
      </c>
      <c r="P119" s="3">
        <v>0.60653170000000001</v>
      </c>
      <c r="Q119" s="3">
        <v>0.60361640000000005</v>
      </c>
      <c r="R119" s="3">
        <v>0.60214699999999999</v>
      </c>
      <c r="S119" s="3">
        <v>0.60195240000000005</v>
      </c>
      <c r="T119" s="3">
        <v>0.6028616</v>
      </c>
      <c r="U119" s="3">
        <v>0.6047034</v>
      </c>
      <c r="V119" s="3">
        <v>0.60730700000000004</v>
      </c>
      <c r="W119" s="3">
        <v>0.61051429999999995</v>
      </c>
      <c r="X119" s="3">
        <v>0.61424239999999997</v>
      </c>
      <c r="Y119" s="3">
        <v>0.6184345</v>
      </c>
      <c r="Z119" s="3">
        <v>0.62303390000000003</v>
      </c>
      <c r="AA119" s="3">
        <v>0.62798379999999998</v>
      </c>
      <c r="AB119" s="3">
        <v>0.63322750000000005</v>
      </c>
      <c r="AC119" s="3">
        <v>0.6387119</v>
      </c>
      <c r="AD119" s="3">
        <v>0.64440269999999999</v>
      </c>
      <c r="AE119" s="3">
        <v>0.65027199999999996</v>
      </c>
      <c r="AF119" s="3">
        <v>0.65629219999999999</v>
      </c>
      <c r="AG119" s="3">
        <v>0.66243540000000001</v>
      </c>
      <c r="AH119" s="3">
        <v>0.66867379999999998</v>
      </c>
      <c r="AI119" s="3">
        <v>0.67497949999999995</v>
      </c>
      <c r="AJ119" s="3">
        <v>0.68132479999999995</v>
      </c>
      <c r="AK119" s="3">
        <v>0.68768189999999996</v>
      </c>
      <c r="AL119" s="3">
        <v>0.69402280000000005</v>
      </c>
      <c r="AM119" s="3">
        <v>0.7003199</v>
      </c>
      <c r="AN119" s="3">
        <v>0.70654530000000004</v>
      </c>
      <c r="AO119" s="3">
        <v>0.71267519999999995</v>
      </c>
      <c r="AP119" s="3">
        <v>0.71870540000000005</v>
      </c>
      <c r="AQ119" s="3">
        <v>0.72463739999999999</v>
      </c>
      <c r="AR119" s="3">
        <v>0.73047289999999998</v>
      </c>
      <c r="AS119" s="3">
        <v>0.73621369999999997</v>
      </c>
      <c r="AT119" s="3">
        <v>0.74186129999999995</v>
      </c>
      <c r="AU119" s="3">
        <v>0.74741740000000001</v>
      </c>
      <c r="AV119" s="3">
        <v>0.75288359999999999</v>
      </c>
      <c r="AW119" s="3">
        <v>0.75826170000000004</v>
      </c>
      <c r="AX119" s="3">
        <v>0.76355329999999999</v>
      </c>
      <c r="AY119" s="3">
        <v>0.76876</v>
      </c>
      <c r="AZ119" s="3">
        <v>0.77388349999999995</v>
      </c>
      <c r="BA119" s="3">
        <v>0.77892609999999995</v>
      </c>
      <c r="BB119" s="3">
        <v>0.78389330000000002</v>
      </c>
      <c r="BC119" s="3">
        <v>0.78879140000000003</v>
      </c>
      <c r="BD119" s="3">
        <v>0.79362639999999995</v>
      </c>
      <c r="BE119" s="3">
        <v>0.79840480000000003</v>
      </c>
      <c r="BF119" s="3">
        <v>0.80313270000000003</v>
      </c>
      <c r="BG119" s="3">
        <v>0.80781650000000005</v>
      </c>
      <c r="BH119" s="3">
        <v>0.81246229999999997</v>
      </c>
      <c r="BI119" s="3">
        <v>0.81707649999999998</v>
      </c>
      <c r="BJ119" s="3">
        <v>0.82166519999999998</v>
      </c>
      <c r="BK119" s="3">
        <v>0.82623469999999999</v>
      </c>
      <c r="BL119" s="3">
        <v>0.83079130000000001</v>
      </c>
      <c r="BM119" s="3" t="e">
        <v>#N/A</v>
      </c>
      <c r="BN119" s="3" t="e">
        <v>#N/A</v>
      </c>
    </row>
    <row r="120" spans="1:66" x14ac:dyDescent="0.35">
      <c r="A120" s="5">
        <f t="shared" si="1"/>
        <v>43622</v>
      </c>
      <c r="B120" t="s">
        <v>197</v>
      </c>
      <c r="C120" s="2">
        <v>0.75</v>
      </c>
      <c r="D120" s="2">
        <v>0.70920000000000005</v>
      </c>
      <c r="E120" s="3">
        <v>0.70558520000000002</v>
      </c>
      <c r="F120" s="3">
        <v>0.70454229999999995</v>
      </c>
      <c r="G120" s="3">
        <v>0.69938319999999998</v>
      </c>
      <c r="H120" s="3">
        <v>0.68767610000000001</v>
      </c>
      <c r="I120" s="3">
        <v>0.67006250000000001</v>
      </c>
      <c r="J120" s="3">
        <v>0.64973199999999998</v>
      </c>
      <c r="K120" s="3">
        <v>0.62982490000000002</v>
      </c>
      <c r="L120" s="3">
        <v>0.61214639999999998</v>
      </c>
      <c r="M120" s="3">
        <v>0.59732079999999999</v>
      </c>
      <c r="N120" s="3">
        <v>0.58511089999999999</v>
      </c>
      <c r="O120" s="3">
        <v>0.5751676</v>
      </c>
      <c r="P120" s="3">
        <v>0.5671349</v>
      </c>
      <c r="Q120" s="3">
        <v>0.56067670000000003</v>
      </c>
      <c r="R120" s="3">
        <v>0.55565290000000001</v>
      </c>
      <c r="S120" s="3">
        <v>0.55198999999999998</v>
      </c>
      <c r="T120" s="3">
        <v>0.54961439999999995</v>
      </c>
      <c r="U120" s="3">
        <v>0.54845270000000002</v>
      </c>
      <c r="V120" s="3">
        <v>0.54843120000000001</v>
      </c>
      <c r="W120" s="3">
        <v>0.54947219999999997</v>
      </c>
      <c r="X120" s="3">
        <v>0.55147670000000004</v>
      </c>
      <c r="Y120" s="3">
        <v>0.55433860000000001</v>
      </c>
      <c r="Z120" s="3">
        <v>0.55795209999999995</v>
      </c>
      <c r="AA120" s="3">
        <v>0.56221109999999996</v>
      </c>
      <c r="AB120" s="3">
        <v>0.5670096</v>
      </c>
      <c r="AC120" s="3">
        <v>0.57224969999999997</v>
      </c>
      <c r="AD120" s="3">
        <v>0.5778721</v>
      </c>
      <c r="AE120" s="3">
        <v>0.58382920000000005</v>
      </c>
      <c r="AF120" s="3">
        <v>0.59007379999999998</v>
      </c>
      <c r="AG120" s="3">
        <v>0.59655809999999998</v>
      </c>
      <c r="AH120" s="3">
        <v>0.60323490000000002</v>
      </c>
      <c r="AI120" s="3">
        <v>0.61005659999999995</v>
      </c>
      <c r="AJ120" s="3">
        <v>0.61697570000000002</v>
      </c>
      <c r="AK120" s="3">
        <v>0.62394490000000002</v>
      </c>
      <c r="AL120" s="3">
        <v>0.63091649999999999</v>
      </c>
      <c r="AM120" s="3">
        <v>0.6378431</v>
      </c>
      <c r="AN120" s="3">
        <v>0.64467730000000001</v>
      </c>
      <c r="AO120" s="3">
        <v>0.65137929999999999</v>
      </c>
      <c r="AP120" s="3">
        <v>0.6579429</v>
      </c>
      <c r="AQ120" s="3">
        <v>0.6643715</v>
      </c>
      <c r="AR120" s="3">
        <v>0.6706683</v>
      </c>
      <c r="AS120" s="3">
        <v>0.67683660000000001</v>
      </c>
      <c r="AT120" s="3">
        <v>0.68287969999999998</v>
      </c>
      <c r="AU120" s="3">
        <v>0.68880079999999999</v>
      </c>
      <c r="AV120" s="3">
        <v>0.69460319999999998</v>
      </c>
      <c r="AW120" s="3">
        <v>0.70029019999999997</v>
      </c>
      <c r="AX120" s="3">
        <v>0.70586510000000002</v>
      </c>
      <c r="AY120" s="3">
        <v>0.71133109999999999</v>
      </c>
      <c r="AZ120" s="3">
        <v>0.71669150000000004</v>
      </c>
      <c r="BA120" s="3">
        <v>0.72195030000000004</v>
      </c>
      <c r="BB120" s="3">
        <v>0.72711460000000006</v>
      </c>
      <c r="BC120" s="3">
        <v>0.73219239999999997</v>
      </c>
      <c r="BD120" s="3">
        <v>0.73719190000000001</v>
      </c>
      <c r="BE120" s="3">
        <v>0.74212100000000003</v>
      </c>
      <c r="BF120" s="3">
        <v>0.74698770000000003</v>
      </c>
      <c r="BG120" s="3">
        <v>0.75180000000000002</v>
      </c>
      <c r="BH120" s="3">
        <v>0.75656610000000002</v>
      </c>
      <c r="BI120" s="3">
        <v>0.76129380000000002</v>
      </c>
      <c r="BJ120" s="3">
        <v>0.76599130000000004</v>
      </c>
      <c r="BK120" s="3">
        <v>0.77066650000000003</v>
      </c>
      <c r="BL120" s="3">
        <v>0.77532749999999995</v>
      </c>
      <c r="BM120" s="3" t="e">
        <v>#N/A</v>
      </c>
      <c r="BN120" s="3" t="e">
        <v>#N/A</v>
      </c>
    </row>
    <row r="121" spans="1:66" x14ac:dyDescent="0.35">
      <c r="A121" s="5">
        <f t="shared" si="1"/>
        <v>43623</v>
      </c>
      <c r="B121" t="s">
        <v>198</v>
      </c>
      <c r="C121" s="2">
        <v>0.75</v>
      </c>
      <c r="D121" s="2">
        <v>0.70899999999999996</v>
      </c>
      <c r="E121" s="3">
        <v>0.70467329999999995</v>
      </c>
      <c r="F121" s="3">
        <v>0.70242439999999995</v>
      </c>
      <c r="G121" s="3">
        <v>0.69508970000000003</v>
      </c>
      <c r="H121" s="3">
        <v>0.68129410000000001</v>
      </c>
      <c r="I121" s="3">
        <v>0.66280660000000002</v>
      </c>
      <c r="J121" s="3">
        <v>0.64311779999999996</v>
      </c>
      <c r="K121" s="3">
        <v>0.62500540000000004</v>
      </c>
      <c r="L121" s="3">
        <v>0.60948869999999999</v>
      </c>
      <c r="M121" s="3">
        <v>0.59628159999999997</v>
      </c>
      <c r="N121" s="3">
        <v>0.58470829999999996</v>
      </c>
      <c r="O121" s="3">
        <v>0.57421730000000004</v>
      </c>
      <c r="P121" s="3">
        <v>0.56455370000000005</v>
      </c>
      <c r="Q121" s="3">
        <v>0.55568099999999998</v>
      </c>
      <c r="R121" s="3">
        <v>0.54771919999999996</v>
      </c>
      <c r="S121" s="3">
        <v>0.54082560000000002</v>
      </c>
      <c r="T121" s="3">
        <v>0.53515760000000001</v>
      </c>
      <c r="U121" s="3">
        <v>0.53087249999999997</v>
      </c>
      <c r="V121" s="3">
        <v>0.52812760000000003</v>
      </c>
      <c r="W121" s="3">
        <v>0.52703160000000004</v>
      </c>
      <c r="X121" s="3">
        <v>0.52746689999999996</v>
      </c>
      <c r="Y121" s="3">
        <v>0.52925029999999995</v>
      </c>
      <c r="Z121" s="3">
        <v>0.53219859999999997</v>
      </c>
      <c r="AA121" s="3">
        <v>0.53612870000000001</v>
      </c>
      <c r="AB121" s="3">
        <v>0.54085749999999999</v>
      </c>
      <c r="AC121" s="3">
        <v>0.54621909999999996</v>
      </c>
      <c r="AD121" s="3">
        <v>0.55212380000000005</v>
      </c>
      <c r="AE121" s="3">
        <v>0.55850299999999997</v>
      </c>
      <c r="AF121" s="3">
        <v>0.56528809999999996</v>
      </c>
      <c r="AG121" s="3">
        <v>0.57241039999999999</v>
      </c>
      <c r="AH121" s="3">
        <v>0.57980140000000002</v>
      </c>
      <c r="AI121" s="3">
        <v>0.58739229999999998</v>
      </c>
      <c r="AJ121" s="3">
        <v>0.59511460000000005</v>
      </c>
      <c r="AK121" s="3">
        <v>0.60289959999999998</v>
      </c>
      <c r="AL121" s="3">
        <v>0.61067879999999997</v>
      </c>
      <c r="AM121" s="3">
        <v>0.61838340000000003</v>
      </c>
      <c r="AN121" s="3">
        <v>0.62594479999999997</v>
      </c>
      <c r="AO121" s="3">
        <v>0.63330609999999998</v>
      </c>
      <c r="AP121" s="3">
        <v>0.64046130000000001</v>
      </c>
      <c r="AQ121" s="3">
        <v>0.64741859999999996</v>
      </c>
      <c r="AR121" s="3">
        <v>0.6541863</v>
      </c>
      <c r="AS121" s="3">
        <v>0.66077269999999999</v>
      </c>
      <c r="AT121" s="3">
        <v>0.6671859</v>
      </c>
      <c r="AU121" s="3">
        <v>0.67343419999999998</v>
      </c>
      <c r="AV121" s="3">
        <v>0.67952579999999996</v>
      </c>
      <c r="AW121" s="3">
        <v>0.68546899999999999</v>
      </c>
      <c r="AX121" s="3">
        <v>0.691272</v>
      </c>
      <c r="AY121" s="3">
        <v>0.69694290000000003</v>
      </c>
      <c r="AZ121" s="3">
        <v>0.70249019999999995</v>
      </c>
      <c r="BA121" s="3">
        <v>0.70792200000000005</v>
      </c>
      <c r="BB121" s="3">
        <v>0.71324730000000003</v>
      </c>
      <c r="BC121" s="3">
        <v>0.71847510000000003</v>
      </c>
      <c r="BD121" s="3">
        <v>0.72361450000000005</v>
      </c>
      <c r="BE121" s="3">
        <v>0.7286743</v>
      </c>
      <c r="BF121" s="3">
        <v>0.73366379999999998</v>
      </c>
      <c r="BG121" s="3">
        <v>0.73859180000000002</v>
      </c>
      <c r="BH121" s="3">
        <v>0.74346730000000005</v>
      </c>
      <c r="BI121" s="3">
        <v>0.74829959999999995</v>
      </c>
      <c r="BJ121" s="3">
        <v>0.75309740000000003</v>
      </c>
      <c r="BK121" s="3">
        <v>0.75786989999999999</v>
      </c>
      <c r="BL121" s="3">
        <v>0.76262609999999997</v>
      </c>
      <c r="BM121" s="3" t="e">
        <v>#N/A</v>
      </c>
      <c r="BN121" s="3" t="e">
        <v>#N/A</v>
      </c>
    </row>
    <row r="122" spans="1:66" x14ac:dyDescent="0.35">
      <c r="A122" s="5">
        <f t="shared" si="1"/>
        <v>43626</v>
      </c>
      <c r="B122" t="s">
        <v>199</v>
      </c>
      <c r="C122" s="2">
        <v>0.75</v>
      </c>
      <c r="D122" s="2">
        <v>0.70820000000000005</v>
      </c>
      <c r="E122" s="3">
        <v>0.70298229999999995</v>
      </c>
      <c r="F122" s="3">
        <v>0.69902410000000004</v>
      </c>
      <c r="G122" s="3">
        <v>0.69167800000000002</v>
      </c>
      <c r="H122" s="3">
        <v>0.68105170000000004</v>
      </c>
      <c r="I122" s="3">
        <v>0.66906520000000003</v>
      </c>
      <c r="J122" s="3">
        <v>0.65729400000000004</v>
      </c>
      <c r="K122" s="3">
        <v>0.64640920000000002</v>
      </c>
      <c r="L122" s="3">
        <v>0.63630750000000003</v>
      </c>
      <c r="M122" s="3">
        <v>0.62667779999999995</v>
      </c>
      <c r="N122" s="3">
        <v>0.61746900000000005</v>
      </c>
      <c r="O122" s="3">
        <v>0.60875650000000003</v>
      </c>
      <c r="P122" s="3">
        <v>0.6006032</v>
      </c>
      <c r="Q122" s="3">
        <v>0.59302069999999996</v>
      </c>
      <c r="R122" s="3">
        <v>0.58611500000000005</v>
      </c>
      <c r="S122" s="3">
        <v>0.58002359999999997</v>
      </c>
      <c r="T122" s="3">
        <v>0.57488410000000001</v>
      </c>
      <c r="U122" s="3">
        <v>0.57083430000000002</v>
      </c>
      <c r="V122" s="3">
        <v>0.56801179999999996</v>
      </c>
      <c r="W122" s="3">
        <v>0.56651910000000005</v>
      </c>
      <c r="X122" s="3">
        <v>0.56629479999999999</v>
      </c>
      <c r="Y122" s="3">
        <v>0.56723040000000002</v>
      </c>
      <c r="Z122" s="3">
        <v>0.56921730000000004</v>
      </c>
      <c r="AA122" s="3">
        <v>0.57214690000000001</v>
      </c>
      <c r="AB122" s="3">
        <v>0.57591049999999999</v>
      </c>
      <c r="AC122" s="3">
        <v>0.58040429999999998</v>
      </c>
      <c r="AD122" s="3">
        <v>0.58554510000000004</v>
      </c>
      <c r="AE122" s="3">
        <v>0.59125550000000004</v>
      </c>
      <c r="AF122" s="3">
        <v>0.59745789999999999</v>
      </c>
      <c r="AG122" s="3">
        <v>0.60407489999999997</v>
      </c>
      <c r="AH122" s="3">
        <v>0.61102909999999999</v>
      </c>
      <c r="AI122" s="3">
        <v>0.61824299999999999</v>
      </c>
      <c r="AJ122" s="3">
        <v>0.6256391</v>
      </c>
      <c r="AK122" s="3">
        <v>0.63314000000000004</v>
      </c>
      <c r="AL122" s="3">
        <v>0.64066820000000002</v>
      </c>
      <c r="AM122" s="3">
        <v>0.64814640000000001</v>
      </c>
      <c r="AN122" s="3">
        <v>0.65549690000000005</v>
      </c>
      <c r="AO122" s="3">
        <v>0.6626552</v>
      </c>
      <c r="AP122" s="3">
        <v>0.66961380000000004</v>
      </c>
      <c r="AQ122" s="3">
        <v>0.67638069999999995</v>
      </c>
      <c r="AR122" s="3">
        <v>0.68296389999999996</v>
      </c>
      <c r="AS122" s="3">
        <v>0.68937159999999997</v>
      </c>
      <c r="AT122" s="3">
        <v>0.6956118</v>
      </c>
      <c r="AU122" s="3">
        <v>0.7016926</v>
      </c>
      <c r="AV122" s="3">
        <v>0.70762210000000003</v>
      </c>
      <c r="AW122" s="3">
        <v>0.7134083</v>
      </c>
      <c r="AX122" s="3">
        <v>0.71905929999999996</v>
      </c>
      <c r="AY122" s="3">
        <v>0.72458310000000004</v>
      </c>
      <c r="AZ122" s="3">
        <v>0.72998799999999997</v>
      </c>
      <c r="BA122" s="3">
        <v>0.73528199999999999</v>
      </c>
      <c r="BB122" s="3">
        <v>0.74047390000000002</v>
      </c>
      <c r="BC122" s="3">
        <v>0.74557280000000004</v>
      </c>
      <c r="BD122" s="3">
        <v>0.75058749999999996</v>
      </c>
      <c r="BE122" s="3">
        <v>0.75552719999999995</v>
      </c>
      <c r="BF122" s="3">
        <v>0.76040079999999999</v>
      </c>
      <c r="BG122" s="3">
        <v>0.76521729999999999</v>
      </c>
      <c r="BH122" s="3">
        <v>0.7699857</v>
      </c>
      <c r="BI122" s="3">
        <v>0.77471489999999998</v>
      </c>
      <c r="BJ122" s="3">
        <v>0.7794141</v>
      </c>
      <c r="BK122" s="3">
        <v>0.78409209999999996</v>
      </c>
      <c r="BL122" s="3">
        <v>0.78875790000000001</v>
      </c>
      <c r="BM122" s="3" t="e">
        <v>#N/A</v>
      </c>
      <c r="BN122" s="3" t="e">
        <v>#N/A</v>
      </c>
    </row>
    <row r="123" spans="1:66" x14ac:dyDescent="0.35">
      <c r="A123" s="5">
        <f t="shared" si="1"/>
        <v>43627</v>
      </c>
      <c r="B123" t="s">
        <v>200</v>
      </c>
      <c r="C123" s="2">
        <v>0.75</v>
      </c>
      <c r="D123" s="2">
        <v>0.70820000000000005</v>
      </c>
      <c r="E123" s="3">
        <v>0.71390759999999998</v>
      </c>
      <c r="F123" s="3">
        <v>0.71301760000000003</v>
      </c>
      <c r="G123" s="3">
        <v>0.71017379999999997</v>
      </c>
      <c r="H123" s="3">
        <v>0.70564459999999996</v>
      </c>
      <c r="I123" s="3">
        <v>0.69977670000000003</v>
      </c>
      <c r="J123" s="3">
        <v>0.69284140000000005</v>
      </c>
      <c r="K123" s="3">
        <v>0.6851872</v>
      </c>
      <c r="L123" s="3">
        <v>0.67693650000000005</v>
      </c>
      <c r="M123" s="3">
        <v>0.66808529999999999</v>
      </c>
      <c r="N123" s="3">
        <v>0.65893239999999997</v>
      </c>
      <c r="O123" s="3">
        <v>0.64988299999999999</v>
      </c>
      <c r="P123" s="3">
        <v>0.64133479999999998</v>
      </c>
      <c r="Q123" s="3">
        <v>0.63384059999999998</v>
      </c>
      <c r="R123" s="3">
        <v>0.62751699999999999</v>
      </c>
      <c r="S123" s="3">
        <v>0.62233799999999995</v>
      </c>
      <c r="T123" s="3">
        <v>0.61827799999999999</v>
      </c>
      <c r="U123" s="3">
        <v>0.61531119999999995</v>
      </c>
      <c r="V123" s="3">
        <v>0.61341179999999995</v>
      </c>
      <c r="W123" s="3">
        <v>0.61254149999999996</v>
      </c>
      <c r="X123" s="3">
        <v>0.61260440000000005</v>
      </c>
      <c r="Y123" s="3">
        <v>0.61348769999999997</v>
      </c>
      <c r="Z123" s="3">
        <v>0.61507860000000003</v>
      </c>
      <c r="AA123" s="3">
        <v>0.61726420000000004</v>
      </c>
      <c r="AB123" s="3">
        <v>0.61993200000000004</v>
      </c>
      <c r="AC123" s="3">
        <v>0.62298129999999996</v>
      </c>
      <c r="AD123" s="3">
        <v>0.62636630000000004</v>
      </c>
      <c r="AE123" s="3">
        <v>0.63005610000000001</v>
      </c>
      <c r="AF123" s="3">
        <v>0.63401949999999996</v>
      </c>
      <c r="AG123" s="3">
        <v>0.63822579999999995</v>
      </c>
      <c r="AH123" s="3">
        <v>0.64264399999999999</v>
      </c>
      <c r="AI123" s="3">
        <v>0.64724320000000002</v>
      </c>
      <c r="AJ123" s="3">
        <v>0.65199229999999997</v>
      </c>
      <c r="AK123" s="3">
        <v>0.65686049999999996</v>
      </c>
      <c r="AL123" s="3">
        <v>0.66181679999999998</v>
      </c>
      <c r="AM123" s="3">
        <v>0.66683029999999999</v>
      </c>
      <c r="AN123" s="3">
        <v>0.67186999999999997</v>
      </c>
      <c r="AO123" s="3">
        <v>0.67690850000000002</v>
      </c>
      <c r="AP123" s="3">
        <v>0.68193760000000003</v>
      </c>
      <c r="AQ123" s="3">
        <v>0.68695519999999999</v>
      </c>
      <c r="AR123" s="3">
        <v>0.6919594</v>
      </c>
      <c r="AS123" s="3">
        <v>0.69694820000000002</v>
      </c>
      <c r="AT123" s="3">
        <v>0.70191979999999998</v>
      </c>
      <c r="AU123" s="3">
        <v>0.7068721</v>
      </c>
      <c r="AV123" s="3">
        <v>0.71180319999999997</v>
      </c>
      <c r="AW123" s="3">
        <v>0.71671119999999999</v>
      </c>
      <c r="AX123" s="3">
        <v>0.72159419999999996</v>
      </c>
      <c r="AY123" s="3">
        <v>0.72645009999999999</v>
      </c>
      <c r="AZ123" s="3">
        <v>0.73127710000000001</v>
      </c>
      <c r="BA123" s="3">
        <v>0.7360738</v>
      </c>
      <c r="BB123" s="3">
        <v>0.74084209999999995</v>
      </c>
      <c r="BC123" s="3">
        <v>0.74558500000000005</v>
      </c>
      <c r="BD123" s="3">
        <v>0.75030509999999995</v>
      </c>
      <c r="BE123" s="3">
        <v>0.75500540000000005</v>
      </c>
      <c r="BF123" s="3">
        <v>0.75968869999999999</v>
      </c>
      <c r="BG123" s="3">
        <v>0.76435790000000003</v>
      </c>
      <c r="BH123" s="3">
        <v>0.76901580000000003</v>
      </c>
      <c r="BI123" s="3">
        <v>0.7736653</v>
      </c>
      <c r="BJ123" s="3">
        <v>0.77830909999999998</v>
      </c>
      <c r="BK123" s="3">
        <v>0.78295020000000004</v>
      </c>
      <c r="BL123" s="3">
        <v>0.78759129999999999</v>
      </c>
      <c r="BM123" s="3" t="e">
        <v>#N/A</v>
      </c>
      <c r="BN123" s="3" t="e">
        <v>#N/A</v>
      </c>
    </row>
    <row r="124" spans="1:66" x14ac:dyDescent="0.35">
      <c r="A124" s="5">
        <f t="shared" si="1"/>
        <v>43628</v>
      </c>
      <c r="B124" t="s">
        <v>201</v>
      </c>
      <c r="C124" s="2">
        <v>0.75</v>
      </c>
      <c r="D124" s="2">
        <v>0.70860000000000001</v>
      </c>
      <c r="E124" s="3">
        <v>0.70951189999999997</v>
      </c>
      <c r="F124" s="3">
        <v>0.71061050000000003</v>
      </c>
      <c r="G124" s="3">
        <v>0.7090997</v>
      </c>
      <c r="H124" s="3">
        <v>0.70424299999999995</v>
      </c>
      <c r="I124" s="3">
        <v>0.69721560000000005</v>
      </c>
      <c r="J124" s="3">
        <v>0.68999650000000001</v>
      </c>
      <c r="K124" s="3">
        <v>0.68374679999999999</v>
      </c>
      <c r="L124" s="3">
        <v>0.67842279999999999</v>
      </c>
      <c r="M124" s="3">
        <v>0.67347610000000002</v>
      </c>
      <c r="N124" s="3">
        <v>0.66849329999999996</v>
      </c>
      <c r="O124" s="3">
        <v>0.66336930000000005</v>
      </c>
      <c r="P124" s="3">
        <v>0.65820179999999995</v>
      </c>
      <c r="Q124" s="3">
        <v>0.65331419999999996</v>
      </c>
      <c r="R124" s="3">
        <v>0.64881909999999998</v>
      </c>
      <c r="S124" s="3">
        <v>0.64475170000000004</v>
      </c>
      <c r="T124" s="3">
        <v>0.64114749999999998</v>
      </c>
      <c r="U124" s="3">
        <v>0.63804190000000005</v>
      </c>
      <c r="V124" s="3">
        <v>0.63547019999999999</v>
      </c>
      <c r="W124" s="3">
        <v>0.63346630000000004</v>
      </c>
      <c r="X124" s="3">
        <v>0.63205440000000002</v>
      </c>
      <c r="Y124" s="3">
        <v>0.63125580000000003</v>
      </c>
      <c r="Z124" s="3">
        <v>0.63109139999999997</v>
      </c>
      <c r="AA124" s="3">
        <v>0.63158239999999999</v>
      </c>
      <c r="AB124" s="3">
        <v>0.63274980000000003</v>
      </c>
      <c r="AC124" s="3">
        <v>0.63460519999999998</v>
      </c>
      <c r="AD124" s="3">
        <v>0.63710869999999997</v>
      </c>
      <c r="AE124" s="3">
        <v>0.64020310000000002</v>
      </c>
      <c r="AF124" s="3">
        <v>0.64383140000000005</v>
      </c>
      <c r="AG124" s="3">
        <v>0.64793650000000003</v>
      </c>
      <c r="AH124" s="3">
        <v>0.65246110000000002</v>
      </c>
      <c r="AI124" s="3">
        <v>0.65734809999999999</v>
      </c>
      <c r="AJ124" s="3">
        <v>0.66254040000000003</v>
      </c>
      <c r="AK124" s="3">
        <v>0.66798100000000005</v>
      </c>
      <c r="AL124" s="3">
        <v>0.67361249999999995</v>
      </c>
      <c r="AM124" s="3">
        <v>0.67937800000000004</v>
      </c>
      <c r="AN124" s="3">
        <v>0.68522019999999995</v>
      </c>
      <c r="AO124" s="3">
        <v>0.69108820000000004</v>
      </c>
      <c r="AP124" s="3">
        <v>0.69696150000000001</v>
      </c>
      <c r="AQ124" s="3">
        <v>0.70282860000000003</v>
      </c>
      <c r="AR124" s="3">
        <v>0.70867809999999998</v>
      </c>
      <c r="AS124" s="3">
        <v>0.71449859999999998</v>
      </c>
      <c r="AT124" s="3">
        <v>0.72027859999999999</v>
      </c>
      <c r="AU124" s="3">
        <v>0.72600679999999995</v>
      </c>
      <c r="AV124" s="3">
        <v>0.73167179999999998</v>
      </c>
      <c r="AW124" s="3">
        <v>0.73726210000000003</v>
      </c>
      <c r="AX124" s="3">
        <v>0.74276640000000005</v>
      </c>
      <c r="AY124" s="3">
        <v>0.74817310000000004</v>
      </c>
      <c r="AZ124" s="3">
        <v>0.753471</v>
      </c>
      <c r="BA124" s="3">
        <v>0.75865150000000003</v>
      </c>
      <c r="BB124" s="3">
        <v>0.76371889999999998</v>
      </c>
      <c r="BC124" s="3">
        <v>0.76868110000000001</v>
      </c>
      <c r="BD124" s="3">
        <v>0.77354579999999995</v>
      </c>
      <c r="BE124" s="3">
        <v>0.77832100000000004</v>
      </c>
      <c r="BF124" s="3">
        <v>0.7830144</v>
      </c>
      <c r="BG124" s="3">
        <v>0.7876339</v>
      </c>
      <c r="BH124" s="3">
        <v>0.79218739999999999</v>
      </c>
      <c r="BI124" s="3">
        <v>0.79668269999999997</v>
      </c>
      <c r="BJ124" s="3">
        <v>0.80112749999999999</v>
      </c>
      <c r="BK124" s="3">
        <v>0.80552990000000002</v>
      </c>
      <c r="BL124" s="3">
        <v>0.80989750000000005</v>
      </c>
      <c r="BM124" s="3" t="e">
        <v>#N/A</v>
      </c>
      <c r="BN124" s="3" t="e">
        <v>#N/A</v>
      </c>
    </row>
    <row r="125" spans="1:66" x14ac:dyDescent="0.35">
      <c r="A125" s="5">
        <f t="shared" si="1"/>
        <v>43629</v>
      </c>
      <c r="B125" t="s">
        <v>202</v>
      </c>
      <c r="C125" s="2">
        <v>0.75</v>
      </c>
      <c r="D125" s="2">
        <v>0.70830000000000004</v>
      </c>
      <c r="E125" s="3">
        <v>0.70994760000000001</v>
      </c>
      <c r="F125" s="3">
        <v>0.71119469999999996</v>
      </c>
      <c r="G125" s="3">
        <v>0.70908459999999995</v>
      </c>
      <c r="H125" s="3">
        <v>0.70287100000000002</v>
      </c>
      <c r="I125" s="3">
        <v>0.69416299999999997</v>
      </c>
      <c r="J125" s="3">
        <v>0.68551569999999995</v>
      </c>
      <c r="K125" s="3">
        <v>0.67841850000000004</v>
      </c>
      <c r="L125" s="3">
        <v>0.67279540000000004</v>
      </c>
      <c r="M125" s="3">
        <v>0.66786900000000005</v>
      </c>
      <c r="N125" s="3">
        <v>0.66291549999999999</v>
      </c>
      <c r="O125" s="3">
        <v>0.65756239999999999</v>
      </c>
      <c r="P125" s="3">
        <v>0.65175539999999998</v>
      </c>
      <c r="Q125" s="3">
        <v>0.64588690000000004</v>
      </c>
      <c r="R125" s="3">
        <v>0.6402137</v>
      </c>
      <c r="S125" s="3">
        <v>0.63490780000000002</v>
      </c>
      <c r="T125" s="3">
        <v>0.63014130000000002</v>
      </c>
      <c r="U125" s="3">
        <v>0.62608609999999998</v>
      </c>
      <c r="V125" s="3">
        <v>0.62291399999999997</v>
      </c>
      <c r="W125" s="3">
        <v>0.62076430000000005</v>
      </c>
      <c r="X125" s="3">
        <v>0.61960870000000001</v>
      </c>
      <c r="Y125" s="3">
        <v>0.61936519999999995</v>
      </c>
      <c r="Z125" s="3">
        <v>0.61995199999999995</v>
      </c>
      <c r="AA125" s="3">
        <v>0.62128709999999998</v>
      </c>
      <c r="AB125" s="3">
        <v>0.62328870000000003</v>
      </c>
      <c r="AC125" s="3">
        <v>0.62587820000000005</v>
      </c>
      <c r="AD125" s="3">
        <v>0.62899400000000005</v>
      </c>
      <c r="AE125" s="3">
        <v>0.63257960000000002</v>
      </c>
      <c r="AF125" s="3">
        <v>0.63657850000000005</v>
      </c>
      <c r="AG125" s="3">
        <v>0.64093409999999995</v>
      </c>
      <c r="AH125" s="3">
        <v>0.64559</v>
      </c>
      <c r="AI125" s="3">
        <v>0.65048969999999995</v>
      </c>
      <c r="AJ125" s="3">
        <v>0.65557650000000001</v>
      </c>
      <c r="AK125" s="3">
        <v>0.66079410000000005</v>
      </c>
      <c r="AL125" s="3">
        <v>0.66608579999999995</v>
      </c>
      <c r="AM125" s="3">
        <v>0.67139519999999997</v>
      </c>
      <c r="AN125" s="3">
        <v>0.67666579999999998</v>
      </c>
      <c r="AO125" s="3">
        <v>0.6818497</v>
      </c>
      <c r="AP125" s="3">
        <v>0.68693769999999998</v>
      </c>
      <c r="AQ125" s="3">
        <v>0.69193119999999997</v>
      </c>
      <c r="AR125" s="3">
        <v>0.69683170000000005</v>
      </c>
      <c r="AS125" s="3">
        <v>0.70164040000000005</v>
      </c>
      <c r="AT125" s="3">
        <v>0.70635879999999995</v>
      </c>
      <c r="AU125" s="3">
        <v>0.71098839999999996</v>
      </c>
      <c r="AV125" s="3">
        <v>0.71553040000000001</v>
      </c>
      <c r="AW125" s="3">
        <v>0.71998620000000002</v>
      </c>
      <c r="AX125" s="3">
        <v>0.72435740000000004</v>
      </c>
      <c r="AY125" s="3">
        <v>0.72864519999999999</v>
      </c>
      <c r="AZ125" s="3">
        <v>0.73285100000000003</v>
      </c>
      <c r="BA125" s="3">
        <v>0.7369774</v>
      </c>
      <c r="BB125" s="3">
        <v>0.7410312</v>
      </c>
      <c r="BC125" s="3">
        <v>0.74502089999999999</v>
      </c>
      <c r="BD125" s="3">
        <v>0.74895469999999997</v>
      </c>
      <c r="BE125" s="3">
        <v>0.75284090000000004</v>
      </c>
      <c r="BF125" s="3">
        <v>0.75668769999999996</v>
      </c>
      <c r="BG125" s="3">
        <v>0.76050359999999995</v>
      </c>
      <c r="BH125" s="3">
        <v>0.76429670000000005</v>
      </c>
      <c r="BI125" s="3">
        <v>0.76807550000000002</v>
      </c>
      <c r="BJ125" s="3">
        <v>0.77184810000000004</v>
      </c>
      <c r="BK125" s="3">
        <v>0.77562279999999995</v>
      </c>
      <c r="BL125" s="3">
        <v>0.77940810000000005</v>
      </c>
      <c r="BM125" s="3" t="e">
        <v>#N/A</v>
      </c>
      <c r="BN125" s="3" t="e">
        <v>#N/A</v>
      </c>
    </row>
    <row r="126" spans="1:66" x14ac:dyDescent="0.35">
      <c r="A126" s="5">
        <f t="shared" si="1"/>
        <v>43630</v>
      </c>
      <c r="B126" t="s">
        <v>203</v>
      </c>
      <c r="C126" s="2">
        <v>0.75</v>
      </c>
      <c r="D126" s="2">
        <v>0.70779999999999998</v>
      </c>
      <c r="E126" s="3">
        <v>0.71015030000000001</v>
      </c>
      <c r="F126" s="3">
        <v>0.71368169999999997</v>
      </c>
      <c r="G126" s="3">
        <v>0.71351589999999998</v>
      </c>
      <c r="H126" s="3">
        <v>0.70718579999999998</v>
      </c>
      <c r="I126" s="3">
        <v>0.69823769999999996</v>
      </c>
      <c r="J126" s="3">
        <v>0.6901621</v>
      </c>
      <c r="K126" s="3">
        <v>0.68282019999999999</v>
      </c>
      <c r="L126" s="3">
        <v>0.67504500000000001</v>
      </c>
      <c r="M126" s="3">
        <v>0.66699779999999997</v>
      </c>
      <c r="N126" s="3">
        <v>0.65927610000000003</v>
      </c>
      <c r="O126" s="3">
        <v>0.6519779</v>
      </c>
      <c r="P126" s="3">
        <v>0.64513889999999996</v>
      </c>
      <c r="Q126" s="3">
        <v>0.63893549999999999</v>
      </c>
      <c r="R126" s="3">
        <v>0.63345410000000002</v>
      </c>
      <c r="S126" s="3">
        <v>0.62874189999999996</v>
      </c>
      <c r="T126" s="3">
        <v>0.62484609999999996</v>
      </c>
      <c r="U126" s="3">
        <v>0.62181379999999997</v>
      </c>
      <c r="V126" s="3">
        <v>0.61969229999999997</v>
      </c>
      <c r="W126" s="3">
        <v>0.61851</v>
      </c>
      <c r="X126" s="3">
        <v>0.61820750000000002</v>
      </c>
      <c r="Y126" s="3">
        <v>0.61870029999999998</v>
      </c>
      <c r="Z126" s="3">
        <v>0.6199036</v>
      </c>
      <c r="AA126" s="3">
        <v>0.62173290000000003</v>
      </c>
      <c r="AB126" s="3">
        <v>0.62410350000000003</v>
      </c>
      <c r="AC126" s="3">
        <v>0.62693750000000004</v>
      </c>
      <c r="AD126" s="3">
        <v>0.63018609999999997</v>
      </c>
      <c r="AE126" s="3">
        <v>0.63380860000000006</v>
      </c>
      <c r="AF126" s="3">
        <v>0.63776440000000001</v>
      </c>
      <c r="AG126" s="3">
        <v>0.64201280000000005</v>
      </c>
      <c r="AH126" s="3">
        <v>0.64651329999999996</v>
      </c>
      <c r="AI126" s="3">
        <v>0.65122500000000005</v>
      </c>
      <c r="AJ126" s="3">
        <v>0.65610749999999995</v>
      </c>
      <c r="AK126" s="3">
        <v>0.66112000000000004</v>
      </c>
      <c r="AL126" s="3">
        <v>0.66622190000000003</v>
      </c>
      <c r="AM126" s="3">
        <v>0.67137250000000004</v>
      </c>
      <c r="AN126" s="3">
        <v>0.67653110000000005</v>
      </c>
      <c r="AO126" s="3">
        <v>0.68166289999999996</v>
      </c>
      <c r="AP126" s="3">
        <v>0.68675819999999999</v>
      </c>
      <c r="AQ126" s="3">
        <v>0.69181400000000004</v>
      </c>
      <c r="AR126" s="3">
        <v>0.6968278</v>
      </c>
      <c r="AS126" s="3">
        <v>0.70179670000000005</v>
      </c>
      <c r="AT126" s="3">
        <v>0.70671810000000002</v>
      </c>
      <c r="AU126" s="3">
        <v>0.71158900000000003</v>
      </c>
      <c r="AV126" s="3">
        <v>0.71640680000000001</v>
      </c>
      <c r="AW126" s="3">
        <v>0.7211687</v>
      </c>
      <c r="AX126" s="3">
        <v>0.72587199999999996</v>
      </c>
      <c r="AY126" s="3">
        <v>0.73051390000000005</v>
      </c>
      <c r="AZ126" s="3">
        <v>0.73509159999999996</v>
      </c>
      <c r="BA126" s="3">
        <v>0.73960369999999998</v>
      </c>
      <c r="BB126" s="3">
        <v>0.74405429999999995</v>
      </c>
      <c r="BC126" s="3">
        <v>0.74844929999999998</v>
      </c>
      <c r="BD126" s="3">
        <v>0.75279430000000003</v>
      </c>
      <c r="BE126" s="3">
        <v>0.75709510000000002</v>
      </c>
      <c r="BF126" s="3">
        <v>0.76135750000000002</v>
      </c>
      <c r="BG126" s="3">
        <v>0.76558720000000002</v>
      </c>
      <c r="BH126" s="3">
        <v>0.76978999999999997</v>
      </c>
      <c r="BI126" s="3">
        <v>0.77397159999999998</v>
      </c>
      <c r="BJ126" s="3">
        <v>0.77813779999999999</v>
      </c>
      <c r="BK126" s="3">
        <v>0.7822943</v>
      </c>
      <c r="BL126" s="3">
        <v>0.78644689999999995</v>
      </c>
      <c r="BM126" s="3" t="e">
        <v>#N/A</v>
      </c>
      <c r="BN126" s="3" t="e">
        <v>#N/A</v>
      </c>
    </row>
    <row r="127" spans="1:66" x14ac:dyDescent="0.35">
      <c r="A127" s="5">
        <f t="shared" si="1"/>
        <v>43633</v>
      </c>
      <c r="B127" t="s">
        <v>204</v>
      </c>
      <c r="C127" s="2">
        <v>0.75</v>
      </c>
      <c r="D127" s="2">
        <v>0.70799999999999996</v>
      </c>
      <c r="E127" s="3">
        <v>0.71172800000000003</v>
      </c>
      <c r="F127" s="3">
        <v>0.71240049999999999</v>
      </c>
      <c r="G127" s="3">
        <v>0.70781000000000005</v>
      </c>
      <c r="H127" s="3">
        <v>0.70071810000000001</v>
      </c>
      <c r="I127" s="3">
        <v>0.69178980000000001</v>
      </c>
      <c r="J127" s="3">
        <v>0.6822838</v>
      </c>
      <c r="K127" s="3">
        <v>0.67375200000000002</v>
      </c>
      <c r="L127" s="3">
        <v>0.66631390000000001</v>
      </c>
      <c r="M127" s="3">
        <v>0.65951800000000005</v>
      </c>
      <c r="N127" s="3">
        <v>0.65314720000000004</v>
      </c>
      <c r="O127" s="3">
        <v>0.64723839999999999</v>
      </c>
      <c r="P127" s="3">
        <v>0.64193619999999996</v>
      </c>
      <c r="Q127" s="3">
        <v>0.63761040000000002</v>
      </c>
      <c r="R127" s="3">
        <v>0.6342892</v>
      </c>
      <c r="S127" s="3">
        <v>0.63188029999999995</v>
      </c>
      <c r="T127" s="3">
        <v>0.63029159999999995</v>
      </c>
      <c r="U127" s="3">
        <v>0.62943099999999996</v>
      </c>
      <c r="V127" s="3">
        <v>0.62920609999999999</v>
      </c>
      <c r="W127" s="3">
        <v>0.62953150000000002</v>
      </c>
      <c r="X127" s="3">
        <v>0.63035269999999999</v>
      </c>
      <c r="Y127" s="3">
        <v>0.63162379999999996</v>
      </c>
      <c r="Z127" s="3">
        <v>0.63329950000000002</v>
      </c>
      <c r="AA127" s="3">
        <v>0.63533390000000001</v>
      </c>
      <c r="AB127" s="3">
        <v>0.63768150000000001</v>
      </c>
      <c r="AC127" s="3">
        <v>0.64030050000000005</v>
      </c>
      <c r="AD127" s="3">
        <v>0.64316669999999998</v>
      </c>
      <c r="AE127" s="3">
        <v>0.64626050000000002</v>
      </c>
      <c r="AF127" s="3">
        <v>0.64956219999999998</v>
      </c>
      <c r="AG127" s="3">
        <v>0.65305250000000004</v>
      </c>
      <c r="AH127" s="3">
        <v>0.65671170000000001</v>
      </c>
      <c r="AI127" s="3">
        <v>0.6605202</v>
      </c>
      <c r="AJ127" s="3">
        <v>0.66445860000000001</v>
      </c>
      <c r="AK127" s="3">
        <v>0.66850730000000003</v>
      </c>
      <c r="AL127" s="3">
        <v>0.67264670000000004</v>
      </c>
      <c r="AM127" s="3">
        <v>0.6768573</v>
      </c>
      <c r="AN127" s="3">
        <v>0.68111949999999999</v>
      </c>
      <c r="AO127" s="3">
        <v>0.68541620000000003</v>
      </c>
      <c r="AP127" s="3">
        <v>0.68974060000000004</v>
      </c>
      <c r="AQ127" s="3">
        <v>0.69408890000000001</v>
      </c>
      <c r="AR127" s="3">
        <v>0.69845729999999995</v>
      </c>
      <c r="AS127" s="3">
        <v>0.70284190000000002</v>
      </c>
      <c r="AT127" s="3">
        <v>0.7072389</v>
      </c>
      <c r="AU127" s="3">
        <v>0.71164439999999995</v>
      </c>
      <c r="AV127" s="3">
        <v>0.71605470000000004</v>
      </c>
      <c r="AW127" s="3">
        <v>0.72046580000000005</v>
      </c>
      <c r="AX127" s="3">
        <v>0.72487400000000002</v>
      </c>
      <c r="AY127" s="3">
        <v>0.72927540000000002</v>
      </c>
      <c r="AZ127" s="3">
        <v>0.73366609999999999</v>
      </c>
      <c r="BA127" s="3">
        <v>0.73804320000000001</v>
      </c>
      <c r="BB127" s="3">
        <v>0.74240819999999996</v>
      </c>
      <c r="BC127" s="3">
        <v>0.74676419999999999</v>
      </c>
      <c r="BD127" s="3">
        <v>0.75111399999999995</v>
      </c>
      <c r="BE127" s="3">
        <v>0.75546080000000004</v>
      </c>
      <c r="BF127" s="3">
        <v>0.75980749999999997</v>
      </c>
      <c r="BG127" s="3">
        <v>0.76415730000000004</v>
      </c>
      <c r="BH127" s="3">
        <v>0.768513</v>
      </c>
      <c r="BI127" s="3">
        <v>0.77287779999999995</v>
      </c>
      <c r="BJ127" s="3">
        <v>0.77725460000000002</v>
      </c>
      <c r="BK127" s="3">
        <v>0.78164659999999997</v>
      </c>
      <c r="BL127" s="3">
        <v>0.78605659999999999</v>
      </c>
      <c r="BM127" s="3" t="e">
        <v>#N/A</v>
      </c>
      <c r="BN127" s="3" t="e">
        <v>#N/A</v>
      </c>
    </row>
    <row r="128" spans="1:66" x14ac:dyDescent="0.35">
      <c r="A128" s="5">
        <f t="shared" si="1"/>
        <v>43634</v>
      </c>
      <c r="B128" t="s">
        <v>205</v>
      </c>
      <c r="C128" s="2">
        <v>0.75</v>
      </c>
      <c r="D128" s="2">
        <v>0.70820000000000005</v>
      </c>
      <c r="E128" s="3">
        <v>0.71400220000000003</v>
      </c>
      <c r="F128" s="3">
        <v>0.7129877</v>
      </c>
      <c r="G128" s="3">
        <v>0.70642910000000003</v>
      </c>
      <c r="H128" s="3">
        <v>0.69568300000000005</v>
      </c>
      <c r="I128" s="3">
        <v>0.68207669999999998</v>
      </c>
      <c r="J128" s="3">
        <v>0.66747990000000001</v>
      </c>
      <c r="K128" s="3">
        <v>0.65393599999999996</v>
      </c>
      <c r="L128" s="3">
        <v>0.64231329999999998</v>
      </c>
      <c r="M128" s="3">
        <v>0.63246049999999998</v>
      </c>
      <c r="N128" s="3">
        <v>0.62395750000000005</v>
      </c>
      <c r="O128" s="3">
        <v>0.61652280000000004</v>
      </c>
      <c r="P128" s="3">
        <v>0.61002889999999999</v>
      </c>
      <c r="Q128" s="3">
        <v>0.60448939999999995</v>
      </c>
      <c r="R128" s="3">
        <v>0.59985339999999998</v>
      </c>
      <c r="S128" s="3">
        <v>0.59604310000000005</v>
      </c>
      <c r="T128" s="3">
        <v>0.59298030000000002</v>
      </c>
      <c r="U128" s="3">
        <v>0.59058699999999997</v>
      </c>
      <c r="V128" s="3">
        <v>0.58878509999999995</v>
      </c>
      <c r="W128" s="3">
        <v>0.58750729999999995</v>
      </c>
      <c r="X128" s="3">
        <v>0.58673589999999998</v>
      </c>
      <c r="Y128" s="3">
        <v>0.58646759999999998</v>
      </c>
      <c r="Z128" s="3">
        <v>0.58669919999999998</v>
      </c>
      <c r="AA128" s="3">
        <v>0.58742720000000004</v>
      </c>
      <c r="AB128" s="3">
        <v>0.58864859999999997</v>
      </c>
      <c r="AC128" s="3">
        <v>0.59035519999999997</v>
      </c>
      <c r="AD128" s="3">
        <v>0.5925184</v>
      </c>
      <c r="AE128" s="3">
        <v>0.59510399999999997</v>
      </c>
      <c r="AF128" s="3">
        <v>0.59807739999999998</v>
      </c>
      <c r="AG128" s="3">
        <v>0.60140450000000001</v>
      </c>
      <c r="AH128" s="3">
        <v>0.6050508</v>
      </c>
      <c r="AI128" s="3">
        <v>0.60898189999999996</v>
      </c>
      <c r="AJ128" s="3">
        <v>0.61316349999999997</v>
      </c>
      <c r="AK128" s="3">
        <v>0.61756140000000004</v>
      </c>
      <c r="AL128" s="3">
        <v>0.62214100000000006</v>
      </c>
      <c r="AM128" s="3">
        <v>0.62686810000000004</v>
      </c>
      <c r="AN128" s="3">
        <v>0.63170820000000005</v>
      </c>
      <c r="AO128" s="3">
        <v>0.63663009999999998</v>
      </c>
      <c r="AP128" s="3">
        <v>0.64161769999999996</v>
      </c>
      <c r="AQ128" s="3">
        <v>0.64666040000000002</v>
      </c>
      <c r="AR128" s="3">
        <v>0.65174770000000004</v>
      </c>
      <c r="AS128" s="3">
        <v>0.65686880000000003</v>
      </c>
      <c r="AT128" s="3">
        <v>0.66201330000000003</v>
      </c>
      <c r="AU128" s="3">
        <v>0.66717029999999999</v>
      </c>
      <c r="AV128" s="3">
        <v>0.67232939999999997</v>
      </c>
      <c r="AW128" s="3">
        <v>0.67747990000000002</v>
      </c>
      <c r="AX128" s="3">
        <v>0.68261110000000003</v>
      </c>
      <c r="AY128" s="3">
        <v>0.68771249999999995</v>
      </c>
      <c r="AZ128" s="3">
        <v>0.69277330000000004</v>
      </c>
      <c r="BA128" s="3">
        <v>0.69778490000000004</v>
      </c>
      <c r="BB128" s="3">
        <v>0.70274749999999997</v>
      </c>
      <c r="BC128" s="3">
        <v>0.70766399999999996</v>
      </c>
      <c r="BD128" s="3">
        <v>0.71253750000000005</v>
      </c>
      <c r="BE128" s="3">
        <v>0.71737090000000003</v>
      </c>
      <c r="BF128" s="3">
        <v>0.72216729999999996</v>
      </c>
      <c r="BG128" s="3">
        <v>0.72692970000000001</v>
      </c>
      <c r="BH128" s="3">
        <v>0.73166100000000001</v>
      </c>
      <c r="BI128" s="3">
        <v>0.73636420000000002</v>
      </c>
      <c r="BJ128" s="3">
        <v>0.74104239999999999</v>
      </c>
      <c r="BK128" s="3">
        <v>0.74569850000000004</v>
      </c>
      <c r="BL128" s="3">
        <v>0.75033559999999999</v>
      </c>
      <c r="BM128" s="3" t="e">
        <v>#N/A</v>
      </c>
      <c r="BN128" s="3" t="e">
        <v>#N/A</v>
      </c>
    </row>
    <row r="129" spans="1:66" x14ac:dyDescent="0.35">
      <c r="A129" s="5">
        <f t="shared" si="1"/>
        <v>43635</v>
      </c>
      <c r="B129" t="s">
        <v>206</v>
      </c>
      <c r="C129" s="2">
        <v>0.75</v>
      </c>
      <c r="D129" s="2">
        <v>0.70889999999999997</v>
      </c>
      <c r="E129" s="3">
        <v>0.71447729999999998</v>
      </c>
      <c r="F129" s="3">
        <v>0.71916049999999998</v>
      </c>
      <c r="G129" s="3">
        <v>0.71779510000000002</v>
      </c>
      <c r="H129" s="3">
        <v>0.71168450000000005</v>
      </c>
      <c r="I129" s="3">
        <v>0.70339229999999997</v>
      </c>
      <c r="J129" s="3">
        <v>0.69473629999999997</v>
      </c>
      <c r="K129" s="3">
        <v>0.68714010000000003</v>
      </c>
      <c r="L129" s="3">
        <v>0.68103179999999996</v>
      </c>
      <c r="M129" s="3">
        <v>0.67602910000000005</v>
      </c>
      <c r="N129" s="3">
        <v>0.67169630000000002</v>
      </c>
      <c r="O129" s="3">
        <v>0.66782070000000004</v>
      </c>
      <c r="P129" s="3">
        <v>0.66435650000000002</v>
      </c>
      <c r="Q129" s="3">
        <v>0.66152940000000005</v>
      </c>
      <c r="R129" s="3">
        <v>0.65932380000000002</v>
      </c>
      <c r="S129" s="3">
        <v>0.65763309999999997</v>
      </c>
      <c r="T129" s="3">
        <v>0.65635100000000002</v>
      </c>
      <c r="U129" s="3">
        <v>0.65537109999999998</v>
      </c>
      <c r="V129" s="3">
        <v>0.65458700000000003</v>
      </c>
      <c r="W129" s="3">
        <v>0.6539104</v>
      </c>
      <c r="X129" s="3">
        <v>0.65335670000000001</v>
      </c>
      <c r="Y129" s="3">
        <v>0.65297749999999999</v>
      </c>
      <c r="Z129" s="3">
        <v>0.65282439999999997</v>
      </c>
      <c r="AA129" s="3">
        <v>0.65294920000000001</v>
      </c>
      <c r="AB129" s="3">
        <v>0.65340339999999997</v>
      </c>
      <c r="AC129" s="3">
        <v>0.65423019999999998</v>
      </c>
      <c r="AD129" s="3">
        <v>0.65542750000000005</v>
      </c>
      <c r="AE129" s="3">
        <v>0.6569777</v>
      </c>
      <c r="AF129" s="3">
        <v>0.65886319999999998</v>
      </c>
      <c r="AG129" s="3">
        <v>0.6610665</v>
      </c>
      <c r="AH129" s="3">
        <v>0.66357010000000005</v>
      </c>
      <c r="AI129" s="3">
        <v>0.66635650000000002</v>
      </c>
      <c r="AJ129" s="3">
        <v>0.669408</v>
      </c>
      <c r="AK129" s="3">
        <v>0.67270730000000001</v>
      </c>
      <c r="AL129" s="3">
        <v>0.67623679999999997</v>
      </c>
      <c r="AM129" s="3">
        <v>0.67997879999999999</v>
      </c>
      <c r="AN129" s="3">
        <v>0.68391599999999997</v>
      </c>
      <c r="AO129" s="3">
        <v>0.6880309</v>
      </c>
      <c r="AP129" s="3">
        <v>0.69230749999999996</v>
      </c>
      <c r="AQ129" s="3">
        <v>0.69672979999999995</v>
      </c>
      <c r="AR129" s="3">
        <v>0.70128199999999996</v>
      </c>
      <c r="AS129" s="3">
        <v>0.70594820000000003</v>
      </c>
      <c r="AT129" s="3">
        <v>0.71071269999999998</v>
      </c>
      <c r="AU129" s="3">
        <v>0.71555950000000001</v>
      </c>
      <c r="AV129" s="3">
        <v>0.72047280000000002</v>
      </c>
      <c r="AW129" s="3">
        <v>0.72543679999999999</v>
      </c>
      <c r="AX129" s="3">
        <v>0.73043559999999996</v>
      </c>
      <c r="AY129" s="3">
        <v>0.73545340000000003</v>
      </c>
      <c r="AZ129" s="3">
        <v>0.74047419999999997</v>
      </c>
      <c r="BA129" s="3">
        <v>0.74548479999999995</v>
      </c>
      <c r="BB129" s="3">
        <v>0.75048199999999998</v>
      </c>
      <c r="BC129" s="3">
        <v>0.75546590000000002</v>
      </c>
      <c r="BD129" s="3">
        <v>0.76043640000000001</v>
      </c>
      <c r="BE129" s="3">
        <v>0.76539349999999995</v>
      </c>
      <c r="BF129" s="3">
        <v>0.7703371</v>
      </c>
      <c r="BG129" s="3">
        <v>0.77526729999999999</v>
      </c>
      <c r="BH129" s="3">
        <v>0.78018390000000004</v>
      </c>
      <c r="BI129" s="3">
        <v>0.78508699999999998</v>
      </c>
      <c r="BJ129" s="3">
        <v>0.78997640000000002</v>
      </c>
      <c r="BK129" s="3">
        <v>0.79485229999999996</v>
      </c>
      <c r="BL129" s="3">
        <v>0.79971440000000005</v>
      </c>
      <c r="BM129" s="3" t="e">
        <v>#N/A</v>
      </c>
      <c r="BN129" s="3" t="e">
        <v>#N/A</v>
      </c>
    </row>
    <row r="130" spans="1:66" x14ac:dyDescent="0.35">
      <c r="A130" s="5">
        <f t="shared" si="1"/>
        <v>43636</v>
      </c>
      <c r="B130" t="s">
        <v>207</v>
      </c>
      <c r="C130" s="2">
        <v>0.75</v>
      </c>
      <c r="D130" s="2">
        <v>0.70920000000000005</v>
      </c>
      <c r="E130" s="3">
        <v>0.71149090000000004</v>
      </c>
      <c r="F130" s="3">
        <v>0.70889809999999998</v>
      </c>
      <c r="G130" s="3">
        <v>0.70066600000000001</v>
      </c>
      <c r="H130" s="3">
        <v>0.68700709999999998</v>
      </c>
      <c r="I130" s="3">
        <v>0.67034079999999996</v>
      </c>
      <c r="J130" s="3">
        <v>0.65319850000000002</v>
      </c>
      <c r="K130" s="3">
        <v>0.63766730000000005</v>
      </c>
      <c r="L130" s="3">
        <v>0.62456080000000003</v>
      </c>
      <c r="M130" s="3">
        <v>0.61368440000000002</v>
      </c>
      <c r="N130" s="3">
        <v>0.60455210000000004</v>
      </c>
      <c r="O130" s="3">
        <v>0.59682979999999997</v>
      </c>
      <c r="P130" s="3">
        <v>0.59028720000000001</v>
      </c>
      <c r="Q130" s="3">
        <v>0.58479950000000003</v>
      </c>
      <c r="R130" s="3">
        <v>0.58033029999999997</v>
      </c>
      <c r="S130" s="3">
        <v>0.57686550000000003</v>
      </c>
      <c r="T130" s="3">
        <v>0.57439110000000004</v>
      </c>
      <c r="U130" s="3">
        <v>0.57289310000000004</v>
      </c>
      <c r="V130" s="3">
        <v>0.57235729999999996</v>
      </c>
      <c r="W130" s="3">
        <v>0.57275469999999995</v>
      </c>
      <c r="X130" s="3">
        <v>0.57397770000000004</v>
      </c>
      <c r="Y130" s="3">
        <v>0.57589409999999996</v>
      </c>
      <c r="Z130" s="3">
        <v>0.57837159999999999</v>
      </c>
      <c r="AA130" s="3">
        <v>0.58127799999999996</v>
      </c>
      <c r="AB130" s="3">
        <v>0.58448080000000002</v>
      </c>
      <c r="AC130" s="3">
        <v>0.58786439999999995</v>
      </c>
      <c r="AD130" s="3">
        <v>0.59139330000000001</v>
      </c>
      <c r="AE130" s="3">
        <v>0.59505669999999999</v>
      </c>
      <c r="AF130" s="3">
        <v>0.59884369999999998</v>
      </c>
      <c r="AG130" s="3">
        <v>0.60274360000000005</v>
      </c>
      <c r="AH130" s="3">
        <v>0.60674530000000004</v>
      </c>
      <c r="AI130" s="3">
        <v>0.6108382</v>
      </c>
      <c r="AJ130" s="3">
        <v>0.61501130000000004</v>
      </c>
      <c r="AK130" s="3">
        <v>0.61925379999999997</v>
      </c>
      <c r="AL130" s="3">
        <v>0.62355479999999996</v>
      </c>
      <c r="AM130" s="3">
        <v>0.62790349999999995</v>
      </c>
      <c r="AN130" s="3">
        <v>0.63228899999999999</v>
      </c>
      <c r="AO130" s="3">
        <v>0.63670249999999995</v>
      </c>
      <c r="AP130" s="3">
        <v>0.64114420000000005</v>
      </c>
      <c r="AQ130" s="3">
        <v>0.64561690000000005</v>
      </c>
      <c r="AR130" s="3">
        <v>0.65012329999999996</v>
      </c>
      <c r="AS130" s="3">
        <v>0.65466599999999997</v>
      </c>
      <c r="AT130" s="3">
        <v>0.65924780000000005</v>
      </c>
      <c r="AU130" s="3">
        <v>0.6638714</v>
      </c>
      <c r="AV130" s="3">
        <v>0.66853949999999995</v>
      </c>
      <c r="AW130" s="3">
        <v>0.67325489999999999</v>
      </c>
      <c r="AX130" s="3">
        <v>0.67802019999999996</v>
      </c>
      <c r="AY130" s="3">
        <v>0.6828381</v>
      </c>
      <c r="AZ130" s="3">
        <v>0.68771139999999997</v>
      </c>
      <c r="BA130" s="3">
        <v>0.69264179999999997</v>
      </c>
      <c r="BB130" s="3">
        <v>0.69762590000000002</v>
      </c>
      <c r="BC130" s="3">
        <v>0.70265920000000004</v>
      </c>
      <c r="BD130" s="3">
        <v>0.70773710000000001</v>
      </c>
      <c r="BE130" s="3">
        <v>0.71285509999999996</v>
      </c>
      <c r="BF130" s="3">
        <v>0.7180086</v>
      </c>
      <c r="BG130" s="3">
        <v>0.72319299999999997</v>
      </c>
      <c r="BH130" s="3">
        <v>0.72840380000000005</v>
      </c>
      <c r="BI130" s="3">
        <v>0.73363650000000002</v>
      </c>
      <c r="BJ130" s="3">
        <v>0.7388863</v>
      </c>
      <c r="BK130" s="3">
        <v>0.74414880000000005</v>
      </c>
      <c r="BL130" s="3">
        <v>0.74941950000000002</v>
      </c>
      <c r="BM130" s="3" t="e">
        <v>#N/A</v>
      </c>
      <c r="BN130" s="3" t="e">
        <v>#N/A</v>
      </c>
    </row>
    <row r="131" spans="1:66" x14ac:dyDescent="0.35">
      <c r="A131" s="5">
        <f t="shared" si="1"/>
        <v>43637</v>
      </c>
      <c r="B131" t="s">
        <v>208</v>
      </c>
      <c r="C131" s="2">
        <v>0.75</v>
      </c>
      <c r="D131" s="2">
        <v>0.70940000000000003</v>
      </c>
      <c r="E131" s="3">
        <v>0.7113353</v>
      </c>
      <c r="F131" s="3">
        <v>0.7085863</v>
      </c>
      <c r="G131" s="3">
        <v>0.70156759999999996</v>
      </c>
      <c r="H131" s="3">
        <v>0.69078539999999999</v>
      </c>
      <c r="I131" s="3">
        <v>0.67853339999999995</v>
      </c>
      <c r="J131" s="3">
        <v>0.66688210000000003</v>
      </c>
      <c r="K131" s="3">
        <v>0.65725929999999999</v>
      </c>
      <c r="L131" s="3">
        <v>0.64999560000000001</v>
      </c>
      <c r="M131" s="3">
        <v>0.6445033</v>
      </c>
      <c r="N131" s="3">
        <v>0.6402004</v>
      </c>
      <c r="O131" s="3">
        <v>0.63668930000000001</v>
      </c>
      <c r="P131" s="3">
        <v>0.63374240000000004</v>
      </c>
      <c r="Q131" s="3">
        <v>0.63115619999999995</v>
      </c>
      <c r="R131" s="3">
        <v>0.62890749999999995</v>
      </c>
      <c r="S131" s="3">
        <v>0.62703279999999995</v>
      </c>
      <c r="T131" s="3">
        <v>0.62556849999999997</v>
      </c>
      <c r="U131" s="3">
        <v>0.62455110000000003</v>
      </c>
      <c r="V131" s="3">
        <v>0.62401700000000004</v>
      </c>
      <c r="W131" s="3">
        <v>0.6239924</v>
      </c>
      <c r="X131" s="3">
        <v>0.62445600000000001</v>
      </c>
      <c r="Y131" s="3">
        <v>0.6253725</v>
      </c>
      <c r="Z131" s="3">
        <v>0.62670680000000001</v>
      </c>
      <c r="AA131" s="3">
        <v>0.62842379999999998</v>
      </c>
      <c r="AB131" s="3">
        <v>0.63048839999999995</v>
      </c>
      <c r="AC131" s="3">
        <v>0.63286719999999996</v>
      </c>
      <c r="AD131" s="3">
        <v>0.63553490000000001</v>
      </c>
      <c r="AE131" s="3">
        <v>0.63846849999999999</v>
      </c>
      <c r="AF131" s="3">
        <v>0.64164489999999996</v>
      </c>
      <c r="AG131" s="3">
        <v>0.64504119999999998</v>
      </c>
      <c r="AH131" s="3">
        <v>0.64863409999999999</v>
      </c>
      <c r="AI131" s="3">
        <v>0.65240069999999994</v>
      </c>
      <c r="AJ131" s="3">
        <v>0.65631790000000001</v>
      </c>
      <c r="AK131" s="3">
        <v>0.66036260000000002</v>
      </c>
      <c r="AL131" s="3">
        <v>0.66451179999999999</v>
      </c>
      <c r="AM131" s="3">
        <v>0.66874250000000002</v>
      </c>
      <c r="AN131" s="3">
        <v>0.6730315</v>
      </c>
      <c r="AO131" s="3">
        <v>0.67735909999999999</v>
      </c>
      <c r="AP131" s="3">
        <v>0.68171999999999999</v>
      </c>
      <c r="AQ131" s="3">
        <v>0.68611270000000002</v>
      </c>
      <c r="AR131" s="3">
        <v>0.69053609999999999</v>
      </c>
      <c r="AS131" s="3">
        <v>0.69498859999999996</v>
      </c>
      <c r="AT131" s="3">
        <v>0.69946900000000001</v>
      </c>
      <c r="AU131" s="3">
        <v>0.70397600000000005</v>
      </c>
      <c r="AV131" s="3">
        <v>0.70850809999999997</v>
      </c>
      <c r="AW131" s="3">
        <v>0.71306400000000003</v>
      </c>
      <c r="AX131" s="3">
        <v>0.71764249999999996</v>
      </c>
      <c r="AY131" s="3">
        <v>0.7222421</v>
      </c>
      <c r="AZ131" s="3">
        <v>0.72686150000000005</v>
      </c>
      <c r="BA131" s="3">
        <v>0.73149949999999997</v>
      </c>
      <c r="BB131" s="3">
        <v>0.73615600000000003</v>
      </c>
      <c r="BC131" s="3">
        <v>0.74083100000000002</v>
      </c>
      <c r="BD131" s="3">
        <v>0.74552470000000004</v>
      </c>
      <c r="BE131" s="3">
        <v>0.75023689999999998</v>
      </c>
      <c r="BF131" s="3">
        <v>0.75496790000000003</v>
      </c>
      <c r="BG131" s="3">
        <v>0.75971770000000005</v>
      </c>
      <c r="BH131" s="3">
        <v>0.7644862</v>
      </c>
      <c r="BI131" s="3">
        <v>0.76927369999999995</v>
      </c>
      <c r="BJ131" s="3">
        <v>0.7740802</v>
      </c>
      <c r="BK131" s="3">
        <v>0.77890559999999998</v>
      </c>
      <c r="BL131" s="3">
        <v>0.78375010000000001</v>
      </c>
      <c r="BM131" s="3" t="e">
        <v>#N/A</v>
      </c>
      <c r="BN131" s="3" t="e">
        <v>#N/A</v>
      </c>
    </row>
    <row r="132" spans="1:66" x14ac:dyDescent="0.35">
      <c r="A132" s="5">
        <f t="shared" si="1"/>
        <v>43640</v>
      </c>
      <c r="B132" t="s">
        <v>209</v>
      </c>
      <c r="C132" s="2">
        <v>0.75</v>
      </c>
      <c r="D132" s="2">
        <v>0.70850000000000002</v>
      </c>
      <c r="E132" s="3">
        <v>0.71137360000000005</v>
      </c>
      <c r="F132" s="3">
        <v>0.71019849999999995</v>
      </c>
      <c r="G132" s="3">
        <v>0.70377279999999998</v>
      </c>
      <c r="H132" s="3">
        <v>0.69184840000000003</v>
      </c>
      <c r="I132" s="3">
        <v>0.67757140000000005</v>
      </c>
      <c r="J132" s="3">
        <v>0.66410840000000004</v>
      </c>
      <c r="K132" s="3">
        <v>0.65312919999999997</v>
      </c>
      <c r="L132" s="3">
        <v>0.64468040000000004</v>
      </c>
      <c r="M132" s="3">
        <v>0.63800730000000005</v>
      </c>
      <c r="N132" s="3">
        <v>0.63227259999999996</v>
      </c>
      <c r="O132" s="3">
        <v>0.62704249999999995</v>
      </c>
      <c r="P132" s="3">
        <v>0.62221979999999999</v>
      </c>
      <c r="Q132" s="3">
        <v>0.61796019999999996</v>
      </c>
      <c r="R132" s="3">
        <v>0.6143362</v>
      </c>
      <c r="S132" s="3">
        <v>0.61137660000000005</v>
      </c>
      <c r="T132" s="3">
        <v>0.60911009999999999</v>
      </c>
      <c r="U132" s="3">
        <v>0.60756549999999998</v>
      </c>
      <c r="V132" s="3">
        <v>0.60677159999999997</v>
      </c>
      <c r="W132" s="3">
        <v>0.60674050000000002</v>
      </c>
      <c r="X132" s="3">
        <v>0.60740609999999995</v>
      </c>
      <c r="Y132" s="3">
        <v>0.60868009999999995</v>
      </c>
      <c r="Z132" s="3">
        <v>0.61047399999999996</v>
      </c>
      <c r="AA132" s="3">
        <v>0.61269929999999995</v>
      </c>
      <c r="AB132" s="3">
        <v>0.61526760000000003</v>
      </c>
      <c r="AC132" s="3">
        <v>0.61810030000000005</v>
      </c>
      <c r="AD132" s="3">
        <v>0.62116179999999999</v>
      </c>
      <c r="AE132" s="3">
        <v>0.62442850000000005</v>
      </c>
      <c r="AF132" s="3">
        <v>0.62787680000000001</v>
      </c>
      <c r="AG132" s="3">
        <v>0.63148309999999996</v>
      </c>
      <c r="AH132" s="3">
        <v>0.63522389999999995</v>
      </c>
      <c r="AI132" s="3">
        <v>0.63907539999999996</v>
      </c>
      <c r="AJ132" s="3">
        <v>0.64301419999999998</v>
      </c>
      <c r="AK132" s="3">
        <v>0.64701660000000005</v>
      </c>
      <c r="AL132" s="3">
        <v>0.65105900000000005</v>
      </c>
      <c r="AM132" s="3">
        <v>0.65511779999999997</v>
      </c>
      <c r="AN132" s="3">
        <v>0.65916949999999996</v>
      </c>
      <c r="AO132" s="3">
        <v>0.66319499999999998</v>
      </c>
      <c r="AP132" s="3">
        <v>0.66719649999999997</v>
      </c>
      <c r="AQ132" s="3">
        <v>0.67118140000000004</v>
      </c>
      <c r="AR132" s="3">
        <v>0.67515749999999997</v>
      </c>
      <c r="AS132" s="3">
        <v>0.67913239999999997</v>
      </c>
      <c r="AT132" s="3">
        <v>0.68311379999999999</v>
      </c>
      <c r="AU132" s="3">
        <v>0.68710939999999998</v>
      </c>
      <c r="AV132" s="3">
        <v>0.69112669999999998</v>
      </c>
      <c r="AW132" s="3">
        <v>0.69517359999999995</v>
      </c>
      <c r="AX132" s="3">
        <v>0.69925760000000003</v>
      </c>
      <c r="AY132" s="3">
        <v>0.70338630000000002</v>
      </c>
      <c r="AZ132" s="3">
        <v>0.70756750000000002</v>
      </c>
      <c r="BA132" s="3">
        <v>0.71180770000000004</v>
      </c>
      <c r="BB132" s="3">
        <v>0.71610700000000005</v>
      </c>
      <c r="BC132" s="3">
        <v>0.72046370000000004</v>
      </c>
      <c r="BD132" s="3">
        <v>0.72487579999999996</v>
      </c>
      <c r="BE132" s="3">
        <v>0.72934149999999998</v>
      </c>
      <c r="BF132" s="3">
        <v>0.73385900000000004</v>
      </c>
      <c r="BG132" s="3">
        <v>0.73842629999999998</v>
      </c>
      <c r="BH132" s="3">
        <v>0.74304159999999997</v>
      </c>
      <c r="BI132" s="3">
        <v>0.74770300000000001</v>
      </c>
      <c r="BJ132" s="3">
        <v>0.75240870000000004</v>
      </c>
      <c r="BK132" s="3">
        <v>0.75715679999999996</v>
      </c>
      <c r="BL132" s="3">
        <v>0.76194539999999999</v>
      </c>
      <c r="BM132" s="3" t="e">
        <v>#N/A</v>
      </c>
      <c r="BN132" s="3" t="e">
        <v>#N/A</v>
      </c>
    </row>
    <row r="133" spans="1:66" x14ac:dyDescent="0.35">
      <c r="A133" s="5">
        <f t="shared" si="1"/>
        <v>43641</v>
      </c>
      <c r="B133" t="s">
        <v>210</v>
      </c>
      <c r="C133" s="2">
        <v>0.75</v>
      </c>
      <c r="D133" s="2">
        <v>0.71</v>
      </c>
      <c r="E133" s="3">
        <v>0.71146920000000002</v>
      </c>
      <c r="F133" s="3">
        <v>0.71074820000000005</v>
      </c>
      <c r="G133" s="3">
        <v>0.70455129999999999</v>
      </c>
      <c r="H133" s="3">
        <v>0.69211339999999999</v>
      </c>
      <c r="I133" s="3">
        <v>0.67674489999999998</v>
      </c>
      <c r="J133" s="3">
        <v>0.66213610000000001</v>
      </c>
      <c r="K133" s="3">
        <v>0.64999779999999996</v>
      </c>
      <c r="L133" s="3">
        <v>0.64020529999999998</v>
      </c>
      <c r="M133" s="3">
        <v>0.63183679999999998</v>
      </c>
      <c r="N133" s="3">
        <v>0.62405140000000003</v>
      </c>
      <c r="O133" s="3">
        <v>0.61648029999999998</v>
      </c>
      <c r="P133" s="3">
        <v>0.60910059999999999</v>
      </c>
      <c r="Q133" s="3">
        <v>0.60218099999999997</v>
      </c>
      <c r="R133" s="3">
        <v>0.59587040000000002</v>
      </c>
      <c r="S133" s="3">
        <v>0.59026290000000003</v>
      </c>
      <c r="T133" s="3">
        <v>0.58545250000000004</v>
      </c>
      <c r="U133" s="3">
        <v>0.58153310000000002</v>
      </c>
      <c r="V133" s="3">
        <v>0.57859879999999997</v>
      </c>
      <c r="W133" s="3">
        <v>0.57672659999999998</v>
      </c>
      <c r="X133" s="3">
        <v>0.5758761</v>
      </c>
      <c r="Y133" s="3">
        <v>0.57595649999999998</v>
      </c>
      <c r="Z133" s="3">
        <v>0.57687739999999998</v>
      </c>
      <c r="AA133" s="3">
        <v>0.57854779999999995</v>
      </c>
      <c r="AB133" s="3">
        <v>0.58087719999999998</v>
      </c>
      <c r="AC133" s="3">
        <v>0.58377950000000001</v>
      </c>
      <c r="AD133" s="3">
        <v>0.58718899999999996</v>
      </c>
      <c r="AE133" s="3">
        <v>0.59104599999999996</v>
      </c>
      <c r="AF133" s="3">
        <v>0.5952904</v>
      </c>
      <c r="AG133" s="3">
        <v>0.59986240000000002</v>
      </c>
      <c r="AH133" s="3">
        <v>0.60470210000000002</v>
      </c>
      <c r="AI133" s="3">
        <v>0.60974950000000006</v>
      </c>
      <c r="AJ133" s="3">
        <v>0.61494479999999996</v>
      </c>
      <c r="AK133" s="3">
        <v>0.62022809999999995</v>
      </c>
      <c r="AL133" s="3">
        <v>0.62553939999999997</v>
      </c>
      <c r="AM133" s="3">
        <v>0.63081880000000001</v>
      </c>
      <c r="AN133" s="3">
        <v>0.63600650000000003</v>
      </c>
      <c r="AO133" s="3">
        <v>0.64105109999999998</v>
      </c>
      <c r="AP133" s="3">
        <v>0.64594779999999996</v>
      </c>
      <c r="AQ133" s="3">
        <v>0.65070760000000005</v>
      </c>
      <c r="AR133" s="3">
        <v>0.65534110000000001</v>
      </c>
      <c r="AS133" s="3">
        <v>0.65985919999999998</v>
      </c>
      <c r="AT133" s="3">
        <v>0.66427270000000005</v>
      </c>
      <c r="AU133" s="3">
        <v>0.66859239999999998</v>
      </c>
      <c r="AV133" s="3">
        <v>0.67282909999999996</v>
      </c>
      <c r="AW133" s="3">
        <v>0.67699370000000003</v>
      </c>
      <c r="AX133" s="3">
        <v>0.68109690000000001</v>
      </c>
      <c r="AY133" s="3">
        <v>0.68514949999999997</v>
      </c>
      <c r="AZ133" s="3">
        <v>0.68916239999999995</v>
      </c>
      <c r="BA133" s="3">
        <v>0.69314549999999997</v>
      </c>
      <c r="BB133" s="3">
        <v>0.69710450000000002</v>
      </c>
      <c r="BC133" s="3">
        <v>0.70104379999999999</v>
      </c>
      <c r="BD133" s="3">
        <v>0.70496780000000003</v>
      </c>
      <c r="BE133" s="3">
        <v>0.70888099999999998</v>
      </c>
      <c r="BF133" s="3">
        <v>0.71278759999999997</v>
      </c>
      <c r="BG133" s="3">
        <v>0.7166922</v>
      </c>
      <c r="BH133" s="3">
        <v>0.72059910000000005</v>
      </c>
      <c r="BI133" s="3">
        <v>0.72451279999999996</v>
      </c>
      <c r="BJ133" s="3">
        <v>0.72843760000000002</v>
      </c>
      <c r="BK133" s="3">
        <v>0.73237799999999997</v>
      </c>
      <c r="BL133" s="3">
        <v>0.73633839999999995</v>
      </c>
      <c r="BM133" s="3" t="e">
        <v>#N/A</v>
      </c>
      <c r="BN133" s="3" t="e">
        <v>#N/A</v>
      </c>
    </row>
    <row r="134" spans="1:66" x14ac:dyDescent="0.35">
      <c r="A134" s="5">
        <f t="shared" si="1"/>
        <v>43642</v>
      </c>
      <c r="B134" t="s">
        <v>211</v>
      </c>
      <c r="C134" s="2">
        <v>0.75</v>
      </c>
      <c r="D134" s="2">
        <v>0.70840000000000003</v>
      </c>
      <c r="E134" s="3">
        <v>0.71148230000000001</v>
      </c>
      <c r="F134" s="3">
        <v>0.71054850000000003</v>
      </c>
      <c r="G134" s="3">
        <v>0.70452709999999996</v>
      </c>
      <c r="H134" s="3">
        <v>0.69273370000000001</v>
      </c>
      <c r="I134" s="3">
        <v>0.67826900000000001</v>
      </c>
      <c r="J134" s="3">
        <v>0.66461460000000006</v>
      </c>
      <c r="K134" s="3">
        <v>0.6534025</v>
      </c>
      <c r="L134" s="3">
        <v>0.64463289999999995</v>
      </c>
      <c r="M134" s="3">
        <v>0.63766020000000001</v>
      </c>
      <c r="N134" s="3">
        <v>0.63182439999999995</v>
      </c>
      <c r="O134" s="3">
        <v>0.62675990000000004</v>
      </c>
      <c r="P134" s="3">
        <v>0.62232399999999999</v>
      </c>
      <c r="Q134" s="3">
        <v>0.61866480000000001</v>
      </c>
      <c r="R134" s="3">
        <v>0.61580049999999997</v>
      </c>
      <c r="S134" s="3">
        <v>0.61369079999999998</v>
      </c>
      <c r="T134" s="3">
        <v>0.61229549999999999</v>
      </c>
      <c r="U134" s="3">
        <v>0.61157430000000002</v>
      </c>
      <c r="V134" s="3">
        <v>0.61148709999999995</v>
      </c>
      <c r="W134" s="3">
        <v>0.61199199999999998</v>
      </c>
      <c r="X134" s="3">
        <v>0.61303810000000003</v>
      </c>
      <c r="Y134" s="3">
        <v>0.61457070000000003</v>
      </c>
      <c r="Z134" s="3">
        <v>0.61653519999999995</v>
      </c>
      <c r="AA134" s="3">
        <v>0.61887689999999995</v>
      </c>
      <c r="AB134" s="3">
        <v>0.62154129999999996</v>
      </c>
      <c r="AC134" s="3">
        <v>0.62447819999999998</v>
      </c>
      <c r="AD134" s="3">
        <v>0.62766239999999995</v>
      </c>
      <c r="AE134" s="3">
        <v>0.63107709999999995</v>
      </c>
      <c r="AF134" s="3">
        <v>0.63470539999999998</v>
      </c>
      <c r="AG134" s="3">
        <v>0.6385303</v>
      </c>
      <c r="AH134" s="3">
        <v>0.64253510000000003</v>
      </c>
      <c r="AI134" s="3">
        <v>0.64670269999999996</v>
      </c>
      <c r="AJ134" s="3">
        <v>0.65101629999999999</v>
      </c>
      <c r="AK134" s="3">
        <v>0.65545909999999996</v>
      </c>
      <c r="AL134" s="3">
        <v>0.66001399999999999</v>
      </c>
      <c r="AM134" s="3">
        <v>0.66466429999999999</v>
      </c>
      <c r="AN134" s="3">
        <v>0.66939309999999996</v>
      </c>
      <c r="AO134" s="3">
        <v>0.67418500000000003</v>
      </c>
      <c r="AP134" s="3">
        <v>0.67903270000000004</v>
      </c>
      <c r="AQ134" s="3">
        <v>0.68393110000000001</v>
      </c>
      <c r="AR134" s="3">
        <v>0.68887520000000002</v>
      </c>
      <c r="AS134" s="3">
        <v>0.69385989999999997</v>
      </c>
      <c r="AT134" s="3">
        <v>0.69888030000000001</v>
      </c>
      <c r="AU134" s="3">
        <v>0.70393119999999998</v>
      </c>
      <c r="AV134" s="3">
        <v>0.70900770000000002</v>
      </c>
      <c r="AW134" s="3">
        <v>0.71410470000000004</v>
      </c>
      <c r="AX134" s="3">
        <v>0.71921729999999995</v>
      </c>
      <c r="AY134" s="3">
        <v>0.72434030000000005</v>
      </c>
      <c r="AZ134" s="3">
        <v>0.72946869999999997</v>
      </c>
      <c r="BA134" s="3">
        <v>0.73459819999999998</v>
      </c>
      <c r="BB134" s="3">
        <v>0.73972709999999997</v>
      </c>
      <c r="BC134" s="3">
        <v>0.74485449999999997</v>
      </c>
      <c r="BD134" s="3">
        <v>0.74997959999999997</v>
      </c>
      <c r="BE134" s="3">
        <v>0.75510140000000003</v>
      </c>
      <c r="BF134" s="3">
        <v>0.76021930000000004</v>
      </c>
      <c r="BG134" s="3">
        <v>0.76533220000000002</v>
      </c>
      <c r="BH134" s="3">
        <v>0.77043930000000005</v>
      </c>
      <c r="BI134" s="3">
        <v>0.77553970000000005</v>
      </c>
      <c r="BJ134" s="3">
        <v>0.78063260000000001</v>
      </c>
      <c r="BK134" s="3">
        <v>0.7857172</v>
      </c>
      <c r="BL134" s="3">
        <v>0.79079250000000001</v>
      </c>
      <c r="BM134" s="3" t="e">
        <v>#N/A</v>
      </c>
      <c r="BN134" s="3" t="e">
        <v>#N/A</v>
      </c>
    </row>
    <row r="135" spans="1:66" x14ac:dyDescent="0.35">
      <c r="A135" s="5">
        <f t="shared" si="1"/>
        <v>43643</v>
      </c>
      <c r="B135" t="s">
        <v>212</v>
      </c>
      <c r="C135" s="2">
        <v>0.75</v>
      </c>
      <c r="D135" s="2">
        <v>0.70860000000000001</v>
      </c>
      <c r="E135" s="3">
        <v>0.71287009999999995</v>
      </c>
      <c r="F135" s="3">
        <v>0.70965460000000002</v>
      </c>
      <c r="G135" s="3">
        <v>0.70149859999999997</v>
      </c>
      <c r="H135" s="3">
        <v>0.68806880000000004</v>
      </c>
      <c r="I135" s="3">
        <v>0.67155869999999995</v>
      </c>
      <c r="J135" s="3">
        <v>0.6550127</v>
      </c>
      <c r="K135" s="3">
        <v>0.64094220000000002</v>
      </c>
      <c r="L135" s="3">
        <v>0.63006600000000001</v>
      </c>
      <c r="M135" s="3">
        <v>0.62165959999999998</v>
      </c>
      <c r="N135" s="3">
        <v>0.61468610000000001</v>
      </c>
      <c r="O135" s="3">
        <v>0.60852189999999995</v>
      </c>
      <c r="P135" s="3">
        <v>0.60293830000000004</v>
      </c>
      <c r="Q135" s="3">
        <v>0.59855429999999998</v>
      </c>
      <c r="R135" s="3">
        <v>0.59548780000000001</v>
      </c>
      <c r="S135" s="3">
        <v>0.59360329999999994</v>
      </c>
      <c r="T135" s="3">
        <v>0.5927654</v>
      </c>
      <c r="U135" s="3">
        <v>0.59283839999999999</v>
      </c>
      <c r="V135" s="3">
        <v>0.59368679999999996</v>
      </c>
      <c r="W135" s="3">
        <v>0.59518320000000002</v>
      </c>
      <c r="X135" s="3">
        <v>0.5972459</v>
      </c>
      <c r="Y135" s="3">
        <v>0.5998095</v>
      </c>
      <c r="Z135" s="3">
        <v>0.60280840000000002</v>
      </c>
      <c r="AA135" s="3">
        <v>0.60617730000000003</v>
      </c>
      <c r="AB135" s="3">
        <v>0.60985060000000002</v>
      </c>
      <c r="AC135" s="3">
        <v>0.61376929999999996</v>
      </c>
      <c r="AD135" s="3">
        <v>0.61790630000000002</v>
      </c>
      <c r="AE135" s="3">
        <v>0.62224369999999996</v>
      </c>
      <c r="AF135" s="3">
        <v>0.62676399999999999</v>
      </c>
      <c r="AG135" s="3">
        <v>0.6314495</v>
      </c>
      <c r="AH135" s="3">
        <v>0.63628249999999997</v>
      </c>
      <c r="AI135" s="3">
        <v>0.64124530000000002</v>
      </c>
      <c r="AJ135" s="3">
        <v>0.64632040000000002</v>
      </c>
      <c r="AK135" s="3">
        <v>0.65149009999999996</v>
      </c>
      <c r="AL135" s="3">
        <v>0.6567366</v>
      </c>
      <c r="AM135" s="3">
        <v>0.66204240000000003</v>
      </c>
      <c r="AN135" s="3">
        <v>0.66738969999999997</v>
      </c>
      <c r="AO135" s="3">
        <v>0.67276259999999999</v>
      </c>
      <c r="AP135" s="3">
        <v>0.67815210000000004</v>
      </c>
      <c r="AQ135" s="3">
        <v>0.68355149999999998</v>
      </c>
      <c r="AR135" s="3">
        <v>0.6889537</v>
      </c>
      <c r="AS135" s="3">
        <v>0.69435199999999997</v>
      </c>
      <c r="AT135" s="3">
        <v>0.69973940000000001</v>
      </c>
      <c r="AU135" s="3">
        <v>0.70510899999999999</v>
      </c>
      <c r="AV135" s="3">
        <v>0.71045400000000003</v>
      </c>
      <c r="AW135" s="3">
        <v>0.7157675</v>
      </c>
      <c r="AX135" s="3">
        <v>0.72104259999999998</v>
      </c>
      <c r="AY135" s="3">
        <v>0.72627240000000004</v>
      </c>
      <c r="AZ135" s="3">
        <v>0.73145009999999999</v>
      </c>
      <c r="BA135" s="3">
        <v>0.73657019999999995</v>
      </c>
      <c r="BB135" s="3">
        <v>0.74163440000000003</v>
      </c>
      <c r="BC135" s="3">
        <v>0.74664620000000004</v>
      </c>
      <c r="BD135" s="3">
        <v>0.75160890000000002</v>
      </c>
      <c r="BE135" s="3">
        <v>0.75652609999999998</v>
      </c>
      <c r="BF135" s="3">
        <v>0.7614012</v>
      </c>
      <c r="BG135" s="3">
        <v>0.76623779999999997</v>
      </c>
      <c r="BH135" s="3">
        <v>0.77103920000000004</v>
      </c>
      <c r="BI135" s="3">
        <v>0.77580890000000002</v>
      </c>
      <c r="BJ135" s="3">
        <v>0.78055039999999998</v>
      </c>
      <c r="BK135" s="3">
        <v>0.78526720000000005</v>
      </c>
      <c r="BL135" s="3">
        <v>0.78996270000000002</v>
      </c>
      <c r="BM135" s="3" t="e">
        <v>#N/A</v>
      </c>
      <c r="BN135" s="3" t="e">
        <v>#N/A</v>
      </c>
    </row>
    <row r="136" spans="1:66" x14ac:dyDescent="0.35">
      <c r="A136" s="5">
        <f t="shared" si="1"/>
        <v>43644</v>
      </c>
      <c r="B136" t="s">
        <v>213</v>
      </c>
      <c r="C136" s="2">
        <v>0.75</v>
      </c>
      <c r="D136" s="2">
        <v>0.70599999999999996</v>
      </c>
      <c r="E136" s="3">
        <v>0.71100479999999999</v>
      </c>
      <c r="F136" s="3">
        <v>0.7104705</v>
      </c>
      <c r="G136" s="3">
        <v>0.70409140000000003</v>
      </c>
      <c r="H136" s="3">
        <v>0.69161110000000003</v>
      </c>
      <c r="I136" s="3">
        <v>0.67607309999999998</v>
      </c>
      <c r="J136" s="3">
        <v>0.66070569999999995</v>
      </c>
      <c r="K136" s="3">
        <v>0.64747600000000005</v>
      </c>
      <c r="L136" s="3">
        <v>0.63671820000000001</v>
      </c>
      <c r="M136" s="3">
        <v>0.62769520000000001</v>
      </c>
      <c r="N136" s="3">
        <v>0.61976290000000001</v>
      </c>
      <c r="O136" s="3">
        <v>0.61271529999999996</v>
      </c>
      <c r="P136" s="3">
        <v>0.60669609999999996</v>
      </c>
      <c r="Q136" s="3">
        <v>0.60227529999999996</v>
      </c>
      <c r="R136" s="3">
        <v>0.59949969999999997</v>
      </c>
      <c r="S136" s="3">
        <v>0.59821469999999999</v>
      </c>
      <c r="T136" s="3">
        <v>0.59826599999999996</v>
      </c>
      <c r="U136" s="3">
        <v>0.59949889999999995</v>
      </c>
      <c r="V136" s="3">
        <v>0.60175909999999999</v>
      </c>
      <c r="W136" s="3">
        <v>0.60489219999999999</v>
      </c>
      <c r="X136" s="3">
        <v>0.60874450000000002</v>
      </c>
      <c r="Y136" s="3">
        <v>0.6131626</v>
      </c>
      <c r="Z136" s="3">
        <v>0.61799289999999996</v>
      </c>
      <c r="AA136" s="3">
        <v>0.62308200000000002</v>
      </c>
      <c r="AB136" s="3">
        <v>0.62827650000000002</v>
      </c>
      <c r="AC136" s="3">
        <v>0.63344639999999997</v>
      </c>
      <c r="AD136" s="3">
        <v>0.63856599999999997</v>
      </c>
      <c r="AE136" s="3">
        <v>0.64363840000000005</v>
      </c>
      <c r="AF136" s="3">
        <v>0.64866639999999998</v>
      </c>
      <c r="AG136" s="3">
        <v>0.65365309999999999</v>
      </c>
      <c r="AH136" s="3">
        <v>0.65860149999999995</v>
      </c>
      <c r="AI136" s="3">
        <v>0.66351450000000001</v>
      </c>
      <c r="AJ136" s="3">
        <v>0.66839530000000003</v>
      </c>
      <c r="AK136" s="3">
        <v>0.67324669999999998</v>
      </c>
      <c r="AL136" s="3">
        <v>0.67807170000000005</v>
      </c>
      <c r="AM136" s="3">
        <v>0.68287339999999996</v>
      </c>
      <c r="AN136" s="3">
        <v>0.68765469999999995</v>
      </c>
      <c r="AO136" s="3">
        <v>0.69241830000000004</v>
      </c>
      <c r="AP136" s="3">
        <v>0.69716619999999996</v>
      </c>
      <c r="AQ136" s="3">
        <v>0.70189959999999996</v>
      </c>
      <c r="AR136" s="3">
        <v>0.70662009999999997</v>
      </c>
      <c r="AS136" s="3">
        <v>0.71132910000000005</v>
      </c>
      <c r="AT136" s="3">
        <v>0.71602809999999995</v>
      </c>
      <c r="AU136" s="3">
        <v>0.72071850000000004</v>
      </c>
      <c r="AV136" s="3">
        <v>0.72540190000000004</v>
      </c>
      <c r="AW136" s="3">
        <v>0.73007960000000005</v>
      </c>
      <c r="AX136" s="3">
        <v>0.7347532</v>
      </c>
      <c r="AY136" s="3">
        <v>0.73942399999999997</v>
      </c>
      <c r="AZ136" s="3">
        <v>0.74409360000000002</v>
      </c>
      <c r="BA136" s="3">
        <v>0.74876319999999996</v>
      </c>
      <c r="BB136" s="3">
        <v>0.75343329999999997</v>
      </c>
      <c r="BC136" s="3">
        <v>0.75810390000000005</v>
      </c>
      <c r="BD136" s="3">
        <v>0.76277530000000004</v>
      </c>
      <c r="BE136" s="3">
        <v>0.76744749999999995</v>
      </c>
      <c r="BF136" s="3">
        <v>0.77212080000000005</v>
      </c>
      <c r="BG136" s="3">
        <v>0.77679529999999997</v>
      </c>
      <c r="BH136" s="3">
        <v>0.78147120000000003</v>
      </c>
      <c r="BI136" s="3">
        <v>0.78614859999999998</v>
      </c>
      <c r="BJ136" s="3">
        <v>0.79082770000000002</v>
      </c>
      <c r="BK136" s="3">
        <v>0.79550860000000001</v>
      </c>
      <c r="BL136" s="3">
        <v>0.80019149999999994</v>
      </c>
      <c r="BM136" s="3" t="e">
        <v>#N/A</v>
      </c>
      <c r="BN136" s="3" t="e">
        <v>#N/A</v>
      </c>
    </row>
    <row r="137" spans="1:66" x14ac:dyDescent="0.35">
      <c r="A137" s="5">
        <f t="shared" si="1"/>
        <v>43647</v>
      </c>
      <c r="B137" t="s">
        <v>214</v>
      </c>
      <c r="C137" s="2">
        <v>0.75</v>
      </c>
      <c r="D137" s="2">
        <v>0.70930000000000004</v>
      </c>
      <c r="E137" s="3">
        <v>0.71162550000000002</v>
      </c>
      <c r="F137" s="3">
        <v>0.71405560000000001</v>
      </c>
      <c r="G137" s="3">
        <v>0.70810260000000003</v>
      </c>
      <c r="H137" s="3">
        <v>0.69285839999999999</v>
      </c>
      <c r="I137" s="3">
        <v>0.67405550000000003</v>
      </c>
      <c r="J137" s="3">
        <v>0.65674370000000004</v>
      </c>
      <c r="K137" s="3">
        <v>0.6425168</v>
      </c>
      <c r="L137" s="3">
        <v>0.63071719999999998</v>
      </c>
      <c r="M137" s="3">
        <v>0.62044049999999995</v>
      </c>
      <c r="N137" s="3">
        <v>0.61111040000000005</v>
      </c>
      <c r="O137" s="3">
        <v>0.60261560000000003</v>
      </c>
      <c r="P137" s="3">
        <v>0.59510810000000003</v>
      </c>
      <c r="Q137" s="3">
        <v>0.58906550000000002</v>
      </c>
      <c r="R137" s="3">
        <v>0.58451090000000006</v>
      </c>
      <c r="S137" s="3">
        <v>0.58130689999999996</v>
      </c>
      <c r="T137" s="3">
        <v>0.57931589999999999</v>
      </c>
      <c r="U137" s="3">
        <v>0.57840040000000004</v>
      </c>
      <c r="V137" s="3">
        <v>0.57842300000000002</v>
      </c>
      <c r="W137" s="3">
        <v>0.57925059999999995</v>
      </c>
      <c r="X137" s="3">
        <v>0.58077999999999996</v>
      </c>
      <c r="Y137" s="3">
        <v>0.58292129999999998</v>
      </c>
      <c r="Z137" s="3">
        <v>0.5855842</v>
      </c>
      <c r="AA137" s="3">
        <v>0.58867860000000005</v>
      </c>
      <c r="AB137" s="3">
        <v>0.59211449999999999</v>
      </c>
      <c r="AC137" s="3">
        <v>0.59581269999999997</v>
      </c>
      <c r="AD137" s="3">
        <v>0.59974329999999998</v>
      </c>
      <c r="AE137" s="3">
        <v>0.60388969999999997</v>
      </c>
      <c r="AF137" s="3">
        <v>0.60823550000000004</v>
      </c>
      <c r="AG137" s="3">
        <v>0.61276410000000003</v>
      </c>
      <c r="AH137" s="3">
        <v>0.61745899999999998</v>
      </c>
      <c r="AI137" s="3">
        <v>0.62230359999999996</v>
      </c>
      <c r="AJ137" s="3">
        <v>0.62728159999999999</v>
      </c>
      <c r="AK137" s="3">
        <v>0.63237639999999995</v>
      </c>
      <c r="AL137" s="3">
        <v>0.63757140000000001</v>
      </c>
      <c r="AM137" s="3">
        <v>0.64285009999999998</v>
      </c>
      <c r="AN137" s="3">
        <v>0.64819610000000005</v>
      </c>
      <c r="AO137" s="3">
        <v>0.65359460000000003</v>
      </c>
      <c r="AP137" s="3">
        <v>0.65903840000000002</v>
      </c>
      <c r="AQ137" s="3">
        <v>0.66452279999999997</v>
      </c>
      <c r="AR137" s="3">
        <v>0.67004269999999999</v>
      </c>
      <c r="AS137" s="3">
        <v>0.6755932</v>
      </c>
      <c r="AT137" s="3">
        <v>0.68116949999999998</v>
      </c>
      <c r="AU137" s="3">
        <v>0.68676649999999995</v>
      </c>
      <c r="AV137" s="3">
        <v>0.69237930000000003</v>
      </c>
      <c r="AW137" s="3">
        <v>0.69800300000000004</v>
      </c>
      <c r="AX137" s="3">
        <v>0.7036327</v>
      </c>
      <c r="AY137" s="3">
        <v>0.70926339999999999</v>
      </c>
      <c r="AZ137" s="3">
        <v>0.71489020000000003</v>
      </c>
      <c r="BA137" s="3">
        <v>0.72050879999999995</v>
      </c>
      <c r="BB137" s="3">
        <v>0.72611820000000005</v>
      </c>
      <c r="BC137" s="3">
        <v>0.73171839999999999</v>
      </c>
      <c r="BD137" s="3">
        <v>0.73730949999999995</v>
      </c>
      <c r="BE137" s="3">
        <v>0.74289159999999999</v>
      </c>
      <c r="BF137" s="3">
        <v>0.74846480000000004</v>
      </c>
      <c r="BG137" s="3">
        <v>0.75402919999999996</v>
      </c>
      <c r="BH137" s="3">
        <v>0.75958479999999995</v>
      </c>
      <c r="BI137" s="3">
        <v>0.76513180000000003</v>
      </c>
      <c r="BJ137" s="3">
        <v>0.77067010000000002</v>
      </c>
      <c r="BK137" s="3">
        <v>0.7762</v>
      </c>
      <c r="BL137" s="3">
        <v>0.78172140000000001</v>
      </c>
      <c r="BM137" s="3" t="e">
        <v>#N/A</v>
      </c>
      <c r="BN137" s="3" t="e">
        <v>#N/A</v>
      </c>
    </row>
    <row r="138" spans="1:66" x14ac:dyDescent="0.35">
      <c r="A138" s="5">
        <f t="shared" si="1"/>
        <v>43648</v>
      </c>
      <c r="B138" t="s">
        <v>215</v>
      </c>
      <c r="C138" s="2">
        <v>0.75</v>
      </c>
      <c r="D138" s="2">
        <v>0.70820000000000005</v>
      </c>
      <c r="E138" s="3">
        <v>0.70172290000000004</v>
      </c>
      <c r="F138" s="3">
        <v>0.67997660000000004</v>
      </c>
      <c r="G138" s="3">
        <v>0.65523010000000004</v>
      </c>
      <c r="H138" s="3">
        <v>0.62571080000000001</v>
      </c>
      <c r="I138" s="3">
        <v>0.59577440000000004</v>
      </c>
      <c r="J138" s="3">
        <v>0.56993850000000001</v>
      </c>
      <c r="K138" s="3">
        <v>0.54955750000000003</v>
      </c>
      <c r="L138" s="3">
        <v>0.53376659999999998</v>
      </c>
      <c r="M138" s="3">
        <v>0.52122329999999994</v>
      </c>
      <c r="N138" s="3">
        <v>0.51088279999999997</v>
      </c>
      <c r="O138" s="3">
        <v>0.50222520000000004</v>
      </c>
      <c r="P138" s="3">
        <v>0.49507390000000001</v>
      </c>
      <c r="Q138" s="3">
        <v>0.48931150000000001</v>
      </c>
      <c r="R138" s="3">
        <v>0.4848325</v>
      </c>
      <c r="S138" s="3">
        <v>0.48153689999999999</v>
      </c>
      <c r="T138" s="3">
        <v>0.47932459999999999</v>
      </c>
      <c r="U138" s="3">
        <v>0.47809580000000002</v>
      </c>
      <c r="V138" s="3">
        <v>0.47775030000000002</v>
      </c>
      <c r="W138" s="3">
        <v>0.47819109999999998</v>
      </c>
      <c r="X138" s="3">
        <v>0.47933959999999998</v>
      </c>
      <c r="Y138" s="3">
        <v>0.4811243</v>
      </c>
      <c r="Z138" s="3">
        <v>0.48347370000000001</v>
      </c>
      <c r="AA138" s="3">
        <v>0.48631639999999998</v>
      </c>
      <c r="AB138" s="3">
        <v>0.48958089999999999</v>
      </c>
      <c r="AC138" s="3">
        <v>0.49320259999999999</v>
      </c>
      <c r="AD138" s="3">
        <v>0.49714639999999999</v>
      </c>
      <c r="AE138" s="3">
        <v>0.50138590000000005</v>
      </c>
      <c r="AF138" s="3">
        <v>0.50589430000000002</v>
      </c>
      <c r="AG138" s="3">
        <v>0.51064509999999996</v>
      </c>
      <c r="AH138" s="3">
        <v>0.51561159999999995</v>
      </c>
      <c r="AI138" s="3">
        <v>0.52076710000000004</v>
      </c>
      <c r="AJ138" s="3">
        <v>0.52608509999999997</v>
      </c>
      <c r="AK138" s="3">
        <v>0.53153879999999998</v>
      </c>
      <c r="AL138" s="3">
        <v>0.53710179999999996</v>
      </c>
      <c r="AM138" s="3">
        <v>0.54274719999999999</v>
      </c>
      <c r="AN138" s="3">
        <v>0.54844850000000001</v>
      </c>
      <c r="AO138" s="3">
        <v>0.55418210000000001</v>
      </c>
      <c r="AP138" s="3">
        <v>0.5599402</v>
      </c>
      <c r="AQ138" s="3">
        <v>0.56572060000000002</v>
      </c>
      <c r="AR138" s="3">
        <v>0.5715211</v>
      </c>
      <c r="AS138" s="3">
        <v>0.5773393</v>
      </c>
      <c r="AT138" s="3">
        <v>0.58317300000000005</v>
      </c>
      <c r="AU138" s="3">
        <v>0.58901999999999999</v>
      </c>
      <c r="AV138" s="3">
        <v>0.59487780000000001</v>
      </c>
      <c r="AW138" s="3">
        <v>0.60074430000000001</v>
      </c>
      <c r="AX138" s="3">
        <v>0.60661719999999997</v>
      </c>
      <c r="AY138" s="3">
        <v>0.61249430000000005</v>
      </c>
      <c r="AZ138" s="3">
        <v>0.61837310000000001</v>
      </c>
      <c r="BA138" s="3">
        <v>0.62425169999999996</v>
      </c>
      <c r="BB138" s="3">
        <v>0.63012800000000002</v>
      </c>
      <c r="BC138" s="3">
        <v>0.63600029999999996</v>
      </c>
      <c r="BD138" s="3">
        <v>0.64186679999999996</v>
      </c>
      <c r="BE138" s="3">
        <v>0.64772589999999997</v>
      </c>
      <c r="BF138" s="3">
        <v>0.65357569999999998</v>
      </c>
      <c r="BG138" s="3">
        <v>0.65941450000000001</v>
      </c>
      <c r="BH138" s="3">
        <v>0.66524050000000001</v>
      </c>
      <c r="BI138" s="3">
        <v>0.67105199999999998</v>
      </c>
      <c r="BJ138" s="3">
        <v>0.67684719999999998</v>
      </c>
      <c r="BK138" s="3">
        <v>0.68262429999999996</v>
      </c>
      <c r="BL138" s="3">
        <v>0.68838160000000004</v>
      </c>
      <c r="BM138" s="3" t="e">
        <v>#N/A</v>
      </c>
      <c r="BN138" s="3" t="e">
        <v>#N/A</v>
      </c>
    </row>
    <row r="139" spans="1:66" x14ac:dyDescent="0.35">
      <c r="A139" s="5">
        <f t="shared" si="1"/>
        <v>43649</v>
      </c>
      <c r="B139" t="s">
        <v>216</v>
      </c>
      <c r="C139" s="2">
        <v>0.75</v>
      </c>
      <c r="D139" s="2">
        <v>0.70889999999999997</v>
      </c>
      <c r="E139" s="3">
        <v>0.70069890000000001</v>
      </c>
      <c r="F139" s="3">
        <v>0.68022490000000002</v>
      </c>
      <c r="G139" s="3">
        <v>0.65513180000000004</v>
      </c>
      <c r="H139" s="3">
        <v>0.62468659999999998</v>
      </c>
      <c r="I139" s="3">
        <v>0.59363540000000004</v>
      </c>
      <c r="J139" s="3">
        <v>0.56645250000000003</v>
      </c>
      <c r="K139" s="3">
        <v>0.54447489999999998</v>
      </c>
      <c r="L139" s="3">
        <v>0.52695170000000002</v>
      </c>
      <c r="M139" s="3">
        <v>0.51295100000000005</v>
      </c>
      <c r="N139" s="3">
        <v>0.50176560000000003</v>
      </c>
      <c r="O139" s="3">
        <v>0.49288330000000002</v>
      </c>
      <c r="P139" s="3">
        <v>0.48603750000000001</v>
      </c>
      <c r="Q139" s="3">
        <v>0.48092370000000001</v>
      </c>
      <c r="R139" s="3">
        <v>0.47732029999999998</v>
      </c>
      <c r="S139" s="3">
        <v>0.47504020000000002</v>
      </c>
      <c r="T139" s="3">
        <v>0.4738965</v>
      </c>
      <c r="U139" s="3">
        <v>0.47370220000000002</v>
      </c>
      <c r="V139" s="3">
        <v>0.47427019999999998</v>
      </c>
      <c r="W139" s="3">
        <v>0.47542879999999998</v>
      </c>
      <c r="X139" s="3">
        <v>0.47709269999999998</v>
      </c>
      <c r="Y139" s="3">
        <v>0.47920699999999999</v>
      </c>
      <c r="Z139" s="3">
        <v>0.4817169</v>
      </c>
      <c r="AA139" s="3">
        <v>0.48456749999999998</v>
      </c>
      <c r="AB139" s="3">
        <v>0.48770400000000003</v>
      </c>
      <c r="AC139" s="3">
        <v>0.49107620000000002</v>
      </c>
      <c r="AD139" s="3">
        <v>0.49465969999999998</v>
      </c>
      <c r="AE139" s="3">
        <v>0.4984384</v>
      </c>
      <c r="AF139" s="3">
        <v>0.50239650000000002</v>
      </c>
      <c r="AG139" s="3">
        <v>0.50651789999999997</v>
      </c>
      <c r="AH139" s="3">
        <v>0.51078670000000004</v>
      </c>
      <c r="AI139" s="3">
        <v>0.5151869</v>
      </c>
      <c r="AJ139" s="3">
        <v>0.51970260000000001</v>
      </c>
      <c r="AK139" s="3">
        <v>0.52431779999999995</v>
      </c>
      <c r="AL139" s="3">
        <v>0.52901659999999995</v>
      </c>
      <c r="AM139" s="3">
        <v>0.53378289999999995</v>
      </c>
      <c r="AN139" s="3">
        <v>0.53860090000000005</v>
      </c>
      <c r="AO139" s="3">
        <v>0.54345650000000001</v>
      </c>
      <c r="AP139" s="3">
        <v>0.54834479999999997</v>
      </c>
      <c r="AQ139" s="3">
        <v>0.55326370000000002</v>
      </c>
      <c r="AR139" s="3">
        <v>0.55821120000000002</v>
      </c>
      <c r="AS139" s="3">
        <v>0.56318509999999999</v>
      </c>
      <c r="AT139" s="3">
        <v>0.56818340000000001</v>
      </c>
      <c r="AU139" s="3">
        <v>0.57320409999999999</v>
      </c>
      <c r="AV139" s="3">
        <v>0.57824500000000001</v>
      </c>
      <c r="AW139" s="3">
        <v>0.58330409999999999</v>
      </c>
      <c r="AX139" s="3">
        <v>0.58837919999999999</v>
      </c>
      <c r="AY139" s="3">
        <v>0.59346840000000001</v>
      </c>
      <c r="AZ139" s="3">
        <v>0.59856949999999998</v>
      </c>
      <c r="BA139" s="3">
        <v>0.60368080000000002</v>
      </c>
      <c r="BB139" s="3">
        <v>0.60880120000000004</v>
      </c>
      <c r="BC139" s="3">
        <v>0.61393039999999999</v>
      </c>
      <c r="BD139" s="3">
        <v>0.61906760000000005</v>
      </c>
      <c r="BE139" s="3">
        <v>0.62421230000000005</v>
      </c>
      <c r="BF139" s="3">
        <v>0.62936380000000003</v>
      </c>
      <c r="BG139" s="3">
        <v>0.63452169999999997</v>
      </c>
      <c r="BH139" s="3">
        <v>0.63968539999999996</v>
      </c>
      <c r="BI139" s="3">
        <v>0.64485420000000004</v>
      </c>
      <c r="BJ139" s="3">
        <v>0.65002749999999998</v>
      </c>
      <c r="BK139" s="3">
        <v>0.65520480000000003</v>
      </c>
      <c r="BL139" s="3">
        <v>0.66038560000000002</v>
      </c>
      <c r="BM139" s="3" t="e">
        <v>#N/A</v>
      </c>
      <c r="BN139" s="3" t="e">
        <v>#N/A</v>
      </c>
    </row>
    <row r="140" spans="1:66" x14ac:dyDescent="0.35">
      <c r="A140" s="5">
        <f t="shared" si="1"/>
        <v>43650</v>
      </c>
      <c r="B140" t="s">
        <v>217</v>
      </c>
      <c r="C140" s="2">
        <v>0.75</v>
      </c>
      <c r="D140" s="2">
        <v>0.70930000000000004</v>
      </c>
      <c r="E140" s="3">
        <v>0.70194380000000001</v>
      </c>
      <c r="F140" s="3">
        <v>0.68539950000000005</v>
      </c>
      <c r="G140" s="3">
        <v>0.660493</v>
      </c>
      <c r="H140" s="3">
        <v>0.62827100000000002</v>
      </c>
      <c r="I140" s="3">
        <v>0.59689959999999997</v>
      </c>
      <c r="J140" s="3">
        <v>0.57041209999999998</v>
      </c>
      <c r="K140" s="3">
        <v>0.54821120000000001</v>
      </c>
      <c r="L140" s="3">
        <v>0.52902329999999997</v>
      </c>
      <c r="M140" s="3">
        <v>0.51188480000000003</v>
      </c>
      <c r="N140" s="3">
        <v>0.4962743</v>
      </c>
      <c r="O140" s="3">
        <v>0.48189399999999999</v>
      </c>
      <c r="P140" s="3">
        <v>0.46875810000000001</v>
      </c>
      <c r="Q140" s="3">
        <v>0.45693430000000002</v>
      </c>
      <c r="R140" s="3">
        <v>0.4466157</v>
      </c>
      <c r="S140" s="3">
        <v>0.43804320000000002</v>
      </c>
      <c r="T140" s="3">
        <v>0.43145790000000001</v>
      </c>
      <c r="U140" s="3">
        <v>0.42710100000000001</v>
      </c>
      <c r="V140" s="3">
        <v>0.42521340000000002</v>
      </c>
      <c r="W140" s="3">
        <v>0.4259444</v>
      </c>
      <c r="X140" s="3">
        <v>0.42897239999999998</v>
      </c>
      <c r="Y140" s="3">
        <v>0.43382520000000002</v>
      </c>
      <c r="Z140" s="3">
        <v>0.4400308</v>
      </c>
      <c r="AA140" s="3">
        <v>0.44711719999999999</v>
      </c>
      <c r="AB140" s="3">
        <v>0.45461210000000002</v>
      </c>
      <c r="AC140" s="3">
        <v>0.46210560000000001</v>
      </c>
      <c r="AD140" s="3">
        <v>0.46948960000000001</v>
      </c>
      <c r="AE140" s="3">
        <v>0.47674820000000001</v>
      </c>
      <c r="AF140" s="3">
        <v>0.4838654</v>
      </c>
      <c r="AG140" s="3">
        <v>0.49082510000000001</v>
      </c>
      <c r="AH140" s="3">
        <v>0.49761129999999998</v>
      </c>
      <c r="AI140" s="3">
        <v>0.5042082</v>
      </c>
      <c r="AJ140" s="3">
        <v>0.51059960000000004</v>
      </c>
      <c r="AK140" s="3">
        <v>0.5167697</v>
      </c>
      <c r="AL140" s="3">
        <v>0.52270229999999995</v>
      </c>
      <c r="AM140" s="3">
        <v>0.52838160000000001</v>
      </c>
      <c r="AN140" s="3">
        <v>0.53379149999999997</v>
      </c>
      <c r="AO140" s="3">
        <v>0.5389235</v>
      </c>
      <c r="AP140" s="3">
        <v>0.54380170000000005</v>
      </c>
      <c r="AQ140" s="3">
        <v>0.54845960000000005</v>
      </c>
      <c r="AR140" s="3">
        <v>0.55293040000000004</v>
      </c>
      <c r="AS140" s="3">
        <v>0.55724739999999995</v>
      </c>
      <c r="AT140" s="3">
        <v>0.5614439</v>
      </c>
      <c r="AU140" s="3">
        <v>0.56555319999999998</v>
      </c>
      <c r="AV140" s="3">
        <v>0.56960869999999997</v>
      </c>
      <c r="AW140" s="3">
        <v>0.57364349999999997</v>
      </c>
      <c r="AX140" s="3">
        <v>0.57769110000000001</v>
      </c>
      <c r="AY140" s="3">
        <v>0.58178470000000004</v>
      </c>
      <c r="AZ140" s="3">
        <v>0.58595770000000003</v>
      </c>
      <c r="BA140" s="3">
        <v>0.59023740000000002</v>
      </c>
      <c r="BB140" s="3">
        <v>0.59462599999999999</v>
      </c>
      <c r="BC140" s="3">
        <v>0.59911820000000005</v>
      </c>
      <c r="BD140" s="3">
        <v>0.6037091</v>
      </c>
      <c r="BE140" s="3">
        <v>0.60839350000000003</v>
      </c>
      <c r="BF140" s="3">
        <v>0.61316630000000005</v>
      </c>
      <c r="BG140" s="3">
        <v>0.61802239999999997</v>
      </c>
      <c r="BH140" s="3">
        <v>0.62295679999999998</v>
      </c>
      <c r="BI140" s="3">
        <v>0.62796439999999998</v>
      </c>
      <c r="BJ140" s="3">
        <v>0.63304000000000005</v>
      </c>
      <c r="BK140" s="3">
        <v>0.63817860000000004</v>
      </c>
      <c r="BL140" s="3">
        <v>0.64337500000000003</v>
      </c>
      <c r="BM140" s="3" t="e">
        <v>#N/A</v>
      </c>
      <c r="BN140" s="3" t="e">
        <v>#N/A</v>
      </c>
    </row>
    <row r="141" spans="1:66" x14ac:dyDescent="0.35">
      <c r="A141" s="5">
        <f t="shared" si="1"/>
        <v>43651</v>
      </c>
      <c r="B141" t="s">
        <v>218</v>
      </c>
      <c r="C141" s="2">
        <v>0.75</v>
      </c>
      <c r="D141" s="2">
        <v>0.7077</v>
      </c>
      <c r="E141" s="3">
        <v>0.70655920000000005</v>
      </c>
      <c r="F141" s="3">
        <v>0.6888204</v>
      </c>
      <c r="G141" s="3">
        <v>0.66485810000000001</v>
      </c>
      <c r="H141" s="3">
        <v>0.63667300000000004</v>
      </c>
      <c r="I141" s="3">
        <v>0.6092012</v>
      </c>
      <c r="J141" s="3">
        <v>0.58592520000000003</v>
      </c>
      <c r="K141" s="3">
        <v>0.56715990000000005</v>
      </c>
      <c r="L141" s="3">
        <v>0.55178879999999997</v>
      </c>
      <c r="M141" s="3">
        <v>0.53897349999999999</v>
      </c>
      <c r="N141" s="3">
        <v>0.52838859999999999</v>
      </c>
      <c r="O141" s="3">
        <v>0.51994019999999996</v>
      </c>
      <c r="P141" s="3">
        <v>0.51362240000000003</v>
      </c>
      <c r="Q141" s="3">
        <v>0.50955119999999998</v>
      </c>
      <c r="R141" s="3">
        <v>0.50753550000000003</v>
      </c>
      <c r="S141" s="3">
        <v>0.50727330000000004</v>
      </c>
      <c r="T141" s="3">
        <v>0.50846270000000005</v>
      </c>
      <c r="U141" s="3">
        <v>0.51080170000000003</v>
      </c>
      <c r="V141" s="3">
        <v>0.51398840000000001</v>
      </c>
      <c r="W141" s="3">
        <v>0.51774620000000005</v>
      </c>
      <c r="X141" s="3">
        <v>0.52192870000000002</v>
      </c>
      <c r="Y141" s="3">
        <v>0.52643090000000003</v>
      </c>
      <c r="Z141" s="3">
        <v>0.53114779999999995</v>
      </c>
      <c r="AA141" s="3">
        <v>0.53597459999999997</v>
      </c>
      <c r="AB141" s="3">
        <v>0.54080620000000001</v>
      </c>
      <c r="AC141" s="3">
        <v>0.54555520000000002</v>
      </c>
      <c r="AD141" s="3">
        <v>0.55021070000000005</v>
      </c>
      <c r="AE141" s="3">
        <v>0.55478320000000003</v>
      </c>
      <c r="AF141" s="3">
        <v>0.55928299999999997</v>
      </c>
      <c r="AG141" s="3">
        <v>0.56372049999999996</v>
      </c>
      <c r="AH141" s="3">
        <v>0.568106</v>
      </c>
      <c r="AI141" s="3">
        <v>0.57245009999999996</v>
      </c>
      <c r="AJ141" s="3">
        <v>0.57676300000000003</v>
      </c>
      <c r="AK141" s="3">
        <v>0.58105510000000005</v>
      </c>
      <c r="AL141" s="3">
        <v>0.58533690000000005</v>
      </c>
      <c r="AM141" s="3">
        <v>0.58961870000000005</v>
      </c>
      <c r="AN141" s="3">
        <v>0.59391079999999996</v>
      </c>
      <c r="AO141" s="3">
        <v>0.59822260000000005</v>
      </c>
      <c r="AP141" s="3">
        <v>0.60255780000000003</v>
      </c>
      <c r="AQ141" s="3">
        <v>0.60691870000000003</v>
      </c>
      <c r="AR141" s="3">
        <v>0.61130779999999996</v>
      </c>
      <c r="AS141" s="3">
        <v>0.61572749999999998</v>
      </c>
      <c r="AT141" s="3">
        <v>0.62018010000000001</v>
      </c>
      <c r="AU141" s="3">
        <v>0.62466790000000005</v>
      </c>
      <c r="AV141" s="3">
        <v>0.62919340000000001</v>
      </c>
      <c r="AW141" s="3">
        <v>0.63375899999999996</v>
      </c>
      <c r="AX141" s="3">
        <v>0.63836689999999996</v>
      </c>
      <c r="AY141" s="3">
        <v>0.64301969999999997</v>
      </c>
      <c r="AZ141" s="3">
        <v>0.64771959999999995</v>
      </c>
      <c r="BA141" s="3">
        <v>0.65246820000000005</v>
      </c>
      <c r="BB141" s="3">
        <v>0.65726419999999997</v>
      </c>
      <c r="BC141" s="3">
        <v>0.6621051</v>
      </c>
      <c r="BD141" s="3">
        <v>0.66698849999999998</v>
      </c>
      <c r="BE141" s="3">
        <v>0.67191199999999995</v>
      </c>
      <c r="BF141" s="3">
        <v>0.67687319999999995</v>
      </c>
      <c r="BG141" s="3">
        <v>0.68186979999999997</v>
      </c>
      <c r="BH141" s="3">
        <v>0.68689929999999999</v>
      </c>
      <c r="BI141" s="3">
        <v>0.69195930000000005</v>
      </c>
      <c r="BJ141" s="3">
        <v>0.69704759999999999</v>
      </c>
      <c r="BK141" s="3">
        <v>0.70216160000000005</v>
      </c>
      <c r="BL141" s="3">
        <v>0.70729900000000001</v>
      </c>
      <c r="BM141" s="3" t="e">
        <v>#N/A</v>
      </c>
      <c r="BN141" s="3" t="e">
        <v>#N/A</v>
      </c>
    </row>
    <row r="142" spans="1:66" x14ac:dyDescent="0.35">
      <c r="A142" s="5">
        <f t="shared" ref="A142:A205" si="2">+A137+7</f>
        <v>43654</v>
      </c>
      <c r="B142" t="s">
        <v>219</v>
      </c>
      <c r="C142" s="2">
        <v>0.75</v>
      </c>
      <c r="D142" s="2">
        <v>0.70879999999999999</v>
      </c>
      <c r="E142" s="3">
        <v>0.70113959999999997</v>
      </c>
      <c r="F142" s="3">
        <v>0.68593740000000003</v>
      </c>
      <c r="G142" s="3">
        <v>0.66413630000000001</v>
      </c>
      <c r="H142" s="3">
        <v>0.63556889999999999</v>
      </c>
      <c r="I142" s="3">
        <v>0.60519160000000005</v>
      </c>
      <c r="J142" s="3">
        <v>0.57744209999999996</v>
      </c>
      <c r="K142" s="3">
        <v>0.55366470000000001</v>
      </c>
      <c r="L142" s="3">
        <v>0.53343790000000002</v>
      </c>
      <c r="M142" s="3">
        <v>0.51658990000000005</v>
      </c>
      <c r="N142" s="3">
        <v>0.50298019999999999</v>
      </c>
      <c r="O142" s="3">
        <v>0.49257899999999999</v>
      </c>
      <c r="P142" s="3">
        <v>0.48527520000000002</v>
      </c>
      <c r="Q142" s="3">
        <v>0.48099530000000001</v>
      </c>
      <c r="R142" s="3">
        <v>0.4793307</v>
      </c>
      <c r="S142" s="3">
        <v>0.47976649999999998</v>
      </c>
      <c r="T142" s="3">
        <v>0.48178779999999999</v>
      </c>
      <c r="U142" s="3">
        <v>0.48487950000000002</v>
      </c>
      <c r="V142" s="3">
        <v>0.48852689999999999</v>
      </c>
      <c r="W142" s="3">
        <v>0.49228110000000003</v>
      </c>
      <c r="X142" s="3">
        <v>0.49603190000000003</v>
      </c>
      <c r="Y142" s="3">
        <v>0.49977749999999999</v>
      </c>
      <c r="Z142" s="3">
        <v>0.50351610000000002</v>
      </c>
      <c r="AA142" s="3">
        <v>0.50724559999999996</v>
      </c>
      <c r="AB142" s="3">
        <v>0.51096419999999998</v>
      </c>
      <c r="AC142" s="3">
        <v>0.51467240000000003</v>
      </c>
      <c r="AD142" s="3">
        <v>0.51838019999999996</v>
      </c>
      <c r="AE142" s="3">
        <v>0.52210040000000002</v>
      </c>
      <c r="AF142" s="3">
        <v>0.52584589999999998</v>
      </c>
      <c r="AG142" s="3">
        <v>0.52962960000000003</v>
      </c>
      <c r="AH142" s="3">
        <v>0.5334643</v>
      </c>
      <c r="AI142" s="3">
        <v>0.53736280000000003</v>
      </c>
      <c r="AJ142" s="3">
        <v>0.54133799999999999</v>
      </c>
      <c r="AK142" s="3">
        <v>0.54540270000000002</v>
      </c>
      <c r="AL142" s="3">
        <v>0.5495698</v>
      </c>
      <c r="AM142" s="3">
        <v>0.55385209999999996</v>
      </c>
      <c r="AN142" s="3">
        <v>0.55826249999999999</v>
      </c>
      <c r="AO142" s="3">
        <v>0.56281029999999999</v>
      </c>
      <c r="AP142" s="3">
        <v>0.56748980000000004</v>
      </c>
      <c r="AQ142" s="3">
        <v>0.57229129999999995</v>
      </c>
      <c r="AR142" s="3">
        <v>0.57720470000000001</v>
      </c>
      <c r="AS142" s="3">
        <v>0.58222030000000002</v>
      </c>
      <c r="AT142" s="3">
        <v>0.58732819999999997</v>
      </c>
      <c r="AU142" s="3">
        <v>0.5925184</v>
      </c>
      <c r="AV142" s="3">
        <v>0.59778109999999995</v>
      </c>
      <c r="AW142" s="3">
        <v>0.60310649999999999</v>
      </c>
      <c r="AX142" s="3">
        <v>0.60848460000000004</v>
      </c>
      <c r="AY142" s="3">
        <v>0.61390560000000005</v>
      </c>
      <c r="AZ142" s="3">
        <v>0.61935949999999995</v>
      </c>
      <c r="BA142" s="3">
        <v>0.62483759999999999</v>
      </c>
      <c r="BB142" s="3">
        <v>0.63033620000000001</v>
      </c>
      <c r="BC142" s="3">
        <v>0.63585360000000002</v>
      </c>
      <c r="BD142" s="3">
        <v>0.64138799999999996</v>
      </c>
      <c r="BE142" s="3">
        <v>0.6469376</v>
      </c>
      <c r="BF142" s="3">
        <v>0.65250059999999999</v>
      </c>
      <c r="BG142" s="3">
        <v>0.65807530000000003</v>
      </c>
      <c r="BH142" s="3">
        <v>0.66365989999999997</v>
      </c>
      <c r="BI142" s="3">
        <v>0.66925259999999998</v>
      </c>
      <c r="BJ142" s="3">
        <v>0.6748516</v>
      </c>
      <c r="BK142" s="3">
        <v>0.68045520000000004</v>
      </c>
      <c r="BL142" s="3">
        <v>0.68606149999999999</v>
      </c>
      <c r="BM142" s="3" t="e">
        <v>#N/A</v>
      </c>
      <c r="BN142" s="3" t="e">
        <v>#N/A</v>
      </c>
    </row>
    <row r="143" spans="1:66" x14ac:dyDescent="0.35">
      <c r="A143" s="5">
        <f t="shared" si="2"/>
        <v>43655</v>
      </c>
      <c r="B143" t="s">
        <v>220</v>
      </c>
      <c r="C143" s="2">
        <v>0.75</v>
      </c>
      <c r="D143" s="2">
        <v>0.70889999999999997</v>
      </c>
      <c r="E143" s="3">
        <v>0.70342859999999996</v>
      </c>
      <c r="F143" s="3">
        <v>0.68934600000000001</v>
      </c>
      <c r="G143" s="3">
        <v>0.66916200000000003</v>
      </c>
      <c r="H143" s="3">
        <v>0.64322040000000003</v>
      </c>
      <c r="I143" s="3">
        <v>0.61542330000000001</v>
      </c>
      <c r="J143" s="3">
        <v>0.58947139999999998</v>
      </c>
      <c r="K143" s="3">
        <v>0.56698349999999997</v>
      </c>
      <c r="L143" s="3">
        <v>0.54793020000000003</v>
      </c>
      <c r="M143" s="3">
        <v>0.53172509999999995</v>
      </c>
      <c r="N143" s="3">
        <v>0.51799289999999998</v>
      </c>
      <c r="O143" s="3">
        <v>0.50685539999999996</v>
      </c>
      <c r="P143" s="3">
        <v>0.49852879999999999</v>
      </c>
      <c r="Q143" s="3">
        <v>0.49242150000000001</v>
      </c>
      <c r="R143" s="3">
        <v>0.48814999999999997</v>
      </c>
      <c r="S143" s="3">
        <v>0.48546610000000001</v>
      </c>
      <c r="T143" s="3">
        <v>0.48412169999999999</v>
      </c>
      <c r="U143" s="3">
        <v>0.48386849999999998</v>
      </c>
      <c r="V143" s="3">
        <v>0.48445830000000001</v>
      </c>
      <c r="W143" s="3">
        <v>0.4856646</v>
      </c>
      <c r="X143" s="3">
        <v>0.487396</v>
      </c>
      <c r="Y143" s="3">
        <v>0.48961349999999998</v>
      </c>
      <c r="Z143" s="3">
        <v>0.49227799999999999</v>
      </c>
      <c r="AA143" s="3">
        <v>0.49535079999999998</v>
      </c>
      <c r="AB143" s="3">
        <v>0.49879269999999998</v>
      </c>
      <c r="AC143" s="3">
        <v>0.50256679999999998</v>
      </c>
      <c r="AD143" s="3">
        <v>0.50664370000000003</v>
      </c>
      <c r="AE143" s="3">
        <v>0.51099649999999996</v>
      </c>
      <c r="AF143" s="3">
        <v>0.51559809999999995</v>
      </c>
      <c r="AG143" s="3">
        <v>0.52042149999999998</v>
      </c>
      <c r="AH143" s="3">
        <v>0.52543969999999995</v>
      </c>
      <c r="AI143" s="3">
        <v>0.53062569999999998</v>
      </c>
      <c r="AJ143" s="3">
        <v>0.5359524</v>
      </c>
      <c r="AK143" s="3">
        <v>0.54139280000000001</v>
      </c>
      <c r="AL143" s="3">
        <v>0.54691990000000001</v>
      </c>
      <c r="AM143" s="3">
        <v>0.55250670000000002</v>
      </c>
      <c r="AN143" s="3">
        <v>0.55812609999999996</v>
      </c>
      <c r="AO143" s="3">
        <v>0.56375430000000004</v>
      </c>
      <c r="AP143" s="3">
        <v>0.56938420000000001</v>
      </c>
      <c r="AQ143" s="3">
        <v>0.57501429999999998</v>
      </c>
      <c r="AR143" s="3">
        <v>0.58064340000000003</v>
      </c>
      <c r="AS143" s="3">
        <v>0.58626999999999996</v>
      </c>
      <c r="AT143" s="3">
        <v>0.5918928</v>
      </c>
      <c r="AU143" s="3">
        <v>0.59751030000000005</v>
      </c>
      <c r="AV143" s="3">
        <v>0.60312109999999997</v>
      </c>
      <c r="AW143" s="3">
        <v>0.60872389999999998</v>
      </c>
      <c r="AX143" s="3">
        <v>0.61431720000000001</v>
      </c>
      <c r="AY143" s="3">
        <v>0.61989970000000005</v>
      </c>
      <c r="AZ143" s="3">
        <v>0.62546999999999997</v>
      </c>
      <c r="BA143" s="3">
        <v>0.63102689999999995</v>
      </c>
      <c r="BB143" s="3">
        <v>0.6365712</v>
      </c>
      <c r="BC143" s="3">
        <v>0.64210389999999995</v>
      </c>
      <c r="BD143" s="3">
        <v>0.64762609999999998</v>
      </c>
      <c r="BE143" s="3">
        <v>0.65313889999999997</v>
      </c>
      <c r="BF143" s="3">
        <v>0.65864330000000004</v>
      </c>
      <c r="BG143" s="3">
        <v>0.66414050000000002</v>
      </c>
      <c r="BH143" s="3">
        <v>0.66963150000000005</v>
      </c>
      <c r="BI143" s="3">
        <v>0.67511750000000004</v>
      </c>
      <c r="BJ143" s="3">
        <v>0.68059950000000002</v>
      </c>
      <c r="BK143" s="3">
        <v>0.68607870000000004</v>
      </c>
      <c r="BL143" s="3">
        <v>0.69155599999999995</v>
      </c>
      <c r="BM143" s="3" t="e">
        <v>#N/A</v>
      </c>
      <c r="BN143" s="3" t="e">
        <v>#N/A</v>
      </c>
    </row>
    <row r="144" spans="1:66" x14ac:dyDescent="0.35">
      <c r="A144" s="5">
        <f t="shared" si="2"/>
        <v>43656</v>
      </c>
      <c r="B144" t="s">
        <v>221</v>
      </c>
      <c r="C144" s="2">
        <v>0.75</v>
      </c>
      <c r="D144" s="2">
        <v>0.70899999999999996</v>
      </c>
      <c r="E144" s="3">
        <v>0.70441050000000005</v>
      </c>
      <c r="F144" s="3">
        <v>0.69256269999999998</v>
      </c>
      <c r="G144" s="3">
        <v>0.67373170000000004</v>
      </c>
      <c r="H144" s="3">
        <v>0.64780519999999997</v>
      </c>
      <c r="I144" s="3">
        <v>0.61912029999999996</v>
      </c>
      <c r="J144" s="3">
        <v>0.59209970000000001</v>
      </c>
      <c r="K144" s="3">
        <v>0.56901029999999997</v>
      </c>
      <c r="L144" s="3">
        <v>0.55049130000000002</v>
      </c>
      <c r="M144" s="3">
        <v>0.53630239999999996</v>
      </c>
      <c r="N144" s="3">
        <v>0.5261055</v>
      </c>
      <c r="O144" s="3">
        <v>0.51925829999999995</v>
      </c>
      <c r="P144" s="3">
        <v>0.51528879999999999</v>
      </c>
      <c r="Q144" s="3">
        <v>0.51342849999999995</v>
      </c>
      <c r="R144" s="3">
        <v>0.51322869999999998</v>
      </c>
      <c r="S144" s="3">
        <v>0.5143721</v>
      </c>
      <c r="T144" s="3">
        <v>0.51654120000000003</v>
      </c>
      <c r="U144" s="3">
        <v>0.51941870000000001</v>
      </c>
      <c r="V144" s="3">
        <v>0.52268709999999996</v>
      </c>
      <c r="W144" s="3">
        <v>0.52606719999999996</v>
      </c>
      <c r="X144" s="3">
        <v>0.52949539999999995</v>
      </c>
      <c r="Y144" s="3">
        <v>0.53298409999999996</v>
      </c>
      <c r="Z144" s="3">
        <v>0.53654579999999996</v>
      </c>
      <c r="AA144" s="3">
        <v>0.54019289999999998</v>
      </c>
      <c r="AB144" s="3">
        <v>0.54393780000000003</v>
      </c>
      <c r="AC144" s="3">
        <v>0.54779100000000003</v>
      </c>
      <c r="AD144" s="3">
        <v>0.5517514</v>
      </c>
      <c r="AE144" s="3">
        <v>0.55581429999999998</v>
      </c>
      <c r="AF144" s="3">
        <v>0.55997470000000005</v>
      </c>
      <c r="AG144" s="3">
        <v>0.56422799999999995</v>
      </c>
      <c r="AH144" s="3">
        <v>0.56856930000000006</v>
      </c>
      <c r="AI144" s="3">
        <v>0.5729938</v>
      </c>
      <c r="AJ144" s="3">
        <v>0.57749669999999997</v>
      </c>
      <c r="AK144" s="3">
        <v>0.58207319999999996</v>
      </c>
      <c r="AL144" s="3">
        <v>0.58671850000000003</v>
      </c>
      <c r="AM144" s="3">
        <v>0.59142790000000001</v>
      </c>
      <c r="AN144" s="3">
        <v>0.59619639999999996</v>
      </c>
      <c r="AO144" s="3">
        <v>0.60101959999999999</v>
      </c>
      <c r="AP144" s="3">
        <v>0.60589420000000005</v>
      </c>
      <c r="AQ144" s="3">
        <v>0.6108171</v>
      </c>
      <c r="AR144" s="3">
        <v>0.61578560000000004</v>
      </c>
      <c r="AS144" s="3">
        <v>0.62079669999999998</v>
      </c>
      <c r="AT144" s="3">
        <v>0.62584740000000005</v>
      </c>
      <c r="AU144" s="3">
        <v>0.63093489999999997</v>
      </c>
      <c r="AV144" s="3">
        <v>0.63605619999999996</v>
      </c>
      <c r="AW144" s="3">
        <v>0.64120840000000001</v>
      </c>
      <c r="AX144" s="3">
        <v>0.64638850000000003</v>
      </c>
      <c r="AY144" s="3">
        <v>0.65159370000000005</v>
      </c>
      <c r="AZ144" s="3">
        <v>0.65682099999999999</v>
      </c>
      <c r="BA144" s="3">
        <v>0.66206799999999999</v>
      </c>
      <c r="BB144" s="3">
        <v>0.66733359999999997</v>
      </c>
      <c r="BC144" s="3">
        <v>0.67261749999999998</v>
      </c>
      <c r="BD144" s="3">
        <v>0.67791939999999995</v>
      </c>
      <c r="BE144" s="3">
        <v>0.68323869999999998</v>
      </c>
      <c r="BF144" s="3">
        <v>0.68857520000000005</v>
      </c>
      <c r="BG144" s="3">
        <v>0.6939284</v>
      </c>
      <c r="BH144" s="3">
        <v>0.69929779999999997</v>
      </c>
      <c r="BI144" s="3">
        <v>0.70468319999999995</v>
      </c>
      <c r="BJ144" s="3">
        <v>0.71008400000000005</v>
      </c>
      <c r="BK144" s="3">
        <v>0.71550000000000002</v>
      </c>
      <c r="BL144" s="3">
        <v>0.72093059999999998</v>
      </c>
      <c r="BM144" s="3" t="e">
        <v>#N/A</v>
      </c>
      <c r="BN144" s="3" t="e">
        <v>#N/A</v>
      </c>
    </row>
    <row r="145" spans="1:66" x14ac:dyDescent="0.35">
      <c r="A145" s="5">
        <f t="shared" si="2"/>
        <v>43657</v>
      </c>
      <c r="B145" t="s">
        <v>222</v>
      </c>
      <c r="C145" s="2">
        <v>0.75</v>
      </c>
      <c r="D145" s="2">
        <v>0.70899999999999996</v>
      </c>
      <c r="E145" s="3">
        <v>0.70434779999999997</v>
      </c>
      <c r="F145" s="3">
        <v>0.69029810000000003</v>
      </c>
      <c r="G145" s="3">
        <v>0.66996869999999997</v>
      </c>
      <c r="H145" s="3">
        <v>0.64494530000000005</v>
      </c>
      <c r="I145" s="3">
        <v>0.62019610000000003</v>
      </c>
      <c r="J145" s="3">
        <v>0.59957130000000003</v>
      </c>
      <c r="K145" s="3">
        <v>0.58364249999999995</v>
      </c>
      <c r="L145" s="3">
        <v>0.57146439999999998</v>
      </c>
      <c r="M145" s="3">
        <v>0.56203720000000001</v>
      </c>
      <c r="N145" s="3">
        <v>0.5549191</v>
      </c>
      <c r="O145" s="3">
        <v>0.54987419999999998</v>
      </c>
      <c r="P145" s="3">
        <v>0.54685019999999995</v>
      </c>
      <c r="Q145" s="3">
        <v>0.54597189999999995</v>
      </c>
      <c r="R145" s="3">
        <v>0.54704200000000003</v>
      </c>
      <c r="S145" s="3">
        <v>0.54973470000000002</v>
      </c>
      <c r="T145" s="3">
        <v>0.55372390000000005</v>
      </c>
      <c r="U145" s="3">
        <v>0.55868370000000001</v>
      </c>
      <c r="V145" s="3">
        <v>0.56428809999999996</v>
      </c>
      <c r="W145" s="3">
        <v>0.57024209999999997</v>
      </c>
      <c r="X145" s="3">
        <v>0.57640970000000002</v>
      </c>
      <c r="Y145" s="3">
        <v>0.58270569999999999</v>
      </c>
      <c r="Z145" s="3">
        <v>0.58904509999999999</v>
      </c>
      <c r="AA145" s="3">
        <v>0.5953427</v>
      </c>
      <c r="AB145" s="3">
        <v>0.60151339999999998</v>
      </c>
      <c r="AC145" s="3">
        <v>0.60748650000000004</v>
      </c>
      <c r="AD145" s="3">
        <v>0.61326270000000005</v>
      </c>
      <c r="AE145" s="3">
        <v>0.61886410000000003</v>
      </c>
      <c r="AF145" s="3">
        <v>0.62431309999999995</v>
      </c>
      <c r="AG145" s="3">
        <v>0.62963179999999996</v>
      </c>
      <c r="AH145" s="3">
        <v>0.63484240000000003</v>
      </c>
      <c r="AI145" s="3">
        <v>0.63996710000000001</v>
      </c>
      <c r="AJ145" s="3">
        <v>0.64502820000000005</v>
      </c>
      <c r="AK145" s="3">
        <v>0.65004790000000001</v>
      </c>
      <c r="AL145" s="3">
        <v>0.65504839999999998</v>
      </c>
      <c r="AM145" s="3">
        <v>0.66005190000000002</v>
      </c>
      <c r="AN145" s="3">
        <v>0.66508069999999997</v>
      </c>
      <c r="AO145" s="3">
        <v>0.67015329999999995</v>
      </c>
      <c r="AP145" s="3">
        <v>0.67527230000000005</v>
      </c>
      <c r="AQ145" s="3">
        <v>0.68043580000000004</v>
      </c>
      <c r="AR145" s="3">
        <v>0.68564199999999997</v>
      </c>
      <c r="AS145" s="3">
        <v>0.69088910000000003</v>
      </c>
      <c r="AT145" s="3">
        <v>0.69617519999999999</v>
      </c>
      <c r="AU145" s="3">
        <v>0.70149850000000002</v>
      </c>
      <c r="AV145" s="3">
        <v>0.70685699999999996</v>
      </c>
      <c r="AW145" s="3">
        <v>0.71224900000000002</v>
      </c>
      <c r="AX145" s="3">
        <v>0.71767259999999999</v>
      </c>
      <c r="AY145" s="3">
        <v>0.72312600000000005</v>
      </c>
      <c r="AZ145" s="3">
        <v>0.72860729999999996</v>
      </c>
      <c r="BA145" s="3">
        <v>0.7341145</v>
      </c>
      <c r="BB145" s="3">
        <v>0.73964510000000006</v>
      </c>
      <c r="BC145" s="3">
        <v>0.74519650000000004</v>
      </c>
      <c r="BD145" s="3">
        <v>0.75076589999999999</v>
      </c>
      <c r="BE145" s="3">
        <v>0.75635079999999999</v>
      </c>
      <c r="BF145" s="3">
        <v>0.76194830000000002</v>
      </c>
      <c r="BG145" s="3">
        <v>0.76755589999999996</v>
      </c>
      <c r="BH145" s="3">
        <v>0.77317080000000005</v>
      </c>
      <c r="BI145" s="3">
        <v>0.77879039999999999</v>
      </c>
      <c r="BJ145" s="3">
        <v>0.78441209999999995</v>
      </c>
      <c r="BK145" s="3">
        <v>0.79003299999999999</v>
      </c>
      <c r="BL145" s="3">
        <v>0.79565070000000004</v>
      </c>
      <c r="BM145" s="3" t="e">
        <v>#N/A</v>
      </c>
      <c r="BN145" s="3" t="e">
        <v>#N/A</v>
      </c>
    </row>
    <row r="146" spans="1:66" x14ac:dyDescent="0.35">
      <c r="A146" s="5">
        <f t="shared" si="2"/>
        <v>43658</v>
      </c>
      <c r="B146" t="s">
        <v>223</v>
      </c>
      <c r="C146" s="2">
        <v>0.75</v>
      </c>
      <c r="D146" s="2">
        <v>0.71</v>
      </c>
      <c r="E146" s="3">
        <v>0.70309440000000001</v>
      </c>
      <c r="F146" s="3">
        <v>0.69029390000000002</v>
      </c>
      <c r="G146" s="3">
        <v>0.66980530000000005</v>
      </c>
      <c r="H146" s="3">
        <v>0.64337549999999999</v>
      </c>
      <c r="I146" s="3">
        <v>0.61676699999999995</v>
      </c>
      <c r="J146" s="3">
        <v>0.59442969999999995</v>
      </c>
      <c r="K146" s="3">
        <v>0.57732320000000004</v>
      </c>
      <c r="L146" s="3">
        <v>0.56445909999999999</v>
      </c>
      <c r="M146" s="3">
        <v>0.55467759999999999</v>
      </c>
      <c r="N146" s="3">
        <v>0.54731600000000002</v>
      </c>
      <c r="O146" s="3">
        <v>0.54204540000000001</v>
      </c>
      <c r="P146" s="3">
        <v>0.53881369999999995</v>
      </c>
      <c r="Q146" s="3">
        <v>0.53784549999999998</v>
      </c>
      <c r="R146" s="3">
        <v>0.53895740000000003</v>
      </c>
      <c r="S146" s="3">
        <v>0.54181210000000002</v>
      </c>
      <c r="T146" s="3">
        <v>0.54607220000000001</v>
      </c>
      <c r="U146" s="3">
        <v>0.55140009999999995</v>
      </c>
      <c r="V146" s="3">
        <v>0.55745849999999997</v>
      </c>
      <c r="W146" s="3">
        <v>0.56393899999999997</v>
      </c>
      <c r="X146" s="3">
        <v>0.57068249999999998</v>
      </c>
      <c r="Y146" s="3">
        <v>0.57757749999999997</v>
      </c>
      <c r="Z146" s="3">
        <v>0.58451229999999998</v>
      </c>
      <c r="AA146" s="3">
        <v>0.5913754</v>
      </c>
      <c r="AB146" s="3">
        <v>0.59805540000000001</v>
      </c>
      <c r="AC146" s="3">
        <v>0.60446180000000005</v>
      </c>
      <c r="AD146" s="3">
        <v>0.61059699999999995</v>
      </c>
      <c r="AE146" s="3">
        <v>0.61648939999999997</v>
      </c>
      <c r="AF146" s="3">
        <v>0.62216709999999997</v>
      </c>
      <c r="AG146" s="3">
        <v>0.62765850000000001</v>
      </c>
      <c r="AH146" s="3">
        <v>0.63299159999999999</v>
      </c>
      <c r="AI146" s="3">
        <v>0.6381947</v>
      </c>
      <c r="AJ146" s="3">
        <v>0.64329599999999998</v>
      </c>
      <c r="AK146" s="3">
        <v>0.64832380000000001</v>
      </c>
      <c r="AL146" s="3">
        <v>0.65330619999999995</v>
      </c>
      <c r="AM146" s="3">
        <v>0.65827150000000001</v>
      </c>
      <c r="AN146" s="3">
        <v>0.6632479</v>
      </c>
      <c r="AO146" s="3">
        <v>0.6682593</v>
      </c>
      <c r="AP146" s="3">
        <v>0.67331050000000003</v>
      </c>
      <c r="AQ146" s="3">
        <v>0.67840109999999998</v>
      </c>
      <c r="AR146" s="3">
        <v>0.68353050000000004</v>
      </c>
      <c r="AS146" s="3">
        <v>0.68869849999999999</v>
      </c>
      <c r="AT146" s="3">
        <v>0.69390439999999998</v>
      </c>
      <c r="AU146" s="3">
        <v>0.69914790000000004</v>
      </c>
      <c r="AV146" s="3">
        <v>0.70442859999999996</v>
      </c>
      <c r="AW146" s="3">
        <v>0.70974590000000004</v>
      </c>
      <c r="AX146" s="3">
        <v>0.71509940000000005</v>
      </c>
      <c r="AY146" s="3">
        <v>0.72048860000000003</v>
      </c>
      <c r="AZ146" s="3">
        <v>0.72591320000000004</v>
      </c>
      <c r="BA146" s="3">
        <v>0.73137229999999998</v>
      </c>
      <c r="BB146" s="3">
        <v>0.7368633</v>
      </c>
      <c r="BC146" s="3">
        <v>0.74238320000000002</v>
      </c>
      <c r="BD146" s="3">
        <v>0.74792899999999995</v>
      </c>
      <c r="BE146" s="3">
        <v>0.75349759999999999</v>
      </c>
      <c r="BF146" s="3">
        <v>0.75908600000000004</v>
      </c>
      <c r="BG146" s="3">
        <v>0.76469120000000002</v>
      </c>
      <c r="BH146" s="3">
        <v>0.7703101</v>
      </c>
      <c r="BI146" s="3">
        <v>0.77593970000000001</v>
      </c>
      <c r="BJ146" s="3">
        <v>0.78157710000000002</v>
      </c>
      <c r="BK146" s="3">
        <v>0.78721909999999995</v>
      </c>
      <c r="BL146" s="3">
        <v>0.79286270000000003</v>
      </c>
      <c r="BM146" s="3" t="e">
        <v>#N/A</v>
      </c>
      <c r="BN146" s="3" t="e">
        <v>#N/A</v>
      </c>
    </row>
    <row r="147" spans="1:66" x14ac:dyDescent="0.35">
      <c r="A147" s="5">
        <f t="shared" si="2"/>
        <v>43661</v>
      </c>
      <c r="B147" t="s">
        <v>224</v>
      </c>
      <c r="C147" s="2">
        <v>0.75</v>
      </c>
      <c r="D147" s="2">
        <v>0.70950000000000002</v>
      </c>
      <c r="E147" s="3">
        <v>0.70457630000000004</v>
      </c>
      <c r="F147" s="3">
        <v>0.69057820000000003</v>
      </c>
      <c r="G147" s="3">
        <v>0.66809969999999996</v>
      </c>
      <c r="H147" s="3">
        <v>0.63959180000000004</v>
      </c>
      <c r="I147" s="3">
        <v>0.61082009999999998</v>
      </c>
      <c r="J147" s="3">
        <v>0.58584049999999999</v>
      </c>
      <c r="K147" s="3">
        <v>0.56605720000000004</v>
      </c>
      <c r="L147" s="3">
        <v>0.55105709999999997</v>
      </c>
      <c r="M147" s="3">
        <v>0.54008639999999997</v>
      </c>
      <c r="N147" s="3">
        <v>0.53234199999999998</v>
      </c>
      <c r="O147" s="3">
        <v>0.52736530000000004</v>
      </c>
      <c r="P147" s="3">
        <v>0.52478119999999995</v>
      </c>
      <c r="Q147" s="3">
        <v>0.52407559999999997</v>
      </c>
      <c r="R147" s="3">
        <v>0.52491620000000005</v>
      </c>
      <c r="S147" s="3">
        <v>0.52703650000000002</v>
      </c>
      <c r="T147" s="3">
        <v>0.53017020000000004</v>
      </c>
      <c r="U147" s="3">
        <v>0.5340509</v>
      </c>
      <c r="V147" s="3">
        <v>0.53841229999999995</v>
      </c>
      <c r="W147" s="3">
        <v>0.54301670000000002</v>
      </c>
      <c r="X147" s="3">
        <v>0.54777410000000004</v>
      </c>
      <c r="Y147" s="3">
        <v>0.55264170000000001</v>
      </c>
      <c r="Z147" s="3">
        <v>0.55757650000000003</v>
      </c>
      <c r="AA147" s="3">
        <v>0.56253560000000002</v>
      </c>
      <c r="AB147" s="3">
        <v>0.56747619999999999</v>
      </c>
      <c r="AC147" s="3">
        <v>0.57236330000000002</v>
      </c>
      <c r="AD147" s="3">
        <v>0.57719679999999995</v>
      </c>
      <c r="AE147" s="3">
        <v>0.58198629999999996</v>
      </c>
      <c r="AF147" s="3">
        <v>0.58674119999999996</v>
      </c>
      <c r="AG147" s="3">
        <v>0.59147119999999997</v>
      </c>
      <c r="AH147" s="3">
        <v>0.59618579999999999</v>
      </c>
      <c r="AI147" s="3">
        <v>0.6008945</v>
      </c>
      <c r="AJ147" s="3">
        <v>0.60560689999999995</v>
      </c>
      <c r="AK147" s="3">
        <v>0.6103326</v>
      </c>
      <c r="AL147" s="3">
        <v>0.61508099999999999</v>
      </c>
      <c r="AM147" s="3">
        <v>0.61986180000000002</v>
      </c>
      <c r="AN147" s="3">
        <v>0.62468449999999998</v>
      </c>
      <c r="AO147" s="3">
        <v>0.62955709999999998</v>
      </c>
      <c r="AP147" s="3">
        <v>0.63448150000000003</v>
      </c>
      <c r="AQ147" s="3">
        <v>0.63945779999999997</v>
      </c>
      <c r="AR147" s="3">
        <v>0.644486</v>
      </c>
      <c r="AS147" s="3">
        <v>0.64956610000000004</v>
      </c>
      <c r="AT147" s="3">
        <v>0.65469820000000001</v>
      </c>
      <c r="AU147" s="3">
        <v>0.65988239999999998</v>
      </c>
      <c r="AV147" s="3">
        <v>0.66511869999999995</v>
      </c>
      <c r="AW147" s="3">
        <v>0.67040710000000003</v>
      </c>
      <c r="AX147" s="3">
        <v>0.67574780000000001</v>
      </c>
      <c r="AY147" s="3">
        <v>0.68114070000000004</v>
      </c>
      <c r="AZ147" s="3">
        <v>0.68658600000000003</v>
      </c>
      <c r="BA147" s="3">
        <v>0.692083</v>
      </c>
      <c r="BB147" s="3">
        <v>0.69762840000000004</v>
      </c>
      <c r="BC147" s="3">
        <v>0.70321750000000005</v>
      </c>
      <c r="BD147" s="3">
        <v>0.70884579999999997</v>
      </c>
      <c r="BE147" s="3">
        <v>0.71450880000000005</v>
      </c>
      <c r="BF147" s="3">
        <v>0.72020189999999995</v>
      </c>
      <c r="BG147" s="3">
        <v>0.72592060000000003</v>
      </c>
      <c r="BH147" s="3">
        <v>0.73166039999999999</v>
      </c>
      <c r="BI147" s="3">
        <v>0.73741659999999998</v>
      </c>
      <c r="BJ147" s="3">
        <v>0.74318490000000004</v>
      </c>
      <c r="BK147" s="3">
        <v>0.74896059999999998</v>
      </c>
      <c r="BL147" s="3">
        <v>0.7547391</v>
      </c>
      <c r="BM147" s="3" t="e">
        <v>#N/A</v>
      </c>
      <c r="BN147" s="3" t="e">
        <v>#N/A</v>
      </c>
    </row>
    <row r="148" spans="1:66" x14ac:dyDescent="0.35">
      <c r="A148" s="5">
        <f t="shared" si="2"/>
        <v>43662</v>
      </c>
      <c r="B148" t="s">
        <v>225</v>
      </c>
      <c r="C148" s="2">
        <v>0.75</v>
      </c>
      <c r="D148" s="2">
        <v>0.7087</v>
      </c>
      <c r="E148" s="3">
        <v>0.70233210000000001</v>
      </c>
      <c r="F148" s="3">
        <v>0.68810950000000004</v>
      </c>
      <c r="G148" s="3">
        <v>0.66455030000000004</v>
      </c>
      <c r="H148" s="3">
        <v>0.63382170000000004</v>
      </c>
      <c r="I148" s="3">
        <v>0.60204760000000002</v>
      </c>
      <c r="J148" s="3">
        <v>0.57431840000000001</v>
      </c>
      <c r="K148" s="3">
        <v>0.55319379999999996</v>
      </c>
      <c r="L148" s="3">
        <v>0.53889819999999999</v>
      </c>
      <c r="M148" s="3">
        <v>0.5303949</v>
      </c>
      <c r="N148" s="3">
        <v>0.52623330000000001</v>
      </c>
      <c r="O148" s="3">
        <v>0.5251439</v>
      </c>
      <c r="P148" s="3">
        <v>0.52627460000000004</v>
      </c>
      <c r="Q148" s="3">
        <v>0.52870830000000002</v>
      </c>
      <c r="R148" s="3">
        <v>0.53206560000000003</v>
      </c>
      <c r="S148" s="3">
        <v>0.5361437</v>
      </c>
      <c r="T148" s="3">
        <v>0.54073990000000005</v>
      </c>
      <c r="U148" s="3">
        <v>0.54565169999999996</v>
      </c>
      <c r="V148" s="3">
        <v>0.55067630000000001</v>
      </c>
      <c r="W148" s="3">
        <v>0.55563510000000005</v>
      </c>
      <c r="X148" s="3">
        <v>0.56049950000000004</v>
      </c>
      <c r="Y148" s="3">
        <v>0.5652992</v>
      </c>
      <c r="Z148" s="3">
        <v>0.57006369999999995</v>
      </c>
      <c r="AA148" s="3">
        <v>0.57482279999999997</v>
      </c>
      <c r="AB148" s="3">
        <v>0.57960630000000002</v>
      </c>
      <c r="AC148" s="3">
        <v>0.58443929999999999</v>
      </c>
      <c r="AD148" s="3">
        <v>0.58932810000000002</v>
      </c>
      <c r="AE148" s="3">
        <v>0.5942733</v>
      </c>
      <c r="AF148" s="3">
        <v>0.59927580000000003</v>
      </c>
      <c r="AG148" s="3">
        <v>0.6043364</v>
      </c>
      <c r="AH148" s="3">
        <v>0.60945570000000004</v>
      </c>
      <c r="AI148" s="3">
        <v>0.61463449999999997</v>
      </c>
      <c r="AJ148" s="3">
        <v>0.61987369999999997</v>
      </c>
      <c r="AK148" s="3">
        <v>0.62517400000000001</v>
      </c>
      <c r="AL148" s="3">
        <v>0.63053610000000004</v>
      </c>
      <c r="AM148" s="3">
        <v>0.63596090000000005</v>
      </c>
      <c r="AN148" s="3">
        <v>0.64144909999999999</v>
      </c>
      <c r="AO148" s="3">
        <v>0.64700029999999997</v>
      </c>
      <c r="AP148" s="3">
        <v>0.65260819999999997</v>
      </c>
      <c r="AQ148" s="3">
        <v>0.65826430000000002</v>
      </c>
      <c r="AR148" s="3">
        <v>0.66396029999999995</v>
      </c>
      <c r="AS148" s="3">
        <v>0.66968760000000005</v>
      </c>
      <c r="AT148" s="3">
        <v>0.67543799999999998</v>
      </c>
      <c r="AU148" s="3">
        <v>0.681203</v>
      </c>
      <c r="AV148" s="3">
        <v>0.68697410000000003</v>
      </c>
      <c r="AW148" s="3">
        <v>0.692743</v>
      </c>
      <c r="AX148" s="3">
        <v>0.69850129999999999</v>
      </c>
      <c r="AY148" s="3">
        <v>0.70424039999999999</v>
      </c>
      <c r="AZ148" s="3">
        <v>0.70995209999999997</v>
      </c>
      <c r="BA148" s="3">
        <v>0.71562919999999997</v>
      </c>
      <c r="BB148" s="3">
        <v>0.721271</v>
      </c>
      <c r="BC148" s="3">
        <v>0.72687880000000005</v>
      </c>
      <c r="BD148" s="3">
        <v>0.73245389999999999</v>
      </c>
      <c r="BE148" s="3">
        <v>0.73799749999999997</v>
      </c>
      <c r="BF148" s="3">
        <v>0.74351089999999997</v>
      </c>
      <c r="BG148" s="3">
        <v>0.74899530000000003</v>
      </c>
      <c r="BH148" s="3">
        <v>0.75445209999999996</v>
      </c>
      <c r="BI148" s="3">
        <v>0.75988239999999996</v>
      </c>
      <c r="BJ148" s="3">
        <v>0.76528759999999996</v>
      </c>
      <c r="BK148" s="3">
        <v>0.77066889999999999</v>
      </c>
      <c r="BL148" s="3">
        <v>0.77602760000000004</v>
      </c>
      <c r="BM148" s="3" t="e">
        <v>#N/A</v>
      </c>
      <c r="BN148" s="3" t="e">
        <v>#N/A</v>
      </c>
    </row>
    <row r="149" spans="1:66" x14ac:dyDescent="0.35">
      <c r="A149" s="5">
        <f t="shared" si="2"/>
        <v>43663</v>
      </c>
      <c r="B149" t="s">
        <v>226</v>
      </c>
      <c r="C149" s="2">
        <v>0.75</v>
      </c>
      <c r="D149" s="2">
        <v>0.70930000000000004</v>
      </c>
      <c r="E149" s="3">
        <v>0.70398680000000002</v>
      </c>
      <c r="F149" s="3">
        <v>0.68998130000000002</v>
      </c>
      <c r="G149" s="3">
        <v>0.66229760000000004</v>
      </c>
      <c r="H149" s="3">
        <v>0.62475650000000005</v>
      </c>
      <c r="I149" s="3">
        <v>0.58688799999999997</v>
      </c>
      <c r="J149" s="3">
        <v>0.55504410000000004</v>
      </c>
      <c r="K149" s="3">
        <v>0.53104549999999995</v>
      </c>
      <c r="L149" s="3">
        <v>0.51405199999999995</v>
      </c>
      <c r="M149" s="3">
        <v>0.50254149999999997</v>
      </c>
      <c r="N149" s="3">
        <v>0.49507909999999999</v>
      </c>
      <c r="O149" s="3">
        <v>0.49060480000000001</v>
      </c>
      <c r="P149" s="3">
        <v>0.48845440000000001</v>
      </c>
      <c r="Q149" s="3">
        <v>0.48805599999999999</v>
      </c>
      <c r="R149" s="3">
        <v>0.48908299999999999</v>
      </c>
      <c r="S149" s="3">
        <v>0.49128159999999998</v>
      </c>
      <c r="T149" s="3">
        <v>0.4943979</v>
      </c>
      <c r="U149" s="3">
        <v>0.49817800000000001</v>
      </c>
      <c r="V149" s="3">
        <v>0.50236809999999998</v>
      </c>
      <c r="W149" s="3">
        <v>0.50674059999999999</v>
      </c>
      <c r="X149" s="3">
        <v>0.51121709999999998</v>
      </c>
      <c r="Y149" s="3">
        <v>0.51577150000000005</v>
      </c>
      <c r="Z149" s="3">
        <v>0.5203776</v>
      </c>
      <c r="AA149" s="3">
        <v>0.52500950000000002</v>
      </c>
      <c r="AB149" s="3">
        <v>0.52964109999999998</v>
      </c>
      <c r="AC149" s="3">
        <v>0.53425060000000002</v>
      </c>
      <c r="AD149" s="3">
        <v>0.53883899999999996</v>
      </c>
      <c r="AE149" s="3">
        <v>0.54341519999999999</v>
      </c>
      <c r="AF149" s="3">
        <v>0.54798789999999997</v>
      </c>
      <c r="AG149" s="3">
        <v>0.55256570000000005</v>
      </c>
      <c r="AH149" s="3">
        <v>0.55715760000000003</v>
      </c>
      <c r="AI149" s="3">
        <v>0.5617721</v>
      </c>
      <c r="AJ149" s="3">
        <v>0.56641810000000004</v>
      </c>
      <c r="AK149" s="3">
        <v>0.57110419999999995</v>
      </c>
      <c r="AL149" s="3">
        <v>0.5758394</v>
      </c>
      <c r="AM149" s="3">
        <v>0.58063220000000004</v>
      </c>
      <c r="AN149" s="3">
        <v>0.5854914</v>
      </c>
      <c r="AO149" s="3">
        <v>0.59042399999999995</v>
      </c>
      <c r="AP149" s="3">
        <v>0.5954277</v>
      </c>
      <c r="AQ149" s="3">
        <v>0.60049779999999997</v>
      </c>
      <c r="AR149" s="3">
        <v>0.60562919999999998</v>
      </c>
      <c r="AS149" s="3">
        <v>0.61081700000000005</v>
      </c>
      <c r="AT149" s="3">
        <v>0.61605639999999995</v>
      </c>
      <c r="AU149" s="3">
        <v>0.62134250000000002</v>
      </c>
      <c r="AV149" s="3">
        <v>0.62667030000000001</v>
      </c>
      <c r="AW149" s="3">
        <v>0.63203500000000001</v>
      </c>
      <c r="AX149" s="3">
        <v>0.63743159999999999</v>
      </c>
      <c r="AY149" s="3">
        <v>0.64285530000000002</v>
      </c>
      <c r="AZ149" s="3">
        <v>0.64830109999999996</v>
      </c>
      <c r="BA149" s="3">
        <v>0.65376469999999998</v>
      </c>
      <c r="BB149" s="3">
        <v>0.65924419999999995</v>
      </c>
      <c r="BC149" s="3">
        <v>0.66473870000000002</v>
      </c>
      <c r="BD149" s="3">
        <v>0.67024689999999998</v>
      </c>
      <c r="BE149" s="3">
        <v>0.67576769999999997</v>
      </c>
      <c r="BF149" s="3">
        <v>0.68130009999999996</v>
      </c>
      <c r="BG149" s="3">
        <v>0.68684290000000003</v>
      </c>
      <c r="BH149" s="3">
        <v>0.69239499999999998</v>
      </c>
      <c r="BI149" s="3">
        <v>0.6979552</v>
      </c>
      <c r="BJ149" s="3">
        <v>0.70352250000000005</v>
      </c>
      <c r="BK149" s="3">
        <v>0.70909580000000005</v>
      </c>
      <c r="BL149" s="3">
        <v>0.71467380000000003</v>
      </c>
      <c r="BM149" s="3" t="e">
        <v>#N/A</v>
      </c>
      <c r="BN149" s="3" t="e">
        <v>#N/A</v>
      </c>
    </row>
    <row r="150" spans="1:66" x14ac:dyDescent="0.35">
      <c r="A150" s="5">
        <f t="shared" si="2"/>
        <v>43664</v>
      </c>
      <c r="B150" t="s">
        <v>227</v>
      </c>
      <c r="C150" s="2">
        <v>0.75</v>
      </c>
      <c r="D150" s="2">
        <v>0.70960000000000001</v>
      </c>
      <c r="E150" s="3">
        <v>0.70630320000000002</v>
      </c>
      <c r="F150" s="3">
        <v>0.68881119999999996</v>
      </c>
      <c r="G150" s="3">
        <v>0.65886239999999996</v>
      </c>
      <c r="H150" s="3">
        <v>0.61934829999999996</v>
      </c>
      <c r="I150" s="3">
        <v>0.57834850000000004</v>
      </c>
      <c r="J150" s="3">
        <v>0.54296</v>
      </c>
      <c r="K150" s="3">
        <v>0.51575789999999999</v>
      </c>
      <c r="L150" s="3">
        <v>0.49638510000000002</v>
      </c>
      <c r="M150" s="3">
        <v>0.4830719</v>
      </c>
      <c r="N150" s="3">
        <v>0.47432990000000003</v>
      </c>
      <c r="O150" s="3">
        <v>0.4690124</v>
      </c>
      <c r="P150" s="3">
        <v>0.46646149999999997</v>
      </c>
      <c r="Q150" s="3">
        <v>0.46623759999999997</v>
      </c>
      <c r="R150" s="3">
        <v>0.46798499999999998</v>
      </c>
      <c r="S150" s="3">
        <v>0.47136810000000001</v>
      </c>
      <c r="T150" s="3">
        <v>0.47605120000000001</v>
      </c>
      <c r="U150" s="3">
        <v>0.48169869999999998</v>
      </c>
      <c r="V150" s="3">
        <v>0.48797489999999999</v>
      </c>
      <c r="W150" s="3">
        <v>0.49457810000000002</v>
      </c>
      <c r="X150" s="3">
        <v>0.5013803</v>
      </c>
      <c r="Y150" s="3">
        <v>0.50830909999999996</v>
      </c>
      <c r="Z150" s="3">
        <v>0.51529210000000003</v>
      </c>
      <c r="AA150" s="3">
        <v>0.52225679999999997</v>
      </c>
      <c r="AB150" s="3">
        <v>0.52913089999999996</v>
      </c>
      <c r="AC150" s="3">
        <v>0.53585280000000002</v>
      </c>
      <c r="AD150" s="3">
        <v>0.54241459999999997</v>
      </c>
      <c r="AE150" s="3">
        <v>0.54882450000000005</v>
      </c>
      <c r="AF150" s="3">
        <v>0.5550908</v>
      </c>
      <c r="AG150" s="3">
        <v>0.56122179999999999</v>
      </c>
      <c r="AH150" s="3">
        <v>0.56722570000000005</v>
      </c>
      <c r="AI150" s="3">
        <v>0.57311069999999997</v>
      </c>
      <c r="AJ150" s="3">
        <v>0.57888519999999999</v>
      </c>
      <c r="AK150" s="3">
        <v>0.58455729999999995</v>
      </c>
      <c r="AL150" s="3">
        <v>0.59013539999999998</v>
      </c>
      <c r="AM150" s="3">
        <v>0.59562769999999998</v>
      </c>
      <c r="AN150" s="3">
        <v>0.60104250000000004</v>
      </c>
      <c r="AO150" s="3">
        <v>0.60638749999999997</v>
      </c>
      <c r="AP150" s="3">
        <v>0.6116684</v>
      </c>
      <c r="AQ150" s="3">
        <v>0.6168901</v>
      </c>
      <c r="AR150" s="3">
        <v>0.62205779999999999</v>
      </c>
      <c r="AS150" s="3">
        <v>0.62717639999999997</v>
      </c>
      <c r="AT150" s="3">
        <v>0.63225100000000001</v>
      </c>
      <c r="AU150" s="3">
        <v>0.63728669999999998</v>
      </c>
      <c r="AV150" s="3">
        <v>0.64228839999999998</v>
      </c>
      <c r="AW150" s="3">
        <v>0.64726119999999998</v>
      </c>
      <c r="AX150" s="3">
        <v>0.65221010000000001</v>
      </c>
      <c r="AY150" s="3">
        <v>0.65714019999999995</v>
      </c>
      <c r="AZ150" s="3">
        <v>0.66205650000000005</v>
      </c>
      <c r="BA150" s="3">
        <v>0.66696330000000004</v>
      </c>
      <c r="BB150" s="3">
        <v>0.67186170000000001</v>
      </c>
      <c r="BC150" s="3">
        <v>0.67675189999999996</v>
      </c>
      <c r="BD150" s="3">
        <v>0.68163430000000003</v>
      </c>
      <c r="BE150" s="3">
        <v>0.68650909999999998</v>
      </c>
      <c r="BF150" s="3">
        <v>0.6913764</v>
      </c>
      <c r="BG150" s="3">
        <v>0.69623659999999998</v>
      </c>
      <c r="BH150" s="3">
        <v>0.70108990000000004</v>
      </c>
      <c r="BI150" s="3">
        <v>0.70593649999999997</v>
      </c>
      <c r="BJ150" s="3">
        <v>0.71077670000000004</v>
      </c>
      <c r="BK150" s="3">
        <v>0.71561079999999999</v>
      </c>
      <c r="BL150" s="3">
        <v>0.72043889999999999</v>
      </c>
      <c r="BM150" s="3" t="e">
        <v>#N/A</v>
      </c>
      <c r="BN150" s="3" t="e">
        <v>#N/A</v>
      </c>
    </row>
    <row r="151" spans="1:66" x14ac:dyDescent="0.35">
      <c r="A151" s="5">
        <f t="shared" si="2"/>
        <v>43665</v>
      </c>
      <c r="B151" t="s">
        <v>228</v>
      </c>
      <c r="C151" s="2">
        <v>0.75</v>
      </c>
      <c r="D151" s="2">
        <v>0.70940000000000003</v>
      </c>
      <c r="E151" s="3">
        <v>0.70457760000000003</v>
      </c>
      <c r="F151" s="3">
        <v>0.69129580000000002</v>
      </c>
      <c r="G151" s="3">
        <v>0.66309629999999997</v>
      </c>
      <c r="H151" s="3">
        <v>0.62236789999999997</v>
      </c>
      <c r="I151" s="3">
        <v>0.57857820000000004</v>
      </c>
      <c r="J151" s="3">
        <v>0.54003159999999995</v>
      </c>
      <c r="K151" s="3">
        <v>0.51035379999999997</v>
      </c>
      <c r="L151" s="3">
        <v>0.48963210000000001</v>
      </c>
      <c r="M151" s="3">
        <v>0.47627989999999998</v>
      </c>
      <c r="N151" s="3">
        <v>0.46855780000000002</v>
      </c>
      <c r="O151" s="3">
        <v>0.46494930000000001</v>
      </c>
      <c r="P151" s="3">
        <v>0.46433940000000001</v>
      </c>
      <c r="Q151" s="3">
        <v>0.46555980000000002</v>
      </c>
      <c r="R151" s="3">
        <v>0.46809630000000002</v>
      </c>
      <c r="S151" s="3">
        <v>0.47166180000000002</v>
      </c>
      <c r="T151" s="3">
        <v>0.47596949999999999</v>
      </c>
      <c r="U151" s="3">
        <v>0.48073270000000001</v>
      </c>
      <c r="V151" s="3">
        <v>0.4856646</v>
      </c>
      <c r="W151" s="3">
        <v>0.4905177</v>
      </c>
      <c r="X151" s="3">
        <v>0.49524649999999998</v>
      </c>
      <c r="Y151" s="3">
        <v>0.49986999999999998</v>
      </c>
      <c r="Z151" s="3">
        <v>0.50440739999999995</v>
      </c>
      <c r="AA151" s="3">
        <v>0.50887749999999998</v>
      </c>
      <c r="AB151" s="3">
        <v>0.51329939999999996</v>
      </c>
      <c r="AC151" s="3">
        <v>0.5176906</v>
      </c>
      <c r="AD151" s="3">
        <v>0.52206149999999996</v>
      </c>
      <c r="AE151" s="3">
        <v>0.52642069999999996</v>
      </c>
      <c r="AF151" s="3">
        <v>0.53077649999999998</v>
      </c>
      <c r="AG151" s="3">
        <v>0.53513750000000004</v>
      </c>
      <c r="AH151" s="3">
        <v>0.5395122</v>
      </c>
      <c r="AI151" s="3">
        <v>0.54390910000000003</v>
      </c>
      <c r="AJ151" s="3">
        <v>0.54833679999999996</v>
      </c>
      <c r="AK151" s="3">
        <v>0.55280370000000001</v>
      </c>
      <c r="AL151" s="3">
        <v>0.55731819999999999</v>
      </c>
      <c r="AM151" s="3">
        <v>0.56188899999999997</v>
      </c>
      <c r="AN151" s="3">
        <v>0.56652449999999999</v>
      </c>
      <c r="AO151" s="3">
        <v>0.5712315</v>
      </c>
      <c r="AP151" s="3">
        <v>0.57600859999999998</v>
      </c>
      <c r="AQ151" s="3">
        <v>0.58085260000000005</v>
      </c>
      <c r="AR151" s="3">
        <v>0.58576010000000001</v>
      </c>
      <c r="AS151" s="3">
        <v>0.59072760000000002</v>
      </c>
      <c r="AT151" s="3">
        <v>0.5957517</v>
      </c>
      <c r="AU151" s="3">
        <v>0.6008291</v>
      </c>
      <c r="AV151" s="3">
        <v>0.60595639999999995</v>
      </c>
      <c r="AW151" s="3">
        <v>0.61113019999999996</v>
      </c>
      <c r="AX151" s="3">
        <v>0.61634710000000004</v>
      </c>
      <c r="AY151" s="3">
        <v>0.62160369999999998</v>
      </c>
      <c r="AZ151" s="3">
        <v>0.62689669999999997</v>
      </c>
      <c r="BA151" s="3">
        <v>0.63222279999999997</v>
      </c>
      <c r="BB151" s="3">
        <v>0.63757989999999998</v>
      </c>
      <c r="BC151" s="3">
        <v>0.64296620000000004</v>
      </c>
      <c r="BD151" s="3">
        <v>0.64837979999999995</v>
      </c>
      <c r="BE151" s="3">
        <v>0.65381889999999998</v>
      </c>
      <c r="BF151" s="3">
        <v>0.65928169999999997</v>
      </c>
      <c r="BG151" s="3">
        <v>0.66476630000000003</v>
      </c>
      <c r="BH151" s="3">
        <v>0.67027080000000006</v>
      </c>
      <c r="BI151" s="3">
        <v>0.67579339999999999</v>
      </c>
      <c r="BJ151" s="3">
        <v>0.6813323</v>
      </c>
      <c r="BK151" s="3">
        <v>0.68688559999999999</v>
      </c>
      <c r="BL151" s="3">
        <v>0.69245140000000005</v>
      </c>
      <c r="BM151" s="3" t="e">
        <v>#N/A</v>
      </c>
      <c r="BN151" s="3" t="e">
        <v>#N/A</v>
      </c>
    </row>
    <row r="152" spans="1:66" x14ac:dyDescent="0.35">
      <c r="A152" s="5">
        <f t="shared" si="2"/>
        <v>43668</v>
      </c>
      <c r="B152" t="s">
        <v>229</v>
      </c>
      <c r="C152" s="2">
        <v>0.75</v>
      </c>
      <c r="D152" s="2">
        <v>0.70760000000000001</v>
      </c>
      <c r="E152" s="3">
        <v>0.7019862</v>
      </c>
      <c r="F152" s="3">
        <v>0.68697810000000004</v>
      </c>
      <c r="G152" s="3">
        <v>0.65783069999999999</v>
      </c>
      <c r="H152" s="3">
        <v>0.61679870000000003</v>
      </c>
      <c r="I152" s="3">
        <v>0.5731813</v>
      </c>
      <c r="J152" s="3">
        <v>0.53460560000000001</v>
      </c>
      <c r="K152" s="3">
        <v>0.50460819999999995</v>
      </c>
      <c r="L152" s="3">
        <v>0.4830892</v>
      </c>
      <c r="M152" s="3">
        <v>0.46889069999999999</v>
      </c>
      <c r="N152" s="3">
        <v>0.46024769999999998</v>
      </c>
      <c r="O152" s="3">
        <v>0.4557638</v>
      </c>
      <c r="P152" s="3">
        <v>0.45431060000000001</v>
      </c>
      <c r="Q152" s="3">
        <v>0.45465220000000001</v>
      </c>
      <c r="R152" s="3">
        <v>0.4562677</v>
      </c>
      <c r="S152" s="3">
        <v>0.45886060000000001</v>
      </c>
      <c r="T152" s="3">
        <v>0.4621345</v>
      </c>
      <c r="U152" s="3">
        <v>0.46579280000000001</v>
      </c>
      <c r="V152" s="3">
        <v>0.46953919999999999</v>
      </c>
      <c r="W152" s="3">
        <v>0.4731245</v>
      </c>
      <c r="X152" s="3">
        <v>0.47654190000000002</v>
      </c>
      <c r="Y152" s="3">
        <v>0.4798617</v>
      </c>
      <c r="Z152" s="3">
        <v>0.48315469999999999</v>
      </c>
      <c r="AA152" s="3">
        <v>0.48649150000000002</v>
      </c>
      <c r="AB152" s="3">
        <v>0.4899424</v>
      </c>
      <c r="AC152" s="3">
        <v>0.49356650000000002</v>
      </c>
      <c r="AD152" s="3">
        <v>0.49737029999999999</v>
      </c>
      <c r="AE152" s="3">
        <v>0.50134639999999997</v>
      </c>
      <c r="AF152" s="3">
        <v>0.50548720000000003</v>
      </c>
      <c r="AG152" s="3">
        <v>0.50978509999999999</v>
      </c>
      <c r="AH152" s="3">
        <v>0.51423249999999998</v>
      </c>
      <c r="AI152" s="3">
        <v>0.5188218</v>
      </c>
      <c r="AJ152" s="3">
        <v>0.5235455</v>
      </c>
      <c r="AK152" s="3">
        <v>0.52839599999999998</v>
      </c>
      <c r="AL152" s="3">
        <v>0.5333656</v>
      </c>
      <c r="AM152" s="3">
        <v>0.53844700000000001</v>
      </c>
      <c r="AN152" s="3">
        <v>0.54363229999999996</v>
      </c>
      <c r="AO152" s="3">
        <v>0.54891409999999996</v>
      </c>
      <c r="AP152" s="3">
        <v>0.55428409999999995</v>
      </c>
      <c r="AQ152" s="3">
        <v>0.55973410000000001</v>
      </c>
      <c r="AR152" s="3">
        <v>0.56525599999999998</v>
      </c>
      <c r="AS152" s="3">
        <v>0.5708413</v>
      </c>
      <c r="AT152" s="3">
        <v>0.57648200000000005</v>
      </c>
      <c r="AU152" s="3">
        <v>0.58216970000000001</v>
      </c>
      <c r="AV152" s="3">
        <v>0.58789630000000004</v>
      </c>
      <c r="AW152" s="3">
        <v>0.59365349999999995</v>
      </c>
      <c r="AX152" s="3">
        <v>0.59943299999999999</v>
      </c>
      <c r="AY152" s="3">
        <v>0.60522659999999995</v>
      </c>
      <c r="AZ152" s="3">
        <v>0.61102610000000002</v>
      </c>
      <c r="BA152" s="3">
        <v>0.61682429999999999</v>
      </c>
      <c r="BB152" s="3">
        <v>0.6226197</v>
      </c>
      <c r="BC152" s="3">
        <v>0.62841270000000005</v>
      </c>
      <c r="BD152" s="3">
        <v>0.63420359999999998</v>
      </c>
      <c r="BE152" s="3">
        <v>0.63999289999999998</v>
      </c>
      <c r="BF152" s="3">
        <v>0.6457811</v>
      </c>
      <c r="BG152" s="3">
        <v>0.65156840000000005</v>
      </c>
      <c r="BH152" s="3">
        <v>0.65735520000000003</v>
      </c>
      <c r="BI152" s="3">
        <v>0.66314209999999996</v>
      </c>
      <c r="BJ152" s="3">
        <v>0.66892940000000001</v>
      </c>
      <c r="BK152" s="3">
        <v>0.67471740000000002</v>
      </c>
      <c r="BL152" s="3">
        <v>0.68050659999999996</v>
      </c>
      <c r="BM152" s="3" t="e">
        <v>#N/A</v>
      </c>
      <c r="BN152" s="3" t="e">
        <v>#N/A</v>
      </c>
    </row>
    <row r="153" spans="1:66" x14ac:dyDescent="0.35">
      <c r="A153" s="5">
        <f t="shared" si="2"/>
        <v>43669</v>
      </c>
      <c r="B153" t="s">
        <v>230</v>
      </c>
      <c r="C153" s="2">
        <v>0.75</v>
      </c>
      <c r="D153" s="2">
        <v>0.70950000000000002</v>
      </c>
      <c r="E153" s="3">
        <v>0.70570770000000005</v>
      </c>
      <c r="F153" s="3">
        <v>0.68918630000000003</v>
      </c>
      <c r="G153" s="3">
        <v>0.66034709999999996</v>
      </c>
      <c r="H153" s="3">
        <v>0.62152260000000004</v>
      </c>
      <c r="I153" s="3">
        <v>0.58014880000000002</v>
      </c>
      <c r="J153" s="3">
        <v>0.54279299999999997</v>
      </c>
      <c r="K153" s="3">
        <v>0.51274920000000002</v>
      </c>
      <c r="L153" s="3">
        <v>0.49006139999999998</v>
      </c>
      <c r="M153" s="3">
        <v>0.47360039999999998</v>
      </c>
      <c r="N153" s="3">
        <v>0.46196140000000002</v>
      </c>
      <c r="O153" s="3">
        <v>0.45402199999999998</v>
      </c>
      <c r="P153" s="3">
        <v>0.44901570000000002</v>
      </c>
      <c r="Q153" s="3">
        <v>0.44621670000000002</v>
      </c>
      <c r="R153" s="3">
        <v>0.4452063</v>
      </c>
      <c r="S153" s="3">
        <v>0.44566250000000002</v>
      </c>
      <c r="T153" s="3">
        <v>0.44726349999999998</v>
      </c>
      <c r="U153" s="3">
        <v>0.44968730000000001</v>
      </c>
      <c r="V153" s="3">
        <v>0.45261180000000001</v>
      </c>
      <c r="W153" s="3">
        <v>0.45574730000000002</v>
      </c>
      <c r="X153" s="3">
        <v>0.4590053</v>
      </c>
      <c r="Y153" s="3">
        <v>0.46237549999999999</v>
      </c>
      <c r="Z153" s="3">
        <v>0.46584759999999997</v>
      </c>
      <c r="AA153" s="3">
        <v>0.46941110000000003</v>
      </c>
      <c r="AB153" s="3">
        <v>0.47305589999999997</v>
      </c>
      <c r="AC153" s="3">
        <v>0.47677330000000001</v>
      </c>
      <c r="AD153" s="3">
        <v>0.48056189999999999</v>
      </c>
      <c r="AE153" s="3">
        <v>0.48442259999999998</v>
      </c>
      <c r="AF153" s="3">
        <v>0.48835610000000002</v>
      </c>
      <c r="AG153" s="3">
        <v>0.492363</v>
      </c>
      <c r="AH153" s="3">
        <v>0.49644430000000001</v>
      </c>
      <c r="AI153" s="3">
        <v>0.50060039999999995</v>
      </c>
      <c r="AJ153" s="3">
        <v>0.50483239999999996</v>
      </c>
      <c r="AK153" s="3">
        <v>0.5091407</v>
      </c>
      <c r="AL153" s="3">
        <v>0.51352629999999999</v>
      </c>
      <c r="AM153" s="3">
        <v>0.51798979999999994</v>
      </c>
      <c r="AN153" s="3">
        <v>0.52253190000000005</v>
      </c>
      <c r="AO153" s="3">
        <v>0.52715310000000004</v>
      </c>
      <c r="AP153" s="3">
        <v>0.53185170000000004</v>
      </c>
      <c r="AQ153" s="3">
        <v>0.53662560000000004</v>
      </c>
      <c r="AR153" s="3">
        <v>0.54147230000000002</v>
      </c>
      <c r="AS153" s="3">
        <v>0.54638980000000004</v>
      </c>
      <c r="AT153" s="3">
        <v>0.55137579999999997</v>
      </c>
      <c r="AU153" s="3">
        <v>0.55642800000000003</v>
      </c>
      <c r="AV153" s="3">
        <v>0.56154409999999999</v>
      </c>
      <c r="AW153" s="3">
        <v>0.5667219</v>
      </c>
      <c r="AX153" s="3">
        <v>0.57195929999999995</v>
      </c>
      <c r="AY153" s="3">
        <v>0.57725380000000004</v>
      </c>
      <c r="AZ153" s="3">
        <v>0.58260330000000005</v>
      </c>
      <c r="BA153" s="3">
        <v>0.58800540000000001</v>
      </c>
      <c r="BB153" s="3">
        <v>0.59345700000000001</v>
      </c>
      <c r="BC153" s="3">
        <v>0.59895480000000001</v>
      </c>
      <c r="BD153" s="3">
        <v>0.60449540000000002</v>
      </c>
      <c r="BE153" s="3">
        <v>0.61007560000000005</v>
      </c>
      <c r="BF153" s="3">
        <v>0.61569209999999996</v>
      </c>
      <c r="BG153" s="3">
        <v>0.62134140000000004</v>
      </c>
      <c r="BH153" s="3">
        <v>0.62702049999999998</v>
      </c>
      <c r="BI153" s="3">
        <v>0.6327258</v>
      </c>
      <c r="BJ153" s="3">
        <v>0.63845410000000002</v>
      </c>
      <c r="BK153" s="3">
        <v>0.6442021</v>
      </c>
      <c r="BL153" s="3">
        <v>0.6499665</v>
      </c>
      <c r="BM153" s="3" t="e">
        <v>#N/A</v>
      </c>
      <c r="BN153" s="3" t="e">
        <v>#N/A</v>
      </c>
    </row>
    <row r="154" spans="1:66" x14ac:dyDescent="0.35">
      <c r="A154" s="5">
        <f t="shared" si="2"/>
        <v>43670</v>
      </c>
      <c r="B154" t="s">
        <v>231</v>
      </c>
      <c r="C154" s="2">
        <v>0.75</v>
      </c>
      <c r="D154" s="2">
        <v>0.70950000000000002</v>
      </c>
      <c r="E154" s="3">
        <v>0.69993629999999996</v>
      </c>
      <c r="F154" s="3">
        <v>0.68455909999999998</v>
      </c>
      <c r="G154" s="3">
        <v>0.65612839999999995</v>
      </c>
      <c r="H154" s="3">
        <v>0.61620050000000004</v>
      </c>
      <c r="I154" s="3">
        <v>0.5730343</v>
      </c>
      <c r="J154" s="3">
        <v>0.53361139999999996</v>
      </c>
      <c r="K154" s="3">
        <v>0.50149699999999997</v>
      </c>
      <c r="L154" s="3">
        <v>0.47741169999999999</v>
      </c>
      <c r="M154" s="3">
        <v>0.4606537</v>
      </c>
      <c r="N154" s="3">
        <v>0.44994390000000001</v>
      </c>
      <c r="O154" s="3">
        <v>0.44385740000000001</v>
      </c>
      <c r="P154" s="3">
        <v>0.44127690000000003</v>
      </c>
      <c r="Q154" s="3">
        <v>0.44070900000000002</v>
      </c>
      <c r="R154" s="3">
        <v>0.44153399999999998</v>
      </c>
      <c r="S154" s="3">
        <v>0.44343719999999998</v>
      </c>
      <c r="T154" s="3">
        <v>0.44610379999999999</v>
      </c>
      <c r="U154" s="3">
        <v>0.44921879999999997</v>
      </c>
      <c r="V154" s="3">
        <v>0.45246740000000002</v>
      </c>
      <c r="W154" s="3">
        <v>0.4555785</v>
      </c>
      <c r="X154" s="3">
        <v>0.45852910000000002</v>
      </c>
      <c r="Y154" s="3">
        <v>0.46138289999999998</v>
      </c>
      <c r="Z154" s="3">
        <v>0.46420420000000001</v>
      </c>
      <c r="AA154" s="3">
        <v>0.4670571</v>
      </c>
      <c r="AB154" s="3">
        <v>0.47000550000000002</v>
      </c>
      <c r="AC154" s="3">
        <v>0.473105</v>
      </c>
      <c r="AD154" s="3">
        <v>0.47636430000000002</v>
      </c>
      <c r="AE154" s="3">
        <v>0.4797767</v>
      </c>
      <c r="AF154" s="3">
        <v>0.48333530000000002</v>
      </c>
      <c r="AG154" s="3">
        <v>0.4870333</v>
      </c>
      <c r="AH154" s="3">
        <v>0.49086390000000002</v>
      </c>
      <c r="AI154" s="3">
        <v>0.49482029999999999</v>
      </c>
      <c r="AJ154" s="3">
        <v>0.49889559999999999</v>
      </c>
      <c r="AK154" s="3">
        <v>0.50308299999999995</v>
      </c>
      <c r="AL154" s="3">
        <v>0.50737580000000004</v>
      </c>
      <c r="AM154" s="3">
        <v>0.51176699999999997</v>
      </c>
      <c r="AN154" s="3">
        <v>0.51624990000000004</v>
      </c>
      <c r="AO154" s="3">
        <v>0.520818</v>
      </c>
      <c r="AP154" s="3">
        <v>0.52546649999999995</v>
      </c>
      <c r="AQ154" s="3">
        <v>0.53019090000000002</v>
      </c>
      <c r="AR154" s="3">
        <v>0.53498699999999999</v>
      </c>
      <c r="AS154" s="3">
        <v>0.53985039999999995</v>
      </c>
      <c r="AT154" s="3">
        <v>0.5447767</v>
      </c>
      <c r="AU154" s="3">
        <v>0.54976159999999996</v>
      </c>
      <c r="AV154" s="3">
        <v>0.55480079999999998</v>
      </c>
      <c r="AW154" s="3">
        <v>0.55988990000000005</v>
      </c>
      <c r="AX154" s="3">
        <v>0.56502450000000004</v>
      </c>
      <c r="AY154" s="3">
        <v>0.57020029999999999</v>
      </c>
      <c r="AZ154" s="3">
        <v>0.57541299999999995</v>
      </c>
      <c r="BA154" s="3">
        <v>0.58065880000000003</v>
      </c>
      <c r="BB154" s="3">
        <v>0.58593629999999997</v>
      </c>
      <c r="BC154" s="3">
        <v>0.59124509999999997</v>
      </c>
      <c r="BD154" s="3">
        <v>0.59658449999999996</v>
      </c>
      <c r="BE154" s="3">
        <v>0.60195399999999999</v>
      </c>
      <c r="BF154" s="3">
        <v>0.60735289999999997</v>
      </c>
      <c r="BG154" s="3">
        <v>0.61278080000000001</v>
      </c>
      <c r="BH154" s="3">
        <v>0.61823689999999998</v>
      </c>
      <c r="BI154" s="3">
        <v>0.62372079999999996</v>
      </c>
      <c r="BJ154" s="3">
        <v>0.62923180000000001</v>
      </c>
      <c r="BK154" s="3">
        <v>0.63476929999999998</v>
      </c>
      <c r="BL154" s="3">
        <v>0.64033289999999998</v>
      </c>
      <c r="BM154" s="3" t="e">
        <v>#N/A</v>
      </c>
      <c r="BN154" s="3" t="e">
        <v>#N/A</v>
      </c>
    </row>
    <row r="155" spans="1:66" x14ac:dyDescent="0.35">
      <c r="A155" s="5">
        <f t="shared" si="2"/>
        <v>43671</v>
      </c>
      <c r="B155" t="s">
        <v>232</v>
      </c>
      <c r="C155" s="2">
        <v>0.75</v>
      </c>
      <c r="D155" s="2">
        <v>0.70909999999999995</v>
      </c>
      <c r="E155" s="3">
        <v>0.70415190000000005</v>
      </c>
      <c r="F155" s="3">
        <v>0.68993740000000003</v>
      </c>
      <c r="G155" s="3">
        <v>0.6613308</v>
      </c>
      <c r="H155" s="3">
        <v>0.62146809999999997</v>
      </c>
      <c r="I155" s="3">
        <v>0.5792986</v>
      </c>
      <c r="J155" s="3">
        <v>0.5416685</v>
      </c>
      <c r="K155" s="3">
        <v>0.51129369999999996</v>
      </c>
      <c r="L155" s="3">
        <v>0.48866730000000003</v>
      </c>
      <c r="M155" s="3">
        <v>0.47269879999999997</v>
      </c>
      <c r="N155" s="3">
        <v>0.46217390000000003</v>
      </c>
      <c r="O155" s="3">
        <v>0.45574219999999999</v>
      </c>
      <c r="P155" s="3">
        <v>0.4524514</v>
      </c>
      <c r="Q155" s="3">
        <v>0.45111210000000002</v>
      </c>
      <c r="R155" s="3">
        <v>0.45120670000000002</v>
      </c>
      <c r="S155" s="3">
        <v>0.4524994</v>
      </c>
      <c r="T155" s="3">
        <v>0.45475460000000001</v>
      </c>
      <c r="U155" s="3">
        <v>0.4577367</v>
      </c>
      <c r="V155" s="3">
        <v>0.46121020000000001</v>
      </c>
      <c r="W155" s="3">
        <v>0.46496670000000001</v>
      </c>
      <c r="X155" s="3">
        <v>0.4689373</v>
      </c>
      <c r="Y155" s="3">
        <v>0.47309790000000002</v>
      </c>
      <c r="Z155" s="3">
        <v>0.47742410000000002</v>
      </c>
      <c r="AA155" s="3">
        <v>0.48189189999999998</v>
      </c>
      <c r="AB155" s="3">
        <v>0.48647699999999999</v>
      </c>
      <c r="AC155" s="3">
        <v>0.49115760000000003</v>
      </c>
      <c r="AD155" s="3">
        <v>0.49592350000000002</v>
      </c>
      <c r="AE155" s="3">
        <v>0.50076799999999999</v>
      </c>
      <c r="AF155" s="3">
        <v>0.50568460000000004</v>
      </c>
      <c r="AG155" s="3">
        <v>0.51066659999999997</v>
      </c>
      <c r="AH155" s="3">
        <v>0.51570749999999999</v>
      </c>
      <c r="AI155" s="3">
        <v>0.5208005</v>
      </c>
      <c r="AJ155" s="3">
        <v>0.52593909999999999</v>
      </c>
      <c r="AK155" s="3">
        <v>0.53111660000000005</v>
      </c>
      <c r="AL155" s="3">
        <v>0.53632639999999998</v>
      </c>
      <c r="AM155" s="3">
        <v>0.54156190000000004</v>
      </c>
      <c r="AN155" s="3">
        <v>0.54681650000000004</v>
      </c>
      <c r="AO155" s="3">
        <v>0.55208460000000004</v>
      </c>
      <c r="AP155" s="3">
        <v>0.55736540000000001</v>
      </c>
      <c r="AQ155" s="3">
        <v>0.56265929999999997</v>
      </c>
      <c r="AR155" s="3">
        <v>0.56796679999999999</v>
      </c>
      <c r="AS155" s="3">
        <v>0.57328849999999998</v>
      </c>
      <c r="AT155" s="3">
        <v>0.57862469999999999</v>
      </c>
      <c r="AU155" s="3">
        <v>0.58397600000000005</v>
      </c>
      <c r="AV155" s="3">
        <v>0.5893427</v>
      </c>
      <c r="AW155" s="3">
        <v>0.59472550000000002</v>
      </c>
      <c r="AX155" s="3">
        <v>0.60012469999999996</v>
      </c>
      <c r="AY155" s="3">
        <v>0.60554090000000005</v>
      </c>
      <c r="AZ155" s="3">
        <v>0.61097449999999998</v>
      </c>
      <c r="BA155" s="3">
        <v>0.61642600000000003</v>
      </c>
      <c r="BB155" s="3">
        <v>0.62189609999999995</v>
      </c>
      <c r="BC155" s="3">
        <v>0.62738550000000004</v>
      </c>
      <c r="BD155" s="3">
        <v>0.63289490000000004</v>
      </c>
      <c r="BE155" s="3">
        <v>0.63842500000000002</v>
      </c>
      <c r="BF155" s="3">
        <v>0.64397649999999995</v>
      </c>
      <c r="BG155" s="3">
        <v>0.64955019999999997</v>
      </c>
      <c r="BH155" s="3">
        <v>0.65514669999999997</v>
      </c>
      <c r="BI155" s="3">
        <v>0.66076679999999999</v>
      </c>
      <c r="BJ155" s="3">
        <v>0.66641110000000003</v>
      </c>
      <c r="BK155" s="3">
        <v>0.67208040000000002</v>
      </c>
      <c r="BL155" s="3">
        <v>0.67777540000000003</v>
      </c>
      <c r="BM155" s="3" t="e">
        <v>#N/A</v>
      </c>
      <c r="BN155" s="3" t="e">
        <v>#N/A</v>
      </c>
    </row>
    <row r="156" spans="1:66" x14ac:dyDescent="0.35">
      <c r="A156" s="5">
        <f t="shared" si="2"/>
        <v>43672</v>
      </c>
      <c r="B156" t="s">
        <v>233</v>
      </c>
      <c r="C156" s="2">
        <v>0.75</v>
      </c>
      <c r="D156" s="2">
        <v>0.7097</v>
      </c>
      <c r="E156" s="3">
        <v>0.70469709999999997</v>
      </c>
      <c r="F156" s="3">
        <v>0.68964040000000004</v>
      </c>
      <c r="G156" s="3">
        <v>0.66094819999999999</v>
      </c>
      <c r="H156" s="3">
        <v>0.62078849999999997</v>
      </c>
      <c r="I156" s="3">
        <v>0.57773509999999995</v>
      </c>
      <c r="J156" s="3">
        <v>0.53850929999999997</v>
      </c>
      <c r="K156" s="3">
        <v>0.50628269999999997</v>
      </c>
      <c r="L156" s="3">
        <v>0.48170249999999998</v>
      </c>
      <c r="M156" s="3">
        <v>0.46389799999999998</v>
      </c>
      <c r="N156" s="3">
        <v>0.45166650000000003</v>
      </c>
      <c r="O156" s="3">
        <v>0.44379869999999999</v>
      </c>
      <c r="P156" s="3">
        <v>0.43929259999999998</v>
      </c>
      <c r="Q156" s="3">
        <v>0.43691990000000003</v>
      </c>
      <c r="R156" s="3">
        <v>0.43614779999999997</v>
      </c>
      <c r="S156" s="3">
        <v>0.43669750000000002</v>
      </c>
      <c r="T156" s="3">
        <v>0.43829050000000003</v>
      </c>
      <c r="U156" s="3">
        <v>0.44064789999999998</v>
      </c>
      <c r="V156" s="3">
        <v>0.44349129999999998</v>
      </c>
      <c r="W156" s="3">
        <v>0.4465787</v>
      </c>
      <c r="X156" s="3">
        <v>0.44985589999999998</v>
      </c>
      <c r="Y156" s="3">
        <v>0.45332879999999998</v>
      </c>
      <c r="Z156" s="3">
        <v>0.4570033</v>
      </c>
      <c r="AA156" s="3">
        <v>0.46088519999999999</v>
      </c>
      <c r="AB156" s="3">
        <v>0.46498050000000002</v>
      </c>
      <c r="AC156" s="3">
        <v>0.46929100000000001</v>
      </c>
      <c r="AD156" s="3">
        <v>0.47380030000000001</v>
      </c>
      <c r="AE156" s="3">
        <v>0.4784872</v>
      </c>
      <c r="AF156" s="3">
        <v>0.48333039999999999</v>
      </c>
      <c r="AG156" s="3">
        <v>0.48830839999999998</v>
      </c>
      <c r="AH156" s="3">
        <v>0.49340020000000001</v>
      </c>
      <c r="AI156" s="3">
        <v>0.49858429999999998</v>
      </c>
      <c r="AJ156" s="3">
        <v>0.50383940000000005</v>
      </c>
      <c r="AK156" s="3">
        <v>0.50914429999999999</v>
      </c>
      <c r="AL156" s="3">
        <v>0.51447759999999998</v>
      </c>
      <c r="AM156" s="3">
        <v>0.51981809999999995</v>
      </c>
      <c r="AN156" s="3">
        <v>0.52514439999999996</v>
      </c>
      <c r="AO156" s="3">
        <v>0.5304392</v>
      </c>
      <c r="AP156" s="3">
        <v>0.53570209999999996</v>
      </c>
      <c r="AQ156" s="3">
        <v>0.54093760000000002</v>
      </c>
      <c r="AR156" s="3">
        <v>0.54615020000000003</v>
      </c>
      <c r="AS156" s="3">
        <v>0.55134419999999995</v>
      </c>
      <c r="AT156" s="3">
        <v>0.55652420000000002</v>
      </c>
      <c r="AU156" s="3">
        <v>0.56169460000000004</v>
      </c>
      <c r="AV156" s="3">
        <v>0.56685989999999997</v>
      </c>
      <c r="AW156" s="3">
        <v>0.57202450000000005</v>
      </c>
      <c r="AX156" s="3">
        <v>0.57719279999999995</v>
      </c>
      <c r="AY156" s="3">
        <v>0.58236929999999998</v>
      </c>
      <c r="AZ156" s="3">
        <v>0.58755849999999998</v>
      </c>
      <c r="BA156" s="3">
        <v>0.59276430000000002</v>
      </c>
      <c r="BB156" s="3">
        <v>0.59798859999999998</v>
      </c>
      <c r="BC156" s="3">
        <v>0.60323289999999996</v>
      </c>
      <c r="BD156" s="3">
        <v>0.6084986</v>
      </c>
      <c r="BE156" s="3">
        <v>0.61378690000000002</v>
      </c>
      <c r="BF156" s="3">
        <v>0.61909939999999997</v>
      </c>
      <c r="BG156" s="3">
        <v>0.62443720000000003</v>
      </c>
      <c r="BH156" s="3">
        <v>0.62980190000000003</v>
      </c>
      <c r="BI156" s="3">
        <v>0.63519479999999995</v>
      </c>
      <c r="BJ156" s="3">
        <v>0.64061729999999995</v>
      </c>
      <c r="BK156" s="3">
        <v>0.64607079999999995</v>
      </c>
      <c r="BL156" s="3">
        <v>0.65155649999999998</v>
      </c>
      <c r="BM156" s="3" t="e">
        <v>#N/A</v>
      </c>
      <c r="BN156" s="3" t="e">
        <v>#N/A</v>
      </c>
    </row>
    <row r="157" spans="1:66" x14ac:dyDescent="0.35">
      <c r="A157" s="5">
        <f t="shared" si="2"/>
        <v>43675</v>
      </c>
      <c r="B157" t="s">
        <v>234</v>
      </c>
      <c r="C157" s="2">
        <v>0.75</v>
      </c>
      <c r="D157" s="2">
        <v>0.7087</v>
      </c>
      <c r="E157" s="3">
        <v>0.71189480000000005</v>
      </c>
      <c r="F157" s="3">
        <v>0.68867610000000001</v>
      </c>
      <c r="G157" s="3">
        <v>0.65248309999999998</v>
      </c>
      <c r="H157" s="3">
        <v>0.60732269999999999</v>
      </c>
      <c r="I157" s="3">
        <v>0.56183209999999995</v>
      </c>
      <c r="J157" s="3">
        <v>0.52120259999999996</v>
      </c>
      <c r="K157" s="3">
        <v>0.48751299999999997</v>
      </c>
      <c r="L157" s="3">
        <v>0.46083000000000002</v>
      </c>
      <c r="M157" s="3">
        <v>0.44048189999999998</v>
      </c>
      <c r="N157" s="3">
        <v>0.4251028</v>
      </c>
      <c r="O157" s="3">
        <v>0.41361170000000003</v>
      </c>
      <c r="P157" s="3">
        <v>0.4051614</v>
      </c>
      <c r="Q157" s="3">
        <v>0.39884930000000002</v>
      </c>
      <c r="R157" s="3">
        <v>0.3942968</v>
      </c>
      <c r="S157" s="3">
        <v>0.39128800000000002</v>
      </c>
      <c r="T157" s="3">
        <v>0.38960729999999999</v>
      </c>
      <c r="U157" s="3">
        <v>0.38903880000000002</v>
      </c>
      <c r="V157" s="3">
        <v>0.38936670000000001</v>
      </c>
      <c r="W157" s="3">
        <v>0.390399</v>
      </c>
      <c r="X157" s="3">
        <v>0.39206609999999997</v>
      </c>
      <c r="Y157" s="3">
        <v>0.39433699999999999</v>
      </c>
      <c r="Z157" s="3">
        <v>0.39718100000000001</v>
      </c>
      <c r="AA157" s="3">
        <v>0.40056730000000002</v>
      </c>
      <c r="AB157" s="3">
        <v>0.40446510000000002</v>
      </c>
      <c r="AC157" s="3">
        <v>0.40884169999999997</v>
      </c>
      <c r="AD157" s="3">
        <v>0.41365689999999999</v>
      </c>
      <c r="AE157" s="3">
        <v>0.41886790000000002</v>
      </c>
      <c r="AF157" s="3">
        <v>0.42443229999999998</v>
      </c>
      <c r="AG157" s="3">
        <v>0.4303073</v>
      </c>
      <c r="AH157" s="3">
        <v>0.43645040000000002</v>
      </c>
      <c r="AI157" s="3">
        <v>0.44281910000000002</v>
      </c>
      <c r="AJ157" s="3">
        <v>0.44937060000000001</v>
      </c>
      <c r="AK157" s="3">
        <v>0.45606239999999998</v>
      </c>
      <c r="AL157" s="3">
        <v>0.46285199999999999</v>
      </c>
      <c r="AM157" s="3">
        <v>0.46969660000000002</v>
      </c>
      <c r="AN157" s="3">
        <v>0.47655380000000003</v>
      </c>
      <c r="AO157" s="3">
        <v>0.48338690000000001</v>
      </c>
      <c r="AP157" s="3">
        <v>0.4901856</v>
      </c>
      <c r="AQ157" s="3">
        <v>0.49694690000000002</v>
      </c>
      <c r="AR157" s="3">
        <v>0.50366789999999995</v>
      </c>
      <c r="AS157" s="3">
        <v>0.51034559999999995</v>
      </c>
      <c r="AT157" s="3">
        <v>0.51697700000000002</v>
      </c>
      <c r="AU157" s="3">
        <v>0.52355910000000005</v>
      </c>
      <c r="AV157" s="3">
        <v>0.53008900000000003</v>
      </c>
      <c r="AW157" s="3">
        <v>0.53656360000000003</v>
      </c>
      <c r="AX157" s="3">
        <v>0.54297989999999996</v>
      </c>
      <c r="AY157" s="3">
        <v>0.54933509999999997</v>
      </c>
      <c r="AZ157" s="3">
        <v>0.55562599999999995</v>
      </c>
      <c r="BA157" s="3">
        <v>0.56185090000000004</v>
      </c>
      <c r="BB157" s="3">
        <v>0.56801380000000001</v>
      </c>
      <c r="BC157" s="3">
        <v>0.57412079999999999</v>
      </c>
      <c r="BD157" s="3">
        <v>0.58017810000000003</v>
      </c>
      <c r="BE157" s="3">
        <v>0.58619160000000003</v>
      </c>
      <c r="BF157" s="3">
        <v>0.59216749999999996</v>
      </c>
      <c r="BG157" s="3">
        <v>0.59811190000000003</v>
      </c>
      <c r="BH157" s="3">
        <v>0.60403090000000004</v>
      </c>
      <c r="BI157" s="3">
        <v>0.60993059999999999</v>
      </c>
      <c r="BJ157" s="3">
        <v>0.61581710000000001</v>
      </c>
      <c r="BK157" s="3">
        <v>0.62169640000000004</v>
      </c>
      <c r="BL157" s="3">
        <v>0.62757470000000004</v>
      </c>
      <c r="BM157" s="3" t="e">
        <v>#N/A</v>
      </c>
      <c r="BN157" s="3" t="e">
        <v>#N/A</v>
      </c>
    </row>
    <row r="158" spans="1:66" x14ac:dyDescent="0.35">
      <c r="A158" s="5">
        <f t="shared" si="2"/>
        <v>43676</v>
      </c>
      <c r="B158" t="s">
        <v>235</v>
      </c>
      <c r="C158" s="2">
        <v>0.75</v>
      </c>
      <c r="D158" s="2">
        <v>0.70920000000000005</v>
      </c>
      <c r="E158" s="3">
        <v>0.71432580000000001</v>
      </c>
      <c r="F158" s="3">
        <v>0.69073589999999996</v>
      </c>
      <c r="G158" s="3">
        <v>0.65431550000000005</v>
      </c>
      <c r="H158" s="3">
        <v>0.60817069999999995</v>
      </c>
      <c r="I158" s="3">
        <v>0.56078989999999995</v>
      </c>
      <c r="J158" s="3">
        <v>0.51843930000000005</v>
      </c>
      <c r="K158" s="3">
        <v>0.48394939999999997</v>
      </c>
      <c r="L158" s="3">
        <v>0.4574358</v>
      </c>
      <c r="M158" s="3">
        <v>0.43780780000000002</v>
      </c>
      <c r="N158" s="3">
        <v>0.4235698</v>
      </c>
      <c r="O158" s="3">
        <v>0.4134294</v>
      </c>
      <c r="P158" s="3">
        <v>0.40650649999999999</v>
      </c>
      <c r="Q158" s="3">
        <v>0.40156219999999998</v>
      </c>
      <c r="R158" s="3">
        <v>0.39810139999999999</v>
      </c>
      <c r="S158" s="3">
        <v>0.3958933</v>
      </c>
      <c r="T158" s="3">
        <v>0.39470729999999998</v>
      </c>
      <c r="U158" s="3">
        <v>0.39431270000000002</v>
      </c>
      <c r="V158" s="3">
        <v>0.39447900000000002</v>
      </c>
      <c r="W158" s="3">
        <v>0.39499980000000001</v>
      </c>
      <c r="X158" s="3">
        <v>0.39582279999999997</v>
      </c>
      <c r="Y158" s="3">
        <v>0.3969549</v>
      </c>
      <c r="Z158" s="3">
        <v>0.39840310000000001</v>
      </c>
      <c r="AA158" s="3">
        <v>0.40017439999999999</v>
      </c>
      <c r="AB158" s="3">
        <v>0.40227590000000002</v>
      </c>
      <c r="AC158" s="3">
        <v>0.40471109999999999</v>
      </c>
      <c r="AD158" s="3">
        <v>0.40746690000000002</v>
      </c>
      <c r="AE158" s="3">
        <v>0.410526</v>
      </c>
      <c r="AF158" s="3">
        <v>0.41387099999999999</v>
      </c>
      <c r="AG158" s="3">
        <v>0.41748439999999998</v>
      </c>
      <c r="AH158" s="3">
        <v>0.42134899999999997</v>
      </c>
      <c r="AI158" s="3">
        <v>0.42544720000000003</v>
      </c>
      <c r="AJ158" s="3">
        <v>0.42976170000000002</v>
      </c>
      <c r="AK158" s="3">
        <v>0.43427510000000002</v>
      </c>
      <c r="AL158" s="3">
        <v>0.43896990000000002</v>
      </c>
      <c r="AM158" s="3">
        <v>0.44382890000000003</v>
      </c>
      <c r="AN158" s="3">
        <v>0.44883459999999997</v>
      </c>
      <c r="AO158" s="3">
        <v>0.45397090000000001</v>
      </c>
      <c r="AP158" s="3">
        <v>0.45922980000000002</v>
      </c>
      <c r="AQ158" s="3">
        <v>0.4646055</v>
      </c>
      <c r="AR158" s="3">
        <v>0.47009250000000002</v>
      </c>
      <c r="AS158" s="3">
        <v>0.47568500000000002</v>
      </c>
      <c r="AT158" s="3">
        <v>0.48137740000000001</v>
      </c>
      <c r="AU158" s="3">
        <v>0.48716419999999999</v>
      </c>
      <c r="AV158" s="3">
        <v>0.49303960000000002</v>
      </c>
      <c r="AW158" s="3">
        <v>0.498998</v>
      </c>
      <c r="AX158" s="3">
        <v>0.50503370000000003</v>
      </c>
      <c r="AY158" s="3">
        <v>0.51114130000000002</v>
      </c>
      <c r="AZ158" s="3">
        <v>0.51731490000000002</v>
      </c>
      <c r="BA158" s="3">
        <v>0.5235493</v>
      </c>
      <c r="BB158" s="3">
        <v>0.52984120000000001</v>
      </c>
      <c r="BC158" s="3">
        <v>0.53618750000000004</v>
      </c>
      <c r="BD158" s="3">
        <v>0.54258550000000005</v>
      </c>
      <c r="BE158" s="3">
        <v>0.54903219999999997</v>
      </c>
      <c r="BF158" s="3">
        <v>0.55552480000000004</v>
      </c>
      <c r="BG158" s="3">
        <v>0.56206040000000002</v>
      </c>
      <c r="BH158" s="3">
        <v>0.56863609999999998</v>
      </c>
      <c r="BI158" s="3">
        <v>0.57524900000000001</v>
      </c>
      <c r="BJ158" s="3">
        <v>0.58189619999999997</v>
      </c>
      <c r="BK158" s="3">
        <v>0.58857490000000001</v>
      </c>
      <c r="BL158" s="3">
        <v>0.59528219999999998</v>
      </c>
      <c r="BM158" s="3" t="e">
        <v>#N/A</v>
      </c>
      <c r="BN158" s="3" t="e">
        <v>#N/A</v>
      </c>
    </row>
    <row r="159" spans="1:66" x14ac:dyDescent="0.35">
      <c r="A159" s="5">
        <f t="shared" si="2"/>
        <v>43677</v>
      </c>
      <c r="B159" t="s">
        <v>236</v>
      </c>
      <c r="C159" s="2">
        <v>0.75</v>
      </c>
      <c r="D159" s="2">
        <v>0.70809999999999995</v>
      </c>
      <c r="E159" s="3">
        <v>0.70903300000000002</v>
      </c>
      <c r="F159" s="3">
        <v>0.68839879999999998</v>
      </c>
      <c r="G159" s="3">
        <v>0.65404379999999995</v>
      </c>
      <c r="H159" s="3">
        <v>0.60910059999999999</v>
      </c>
      <c r="I159" s="3">
        <v>0.56220610000000004</v>
      </c>
      <c r="J159" s="3">
        <v>0.51983900000000005</v>
      </c>
      <c r="K159" s="3">
        <v>0.48503600000000002</v>
      </c>
      <c r="L159" s="3">
        <v>0.45784999999999998</v>
      </c>
      <c r="M159" s="3">
        <v>0.4370541</v>
      </c>
      <c r="N159" s="3">
        <v>0.42116989999999999</v>
      </c>
      <c r="O159" s="3">
        <v>0.40929589999999999</v>
      </c>
      <c r="P159" s="3">
        <v>0.40083770000000002</v>
      </c>
      <c r="Q159" s="3">
        <v>0.39521200000000001</v>
      </c>
      <c r="R159" s="3">
        <v>0.39184970000000002</v>
      </c>
      <c r="S159" s="3">
        <v>0.39018900000000001</v>
      </c>
      <c r="T159" s="3">
        <v>0.38966780000000001</v>
      </c>
      <c r="U159" s="3">
        <v>0.38972430000000002</v>
      </c>
      <c r="V159" s="3">
        <v>0.3897967</v>
      </c>
      <c r="W159" s="3">
        <v>0.38940960000000002</v>
      </c>
      <c r="X159" s="3">
        <v>0.3885789</v>
      </c>
      <c r="Y159" s="3">
        <v>0.38749299999999998</v>
      </c>
      <c r="Z159" s="3">
        <v>0.38634059999999998</v>
      </c>
      <c r="AA159" s="3">
        <v>0.38531019999999999</v>
      </c>
      <c r="AB159" s="3">
        <v>0.3845905</v>
      </c>
      <c r="AC159" s="3">
        <v>0.38434489999999999</v>
      </c>
      <c r="AD159" s="3">
        <v>0.3846001</v>
      </c>
      <c r="AE159" s="3">
        <v>0.38533719999999999</v>
      </c>
      <c r="AF159" s="3">
        <v>0.38653729999999997</v>
      </c>
      <c r="AG159" s="3">
        <v>0.38818140000000001</v>
      </c>
      <c r="AH159" s="3">
        <v>0.3902506</v>
      </c>
      <c r="AI159" s="3">
        <v>0.39272590000000002</v>
      </c>
      <c r="AJ159" s="3">
        <v>0.39558840000000001</v>
      </c>
      <c r="AK159" s="3">
        <v>0.39881909999999998</v>
      </c>
      <c r="AL159" s="3">
        <v>0.40239910000000001</v>
      </c>
      <c r="AM159" s="3">
        <v>0.40630939999999999</v>
      </c>
      <c r="AN159" s="3">
        <v>0.41053119999999999</v>
      </c>
      <c r="AO159" s="3">
        <v>0.41504489999999999</v>
      </c>
      <c r="AP159" s="3">
        <v>0.41982969999999997</v>
      </c>
      <c r="AQ159" s="3">
        <v>0.42486380000000001</v>
      </c>
      <c r="AR159" s="3">
        <v>0.43012549999999999</v>
      </c>
      <c r="AS159" s="3">
        <v>0.43559320000000001</v>
      </c>
      <c r="AT159" s="3">
        <v>0.44124530000000001</v>
      </c>
      <c r="AU159" s="3">
        <v>0.44706020000000002</v>
      </c>
      <c r="AV159" s="3">
        <v>0.45301609999999998</v>
      </c>
      <c r="AW159" s="3">
        <v>0.45909139999999998</v>
      </c>
      <c r="AX159" s="3">
        <v>0.46526450000000003</v>
      </c>
      <c r="AY159" s="3">
        <v>0.47151369999999998</v>
      </c>
      <c r="AZ159" s="3">
        <v>0.4778174</v>
      </c>
      <c r="BA159" s="3">
        <v>0.48415720000000001</v>
      </c>
      <c r="BB159" s="3">
        <v>0.4905293</v>
      </c>
      <c r="BC159" s="3">
        <v>0.49693359999999998</v>
      </c>
      <c r="BD159" s="3">
        <v>0.5033704</v>
      </c>
      <c r="BE159" s="3">
        <v>0.50983970000000001</v>
      </c>
      <c r="BF159" s="3">
        <v>0.51634170000000001</v>
      </c>
      <c r="BG159" s="3">
        <v>0.52287649999999997</v>
      </c>
      <c r="BH159" s="3">
        <v>0.52944409999999997</v>
      </c>
      <c r="BI159" s="3">
        <v>0.53604470000000004</v>
      </c>
      <c r="BJ159" s="3">
        <v>0.54267840000000001</v>
      </c>
      <c r="BK159" s="3">
        <v>0.54934530000000004</v>
      </c>
      <c r="BL159" s="3">
        <v>0.55604549999999997</v>
      </c>
      <c r="BM159" s="3" t="e">
        <v>#N/A</v>
      </c>
      <c r="BN159" s="3" t="e">
        <v>#N/A</v>
      </c>
    </row>
    <row r="160" spans="1:66" x14ac:dyDescent="0.35">
      <c r="A160" s="5">
        <f t="shared" si="2"/>
        <v>43678</v>
      </c>
      <c r="B160" t="s">
        <v>237</v>
      </c>
      <c r="C160" s="2">
        <v>0.75</v>
      </c>
      <c r="D160" s="2">
        <v>0.7087</v>
      </c>
      <c r="E160" s="3">
        <v>0.70879749999999997</v>
      </c>
      <c r="F160" s="3">
        <v>0.69433639999999996</v>
      </c>
      <c r="G160" s="3">
        <v>0.66462410000000005</v>
      </c>
      <c r="H160" s="3">
        <v>0.62140810000000002</v>
      </c>
      <c r="I160" s="3">
        <v>0.57324850000000005</v>
      </c>
      <c r="J160" s="3">
        <v>0.52812119999999996</v>
      </c>
      <c r="K160" s="3">
        <v>0.49042730000000001</v>
      </c>
      <c r="L160" s="3">
        <v>0.4611382</v>
      </c>
      <c r="M160" s="3">
        <v>0.43861689999999998</v>
      </c>
      <c r="N160" s="3">
        <v>0.42091810000000002</v>
      </c>
      <c r="O160" s="3">
        <v>0.4068232</v>
      </c>
      <c r="P160" s="3">
        <v>0.39553569999999999</v>
      </c>
      <c r="Q160" s="3">
        <v>0.38644869999999998</v>
      </c>
      <c r="R160" s="3">
        <v>0.37926110000000002</v>
      </c>
      <c r="S160" s="3">
        <v>0.37376809999999999</v>
      </c>
      <c r="T160" s="3">
        <v>0.3697647</v>
      </c>
      <c r="U160" s="3">
        <v>0.36704619999999999</v>
      </c>
      <c r="V160" s="3">
        <v>0.36540790000000001</v>
      </c>
      <c r="W160" s="3">
        <v>0.36465449999999999</v>
      </c>
      <c r="X160" s="3">
        <v>0.36464069999999998</v>
      </c>
      <c r="Y160" s="3">
        <v>0.36523679999999997</v>
      </c>
      <c r="Z160" s="3">
        <v>0.36631320000000001</v>
      </c>
      <c r="AA160" s="3">
        <v>0.36774050000000003</v>
      </c>
      <c r="AB160" s="3">
        <v>0.36938890000000002</v>
      </c>
      <c r="AC160" s="3">
        <v>0.371147</v>
      </c>
      <c r="AD160" s="3">
        <v>0.37299209999999999</v>
      </c>
      <c r="AE160" s="3">
        <v>0.37492809999999999</v>
      </c>
      <c r="AF160" s="3">
        <v>0.37695919999999999</v>
      </c>
      <c r="AG160" s="3">
        <v>0.37908950000000002</v>
      </c>
      <c r="AH160" s="3">
        <v>0.38132310000000003</v>
      </c>
      <c r="AI160" s="3">
        <v>0.38366400000000001</v>
      </c>
      <c r="AJ160" s="3">
        <v>0.38611640000000003</v>
      </c>
      <c r="AK160" s="3">
        <v>0.38868429999999998</v>
      </c>
      <c r="AL160" s="3">
        <v>0.39137189999999999</v>
      </c>
      <c r="AM160" s="3">
        <v>0.39418320000000001</v>
      </c>
      <c r="AN160" s="3">
        <v>0.39712229999999998</v>
      </c>
      <c r="AO160" s="3">
        <v>0.40019339999999998</v>
      </c>
      <c r="AP160" s="3">
        <v>0.40340029999999999</v>
      </c>
      <c r="AQ160" s="3">
        <v>0.40674690000000002</v>
      </c>
      <c r="AR160" s="3">
        <v>0.41023710000000002</v>
      </c>
      <c r="AS160" s="3">
        <v>0.41387489999999999</v>
      </c>
      <c r="AT160" s="3">
        <v>0.41766399999999998</v>
      </c>
      <c r="AU160" s="3">
        <v>0.4216085</v>
      </c>
      <c r="AV160" s="3">
        <v>0.42571209999999998</v>
      </c>
      <c r="AW160" s="3">
        <v>0.42997879999999999</v>
      </c>
      <c r="AX160" s="3">
        <v>0.43441259999999998</v>
      </c>
      <c r="AY160" s="3">
        <v>0.4390172</v>
      </c>
      <c r="AZ160" s="3">
        <v>0.44379649999999998</v>
      </c>
      <c r="BA160" s="3">
        <v>0.44875290000000001</v>
      </c>
      <c r="BB160" s="3">
        <v>0.45388079999999997</v>
      </c>
      <c r="BC160" s="3">
        <v>0.4591731</v>
      </c>
      <c r="BD160" s="3">
        <v>0.46462219999999999</v>
      </c>
      <c r="BE160" s="3">
        <v>0.47022079999999999</v>
      </c>
      <c r="BF160" s="3">
        <v>0.47596159999999998</v>
      </c>
      <c r="BG160" s="3">
        <v>0.48183700000000002</v>
      </c>
      <c r="BH160" s="3">
        <v>0.48783979999999999</v>
      </c>
      <c r="BI160" s="3">
        <v>0.49396250000000003</v>
      </c>
      <c r="BJ160" s="3">
        <v>0.50019780000000003</v>
      </c>
      <c r="BK160" s="3">
        <v>0.5065383</v>
      </c>
      <c r="BL160" s="3">
        <v>0.5129766</v>
      </c>
      <c r="BM160" s="3" t="e">
        <v>#N/A</v>
      </c>
      <c r="BN160" s="3" t="e">
        <v>#N/A</v>
      </c>
    </row>
    <row r="161" spans="1:66" x14ac:dyDescent="0.35">
      <c r="A161" s="5">
        <f t="shared" si="2"/>
        <v>43679</v>
      </c>
      <c r="B161" t="s">
        <v>238</v>
      </c>
      <c r="C161" s="2">
        <v>0.75</v>
      </c>
      <c r="D161" s="2">
        <v>0.70830000000000004</v>
      </c>
      <c r="E161" s="3">
        <v>0.71178339999999996</v>
      </c>
      <c r="F161" s="3">
        <v>0.69541120000000001</v>
      </c>
      <c r="G161" s="3">
        <v>0.66275499999999998</v>
      </c>
      <c r="H161" s="3">
        <v>0.61730379999999996</v>
      </c>
      <c r="I161" s="3">
        <v>0.56955730000000004</v>
      </c>
      <c r="J161" s="3">
        <v>0.52640659999999995</v>
      </c>
      <c r="K161" s="3">
        <v>0.49067699999999997</v>
      </c>
      <c r="L161" s="3">
        <v>0.46257819999999999</v>
      </c>
      <c r="M161" s="3">
        <v>0.44051469999999998</v>
      </c>
      <c r="N161" s="3">
        <v>0.4230429</v>
      </c>
      <c r="O161" s="3">
        <v>0.40894849999999999</v>
      </c>
      <c r="P161" s="3">
        <v>0.39742</v>
      </c>
      <c r="Q161" s="3">
        <v>0.38768930000000001</v>
      </c>
      <c r="R161" s="3">
        <v>0.37940459999999998</v>
      </c>
      <c r="S161" s="3">
        <v>0.37235430000000003</v>
      </c>
      <c r="T161" s="3">
        <v>0.36632680000000001</v>
      </c>
      <c r="U161" s="3">
        <v>0.3611106</v>
      </c>
      <c r="V161" s="3">
        <v>0.35649419999999998</v>
      </c>
      <c r="W161" s="3">
        <v>0.35229569999999999</v>
      </c>
      <c r="X161" s="3">
        <v>0.34848580000000001</v>
      </c>
      <c r="Y161" s="3">
        <v>0.3450838</v>
      </c>
      <c r="Z161" s="3">
        <v>0.342109</v>
      </c>
      <c r="AA161" s="3">
        <v>0.33958090000000002</v>
      </c>
      <c r="AB161" s="3">
        <v>0.33751880000000001</v>
      </c>
      <c r="AC161" s="3">
        <v>0.33593529999999999</v>
      </c>
      <c r="AD161" s="3">
        <v>0.33481369999999999</v>
      </c>
      <c r="AE161" s="3">
        <v>0.33412920000000002</v>
      </c>
      <c r="AF161" s="3">
        <v>0.33385690000000001</v>
      </c>
      <c r="AG161" s="3">
        <v>0.33397209999999999</v>
      </c>
      <c r="AH161" s="3">
        <v>0.33444990000000002</v>
      </c>
      <c r="AI161" s="3">
        <v>0.33526539999999999</v>
      </c>
      <c r="AJ161" s="3">
        <v>0.33639390000000002</v>
      </c>
      <c r="AK161" s="3">
        <v>0.33781040000000001</v>
      </c>
      <c r="AL161" s="3">
        <v>0.33949020000000002</v>
      </c>
      <c r="AM161" s="3">
        <v>0.3414084</v>
      </c>
      <c r="AN161" s="3">
        <v>0.34354030000000002</v>
      </c>
      <c r="AO161" s="3">
        <v>0.34586440000000002</v>
      </c>
      <c r="AP161" s="3">
        <v>0.34837580000000001</v>
      </c>
      <c r="AQ161" s="3">
        <v>0.35107329999999998</v>
      </c>
      <c r="AR161" s="3">
        <v>0.3539563</v>
      </c>
      <c r="AS161" s="3">
        <v>0.3570238</v>
      </c>
      <c r="AT161" s="3">
        <v>0.36027500000000001</v>
      </c>
      <c r="AU161" s="3">
        <v>0.363709</v>
      </c>
      <c r="AV161" s="3">
        <v>0.36732490000000001</v>
      </c>
      <c r="AW161" s="3">
        <v>0.37112200000000001</v>
      </c>
      <c r="AX161" s="3">
        <v>0.37509930000000002</v>
      </c>
      <c r="AY161" s="3">
        <v>0.37925609999999998</v>
      </c>
      <c r="AZ161" s="3">
        <v>0.38359130000000002</v>
      </c>
      <c r="BA161" s="3">
        <v>0.38810339999999999</v>
      </c>
      <c r="BB161" s="3">
        <v>0.392787</v>
      </c>
      <c r="BC161" s="3">
        <v>0.39763599999999999</v>
      </c>
      <c r="BD161" s="3">
        <v>0.4026438</v>
      </c>
      <c r="BE161" s="3">
        <v>0.40780440000000001</v>
      </c>
      <c r="BF161" s="3">
        <v>0.41311130000000001</v>
      </c>
      <c r="BG161" s="3">
        <v>0.41855829999999999</v>
      </c>
      <c r="BH161" s="3">
        <v>0.42413909999999999</v>
      </c>
      <c r="BI161" s="3">
        <v>0.42984729999999999</v>
      </c>
      <c r="BJ161" s="3">
        <v>0.43567669999999997</v>
      </c>
      <c r="BK161" s="3">
        <v>0.44162109999999999</v>
      </c>
      <c r="BL161" s="3">
        <v>0.44767400000000002</v>
      </c>
      <c r="BM161" s="3" t="e">
        <v>#N/A</v>
      </c>
      <c r="BN161" s="3" t="e">
        <v>#N/A</v>
      </c>
    </row>
    <row r="162" spans="1:66" x14ac:dyDescent="0.35">
      <c r="A162" s="5">
        <f t="shared" si="2"/>
        <v>43682</v>
      </c>
      <c r="B162" t="s">
        <v>239</v>
      </c>
      <c r="C162" s="2">
        <v>0.75</v>
      </c>
      <c r="D162" s="2">
        <v>0.70920000000000005</v>
      </c>
      <c r="E162" s="3">
        <v>0.70521800000000001</v>
      </c>
      <c r="F162" s="3">
        <v>0.6773576</v>
      </c>
      <c r="G162" s="3">
        <v>0.63703710000000002</v>
      </c>
      <c r="H162" s="3">
        <v>0.58945630000000004</v>
      </c>
      <c r="I162" s="3">
        <v>0.54382640000000004</v>
      </c>
      <c r="J162" s="3">
        <v>0.5039034</v>
      </c>
      <c r="K162" s="3">
        <v>0.47065040000000002</v>
      </c>
      <c r="L162" s="3">
        <v>0.4440692</v>
      </c>
      <c r="M162" s="3">
        <v>0.42313450000000002</v>
      </c>
      <c r="N162" s="3">
        <v>0.40634160000000002</v>
      </c>
      <c r="O162" s="3">
        <v>0.39260450000000002</v>
      </c>
      <c r="P162" s="3">
        <v>0.3810077</v>
      </c>
      <c r="Q162" s="3">
        <v>0.37056539999999999</v>
      </c>
      <c r="R162" s="3">
        <v>0.36098010000000003</v>
      </c>
      <c r="S162" s="3">
        <v>0.35216510000000001</v>
      </c>
      <c r="T162" s="3">
        <v>0.3440337</v>
      </c>
      <c r="U162" s="3">
        <v>0.3364992</v>
      </c>
      <c r="V162" s="3">
        <v>0.32947510000000002</v>
      </c>
      <c r="W162" s="3">
        <v>0.3228896</v>
      </c>
      <c r="X162" s="3">
        <v>0.31674760000000002</v>
      </c>
      <c r="Y162" s="3">
        <v>0.31107829999999997</v>
      </c>
      <c r="Z162" s="3">
        <v>0.30591099999999999</v>
      </c>
      <c r="AA162" s="3">
        <v>0.30127490000000001</v>
      </c>
      <c r="AB162" s="3">
        <v>0.2971993</v>
      </c>
      <c r="AC162" s="3">
        <v>0.2937051</v>
      </c>
      <c r="AD162" s="3">
        <v>0.29077589999999998</v>
      </c>
      <c r="AE162" s="3">
        <v>0.28838520000000001</v>
      </c>
      <c r="AF162" s="3">
        <v>0.28650639999999999</v>
      </c>
      <c r="AG162" s="3">
        <v>0.2851129</v>
      </c>
      <c r="AH162" s="3">
        <v>0.28417829999999999</v>
      </c>
      <c r="AI162" s="3">
        <v>0.28367579999999998</v>
      </c>
      <c r="AJ162" s="3">
        <v>0.28357909999999997</v>
      </c>
      <c r="AK162" s="3">
        <v>0.28386139999999999</v>
      </c>
      <c r="AL162" s="3">
        <v>0.28449629999999998</v>
      </c>
      <c r="AM162" s="3">
        <v>0.28545710000000002</v>
      </c>
      <c r="AN162" s="3">
        <v>0.28671730000000001</v>
      </c>
      <c r="AO162" s="3">
        <v>0.28825279999999998</v>
      </c>
      <c r="AP162" s="3">
        <v>0.29005009999999998</v>
      </c>
      <c r="AQ162" s="3">
        <v>0.29209849999999998</v>
      </c>
      <c r="AR162" s="3">
        <v>0.29438750000000002</v>
      </c>
      <c r="AS162" s="3">
        <v>0.29690660000000002</v>
      </c>
      <c r="AT162" s="3">
        <v>0.2996452</v>
      </c>
      <c r="AU162" s="3">
        <v>0.30259269999999999</v>
      </c>
      <c r="AV162" s="3">
        <v>0.30573850000000002</v>
      </c>
      <c r="AW162" s="3">
        <v>0.30907210000000002</v>
      </c>
      <c r="AX162" s="3">
        <v>0.312583</v>
      </c>
      <c r="AY162" s="3">
        <v>0.3162604</v>
      </c>
      <c r="AZ162" s="3">
        <v>0.32009399999999999</v>
      </c>
      <c r="BA162" s="3">
        <v>0.32407380000000002</v>
      </c>
      <c r="BB162" s="3">
        <v>0.32819369999999998</v>
      </c>
      <c r="BC162" s="3">
        <v>0.33244879999999999</v>
      </c>
      <c r="BD162" s="3">
        <v>0.33683439999999998</v>
      </c>
      <c r="BE162" s="3">
        <v>0.34134540000000002</v>
      </c>
      <c r="BF162" s="3">
        <v>0.34597709999999998</v>
      </c>
      <c r="BG162" s="3">
        <v>0.3507247</v>
      </c>
      <c r="BH162" s="3">
        <v>0.35558309999999999</v>
      </c>
      <c r="BI162" s="3">
        <v>0.36054770000000003</v>
      </c>
      <c r="BJ162" s="3">
        <v>0.36561349999999998</v>
      </c>
      <c r="BK162" s="3">
        <v>0.37077569999999999</v>
      </c>
      <c r="BL162" s="3">
        <v>0.37602950000000002</v>
      </c>
      <c r="BM162" s="3" t="e">
        <v>#N/A</v>
      </c>
      <c r="BN162" s="3" t="e">
        <v>#N/A</v>
      </c>
    </row>
    <row r="163" spans="1:66" x14ac:dyDescent="0.35">
      <c r="A163" s="5">
        <f t="shared" si="2"/>
        <v>43683</v>
      </c>
      <c r="B163" t="s">
        <v>240</v>
      </c>
      <c r="C163" s="2">
        <v>0.75</v>
      </c>
      <c r="D163" s="2">
        <v>0.70960000000000001</v>
      </c>
      <c r="E163" s="3">
        <v>0.70662349999999996</v>
      </c>
      <c r="F163" s="3">
        <v>0.68169519999999995</v>
      </c>
      <c r="G163" s="3">
        <v>0.64395690000000005</v>
      </c>
      <c r="H163" s="3">
        <v>0.59841560000000005</v>
      </c>
      <c r="I163" s="3">
        <v>0.55438120000000002</v>
      </c>
      <c r="J163" s="3">
        <v>0.51580079999999995</v>
      </c>
      <c r="K163" s="3">
        <v>0.48370570000000002</v>
      </c>
      <c r="L163" s="3">
        <v>0.45799450000000003</v>
      </c>
      <c r="M163" s="3">
        <v>0.437496</v>
      </c>
      <c r="N163" s="3">
        <v>0.4209079</v>
      </c>
      <c r="O163" s="3">
        <v>0.40736230000000001</v>
      </c>
      <c r="P163" s="3">
        <v>0.39637549999999999</v>
      </c>
      <c r="Q163" s="3">
        <v>0.3876117</v>
      </c>
      <c r="R163" s="3">
        <v>0.38070700000000002</v>
      </c>
      <c r="S163" s="3">
        <v>0.37528499999999998</v>
      </c>
      <c r="T163" s="3">
        <v>0.3709691</v>
      </c>
      <c r="U163" s="3">
        <v>0.36738300000000002</v>
      </c>
      <c r="V163" s="3">
        <v>0.36415009999999998</v>
      </c>
      <c r="W163" s="3">
        <v>0.36093609999999998</v>
      </c>
      <c r="X163" s="3">
        <v>0.35766949999999997</v>
      </c>
      <c r="Y163" s="3">
        <v>0.35438059999999999</v>
      </c>
      <c r="Z163" s="3">
        <v>0.35110000000000002</v>
      </c>
      <c r="AA163" s="3">
        <v>0.34785840000000001</v>
      </c>
      <c r="AB163" s="3">
        <v>0.3446862</v>
      </c>
      <c r="AC163" s="3">
        <v>0.34161269999999999</v>
      </c>
      <c r="AD163" s="3">
        <v>0.33866049999999998</v>
      </c>
      <c r="AE163" s="3">
        <v>0.3358508</v>
      </c>
      <c r="AF163" s="3">
        <v>0.33320460000000002</v>
      </c>
      <c r="AG163" s="3">
        <v>0.33074310000000001</v>
      </c>
      <c r="AH163" s="3">
        <v>0.32848719999999998</v>
      </c>
      <c r="AI163" s="3">
        <v>0.32645790000000002</v>
      </c>
      <c r="AJ163" s="3">
        <v>0.32467649999999998</v>
      </c>
      <c r="AK163" s="3">
        <v>0.3231639</v>
      </c>
      <c r="AL163" s="3">
        <v>0.32194109999999998</v>
      </c>
      <c r="AM163" s="3">
        <v>0.32102930000000002</v>
      </c>
      <c r="AN163" s="3">
        <v>0.3204495</v>
      </c>
      <c r="AO163" s="3">
        <v>0.32021899999999998</v>
      </c>
      <c r="AP163" s="3">
        <v>0.32033499999999998</v>
      </c>
      <c r="AQ163" s="3">
        <v>0.32078800000000002</v>
      </c>
      <c r="AR163" s="3">
        <v>0.32156829999999997</v>
      </c>
      <c r="AS163" s="3">
        <v>0.32266650000000002</v>
      </c>
      <c r="AT163" s="3">
        <v>0.324073</v>
      </c>
      <c r="AU163" s="3">
        <v>0.32577810000000001</v>
      </c>
      <c r="AV163" s="3">
        <v>0.32777240000000002</v>
      </c>
      <c r="AW163" s="3">
        <v>0.33004620000000001</v>
      </c>
      <c r="AX163" s="3">
        <v>0.3325901</v>
      </c>
      <c r="AY163" s="3">
        <v>0.33539439999999998</v>
      </c>
      <c r="AZ163" s="3">
        <v>0.33844950000000001</v>
      </c>
      <c r="BA163" s="3">
        <v>0.34174599999999999</v>
      </c>
      <c r="BB163" s="3">
        <v>0.34527419999999998</v>
      </c>
      <c r="BC163" s="3">
        <v>0.34902430000000001</v>
      </c>
      <c r="BD163" s="3">
        <v>0.35298679999999999</v>
      </c>
      <c r="BE163" s="3">
        <v>0.35715200000000003</v>
      </c>
      <c r="BF163" s="3">
        <v>0.3615102</v>
      </c>
      <c r="BG163" s="3">
        <v>0.36605169999999998</v>
      </c>
      <c r="BH163" s="3">
        <v>0.37076700000000001</v>
      </c>
      <c r="BI163" s="3">
        <v>0.37564629999999999</v>
      </c>
      <c r="BJ163" s="3">
        <v>0.38067990000000002</v>
      </c>
      <c r="BK163" s="3">
        <v>0.38585829999999999</v>
      </c>
      <c r="BL163" s="3">
        <v>0.39117180000000001</v>
      </c>
      <c r="BM163" s="3" t="e">
        <v>#N/A</v>
      </c>
      <c r="BN163" s="3" t="e">
        <v>#N/A</v>
      </c>
    </row>
    <row r="164" spans="1:66" x14ac:dyDescent="0.35">
      <c r="A164" s="5">
        <f t="shared" si="2"/>
        <v>43684</v>
      </c>
      <c r="B164" t="s">
        <v>241</v>
      </c>
      <c r="C164" s="2">
        <v>0.75</v>
      </c>
      <c r="D164" s="2">
        <v>0.70979999999999999</v>
      </c>
      <c r="E164" s="3">
        <v>0.71098589999999995</v>
      </c>
      <c r="F164" s="3">
        <v>0.68745469999999997</v>
      </c>
      <c r="G164" s="3">
        <v>0.64632769999999995</v>
      </c>
      <c r="H164" s="3">
        <v>0.59456390000000003</v>
      </c>
      <c r="I164" s="3">
        <v>0.54488159999999997</v>
      </c>
      <c r="J164" s="3">
        <v>0.50332129999999997</v>
      </c>
      <c r="K164" s="3">
        <v>0.4713157</v>
      </c>
      <c r="L164" s="3">
        <v>0.44772390000000001</v>
      </c>
      <c r="M164" s="3">
        <v>0.43051129999999999</v>
      </c>
      <c r="N164" s="3">
        <v>0.4178248</v>
      </c>
      <c r="O164" s="3">
        <v>0.40838730000000001</v>
      </c>
      <c r="P164" s="3">
        <v>0.40124280000000001</v>
      </c>
      <c r="Q164" s="3">
        <v>0.39540599999999998</v>
      </c>
      <c r="R164" s="3">
        <v>0.3904646</v>
      </c>
      <c r="S164" s="3">
        <v>0.38618259999999999</v>
      </c>
      <c r="T164" s="3">
        <v>0.3823242</v>
      </c>
      <c r="U164" s="3">
        <v>0.37865339999999997</v>
      </c>
      <c r="V164" s="3">
        <v>0.3749343</v>
      </c>
      <c r="W164" s="3">
        <v>0.37096610000000002</v>
      </c>
      <c r="X164" s="3">
        <v>0.36674639999999997</v>
      </c>
      <c r="Y164" s="3">
        <v>0.36234250000000001</v>
      </c>
      <c r="Z164" s="3">
        <v>0.35782180000000002</v>
      </c>
      <c r="AA164" s="3">
        <v>0.35325200000000001</v>
      </c>
      <c r="AB164" s="3">
        <v>0.34870030000000002</v>
      </c>
      <c r="AC164" s="3">
        <v>0.34422970000000003</v>
      </c>
      <c r="AD164" s="3">
        <v>0.3398777</v>
      </c>
      <c r="AE164" s="3">
        <v>0.33567370000000002</v>
      </c>
      <c r="AF164" s="3">
        <v>0.33164690000000002</v>
      </c>
      <c r="AG164" s="3">
        <v>0.32782670000000003</v>
      </c>
      <c r="AH164" s="3">
        <v>0.32424209999999998</v>
      </c>
      <c r="AI164" s="3">
        <v>0.3209226</v>
      </c>
      <c r="AJ164" s="3">
        <v>0.3178974</v>
      </c>
      <c r="AK164" s="3">
        <v>0.31519570000000002</v>
      </c>
      <c r="AL164" s="3">
        <v>0.31284679999999998</v>
      </c>
      <c r="AM164" s="3">
        <v>0.31087999999999999</v>
      </c>
      <c r="AN164" s="3">
        <v>0.30932460000000001</v>
      </c>
      <c r="AO164" s="3">
        <v>0.308203</v>
      </c>
      <c r="AP164" s="3">
        <v>0.30750499999999997</v>
      </c>
      <c r="AQ164" s="3">
        <v>0.30721039999999999</v>
      </c>
      <c r="AR164" s="3">
        <v>0.30729889999999999</v>
      </c>
      <c r="AS164" s="3">
        <v>0.30775029999999998</v>
      </c>
      <c r="AT164" s="3">
        <v>0.30854429999999999</v>
      </c>
      <c r="AU164" s="3">
        <v>0.30966080000000001</v>
      </c>
      <c r="AV164" s="3">
        <v>0.3110793</v>
      </c>
      <c r="AW164" s="3">
        <v>0.3127798</v>
      </c>
      <c r="AX164" s="3">
        <v>0.31474200000000002</v>
      </c>
      <c r="AY164" s="3">
        <v>0.31694559999999999</v>
      </c>
      <c r="AZ164" s="3">
        <v>0.3193703</v>
      </c>
      <c r="BA164" s="3">
        <v>0.32199800000000001</v>
      </c>
      <c r="BB164" s="3">
        <v>0.32481910000000003</v>
      </c>
      <c r="BC164" s="3">
        <v>0.32782660000000002</v>
      </c>
      <c r="BD164" s="3">
        <v>0.33101350000000002</v>
      </c>
      <c r="BE164" s="3">
        <v>0.33437260000000002</v>
      </c>
      <c r="BF164" s="3">
        <v>0.3378969</v>
      </c>
      <c r="BG164" s="3">
        <v>0.34157929999999997</v>
      </c>
      <c r="BH164" s="3">
        <v>0.34541290000000002</v>
      </c>
      <c r="BI164" s="3">
        <v>0.34939049999999999</v>
      </c>
      <c r="BJ164" s="3">
        <v>0.35350500000000001</v>
      </c>
      <c r="BK164" s="3">
        <v>0.3577495</v>
      </c>
      <c r="BL164" s="3">
        <v>0.36211690000000002</v>
      </c>
      <c r="BM164" s="3" t="e">
        <v>#N/A</v>
      </c>
      <c r="BN164" s="3" t="e">
        <v>#N/A</v>
      </c>
    </row>
    <row r="165" spans="1:66" x14ac:dyDescent="0.35">
      <c r="A165" s="5">
        <f t="shared" si="2"/>
        <v>43685</v>
      </c>
      <c r="B165" t="s">
        <v>242</v>
      </c>
      <c r="C165" s="2">
        <v>0.75</v>
      </c>
      <c r="D165" s="2">
        <v>0.70920000000000005</v>
      </c>
      <c r="E165" s="3">
        <v>0.71002419999999999</v>
      </c>
      <c r="F165" s="3">
        <v>0.68386460000000004</v>
      </c>
      <c r="G165" s="3">
        <v>0.6396695</v>
      </c>
      <c r="H165" s="3">
        <v>0.5861634</v>
      </c>
      <c r="I165" s="3">
        <v>0.53666460000000005</v>
      </c>
      <c r="J165" s="3">
        <v>0.49626480000000001</v>
      </c>
      <c r="K165" s="3">
        <v>0.46531270000000002</v>
      </c>
      <c r="L165" s="3">
        <v>0.44303530000000002</v>
      </c>
      <c r="M165" s="3">
        <v>0.42724289999999998</v>
      </c>
      <c r="N165" s="3">
        <v>0.41578559999999998</v>
      </c>
      <c r="O165" s="3">
        <v>0.4072595</v>
      </c>
      <c r="P165" s="3">
        <v>0.4006845</v>
      </c>
      <c r="Q165" s="3">
        <v>0.39525100000000002</v>
      </c>
      <c r="R165" s="3">
        <v>0.39064209999999999</v>
      </c>
      <c r="S165" s="3">
        <v>0.38670599999999999</v>
      </c>
      <c r="T165" s="3">
        <v>0.38329089999999999</v>
      </c>
      <c r="U165" s="3">
        <v>0.380245</v>
      </c>
      <c r="V165" s="3">
        <v>0.37741639999999999</v>
      </c>
      <c r="W165" s="3">
        <v>0.37467830000000002</v>
      </c>
      <c r="X165" s="3">
        <v>0.37203170000000002</v>
      </c>
      <c r="Y165" s="3">
        <v>0.36951820000000002</v>
      </c>
      <c r="Z165" s="3">
        <v>0.3671798</v>
      </c>
      <c r="AA165" s="3">
        <v>0.3650582</v>
      </c>
      <c r="AB165" s="3">
        <v>0.36319509999999999</v>
      </c>
      <c r="AC165" s="3">
        <v>0.36162549999999999</v>
      </c>
      <c r="AD165" s="3">
        <v>0.36035109999999998</v>
      </c>
      <c r="AE165" s="3">
        <v>0.3593634</v>
      </c>
      <c r="AF165" s="3">
        <v>0.35865390000000003</v>
      </c>
      <c r="AG165" s="3">
        <v>0.35821409999999998</v>
      </c>
      <c r="AH165" s="3">
        <v>0.35803550000000001</v>
      </c>
      <c r="AI165" s="3">
        <v>0.35810959999999997</v>
      </c>
      <c r="AJ165" s="3">
        <v>0.35842790000000002</v>
      </c>
      <c r="AK165" s="3">
        <v>0.35898200000000002</v>
      </c>
      <c r="AL165" s="3">
        <v>0.35976340000000001</v>
      </c>
      <c r="AM165" s="3">
        <v>0.36076350000000001</v>
      </c>
      <c r="AN165" s="3">
        <v>0.36197380000000001</v>
      </c>
      <c r="AO165" s="3">
        <v>0.36338609999999999</v>
      </c>
      <c r="AP165" s="3">
        <v>0.36499229999999999</v>
      </c>
      <c r="AQ165" s="3">
        <v>0.36678460000000002</v>
      </c>
      <c r="AR165" s="3">
        <v>0.36875520000000001</v>
      </c>
      <c r="AS165" s="3">
        <v>0.37089640000000001</v>
      </c>
      <c r="AT165" s="3">
        <v>0.37320029999999998</v>
      </c>
      <c r="AU165" s="3">
        <v>0.37565920000000003</v>
      </c>
      <c r="AV165" s="3">
        <v>0.37826510000000002</v>
      </c>
      <c r="AW165" s="3">
        <v>0.38101030000000002</v>
      </c>
      <c r="AX165" s="3">
        <v>0.38388699999999998</v>
      </c>
      <c r="AY165" s="3">
        <v>0.38688739999999999</v>
      </c>
      <c r="AZ165" s="3">
        <v>0.39000360000000001</v>
      </c>
      <c r="BA165" s="3">
        <v>0.39322879999999999</v>
      </c>
      <c r="BB165" s="3">
        <v>0.39655970000000001</v>
      </c>
      <c r="BC165" s="3">
        <v>0.39999410000000002</v>
      </c>
      <c r="BD165" s="3">
        <v>0.4035299</v>
      </c>
      <c r="BE165" s="3">
        <v>0.4071649</v>
      </c>
      <c r="BF165" s="3">
        <v>0.41089680000000001</v>
      </c>
      <c r="BG165" s="3">
        <v>0.41472369999999997</v>
      </c>
      <c r="BH165" s="3">
        <v>0.41864319999999999</v>
      </c>
      <c r="BI165" s="3">
        <v>0.4226531</v>
      </c>
      <c r="BJ165" s="3">
        <v>0.42675150000000001</v>
      </c>
      <c r="BK165" s="3">
        <v>0.43093589999999998</v>
      </c>
      <c r="BL165" s="3">
        <v>0.43520439999999999</v>
      </c>
      <c r="BM165" s="3" t="e">
        <v>#N/A</v>
      </c>
      <c r="BN165" s="3" t="e">
        <v>#N/A</v>
      </c>
    </row>
    <row r="166" spans="1:66" x14ac:dyDescent="0.35">
      <c r="A166" s="5">
        <f t="shared" si="2"/>
        <v>43686</v>
      </c>
      <c r="B166" t="s">
        <v>243</v>
      </c>
      <c r="C166" s="2">
        <v>0.75</v>
      </c>
      <c r="D166" s="2">
        <v>0.70989999999999998</v>
      </c>
      <c r="E166" s="3">
        <v>0.70750990000000002</v>
      </c>
      <c r="F166" s="3">
        <v>0.67681709999999995</v>
      </c>
      <c r="G166" s="3">
        <v>0.6316001</v>
      </c>
      <c r="H166" s="3">
        <v>0.57879119999999995</v>
      </c>
      <c r="I166" s="3">
        <v>0.52909010000000001</v>
      </c>
      <c r="J166" s="3">
        <v>0.48636699999999999</v>
      </c>
      <c r="K166" s="3">
        <v>0.4509879</v>
      </c>
      <c r="L166" s="3">
        <v>0.42259140000000001</v>
      </c>
      <c r="M166" s="3">
        <v>0.39983109999999999</v>
      </c>
      <c r="N166" s="3">
        <v>0.38141720000000001</v>
      </c>
      <c r="O166" s="3">
        <v>0.36635079999999998</v>
      </c>
      <c r="P166" s="3">
        <v>0.35399079999999999</v>
      </c>
      <c r="Q166" s="3">
        <v>0.34370580000000001</v>
      </c>
      <c r="R166" s="3">
        <v>0.33519710000000003</v>
      </c>
      <c r="S166" s="3">
        <v>0.32827980000000001</v>
      </c>
      <c r="T166" s="3">
        <v>0.32276909999999998</v>
      </c>
      <c r="U166" s="3">
        <v>0.31848009999999999</v>
      </c>
      <c r="V166" s="3">
        <v>0.31522810000000001</v>
      </c>
      <c r="W166" s="3">
        <v>0.31283810000000001</v>
      </c>
      <c r="X166" s="3">
        <v>0.31118580000000001</v>
      </c>
      <c r="Y166" s="3">
        <v>0.31016300000000002</v>
      </c>
      <c r="Z166" s="3">
        <v>0.30966139999999998</v>
      </c>
      <c r="AA166" s="3">
        <v>0.30957289999999998</v>
      </c>
      <c r="AB166" s="3">
        <v>0.30978919999999999</v>
      </c>
      <c r="AC166" s="3">
        <v>0.3102163</v>
      </c>
      <c r="AD166" s="3">
        <v>0.31082300000000002</v>
      </c>
      <c r="AE166" s="3">
        <v>0.31159520000000002</v>
      </c>
      <c r="AF166" s="3">
        <v>0.31251879999999999</v>
      </c>
      <c r="AG166" s="3">
        <v>0.31358000000000003</v>
      </c>
      <c r="AH166" s="3">
        <v>0.31476460000000001</v>
      </c>
      <c r="AI166" s="3">
        <v>0.31605860000000002</v>
      </c>
      <c r="AJ166" s="3">
        <v>0.31744810000000001</v>
      </c>
      <c r="AK166" s="3">
        <v>0.31891890000000001</v>
      </c>
      <c r="AL166" s="3">
        <v>0.3204572</v>
      </c>
      <c r="AM166" s="3">
        <v>0.32204880000000002</v>
      </c>
      <c r="AN166" s="3">
        <v>0.32367980000000002</v>
      </c>
      <c r="AO166" s="3">
        <v>0.32533970000000001</v>
      </c>
      <c r="AP166" s="3">
        <v>0.32703369999999998</v>
      </c>
      <c r="AQ166" s="3">
        <v>0.32877149999999999</v>
      </c>
      <c r="AR166" s="3">
        <v>0.33056259999999998</v>
      </c>
      <c r="AS166" s="3">
        <v>0.3324165</v>
      </c>
      <c r="AT166" s="3">
        <v>0.334343</v>
      </c>
      <c r="AU166" s="3">
        <v>0.33635140000000002</v>
      </c>
      <c r="AV166" s="3">
        <v>0.33845160000000002</v>
      </c>
      <c r="AW166" s="3">
        <v>0.34065289999999998</v>
      </c>
      <c r="AX166" s="3">
        <v>0.34296500000000002</v>
      </c>
      <c r="AY166" s="3">
        <v>0.34539750000000002</v>
      </c>
      <c r="AZ166" s="3">
        <v>0.34795999999999999</v>
      </c>
      <c r="BA166" s="3">
        <v>0.35066009999999997</v>
      </c>
      <c r="BB166" s="3">
        <v>0.35349730000000001</v>
      </c>
      <c r="BC166" s="3">
        <v>0.35646879999999997</v>
      </c>
      <c r="BD166" s="3">
        <v>0.35957169999999999</v>
      </c>
      <c r="BE166" s="3">
        <v>0.36280309999999999</v>
      </c>
      <c r="BF166" s="3">
        <v>0.36616029999999999</v>
      </c>
      <c r="BG166" s="3">
        <v>0.36964029999999998</v>
      </c>
      <c r="BH166" s="3">
        <v>0.37324040000000003</v>
      </c>
      <c r="BI166" s="3">
        <v>0.3769576</v>
      </c>
      <c r="BJ166" s="3">
        <v>0.38078909999999999</v>
      </c>
      <c r="BK166" s="3">
        <v>0.38473210000000002</v>
      </c>
      <c r="BL166" s="3">
        <v>0.38878380000000001</v>
      </c>
      <c r="BM166" s="3" t="e">
        <v>#N/A</v>
      </c>
      <c r="BN166" s="3" t="e">
        <v>#N/A</v>
      </c>
    </row>
    <row r="167" spans="1:66" x14ac:dyDescent="0.35">
      <c r="A167" s="5">
        <f t="shared" si="2"/>
        <v>43689</v>
      </c>
      <c r="B167" t="s">
        <v>244</v>
      </c>
      <c r="C167" s="2">
        <v>0.75</v>
      </c>
      <c r="D167" s="2">
        <v>0.70899999999999996</v>
      </c>
      <c r="E167" s="3">
        <v>0.70546609999999998</v>
      </c>
      <c r="F167" s="3">
        <v>0.67154559999999996</v>
      </c>
      <c r="G167" s="3">
        <v>0.62516320000000003</v>
      </c>
      <c r="H167" s="3">
        <v>0.57227689999999998</v>
      </c>
      <c r="I167" s="3">
        <v>0.52238890000000004</v>
      </c>
      <c r="J167" s="3">
        <v>0.47944870000000001</v>
      </c>
      <c r="K167" s="3">
        <v>0.44434760000000001</v>
      </c>
      <c r="L167" s="3">
        <v>0.41676869999999999</v>
      </c>
      <c r="M167" s="3">
        <v>0.39548369999999999</v>
      </c>
      <c r="N167" s="3">
        <v>0.37878060000000002</v>
      </c>
      <c r="O167" s="3">
        <v>0.36546509999999999</v>
      </c>
      <c r="P167" s="3">
        <v>0.35452030000000001</v>
      </c>
      <c r="Q167" s="3">
        <v>0.3447366</v>
      </c>
      <c r="R167" s="3">
        <v>0.33579910000000002</v>
      </c>
      <c r="S167" s="3">
        <v>0.32767639999999998</v>
      </c>
      <c r="T167" s="3">
        <v>0.32033679999999998</v>
      </c>
      <c r="U167" s="3">
        <v>0.31374859999999999</v>
      </c>
      <c r="V167" s="3">
        <v>0.30788019999999999</v>
      </c>
      <c r="W167" s="3">
        <v>0.3027029</v>
      </c>
      <c r="X167" s="3">
        <v>0.29820160000000001</v>
      </c>
      <c r="Y167" s="3">
        <v>0.29436610000000002</v>
      </c>
      <c r="Z167" s="3">
        <v>0.2911859</v>
      </c>
      <c r="AA167" s="3">
        <v>0.28865079999999999</v>
      </c>
      <c r="AB167" s="3">
        <v>0.28675030000000001</v>
      </c>
      <c r="AC167" s="3">
        <v>0.28546929999999998</v>
      </c>
      <c r="AD167" s="3">
        <v>0.2847711</v>
      </c>
      <c r="AE167" s="3">
        <v>0.28461340000000002</v>
      </c>
      <c r="AF167" s="3">
        <v>0.28495350000000003</v>
      </c>
      <c r="AG167" s="3">
        <v>0.28574899999999998</v>
      </c>
      <c r="AH167" s="3">
        <v>0.28695739999999997</v>
      </c>
      <c r="AI167" s="3">
        <v>0.28853630000000002</v>
      </c>
      <c r="AJ167" s="3">
        <v>0.29044320000000001</v>
      </c>
      <c r="AK167" s="3">
        <v>0.29263549999999999</v>
      </c>
      <c r="AL167" s="3">
        <v>0.29507080000000002</v>
      </c>
      <c r="AM167" s="3">
        <v>0.29770659999999999</v>
      </c>
      <c r="AN167" s="3">
        <v>0.3005005</v>
      </c>
      <c r="AO167" s="3">
        <v>0.3034155</v>
      </c>
      <c r="AP167" s="3">
        <v>0.30643989999999999</v>
      </c>
      <c r="AQ167" s="3">
        <v>0.30956860000000003</v>
      </c>
      <c r="AR167" s="3">
        <v>0.31279659999999998</v>
      </c>
      <c r="AS167" s="3">
        <v>0.31611889999999998</v>
      </c>
      <c r="AT167" s="3">
        <v>0.3195305</v>
      </c>
      <c r="AU167" s="3">
        <v>0.32302639999999999</v>
      </c>
      <c r="AV167" s="3">
        <v>0.32660169999999999</v>
      </c>
      <c r="AW167" s="3">
        <v>0.33025120000000002</v>
      </c>
      <c r="AX167" s="3">
        <v>0.33397009999999999</v>
      </c>
      <c r="AY167" s="3">
        <v>0.33775319999999998</v>
      </c>
      <c r="AZ167" s="3">
        <v>0.3415957</v>
      </c>
      <c r="BA167" s="3">
        <v>0.3454931</v>
      </c>
      <c r="BB167" s="3">
        <v>0.34944459999999999</v>
      </c>
      <c r="BC167" s="3">
        <v>0.3534503</v>
      </c>
      <c r="BD167" s="3">
        <v>0.35751070000000001</v>
      </c>
      <c r="BE167" s="3">
        <v>0.3616258</v>
      </c>
      <c r="BF167" s="3">
        <v>0.36579600000000001</v>
      </c>
      <c r="BG167" s="3">
        <v>0.3700215</v>
      </c>
      <c r="BH167" s="3">
        <v>0.37430269999999999</v>
      </c>
      <c r="BI167" s="3">
        <v>0.37863960000000002</v>
      </c>
      <c r="BJ167" s="3">
        <v>0.3830326</v>
      </c>
      <c r="BK167" s="3">
        <v>0.38748199999999999</v>
      </c>
      <c r="BL167" s="3">
        <v>0.391988</v>
      </c>
      <c r="BM167" s="3" t="e">
        <v>#N/A</v>
      </c>
      <c r="BN167" s="3" t="e">
        <v>#N/A</v>
      </c>
    </row>
    <row r="168" spans="1:66" x14ac:dyDescent="0.35">
      <c r="A168" s="5">
        <f t="shared" si="2"/>
        <v>43690</v>
      </c>
      <c r="B168" t="s">
        <v>245</v>
      </c>
      <c r="C168" s="2">
        <v>0.75</v>
      </c>
      <c r="D168" s="2">
        <v>0.70940000000000003</v>
      </c>
      <c r="E168" s="3">
        <v>0.7062195</v>
      </c>
      <c r="F168" s="3">
        <v>0.67577169999999998</v>
      </c>
      <c r="G168" s="3">
        <v>0.63232849999999996</v>
      </c>
      <c r="H168" s="3">
        <v>0.58453149999999998</v>
      </c>
      <c r="I168" s="3">
        <v>0.54226739999999996</v>
      </c>
      <c r="J168" s="3">
        <v>0.50823390000000002</v>
      </c>
      <c r="K168" s="3">
        <v>0.48182829999999999</v>
      </c>
      <c r="L168" s="3">
        <v>0.4615747</v>
      </c>
      <c r="M168" s="3">
        <v>0.44570870000000001</v>
      </c>
      <c r="N168" s="3">
        <v>0.43270069999999999</v>
      </c>
      <c r="O168" s="3">
        <v>0.42162709999999998</v>
      </c>
      <c r="P168" s="3">
        <v>0.41197529999999999</v>
      </c>
      <c r="Q168" s="3">
        <v>0.40327229999999997</v>
      </c>
      <c r="R168" s="3">
        <v>0.39536359999999998</v>
      </c>
      <c r="S168" s="3">
        <v>0.38819310000000001</v>
      </c>
      <c r="T168" s="3">
        <v>0.38170470000000001</v>
      </c>
      <c r="U168" s="3">
        <v>0.37584220000000002</v>
      </c>
      <c r="V168" s="3">
        <v>0.37054959999999998</v>
      </c>
      <c r="W168" s="3">
        <v>0.3657743</v>
      </c>
      <c r="X168" s="3">
        <v>0.361487</v>
      </c>
      <c r="Y168" s="3">
        <v>0.35766710000000002</v>
      </c>
      <c r="Z168" s="3">
        <v>0.3542941</v>
      </c>
      <c r="AA168" s="3">
        <v>0.35134739999999998</v>
      </c>
      <c r="AB168" s="3">
        <v>0.34880670000000003</v>
      </c>
      <c r="AC168" s="3">
        <v>0.3466514</v>
      </c>
      <c r="AD168" s="3">
        <v>0.344862</v>
      </c>
      <c r="AE168" s="3">
        <v>0.34341909999999998</v>
      </c>
      <c r="AF168" s="3">
        <v>0.34230310000000003</v>
      </c>
      <c r="AG168" s="3">
        <v>0.34149479999999999</v>
      </c>
      <c r="AH168" s="3">
        <v>0.34097450000000001</v>
      </c>
      <c r="AI168" s="3">
        <v>0.3407229</v>
      </c>
      <c r="AJ168" s="3">
        <v>0.34072059999999998</v>
      </c>
      <c r="AK168" s="3">
        <v>0.34094799999999997</v>
      </c>
      <c r="AL168" s="3">
        <v>0.34138580000000002</v>
      </c>
      <c r="AM168" s="3">
        <v>0.3420146</v>
      </c>
      <c r="AN168" s="3">
        <v>0.34281479999999998</v>
      </c>
      <c r="AO168" s="3">
        <v>0.34376899999999999</v>
      </c>
      <c r="AP168" s="3">
        <v>0.34486919999999999</v>
      </c>
      <c r="AQ168" s="3">
        <v>0.34611120000000001</v>
      </c>
      <c r="AR168" s="3">
        <v>0.34749029999999997</v>
      </c>
      <c r="AS168" s="3">
        <v>0.34900229999999999</v>
      </c>
      <c r="AT168" s="3">
        <v>0.35064260000000003</v>
      </c>
      <c r="AU168" s="3">
        <v>0.35240690000000002</v>
      </c>
      <c r="AV168" s="3">
        <v>0.35429060000000001</v>
      </c>
      <c r="AW168" s="3">
        <v>0.35628929999999998</v>
      </c>
      <c r="AX168" s="3">
        <v>0.35839870000000001</v>
      </c>
      <c r="AY168" s="3">
        <v>0.36061409999999999</v>
      </c>
      <c r="AZ168" s="3">
        <v>0.36293120000000001</v>
      </c>
      <c r="BA168" s="3">
        <v>0.365346</v>
      </c>
      <c r="BB168" s="3">
        <v>0.36785610000000002</v>
      </c>
      <c r="BC168" s="3">
        <v>0.37045980000000001</v>
      </c>
      <c r="BD168" s="3">
        <v>0.37315530000000002</v>
      </c>
      <c r="BE168" s="3">
        <v>0.37594090000000002</v>
      </c>
      <c r="BF168" s="3">
        <v>0.37881490000000001</v>
      </c>
      <c r="BG168" s="3">
        <v>0.38177559999999999</v>
      </c>
      <c r="BH168" s="3">
        <v>0.38482110000000003</v>
      </c>
      <c r="BI168" s="3">
        <v>0.38794970000000001</v>
      </c>
      <c r="BJ168" s="3">
        <v>0.3911598</v>
      </c>
      <c r="BK168" s="3">
        <v>0.39444950000000001</v>
      </c>
      <c r="BL168" s="3">
        <v>0.39781709999999998</v>
      </c>
      <c r="BM168" s="3" t="e">
        <v>#N/A</v>
      </c>
      <c r="BN168" s="3" t="e">
        <v>#N/A</v>
      </c>
    </row>
    <row r="169" spans="1:66" x14ac:dyDescent="0.35">
      <c r="A169" s="5">
        <f t="shared" si="2"/>
        <v>43691</v>
      </c>
      <c r="B169" t="s">
        <v>246</v>
      </c>
      <c r="C169" s="2">
        <v>0.75</v>
      </c>
      <c r="D169" s="2">
        <v>0.71</v>
      </c>
      <c r="E169" s="3">
        <v>0.7086635</v>
      </c>
      <c r="F169" s="3">
        <v>0.68308469999999999</v>
      </c>
      <c r="G169" s="3">
        <v>0.6416811</v>
      </c>
      <c r="H169" s="3">
        <v>0.59302560000000004</v>
      </c>
      <c r="I169" s="3">
        <v>0.54829459999999997</v>
      </c>
      <c r="J169" s="3">
        <v>0.51153579999999998</v>
      </c>
      <c r="K169" s="3">
        <v>0.48286479999999998</v>
      </c>
      <c r="L169" s="3">
        <v>0.46072999999999997</v>
      </c>
      <c r="M169" s="3">
        <v>0.44295410000000002</v>
      </c>
      <c r="N169" s="3">
        <v>0.42781839999999999</v>
      </c>
      <c r="O169" s="3">
        <v>0.4144601</v>
      </c>
      <c r="P169" s="3">
        <v>0.4025552</v>
      </c>
      <c r="Q169" s="3">
        <v>0.39208209999999999</v>
      </c>
      <c r="R169" s="3">
        <v>0.38295810000000002</v>
      </c>
      <c r="S169" s="3">
        <v>0.37506650000000002</v>
      </c>
      <c r="T169" s="3">
        <v>0.36829070000000003</v>
      </c>
      <c r="U169" s="3">
        <v>0.36251369999999999</v>
      </c>
      <c r="V169" s="3">
        <v>0.35761900000000002</v>
      </c>
      <c r="W169" s="3">
        <v>0.35349199999999997</v>
      </c>
      <c r="X169" s="3">
        <v>0.35003139999999999</v>
      </c>
      <c r="Y169" s="3">
        <v>0.34714</v>
      </c>
      <c r="Z169" s="3">
        <v>0.34472120000000001</v>
      </c>
      <c r="AA169" s="3">
        <v>0.34267789999999998</v>
      </c>
      <c r="AB169" s="3">
        <v>0.34091329999999997</v>
      </c>
      <c r="AC169" s="3">
        <v>0.33934120000000001</v>
      </c>
      <c r="AD169" s="3">
        <v>0.33793400000000001</v>
      </c>
      <c r="AE169" s="3">
        <v>0.33668360000000003</v>
      </c>
      <c r="AF169" s="3">
        <v>0.33558189999999999</v>
      </c>
      <c r="AG169" s="3">
        <v>0.33462069999999999</v>
      </c>
      <c r="AH169" s="3">
        <v>0.33379209999999998</v>
      </c>
      <c r="AI169" s="3">
        <v>0.33308779999999999</v>
      </c>
      <c r="AJ169" s="3">
        <v>0.33249990000000001</v>
      </c>
      <c r="AK169" s="3">
        <v>0.33202009999999998</v>
      </c>
      <c r="AL169" s="3">
        <v>0.3316404</v>
      </c>
      <c r="AM169" s="3">
        <v>0.3313528</v>
      </c>
      <c r="AN169" s="3">
        <v>0.33114900000000003</v>
      </c>
      <c r="AO169" s="3">
        <v>0.3310226</v>
      </c>
      <c r="AP169" s="3">
        <v>0.3309745</v>
      </c>
      <c r="AQ169" s="3">
        <v>0.33100800000000002</v>
      </c>
      <c r="AR169" s="3">
        <v>0.33112629999999998</v>
      </c>
      <c r="AS169" s="3">
        <v>0.33133269999999998</v>
      </c>
      <c r="AT169" s="3">
        <v>0.33163049999999999</v>
      </c>
      <c r="AU169" s="3">
        <v>0.33202290000000001</v>
      </c>
      <c r="AV169" s="3">
        <v>0.33251320000000001</v>
      </c>
      <c r="AW169" s="3">
        <v>0.33310459999999997</v>
      </c>
      <c r="AX169" s="3">
        <v>0.3338004</v>
      </c>
      <c r="AY169" s="3">
        <v>0.33460390000000001</v>
      </c>
      <c r="AZ169" s="3">
        <v>0.33551829999999999</v>
      </c>
      <c r="BA169" s="3">
        <v>0.33654600000000001</v>
      </c>
      <c r="BB169" s="3">
        <v>0.33768599999999999</v>
      </c>
      <c r="BC169" s="3">
        <v>0.33893620000000002</v>
      </c>
      <c r="BD169" s="3">
        <v>0.3402945</v>
      </c>
      <c r="BE169" s="3">
        <v>0.34175879999999997</v>
      </c>
      <c r="BF169" s="3">
        <v>0.34332699999999999</v>
      </c>
      <c r="BG169" s="3">
        <v>0.3449971</v>
      </c>
      <c r="BH169" s="3">
        <v>0.34676679999999999</v>
      </c>
      <c r="BI169" s="3">
        <v>0.34863430000000001</v>
      </c>
      <c r="BJ169" s="3">
        <v>0.3505973</v>
      </c>
      <c r="BK169" s="3">
        <v>0.35265370000000001</v>
      </c>
      <c r="BL169" s="3">
        <v>0.35480159999999999</v>
      </c>
      <c r="BM169" s="3" t="e">
        <v>#N/A</v>
      </c>
      <c r="BN169" s="3" t="e">
        <v>#N/A</v>
      </c>
    </row>
    <row r="170" spans="1:66" x14ac:dyDescent="0.35">
      <c r="A170" s="5">
        <f t="shared" si="2"/>
        <v>43692</v>
      </c>
      <c r="B170" t="s">
        <v>247</v>
      </c>
      <c r="C170" s="2">
        <v>0.75</v>
      </c>
      <c r="D170" s="2">
        <v>0.70979999999999999</v>
      </c>
      <c r="E170" s="3">
        <v>0.70938349999999994</v>
      </c>
      <c r="F170" s="3">
        <v>0.6811952</v>
      </c>
      <c r="G170" s="3">
        <v>0.63859619999999995</v>
      </c>
      <c r="H170" s="3">
        <v>0.59130400000000005</v>
      </c>
      <c r="I170" s="3">
        <v>0.54928259999999995</v>
      </c>
      <c r="J170" s="3">
        <v>0.51498219999999995</v>
      </c>
      <c r="K170" s="3">
        <v>0.48737399999999997</v>
      </c>
      <c r="L170" s="3">
        <v>0.4650302</v>
      </c>
      <c r="M170" s="3">
        <v>0.44617770000000001</v>
      </c>
      <c r="N170" s="3">
        <v>0.4295754</v>
      </c>
      <c r="O170" s="3">
        <v>0.41468929999999998</v>
      </c>
      <c r="P170" s="3">
        <v>0.40131990000000001</v>
      </c>
      <c r="Q170" s="3">
        <v>0.38948120000000003</v>
      </c>
      <c r="R170" s="3">
        <v>0.37908740000000002</v>
      </c>
      <c r="S170" s="3">
        <v>0.370002</v>
      </c>
      <c r="T170" s="3">
        <v>0.36208839999999998</v>
      </c>
      <c r="U170" s="3">
        <v>0.35520990000000002</v>
      </c>
      <c r="V170" s="3">
        <v>0.34923009999999999</v>
      </c>
      <c r="W170" s="3">
        <v>0.34401910000000002</v>
      </c>
      <c r="X170" s="3">
        <v>0.33948240000000002</v>
      </c>
      <c r="Y170" s="3">
        <v>0.33553690000000003</v>
      </c>
      <c r="Z170" s="3">
        <v>0.33209939999999999</v>
      </c>
      <c r="AA170" s="3">
        <v>0.3290865</v>
      </c>
      <c r="AB170" s="3">
        <v>0.32641500000000001</v>
      </c>
      <c r="AC170" s="3">
        <v>0.32401089999999999</v>
      </c>
      <c r="AD170" s="3">
        <v>0.32184449999999998</v>
      </c>
      <c r="AE170" s="3">
        <v>0.31989960000000001</v>
      </c>
      <c r="AF170" s="3">
        <v>0.3181599</v>
      </c>
      <c r="AG170" s="3">
        <v>0.31660939999999999</v>
      </c>
      <c r="AH170" s="3">
        <v>0.31523190000000001</v>
      </c>
      <c r="AI170" s="3">
        <v>0.31401109999999999</v>
      </c>
      <c r="AJ170" s="3">
        <v>0.31293100000000001</v>
      </c>
      <c r="AK170" s="3">
        <v>0.31197530000000001</v>
      </c>
      <c r="AL170" s="3">
        <v>0.31112790000000001</v>
      </c>
      <c r="AM170" s="3">
        <v>0.3103726</v>
      </c>
      <c r="AN170" s="3">
        <v>0.3096932</v>
      </c>
      <c r="AO170" s="3">
        <v>0.3090753</v>
      </c>
      <c r="AP170" s="3">
        <v>0.3085118</v>
      </c>
      <c r="AQ170" s="3">
        <v>0.30799789999999999</v>
      </c>
      <c r="AR170" s="3">
        <v>0.30752859999999999</v>
      </c>
      <c r="AS170" s="3">
        <v>0.30709900000000001</v>
      </c>
      <c r="AT170" s="3">
        <v>0.30670429999999999</v>
      </c>
      <c r="AU170" s="3">
        <v>0.30633949999999999</v>
      </c>
      <c r="AV170" s="3">
        <v>0.30599959999999998</v>
      </c>
      <c r="AW170" s="3">
        <v>0.3056798</v>
      </c>
      <c r="AX170" s="3">
        <v>0.30537510000000001</v>
      </c>
      <c r="AY170" s="3">
        <v>0.30508069999999998</v>
      </c>
      <c r="AZ170" s="3">
        <v>0.3047916</v>
      </c>
      <c r="BA170" s="3">
        <v>0.30450460000000001</v>
      </c>
      <c r="BB170" s="3">
        <v>0.30422369999999999</v>
      </c>
      <c r="BC170" s="3">
        <v>0.30395499999999998</v>
      </c>
      <c r="BD170" s="3">
        <v>0.30370459999999999</v>
      </c>
      <c r="BE170" s="3">
        <v>0.30347849999999998</v>
      </c>
      <c r="BF170" s="3">
        <v>0.30328290000000002</v>
      </c>
      <c r="BG170" s="3">
        <v>0.3031239</v>
      </c>
      <c r="BH170" s="3">
        <v>0.30300739999999998</v>
      </c>
      <c r="BI170" s="3">
        <v>0.30293969999999998</v>
      </c>
      <c r="BJ170" s="3">
        <v>0.30292669999999999</v>
      </c>
      <c r="BK170" s="3">
        <v>0.30297459999999998</v>
      </c>
      <c r="BL170" s="3">
        <v>0.30308950000000001</v>
      </c>
      <c r="BM170" s="3" t="e">
        <v>#N/A</v>
      </c>
      <c r="BN170" s="3" t="e">
        <v>#N/A</v>
      </c>
    </row>
    <row r="171" spans="1:66" x14ac:dyDescent="0.35">
      <c r="A171" s="5">
        <f t="shared" si="2"/>
        <v>43693</v>
      </c>
      <c r="B171" t="s">
        <v>248</v>
      </c>
      <c r="C171" s="2">
        <v>0.75</v>
      </c>
      <c r="D171" s="2">
        <v>0.71120000000000005</v>
      </c>
      <c r="E171" s="3">
        <v>0.71151730000000002</v>
      </c>
      <c r="F171" s="3">
        <v>0.68704030000000005</v>
      </c>
      <c r="G171" s="3">
        <v>0.64781880000000003</v>
      </c>
      <c r="H171" s="3">
        <v>0.60294959999999997</v>
      </c>
      <c r="I171" s="3">
        <v>0.56326379999999998</v>
      </c>
      <c r="J171" s="3">
        <v>0.53284319999999996</v>
      </c>
      <c r="K171" s="3">
        <v>0.51142430000000005</v>
      </c>
      <c r="L171" s="3">
        <v>0.49710919999999997</v>
      </c>
      <c r="M171" s="3">
        <v>0.48719889999999999</v>
      </c>
      <c r="N171" s="3">
        <v>0.47969329999999999</v>
      </c>
      <c r="O171" s="3">
        <v>0.47346470000000002</v>
      </c>
      <c r="P171" s="3">
        <v>0.46806750000000003</v>
      </c>
      <c r="Q171" s="3">
        <v>0.46348070000000002</v>
      </c>
      <c r="R171" s="3">
        <v>0.4596364</v>
      </c>
      <c r="S171" s="3">
        <v>0.456426</v>
      </c>
      <c r="T171" s="3">
        <v>0.45374049999999999</v>
      </c>
      <c r="U171" s="3">
        <v>0.45147130000000002</v>
      </c>
      <c r="V171" s="3">
        <v>0.4495093</v>
      </c>
      <c r="W171" s="3">
        <v>0.44774890000000001</v>
      </c>
      <c r="X171" s="3">
        <v>0.44609949999999998</v>
      </c>
      <c r="Y171" s="3">
        <v>0.44447520000000001</v>
      </c>
      <c r="Z171" s="3">
        <v>0.44279039999999997</v>
      </c>
      <c r="AA171" s="3">
        <v>0.4409593</v>
      </c>
      <c r="AB171" s="3">
        <v>0.43889620000000001</v>
      </c>
      <c r="AC171" s="3">
        <v>0.4365308</v>
      </c>
      <c r="AD171" s="3">
        <v>0.4338612</v>
      </c>
      <c r="AE171" s="3">
        <v>0.43090430000000002</v>
      </c>
      <c r="AF171" s="3">
        <v>0.42767690000000003</v>
      </c>
      <c r="AG171" s="3">
        <v>0.42419590000000001</v>
      </c>
      <c r="AH171" s="3">
        <v>0.42047830000000003</v>
      </c>
      <c r="AI171" s="3">
        <v>0.41654089999999999</v>
      </c>
      <c r="AJ171" s="3">
        <v>0.41240060000000001</v>
      </c>
      <c r="AK171" s="3">
        <v>0.4080743</v>
      </c>
      <c r="AL171" s="3">
        <v>0.40357890000000002</v>
      </c>
      <c r="AM171" s="3">
        <v>0.39893119999999999</v>
      </c>
      <c r="AN171" s="3">
        <v>0.3941482</v>
      </c>
      <c r="AO171" s="3">
        <v>0.3892467</v>
      </c>
      <c r="AP171" s="3">
        <v>0.38424259999999999</v>
      </c>
      <c r="AQ171" s="3">
        <v>0.37915199999999999</v>
      </c>
      <c r="AR171" s="3">
        <v>0.37399060000000001</v>
      </c>
      <c r="AS171" s="3">
        <v>0.36877460000000001</v>
      </c>
      <c r="AT171" s="3">
        <v>0.3635196</v>
      </c>
      <c r="AU171" s="3">
        <v>0.3582418</v>
      </c>
      <c r="AV171" s="3">
        <v>0.35295690000000002</v>
      </c>
      <c r="AW171" s="3">
        <v>0.34768090000000001</v>
      </c>
      <c r="AX171" s="3">
        <v>0.34242980000000001</v>
      </c>
      <c r="AY171" s="3">
        <v>0.3372193</v>
      </c>
      <c r="AZ171" s="3">
        <v>0.33206550000000001</v>
      </c>
      <c r="BA171" s="3">
        <v>0.32698440000000001</v>
      </c>
      <c r="BB171" s="3">
        <v>0.32199309999999998</v>
      </c>
      <c r="BC171" s="3">
        <v>0.31710880000000002</v>
      </c>
      <c r="BD171" s="3">
        <v>0.31234869999999998</v>
      </c>
      <c r="BE171" s="3">
        <v>0.30773010000000001</v>
      </c>
      <c r="BF171" s="3">
        <v>0.30327009999999999</v>
      </c>
      <c r="BG171" s="3">
        <v>0.29898619999999998</v>
      </c>
      <c r="BH171" s="3">
        <v>0.29489539999999997</v>
      </c>
      <c r="BI171" s="3">
        <v>0.29101510000000003</v>
      </c>
      <c r="BJ171" s="3">
        <v>0.28736250000000002</v>
      </c>
      <c r="BK171" s="3">
        <v>0.28395480000000001</v>
      </c>
      <c r="BL171" s="3">
        <v>0.28080929999999998</v>
      </c>
      <c r="BM171" s="3" t="e">
        <v>#N/A</v>
      </c>
      <c r="BN171" s="3" t="e">
        <v>#N/A</v>
      </c>
    </row>
    <row r="172" spans="1:66" x14ac:dyDescent="0.35">
      <c r="A172" s="5">
        <f t="shared" si="2"/>
        <v>43696</v>
      </c>
      <c r="B172" t="s">
        <v>249</v>
      </c>
      <c r="C172" s="2">
        <v>0.75</v>
      </c>
      <c r="D172" s="2">
        <v>0.71</v>
      </c>
      <c r="E172" s="3">
        <v>0.71279499999999996</v>
      </c>
      <c r="F172" s="3">
        <v>0.68335089999999998</v>
      </c>
      <c r="G172" s="3">
        <v>0.63944179999999995</v>
      </c>
      <c r="H172" s="3">
        <v>0.59192820000000002</v>
      </c>
      <c r="I172" s="3">
        <v>0.55074420000000002</v>
      </c>
      <c r="J172" s="3">
        <v>0.51869080000000001</v>
      </c>
      <c r="K172" s="3">
        <v>0.49506129999999998</v>
      </c>
      <c r="L172" s="3">
        <v>0.47788710000000001</v>
      </c>
      <c r="M172" s="3">
        <v>0.46504230000000002</v>
      </c>
      <c r="N172" s="3">
        <v>0.45486949999999998</v>
      </c>
      <c r="O172" s="3">
        <v>0.44654359999999998</v>
      </c>
      <c r="P172" s="3">
        <v>0.43964019999999998</v>
      </c>
      <c r="Q172" s="3">
        <v>0.43394759999999999</v>
      </c>
      <c r="R172" s="3">
        <v>0.4292977</v>
      </c>
      <c r="S172" s="3">
        <v>0.42552109999999999</v>
      </c>
      <c r="T172" s="3">
        <v>0.4224485</v>
      </c>
      <c r="U172" s="3">
        <v>0.41991060000000002</v>
      </c>
      <c r="V172" s="3">
        <v>0.417738</v>
      </c>
      <c r="W172" s="3">
        <v>0.41577560000000002</v>
      </c>
      <c r="X172" s="3">
        <v>0.41394110000000001</v>
      </c>
      <c r="Y172" s="3">
        <v>0.41217520000000002</v>
      </c>
      <c r="Z172" s="3">
        <v>0.41041879999999997</v>
      </c>
      <c r="AA172" s="3">
        <v>0.4086128</v>
      </c>
      <c r="AB172" s="3">
        <v>0.406698</v>
      </c>
      <c r="AC172" s="3">
        <v>0.40462809999999999</v>
      </c>
      <c r="AD172" s="3">
        <v>0.40241290000000002</v>
      </c>
      <c r="AE172" s="3">
        <v>0.40007769999999998</v>
      </c>
      <c r="AF172" s="3">
        <v>0.397648</v>
      </c>
      <c r="AG172" s="3">
        <v>0.39514899999999997</v>
      </c>
      <c r="AH172" s="3">
        <v>0.39260630000000002</v>
      </c>
      <c r="AI172" s="3">
        <v>0.39004509999999998</v>
      </c>
      <c r="AJ172" s="3">
        <v>0.38749080000000002</v>
      </c>
      <c r="AK172" s="3">
        <v>0.3849688</v>
      </c>
      <c r="AL172" s="3">
        <v>0.38250440000000002</v>
      </c>
      <c r="AM172" s="3">
        <v>0.38012309999999999</v>
      </c>
      <c r="AN172" s="3">
        <v>0.37785020000000002</v>
      </c>
      <c r="AO172" s="3">
        <v>0.37570759999999997</v>
      </c>
      <c r="AP172" s="3">
        <v>0.37370219999999998</v>
      </c>
      <c r="AQ172" s="3">
        <v>0.37183640000000001</v>
      </c>
      <c r="AR172" s="3">
        <v>0.37011300000000003</v>
      </c>
      <c r="AS172" s="3">
        <v>0.36853439999999998</v>
      </c>
      <c r="AT172" s="3">
        <v>0.36710340000000002</v>
      </c>
      <c r="AU172" s="3">
        <v>0.36582239999999999</v>
      </c>
      <c r="AV172" s="3">
        <v>0.36469410000000002</v>
      </c>
      <c r="AW172" s="3">
        <v>0.36372110000000002</v>
      </c>
      <c r="AX172" s="3">
        <v>0.3629059</v>
      </c>
      <c r="AY172" s="3">
        <v>0.3622512</v>
      </c>
      <c r="AZ172" s="3">
        <v>0.36175960000000001</v>
      </c>
      <c r="BA172" s="3">
        <v>0.36143249999999999</v>
      </c>
      <c r="BB172" s="3">
        <v>0.36126510000000001</v>
      </c>
      <c r="BC172" s="3">
        <v>0.36125059999999998</v>
      </c>
      <c r="BD172" s="3">
        <v>0.36138219999999999</v>
      </c>
      <c r="BE172" s="3">
        <v>0.361653</v>
      </c>
      <c r="BF172" s="3">
        <v>0.36205619999999999</v>
      </c>
      <c r="BG172" s="3">
        <v>0.36258499999999999</v>
      </c>
      <c r="BH172" s="3">
        <v>0.36323250000000001</v>
      </c>
      <c r="BI172" s="3">
        <v>0.36399179999999998</v>
      </c>
      <c r="BJ172" s="3">
        <v>0.36485620000000002</v>
      </c>
      <c r="BK172" s="3">
        <v>0.3658189</v>
      </c>
      <c r="BL172" s="3">
        <v>0.3668729</v>
      </c>
      <c r="BM172" s="3" t="e">
        <v>#N/A</v>
      </c>
      <c r="BN172" s="3" t="e">
        <v>#N/A</v>
      </c>
    </row>
    <row r="173" spans="1:66" x14ac:dyDescent="0.35">
      <c r="A173" s="5">
        <f t="shared" si="2"/>
        <v>43697</v>
      </c>
      <c r="B173" t="s">
        <v>250</v>
      </c>
      <c r="C173" s="2">
        <v>0.75</v>
      </c>
      <c r="D173" s="2">
        <v>0.71020000000000005</v>
      </c>
      <c r="E173" s="3">
        <v>0.71242220000000001</v>
      </c>
      <c r="F173" s="3">
        <v>0.68406579999999995</v>
      </c>
      <c r="G173" s="3">
        <v>0.64208679999999996</v>
      </c>
      <c r="H173" s="3">
        <v>0.59632819999999997</v>
      </c>
      <c r="I173" s="3">
        <v>0.55585870000000004</v>
      </c>
      <c r="J173" s="3">
        <v>0.52347560000000004</v>
      </c>
      <c r="K173" s="3">
        <v>0.49884600000000001</v>
      </c>
      <c r="L173" s="3">
        <v>0.48048390000000002</v>
      </c>
      <c r="M173" s="3">
        <v>0.46667579999999997</v>
      </c>
      <c r="N173" s="3">
        <v>0.45610919999999999</v>
      </c>
      <c r="O173" s="3">
        <v>0.44801069999999998</v>
      </c>
      <c r="P173" s="3">
        <v>0.4419286</v>
      </c>
      <c r="Q173" s="3">
        <v>0.43736069999999999</v>
      </c>
      <c r="R173" s="3">
        <v>0.43391780000000002</v>
      </c>
      <c r="S173" s="3">
        <v>0.43125429999999998</v>
      </c>
      <c r="T173" s="3">
        <v>0.42902420000000002</v>
      </c>
      <c r="U173" s="3">
        <v>0.42688199999999998</v>
      </c>
      <c r="V173" s="3">
        <v>0.42448180000000002</v>
      </c>
      <c r="W173" s="3">
        <v>0.42152650000000003</v>
      </c>
      <c r="X173" s="3">
        <v>0.41802349999999999</v>
      </c>
      <c r="Y173" s="3">
        <v>0.41409820000000003</v>
      </c>
      <c r="Z173" s="3">
        <v>0.40987600000000002</v>
      </c>
      <c r="AA173" s="3">
        <v>0.40548250000000002</v>
      </c>
      <c r="AB173" s="3">
        <v>0.40104329999999999</v>
      </c>
      <c r="AC173" s="3">
        <v>0.39666780000000001</v>
      </c>
      <c r="AD173" s="3">
        <v>0.39239560000000001</v>
      </c>
      <c r="AE173" s="3">
        <v>0.3882466</v>
      </c>
      <c r="AF173" s="3">
        <v>0.38424069999999999</v>
      </c>
      <c r="AG173" s="3">
        <v>0.38039800000000001</v>
      </c>
      <c r="AH173" s="3">
        <v>0.37673849999999998</v>
      </c>
      <c r="AI173" s="3">
        <v>0.37328210000000001</v>
      </c>
      <c r="AJ173" s="3">
        <v>0.37004880000000001</v>
      </c>
      <c r="AK173" s="3">
        <v>0.36705860000000001</v>
      </c>
      <c r="AL173" s="3">
        <v>0.36433149999999997</v>
      </c>
      <c r="AM173" s="3">
        <v>0.36188740000000003</v>
      </c>
      <c r="AN173" s="3">
        <v>0.35974640000000002</v>
      </c>
      <c r="AO173" s="3">
        <v>0.3579233</v>
      </c>
      <c r="AP173" s="3">
        <v>0.35640500000000003</v>
      </c>
      <c r="AQ173" s="3">
        <v>0.35516940000000002</v>
      </c>
      <c r="AR173" s="3">
        <v>0.35419390000000001</v>
      </c>
      <c r="AS173" s="3">
        <v>0.3534564</v>
      </c>
      <c r="AT173" s="3">
        <v>0.35293459999999999</v>
      </c>
      <c r="AU173" s="3">
        <v>0.35260590000000003</v>
      </c>
      <c r="AV173" s="3">
        <v>0.35244829999999999</v>
      </c>
      <c r="AW173" s="3">
        <v>0.35243930000000001</v>
      </c>
      <c r="AX173" s="3">
        <v>0.3525567</v>
      </c>
      <c r="AY173" s="3">
        <v>0.35277799999999998</v>
      </c>
      <c r="AZ173" s="3">
        <v>0.35308099999999998</v>
      </c>
      <c r="BA173" s="3">
        <v>0.35344609999999999</v>
      </c>
      <c r="BB173" s="3">
        <v>0.35386699999999999</v>
      </c>
      <c r="BC173" s="3">
        <v>0.35434130000000003</v>
      </c>
      <c r="BD173" s="3">
        <v>0.35486669999999998</v>
      </c>
      <c r="BE173" s="3">
        <v>0.35544100000000001</v>
      </c>
      <c r="BF173" s="3">
        <v>0.35606169999999998</v>
      </c>
      <c r="BG173" s="3">
        <v>0.35672670000000001</v>
      </c>
      <c r="BH173" s="3">
        <v>0.35743360000000002</v>
      </c>
      <c r="BI173" s="3">
        <v>0.35818</v>
      </c>
      <c r="BJ173" s="3">
        <v>0.3589638</v>
      </c>
      <c r="BK173" s="3">
        <v>0.35978250000000001</v>
      </c>
      <c r="BL173" s="3">
        <v>0.36063390000000001</v>
      </c>
      <c r="BM173" s="3" t="e">
        <v>#N/A</v>
      </c>
      <c r="BN173" s="3" t="e">
        <v>#N/A</v>
      </c>
    </row>
    <row r="174" spans="1:66" x14ac:dyDescent="0.35">
      <c r="A174" s="5">
        <f t="shared" si="2"/>
        <v>43698</v>
      </c>
      <c r="B174" t="s">
        <v>251</v>
      </c>
      <c r="C174" s="2">
        <v>0.75</v>
      </c>
      <c r="D174" s="2">
        <v>0.7127</v>
      </c>
      <c r="E174" s="3">
        <v>0.70692089999999996</v>
      </c>
      <c r="F174" s="3">
        <v>0.67962549999999999</v>
      </c>
      <c r="G174" s="3">
        <v>0.64202329999999996</v>
      </c>
      <c r="H174" s="3">
        <v>0.59833610000000004</v>
      </c>
      <c r="I174" s="3">
        <v>0.55594080000000001</v>
      </c>
      <c r="J174" s="3">
        <v>0.52097519999999997</v>
      </c>
      <c r="K174" s="3">
        <v>0.49586449999999999</v>
      </c>
      <c r="L174" s="3">
        <v>0.47873060000000001</v>
      </c>
      <c r="M174" s="3">
        <v>0.46671679999999999</v>
      </c>
      <c r="N174" s="3">
        <v>0.45765990000000001</v>
      </c>
      <c r="O174" s="3">
        <v>0.45034419999999997</v>
      </c>
      <c r="P174" s="3">
        <v>0.44412649999999998</v>
      </c>
      <c r="Q174" s="3">
        <v>0.43852089999999999</v>
      </c>
      <c r="R174" s="3">
        <v>0.43338270000000001</v>
      </c>
      <c r="S174" s="3">
        <v>0.4286644</v>
      </c>
      <c r="T174" s="3">
        <v>0.42431839999999998</v>
      </c>
      <c r="U174" s="3">
        <v>0.42029699999999998</v>
      </c>
      <c r="V174" s="3">
        <v>0.4165528</v>
      </c>
      <c r="W174" s="3">
        <v>0.41304649999999998</v>
      </c>
      <c r="X174" s="3">
        <v>0.40978690000000001</v>
      </c>
      <c r="Y174" s="3">
        <v>0.40679939999999998</v>
      </c>
      <c r="Z174" s="3">
        <v>0.40410960000000001</v>
      </c>
      <c r="AA174" s="3">
        <v>0.40174310000000002</v>
      </c>
      <c r="AB174" s="3">
        <v>0.39972530000000001</v>
      </c>
      <c r="AC174" s="3">
        <v>0.3980746</v>
      </c>
      <c r="AD174" s="3">
        <v>0.39677079999999998</v>
      </c>
      <c r="AE174" s="3">
        <v>0.39578069999999999</v>
      </c>
      <c r="AF174" s="3">
        <v>0.39507130000000001</v>
      </c>
      <c r="AG174" s="3">
        <v>0.3946094</v>
      </c>
      <c r="AH174" s="3">
        <v>0.39436179999999998</v>
      </c>
      <c r="AI174" s="3">
        <v>0.39429530000000002</v>
      </c>
      <c r="AJ174" s="3">
        <v>0.39437689999999997</v>
      </c>
      <c r="AK174" s="3">
        <v>0.39457340000000002</v>
      </c>
      <c r="AL174" s="3">
        <v>0.39485160000000002</v>
      </c>
      <c r="AM174" s="3">
        <v>0.39517839999999999</v>
      </c>
      <c r="AN174" s="3">
        <v>0.3955207</v>
      </c>
      <c r="AO174" s="3">
        <v>0.39584979999999997</v>
      </c>
      <c r="AP174" s="3">
        <v>0.3961595</v>
      </c>
      <c r="AQ174" s="3">
        <v>0.39645039999999998</v>
      </c>
      <c r="AR174" s="3">
        <v>0.39672299999999999</v>
      </c>
      <c r="AS174" s="3">
        <v>0.39697769999999999</v>
      </c>
      <c r="AT174" s="3">
        <v>0.39721519999999999</v>
      </c>
      <c r="AU174" s="3">
        <v>0.39743590000000001</v>
      </c>
      <c r="AV174" s="3">
        <v>0.39764050000000001</v>
      </c>
      <c r="AW174" s="3">
        <v>0.3978293</v>
      </c>
      <c r="AX174" s="3">
        <v>0.398003</v>
      </c>
      <c r="AY174" s="3">
        <v>0.39816210000000002</v>
      </c>
      <c r="AZ174" s="3">
        <v>0.39830710000000003</v>
      </c>
      <c r="BA174" s="3">
        <v>0.39843909999999999</v>
      </c>
      <c r="BB174" s="3">
        <v>0.39856209999999997</v>
      </c>
      <c r="BC174" s="3">
        <v>0.3986807</v>
      </c>
      <c r="BD174" s="3">
        <v>0.39879959999999998</v>
      </c>
      <c r="BE174" s="3">
        <v>0.39892329999999998</v>
      </c>
      <c r="BF174" s="3">
        <v>0.39905649999999998</v>
      </c>
      <c r="BG174" s="3">
        <v>0.399204</v>
      </c>
      <c r="BH174" s="3">
        <v>0.39937020000000001</v>
      </c>
      <c r="BI174" s="3">
        <v>0.39956000000000003</v>
      </c>
      <c r="BJ174" s="3">
        <v>0.39977780000000002</v>
      </c>
      <c r="BK174" s="3">
        <v>0.40002850000000001</v>
      </c>
      <c r="BL174" s="3">
        <v>0.40031650000000002</v>
      </c>
      <c r="BM174" s="3" t="e">
        <v>#N/A</v>
      </c>
      <c r="BN174" s="3" t="e">
        <v>#N/A</v>
      </c>
    </row>
    <row r="175" spans="1:66" x14ac:dyDescent="0.35">
      <c r="A175" s="5">
        <f t="shared" si="2"/>
        <v>43699</v>
      </c>
      <c r="B175" t="s">
        <v>252</v>
      </c>
      <c r="C175" s="2">
        <v>0.75</v>
      </c>
      <c r="D175" s="2">
        <v>0.71099999999999997</v>
      </c>
      <c r="E175" s="3">
        <v>0.71405549999999995</v>
      </c>
      <c r="F175" s="3">
        <v>0.68359150000000002</v>
      </c>
      <c r="G175" s="3">
        <v>0.64038410000000001</v>
      </c>
      <c r="H175" s="3">
        <v>0.59628760000000003</v>
      </c>
      <c r="I175" s="3">
        <v>0.55994200000000005</v>
      </c>
      <c r="J175" s="3">
        <v>0.53274869999999996</v>
      </c>
      <c r="K175" s="3">
        <v>0.51297680000000001</v>
      </c>
      <c r="L175" s="3">
        <v>0.4986524</v>
      </c>
      <c r="M175" s="3">
        <v>0.48782209999999998</v>
      </c>
      <c r="N175" s="3">
        <v>0.4792052</v>
      </c>
      <c r="O175" s="3">
        <v>0.47220469999999998</v>
      </c>
      <c r="P175" s="3">
        <v>0.4665436</v>
      </c>
      <c r="Q175" s="3">
        <v>0.46215000000000001</v>
      </c>
      <c r="R175" s="3">
        <v>0.45887539999999999</v>
      </c>
      <c r="S175" s="3">
        <v>0.45652900000000002</v>
      </c>
      <c r="T175" s="3">
        <v>0.45492009999999999</v>
      </c>
      <c r="U175" s="3">
        <v>0.45385819999999999</v>
      </c>
      <c r="V175" s="3">
        <v>0.45315240000000001</v>
      </c>
      <c r="W175" s="3">
        <v>0.45262970000000002</v>
      </c>
      <c r="X175" s="3">
        <v>0.45220769999999999</v>
      </c>
      <c r="Y175" s="3">
        <v>0.45183279999999998</v>
      </c>
      <c r="Z175" s="3">
        <v>0.45145150000000001</v>
      </c>
      <c r="AA175" s="3">
        <v>0.45101010000000002</v>
      </c>
      <c r="AB175" s="3">
        <v>0.4504552</v>
      </c>
      <c r="AC175" s="3">
        <v>0.44974330000000001</v>
      </c>
      <c r="AD175" s="3">
        <v>0.44888099999999997</v>
      </c>
      <c r="AE175" s="3">
        <v>0.4478895</v>
      </c>
      <c r="AF175" s="3">
        <v>0.44679039999999998</v>
      </c>
      <c r="AG175" s="3">
        <v>0.44560519999999998</v>
      </c>
      <c r="AH175" s="3">
        <v>0.44435550000000001</v>
      </c>
      <c r="AI175" s="3">
        <v>0.44306250000000003</v>
      </c>
      <c r="AJ175" s="3">
        <v>0.44174799999999997</v>
      </c>
      <c r="AK175" s="3">
        <v>0.44043320000000002</v>
      </c>
      <c r="AL175" s="3">
        <v>0.43913990000000003</v>
      </c>
      <c r="AM175" s="3">
        <v>0.43788929999999998</v>
      </c>
      <c r="AN175" s="3">
        <v>0.43670300000000001</v>
      </c>
      <c r="AO175" s="3">
        <v>0.43559959999999998</v>
      </c>
      <c r="AP175" s="3">
        <v>0.43458469999999999</v>
      </c>
      <c r="AQ175" s="3">
        <v>0.4336604</v>
      </c>
      <c r="AR175" s="3">
        <v>0.43282890000000002</v>
      </c>
      <c r="AS175" s="3">
        <v>0.43209209999999998</v>
      </c>
      <c r="AT175" s="3">
        <v>0.43145230000000001</v>
      </c>
      <c r="AU175" s="3">
        <v>0.4309115</v>
      </c>
      <c r="AV175" s="3">
        <v>0.43047180000000002</v>
      </c>
      <c r="AW175" s="3">
        <v>0.4301353</v>
      </c>
      <c r="AX175" s="3">
        <v>0.42990420000000001</v>
      </c>
      <c r="AY175" s="3">
        <v>0.42978040000000001</v>
      </c>
      <c r="AZ175" s="3">
        <v>0.42976619999999999</v>
      </c>
      <c r="BA175" s="3">
        <v>0.42986259999999998</v>
      </c>
      <c r="BB175" s="3">
        <v>0.43006699999999998</v>
      </c>
      <c r="BC175" s="3">
        <v>0.43037530000000002</v>
      </c>
      <c r="BD175" s="3">
        <v>0.43078379999999999</v>
      </c>
      <c r="BE175" s="3">
        <v>0.43128850000000002</v>
      </c>
      <c r="BF175" s="3">
        <v>0.43188549999999998</v>
      </c>
      <c r="BG175" s="3">
        <v>0.43257089999999998</v>
      </c>
      <c r="BH175" s="3">
        <v>0.43334089999999997</v>
      </c>
      <c r="BI175" s="3">
        <v>0.43419140000000001</v>
      </c>
      <c r="BJ175" s="3">
        <v>0.43511870000000002</v>
      </c>
      <c r="BK175" s="3">
        <v>0.43611889999999998</v>
      </c>
      <c r="BL175" s="3">
        <v>0.43718790000000002</v>
      </c>
      <c r="BM175" s="3" t="e">
        <v>#N/A</v>
      </c>
      <c r="BN175" s="3" t="e">
        <v>#N/A</v>
      </c>
    </row>
    <row r="176" spans="1:66" x14ac:dyDescent="0.35">
      <c r="A176" s="5">
        <f t="shared" si="2"/>
        <v>43700</v>
      </c>
      <c r="B176" t="s">
        <v>253</v>
      </c>
      <c r="C176" s="2">
        <v>0.75</v>
      </c>
      <c r="D176" s="2">
        <v>0.71160000000000001</v>
      </c>
      <c r="E176" s="3">
        <v>0.70794990000000002</v>
      </c>
      <c r="F176" s="3">
        <v>0.67301960000000005</v>
      </c>
      <c r="G176" s="3">
        <v>0.62950850000000003</v>
      </c>
      <c r="H176" s="3">
        <v>0.58384139999999995</v>
      </c>
      <c r="I176" s="3">
        <v>0.54332009999999997</v>
      </c>
      <c r="J176" s="3">
        <v>0.51141510000000001</v>
      </c>
      <c r="K176" s="3">
        <v>0.48788189999999998</v>
      </c>
      <c r="L176" s="3">
        <v>0.47054259999999998</v>
      </c>
      <c r="M176" s="3">
        <v>0.4569571</v>
      </c>
      <c r="N176" s="3">
        <v>0.44568790000000003</v>
      </c>
      <c r="O176" s="3">
        <v>0.43602350000000001</v>
      </c>
      <c r="P176" s="3">
        <v>0.42773220000000001</v>
      </c>
      <c r="Q176" s="3">
        <v>0.42083320000000002</v>
      </c>
      <c r="R176" s="3">
        <v>0.4152228</v>
      </c>
      <c r="S176" s="3">
        <v>0.41074379999999999</v>
      </c>
      <c r="T176" s="3">
        <v>0.4072384</v>
      </c>
      <c r="U176" s="3">
        <v>0.4045493</v>
      </c>
      <c r="V176" s="3">
        <v>0.40251890000000001</v>
      </c>
      <c r="W176" s="3">
        <v>0.40099859999999998</v>
      </c>
      <c r="X176" s="3">
        <v>0.39988479999999998</v>
      </c>
      <c r="Y176" s="3">
        <v>0.39908860000000002</v>
      </c>
      <c r="Z176" s="3">
        <v>0.39852080000000001</v>
      </c>
      <c r="AA176" s="3">
        <v>0.39809240000000001</v>
      </c>
      <c r="AB176" s="3">
        <v>0.39771440000000002</v>
      </c>
      <c r="AC176" s="3">
        <v>0.3973122</v>
      </c>
      <c r="AD176" s="3">
        <v>0.39687499999999998</v>
      </c>
      <c r="AE176" s="3">
        <v>0.39640979999999998</v>
      </c>
      <c r="AF176" s="3">
        <v>0.39592319999999998</v>
      </c>
      <c r="AG176" s="3">
        <v>0.3954222</v>
      </c>
      <c r="AH176" s="3">
        <v>0.39491349999999997</v>
      </c>
      <c r="AI176" s="3">
        <v>0.39440419999999998</v>
      </c>
      <c r="AJ176" s="3">
        <v>0.3939009</v>
      </c>
      <c r="AK176" s="3">
        <v>0.3934105</v>
      </c>
      <c r="AL176" s="3">
        <v>0.39293990000000001</v>
      </c>
      <c r="AM176" s="3">
        <v>0.39249590000000001</v>
      </c>
      <c r="AN176" s="3">
        <v>0.39208539999999997</v>
      </c>
      <c r="AO176" s="3">
        <v>0.39171499999999998</v>
      </c>
      <c r="AP176" s="3">
        <v>0.39139030000000002</v>
      </c>
      <c r="AQ176" s="3">
        <v>0.39111679999999999</v>
      </c>
      <c r="AR176" s="3">
        <v>0.39089980000000002</v>
      </c>
      <c r="AS176" s="3">
        <v>0.3907448</v>
      </c>
      <c r="AT176" s="3">
        <v>0.39065709999999998</v>
      </c>
      <c r="AU176" s="3">
        <v>0.39064209999999999</v>
      </c>
      <c r="AV176" s="3">
        <v>0.39070529999999998</v>
      </c>
      <c r="AW176" s="3">
        <v>0.39085199999999998</v>
      </c>
      <c r="AX176" s="3">
        <v>0.39108769999999998</v>
      </c>
      <c r="AY176" s="3">
        <v>0.39141769999999998</v>
      </c>
      <c r="AZ176" s="3">
        <v>0.39184740000000001</v>
      </c>
      <c r="BA176" s="3">
        <v>0.39238099999999998</v>
      </c>
      <c r="BB176" s="3">
        <v>0.39301720000000001</v>
      </c>
      <c r="BC176" s="3">
        <v>0.39375300000000002</v>
      </c>
      <c r="BD176" s="3">
        <v>0.39458569999999998</v>
      </c>
      <c r="BE176" s="3">
        <v>0.39551239999999999</v>
      </c>
      <c r="BF176" s="3">
        <v>0.3965302</v>
      </c>
      <c r="BG176" s="3">
        <v>0.3976363</v>
      </c>
      <c r="BH176" s="3">
        <v>0.39882780000000001</v>
      </c>
      <c r="BI176" s="3">
        <v>0.40010190000000001</v>
      </c>
      <c r="BJ176" s="3">
        <v>0.40145570000000003</v>
      </c>
      <c r="BK176" s="3">
        <v>0.40288639999999998</v>
      </c>
      <c r="BL176" s="3">
        <v>0.4043911</v>
      </c>
      <c r="BM176" s="3" t="e">
        <v>#N/A</v>
      </c>
      <c r="BN176" s="3" t="e">
        <v>#N/A</v>
      </c>
    </row>
    <row r="177" spans="1:66" x14ac:dyDescent="0.35">
      <c r="A177" s="5">
        <f t="shared" si="2"/>
        <v>43703</v>
      </c>
      <c r="B177" t="s">
        <v>254</v>
      </c>
      <c r="C177" s="2">
        <v>0.75</v>
      </c>
      <c r="D177" s="2" t="e">
        <v>#N/A</v>
      </c>
      <c r="E177" s="3" t="e">
        <v>#N/A</v>
      </c>
      <c r="F177" s="3" t="e">
        <v>#N/A</v>
      </c>
      <c r="G177" s="3" t="e">
        <v>#N/A</v>
      </c>
      <c r="H177" s="3" t="e">
        <v>#N/A</v>
      </c>
      <c r="I177" s="3" t="e">
        <v>#N/A</v>
      </c>
      <c r="J177" s="3" t="e">
        <v>#N/A</v>
      </c>
      <c r="K177" s="3" t="e">
        <v>#N/A</v>
      </c>
      <c r="L177" s="3" t="e">
        <v>#N/A</v>
      </c>
      <c r="M177" s="3" t="e">
        <v>#N/A</v>
      </c>
      <c r="N177" s="3" t="e">
        <v>#N/A</v>
      </c>
      <c r="O177" s="3" t="e">
        <v>#N/A</v>
      </c>
      <c r="P177" s="3" t="e">
        <v>#N/A</v>
      </c>
      <c r="Q177" s="3" t="e">
        <v>#N/A</v>
      </c>
      <c r="R177" s="3" t="e">
        <v>#N/A</v>
      </c>
      <c r="S177" s="3" t="e">
        <v>#N/A</v>
      </c>
      <c r="T177" s="3" t="e">
        <v>#N/A</v>
      </c>
      <c r="U177" s="3" t="e">
        <v>#N/A</v>
      </c>
      <c r="V177" s="3" t="e">
        <v>#N/A</v>
      </c>
      <c r="W177" s="3" t="e">
        <v>#N/A</v>
      </c>
      <c r="X177" s="3" t="e">
        <v>#N/A</v>
      </c>
      <c r="Y177" s="3" t="e">
        <v>#N/A</v>
      </c>
      <c r="Z177" s="3" t="e">
        <v>#N/A</v>
      </c>
      <c r="AA177" s="3" t="e">
        <v>#N/A</v>
      </c>
      <c r="AB177" s="3" t="e">
        <v>#N/A</v>
      </c>
      <c r="AC177" s="3" t="e">
        <v>#N/A</v>
      </c>
      <c r="AD177" s="3" t="e">
        <v>#N/A</v>
      </c>
      <c r="AE177" s="3" t="e">
        <v>#N/A</v>
      </c>
      <c r="AF177" s="3" t="e">
        <v>#N/A</v>
      </c>
      <c r="AG177" s="3" t="e">
        <v>#N/A</v>
      </c>
      <c r="AH177" s="3" t="e">
        <v>#N/A</v>
      </c>
      <c r="AI177" s="3" t="e">
        <v>#N/A</v>
      </c>
      <c r="AJ177" s="3" t="e">
        <v>#N/A</v>
      </c>
      <c r="AK177" s="3" t="e">
        <v>#N/A</v>
      </c>
      <c r="AL177" s="3" t="e">
        <v>#N/A</v>
      </c>
      <c r="AM177" s="3" t="e">
        <v>#N/A</v>
      </c>
      <c r="AN177" s="3" t="e">
        <v>#N/A</v>
      </c>
      <c r="AO177" s="3" t="e">
        <v>#N/A</v>
      </c>
      <c r="AP177" s="3" t="e">
        <v>#N/A</v>
      </c>
      <c r="AQ177" s="3" t="e">
        <v>#N/A</v>
      </c>
      <c r="AR177" s="3" t="e">
        <v>#N/A</v>
      </c>
      <c r="AS177" s="3" t="e">
        <v>#N/A</v>
      </c>
      <c r="AT177" s="3" t="e">
        <v>#N/A</v>
      </c>
      <c r="AU177" s="3" t="e">
        <v>#N/A</v>
      </c>
      <c r="AV177" s="3" t="e">
        <v>#N/A</v>
      </c>
      <c r="AW177" s="3" t="e">
        <v>#N/A</v>
      </c>
      <c r="AX177" s="3" t="e">
        <v>#N/A</v>
      </c>
      <c r="AY177" s="3" t="e">
        <v>#N/A</v>
      </c>
      <c r="AZ177" s="3" t="e">
        <v>#N/A</v>
      </c>
      <c r="BA177" s="3" t="e">
        <v>#N/A</v>
      </c>
      <c r="BB177" s="3" t="e">
        <v>#N/A</v>
      </c>
      <c r="BC177" s="3" t="e">
        <v>#N/A</v>
      </c>
      <c r="BD177" s="3" t="e">
        <v>#N/A</v>
      </c>
      <c r="BE177" s="3" t="e">
        <v>#N/A</v>
      </c>
      <c r="BF177" s="3" t="e">
        <v>#N/A</v>
      </c>
      <c r="BG177" s="3" t="e">
        <v>#N/A</v>
      </c>
      <c r="BH177" s="3" t="e">
        <v>#N/A</v>
      </c>
      <c r="BI177" s="3" t="e">
        <v>#N/A</v>
      </c>
      <c r="BJ177" s="3" t="e">
        <v>#N/A</v>
      </c>
      <c r="BK177" s="3" t="e">
        <v>#N/A</v>
      </c>
      <c r="BL177" s="3" t="e">
        <v>#N/A</v>
      </c>
      <c r="BM177" s="3" t="e">
        <v>#N/A</v>
      </c>
      <c r="BN177" s="3" t="e">
        <v>#N/A</v>
      </c>
    </row>
    <row r="178" spans="1:66" x14ac:dyDescent="0.35">
      <c r="A178" s="5">
        <f t="shared" si="2"/>
        <v>43704</v>
      </c>
      <c r="B178" t="s">
        <v>255</v>
      </c>
      <c r="C178" s="2">
        <v>0.75</v>
      </c>
      <c r="D178" s="2">
        <v>0.7107</v>
      </c>
      <c r="E178" s="3">
        <v>0.70605799999999996</v>
      </c>
      <c r="F178" s="3">
        <v>0.66837780000000002</v>
      </c>
      <c r="G178" s="3">
        <v>0.62352609999999997</v>
      </c>
      <c r="H178" s="3">
        <v>0.578708</v>
      </c>
      <c r="I178" s="3">
        <v>0.53922910000000002</v>
      </c>
      <c r="J178" s="3">
        <v>0.50724040000000004</v>
      </c>
      <c r="K178" s="3">
        <v>0.4826318</v>
      </c>
      <c r="L178" s="3">
        <v>0.46374949999999998</v>
      </c>
      <c r="M178" s="3">
        <v>0.4490249</v>
      </c>
      <c r="N178" s="3">
        <v>0.4374362</v>
      </c>
      <c r="O178" s="3">
        <v>0.42845729999999999</v>
      </c>
      <c r="P178" s="3">
        <v>0.42181439999999998</v>
      </c>
      <c r="Q178" s="3">
        <v>0.41746549999999999</v>
      </c>
      <c r="R178" s="3">
        <v>0.4149004</v>
      </c>
      <c r="S178" s="3">
        <v>0.41345599999999999</v>
      </c>
      <c r="T178" s="3">
        <v>0.41246919999999998</v>
      </c>
      <c r="U178" s="3">
        <v>0.4112768</v>
      </c>
      <c r="V178" s="3">
        <v>0.40921580000000002</v>
      </c>
      <c r="W178" s="3">
        <v>0.4057249</v>
      </c>
      <c r="X178" s="3">
        <v>0.40088279999999998</v>
      </c>
      <c r="Y178" s="3">
        <v>0.39501510000000001</v>
      </c>
      <c r="Z178" s="3">
        <v>0.38844830000000002</v>
      </c>
      <c r="AA178" s="3">
        <v>0.38150849999999997</v>
      </c>
      <c r="AB178" s="3">
        <v>0.37452220000000003</v>
      </c>
      <c r="AC178" s="3">
        <v>0.3677686</v>
      </c>
      <c r="AD178" s="3">
        <v>0.361319</v>
      </c>
      <c r="AE178" s="3">
        <v>0.35518739999999999</v>
      </c>
      <c r="AF178" s="3">
        <v>0.34938780000000003</v>
      </c>
      <c r="AG178" s="3">
        <v>0.34393410000000002</v>
      </c>
      <c r="AH178" s="3">
        <v>0.33884039999999999</v>
      </c>
      <c r="AI178" s="3">
        <v>0.33412059999999999</v>
      </c>
      <c r="AJ178" s="3">
        <v>0.32978879999999999</v>
      </c>
      <c r="AK178" s="3">
        <v>0.3258588</v>
      </c>
      <c r="AL178" s="3">
        <v>0.32234479999999999</v>
      </c>
      <c r="AM178" s="3">
        <v>0.3192605</v>
      </c>
      <c r="AN178" s="3">
        <v>0.31662020000000002</v>
      </c>
      <c r="AO178" s="3">
        <v>0.31443260000000001</v>
      </c>
      <c r="AP178" s="3">
        <v>0.31267689999999998</v>
      </c>
      <c r="AQ178" s="3">
        <v>0.31132100000000001</v>
      </c>
      <c r="AR178" s="3">
        <v>0.31033290000000002</v>
      </c>
      <c r="AS178" s="3">
        <v>0.30968069999999998</v>
      </c>
      <c r="AT178" s="3">
        <v>0.3093322</v>
      </c>
      <c r="AU178" s="3">
        <v>0.30925560000000002</v>
      </c>
      <c r="AV178" s="3">
        <v>0.30941859999999999</v>
      </c>
      <c r="AW178" s="3">
        <v>0.3097895</v>
      </c>
      <c r="AX178" s="3">
        <v>0.310336</v>
      </c>
      <c r="AY178" s="3">
        <v>0.31102629999999998</v>
      </c>
      <c r="AZ178" s="3">
        <v>0.3118282</v>
      </c>
      <c r="BA178" s="3">
        <v>0.31271369999999998</v>
      </c>
      <c r="BB178" s="3">
        <v>0.31367529999999999</v>
      </c>
      <c r="BC178" s="3">
        <v>0.31471280000000001</v>
      </c>
      <c r="BD178" s="3">
        <v>0.31582569999999999</v>
      </c>
      <c r="BE178" s="3">
        <v>0.31701370000000001</v>
      </c>
      <c r="BF178" s="3">
        <v>0.31827630000000001</v>
      </c>
      <c r="BG178" s="3">
        <v>0.31961319999999999</v>
      </c>
      <c r="BH178" s="3">
        <v>0.32102409999999998</v>
      </c>
      <c r="BI178" s="3">
        <v>0.32250849999999998</v>
      </c>
      <c r="BJ178" s="3">
        <v>0.32406610000000002</v>
      </c>
      <c r="BK178" s="3">
        <v>0.3256966</v>
      </c>
      <c r="BL178" s="3">
        <v>0.32739940000000001</v>
      </c>
      <c r="BM178" s="3" t="e">
        <v>#N/A</v>
      </c>
      <c r="BN178" s="3" t="e">
        <v>#N/A</v>
      </c>
    </row>
    <row r="179" spans="1:66" x14ac:dyDescent="0.35">
      <c r="A179" s="5">
        <f t="shared" si="2"/>
        <v>43705</v>
      </c>
      <c r="B179" t="s">
        <v>256</v>
      </c>
      <c r="C179" s="2">
        <v>0.75</v>
      </c>
      <c r="D179" s="2">
        <v>0.71130000000000004</v>
      </c>
      <c r="E179" s="3">
        <v>0.71089809999999998</v>
      </c>
      <c r="F179" s="3">
        <v>0.66713270000000002</v>
      </c>
      <c r="G179" s="3">
        <v>0.61332120000000001</v>
      </c>
      <c r="H179" s="3">
        <v>0.56121370000000004</v>
      </c>
      <c r="I179" s="3">
        <v>0.51742030000000006</v>
      </c>
      <c r="J179" s="3">
        <v>0.48315789999999997</v>
      </c>
      <c r="K179" s="3">
        <v>0.45725510000000003</v>
      </c>
      <c r="L179" s="3">
        <v>0.43754729999999997</v>
      </c>
      <c r="M179" s="3">
        <v>0.42169509999999999</v>
      </c>
      <c r="N179" s="3">
        <v>0.4082559</v>
      </c>
      <c r="O179" s="3">
        <v>0.39660309999999999</v>
      </c>
      <c r="P179" s="3">
        <v>0.38652609999999998</v>
      </c>
      <c r="Q179" s="3">
        <v>0.37799490000000002</v>
      </c>
      <c r="R179" s="3">
        <v>0.3708263</v>
      </c>
      <c r="S179" s="3">
        <v>0.36478339999999998</v>
      </c>
      <c r="T179" s="3">
        <v>0.35962959999999999</v>
      </c>
      <c r="U179" s="3">
        <v>0.355128</v>
      </c>
      <c r="V179" s="3">
        <v>0.35104190000000002</v>
      </c>
      <c r="W179" s="3">
        <v>0.3471592</v>
      </c>
      <c r="X179" s="3">
        <v>0.34340730000000003</v>
      </c>
      <c r="Y179" s="3">
        <v>0.33976240000000002</v>
      </c>
      <c r="Z179" s="3">
        <v>0.33620119999999998</v>
      </c>
      <c r="AA179" s="3">
        <v>0.3327001</v>
      </c>
      <c r="AB179" s="3">
        <v>0.32923550000000001</v>
      </c>
      <c r="AC179" s="3">
        <v>0.32578770000000001</v>
      </c>
      <c r="AD179" s="3">
        <v>0.32235829999999999</v>
      </c>
      <c r="AE179" s="3">
        <v>0.3189574</v>
      </c>
      <c r="AF179" s="3">
        <v>0.31559470000000001</v>
      </c>
      <c r="AG179" s="3">
        <v>0.31228030000000001</v>
      </c>
      <c r="AH179" s="3">
        <v>0.30902390000000002</v>
      </c>
      <c r="AI179" s="3">
        <v>0.30583539999999998</v>
      </c>
      <c r="AJ179" s="3">
        <v>0.30272480000000002</v>
      </c>
      <c r="AK179" s="3">
        <v>0.29970190000000002</v>
      </c>
      <c r="AL179" s="3">
        <v>0.2967766</v>
      </c>
      <c r="AM179" s="3">
        <v>0.29395880000000002</v>
      </c>
      <c r="AN179" s="3">
        <v>0.29125830000000003</v>
      </c>
      <c r="AO179" s="3">
        <v>0.2886841</v>
      </c>
      <c r="AP179" s="3">
        <v>0.28623939999999998</v>
      </c>
      <c r="AQ179" s="3">
        <v>0.2839255</v>
      </c>
      <c r="AR179" s="3">
        <v>0.28174399999999999</v>
      </c>
      <c r="AS179" s="3">
        <v>0.27969630000000001</v>
      </c>
      <c r="AT179" s="3">
        <v>0.27778360000000002</v>
      </c>
      <c r="AU179" s="3">
        <v>0.27600750000000002</v>
      </c>
      <c r="AV179" s="3">
        <v>0.27436929999999998</v>
      </c>
      <c r="AW179" s="3">
        <v>0.27287050000000002</v>
      </c>
      <c r="AX179" s="3">
        <v>0.27151249999999999</v>
      </c>
      <c r="AY179" s="3">
        <v>0.2702966</v>
      </c>
      <c r="AZ179" s="3">
        <v>0.26922430000000003</v>
      </c>
      <c r="BA179" s="3">
        <v>0.26829649999999999</v>
      </c>
      <c r="BB179" s="3">
        <v>0.26751219999999998</v>
      </c>
      <c r="BC179" s="3">
        <v>0.26686939999999998</v>
      </c>
      <c r="BD179" s="3">
        <v>0.2663664</v>
      </c>
      <c r="BE179" s="3">
        <v>0.2660014</v>
      </c>
      <c r="BF179" s="3">
        <v>0.26577250000000002</v>
      </c>
      <c r="BG179" s="3">
        <v>0.26567790000000002</v>
      </c>
      <c r="BH179" s="3">
        <v>0.2657159</v>
      </c>
      <c r="BI179" s="3">
        <v>0.26588469999999997</v>
      </c>
      <c r="BJ179" s="3">
        <v>0.26618229999999998</v>
      </c>
      <c r="BK179" s="3">
        <v>0.26660709999999999</v>
      </c>
      <c r="BL179" s="3">
        <v>0.26715719999999998</v>
      </c>
      <c r="BM179" s="3" t="e">
        <v>#N/A</v>
      </c>
      <c r="BN179" s="3" t="e">
        <v>#N/A</v>
      </c>
    </row>
    <row r="180" spans="1:66" x14ac:dyDescent="0.35">
      <c r="A180" s="5">
        <f t="shared" si="2"/>
        <v>43706</v>
      </c>
      <c r="B180" t="s">
        <v>257</v>
      </c>
      <c r="C180" s="2">
        <v>0.75</v>
      </c>
      <c r="D180" s="2">
        <v>0.71009999999999995</v>
      </c>
      <c r="E180" s="3">
        <v>0.71030729999999997</v>
      </c>
      <c r="F180" s="3">
        <v>0.66591449999999996</v>
      </c>
      <c r="G180" s="3">
        <v>0.61152039999999996</v>
      </c>
      <c r="H180" s="3">
        <v>0.55926690000000001</v>
      </c>
      <c r="I180" s="3">
        <v>0.51553070000000001</v>
      </c>
      <c r="J180" s="3">
        <v>0.48155199999999998</v>
      </c>
      <c r="K180" s="3">
        <v>0.4560015</v>
      </c>
      <c r="L180" s="3">
        <v>0.43653140000000001</v>
      </c>
      <c r="M180" s="3">
        <v>0.42053499999999999</v>
      </c>
      <c r="N180" s="3">
        <v>0.40644350000000001</v>
      </c>
      <c r="O180" s="3">
        <v>0.39367029999999997</v>
      </c>
      <c r="P180" s="3">
        <v>0.38215470000000001</v>
      </c>
      <c r="Q180" s="3">
        <v>0.37246010000000002</v>
      </c>
      <c r="R180" s="3">
        <v>0.36459380000000002</v>
      </c>
      <c r="S180" s="3">
        <v>0.35829070000000002</v>
      </c>
      <c r="T180" s="3">
        <v>0.35328540000000003</v>
      </c>
      <c r="U180" s="3">
        <v>0.34931240000000002</v>
      </c>
      <c r="V180" s="3">
        <v>0.34610610000000003</v>
      </c>
      <c r="W180" s="3">
        <v>0.34342210000000001</v>
      </c>
      <c r="X180" s="3">
        <v>0.34112379999999998</v>
      </c>
      <c r="Y180" s="3">
        <v>0.33910899999999999</v>
      </c>
      <c r="Z180" s="3">
        <v>0.33727550000000001</v>
      </c>
      <c r="AA180" s="3">
        <v>0.33552120000000002</v>
      </c>
      <c r="AB180" s="3">
        <v>0.33374379999999998</v>
      </c>
      <c r="AC180" s="3">
        <v>0.33185559999999997</v>
      </c>
      <c r="AD180" s="3">
        <v>0.32984770000000002</v>
      </c>
      <c r="AE180" s="3">
        <v>0.32773679999999999</v>
      </c>
      <c r="AF180" s="3">
        <v>0.3255403</v>
      </c>
      <c r="AG180" s="3">
        <v>0.32327519999999998</v>
      </c>
      <c r="AH180" s="3">
        <v>0.32095849999999998</v>
      </c>
      <c r="AI180" s="3">
        <v>0.31860749999999999</v>
      </c>
      <c r="AJ180" s="3">
        <v>0.3162391</v>
      </c>
      <c r="AK180" s="3">
        <v>0.31387039999999999</v>
      </c>
      <c r="AL180" s="3">
        <v>0.31151869999999998</v>
      </c>
      <c r="AM180" s="3">
        <v>0.309201</v>
      </c>
      <c r="AN180" s="3">
        <v>0.30693429999999999</v>
      </c>
      <c r="AO180" s="3">
        <v>0.30473430000000001</v>
      </c>
      <c r="AP180" s="3">
        <v>0.30260910000000002</v>
      </c>
      <c r="AQ180" s="3">
        <v>0.30056490000000002</v>
      </c>
      <c r="AR180" s="3">
        <v>0.29860750000000003</v>
      </c>
      <c r="AS180" s="3">
        <v>0.29674289999999998</v>
      </c>
      <c r="AT180" s="3">
        <v>0.29497719999999999</v>
      </c>
      <c r="AU180" s="3">
        <v>0.29331620000000003</v>
      </c>
      <c r="AV180" s="3">
        <v>0.29176609999999997</v>
      </c>
      <c r="AW180" s="3">
        <v>0.2903327</v>
      </c>
      <c r="AX180" s="3">
        <v>0.2890221</v>
      </c>
      <c r="AY180" s="3">
        <v>0.28784029999999999</v>
      </c>
      <c r="AZ180" s="3">
        <v>0.28679320000000003</v>
      </c>
      <c r="BA180" s="3">
        <v>0.28588570000000002</v>
      </c>
      <c r="BB180" s="3">
        <v>0.28511760000000003</v>
      </c>
      <c r="BC180" s="3">
        <v>0.28448760000000001</v>
      </c>
      <c r="BD180" s="3">
        <v>0.28399410000000003</v>
      </c>
      <c r="BE180" s="3">
        <v>0.28363579999999999</v>
      </c>
      <c r="BF180" s="3">
        <v>0.28341100000000002</v>
      </c>
      <c r="BG180" s="3">
        <v>0.28331830000000002</v>
      </c>
      <c r="BH180" s="3">
        <v>0.28335630000000001</v>
      </c>
      <c r="BI180" s="3">
        <v>0.28352349999999998</v>
      </c>
      <c r="BJ180" s="3">
        <v>0.28381840000000003</v>
      </c>
      <c r="BK180" s="3">
        <v>0.28423949999999998</v>
      </c>
      <c r="BL180" s="3">
        <v>0.28478540000000002</v>
      </c>
      <c r="BM180" s="3" t="e">
        <v>#N/A</v>
      </c>
      <c r="BN180" s="3" t="e">
        <v>#N/A</v>
      </c>
    </row>
    <row r="181" spans="1:66" x14ac:dyDescent="0.35">
      <c r="A181" s="5">
        <f t="shared" si="2"/>
        <v>43707</v>
      </c>
      <c r="B181" t="s">
        <v>258</v>
      </c>
      <c r="C181" s="2">
        <v>0.75</v>
      </c>
      <c r="D181" s="2">
        <v>0.71030000000000004</v>
      </c>
      <c r="E181" s="3">
        <v>0.71057709999999996</v>
      </c>
      <c r="F181" s="3">
        <v>0.66695300000000002</v>
      </c>
      <c r="G181" s="3">
        <v>0.61112849999999996</v>
      </c>
      <c r="H181" s="3">
        <v>0.55650379999999999</v>
      </c>
      <c r="I181" s="3">
        <v>0.51057929999999996</v>
      </c>
      <c r="J181" s="3">
        <v>0.47576600000000002</v>
      </c>
      <c r="K181" s="3">
        <v>0.45149739999999999</v>
      </c>
      <c r="L181" s="3">
        <v>0.43483280000000002</v>
      </c>
      <c r="M181" s="3">
        <v>0.4223595</v>
      </c>
      <c r="N181" s="3">
        <v>0.41196430000000001</v>
      </c>
      <c r="O181" s="3">
        <v>0.4026112</v>
      </c>
      <c r="P181" s="3">
        <v>0.39396870000000001</v>
      </c>
      <c r="Q181" s="3">
        <v>0.38617600000000002</v>
      </c>
      <c r="R181" s="3">
        <v>0.3793337</v>
      </c>
      <c r="S181" s="3">
        <v>0.37349549999999998</v>
      </c>
      <c r="T181" s="3">
        <v>0.36871500000000001</v>
      </c>
      <c r="U181" s="3">
        <v>0.36504599999999998</v>
      </c>
      <c r="V181" s="3">
        <v>0.36254229999999998</v>
      </c>
      <c r="W181" s="3">
        <v>0.36121399999999998</v>
      </c>
      <c r="X181" s="3">
        <v>0.36084919999999998</v>
      </c>
      <c r="Y181" s="3">
        <v>0.3611646</v>
      </c>
      <c r="Z181" s="3">
        <v>0.36187710000000001</v>
      </c>
      <c r="AA181" s="3">
        <v>0.36270350000000001</v>
      </c>
      <c r="AB181" s="3">
        <v>0.36336059999999998</v>
      </c>
      <c r="AC181" s="3">
        <v>0.36360880000000001</v>
      </c>
      <c r="AD181" s="3">
        <v>0.3634211</v>
      </c>
      <c r="AE181" s="3">
        <v>0.36283480000000001</v>
      </c>
      <c r="AF181" s="3">
        <v>0.36188740000000003</v>
      </c>
      <c r="AG181" s="3">
        <v>0.36061660000000001</v>
      </c>
      <c r="AH181" s="3">
        <v>0.35905969999999998</v>
      </c>
      <c r="AI181" s="3">
        <v>0.35725430000000002</v>
      </c>
      <c r="AJ181" s="3">
        <v>0.3552379</v>
      </c>
      <c r="AK181" s="3">
        <v>0.35304799999999997</v>
      </c>
      <c r="AL181" s="3">
        <v>0.35072209999999998</v>
      </c>
      <c r="AM181" s="3">
        <v>0.34829769999999999</v>
      </c>
      <c r="AN181" s="3">
        <v>0.34581230000000002</v>
      </c>
      <c r="AO181" s="3">
        <v>0.34330100000000002</v>
      </c>
      <c r="AP181" s="3">
        <v>0.3407888</v>
      </c>
      <c r="AQ181" s="3">
        <v>0.33829779999999998</v>
      </c>
      <c r="AR181" s="3">
        <v>0.33584989999999998</v>
      </c>
      <c r="AS181" s="3">
        <v>0.33346730000000002</v>
      </c>
      <c r="AT181" s="3">
        <v>0.33117200000000002</v>
      </c>
      <c r="AU181" s="3">
        <v>0.3289861</v>
      </c>
      <c r="AV181" s="3">
        <v>0.32693159999999999</v>
      </c>
      <c r="AW181" s="3">
        <v>0.3250306</v>
      </c>
      <c r="AX181" s="3">
        <v>0.32330520000000001</v>
      </c>
      <c r="AY181" s="3">
        <v>0.32177739999999999</v>
      </c>
      <c r="AZ181" s="3">
        <v>0.32046920000000001</v>
      </c>
      <c r="BA181" s="3">
        <v>0.31939790000000001</v>
      </c>
      <c r="BB181" s="3">
        <v>0.31855919999999999</v>
      </c>
      <c r="BC181" s="3">
        <v>0.31794289999999997</v>
      </c>
      <c r="BD181" s="3">
        <v>0.3175386</v>
      </c>
      <c r="BE181" s="3">
        <v>0.31733630000000002</v>
      </c>
      <c r="BF181" s="3">
        <v>0.31732569999999999</v>
      </c>
      <c r="BG181" s="3">
        <v>0.31749660000000002</v>
      </c>
      <c r="BH181" s="3">
        <v>0.31783869999999997</v>
      </c>
      <c r="BI181" s="3">
        <v>0.31834190000000001</v>
      </c>
      <c r="BJ181" s="3">
        <v>0.3189958</v>
      </c>
      <c r="BK181" s="3">
        <v>0.31979039999999997</v>
      </c>
      <c r="BL181" s="3">
        <v>0.32071529999999998</v>
      </c>
      <c r="BM181" s="3" t="e">
        <v>#N/A</v>
      </c>
      <c r="BN181" s="3" t="e">
        <v>#N/A</v>
      </c>
    </row>
    <row r="182" spans="1:66" x14ac:dyDescent="0.35">
      <c r="A182" s="5">
        <f t="shared" si="2"/>
        <v>43710</v>
      </c>
      <c r="B182" t="s">
        <v>259</v>
      </c>
      <c r="C182" s="2">
        <v>0.75</v>
      </c>
      <c r="D182" s="2">
        <v>0.70909999999999995</v>
      </c>
      <c r="E182" s="3">
        <v>0.70993309999999998</v>
      </c>
      <c r="F182" s="3">
        <v>0.65648050000000002</v>
      </c>
      <c r="G182" s="3">
        <v>0.59463920000000003</v>
      </c>
      <c r="H182" s="3">
        <v>0.54049630000000004</v>
      </c>
      <c r="I182" s="3">
        <v>0.49671179999999998</v>
      </c>
      <c r="J182" s="3">
        <v>0.46125070000000001</v>
      </c>
      <c r="K182" s="3">
        <v>0.43304989999999999</v>
      </c>
      <c r="L182" s="3">
        <v>0.41026119999999999</v>
      </c>
      <c r="M182" s="3">
        <v>0.39152120000000001</v>
      </c>
      <c r="N182" s="3">
        <v>0.3757971</v>
      </c>
      <c r="O182" s="3">
        <v>0.36265710000000001</v>
      </c>
      <c r="P182" s="3">
        <v>0.35178559999999998</v>
      </c>
      <c r="Q182" s="3">
        <v>0.34303479999999997</v>
      </c>
      <c r="R182" s="3">
        <v>0.33611550000000001</v>
      </c>
      <c r="S182" s="3">
        <v>0.33068069999999999</v>
      </c>
      <c r="T182" s="3">
        <v>0.32638339999999999</v>
      </c>
      <c r="U182" s="3">
        <v>0.32287640000000001</v>
      </c>
      <c r="V182" s="3">
        <v>0.31981270000000001</v>
      </c>
      <c r="W182" s="3">
        <v>0.31690309999999999</v>
      </c>
      <c r="X182" s="3">
        <v>0.31407829999999998</v>
      </c>
      <c r="Y182" s="3">
        <v>0.31132130000000002</v>
      </c>
      <c r="Z182" s="3">
        <v>0.30861529999999998</v>
      </c>
      <c r="AA182" s="3">
        <v>0.30594320000000003</v>
      </c>
      <c r="AB182" s="3">
        <v>0.30328820000000001</v>
      </c>
      <c r="AC182" s="3">
        <v>0.3006374</v>
      </c>
      <c r="AD182" s="3">
        <v>0.29799520000000002</v>
      </c>
      <c r="AE182" s="3">
        <v>0.2953713</v>
      </c>
      <c r="AF182" s="3">
        <v>0.2927749</v>
      </c>
      <c r="AG182" s="3">
        <v>0.29021560000000002</v>
      </c>
      <c r="AH182" s="3">
        <v>0.28770269999999998</v>
      </c>
      <c r="AI182" s="3">
        <v>0.28524579999999999</v>
      </c>
      <c r="AJ182" s="3">
        <v>0.2828542</v>
      </c>
      <c r="AK182" s="3">
        <v>0.28053739999999999</v>
      </c>
      <c r="AL182" s="3">
        <v>0.27830480000000002</v>
      </c>
      <c r="AM182" s="3">
        <v>0.27616590000000002</v>
      </c>
      <c r="AN182" s="3">
        <v>0.27413009999999999</v>
      </c>
      <c r="AO182" s="3">
        <v>0.27220559999999999</v>
      </c>
      <c r="AP182" s="3">
        <v>0.27039479999999999</v>
      </c>
      <c r="AQ182" s="3">
        <v>0.26869870000000001</v>
      </c>
      <c r="AR182" s="3">
        <v>0.26711819999999997</v>
      </c>
      <c r="AS182" s="3">
        <v>0.26565420000000001</v>
      </c>
      <c r="AT182" s="3">
        <v>0.26430769999999998</v>
      </c>
      <c r="AU182" s="3">
        <v>0.26307960000000002</v>
      </c>
      <c r="AV182" s="3">
        <v>0.2619708</v>
      </c>
      <c r="AW182" s="3">
        <v>0.2609823</v>
      </c>
      <c r="AX182" s="3">
        <v>0.26011499999999999</v>
      </c>
      <c r="AY182" s="3">
        <v>0.25936979999999998</v>
      </c>
      <c r="AZ182" s="3">
        <v>0.25874770000000002</v>
      </c>
      <c r="BA182" s="3">
        <v>0.25824930000000001</v>
      </c>
      <c r="BB182" s="3">
        <v>0.25787379999999999</v>
      </c>
      <c r="BC182" s="3">
        <v>0.25761990000000001</v>
      </c>
      <c r="BD182" s="3">
        <v>0.2574864</v>
      </c>
      <c r="BE182" s="3">
        <v>0.25747199999999998</v>
      </c>
      <c r="BF182" s="3">
        <v>0.25757540000000001</v>
      </c>
      <c r="BG182" s="3">
        <v>0.25779530000000001</v>
      </c>
      <c r="BH182" s="3">
        <v>0.25813049999999998</v>
      </c>
      <c r="BI182" s="3">
        <v>0.25857970000000002</v>
      </c>
      <c r="BJ182" s="3">
        <v>0.25914150000000002</v>
      </c>
      <c r="BK182" s="3">
        <v>0.25981480000000001</v>
      </c>
      <c r="BL182" s="3">
        <v>0.2605983</v>
      </c>
      <c r="BM182" s="3" t="e">
        <v>#N/A</v>
      </c>
      <c r="BN182" s="3" t="e">
        <v>#N/A</v>
      </c>
    </row>
    <row r="183" spans="1:66" x14ac:dyDescent="0.35">
      <c r="A183" s="5">
        <f t="shared" si="2"/>
        <v>43711</v>
      </c>
      <c r="B183" t="s">
        <v>260</v>
      </c>
      <c r="C183" s="2">
        <v>0.75</v>
      </c>
      <c r="D183" s="2">
        <v>0.70989999999999998</v>
      </c>
      <c r="E183" s="3">
        <v>0.7059204</v>
      </c>
      <c r="F183" s="3">
        <v>0.6497503</v>
      </c>
      <c r="G183" s="3">
        <v>0.58801820000000005</v>
      </c>
      <c r="H183" s="3">
        <v>0.53541059999999996</v>
      </c>
      <c r="I183" s="3">
        <v>0.4929654</v>
      </c>
      <c r="J183" s="3">
        <v>0.4578815</v>
      </c>
      <c r="K183" s="3">
        <v>0.42897150000000001</v>
      </c>
      <c r="L183" s="3">
        <v>0.4047808</v>
      </c>
      <c r="M183" s="3">
        <v>0.38422820000000002</v>
      </c>
      <c r="N183" s="3">
        <v>0.36638850000000001</v>
      </c>
      <c r="O183" s="3">
        <v>0.3507632</v>
      </c>
      <c r="P183" s="3">
        <v>0.3370031</v>
      </c>
      <c r="Q183" s="3">
        <v>0.32478590000000002</v>
      </c>
      <c r="R183" s="3">
        <v>0.31399890000000003</v>
      </c>
      <c r="S183" s="3">
        <v>0.30458980000000002</v>
      </c>
      <c r="T183" s="3">
        <v>0.2965062</v>
      </c>
      <c r="U183" s="3">
        <v>0.2896957</v>
      </c>
      <c r="V183" s="3">
        <v>0.28410590000000002</v>
      </c>
      <c r="W183" s="3">
        <v>0.27966380000000002</v>
      </c>
      <c r="X183" s="3">
        <v>0.27621699999999999</v>
      </c>
      <c r="Y183" s="3">
        <v>0.27359450000000002</v>
      </c>
      <c r="Z183" s="3">
        <v>0.27162520000000001</v>
      </c>
      <c r="AA183" s="3">
        <v>0.27013789999999999</v>
      </c>
      <c r="AB183" s="3">
        <v>0.26896160000000002</v>
      </c>
      <c r="AC183" s="3">
        <v>0.26794839999999998</v>
      </c>
      <c r="AD183" s="3">
        <v>0.26705220000000002</v>
      </c>
      <c r="AE183" s="3">
        <v>0.26625510000000002</v>
      </c>
      <c r="AF183" s="3">
        <v>0.26553929999999998</v>
      </c>
      <c r="AG183" s="3">
        <v>0.26488679999999998</v>
      </c>
      <c r="AH183" s="3">
        <v>0.26428000000000001</v>
      </c>
      <c r="AI183" s="3">
        <v>0.26370080000000001</v>
      </c>
      <c r="AJ183" s="3">
        <v>0.26313140000000002</v>
      </c>
      <c r="AK183" s="3">
        <v>0.26255400000000001</v>
      </c>
      <c r="AL183" s="3">
        <v>0.26195059999999998</v>
      </c>
      <c r="AM183" s="3">
        <v>0.26130340000000002</v>
      </c>
      <c r="AN183" s="3">
        <v>0.26059460000000001</v>
      </c>
      <c r="AO183" s="3">
        <v>0.2598104</v>
      </c>
      <c r="AP183" s="3">
        <v>0.25895899999999999</v>
      </c>
      <c r="AQ183" s="3">
        <v>0.25805610000000001</v>
      </c>
      <c r="AR183" s="3">
        <v>0.2571175</v>
      </c>
      <c r="AS183" s="3">
        <v>0.25615890000000002</v>
      </c>
      <c r="AT183" s="3">
        <v>0.25519579999999997</v>
      </c>
      <c r="AU183" s="3">
        <v>0.25424409999999997</v>
      </c>
      <c r="AV183" s="3">
        <v>0.25331939999999997</v>
      </c>
      <c r="AW183" s="3">
        <v>0.25243749999999998</v>
      </c>
      <c r="AX183" s="3">
        <v>0.2516139</v>
      </c>
      <c r="AY183" s="3">
        <v>0.25086439999999999</v>
      </c>
      <c r="AZ183" s="3">
        <v>0.2502048</v>
      </c>
      <c r="BA183" s="3">
        <v>0.2496486</v>
      </c>
      <c r="BB183" s="3">
        <v>0.2492</v>
      </c>
      <c r="BC183" s="3">
        <v>0.2488599</v>
      </c>
      <c r="BD183" s="3">
        <v>0.24862960000000001</v>
      </c>
      <c r="BE183" s="3">
        <v>0.24850990000000001</v>
      </c>
      <c r="BF183" s="3">
        <v>0.2485021</v>
      </c>
      <c r="BG183" s="3">
        <v>0.2486072</v>
      </c>
      <c r="BH183" s="3">
        <v>0.2488263</v>
      </c>
      <c r="BI183" s="3">
        <v>0.2491604</v>
      </c>
      <c r="BJ183" s="3">
        <v>0.24961069999999999</v>
      </c>
      <c r="BK183" s="3">
        <v>0.25017810000000001</v>
      </c>
      <c r="BL183" s="3">
        <v>0.25086380000000003</v>
      </c>
      <c r="BM183" s="3" t="e">
        <v>#N/A</v>
      </c>
      <c r="BN183" s="3" t="e">
        <v>#N/A</v>
      </c>
    </row>
    <row r="184" spans="1:66" x14ac:dyDescent="0.35">
      <c r="A184" s="5">
        <f t="shared" si="2"/>
        <v>43712</v>
      </c>
      <c r="B184" t="s">
        <v>261</v>
      </c>
      <c r="C184" s="2">
        <v>0.75</v>
      </c>
      <c r="D184" s="2">
        <v>0.70950000000000002</v>
      </c>
      <c r="E184" s="3">
        <v>0.70396389999999998</v>
      </c>
      <c r="F184" s="3">
        <v>0.65733520000000001</v>
      </c>
      <c r="G184" s="3">
        <v>0.60584610000000005</v>
      </c>
      <c r="H184" s="3">
        <v>0.56063499999999999</v>
      </c>
      <c r="I184" s="3">
        <v>0.52220599999999995</v>
      </c>
      <c r="J184" s="3">
        <v>0.489425</v>
      </c>
      <c r="K184" s="3">
        <v>0.46305220000000002</v>
      </c>
      <c r="L184" s="3">
        <v>0.44243450000000001</v>
      </c>
      <c r="M184" s="3">
        <v>0.42643950000000003</v>
      </c>
      <c r="N184" s="3">
        <v>0.41380660000000002</v>
      </c>
      <c r="O184" s="3">
        <v>0.40358539999999998</v>
      </c>
      <c r="P184" s="3">
        <v>0.39511950000000001</v>
      </c>
      <c r="Q184" s="3">
        <v>0.3876539</v>
      </c>
      <c r="R184" s="3">
        <v>0.38094739999999999</v>
      </c>
      <c r="S184" s="3">
        <v>0.37492360000000002</v>
      </c>
      <c r="T184" s="3">
        <v>0.3695058</v>
      </c>
      <c r="U184" s="3">
        <v>0.36461779999999999</v>
      </c>
      <c r="V184" s="3">
        <v>0.36018299999999998</v>
      </c>
      <c r="W184" s="3">
        <v>0.35613220000000001</v>
      </c>
      <c r="X184" s="3">
        <v>0.35242319999999999</v>
      </c>
      <c r="Y184" s="3">
        <v>0.34902030000000001</v>
      </c>
      <c r="Z184" s="3">
        <v>0.34588809999999998</v>
      </c>
      <c r="AA184" s="3">
        <v>0.34299069999999998</v>
      </c>
      <c r="AB184" s="3">
        <v>0.3402926</v>
      </c>
      <c r="AC184" s="3">
        <v>0.3377618</v>
      </c>
      <c r="AD184" s="3">
        <v>0.33538590000000001</v>
      </c>
      <c r="AE184" s="3">
        <v>0.33315899999999998</v>
      </c>
      <c r="AF184" s="3">
        <v>0.33107530000000002</v>
      </c>
      <c r="AG184" s="3">
        <v>0.3291289</v>
      </c>
      <c r="AH184" s="3">
        <v>0.32731399999999999</v>
      </c>
      <c r="AI184" s="3">
        <v>0.32562479999999999</v>
      </c>
      <c r="AJ184" s="3">
        <v>0.32405539999999999</v>
      </c>
      <c r="AK184" s="3">
        <v>0.3226</v>
      </c>
      <c r="AL184" s="3">
        <v>0.3212527</v>
      </c>
      <c r="AM184" s="3">
        <v>0.32000770000000001</v>
      </c>
      <c r="AN184" s="3">
        <v>0.31885920000000001</v>
      </c>
      <c r="AO184" s="3">
        <v>0.31780239999999998</v>
      </c>
      <c r="AP184" s="3">
        <v>0.31683810000000001</v>
      </c>
      <c r="AQ184" s="3">
        <v>0.31596859999999999</v>
      </c>
      <c r="AR184" s="3">
        <v>0.31519629999999998</v>
      </c>
      <c r="AS184" s="3">
        <v>0.31452370000000002</v>
      </c>
      <c r="AT184" s="3">
        <v>0.31395299999999998</v>
      </c>
      <c r="AU184" s="3">
        <v>0.31348670000000001</v>
      </c>
      <c r="AV184" s="3">
        <v>0.31312719999999999</v>
      </c>
      <c r="AW184" s="3">
        <v>0.31287680000000001</v>
      </c>
      <c r="AX184" s="3">
        <v>0.31273790000000001</v>
      </c>
      <c r="AY184" s="3">
        <v>0.31271290000000002</v>
      </c>
      <c r="AZ184" s="3">
        <v>0.31280409999999997</v>
      </c>
      <c r="BA184" s="3">
        <v>0.31301319999999999</v>
      </c>
      <c r="BB184" s="3">
        <v>0.31333800000000001</v>
      </c>
      <c r="BC184" s="3">
        <v>0.31377549999999998</v>
      </c>
      <c r="BD184" s="3">
        <v>0.3143224</v>
      </c>
      <c r="BE184" s="3">
        <v>0.31497579999999997</v>
      </c>
      <c r="BF184" s="3">
        <v>0.31573250000000003</v>
      </c>
      <c r="BG184" s="3">
        <v>0.31658940000000002</v>
      </c>
      <c r="BH184" s="3">
        <v>0.31754329999999997</v>
      </c>
      <c r="BI184" s="3">
        <v>0.31859130000000002</v>
      </c>
      <c r="BJ184" s="3">
        <v>0.31973010000000002</v>
      </c>
      <c r="BK184" s="3">
        <v>0.32095669999999998</v>
      </c>
      <c r="BL184" s="3">
        <v>0.322268</v>
      </c>
      <c r="BM184" s="3" t="e">
        <v>#N/A</v>
      </c>
      <c r="BN184" s="3" t="e">
        <v>#N/A</v>
      </c>
    </row>
    <row r="185" spans="1:66" x14ac:dyDescent="0.35">
      <c r="A185" s="5">
        <f t="shared" si="2"/>
        <v>43713</v>
      </c>
      <c r="B185" t="s">
        <v>262</v>
      </c>
      <c r="C185" s="2">
        <v>0.75</v>
      </c>
      <c r="D185" s="2">
        <v>0.70989999999999998</v>
      </c>
      <c r="E185" s="3">
        <v>0.70466390000000001</v>
      </c>
      <c r="F185" s="3">
        <v>0.67101310000000003</v>
      </c>
      <c r="G185" s="3">
        <v>0.63452500000000001</v>
      </c>
      <c r="H185" s="3">
        <v>0.60297679999999998</v>
      </c>
      <c r="I185" s="3">
        <v>0.5757639</v>
      </c>
      <c r="J185" s="3">
        <v>0.55103020000000003</v>
      </c>
      <c r="K185" s="3">
        <v>0.52915909999999999</v>
      </c>
      <c r="L185" s="3">
        <v>0.51066239999999996</v>
      </c>
      <c r="M185" s="3">
        <v>0.49554330000000002</v>
      </c>
      <c r="N185" s="3">
        <v>0.48333490000000001</v>
      </c>
      <c r="O185" s="3">
        <v>0.47350239999999999</v>
      </c>
      <c r="P185" s="3">
        <v>0.46554800000000002</v>
      </c>
      <c r="Q185" s="3">
        <v>0.45887729999999999</v>
      </c>
      <c r="R185" s="3">
        <v>0.45322020000000002</v>
      </c>
      <c r="S185" s="3">
        <v>0.44843149999999998</v>
      </c>
      <c r="T185" s="3">
        <v>0.44436609999999999</v>
      </c>
      <c r="U185" s="3">
        <v>0.44087920000000003</v>
      </c>
      <c r="V185" s="3">
        <v>0.43782559999999998</v>
      </c>
      <c r="W185" s="3">
        <v>0.43508190000000002</v>
      </c>
      <c r="X185" s="3">
        <v>0.43260660000000001</v>
      </c>
      <c r="Y185" s="3">
        <v>0.43037789999999998</v>
      </c>
      <c r="Z185" s="3">
        <v>0.42837370000000002</v>
      </c>
      <c r="AA185" s="3">
        <v>0.42657200000000001</v>
      </c>
      <c r="AB185" s="3">
        <v>0.42495100000000002</v>
      </c>
      <c r="AC185" s="3">
        <v>0.4234909</v>
      </c>
      <c r="AD185" s="3">
        <v>0.422182</v>
      </c>
      <c r="AE185" s="3">
        <v>0.42101810000000001</v>
      </c>
      <c r="AF185" s="3">
        <v>0.4199928</v>
      </c>
      <c r="AG185" s="3">
        <v>0.41909970000000002</v>
      </c>
      <c r="AH185" s="3">
        <v>0.41833239999999999</v>
      </c>
      <c r="AI185" s="3">
        <v>0.41768470000000002</v>
      </c>
      <c r="AJ185" s="3">
        <v>0.41715000000000002</v>
      </c>
      <c r="AK185" s="3">
        <v>0.41672219999999999</v>
      </c>
      <c r="AL185" s="3">
        <v>0.41639470000000001</v>
      </c>
      <c r="AM185" s="3">
        <v>0.41616120000000001</v>
      </c>
      <c r="AN185" s="3">
        <v>0.41601539999999998</v>
      </c>
      <c r="AO185" s="3">
        <v>0.41595199999999999</v>
      </c>
      <c r="AP185" s="3">
        <v>0.41597099999999998</v>
      </c>
      <c r="AQ185" s="3">
        <v>0.41607359999999999</v>
      </c>
      <c r="AR185" s="3">
        <v>0.41626099999999999</v>
      </c>
      <c r="AS185" s="3">
        <v>0.41653459999999998</v>
      </c>
      <c r="AT185" s="3">
        <v>0.41689559999999998</v>
      </c>
      <c r="AU185" s="3">
        <v>0.41734529999999997</v>
      </c>
      <c r="AV185" s="3">
        <v>0.4178849</v>
      </c>
      <c r="AW185" s="3">
        <v>0.41851579999999999</v>
      </c>
      <c r="AX185" s="3">
        <v>0.41923919999999998</v>
      </c>
      <c r="AY185" s="3">
        <v>0.4200564</v>
      </c>
      <c r="AZ185" s="3">
        <v>0.42096869999999997</v>
      </c>
      <c r="BA185" s="3">
        <v>0.42197699999999999</v>
      </c>
      <c r="BB185" s="3">
        <v>0.42308099999999998</v>
      </c>
      <c r="BC185" s="3">
        <v>0.42427999999999999</v>
      </c>
      <c r="BD185" s="3">
        <v>0.42557329999999999</v>
      </c>
      <c r="BE185" s="3">
        <v>0.42696010000000001</v>
      </c>
      <c r="BF185" s="3">
        <v>0.42843979999999998</v>
      </c>
      <c r="BG185" s="3">
        <v>0.4300117</v>
      </c>
      <c r="BH185" s="3">
        <v>0.43167499999999998</v>
      </c>
      <c r="BI185" s="3">
        <v>0.43342910000000001</v>
      </c>
      <c r="BJ185" s="3">
        <v>0.43527320000000003</v>
      </c>
      <c r="BK185" s="3">
        <v>0.4372066</v>
      </c>
      <c r="BL185" s="3">
        <v>0.43922860000000002</v>
      </c>
      <c r="BM185" s="3" t="e">
        <v>#N/A</v>
      </c>
      <c r="BN185" s="3" t="e">
        <v>#N/A</v>
      </c>
    </row>
    <row r="186" spans="1:66" x14ac:dyDescent="0.35">
      <c r="A186" s="5">
        <f t="shared" si="2"/>
        <v>43714</v>
      </c>
      <c r="B186" t="s">
        <v>263</v>
      </c>
      <c r="C186" s="2">
        <v>0.75</v>
      </c>
      <c r="D186" s="2">
        <v>0.70979999999999999</v>
      </c>
      <c r="E186" s="3">
        <v>0.70374139999999996</v>
      </c>
      <c r="F186" s="3">
        <v>0.67104030000000003</v>
      </c>
      <c r="G186" s="3">
        <v>0.63466080000000002</v>
      </c>
      <c r="H186" s="3">
        <v>0.60194760000000003</v>
      </c>
      <c r="I186" s="3">
        <v>0.57216809999999996</v>
      </c>
      <c r="J186" s="3">
        <v>0.54422329999999997</v>
      </c>
      <c r="K186" s="3">
        <v>0.51905699999999999</v>
      </c>
      <c r="L186" s="3">
        <v>0.49720530000000002</v>
      </c>
      <c r="M186" s="3">
        <v>0.47858519999999999</v>
      </c>
      <c r="N186" s="3">
        <v>0.46284649999999999</v>
      </c>
      <c r="O186" s="3">
        <v>0.4495053</v>
      </c>
      <c r="P186" s="3">
        <v>0.4381776</v>
      </c>
      <c r="Q186" s="3">
        <v>0.42843769999999998</v>
      </c>
      <c r="R186" s="3">
        <v>0.4200411</v>
      </c>
      <c r="S186" s="3">
        <v>0.41280879999999998</v>
      </c>
      <c r="T186" s="3">
        <v>0.40656170000000003</v>
      </c>
      <c r="U186" s="3">
        <v>0.40112110000000001</v>
      </c>
      <c r="V186" s="3">
        <v>0.39630789999999999</v>
      </c>
      <c r="W186" s="3">
        <v>0.3919571</v>
      </c>
      <c r="X186" s="3">
        <v>0.38796910000000001</v>
      </c>
      <c r="Y186" s="3">
        <v>0.38426290000000002</v>
      </c>
      <c r="Z186" s="3">
        <v>0.38075769999999998</v>
      </c>
      <c r="AA186" s="3">
        <v>0.3773726</v>
      </c>
      <c r="AB186" s="3">
        <v>0.37402669999999999</v>
      </c>
      <c r="AC186" s="3">
        <v>0.3706546</v>
      </c>
      <c r="AD186" s="3">
        <v>0.36725940000000001</v>
      </c>
      <c r="AE186" s="3">
        <v>0.36386279999999999</v>
      </c>
      <c r="AF186" s="3">
        <v>0.36048659999999999</v>
      </c>
      <c r="AG186" s="3">
        <v>0.35715279999999999</v>
      </c>
      <c r="AH186" s="3">
        <v>0.35388310000000001</v>
      </c>
      <c r="AI186" s="3">
        <v>0.35069929999999999</v>
      </c>
      <c r="AJ186" s="3">
        <v>0.34762340000000003</v>
      </c>
      <c r="AK186" s="3">
        <v>0.34467720000000002</v>
      </c>
      <c r="AL186" s="3">
        <v>0.34188239999999998</v>
      </c>
      <c r="AM186" s="3">
        <v>0.33926089999999998</v>
      </c>
      <c r="AN186" s="3">
        <v>0.33683459999999998</v>
      </c>
      <c r="AO186" s="3">
        <v>0.33462190000000003</v>
      </c>
      <c r="AP186" s="3">
        <v>0.33262649999999999</v>
      </c>
      <c r="AQ186" s="3">
        <v>0.33084789999999997</v>
      </c>
      <c r="AR186" s="3">
        <v>0.32928570000000001</v>
      </c>
      <c r="AS186" s="3">
        <v>0.3279396</v>
      </c>
      <c r="AT186" s="3">
        <v>0.32680890000000001</v>
      </c>
      <c r="AU186" s="3">
        <v>0.3258933</v>
      </c>
      <c r="AV186" s="3">
        <v>0.32519239999999999</v>
      </c>
      <c r="AW186" s="3">
        <v>0.32470569999999999</v>
      </c>
      <c r="AX186" s="3">
        <v>0.32443280000000002</v>
      </c>
      <c r="AY186" s="3">
        <v>0.32437319999999997</v>
      </c>
      <c r="AZ186" s="3">
        <v>0.3245266</v>
      </c>
      <c r="BA186" s="3">
        <v>0.32489119999999999</v>
      </c>
      <c r="BB186" s="3">
        <v>0.32546049999999999</v>
      </c>
      <c r="BC186" s="3">
        <v>0.32622610000000002</v>
      </c>
      <c r="BD186" s="3">
        <v>0.32718000000000003</v>
      </c>
      <c r="BE186" s="3">
        <v>0.3283141</v>
      </c>
      <c r="BF186" s="3">
        <v>0.32962019999999997</v>
      </c>
      <c r="BG186" s="3">
        <v>0.3310901</v>
      </c>
      <c r="BH186" s="3">
        <v>0.3327157</v>
      </c>
      <c r="BI186" s="3">
        <v>0.33448889999999998</v>
      </c>
      <c r="BJ186" s="3">
        <v>0.33640150000000002</v>
      </c>
      <c r="BK186" s="3">
        <v>0.3384453</v>
      </c>
      <c r="BL186" s="3">
        <v>0.34061219999999998</v>
      </c>
      <c r="BM186" s="3" t="e">
        <v>#N/A</v>
      </c>
      <c r="BN186" s="3" t="e">
        <v>#N/A</v>
      </c>
    </row>
    <row r="187" spans="1:66" x14ac:dyDescent="0.35">
      <c r="A187" s="5">
        <f t="shared" si="2"/>
        <v>43717</v>
      </c>
      <c r="B187" t="s">
        <v>264</v>
      </c>
      <c r="C187" s="2">
        <v>0.75</v>
      </c>
      <c r="D187" s="2">
        <v>0.70960000000000001</v>
      </c>
      <c r="E187" s="3">
        <v>0.70748480000000002</v>
      </c>
      <c r="F187" s="3">
        <v>0.68698689999999996</v>
      </c>
      <c r="G187" s="3">
        <v>0.65769060000000001</v>
      </c>
      <c r="H187" s="3">
        <v>0.62489640000000002</v>
      </c>
      <c r="I187" s="3">
        <v>0.59437549999999995</v>
      </c>
      <c r="J187" s="3">
        <v>0.5685926</v>
      </c>
      <c r="K187" s="3">
        <v>0.54779239999999996</v>
      </c>
      <c r="L187" s="3">
        <v>0.5309857</v>
      </c>
      <c r="M187" s="3">
        <v>0.51731020000000005</v>
      </c>
      <c r="N187" s="3">
        <v>0.50596280000000005</v>
      </c>
      <c r="O187" s="3">
        <v>0.49645129999999998</v>
      </c>
      <c r="P187" s="3">
        <v>0.48832389999999998</v>
      </c>
      <c r="Q187" s="3">
        <v>0.48112700000000003</v>
      </c>
      <c r="R187" s="3">
        <v>0.47469099999999997</v>
      </c>
      <c r="S187" s="3">
        <v>0.4689295</v>
      </c>
      <c r="T187" s="3">
        <v>0.46375630000000001</v>
      </c>
      <c r="U187" s="3">
        <v>0.45908500000000002</v>
      </c>
      <c r="V187" s="3">
        <v>0.45482919999999999</v>
      </c>
      <c r="W187" s="3">
        <v>0.45091029999999999</v>
      </c>
      <c r="X187" s="3">
        <v>0.44727869999999997</v>
      </c>
      <c r="Y187" s="3">
        <v>0.44389210000000001</v>
      </c>
      <c r="Z187" s="3">
        <v>0.44070789999999999</v>
      </c>
      <c r="AA187" s="3">
        <v>0.43768370000000001</v>
      </c>
      <c r="AB187" s="3">
        <v>0.43477680000000002</v>
      </c>
      <c r="AC187" s="3">
        <v>0.43195240000000001</v>
      </c>
      <c r="AD187" s="3">
        <v>0.42920799999999998</v>
      </c>
      <c r="AE187" s="3">
        <v>0.4265504</v>
      </c>
      <c r="AF187" s="3">
        <v>0.42398639999999999</v>
      </c>
      <c r="AG187" s="3">
        <v>0.42152260000000003</v>
      </c>
      <c r="AH187" s="3">
        <v>0.41916599999999998</v>
      </c>
      <c r="AI187" s="3">
        <v>0.41692319999999999</v>
      </c>
      <c r="AJ187" s="3">
        <v>0.41480089999999997</v>
      </c>
      <c r="AK187" s="3">
        <v>0.4128059</v>
      </c>
      <c r="AL187" s="3">
        <v>0.41094510000000001</v>
      </c>
      <c r="AM187" s="3">
        <v>0.40922500000000001</v>
      </c>
      <c r="AN187" s="3">
        <v>0.40765249999999997</v>
      </c>
      <c r="AO187" s="3">
        <v>0.40623369999999998</v>
      </c>
      <c r="AP187" s="3">
        <v>0.40497240000000001</v>
      </c>
      <c r="AQ187" s="3">
        <v>0.40387149999999999</v>
      </c>
      <c r="AR187" s="3">
        <v>0.40293410000000002</v>
      </c>
      <c r="AS187" s="3">
        <v>0.4021632</v>
      </c>
      <c r="AT187" s="3">
        <v>0.40156180000000002</v>
      </c>
      <c r="AU187" s="3">
        <v>0.40113290000000001</v>
      </c>
      <c r="AV187" s="3">
        <v>0.4008795</v>
      </c>
      <c r="AW187" s="3">
        <v>0.40080470000000001</v>
      </c>
      <c r="AX187" s="3">
        <v>0.40091139999999997</v>
      </c>
      <c r="AY187" s="3">
        <v>0.40120260000000002</v>
      </c>
      <c r="AZ187" s="3">
        <v>0.40168140000000002</v>
      </c>
      <c r="BA187" s="3">
        <v>0.40234969999999998</v>
      </c>
      <c r="BB187" s="3">
        <v>0.40320289999999998</v>
      </c>
      <c r="BC187" s="3">
        <v>0.40423439999999999</v>
      </c>
      <c r="BD187" s="3">
        <v>0.40543780000000001</v>
      </c>
      <c r="BE187" s="3">
        <v>0.40680650000000002</v>
      </c>
      <c r="BF187" s="3">
        <v>0.40833390000000003</v>
      </c>
      <c r="BG187" s="3">
        <v>0.41001339999999997</v>
      </c>
      <c r="BH187" s="3">
        <v>0.4118385</v>
      </c>
      <c r="BI187" s="3">
        <v>0.41380260000000002</v>
      </c>
      <c r="BJ187" s="3">
        <v>0.41589920000000002</v>
      </c>
      <c r="BK187" s="3">
        <v>0.41812159999999998</v>
      </c>
      <c r="BL187" s="3">
        <v>0.42046339999999999</v>
      </c>
      <c r="BM187" s="3" t="e">
        <v>#N/A</v>
      </c>
      <c r="BN187" s="3" t="e">
        <v>#N/A</v>
      </c>
    </row>
    <row r="188" spans="1:66" x14ac:dyDescent="0.35">
      <c r="A188" s="5">
        <f t="shared" si="2"/>
        <v>43718</v>
      </c>
      <c r="B188" t="s">
        <v>265</v>
      </c>
      <c r="C188" s="2">
        <v>0.75</v>
      </c>
      <c r="D188" s="2">
        <v>0.7087</v>
      </c>
      <c r="E188" s="3">
        <v>0.70801449999999999</v>
      </c>
      <c r="F188" s="3">
        <v>0.69382219999999994</v>
      </c>
      <c r="G188" s="3">
        <v>0.67218599999999995</v>
      </c>
      <c r="H188" s="3">
        <v>0.6461093</v>
      </c>
      <c r="I188" s="3">
        <v>0.61997630000000004</v>
      </c>
      <c r="J188" s="3">
        <v>0.59637879999999999</v>
      </c>
      <c r="K188" s="3">
        <v>0.57635409999999998</v>
      </c>
      <c r="L188" s="3">
        <v>0.55984769999999995</v>
      </c>
      <c r="M188" s="3">
        <v>0.54677359999999997</v>
      </c>
      <c r="N188" s="3">
        <v>0.5367246</v>
      </c>
      <c r="O188" s="3">
        <v>0.52938160000000001</v>
      </c>
      <c r="P188" s="3">
        <v>0.52426419999999996</v>
      </c>
      <c r="Q188" s="3">
        <v>0.52067079999999999</v>
      </c>
      <c r="R188" s="3">
        <v>0.51819930000000003</v>
      </c>
      <c r="S188" s="3">
        <v>0.51654960000000005</v>
      </c>
      <c r="T188" s="3">
        <v>0.51542129999999997</v>
      </c>
      <c r="U188" s="3">
        <v>0.51451409999999997</v>
      </c>
      <c r="V188" s="3">
        <v>0.51352779999999998</v>
      </c>
      <c r="W188" s="3">
        <v>0.51222060000000003</v>
      </c>
      <c r="X188" s="3">
        <v>0.51057370000000002</v>
      </c>
      <c r="Y188" s="3">
        <v>0.5086212</v>
      </c>
      <c r="Z188" s="3">
        <v>0.50639730000000005</v>
      </c>
      <c r="AA188" s="3">
        <v>0.5039363</v>
      </c>
      <c r="AB188" s="3">
        <v>0.5012723</v>
      </c>
      <c r="AC188" s="3">
        <v>0.49843939999999998</v>
      </c>
      <c r="AD188" s="3">
        <v>0.4954713</v>
      </c>
      <c r="AE188" s="3">
        <v>0.4924018</v>
      </c>
      <c r="AF188" s="3">
        <v>0.48926449999999999</v>
      </c>
      <c r="AG188" s="3">
        <v>0.4860932</v>
      </c>
      <c r="AH188" s="3">
        <v>0.4829214</v>
      </c>
      <c r="AI188" s="3">
        <v>0.47978290000000001</v>
      </c>
      <c r="AJ188" s="3">
        <v>0.4767113</v>
      </c>
      <c r="AK188" s="3">
        <v>0.4737403</v>
      </c>
      <c r="AL188" s="3">
        <v>0.47090359999999998</v>
      </c>
      <c r="AM188" s="3">
        <v>0.46823490000000001</v>
      </c>
      <c r="AN188" s="3">
        <v>0.46576790000000001</v>
      </c>
      <c r="AO188" s="3">
        <v>0.46353179999999999</v>
      </c>
      <c r="AP188" s="3">
        <v>0.46153280000000002</v>
      </c>
      <c r="AQ188" s="3">
        <v>0.45976889999999998</v>
      </c>
      <c r="AR188" s="3">
        <v>0.45823849999999999</v>
      </c>
      <c r="AS188" s="3">
        <v>0.4569396</v>
      </c>
      <c r="AT188" s="3">
        <v>0.45587060000000001</v>
      </c>
      <c r="AU188" s="3">
        <v>0.45502949999999998</v>
      </c>
      <c r="AV188" s="3">
        <v>0.4544145</v>
      </c>
      <c r="AW188" s="3">
        <v>0.45402389999999998</v>
      </c>
      <c r="AX188" s="3">
        <v>0.45385579999999998</v>
      </c>
      <c r="AY188" s="3">
        <v>0.45390849999999999</v>
      </c>
      <c r="AZ188" s="3">
        <v>0.45417999999999997</v>
      </c>
      <c r="BA188" s="3">
        <v>0.45466780000000001</v>
      </c>
      <c r="BB188" s="3">
        <v>0.45536460000000001</v>
      </c>
      <c r="BC188" s="3">
        <v>0.456262</v>
      </c>
      <c r="BD188" s="3">
        <v>0.45735140000000002</v>
      </c>
      <c r="BE188" s="3">
        <v>0.45862429999999998</v>
      </c>
      <c r="BF188" s="3">
        <v>0.46007229999999999</v>
      </c>
      <c r="BG188" s="3">
        <v>0.46168680000000001</v>
      </c>
      <c r="BH188" s="3">
        <v>0.46345940000000002</v>
      </c>
      <c r="BI188" s="3">
        <v>0.46538160000000001</v>
      </c>
      <c r="BJ188" s="3">
        <v>0.46744479999999999</v>
      </c>
      <c r="BK188" s="3">
        <v>0.46964050000000002</v>
      </c>
      <c r="BL188" s="3">
        <v>0.4719603</v>
      </c>
      <c r="BM188" s="3" t="e">
        <v>#N/A</v>
      </c>
      <c r="BN188" s="3" t="e">
        <v>#N/A</v>
      </c>
    </row>
    <row r="189" spans="1:66" x14ac:dyDescent="0.35">
      <c r="A189" s="5">
        <f t="shared" si="2"/>
        <v>43719</v>
      </c>
      <c r="B189" t="s">
        <v>266</v>
      </c>
      <c r="C189" s="2">
        <v>0.75</v>
      </c>
      <c r="D189" s="2">
        <v>0.70909999999999995</v>
      </c>
      <c r="E189" s="3">
        <v>0.70616579999999995</v>
      </c>
      <c r="F189" s="3">
        <v>0.68411679999999997</v>
      </c>
      <c r="G189" s="3">
        <v>0.66159179999999995</v>
      </c>
      <c r="H189" s="3">
        <v>0.64199629999999996</v>
      </c>
      <c r="I189" s="3">
        <v>0.62380869999999999</v>
      </c>
      <c r="J189" s="3">
        <v>0.6061782</v>
      </c>
      <c r="K189" s="3">
        <v>0.59014</v>
      </c>
      <c r="L189" s="3">
        <v>0.57651050000000004</v>
      </c>
      <c r="M189" s="3">
        <v>0.56551940000000001</v>
      </c>
      <c r="N189" s="3">
        <v>0.55689829999999996</v>
      </c>
      <c r="O189" s="3">
        <v>0.55024090000000003</v>
      </c>
      <c r="P189" s="3">
        <v>0.54516010000000004</v>
      </c>
      <c r="Q189" s="3">
        <v>0.54107970000000005</v>
      </c>
      <c r="R189" s="3">
        <v>0.53772770000000003</v>
      </c>
      <c r="S189" s="3">
        <v>0.53493820000000003</v>
      </c>
      <c r="T189" s="3">
        <v>0.53254500000000005</v>
      </c>
      <c r="U189" s="3">
        <v>0.53038229999999997</v>
      </c>
      <c r="V189" s="3">
        <v>0.52828399999999998</v>
      </c>
      <c r="W189" s="3">
        <v>0.52611620000000003</v>
      </c>
      <c r="X189" s="3">
        <v>0.52386670000000002</v>
      </c>
      <c r="Y189" s="3">
        <v>0.52155240000000003</v>
      </c>
      <c r="Z189" s="3">
        <v>0.51919009999999999</v>
      </c>
      <c r="AA189" s="3">
        <v>0.51679679999999995</v>
      </c>
      <c r="AB189" s="3">
        <v>0.51438930000000005</v>
      </c>
      <c r="AC189" s="3">
        <v>0.51198339999999998</v>
      </c>
      <c r="AD189" s="3">
        <v>0.50958950000000003</v>
      </c>
      <c r="AE189" s="3">
        <v>0.50721579999999999</v>
      </c>
      <c r="AF189" s="3">
        <v>0.50487079999999995</v>
      </c>
      <c r="AG189" s="3">
        <v>0.50256290000000003</v>
      </c>
      <c r="AH189" s="3">
        <v>0.50030039999999998</v>
      </c>
      <c r="AI189" s="3">
        <v>0.49809170000000003</v>
      </c>
      <c r="AJ189" s="3">
        <v>0.49594519999999997</v>
      </c>
      <c r="AK189" s="3">
        <v>0.49386930000000001</v>
      </c>
      <c r="AL189" s="3">
        <v>0.49187239999999999</v>
      </c>
      <c r="AM189" s="3">
        <v>0.48996279999999998</v>
      </c>
      <c r="AN189" s="3">
        <v>0.488149</v>
      </c>
      <c r="AO189" s="3">
        <v>0.4864386</v>
      </c>
      <c r="AP189" s="3">
        <v>0.48483599999999999</v>
      </c>
      <c r="AQ189" s="3">
        <v>0.48334440000000001</v>
      </c>
      <c r="AR189" s="3">
        <v>0.48196729999999999</v>
      </c>
      <c r="AS189" s="3">
        <v>0.48070790000000002</v>
      </c>
      <c r="AT189" s="3">
        <v>0.47956949999999998</v>
      </c>
      <c r="AU189" s="3">
        <v>0.47855550000000002</v>
      </c>
      <c r="AV189" s="3">
        <v>0.47766920000000002</v>
      </c>
      <c r="AW189" s="3">
        <v>0.4769138</v>
      </c>
      <c r="AX189" s="3">
        <v>0.47629280000000002</v>
      </c>
      <c r="AY189" s="3">
        <v>0.47580939999999999</v>
      </c>
      <c r="AZ189" s="3">
        <v>0.47546699999999997</v>
      </c>
      <c r="BA189" s="3">
        <v>0.47526810000000003</v>
      </c>
      <c r="BB189" s="3">
        <v>0.47521249999999998</v>
      </c>
      <c r="BC189" s="3">
        <v>0.47529900000000003</v>
      </c>
      <c r="BD189" s="3">
        <v>0.47552630000000001</v>
      </c>
      <c r="BE189" s="3">
        <v>0.47589330000000002</v>
      </c>
      <c r="BF189" s="3">
        <v>0.47639890000000001</v>
      </c>
      <c r="BG189" s="3">
        <v>0.47704180000000002</v>
      </c>
      <c r="BH189" s="3">
        <v>0.47782089999999999</v>
      </c>
      <c r="BI189" s="3">
        <v>0.47873510000000002</v>
      </c>
      <c r="BJ189" s="3">
        <v>0.47978300000000002</v>
      </c>
      <c r="BK189" s="3">
        <v>0.48096359999999999</v>
      </c>
      <c r="BL189" s="3">
        <v>0.48227569999999997</v>
      </c>
      <c r="BM189" s="3" t="e">
        <v>#N/A</v>
      </c>
      <c r="BN189" s="3" t="e">
        <v>#N/A</v>
      </c>
    </row>
    <row r="190" spans="1:66" x14ac:dyDescent="0.35">
      <c r="A190" s="5">
        <f t="shared" si="2"/>
        <v>43720</v>
      </c>
      <c r="B190" t="s">
        <v>267</v>
      </c>
      <c r="C190" s="2">
        <v>0.75</v>
      </c>
      <c r="D190" s="2">
        <v>0.70960000000000001</v>
      </c>
      <c r="E190" s="3">
        <v>0.70393680000000003</v>
      </c>
      <c r="F190" s="3">
        <v>0.68718820000000003</v>
      </c>
      <c r="G190" s="3">
        <v>0.67201149999999998</v>
      </c>
      <c r="H190" s="3">
        <v>0.65988170000000002</v>
      </c>
      <c r="I190" s="3">
        <v>0.64820339999999999</v>
      </c>
      <c r="J190" s="3">
        <v>0.63603520000000002</v>
      </c>
      <c r="K190" s="3">
        <v>0.62448800000000004</v>
      </c>
      <c r="L190" s="3">
        <v>0.61445130000000003</v>
      </c>
      <c r="M190" s="3">
        <v>0.60605319999999996</v>
      </c>
      <c r="N190" s="3">
        <v>0.59896709999999997</v>
      </c>
      <c r="O190" s="3">
        <v>0.59284630000000005</v>
      </c>
      <c r="P190" s="3">
        <v>0.5874684</v>
      </c>
      <c r="Q190" s="3">
        <v>0.58254399999999995</v>
      </c>
      <c r="R190" s="3">
        <v>0.5780438</v>
      </c>
      <c r="S190" s="3">
        <v>0.57403999999999999</v>
      </c>
      <c r="T190" s="3">
        <v>0.57060500000000003</v>
      </c>
      <c r="U190" s="3">
        <v>0.56781130000000002</v>
      </c>
      <c r="V190" s="3">
        <v>0.56573119999999999</v>
      </c>
      <c r="W190" s="3">
        <v>0.56438820000000001</v>
      </c>
      <c r="X190" s="3">
        <v>0.56361910000000004</v>
      </c>
      <c r="Y190" s="3">
        <v>0.56321659999999996</v>
      </c>
      <c r="Z190" s="3">
        <v>0.5629731</v>
      </c>
      <c r="AA190" s="3">
        <v>0.56268130000000005</v>
      </c>
      <c r="AB190" s="3">
        <v>0.56213360000000001</v>
      </c>
      <c r="AC190" s="3">
        <v>0.56115709999999996</v>
      </c>
      <c r="AD190" s="3">
        <v>0.55974699999999999</v>
      </c>
      <c r="AE190" s="3">
        <v>0.55794980000000005</v>
      </c>
      <c r="AF190" s="3">
        <v>0.55581179999999997</v>
      </c>
      <c r="AG190" s="3">
        <v>0.55337950000000002</v>
      </c>
      <c r="AH190" s="3">
        <v>0.55069920000000006</v>
      </c>
      <c r="AI190" s="3">
        <v>0.54781740000000001</v>
      </c>
      <c r="AJ190" s="3">
        <v>0.5447805</v>
      </c>
      <c r="AK190" s="3">
        <v>0.54163490000000003</v>
      </c>
      <c r="AL190" s="3">
        <v>0.53842690000000004</v>
      </c>
      <c r="AM190" s="3">
        <v>0.53520310000000004</v>
      </c>
      <c r="AN190" s="3">
        <v>0.53200979999999998</v>
      </c>
      <c r="AO190" s="3">
        <v>0.52888880000000005</v>
      </c>
      <c r="AP190" s="3">
        <v>0.52586140000000003</v>
      </c>
      <c r="AQ190" s="3">
        <v>0.52294320000000005</v>
      </c>
      <c r="AR190" s="3">
        <v>0.52014990000000005</v>
      </c>
      <c r="AS190" s="3">
        <v>0.51749710000000004</v>
      </c>
      <c r="AT190" s="3">
        <v>0.51500060000000003</v>
      </c>
      <c r="AU190" s="3">
        <v>0.51267580000000001</v>
      </c>
      <c r="AV190" s="3">
        <v>0.51053859999999995</v>
      </c>
      <c r="AW190" s="3">
        <v>0.50860450000000001</v>
      </c>
      <c r="AX190" s="3">
        <v>0.50688920000000004</v>
      </c>
      <c r="AY190" s="3">
        <v>0.50540830000000003</v>
      </c>
      <c r="AZ190" s="3">
        <v>0.50417749999999995</v>
      </c>
      <c r="BA190" s="3">
        <v>0.50320849999999995</v>
      </c>
      <c r="BB190" s="3">
        <v>0.50249630000000001</v>
      </c>
      <c r="BC190" s="3">
        <v>0.50203089999999995</v>
      </c>
      <c r="BD190" s="3">
        <v>0.50180239999999998</v>
      </c>
      <c r="BE190" s="3">
        <v>0.50180089999999999</v>
      </c>
      <c r="BF190" s="3">
        <v>0.50201649999999998</v>
      </c>
      <c r="BG190" s="3">
        <v>0.50243939999999998</v>
      </c>
      <c r="BH190" s="3">
        <v>0.5030597</v>
      </c>
      <c r="BI190" s="3">
        <v>0.50386739999999997</v>
      </c>
      <c r="BJ190" s="3">
        <v>0.50485279999999999</v>
      </c>
      <c r="BK190" s="3">
        <v>0.50600579999999995</v>
      </c>
      <c r="BL190" s="3">
        <v>0.50731669999999995</v>
      </c>
      <c r="BM190" s="3" t="e">
        <v>#N/A</v>
      </c>
      <c r="BN190" s="3" t="e">
        <v>#N/A</v>
      </c>
    </row>
    <row r="191" spans="1:66" x14ac:dyDescent="0.35">
      <c r="A191" s="5">
        <f t="shared" si="2"/>
        <v>43721</v>
      </c>
      <c r="B191" t="s">
        <v>268</v>
      </c>
      <c r="C191" s="2">
        <v>0.75</v>
      </c>
      <c r="D191" s="2">
        <v>0.70799999999999996</v>
      </c>
      <c r="E191" s="3">
        <v>0.7036327</v>
      </c>
      <c r="F191" s="3">
        <v>0.68912759999999995</v>
      </c>
      <c r="G191" s="3">
        <v>0.67715950000000003</v>
      </c>
      <c r="H191" s="3">
        <v>0.66952230000000001</v>
      </c>
      <c r="I191" s="3">
        <v>0.66316229999999998</v>
      </c>
      <c r="J191" s="3">
        <v>0.65601949999999998</v>
      </c>
      <c r="K191" s="3">
        <v>0.64843280000000003</v>
      </c>
      <c r="L191" s="3">
        <v>0.64141530000000002</v>
      </c>
      <c r="M191" s="3">
        <v>0.63564419999999999</v>
      </c>
      <c r="N191" s="3">
        <v>0.63139990000000001</v>
      </c>
      <c r="O191" s="3">
        <v>0.62870870000000001</v>
      </c>
      <c r="P191" s="3">
        <v>0.62748570000000004</v>
      </c>
      <c r="Q191" s="3">
        <v>0.62763959999999996</v>
      </c>
      <c r="R191" s="3">
        <v>0.62889379999999995</v>
      </c>
      <c r="S191" s="3">
        <v>0.63091120000000001</v>
      </c>
      <c r="T191" s="3">
        <v>0.6333548</v>
      </c>
      <c r="U191" s="3">
        <v>0.63588739999999999</v>
      </c>
      <c r="V191" s="3">
        <v>0.63817190000000001</v>
      </c>
      <c r="W191" s="3">
        <v>0.63992519999999997</v>
      </c>
      <c r="X191" s="3">
        <v>0.6411135</v>
      </c>
      <c r="Y191" s="3">
        <v>0.64177569999999995</v>
      </c>
      <c r="Z191" s="3">
        <v>0.64195060000000004</v>
      </c>
      <c r="AA191" s="3">
        <v>0.64167689999999999</v>
      </c>
      <c r="AB191" s="3">
        <v>0.64099340000000005</v>
      </c>
      <c r="AC191" s="3">
        <v>0.63993979999999995</v>
      </c>
      <c r="AD191" s="3">
        <v>0.63855949999999995</v>
      </c>
      <c r="AE191" s="3">
        <v>0.63689689999999999</v>
      </c>
      <c r="AF191" s="3">
        <v>0.63499640000000002</v>
      </c>
      <c r="AG191" s="3">
        <v>0.63290250000000003</v>
      </c>
      <c r="AH191" s="3">
        <v>0.63065959999999999</v>
      </c>
      <c r="AI191" s="3">
        <v>0.62831219999999999</v>
      </c>
      <c r="AJ191" s="3">
        <v>0.62590460000000003</v>
      </c>
      <c r="AK191" s="3">
        <v>0.62348139999999996</v>
      </c>
      <c r="AL191" s="3">
        <v>0.62108699999999994</v>
      </c>
      <c r="AM191" s="3">
        <v>0.61876580000000003</v>
      </c>
      <c r="AN191" s="3">
        <v>0.61656230000000001</v>
      </c>
      <c r="AO191" s="3">
        <v>0.61451420000000001</v>
      </c>
      <c r="AP191" s="3">
        <v>0.61263049999999997</v>
      </c>
      <c r="AQ191" s="3">
        <v>0.61091189999999995</v>
      </c>
      <c r="AR191" s="3">
        <v>0.60935919999999999</v>
      </c>
      <c r="AS191" s="3">
        <v>0.60797319999999999</v>
      </c>
      <c r="AT191" s="3">
        <v>0.60675469999999998</v>
      </c>
      <c r="AU191" s="3">
        <v>0.60570449999999998</v>
      </c>
      <c r="AV191" s="3">
        <v>0.60482329999999995</v>
      </c>
      <c r="AW191" s="3">
        <v>0.60411190000000003</v>
      </c>
      <c r="AX191" s="3">
        <v>0.60357130000000003</v>
      </c>
      <c r="AY191" s="3">
        <v>0.60320200000000002</v>
      </c>
      <c r="AZ191" s="3">
        <v>0.60300500000000001</v>
      </c>
      <c r="BA191" s="3">
        <v>0.60298019999999997</v>
      </c>
      <c r="BB191" s="3">
        <v>0.60312410000000005</v>
      </c>
      <c r="BC191" s="3">
        <v>0.60343250000000004</v>
      </c>
      <c r="BD191" s="3">
        <v>0.60390069999999996</v>
      </c>
      <c r="BE191" s="3">
        <v>0.60452450000000002</v>
      </c>
      <c r="BF191" s="3">
        <v>0.60529949999999999</v>
      </c>
      <c r="BG191" s="3">
        <v>0.60622120000000002</v>
      </c>
      <c r="BH191" s="3">
        <v>0.60728510000000002</v>
      </c>
      <c r="BI191" s="3">
        <v>0.608487</v>
      </c>
      <c r="BJ191" s="3">
        <v>0.60982239999999999</v>
      </c>
      <c r="BK191" s="3">
        <v>0.61128680000000002</v>
      </c>
      <c r="BL191" s="3">
        <v>0.61287590000000003</v>
      </c>
      <c r="BM191" s="3" t="e">
        <v>#N/A</v>
      </c>
      <c r="BN191" s="3" t="e">
        <v>#N/A</v>
      </c>
    </row>
    <row r="192" spans="1:66" x14ac:dyDescent="0.35">
      <c r="A192" s="5">
        <f t="shared" si="2"/>
        <v>43724</v>
      </c>
      <c r="B192" t="s">
        <v>269</v>
      </c>
      <c r="C192" s="2">
        <v>0.75</v>
      </c>
      <c r="D192" s="2">
        <v>0.70989999999999998</v>
      </c>
      <c r="E192" s="3">
        <v>0.70479939999999996</v>
      </c>
      <c r="F192" s="3">
        <v>0.6826257</v>
      </c>
      <c r="G192" s="3">
        <v>0.66477410000000003</v>
      </c>
      <c r="H192" s="3">
        <v>0.65447549999999999</v>
      </c>
      <c r="I192" s="3">
        <v>0.64711160000000001</v>
      </c>
      <c r="J192" s="3">
        <v>0.6389669</v>
      </c>
      <c r="K192" s="3">
        <v>0.62964620000000004</v>
      </c>
      <c r="L192" s="3">
        <v>0.62023010000000001</v>
      </c>
      <c r="M192" s="3">
        <v>0.61164149999999995</v>
      </c>
      <c r="N192" s="3">
        <v>0.60421069999999999</v>
      </c>
      <c r="O192" s="3">
        <v>0.59801709999999997</v>
      </c>
      <c r="P192" s="3">
        <v>0.59295549999999997</v>
      </c>
      <c r="Q192" s="3">
        <v>0.5888217</v>
      </c>
      <c r="R192" s="3">
        <v>0.5854606</v>
      </c>
      <c r="S192" s="3">
        <v>0.58273719999999996</v>
      </c>
      <c r="T192" s="3">
        <v>0.58051620000000004</v>
      </c>
      <c r="U192" s="3">
        <v>0.57866229999999996</v>
      </c>
      <c r="V192" s="3">
        <v>0.57704040000000001</v>
      </c>
      <c r="W192" s="3">
        <v>0.57553430000000005</v>
      </c>
      <c r="X192" s="3">
        <v>0.5741001</v>
      </c>
      <c r="Y192" s="3">
        <v>0.57271150000000004</v>
      </c>
      <c r="Z192" s="3">
        <v>0.57134180000000001</v>
      </c>
      <c r="AA192" s="3">
        <v>0.56996440000000004</v>
      </c>
      <c r="AB192" s="3">
        <v>0.56855299999999998</v>
      </c>
      <c r="AC192" s="3">
        <v>0.56708630000000004</v>
      </c>
      <c r="AD192" s="3">
        <v>0.5655675</v>
      </c>
      <c r="AE192" s="3">
        <v>0.56400640000000002</v>
      </c>
      <c r="AF192" s="3">
        <v>0.56241280000000005</v>
      </c>
      <c r="AG192" s="3">
        <v>0.56079650000000003</v>
      </c>
      <c r="AH192" s="3">
        <v>0.55916730000000003</v>
      </c>
      <c r="AI192" s="3">
        <v>0.557535</v>
      </c>
      <c r="AJ192" s="3">
        <v>0.5559094</v>
      </c>
      <c r="AK192" s="3">
        <v>0.55430029999999997</v>
      </c>
      <c r="AL192" s="3">
        <v>0.55271749999999997</v>
      </c>
      <c r="AM192" s="3">
        <v>0.55117070000000001</v>
      </c>
      <c r="AN192" s="3">
        <v>0.54966990000000004</v>
      </c>
      <c r="AO192" s="3">
        <v>0.5482243</v>
      </c>
      <c r="AP192" s="3">
        <v>0.54684140000000003</v>
      </c>
      <c r="AQ192" s="3">
        <v>0.54552829999999997</v>
      </c>
      <c r="AR192" s="3">
        <v>0.54429190000000005</v>
      </c>
      <c r="AS192" s="3">
        <v>0.54313920000000004</v>
      </c>
      <c r="AT192" s="3">
        <v>0.54207709999999998</v>
      </c>
      <c r="AU192" s="3">
        <v>0.5411127</v>
      </c>
      <c r="AV192" s="3">
        <v>0.54025290000000004</v>
      </c>
      <c r="AW192" s="3">
        <v>0.5395046</v>
      </c>
      <c r="AX192" s="3">
        <v>0.53887490000000005</v>
      </c>
      <c r="AY192" s="3">
        <v>0.53837069999999998</v>
      </c>
      <c r="AZ192" s="3">
        <v>0.53799909999999995</v>
      </c>
      <c r="BA192" s="3">
        <v>0.53776590000000002</v>
      </c>
      <c r="BB192" s="3">
        <v>0.53767169999999997</v>
      </c>
      <c r="BC192" s="3">
        <v>0.5377149</v>
      </c>
      <c r="BD192" s="3">
        <v>0.53789439999999999</v>
      </c>
      <c r="BE192" s="3">
        <v>0.53820860000000004</v>
      </c>
      <c r="BF192" s="3">
        <v>0.53865629999999998</v>
      </c>
      <c r="BG192" s="3">
        <v>0.53923589999999999</v>
      </c>
      <c r="BH192" s="3">
        <v>0.53994620000000004</v>
      </c>
      <c r="BI192" s="3">
        <v>0.54078579999999998</v>
      </c>
      <c r="BJ192" s="3">
        <v>0.54175320000000005</v>
      </c>
      <c r="BK192" s="3">
        <v>0.54284719999999997</v>
      </c>
      <c r="BL192" s="3">
        <v>0.54406620000000006</v>
      </c>
      <c r="BM192" s="3" t="e">
        <v>#N/A</v>
      </c>
      <c r="BN192" s="3" t="e">
        <v>#N/A</v>
      </c>
    </row>
    <row r="193" spans="1:66" x14ac:dyDescent="0.35">
      <c r="A193" s="5">
        <f t="shared" si="2"/>
        <v>43725</v>
      </c>
      <c r="B193" t="s">
        <v>270</v>
      </c>
      <c r="C193" s="2">
        <v>0.75</v>
      </c>
      <c r="D193" s="2">
        <v>0.71099999999999997</v>
      </c>
      <c r="E193" s="3">
        <v>0.70387719999999998</v>
      </c>
      <c r="F193" s="3">
        <v>0.68502549999999995</v>
      </c>
      <c r="G193" s="3">
        <v>0.66618069999999996</v>
      </c>
      <c r="H193" s="3">
        <v>0.64927959999999996</v>
      </c>
      <c r="I193" s="3">
        <v>0.63506450000000003</v>
      </c>
      <c r="J193" s="3">
        <v>0.62328070000000002</v>
      </c>
      <c r="K193" s="3">
        <v>0.61367579999999999</v>
      </c>
      <c r="L193" s="3">
        <v>0.60599009999999998</v>
      </c>
      <c r="M193" s="3">
        <v>0.60004789999999997</v>
      </c>
      <c r="N193" s="3">
        <v>0.59557260000000001</v>
      </c>
      <c r="O193" s="3">
        <v>0.59233469999999999</v>
      </c>
      <c r="P193" s="3">
        <v>0.5900746</v>
      </c>
      <c r="Q193" s="3">
        <v>0.58855219999999997</v>
      </c>
      <c r="R193" s="3">
        <v>0.58757890000000002</v>
      </c>
      <c r="S193" s="3">
        <v>0.58697849999999996</v>
      </c>
      <c r="T193" s="3">
        <v>0.58657490000000001</v>
      </c>
      <c r="U193" s="3">
        <v>0.58619189999999999</v>
      </c>
      <c r="V193" s="3">
        <v>0.58565319999999998</v>
      </c>
      <c r="W193" s="3">
        <v>0.58481349999999999</v>
      </c>
      <c r="X193" s="3">
        <v>0.5836441</v>
      </c>
      <c r="Y193" s="3">
        <v>0.5821442</v>
      </c>
      <c r="Z193" s="3">
        <v>0.58031290000000002</v>
      </c>
      <c r="AA193" s="3">
        <v>0.57814949999999998</v>
      </c>
      <c r="AB193" s="3">
        <v>0.57565299999999997</v>
      </c>
      <c r="AC193" s="3">
        <v>0.57283050000000002</v>
      </c>
      <c r="AD193" s="3">
        <v>0.56972389999999995</v>
      </c>
      <c r="AE193" s="3">
        <v>0.56638440000000001</v>
      </c>
      <c r="AF193" s="3">
        <v>0.56286340000000001</v>
      </c>
      <c r="AG193" s="3">
        <v>0.55921209999999999</v>
      </c>
      <c r="AH193" s="3">
        <v>0.55548209999999998</v>
      </c>
      <c r="AI193" s="3">
        <v>0.55172449999999995</v>
      </c>
      <c r="AJ193" s="3">
        <v>0.54799070000000005</v>
      </c>
      <c r="AK193" s="3">
        <v>0.54433209999999999</v>
      </c>
      <c r="AL193" s="3">
        <v>0.54080010000000001</v>
      </c>
      <c r="AM193" s="3">
        <v>0.53744579999999997</v>
      </c>
      <c r="AN193" s="3">
        <v>0.53432080000000004</v>
      </c>
      <c r="AO193" s="3">
        <v>0.53146970000000004</v>
      </c>
      <c r="AP193" s="3">
        <v>0.52890119999999996</v>
      </c>
      <c r="AQ193" s="3">
        <v>0.52661219999999997</v>
      </c>
      <c r="AR193" s="3">
        <v>0.5245995</v>
      </c>
      <c r="AS193" s="3">
        <v>0.52285990000000004</v>
      </c>
      <c r="AT193" s="3">
        <v>0.52139009999999997</v>
      </c>
      <c r="AU193" s="3">
        <v>0.52018699999999995</v>
      </c>
      <c r="AV193" s="3">
        <v>0.51924740000000003</v>
      </c>
      <c r="AW193" s="3">
        <v>0.51856789999999997</v>
      </c>
      <c r="AX193" s="3">
        <v>0.51814550000000004</v>
      </c>
      <c r="AY193" s="3">
        <v>0.51797689999999996</v>
      </c>
      <c r="AZ193" s="3">
        <v>0.51805889999999999</v>
      </c>
      <c r="BA193" s="3">
        <v>0.51838709999999999</v>
      </c>
      <c r="BB193" s="3">
        <v>0.51895199999999997</v>
      </c>
      <c r="BC193" s="3">
        <v>0.51974220000000004</v>
      </c>
      <c r="BD193" s="3">
        <v>0.5207463</v>
      </c>
      <c r="BE193" s="3">
        <v>0.521953</v>
      </c>
      <c r="BF193" s="3">
        <v>0.52335109999999996</v>
      </c>
      <c r="BG193" s="3">
        <v>0.52492910000000004</v>
      </c>
      <c r="BH193" s="3">
        <v>0.52667569999999997</v>
      </c>
      <c r="BI193" s="3">
        <v>0.52857969999999999</v>
      </c>
      <c r="BJ193" s="3">
        <v>0.53062969999999998</v>
      </c>
      <c r="BK193" s="3">
        <v>0.53281440000000002</v>
      </c>
      <c r="BL193" s="3">
        <v>0.53512249999999995</v>
      </c>
      <c r="BM193" s="3" t="e">
        <v>#N/A</v>
      </c>
      <c r="BN193" s="3" t="e">
        <v>#N/A</v>
      </c>
    </row>
    <row r="194" spans="1:66" x14ac:dyDescent="0.35">
      <c r="A194" s="5">
        <f t="shared" si="2"/>
        <v>43726</v>
      </c>
      <c r="B194" t="s">
        <v>271</v>
      </c>
      <c r="C194" s="2">
        <v>0.75</v>
      </c>
      <c r="D194" s="2">
        <v>0.71040000000000003</v>
      </c>
      <c r="E194" s="3">
        <v>0.69997109999999996</v>
      </c>
      <c r="F194" s="3">
        <v>0.67205400000000004</v>
      </c>
      <c r="G194" s="3">
        <v>0.64836669999999996</v>
      </c>
      <c r="H194" s="3">
        <v>0.63004640000000001</v>
      </c>
      <c r="I194" s="3">
        <v>0.61421139999999996</v>
      </c>
      <c r="J194" s="3">
        <v>0.59938519999999995</v>
      </c>
      <c r="K194" s="3">
        <v>0.58633690000000005</v>
      </c>
      <c r="L194" s="3">
        <v>0.57557429999999998</v>
      </c>
      <c r="M194" s="3">
        <v>0.56700879999999998</v>
      </c>
      <c r="N194" s="3">
        <v>0.56020110000000001</v>
      </c>
      <c r="O194" s="3">
        <v>0.55469170000000001</v>
      </c>
      <c r="P194" s="3">
        <v>0.55011620000000006</v>
      </c>
      <c r="Q194" s="3">
        <v>0.54603020000000002</v>
      </c>
      <c r="R194" s="3">
        <v>0.54227979999999998</v>
      </c>
      <c r="S194" s="3">
        <v>0.53880550000000005</v>
      </c>
      <c r="T194" s="3">
        <v>0.53554800000000002</v>
      </c>
      <c r="U194" s="3">
        <v>0.53244809999999998</v>
      </c>
      <c r="V194" s="3">
        <v>0.52944630000000004</v>
      </c>
      <c r="W194" s="3">
        <v>0.52649219999999997</v>
      </c>
      <c r="X194" s="3">
        <v>0.52356930000000002</v>
      </c>
      <c r="Y194" s="3">
        <v>0.5206693</v>
      </c>
      <c r="Z194" s="3">
        <v>0.51778369999999996</v>
      </c>
      <c r="AA194" s="3">
        <v>0.51490429999999998</v>
      </c>
      <c r="AB194" s="3">
        <v>0.51202259999999999</v>
      </c>
      <c r="AC194" s="3">
        <v>0.5091329</v>
      </c>
      <c r="AD194" s="3">
        <v>0.50624400000000003</v>
      </c>
      <c r="AE194" s="3">
        <v>0.50336930000000002</v>
      </c>
      <c r="AF194" s="3">
        <v>0.50052249999999998</v>
      </c>
      <c r="AG194" s="3">
        <v>0.49771710000000002</v>
      </c>
      <c r="AH194" s="3">
        <v>0.49496659999999998</v>
      </c>
      <c r="AI194" s="3">
        <v>0.49228470000000002</v>
      </c>
      <c r="AJ194" s="3">
        <v>0.48968479999999998</v>
      </c>
      <c r="AK194" s="3">
        <v>0.48718060000000002</v>
      </c>
      <c r="AL194" s="3">
        <v>0.48478549999999998</v>
      </c>
      <c r="AM194" s="3">
        <v>0.48251319999999998</v>
      </c>
      <c r="AN194" s="3">
        <v>0.4803772</v>
      </c>
      <c r="AO194" s="3">
        <v>0.47838960000000003</v>
      </c>
      <c r="AP194" s="3">
        <v>0.47655540000000002</v>
      </c>
      <c r="AQ194" s="3">
        <v>0.4748772</v>
      </c>
      <c r="AR194" s="3">
        <v>0.473358</v>
      </c>
      <c r="AS194" s="3">
        <v>0.47200049999999999</v>
      </c>
      <c r="AT194" s="3">
        <v>0.47080749999999999</v>
      </c>
      <c r="AU194" s="3">
        <v>0.46978180000000003</v>
      </c>
      <c r="AV194" s="3">
        <v>0.46892610000000001</v>
      </c>
      <c r="AW194" s="3">
        <v>0.46824320000000003</v>
      </c>
      <c r="AX194" s="3">
        <v>0.46773599999999999</v>
      </c>
      <c r="AY194" s="3">
        <v>0.46740720000000002</v>
      </c>
      <c r="AZ194" s="3">
        <v>0.4672596</v>
      </c>
      <c r="BA194" s="3">
        <v>0.46729470000000001</v>
      </c>
      <c r="BB194" s="3">
        <v>0.4675088</v>
      </c>
      <c r="BC194" s="3">
        <v>0.46789629999999999</v>
      </c>
      <c r="BD194" s="3">
        <v>0.46845189999999998</v>
      </c>
      <c r="BE194" s="3">
        <v>0.46917019999999998</v>
      </c>
      <c r="BF194" s="3">
        <v>0.47004580000000001</v>
      </c>
      <c r="BG194" s="3">
        <v>0.47107339999999998</v>
      </c>
      <c r="BH194" s="3">
        <v>0.47224759999999999</v>
      </c>
      <c r="BI194" s="3">
        <v>0.47356300000000001</v>
      </c>
      <c r="BJ194" s="3">
        <v>0.4750142</v>
      </c>
      <c r="BK194" s="3">
        <v>0.47659580000000001</v>
      </c>
      <c r="BL194" s="3">
        <v>0.47830240000000002</v>
      </c>
      <c r="BM194" s="3" t="e">
        <v>#N/A</v>
      </c>
      <c r="BN194" s="3" t="e">
        <v>#N/A</v>
      </c>
    </row>
    <row r="195" spans="1:66" x14ac:dyDescent="0.35">
      <c r="A195" s="5">
        <f t="shared" si="2"/>
        <v>43727</v>
      </c>
      <c r="B195" t="s">
        <v>272</v>
      </c>
      <c r="C195" s="2">
        <v>0.75</v>
      </c>
      <c r="D195" s="2">
        <v>0.71040000000000003</v>
      </c>
      <c r="E195" s="3">
        <v>0.70353220000000005</v>
      </c>
      <c r="F195" s="3">
        <v>0.67620590000000003</v>
      </c>
      <c r="G195" s="3">
        <v>0.6524259</v>
      </c>
      <c r="H195" s="3">
        <v>0.63201189999999996</v>
      </c>
      <c r="I195" s="3">
        <v>0.61445850000000002</v>
      </c>
      <c r="J195" s="3">
        <v>0.59918709999999997</v>
      </c>
      <c r="K195" s="3">
        <v>0.5860438</v>
      </c>
      <c r="L195" s="3">
        <v>0.57502410000000004</v>
      </c>
      <c r="M195" s="3">
        <v>0.56603099999999995</v>
      </c>
      <c r="N195" s="3">
        <v>0.55871959999999998</v>
      </c>
      <c r="O195" s="3">
        <v>0.55263960000000001</v>
      </c>
      <c r="P195" s="3">
        <v>0.54735069999999997</v>
      </c>
      <c r="Q195" s="3">
        <v>0.54242349999999995</v>
      </c>
      <c r="R195" s="3">
        <v>0.53775039999999996</v>
      </c>
      <c r="S195" s="3">
        <v>0.53333770000000003</v>
      </c>
      <c r="T195" s="3">
        <v>0.52919139999999998</v>
      </c>
      <c r="U195" s="3">
        <v>0.52531760000000005</v>
      </c>
      <c r="V195" s="3">
        <v>0.52172260000000004</v>
      </c>
      <c r="W195" s="3">
        <v>0.51840620000000004</v>
      </c>
      <c r="X195" s="3">
        <v>0.51534440000000004</v>
      </c>
      <c r="Y195" s="3">
        <v>0.51250779999999996</v>
      </c>
      <c r="Z195" s="3">
        <v>0.50986670000000001</v>
      </c>
      <c r="AA195" s="3">
        <v>0.5073915</v>
      </c>
      <c r="AB195" s="3">
        <v>0.50505259999999996</v>
      </c>
      <c r="AC195" s="3">
        <v>0.50282389999999999</v>
      </c>
      <c r="AD195" s="3">
        <v>0.50069569999999997</v>
      </c>
      <c r="AE195" s="3">
        <v>0.49866359999999998</v>
      </c>
      <c r="AF195" s="3">
        <v>0.49672300000000003</v>
      </c>
      <c r="AG195" s="3">
        <v>0.49486940000000001</v>
      </c>
      <c r="AH195" s="3">
        <v>0.49309819999999999</v>
      </c>
      <c r="AI195" s="3">
        <v>0.49140489999999998</v>
      </c>
      <c r="AJ195" s="3">
        <v>0.48978500000000003</v>
      </c>
      <c r="AK195" s="3">
        <v>0.488234</v>
      </c>
      <c r="AL195" s="3">
        <v>0.48674719999999999</v>
      </c>
      <c r="AM195" s="3">
        <v>0.48532029999999998</v>
      </c>
      <c r="AN195" s="3">
        <v>0.48394860000000001</v>
      </c>
      <c r="AO195" s="3">
        <v>0.48262969999999999</v>
      </c>
      <c r="AP195" s="3">
        <v>0.48137029999999997</v>
      </c>
      <c r="AQ195" s="3">
        <v>0.48017939999999998</v>
      </c>
      <c r="AR195" s="3">
        <v>0.4790663</v>
      </c>
      <c r="AS195" s="3">
        <v>0.47804010000000002</v>
      </c>
      <c r="AT195" s="3">
        <v>0.47710999999999998</v>
      </c>
      <c r="AU195" s="3">
        <v>0.47628510000000002</v>
      </c>
      <c r="AV195" s="3">
        <v>0.47557450000000001</v>
      </c>
      <c r="AW195" s="3">
        <v>0.47498750000000001</v>
      </c>
      <c r="AX195" s="3">
        <v>0.47453319999999999</v>
      </c>
      <c r="AY195" s="3">
        <v>0.4742207</v>
      </c>
      <c r="AZ195" s="3">
        <v>0.47405920000000001</v>
      </c>
      <c r="BA195" s="3">
        <v>0.47405599999999998</v>
      </c>
      <c r="BB195" s="3">
        <v>0.47421010000000002</v>
      </c>
      <c r="BC195" s="3">
        <v>0.4745182</v>
      </c>
      <c r="BD195" s="3">
        <v>0.47497709999999999</v>
      </c>
      <c r="BE195" s="3">
        <v>0.47558329999999999</v>
      </c>
      <c r="BF195" s="3">
        <v>0.47633370000000003</v>
      </c>
      <c r="BG195" s="3">
        <v>0.47722500000000001</v>
      </c>
      <c r="BH195" s="3">
        <v>0.47825390000000001</v>
      </c>
      <c r="BI195" s="3">
        <v>0.47941709999999998</v>
      </c>
      <c r="BJ195" s="3">
        <v>0.48071140000000001</v>
      </c>
      <c r="BK195" s="3">
        <v>0.48213329999999999</v>
      </c>
      <c r="BL195" s="3">
        <v>0.48367979999999999</v>
      </c>
      <c r="BM195" s="3" t="e">
        <v>#N/A</v>
      </c>
      <c r="BN195" s="3" t="e">
        <v>#N/A</v>
      </c>
    </row>
    <row r="196" spans="1:66" x14ac:dyDescent="0.35">
      <c r="A196" s="5">
        <f t="shared" si="2"/>
        <v>43728</v>
      </c>
      <c r="B196" t="s">
        <v>273</v>
      </c>
      <c r="C196" s="2">
        <v>0.75</v>
      </c>
      <c r="D196" s="2">
        <v>0.70930000000000004</v>
      </c>
      <c r="E196" s="3">
        <v>0.70613029999999999</v>
      </c>
      <c r="F196" s="3">
        <v>0.68241200000000002</v>
      </c>
      <c r="G196" s="3">
        <v>0.66123739999999998</v>
      </c>
      <c r="H196" s="3">
        <v>0.6421926</v>
      </c>
      <c r="I196" s="3">
        <v>0.62559509999999996</v>
      </c>
      <c r="J196" s="3">
        <v>0.61166880000000001</v>
      </c>
      <c r="K196" s="3">
        <v>0.60042289999999998</v>
      </c>
      <c r="L196" s="3">
        <v>0.59154499999999999</v>
      </c>
      <c r="M196" s="3">
        <v>0.58469340000000003</v>
      </c>
      <c r="N196" s="3">
        <v>0.57940590000000003</v>
      </c>
      <c r="O196" s="3">
        <v>0.57509659999999996</v>
      </c>
      <c r="P196" s="3">
        <v>0.57127439999999996</v>
      </c>
      <c r="Q196" s="3">
        <v>0.56760469999999996</v>
      </c>
      <c r="R196" s="3">
        <v>0.56401659999999998</v>
      </c>
      <c r="S196" s="3">
        <v>0.56051280000000003</v>
      </c>
      <c r="T196" s="3">
        <v>0.55709589999999998</v>
      </c>
      <c r="U196" s="3">
        <v>0.5537687</v>
      </c>
      <c r="V196" s="3">
        <v>0.55053390000000002</v>
      </c>
      <c r="W196" s="3">
        <v>0.54739150000000003</v>
      </c>
      <c r="X196" s="3">
        <v>0.54432849999999999</v>
      </c>
      <c r="Y196" s="3">
        <v>0.54132809999999998</v>
      </c>
      <c r="Z196" s="3">
        <v>0.53837380000000001</v>
      </c>
      <c r="AA196" s="3">
        <v>0.5354487</v>
      </c>
      <c r="AB196" s="3">
        <v>0.53253629999999996</v>
      </c>
      <c r="AC196" s="3">
        <v>0.52962359999999997</v>
      </c>
      <c r="AD196" s="3">
        <v>0.5267153</v>
      </c>
      <c r="AE196" s="3">
        <v>0.52382090000000003</v>
      </c>
      <c r="AF196" s="3">
        <v>0.52094969999999996</v>
      </c>
      <c r="AG196" s="3">
        <v>0.51811119999999999</v>
      </c>
      <c r="AH196" s="3">
        <v>0.51531470000000001</v>
      </c>
      <c r="AI196" s="3">
        <v>0.51256970000000002</v>
      </c>
      <c r="AJ196" s="3">
        <v>0.50988560000000005</v>
      </c>
      <c r="AK196" s="3">
        <v>0.50727180000000005</v>
      </c>
      <c r="AL196" s="3">
        <v>0.50473769999999996</v>
      </c>
      <c r="AM196" s="3">
        <v>0.50229259999999998</v>
      </c>
      <c r="AN196" s="3">
        <v>0.4999461</v>
      </c>
      <c r="AO196" s="3">
        <v>0.4977065</v>
      </c>
      <c r="AP196" s="3">
        <v>0.49557810000000002</v>
      </c>
      <c r="AQ196" s="3">
        <v>0.49356359999999999</v>
      </c>
      <c r="AR196" s="3">
        <v>0.4916662</v>
      </c>
      <c r="AS196" s="3">
        <v>0.48988870000000001</v>
      </c>
      <c r="AT196" s="3">
        <v>0.488234</v>
      </c>
      <c r="AU196" s="3">
        <v>0.4867052</v>
      </c>
      <c r="AV196" s="3">
        <v>0.48530519999999999</v>
      </c>
      <c r="AW196" s="3">
        <v>0.48403689999999999</v>
      </c>
      <c r="AX196" s="3">
        <v>0.48290329999999998</v>
      </c>
      <c r="AY196" s="3">
        <v>0.48190739999999999</v>
      </c>
      <c r="AZ196" s="3">
        <v>0.48105199999999998</v>
      </c>
      <c r="BA196" s="3">
        <v>0.48033940000000003</v>
      </c>
      <c r="BB196" s="3">
        <v>0.47976809999999998</v>
      </c>
      <c r="BC196" s="3">
        <v>0.47933579999999998</v>
      </c>
      <c r="BD196" s="3">
        <v>0.47904020000000003</v>
      </c>
      <c r="BE196" s="3">
        <v>0.47887879999999999</v>
      </c>
      <c r="BF196" s="3">
        <v>0.47884939999999998</v>
      </c>
      <c r="BG196" s="3">
        <v>0.47894959999999998</v>
      </c>
      <c r="BH196" s="3">
        <v>0.47917700000000002</v>
      </c>
      <c r="BI196" s="3">
        <v>0.47952929999999999</v>
      </c>
      <c r="BJ196" s="3">
        <v>0.48000399999999999</v>
      </c>
      <c r="BK196" s="3">
        <v>0.480599</v>
      </c>
      <c r="BL196" s="3">
        <v>0.48131170000000001</v>
      </c>
      <c r="BM196" s="3" t="e">
        <v>#N/A</v>
      </c>
      <c r="BN196" s="3" t="e">
        <v>#N/A</v>
      </c>
    </row>
    <row r="197" spans="1:66" x14ac:dyDescent="0.35">
      <c r="A197" s="5">
        <f t="shared" si="2"/>
        <v>43731</v>
      </c>
      <c r="B197" t="s">
        <v>274</v>
      </c>
      <c r="C197" s="2">
        <v>0.75</v>
      </c>
      <c r="D197" s="2">
        <v>0.70989999999999998</v>
      </c>
      <c r="E197" s="3">
        <v>0.70277480000000003</v>
      </c>
      <c r="F197" s="3">
        <v>0.67765839999999999</v>
      </c>
      <c r="G197" s="3">
        <v>0.65508379999999999</v>
      </c>
      <c r="H197" s="3">
        <v>0.63443640000000001</v>
      </c>
      <c r="I197" s="3">
        <v>0.61579899999999999</v>
      </c>
      <c r="J197" s="3">
        <v>0.59944220000000004</v>
      </c>
      <c r="K197" s="3">
        <v>0.58548219999999995</v>
      </c>
      <c r="L197" s="3">
        <v>0.57350239999999997</v>
      </c>
      <c r="M197" s="3">
        <v>0.56286259999999999</v>
      </c>
      <c r="N197" s="3">
        <v>0.55299690000000001</v>
      </c>
      <c r="O197" s="3">
        <v>0.54368369999999999</v>
      </c>
      <c r="P197" s="3">
        <v>0.53486409999999995</v>
      </c>
      <c r="Q197" s="3">
        <v>0.52662549999999997</v>
      </c>
      <c r="R197" s="3">
        <v>0.51897570000000004</v>
      </c>
      <c r="S197" s="3">
        <v>0.5118876</v>
      </c>
      <c r="T197" s="3">
        <v>0.5053339</v>
      </c>
      <c r="U197" s="3">
        <v>0.4992876</v>
      </c>
      <c r="V197" s="3">
        <v>0.49372149999999998</v>
      </c>
      <c r="W197" s="3">
        <v>0.4886046</v>
      </c>
      <c r="X197" s="3">
        <v>0.48389110000000002</v>
      </c>
      <c r="Y197" s="3">
        <v>0.47953190000000001</v>
      </c>
      <c r="Z197" s="3">
        <v>0.4754776</v>
      </c>
      <c r="AA197" s="3">
        <v>0.47167910000000002</v>
      </c>
      <c r="AB197" s="3">
        <v>0.46808709999999998</v>
      </c>
      <c r="AC197" s="3">
        <v>0.46465840000000003</v>
      </c>
      <c r="AD197" s="3">
        <v>0.4613757</v>
      </c>
      <c r="AE197" s="3">
        <v>0.4582292</v>
      </c>
      <c r="AF197" s="3">
        <v>0.45520899999999997</v>
      </c>
      <c r="AG197" s="3">
        <v>0.45230510000000002</v>
      </c>
      <c r="AH197" s="3">
        <v>0.4495075</v>
      </c>
      <c r="AI197" s="3">
        <v>0.4468065</v>
      </c>
      <c r="AJ197" s="3">
        <v>0.44419189999999997</v>
      </c>
      <c r="AK197" s="3">
        <v>0.44165399999999999</v>
      </c>
      <c r="AL197" s="3">
        <v>0.43918279999999998</v>
      </c>
      <c r="AM197" s="3">
        <v>0.4367683</v>
      </c>
      <c r="AN197" s="3">
        <v>0.43440069999999997</v>
      </c>
      <c r="AO197" s="3">
        <v>0.43207269999999998</v>
      </c>
      <c r="AP197" s="3">
        <v>0.42978880000000003</v>
      </c>
      <c r="AQ197" s="3">
        <v>0.42755700000000002</v>
      </c>
      <c r="AR197" s="3">
        <v>0.42538510000000002</v>
      </c>
      <c r="AS197" s="3">
        <v>0.42328090000000002</v>
      </c>
      <c r="AT197" s="3">
        <v>0.42125240000000003</v>
      </c>
      <c r="AU197" s="3">
        <v>0.41930729999999999</v>
      </c>
      <c r="AV197" s="3">
        <v>0.41745349999999998</v>
      </c>
      <c r="AW197" s="3">
        <v>0.41569879999999998</v>
      </c>
      <c r="AX197" s="3">
        <v>0.41405120000000001</v>
      </c>
      <c r="AY197" s="3">
        <v>0.41251840000000001</v>
      </c>
      <c r="AZ197" s="3">
        <v>0.41110839999999998</v>
      </c>
      <c r="BA197" s="3">
        <v>0.40982800000000003</v>
      </c>
      <c r="BB197" s="3">
        <v>0.4086786</v>
      </c>
      <c r="BC197" s="3">
        <v>0.40766000000000002</v>
      </c>
      <c r="BD197" s="3">
        <v>0.40677200000000002</v>
      </c>
      <c r="BE197" s="3">
        <v>0.40601419999999999</v>
      </c>
      <c r="BF197" s="3">
        <v>0.40538629999999998</v>
      </c>
      <c r="BG197" s="3">
        <v>0.40488809999999997</v>
      </c>
      <c r="BH197" s="3">
        <v>0.40451930000000003</v>
      </c>
      <c r="BI197" s="3">
        <v>0.40427950000000001</v>
      </c>
      <c r="BJ197" s="3">
        <v>0.40416849999999999</v>
      </c>
      <c r="BK197" s="3">
        <v>0.40418609999999999</v>
      </c>
      <c r="BL197" s="3">
        <v>0.40433180000000002</v>
      </c>
      <c r="BM197" s="3" t="e">
        <v>#N/A</v>
      </c>
      <c r="BN197" s="3" t="e">
        <v>#N/A</v>
      </c>
    </row>
    <row r="198" spans="1:66" x14ac:dyDescent="0.35">
      <c r="A198" s="5">
        <f t="shared" si="2"/>
        <v>43732</v>
      </c>
      <c r="B198" t="s">
        <v>275</v>
      </c>
      <c r="C198" s="2">
        <v>0.75</v>
      </c>
      <c r="D198" s="2">
        <v>0.71050000000000002</v>
      </c>
      <c r="E198" s="3">
        <v>0.70057650000000005</v>
      </c>
      <c r="F198" s="3">
        <v>0.67371199999999998</v>
      </c>
      <c r="G198" s="3">
        <v>0.65041660000000001</v>
      </c>
      <c r="H198" s="3">
        <v>0.63076790000000005</v>
      </c>
      <c r="I198" s="3">
        <v>0.61281980000000003</v>
      </c>
      <c r="J198" s="3">
        <v>0.59504159999999995</v>
      </c>
      <c r="K198" s="3">
        <v>0.57753149999999998</v>
      </c>
      <c r="L198" s="3">
        <v>0.5609191</v>
      </c>
      <c r="M198" s="3">
        <v>0.54559679999999999</v>
      </c>
      <c r="N198" s="3">
        <v>0.53159909999999999</v>
      </c>
      <c r="O198" s="3">
        <v>0.51895210000000003</v>
      </c>
      <c r="P198" s="3">
        <v>0.50760780000000005</v>
      </c>
      <c r="Q198" s="3">
        <v>0.49742249999999999</v>
      </c>
      <c r="R198" s="3">
        <v>0.4883034</v>
      </c>
      <c r="S198" s="3">
        <v>0.4801782</v>
      </c>
      <c r="T198" s="3">
        <v>0.47297460000000002</v>
      </c>
      <c r="U198" s="3">
        <v>0.46662039999999999</v>
      </c>
      <c r="V198" s="3">
        <v>0.46104329999999999</v>
      </c>
      <c r="W198" s="3">
        <v>0.45616689999999999</v>
      </c>
      <c r="X198" s="3">
        <v>0.4518991</v>
      </c>
      <c r="Y198" s="3">
        <v>0.44814399999999999</v>
      </c>
      <c r="Z198" s="3">
        <v>0.44480570000000003</v>
      </c>
      <c r="AA198" s="3">
        <v>0.44178830000000002</v>
      </c>
      <c r="AB198" s="3">
        <v>0.4389961</v>
      </c>
      <c r="AC198" s="3">
        <v>0.43634519999999999</v>
      </c>
      <c r="AD198" s="3">
        <v>0.43380590000000002</v>
      </c>
      <c r="AE198" s="3">
        <v>0.43136330000000001</v>
      </c>
      <c r="AF198" s="3">
        <v>0.42900240000000001</v>
      </c>
      <c r="AG198" s="3">
        <v>0.42670829999999998</v>
      </c>
      <c r="AH198" s="3">
        <v>0.42446610000000001</v>
      </c>
      <c r="AI198" s="3">
        <v>0.42226069999999999</v>
      </c>
      <c r="AJ198" s="3">
        <v>0.42007729999999999</v>
      </c>
      <c r="AK198" s="3">
        <v>0.41790080000000002</v>
      </c>
      <c r="AL198" s="3">
        <v>0.41571649999999999</v>
      </c>
      <c r="AM198" s="3">
        <v>0.41350930000000002</v>
      </c>
      <c r="AN198" s="3">
        <v>0.41126430000000003</v>
      </c>
      <c r="AO198" s="3">
        <v>0.4089701</v>
      </c>
      <c r="AP198" s="3">
        <v>0.40663470000000002</v>
      </c>
      <c r="AQ198" s="3">
        <v>0.40427249999999998</v>
      </c>
      <c r="AR198" s="3">
        <v>0.40189789999999997</v>
      </c>
      <c r="AS198" s="3">
        <v>0.39952539999999997</v>
      </c>
      <c r="AT198" s="3">
        <v>0.3971693</v>
      </c>
      <c r="AU198" s="3">
        <v>0.39484409999999998</v>
      </c>
      <c r="AV198" s="3">
        <v>0.39256419999999997</v>
      </c>
      <c r="AW198" s="3">
        <v>0.39034400000000002</v>
      </c>
      <c r="AX198" s="3">
        <v>0.38819799999999999</v>
      </c>
      <c r="AY198" s="3">
        <v>0.3861405</v>
      </c>
      <c r="AZ198" s="3">
        <v>0.38418609999999997</v>
      </c>
      <c r="BA198" s="3">
        <v>0.38234750000000001</v>
      </c>
      <c r="BB198" s="3">
        <v>0.38063039999999998</v>
      </c>
      <c r="BC198" s="3">
        <v>0.37903799999999999</v>
      </c>
      <c r="BD198" s="3">
        <v>0.37757360000000001</v>
      </c>
      <c r="BE198" s="3">
        <v>0.37624059999999998</v>
      </c>
      <c r="BF198" s="3">
        <v>0.3750423</v>
      </c>
      <c r="BG198" s="3">
        <v>0.37398179999999998</v>
      </c>
      <c r="BH198" s="3">
        <v>0.37306260000000002</v>
      </c>
      <c r="BI198" s="3">
        <v>0.37228800000000001</v>
      </c>
      <c r="BJ198" s="3">
        <v>0.37166120000000002</v>
      </c>
      <c r="BK198" s="3">
        <v>0.3711855</v>
      </c>
      <c r="BL198" s="3">
        <v>0.37086429999999998</v>
      </c>
      <c r="BM198" s="3" t="e">
        <v>#N/A</v>
      </c>
      <c r="BN198" s="3" t="e">
        <v>#N/A</v>
      </c>
    </row>
    <row r="199" spans="1:66" x14ac:dyDescent="0.35">
      <c r="A199" s="5">
        <f t="shared" si="2"/>
        <v>43733</v>
      </c>
      <c r="B199" t="s">
        <v>276</v>
      </c>
      <c r="C199" s="2">
        <v>0.75</v>
      </c>
      <c r="D199" s="2">
        <v>0.70989999999999998</v>
      </c>
      <c r="E199" s="3">
        <v>0.70184340000000001</v>
      </c>
      <c r="F199" s="3">
        <v>0.68101889999999998</v>
      </c>
      <c r="G199" s="3">
        <v>0.66059000000000001</v>
      </c>
      <c r="H199" s="3">
        <v>0.64071699999999998</v>
      </c>
      <c r="I199" s="3">
        <v>0.62088189999999999</v>
      </c>
      <c r="J199" s="3">
        <v>0.60145269999999995</v>
      </c>
      <c r="K199" s="3">
        <v>0.58353540000000004</v>
      </c>
      <c r="L199" s="3">
        <v>0.56731240000000005</v>
      </c>
      <c r="M199" s="3">
        <v>0.55253289999999999</v>
      </c>
      <c r="N199" s="3">
        <v>0.53889500000000001</v>
      </c>
      <c r="O199" s="3">
        <v>0.52630259999999995</v>
      </c>
      <c r="P199" s="3">
        <v>0.51479430000000004</v>
      </c>
      <c r="Q199" s="3">
        <v>0.50443450000000001</v>
      </c>
      <c r="R199" s="3">
        <v>0.49514259999999999</v>
      </c>
      <c r="S199" s="3">
        <v>0.48679549999999999</v>
      </c>
      <c r="T199" s="3">
        <v>0.47926970000000002</v>
      </c>
      <c r="U199" s="3">
        <v>0.47244209999999998</v>
      </c>
      <c r="V199" s="3">
        <v>0.46618929999999997</v>
      </c>
      <c r="W199" s="3">
        <v>0.46040199999999998</v>
      </c>
      <c r="X199" s="3">
        <v>0.45502320000000002</v>
      </c>
      <c r="Y199" s="3">
        <v>0.45000859999999998</v>
      </c>
      <c r="Z199" s="3">
        <v>0.44531379999999998</v>
      </c>
      <c r="AA199" s="3">
        <v>0.44089450000000002</v>
      </c>
      <c r="AB199" s="3">
        <v>0.43670629999999999</v>
      </c>
      <c r="AC199" s="3">
        <v>0.43271029999999999</v>
      </c>
      <c r="AD199" s="3">
        <v>0.4288959</v>
      </c>
      <c r="AE199" s="3">
        <v>0.42526259999999999</v>
      </c>
      <c r="AF199" s="3">
        <v>0.4218095</v>
      </c>
      <c r="AG199" s="3">
        <v>0.41853600000000002</v>
      </c>
      <c r="AH199" s="3">
        <v>0.41544140000000002</v>
      </c>
      <c r="AI199" s="3">
        <v>0.41252480000000002</v>
      </c>
      <c r="AJ199" s="3">
        <v>0.40978560000000003</v>
      </c>
      <c r="AK199" s="3">
        <v>0.407223</v>
      </c>
      <c r="AL199" s="3">
        <v>0.40483639999999999</v>
      </c>
      <c r="AM199" s="3">
        <v>0.40262490000000001</v>
      </c>
      <c r="AN199" s="3">
        <v>0.4005879</v>
      </c>
      <c r="AO199" s="3">
        <v>0.39872410000000003</v>
      </c>
      <c r="AP199" s="3">
        <v>0.39702900000000002</v>
      </c>
      <c r="AQ199" s="3">
        <v>0.3954974</v>
      </c>
      <c r="AR199" s="3">
        <v>0.39412409999999998</v>
      </c>
      <c r="AS199" s="3">
        <v>0.39290380000000003</v>
      </c>
      <c r="AT199" s="3">
        <v>0.39183119999999999</v>
      </c>
      <c r="AU199" s="3">
        <v>0.3909012</v>
      </c>
      <c r="AV199" s="3">
        <v>0.39010850000000002</v>
      </c>
      <c r="AW199" s="3">
        <v>0.38944770000000001</v>
      </c>
      <c r="AX199" s="3">
        <v>0.38891369999999997</v>
      </c>
      <c r="AY199" s="3">
        <v>0.38850119999999999</v>
      </c>
      <c r="AZ199" s="3">
        <v>0.38820500000000002</v>
      </c>
      <c r="BA199" s="3">
        <v>0.38802009999999998</v>
      </c>
      <c r="BB199" s="3">
        <v>0.38794319999999999</v>
      </c>
      <c r="BC199" s="3">
        <v>0.38797130000000002</v>
      </c>
      <c r="BD199" s="3">
        <v>0.38810169999999999</v>
      </c>
      <c r="BE199" s="3">
        <v>0.38833129999999999</v>
      </c>
      <c r="BF199" s="3">
        <v>0.38865719999999998</v>
      </c>
      <c r="BG199" s="3">
        <v>0.38907649999999999</v>
      </c>
      <c r="BH199" s="3">
        <v>0.3895864</v>
      </c>
      <c r="BI199" s="3">
        <v>0.39018380000000003</v>
      </c>
      <c r="BJ199" s="3">
        <v>0.39086589999999999</v>
      </c>
      <c r="BK199" s="3">
        <v>0.39162979999999997</v>
      </c>
      <c r="BL199" s="3">
        <v>0.3924725</v>
      </c>
      <c r="BM199" s="3" t="e">
        <v>#N/A</v>
      </c>
      <c r="BN199" s="3" t="e">
        <v>#N/A</v>
      </c>
    </row>
    <row r="200" spans="1:66" x14ac:dyDescent="0.35">
      <c r="A200" s="5">
        <f t="shared" si="2"/>
        <v>43734</v>
      </c>
      <c r="B200" t="s">
        <v>277</v>
      </c>
      <c r="C200" s="2">
        <v>0.75</v>
      </c>
      <c r="D200" s="2">
        <v>0.71089999999999998</v>
      </c>
      <c r="E200" s="3">
        <v>0.70495819999999998</v>
      </c>
      <c r="F200" s="3">
        <v>0.6825175</v>
      </c>
      <c r="G200" s="3">
        <v>0.65932170000000001</v>
      </c>
      <c r="H200" s="3">
        <v>0.63639310000000004</v>
      </c>
      <c r="I200" s="3">
        <v>0.61426809999999998</v>
      </c>
      <c r="J200" s="3">
        <v>0.59268069999999995</v>
      </c>
      <c r="K200" s="3">
        <v>0.5718934</v>
      </c>
      <c r="L200" s="3">
        <v>0.55230420000000002</v>
      </c>
      <c r="M200" s="3">
        <v>0.53406229999999999</v>
      </c>
      <c r="N200" s="3">
        <v>0.5171308</v>
      </c>
      <c r="O200" s="3">
        <v>0.50151319999999999</v>
      </c>
      <c r="P200" s="3">
        <v>0.4872244</v>
      </c>
      <c r="Q200" s="3">
        <v>0.47417999999999999</v>
      </c>
      <c r="R200" s="3">
        <v>0.46233920000000001</v>
      </c>
      <c r="S200" s="3">
        <v>0.45168639999999999</v>
      </c>
      <c r="T200" s="3">
        <v>0.44220559999999998</v>
      </c>
      <c r="U200" s="3">
        <v>0.43388130000000003</v>
      </c>
      <c r="V200" s="3">
        <v>0.42669760000000001</v>
      </c>
      <c r="W200" s="3">
        <v>0.4206162</v>
      </c>
      <c r="X200" s="3">
        <v>0.41551280000000002</v>
      </c>
      <c r="Y200" s="3">
        <v>0.41124250000000001</v>
      </c>
      <c r="Z200" s="3">
        <v>0.40766049999999998</v>
      </c>
      <c r="AA200" s="3">
        <v>0.40462209999999998</v>
      </c>
      <c r="AB200" s="3">
        <v>0.40198220000000001</v>
      </c>
      <c r="AC200" s="3">
        <v>0.39961259999999998</v>
      </c>
      <c r="AD200" s="3">
        <v>0.39746490000000001</v>
      </c>
      <c r="AE200" s="3">
        <v>0.3955148</v>
      </c>
      <c r="AF200" s="3">
        <v>0.39373839999999999</v>
      </c>
      <c r="AG200" s="3">
        <v>0.3921115</v>
      </c>
      <c r="AH200" s="3">
        <v>0.39061000000000001</v>
      </c>
      <c r="AI200" s="3">
        <v>0.3892099</v>
      </c>
      <c r="AJ200" s="3">
        <v>0.38788699999999998</v>
      </c>
      <c r="AK200" s="3">
        <v>0.3866174</v>
      </c>
      <c r="AL200" s="3">
        <v>0.38537680000000002</v>
      </c>
      <c r="AM200" s="3">
        <v>0.38414120000000002</v>
      </c>
      <c r="AN200" s="3">
        <v>0.38288660000000002</v>
      </c>
      <c r="AO200" s="3">
        <v>0.38159419999999999</v>
      </c>
      <c r="AP200" s="3">
        <v>0.38026979999999999</v>
      </c>
      <c r="AQ200" s="3">
        <v>0.37892569999999998</v>
      </c>
      <c r="AR200" s="3">
        <v>0.37757420000000003</v>
      </c>
      <c r="AS200" s="3">
        <v>0.3762278</v>
      </c>
      <c r="AT200" s="3">
        <v>0.37489860000000003</v>
      </c>
      <c r="AU200" s="3">
        <v>0.37359920000000002</v>
      </c>
      <c r="AV200" s="3">
        <v>0.3723417</v>
      </c>
      <c r="AW200" s="3">
        <v>0.37113859999999999</v>
      </c>
      <c r="AX200" s="3">
        <v>0.3700022</v>
      </c>
      <c r="AY200" s="3">
        <v>0.36894480000000002</v>
      </c>
      <c r="AZ200" s="3">
        <v>0.36797879999999999</v>
      </c>
      <c r="BA200" s="3">
        <v>0.36711470000000002</v>
      </c>
      <c r="BB200" s="3">
        <v>0.36635580000000001</v>
      </c>
      <c r="BC200" s="3">
        <v>0.36570279999999999</v>
      </c>
      <c r="BD200" s="3">
        <v>0.3651567</v>
      </c>
      <c r="BE200" s="3">
        <v>0.3647185</v>
      </c>
      <c r="BF200" s="3">
        <v>0.36438920000000002</v>
      </c>
      <c r="BG200" s="3">
        <v>0.36416959999999998</v>
      </c>
      <c r="BH200" s="3">
        <v>0.36406070000000001</v>
      </c>
      <c r="BI200" s="3">
        <v>0.36406359999999999</v>
      </c>
      <c r="BJ200" s="3">
        <v>0.36417899999999997</v>
      </c>
      <c r="BK200" s="3">
        <v>0.36440800000000001</v>
      </c>
      <c r="BL200" s="3">
        <v>0.36475160000000001</v>
      </c>
      <c r="BM200" s="3" t="e">
        <v>#N/A</v>
      </c>
      <c r="BN200" s="3" t="e">
        <v>#N/A</v>
      </c>
    </row>
    <row r="201" spans="1:66" x14ac:dyDescent="0.35">
      <c r="A201" s="5">
        <f t="shared" si="2"/>
        <v>43735</v>
      </c>
      <c r="B201" t="s">
        <v>278</v>
      </c>
      <c r="C201" s="2">
        <v>0.75</v>
      </c>
      <c r="D201" s="2">
        <v>0.71089999999999998</v>
      </c>
      <c r="E201" s="3">
        <v>0.70088209999999995</v>
      </c>
      <c r="F201" s="3">
        <v>0.66077540000000001</v>
      </c>
      <c r="G201" s="3">
        <v>0.6266581</v>
      </c>
      <c r="H201" s="3">
        <v>0.59750749999999997</v>
      </c>
      <c r="I201" s="3">
        <v>0.57020570000000004</v>
      </c>
      <c r="J201" s="3">
        <v>0.54281360000000001</v>
      </c>
      <c r="K201" s="3">
        <v>0.51597570000000004</v>
      </c>
      <c r="L201" s="3">
        <v>0.49098550000000002</v>
      </c>
      <c r="M201" s="3">
        <v>0.46835900000000003</v>
      </c>
      <c r="N201" s="3">
        <v>0.44798549999999998</v>
      </c>
      <c r="O201" s="3">
        <v>0.42951620000000001</v>
      </c>
      <c r="P201" s="3">
        <v>0.41268860000000002</v>
      </c>
      <c r="Q201" s="3">
        <v>0.39716820000000003</v>
      </c>
      <c r="R201" s="3">
        <v>0.38288630000000001</v>
      </c>
      <c r="S201" s="3">
        <v>0.36986970000000002</v>
      </c>
      <c r="T201" s="3">
        <v>0.3581452</v>
      </c>
      <c r="U201" s="3">
        <v>0.34773959999999998</v>
      </c>
      <c r="V201" s="3">
        <v>0.33867969999999997</v>
      </c>
      <c r="W201" s="3">
        <v>0.3309703</v>
      </c>
      <c r="X201" s="3">
        <v>0.32451459999999999</v>
      </c>
      <c r="Y201" s="3">
        <v>0.31918619999999998</v>
      </c>
      <c r="Z201" s="3">
        <v>0.31485869999999999</v>
      </c>
      <c r="AA201" s="3">
        <v>0.31140590000000001</v>
      </c>
      <c r="AB201" s="3">
        <v>0.30870130000000001</v>
      </c>
      <c r="AC201" s="3">
        <v>0.30663010000000002</v>
      </c>
      <c r="AD201" s="3">
        <v>0.3051276</v>
      </c>
      <c r="AE201" s="3">
        <v>0.30414340000000001</v>
      </c>
      <c r="AF201" s="3">
        <v>0.30362670000000003</v>
      </c>
      <c r="AG201" s="3">
        <v>0.30352699999999999</v>
      </c>
      <c r="AH201" s="3">
        <v>0.30379349999999999</v>
      </c>
      <c r="AI201" s="3">
        <v>0.30437589999999998</v>
      </c>
      <c r="AJ201" s="3">
        <v>0.30522329999999998</v>
      </c>
      <c r="AK201" s="3">
        <v>0.30628519999999998</v>
      </c>
      <c r="AL201" s="3">
        <v>0.30751089999999998</v>
      </c>
      <c r="AM201" s="3">
        <v>0.30884990000000001</v>
      </c>
      <c r="AN201" s="3">
        <v>0.31025160000000002</v>
      </c>
      <c r="AO201" s="3">
        <v>0.31167309999999998</v>
      </c>
      <c r="AP201" s="3">
        <v>0.31310680000000002</v>
      </c>
      <c r="AQ201" s="3">
        <v>0.31455440000000001</v>
      </c>
      <c r="AR201" s="3">
        <v>0.31601780000000002</v>
      </c>
      <c r="AS201" s="3">
        <v>0.31749880000000003</v>
      </c>
      <c r="AT201" s="3">
        <v>0.31899929999999999</v>
      </c>
      <c r="AU201" s="3">
        <v>0.320521</v>
      </c>
      <c r="AV201" s="3">
        <v>0.32206590000000002</v>
      </c>
      <c r="AW201" s="3">
        <v>0.32363560000000002</v>
      </c>
      <c r="AX201" s="3">
        <v>0.32523220000000003</v>
      </c>
      <c r="AY201" s="3">
        <v>0.32685730000000002</v>
      </c>
      <c r="AZ201" s="3">
        <v>0.32851279999999999</v>
      </c>
      <c r="BA201" s="3">
        <v>0.33020060000000001</v>
      </c>
      <c r="BB201" s="3">
        <v>0.33192280000000002</v>
      </c>
      <c r="BC201" s="3">
        <v>0.33368120000000001</v>
      </c>
      <c r="BD201" s="3">
        <v>0.3354781</v>
      </c>
      <c r="BE201" s="3">
        <v>0.33731539999999999</v>
      </c>
      <c r="BF201" s="3">
        <v>0.33919529999999998</v>
      </c>
      <c r="BG201" s="3">
        <v>0.34111960000000002</v>
      </c>
      <c r="BH201" s="3">
        <v>0.34309060000000002</v>
      </c>
      <c r="BI201" s="3">
        <v>0.34511019999999998</v>
      </c>
      <c r="BJ201" s="3">
        <v>0.3471805</v>
      </c>
      <c r="BK201" s="3">
        <v>0.34930359999999999</v>
      </c>
      <c r="BL201" s="3">
        <v>0.3514815</v>
      </c>
      <c r="BM201" s="3" t="e">
        <v>#N/A</v>
      </c>
      <c r="BN201" s="3" t="e">
        <v>#N/A</v>
      </c>
    </row>
    <row r="202" spans="1:66" x14ac:dyDescent="0.35">
      <c r="A202" s="5">
        <f t="shared" si="2"/>
        <v>43738</v>
      </c>
      <c r="B202" t="s">
        <v>279</v>
      </c>
      <c r="C202" s="2">
        <v>0.75</v>
      </c>
      <c r="D202" s="2">
        <v>0.71009999999999995</v>
      </c>
      <c r="E202" s="3">
        <v>0.69673379999999996</v>
      </c>
      <c r="F202" s="3">
        <v>0.65395760000000003</v>
      </c>
      <c r="G202" s="3">
        <v>0.61812219999999996</v>
      </c>
      <c r="H202" s="3">
        <v>0.58585980000000004</v>
      </c>
      <c r="I202" s="3">
        <v>0.55524949999999995</v>
      </c>
      <c r="J202" s="3">
        <v>0.52634259999999999</v>
      </c>
      <c r="K202" s="3">
        <v>0.4994769</v>
      </c>
      <c r="L202" s="3">
        <v>0.47516350000000002</v>
      </c>
      <c r="M202" s="3">
        <v>0.45383879999999999</v>
      </c>
      <c r="N202" s="3">
        <v>0.43529210000000002</v>
      </c>
      <c r="O202" s="3">
        <v>0.41917680000000002</v>
      </c>
      <c r="P202" s="3">
        <v>0.4050974</v>
      </c>
      <c r="Q202" s="3">
        <v>0.39265650000000002</v>
      </c>
      <c r="R202" s="3">
        <v>0.38166699999999998</v>
      </c>
      <c r="S202" s="3">
        <v>0.37200270000000002</v>
      </c>
      <c r="T202" s="3">
        <v>0.3635372</v>
      </c>
      <c r="U202" s="3">
        <v>0.35614430000000002</v>
      </c>
      <c r="V202" s="3">
        <v>0.34969790000000001</v>
      </c>
      <c r="W202" s="3">
        <v>0.34407690000000002</v>
      </c>
      <c r="X202" s="3">
        <v>0.33918219999999999</v>
      </c>
      <c r="Y202" s="3">
        <v>0.33492070000000002</v>
      </c>
      <c r="Z202" s="3">
        <v>0.33119910000000002</v>
      </c>
      <c r="AA202" s="3">
        <v>0.3279241</v>
      </c>
      <c r="AB202" s="3">
        <v>0.32500259999999997</v>
      </c>
      <c r="AC202" s="3">
        <v>0.32235340000000001</v>
      </c>
      <c r="AD202" s="3">
        <v>0.3199495</v>
      </c>
      <c r="AE202" s="3">
        <v>0.31777860000000002</v>
      </c>
      <c r="AF202" s="3">
        <v>0.31582850000000001</v>
      </c>
      <c r="AG202" s="3">
        <v>0.31408700000000001</v>
      </c>
      <c r="AH202" s="3">
        <v>0.31254169999999998</v>
      </c>
      <c r="AI202" s="3">
        <v>0.31118040000000002</v>
      </c>
      <c r="AJ202" s="3">
        <v>0.30999090000000001</v>
      </c>
      <c r="AK202" s="3">
        <v>0.30896099999999999</v>
      </c>
      <c r="AL202" s="3">
        <v>0.30807830000000003</v>
      </c>
      <c r="AM202" s="3">
        <v>0.30733070000000001</v>
      </c>
      <c r="AN202" s="3">
        <v>0.30670589999999998</v>
      </c>
      <c r="AO202" s="3">
        <v>0.30619410000000002</v>
      </c>
      <c r="AP202" s="3">
        <v>0.30579640000000002</v>
      </c>
      <c r="AQ202" s="3">
        <v>0.30551709999999999</v>
      </c>
      <c r="AR202" s="3">
        <v>0.30536010000000002</v>
      </c>
      <c r="AS202" s="3">
        <v>0.30532969999999998</v>
      </c>
      <c r="AT202" s="3">
        <v>0.30542999999999998</v>
      </c>
      <c r="AU202" s="3">
        <v>0.30566500000000002</v>
      </c>
      <c r="AV202" s="3">
        <v>0.30603910000000001</v>
      </c>
      <c r="AW202" s="3">
        <v>0.3065562</v>
      </c>
      <c r="AX202" s="3">
        <v>0.30722050000000001</v>
      </c>
      <c r="AY202" s="3">
        <v>0.30803609999999998</v>
      </c>
      <c r="AZ202" s="3">
        <v>0.30900729999999998</v>
      </c>
      <c r="BA202" s="3">
        <v>0.3101371</v>
      </c>
      <c r="BB202" s="3">
        <v>0.31142320000000001</v>
      </c>
      <c r="BC202" s="3">
        <v>0.31286160000000002</v>
      </c>
      <c r="BD202" s="3">
        <v>0.31444840000000002</v>
      </c>
      <c r="BE202" s="3">
        <v>0.3161793</v>
      </c>
      <c r="BF202" s="3">
        <v>0.31805030000000001</v>
      </c>
      <c r="BG202" s="3">
        <v>0.32005749999999999</v>
      </c>
      <c r="BH202" s="3">
        <v>0.3221967</v>
      </c>
      <c r="BI202" s="3">
        <v>0.32446390000000003</v>
      </c>
      <c r="BJ202" s="3">
        <v>0.32685500000000001</v>
      </c>
      <c r="BK202" s="3">
        <v>0.32936599999999999</v>
      </c>
      <c r="BL202" s="3">
        <v>0.33199279999999998</v>
      </c>
      <c r="BM202" s="3" t="e">
        <v>#N/A</v>
      </c>
      <c r="BN202" s="3" t="e">
        <v>#N/A</v>
      </c>
    </row>
    <row r="203" spans="1:66" x14ac:dyDescent="0.35">
      <c r="A203" s="5">
        <f t="shared" si="2"/>
        <v>43739</v>
      </c>
      <c r="B203" t="s">
        <v>280</v>
      </c>
      <c r="C203" s="2">
        <v>0.75</v>
      </c>
      <c r="D203" s="2">
        <v>0.71079999999999999</v>
      </c>
      <c r="E203" s="3">
        <v>0.69523069999999998</v>
      </c>
      <c r="F203" s="3">
        <v>0.65453760000000005</v>
      </c>
      <c r="G203" s="3">
        <v>0.61805840000000001</v>
      </c>
      <c r="H203" s="3">
        <v>0.58297620000000006</v>
      </c>
      <c r="I203" s="3">
        <v>0.54938900000000002</v>
      </c>
      <c r="J203" s="3">
        <v>0.5182774</v>
      </c>
      <c r="K203" s="3">
        <v>0.49036629999999998</v>
      </c>
      <c r="L203" s="3">
        <v>0.4661206</v>
      </c>
      <c r="M203" s="3">
        <v>0.44550279999999998</v>
      </c>
      <c r="N203" s="3">
        <v>0.427838</v>
      </c>
      <c r="O203" s="3">
        <v>0.41240870000000002</v>
      </c>
      <c r="P203" s="3">
        <v>0.39870329999999998</v>
      </c>
      <c r="Q203" s="3">
        <v>0.38629210000000003</v>
      </c>
      <c r="R203" s="3">
        <v>0.37502479999999999</v>
      </c>
      <c r="S203" s="3">
        <v>0.36483209999999999</v>
      </c>
      <c r="T203" s="3">
        <v>0.35564469999999998</v>
      </c>
      <c r="U203" s="3">
        <v>0.34739300000000001</v>
      </c>
      <c r="V203" s="3">
        <v>0.34000789999999997</v>
      </c>
      <c r="W203" s="3">
        <v>0.3334239</v>
      </c>
      <c r="X203" s="3">
        <v>0.3275923</v>
      </c>
      <c r="Y203" s="3">
        <v>0.32246900000000001</v>
      </c>
      <c r="Z203" s="3">
        <v>0.31800970000000001</v>
      </c>
      <c r="AA203" s="3">
        <v>0.31417030000000001</v>
      </c>
      <c r="AB203" s="3">
        <v>0.31090640000000003</v>
      </c>
      <c r="AC203" s="3">
        <v>0.30817470000000002</v>
      </c>
      <c r="AD203" s="3">
        <v>0.30593520000000002</v>
      </c>
      <c r="AE203" s="3">
        <v>0.30414869999999999</v>
      </c>
      <c r="AF203" s="3">
        <v>0.3027763</v>
      </c>
      <c r="AG203" s="3">
        <v>0.30177890000000002</v>
      </c>
      <c r="AH203" s="3">
        <v>0.30111739999999998</v>
      </c>
      <c r="AI203" s="3">
        <v>0.30075279999999999</v>
      </c>
      <c r="AJ203" s="3">
        <v>0.30064610000000003</v>
      </c>
      <c r="AK203" s="3">
        <v>0.30075809999999997</v>
      </c>
      <c r="AL203" s="3">
        <v>0.30104989999999998</v>
      </c>
      <c r="AM203" s="3">
        <v>0.30148239999999998</v>
      </c>
      <c r="AN203" s="3">
        <v>0.30201650000000002</v>
      </c>
      <c r="AO203" s="3">
        <v>0.30261660000000001</v>
      </c>
      <c r="AP203" s="3">
        <v>0.30326550000000002</v>
      </c>
      <c r="AQ203" s="3">
        <v>0.3039521</v>
      </c>
      <c r="AR203" s="3">
        <v>0.30466529999999997</v>
      </c>
      <c r="AS203" s="3">
        <v>0.3053941</v>
      </c>
      <c r="AT203" s="3">
        <v>0.3061275</v>
      </c>
      <c r="AU203" s="3">
        <v>0.30685420000000002</v>
      </c>
      <c r="AV203" s="3">
        <v>0.30756339999999999</v>
      </c>
      <c r="AW203" s="3">
        <v>0.30824390000000002</v>
      </c>
      <c r="AX203" s="3">
        <v>0.30888460000000001</v>
      </c>
      <c r="AY203" s="3">
        <v>0.30947459999999999</v>
      </c>
      <c r="AZ203" s="3">
        <v>0.31000270000000002</v>
      </c>
      <c r="BA203" s="3">
        <v>0.31046210000000002</v>
      </c>
      <c r="BB203" s="3">
        <v>0.31086629999999998</v>
      </c>
      <c r="BC203" s="3">
        <v>0.31123499999999998</v>
      </c>
      <c r="BD203" s="3">
        <v>0.31158819999999998</v>
      </c>
      <c r="BE203" s="3">
        <v>0.31194539999999998</v>
      </c>
      <c r="BF203" s="3">
        <v>0.31232650000000001</v>
      </c>
      <c r="BG203" s="3">
        <v>0.31275120000000001</v>
      </c>
      <c r="BH203" s="3">
        <v>0.3132393</v>
      </c>
      <c r="BI203" s="3">
        <v>0.3138107</v>
      </c>
      <c r="BJ203" s="3">
        <v>0.31448490000000001</v>
      </c>
      <c r="BK203" s="3">
        <v>0.3152818</v>
      </c>
      <c r="BL203" s="3">
        <v>0.31622119999999998</v>
      </c>
      <c r="BM203" s="3" t="e">
        <v>#N/A</v>
      </c>
      <c r="BN203" s="3" t="e">
        <v>#N/A</v>
      </c>
    </row>
    <row r="204" spans="1:66" x14ac:dyDescent="0.35">
      <c r="A204" s="5">
        <f t="shared" si="2"/>
        <v>43740</v>
      </c>
      <c r="B204" t="s">
        <v>281</v>
      </c>
      <c r="C204" s="2">
        <v>0.75</v>
      </c>
      <c r="D204" s="2">
        <v>0.70979999999999999</v>
      </c>
      <c r="E204" s="3">
        <v>0.69544779999999995</v>
      </c>
      <c r="F204" s="3">
        <v>0.65275939999999999</v>
      </c>
      <c r="G204" s="3">
        <v>0.61528249999999995</v>
      </c>
      <c r="H204" s="3">
        <v>0.58035309999999996</v>
      </c>
      <c r="I204" s="3">
        <v>0.54750500000000002</v>
      </c>
      <c r="J204" s="3">
        <v>0.51742410000000005</v>
      </c>
      <c r="K204" s="3">
        <v>0.49083209999999999</v>
      </c>
      <c r="L204" s="3">
        <v>0.46822459999999999</v>
      </c>
      <c r="M204" s="3">
        <v>0.44936880000000001</v>
      </c>
      <c r="N204" s="3">
        <v>0.43298799999999998</v>
      </c>
      <c r="O204" s="3">
        <v>0.41778999999999999</v>
      </c>
      <c r="P204" s="3">
        <v>0.40292060000000002</v>
      </c>
      <c r="Q204" s="3">
        <v>0.38790000000000002</v>
      </c>
      <c r="R204" s="3">
        <v>0.37290499999999999</v>
      </c>
      <c r="S204" s="3">
        <v>0.35828379999999999</v>
      </c>
      <c r="T204" s="3">
        <v>0.34438419999999997</v>
      </c>
      <c r="U204" s="3">
        <v>0.33155459999999998</v>
      </c>
      <c r="V204" s="3">
        <v>0.32014280000000001</v>
      </c>
      <c r="W204" s="3">
        <v>0.31044539999999998</v>
      </c>
      <c r="X204" s="3">
        <v>0.3024347</v>
      </c>
      <c r="Y204" s="3">
        <v>0.29595749999999998</v>
      </c>
      <c r="Z204" s="3">
        <v>0.29086060000000002</v>
      </c>
      <c r="AA204" s="3">
        <v>0.28699079999999999</v>
      </c>
      <c r="AB204" s="3">
        <v>0.28419460000000002</v>
      </c>
      <c r="AC204" s="3">
        <v>0.28232760000000001</v>
      </c>
      <c r="AD204" s="3">
        <v>0.2812923</v>
      </c>
      <c r="AE204" s="3">
        <v>0.2810069</v>
      </c>
      <c r="AF204" s="3">
        <v>0.28138990000000003</v>
      </c>
      <c r="AG204" s="3">
        <v>0.28235949999999999</v>
      </c>
      <c r="AH204" s="3">
        <v>0.28383409999999998</v>
      </c>
      <c r="AI204" s="3">
        <v>0.28573199999999999</v>
      </c>
      <c r="AJ204" s="3">
        <v>0.28797149999999999</v>
      </c>
      <c r="AK204" s="3">
        <v>0.29047099999999998</v>
      </c>
      <c r="AL204" s="3">
        <v>0.29314869999999998</v>
      </c>
      <c r="AM204" s="3">
        <v>0.29592299999999999</v>
      </c>
      <c r="AN204" s="3">
        <v>0.29871229999999999</v>
      </c>
      <c r="AO204" s="3">
        <v>0.30144650000000001</v>
      </c>
      <c r="AP204" s="3">
        <v>0.30411290000000002</v>
      </c>
      <c r="AQ204" s="3">
        <v>0.30671619999999999</v>
      </c>
      <c r="AR204" s="3">
        <v>0.30926110000000001</v>
      </c>
      <c r="AS204" s="3">
        <v>0.31175219999999998</v>
      </c>
      <c r="AT204" s="3">
        <v>0.31419419999999998</v>
      </c>
      <c r="AU204" s="3">
        <v>0.31659169999999998</v>
      </c>
      <c r="AV204" s="3">
        <v>0.31894939999999999</v>
      </c>
      <c r="AW204" s="3">
        <v>0.321272</v>
      </c>
      <c r="AX204" s="3">
        <v>0.32356420000000002</v>
      </c>
      <c r="AY204" s="3">
        <v>0.32583050000000002</v>
      </c>
      <c r="AZ204" s="3">
        <v>0.32807570000000003</v>
      </c>
      <c r="BA204" s="3">
        <v>0.3303046</v>
      </c>
      <c r="BB204" s="3">
        <v>0.33252290000000001</v>
      </c>
      <c r="BC204" s="3">
        <v>0.3347368</v>
      </c>
      <c r="BD204" s="3">
        <v>0.33695209999999998</v>
      </c>
      <c r="BE204" s="3">
        <v>0.339175</v>
      </c>
      <c r="BF204" s="3">
        <v>0.34141129999999997</v>
      </c>
      <c r="BG204" s="3">
        <v>0.3436671</v>
      </c>
      <c r="BH204" s="3">
        <v>0.34594839999999999</v>
      </c>
      <c r="BI204" s="3">
        <v>0.34826119999999999</v>
      </c>
      <c r="BJ204" s="3">
        <v>0.35061160000000002</v>
      </c>
      <c r="BK204" s="3">
        <v>0.35300540000000002</v>
      </c>
      <c r="BL204" s="3">
        <v>0.35544870000000001</v>
      </c>
      <c r="BM204" s="3" t="e">
        <v>#N/A</v>
      </c>
      <c r="BN204" s="3" t="e">
        <v>#N/A</v>
      </c>
    </row>
    <row r="205" spans="1:66" x14ac:dyDescent="0.35">
      <c r="A205" s="5">
        <f t="shared" si="2"/>
        <v>43741</v>
      </c>
      <c r="B205" t="s">
        <v>282</v>
      </c>
      <c r="C205" s="2">
        <v>0.75</v>
      </c>
      <c r="D205" s="2">
        <v>0.70979999999999999</v>
      </c>
      <c r="E205" s="3">
        <v>0.6927797</v>
      </c>
      <c r="F205" s="3">
        <v>0.64585219999999999</v>
      </c>
      <c r="G205" s="3">
        <v>0.60439069999999995</v>
      </c>
      <c r="H205" s="3">
        <v>0.56481769999999998</v>
      </c>
      <c r="I205" s="3">
        <v>0.52743309999999999</v>
      </c>
      <c r="J205" s="3">
        <v>0.49326449999999999</v>
      </c>
      <c r="K205" s="3">
        <v>0.46274949999999998</v>
      </c>
      <c r="L205" s="3">
        <v>0.43641000000000002</v>
      </c>
      <c r="M205" s="3">
        <v>0.41441</v>
      </c>
      <c r="N205" s="3">
        <v>0.39606219999999998</v>
      </c>
      <c r="O205" s="3">
        <v>0.3806389</v>
      </c>
      <c r="P205" s="3">
        <v>0.36747950000000001</v>
      </c>
      <c r="Q205" s="3">
        <v>0.35595529999999997</v>
      </c>
      <c r="R205" s="3">
        <v>0.34581479999999998</v>
      </c>
      <c r="S205" s="3">
        <v>0.33693820000000002</v>
      </c>
      <c r="T205" s="3">
        <v>0.329206</v>
      </c>
      <c r="U205" s="3">
        <v>0.32249820000000001</v>
      </c>
      <c r="V205" s="3">
        <v>0.31669520000000001</v>
      </c>
      <c r="W205" s="3">
        <v>0.31168380000000001</v>
      </c>
      <c r="X205" s="3">
        <v>0.30738700000000002</v>
      </c>
      <c r="Y205" s="3">
        <v>0.30374069999999997</v>
      </c>
      <c r="Z205" s="3">
        <v>0.30068099999999998</v>
      </c>
      <c r="AA205" s="3">
        <v>0.29814360000000001</v>
      </c>
      <c r="AB205" s="3">
        <v>0.29606470000000001</v>
      </c>
      <c r="AC205" s="3">
        <v>0.29438500000000001</v>
      </c>
      <c r="AD205" s="3">
        <v>0.29306919999999997</v>
      </c>
      <c r="AE205" s="3">
        <v>0.2920895</v>
      </c>
      <c r="AF205" s="3">
        <v>0.29141800000000001</v>
      </c>
      <c r="AG205" s="3">
        <v>0.29102660000000002</v>
      </c>
      <c r="AH205" s="3">
        <v>0.29088740000000002</v>
      </c>
      <c r="AI205" s="3">
        <v>0.29097250000000002</v>
      </c>
      <c r="AJ205" s="3">
        <v>0.29125390000000001</v>
      </c>
      <c r="AK205" s="3">
        <v>0.29170370000000001</v>
      </c>
      <c r="AL205" s="3">
        <v>0.292294</v>
      </c>
      <c r="AM205" s="3">
        <v>0.2929968</v>
      </c>
      <c r="AN205" s="3">
        <v>0.29378409999999999</v>
      </c>
      <c r="AO205" s="3">
        <v>0.29463250000000002</v>
      </c>
      <c r="AP205" s="3">
        <v>0.29553760000000001</v>
      </c>
      <c r="AQ205" s="3">
        <v>0.29650070000000001</v>
      </c>
      <c r="AR205" s="3">
        <v>0.29752289999999998</v>
      </c>
      <c r="AS205" s="3">
        <v>0.29860530000000002</v>
      </c>
      <c r="AT205" s="3">
        <v>0.29974909999999999</v>
      </c>
      <c r="AU205" s="3">
        <v>0.30095539999999998</v>
      </c>
      <c r="AV205" s="3">
        <v>0.30222539999999998</v>
      </c>
      <c r="AW205" s="3">
        <v>0.3035602</v>
      </c>
      <c r="AX205" s="3">
        <v>0.30496089999999998</v>
      </c>
      <c r="AY205" s="3">
        <v>0.3064287</v>
      </c>
      <c r="AZ205" s="3">
        <v>0.30796479999999998</v>
      </c>
      <c r="BA205" s="3">
        <v>0.30957030000000002</v>
      </c>
      <c r="BB205" s="3">
        <v>0.3112471</v>
      </c>
      <c r="BC205" s="3">
        <v>0.31299690000000002</v>
      </c>
      <c r="BD205" s="3">
        <v>0.31482149999999998</v>
      </c>
      <c r="BE205" s="3">
        <v>0.31672289999999997</v>
      </c>
      <c r="BF205" s="3">
        <v>0.31870280000000001</v>
      </c>
      <c r="BG205" s="3">
        <v>0.32076310000000002</v>
      </c>
      <c r="BH205" s="3">
        <v>0.32290560000000001</v>
      </c>
      <c r="BI205" s="3">
        <v>0.32513209999999998</v>
      </c>
      <c r="BJ205" s="3">
        <v>0.32744459999999997</v>
      </c>
      <c r="BK205" s="3">
        <v>0.32984479999999999</v>
      </c>
      <c r="BL205" s="3">
        <v>0.33233459999999998</v>
      </c>
      <c r="BM205" s="3" t="e">
        <v>#N/A</v>
      </c>
      <c r="BN205" s="3" t="e">
        <v>#N/A</v>
      </c>
    </row>
    <row r="206" spans="1:66" x14ac:dyDescent="0.35">
      <c r="A206" s="5">
        <f t="shared" ref="A206:A269" si="3">+A201+7</f>
        <v>43742</v>
      </c>
      <c r="B206" t="s">
        <v>283</v>
      </c>
      <c r="C206" s="2">
        <v>0.75</v>
      </c>
      <c r="D206" s="2">
        <v>0.71179999999999999</v>
      </c>
      <c r="E206" s="3">
        <v>0.69175030000000004</v>
      </c>
      <c r="F206" s="3">
        <v>0.64627730000000005</v>
      </c>
      <c r="G206" s="3">
        <v>0.60468719999999998</v>
      </c>
      <c r="H206" s="3">
        <v>0.56333529999999998</v>
      </c>
      <c r="I206" s="3">
        <v>0.52296779999999998</v>
      </c>
      <c r="J206" s="3">
        <v>0.48522409999999999</v>
      </c>
      <c r="K206" s="3">
        <v>0.45135229999999998</v>
      </c>
      <c r="L206" s="3">
        <v>0.42279729999999999</v>
      </c>
      <c r="M206" s="3">
        <v>0.39967999999999998</v>
      </c>
      <c r="N206" s="3">
        <v>0.38103039999999999</v>
      </c>
      <c r="O206" s="3">
        <v>0.36571720000000002</v>
      </c>
      <c r="P206" s="3">
        <v>0.35293639999999998</v>
      </c>
      <c r="Q206" s="3">
        <v>0.34199400000000002</v>
      </c>
      <c r="R206" s="3">
        <v>0.3325785</v>
      </c>
      <c r="S206" s="3">
        <v>0.3245014</v>
      </c>
      <c r="T206" s="3">
        <v>0.31757410000000003</v>
      </c>
      <c r="U206" s="3">
        <v>0.31160779999999999</v>
      </c>
      <c r="V206" s="3">
        <v>0.30641390000000002</v>
      </c>
      <c r="W206" s="3">
        <v>0.3018228</v>
      </c>
      <c r="X206" s="3">
        <v>0.29776170000000002</v>
      </c>
      <c r="Y206" s="3">
        <v>0.29418889999999998</v>
      </c>
      <c r="Z206" s="3">
        <v>0.2910626</v>
      </c>
      <c r="AA206" s="3">
        <v>0.28834100000000001</v>
      </c>
      <c r="AB206" s="3">
        <v>0.28598249999999997</v>
      </c>
      <c r="AC206" s="3">
        <v>0.28394819999999998</v>
      </c>
      <c r="AD206" s="3">
        <v>0.28221200000000002</v>
      </c>
      <c r="AE206" s="3">
        <v>0.28075139999999998</v>
      </c>
      <c r="AF206" s="3">
        <v>0.27954390000000001</v>
      </c>
      <c r="AG206" s="3">
        <v>0.27856700000000001</v>
      </c>
      <c r="AH206" s="3">
        <v>0.27779809999999999</v>
      </c>
      <c r="AI206" s="3">
        <v>0.27721479999999998</v>
      </c>
      <c r="AJ206" s="3">
        <v>0.2767945</v>
      </c>
      <c r="AK206" s="3">
        <v>0.2765146</v>
      </c>
      <c r="AL206" s="3">
        <v>0.27635270000000001</v>
      </c>
      <c r="AM206" s="3">
        <v>0.27628619999999998</v>
      </c>
      <c r="AN206" s="3">
        <v>0.2762927</v>
      </c>
      <c r="AO206" s="3">
        <v>0.27635330000000002</v>
      </c>
      <c r="AP206" s="3">
        <v>0.2764664</v>
      </c>
      <c r="AQ206" s="3">
        <v>0.27663460000000001</v>
      </c>
      <c r="AR206" s="3">
        <v>0.27686070000000002</v>
      </c>
      <c r="AS206" s="3">
        <v>0.2771477</v>
      </c>
      <c r="AT206" s="3">
        <v>0.27749829999999998</v>
      </c>
      <c r="AU206" s="3">
        <v>0.27791519999999997</v>
      </c>
      <c r="AV206" s="3">
        <v>0.27840140000000002</v>
      </c>
      <c r="AW206" s="3">
        <v>0.27895959999999997</v>
      </c>
      <c r="AX206" s="3">
        <v>0.27959260000000002</v>
      </c>
      <c r="AY206" s="3">
        <v>0.28030329999999998</v>
      </c>
      <c r="AZ206" s="3">
        <v>0.28109440000000002</v>
      </c>
      <c r="BA206" s="3">
        <v>0.28196880000000002</v>
      </c>
      <c r="BB206" s="3">
        <v>0.28292919999999999</v>
      </c>
      <c r="BC206" s="3">
        <v>0.28397840000000002</v>
      </c>
      <c r="BD206" s="3">
        <v>0.28511940000000002</v>
      </c>
      <c r="BE206" s="3">
        <v>0.28635480000000002</v>
      </c>
      <c r="BF206" s="3">
        <v>0.28768759999999999</v>
      </c>
      <c r="BG206" s="3">
        <v>0.2891204</v>
      </c>
      <c r="BH206" s="3">
        <v>0.29065619999999998</v>
      </c>
      <c r="BI206" s="3">
        <v>0.29229769999999999</v>
      </c>
      <c r="BJ206" s="3">
        <v>0.29404770000000002</v>
      </c>
      <c r="BK206" s="3">
        <v>0.29590899999999998</v>
      </c>
      <c r="BL206" s="3">
        <v>0.2978845</v>
      </c>
      <c r="BM206" s="3" t="e">
        <v>#N/A</v>
      </c>
      <c r="BN206" s="3" t="e">
        <v>#N/A</v>
      </c>
    </row>
    <row r="207" spans="1:66" x14ac:dyDescent="0.35">
      <c r="A207" s="5">
        <f t="shared" si="3"/>
        <v>43745</v>
      </c>
      <c r="B207" t="s">
        <v>284</v>
      </c>
      <c r="C207" s="2">
        <v>0.75</v>
      </c>
      <c r="D207" s="2">
        <v>0.71109999999999995</v>
      </c>
      <c r="E207" s="3">
        <v>0.68546870000000004</v>
      </c>
      <c r="F207" s="3">
        <v>0.6355421</v>
      </c>
      <c r="G207" s="3">
        <v>0.59530919999999998</v>
      </c>
      <c r="H207" s="3">
        <v>0.55717609999999995</v>
      </c>
      <c r="I207" s="3">
        <v>0.51810809999999996</v>
      </c>
      <c r="J207" s="3">
        <v>0.4808422</v>
      </c>
      <c r="K207" s="3">
        <v>0.44769969999999998</v>
      </c>
      <c r="L207" s="3">
        <v>0.4197419</v>
      </c>
      <c r="M207" s="3">
        <v>0.39696389999999998</v>
      </c>
      <c r="N207" s="3">
        <v>0.37835419999999997</v>
      </c>
      <c r="O207" s="3">
        <v>0.36313079999999998</v>
      </c>
      <c r="P207" s="3">
        <v>0.35062339999999997</v>
      </c>
      <c r="Q207" s="3">
        <v>0.34006259999999999</v>
      </c>
      <c r="R207" s="3">
        <v>0.33111639999999998</v>
      </c>
      <c r="S207" s="3">
        <v>0.32359110000000002</v>
      </c>
      <c r="T207" s="3">
        <v>0.3172933</v>
      </c>
      <c r="U207" s="3">
        <v>0.31202920000000001</v>
      </c>
      <c r="V207" s="3">
        <v>0.30760520000000002</v>
      </c>
      <c r="W207" s="3">
        <v>0.3038459</v>
      </c>
      <c r="X207" s="3">
        <v>0.30065229999999998</v>
      </c>
      <c r="Y207" s="3">
        <v>0.29794530000000002</v>
      </c>
      <c r="Z207" s="3">
        <v>0.29564590000000002</v>
      </c>
      <c r="AA207" s="3">
        <v>0.29367520000000003</v>
      </c>
      <c r="AB207" s="3">
        <v>0.2919542</v>
      </c>
      <c r="AC207" s="3">
        <v>0.29041460000000002</v>
      </c>
      <c r="AD207" s="3">
        <v>0.2890356</v>
      </c>
      <c r="AE207" s="3">
        <v>0.28780939999999999</v>
      </c>
      <c r="AF207" s="3">
        <v>0.28672819999999999</v>
      </c>
      <c r="AG207" s="3">
        <v>0.28578419999999999</v>
      </c>
      <c r="AH207" s="3">
        <v>0.2849698</v>
      </c>
      <c r="AI207" s="3">
        <v>0.284277</v>
      </c>
      <c r="AJ207" s="3">
        <v>0.28369820000000001</v>
      </c>
      <c r="AK207" s="3">
        <v>0.28322560000000002</v>
      </c>
      <c r="AL207" s="3">
        <v>0.28285139999999998</v>
      </c>
      <c r="AM207" s="3">
        <v>0.28256779999999998</v>
      </c>
      <c r="AN207" s="3">
        <v>0.28236709999999998</v>
      </c>
      <c r="AO207" s="3">
        <v>0.28224320000000003</v>
      </c>
      <c r="AP207" s="3">
        <v>0.2821977</v>
      </c>
      <c r="AQ207" s="3">
        <v>0.28223419999999999</v>
      </c>
      <c r="AR207" s="3">
        <v>0.28235650000000001</v>
      </c>
      <c r="AS207" s="3">
        <v>0.28256829999999999</v>
      </c>
      <c r="AT207" s="3">
        <v>0.28287309999999999</v>
      </c>
      <c r="AU207" s="3">
        <v>0.28327469999999999</v>
      </c>
      <c r="AV207" s="3">
        <v>0.2837768</v>
      </c>
      <c r="AW207" s="3">
        <v>0.284383</v>
      </c>
      <c r="AX207" s="3">
        <v>0.28509689999999999</v>
      </c>
      <c r="AY207" s="3">
        <v>0.28592240000000002</v>
      </c>
      <c r="AZ207" s="3">
        <v>0.28686299999999998</v>
      </c>
      <c r="BA207" s="3">
        <v>0.28792190000000001</v>
      </c>
      <c r="BB207" s="3">
        <v>0.2890991</v>
      </c>
      <c r="BC207" s="3">
        <v>0.29039379999999998</v>
      </c>
      <c r="BD207" s="3">
        <v>0.29180519999999999</v>
      </c>
      <c r="BE207" s="3">
        <v>0.29333219999999999</v>
      </c>
      <c r="BF207" s="3">
        <v>0.29497400000000001</v>
      </c>
      <c r="BG207" s="3">
        <v>0.29672959999999998</v>
      </c>
      <c r="BH207" s="3">
        <v>0.29859829999999998</v>
      </c>
      <c r="BI207" s="3">
        <v>0.30057909999999999</v>
      </c>
      <c r="BJ207" s="3">
        <v>0.30267110000000003</v>
      </c>
      <c r="BK207" s="3">
        <v>0.30487330000000001</v>
      </c>
      <c r="BL207" s="3">
        <v>0.30718499999999999</v>
      </c>
      <c r="BM207" s="3" t="e">
        <v>#N/A</v>
      </c>
      <c r="BN207" s="3" t="e">
        <v>#N/A</v>
      </c>
    </row>
    <row r="208" spans="1:66" x14ac:dyDescent="0.35">
      <c r="A208" s="5">
        <f t="shared" si="3"/>
        <v>43746</v>
      </c>
      <c r="B208" t="s">
        <v>285</v>
      </c>
      <c r="C208" s="2">
        <v>0.75</v>
      </c>
      <c r="D208" s="2">
        <v>0.7107</v>
      </c>
      <c r="E208" s="3">
        <v>0.67883660000000001</v>
      </c>
      <c r="F208" s="3">
        <v>0.62324460000000004</v>
      </c>
      <c r="G208" s="3">
        <v>0.57933179999999995</v>
      </c>
      <c r="H208" s="3">
        <v>0.53918820000000001</v>
      </c>
      <c r="I208" s="3">
        <v>0.49919750000000002</v>
      </c>
      <c r="J208" s="3">
        <v>0.46157520000000002</v>
      </c>
      <c r="K208" s="3">
        <v>0.42849710000000002</v>
      </c>
      <c r="L208" s="3">
        <v>0.40085850000000001</v>
      </c>
      <c r="M208" s="3">
        <v>0.37848330000000002</v>
      </c>
      <c r="N208" s="3">
        <v>0.36042049999999998</v>
      </c>
      <c r="O208" s="3">
        <v>0.34575610000000001</v>
      </c>
      <c r="P208" s="3">
        <v>0.33382129999999999</v>
      </c>
      <c r="Q208" s="3">
        <v>0.32376680000000002</v>
      </c>
      <c r="R208" s="3">
        <v>0.31523430000000002</v>
      </c>
      <c r="S208" s="3">
        <v>0.30803380000000002</v>
      </c>
      <c r="T208" s="3">
        <v>0.30197550000000001</v>
      </c>
      <c r="U208" s="3">
        <v>0.2968693</v>
      </c>
      <c r="V208" s="3">
        <v>0.29252529999999999</v>
      </c>
      <c r="W208" s="3">
        <v>0.28877330000000001</v>
      </c>
      <c r="X208" s="3">
        <v>0.28552499999999997</v>
      </c>
      <c r="Y208" s="3">
        <v>0.28271420000000003</v>
      </c>
      <c r="Z208" s="3">
        <v>0.28027439999999998</v>
      </c>
      <c r="AA208" s="3">
        <v>0.27813909999999997</v>
      </c>
      <c r="AB208" s="3">
        <v>0.27624189999999998</v>
      </c>
      <c r="AC208" s="3">
        <v>0.27452500000000002</v>
      </c>
      <c r="AD208" s="3">
        <v>0.27296900000000002</v>
      </c>
      <c r="AE208" s="3">
        <v>0.27156520000000001</v>
      </c>
      <c r="AF208" s="3">
        <v>0.27030460000000001</v>
      </c>
      <c r="AG208" s="3">
        <v>0.26917849999999999</v>
      </c>
      <c r="AH208" s="3">
        <v>0.26817790000000002</v>
      </c>
      <c r="AI208" s="3">
        <v>0.26729419999999998</v>
      </c>
      <c r="AJ208" s="3">
        <v>0.26651829999999999</v>
      </c>
      <c r="AK208" s="3">
        <v>0.26584160000000001</v>
      </c>
      <c r="AL208" s="3">
        <v>0.26525520000000002</v>
      </c>
      <c r="AM208" s="3">
        <v>0.26475029999999999</v>
      </c>
      <c r="AN208" s="3">
        <v>0.26431789999999999</v>
      </c>
      <c r="AO208" s="3">
        <v>0.26395089999999999</v>
      </c>
      <c r="AP208" s="3">
        <v>0.26364979999999999</v>
      </c>
      <c r="AQ208" s="3">
        <v>0.26341819999999999</v>
      </c>
      <c r="AR208" s="3">
        <v>0.26325939999999998</v>
      </c>
      <c r="AS208" s="3">
        <v>0.26317689999999999</v>
      </c>
      <c r="AT208" s="3">
        <v>0.26317400000000002</v>
      </c>
      <c r="AU208" s="3">
        <v>0.2632543</v>
      </c>
      <c r="AV208" s="3">
        <v>0.26342100000000002</v>
      </c>
      <c r="AW208" s="3">
        <v>0.26367770000000001</v>
      </c>
      <c r="AX208" s="3">
        <v>0.26402769999999998</v>
      </c>
      <c r="AY208" s="3">
        <v>0.2644745</v>
      </c>
      <c r="AZ208" s="3">
        <v>0.26502140000000002</v>
      </c>
      <c r="BA208" s="3">
        <v>0.26567180000000001</v>
      </c>
      <c r="BB208" s="3">
        <v>0.2664282</v>
      </c>
      <c r="BC208" s="3">
        <v>0.26729259999999999</v>
      </c>
      <c r="BD208" s="3">
        <v>0.26826749999999999</v>
      </c>
      <c r="BE208" s="3">
        <v>0.26935500000000001</v>
      </c>
      <c r="BF208" s="3">
        <v>0.27055750000000001</v>
      </c>
      <c r="BG208" s="3">
        <v>0.27187699999999998</v>
      </c>
      <c r="BH208" s="3">
        <v>0.273316</v>
      </c>
      <c r="BI208" s="3">
        <v>0.27487660000000003</v>
      </c>
      <c r="BJ208" s="3">
        <v>0.276561</v>
      </c>
      <c r="BK208" s="3">
        <v>0.2783716</v>
      </c>
      <c r="BL208" s="3">
        <v>0.28031050000000002</v>
      </c>
      <c r="BM208" s="3" t="e">
        <v>#N/A</v>
      </c>
      <c r="BN208" s="3" t="e">
        <v>#N/A</v>
      </c>
    </row>
    <row r="209" spans="1:66" x14ac:dyDescent="0.35">
      <c r="A209" s="5">
        <f t="shared" si="3"/>
        <v>43747</v>
      </c>
      <c r="B209" t="s">
        <v>286</v>
      </c>
      <c r="C209" s="2">
        <v>0.75</v>
      </c>
      <c r="D209" s="2">
        <v>0.71120000000000005</v>
      </c>
      <c r="E209" s="3">
        <v>0.6791296</v>
      </c>
      <c r="F209" s="3">
        <v>0.62488759999999999</v>
      </c>
      <c r="G209" s="3">
        <v>0.57715470000000002</v>
      </c>
      <c r="H209" s="3">
        <v>0.5338309</v>
      </c>
      <c r="I209" s="3">
        <v>0.49485030000000002</v>
      </c>
      <c r="J209" s="3">
        <v>0.46034340000000001</v>
      </c>
      <c r="K209" s="3">
        <v>0.43060510000000002</v>
      </c>
      <c r="L209" s="3">
        <v>0.40608499999999997</v>
      </c>
      <c r="M209" s="3">
        <v>0.38675280000000001</v>
      </c>
      <c r="N209" s="3">
        <v>0.37171340000000003</v>
      </c>
      <c r="O209" s="3">
        <v>0.36003790000000002</v>
      </c>
      <c r="P209" s="3">
        <v>0.35091749999999999</v>
      </c>
      <c r="Q209" s="3">
        <v>0.34337590000000001</v>
      </c>
      <c r="R209" s="3">
        <v>0.33703559999999999</v>
      </c>
      <c r="S209" s="3">
        <v>0.33171390000000001</v>
      </c>
      <c r="T209" s="3">
        <v>0.32722820000000002</v>
      </c>
      <c r="U209" s="3">
        <v>0.32339590000000001</v>
      </c>
      <c r="V209" s="3">
        <v>0.3200344</v>
      </c>
      <c r="W209" s="3">
        <v>0.31698779999999999</v>
      </c>
      <c r="X209" s="3">
        <v>0.31421209999999999</v>
      </c>
      <c r="Y209" s="3">
        <v>0.31169259999999999</v>
      </c>
      <c r="Z209" s="3">
        <v>0.30941469999999999</v>
      </c>
      <c r="AA209" s="3">
        <v>0.30736380000000002</v>
      </c>
      <c r="AB209" s="3">
        <v>0.3055252</v>
      </c>
      <c r="AC209" s="3">
        <v>0.30388500000000002</v>
      </c>
      <c r="AD209" s="3">
        <v>0.30243179999999997</v>
      </c>
      <c r="AE209" s="3">
        <v>0.30115560000000002</v>
      </c>
      <c r="AF209" s="3">
        <v>0.30004599999999998</v>
      </c>
      <c r="AG209" s="3">
        <v>0.299093</v>
      </c>
      <c r="AH209" s="3">
        <v>0.2982862</v>
      </c>
      <c r="AI209" s="3">
        <v>0.29761559999999998</v>
      </c>
      <c r="AJ209" s="3">
        <v>0.29707080000000002</v>
      </c>
      <c r="AK209" s="3">
        <v>0.29664180000000001</v>
      </c>
      <c r="AL209" s="3">
        <v>0.29631819999999998</v>
      </c>
      <c r="AM209" s="3">
        <v>0.29608990000000002</v>
      </c>
      <c r="AN209" s="3">
        <v>0.29594670000000001</v>
      </c>
      <c r="AO209" s="3">
        <v>0.29588009999999998</v>
      </c>
      <c r="AP209" s="3">
        <v>0.29588989999999998</v>
      </c>
      <c r="AQ209" s="3">
        <v>0.29597839999999997</v>
      </c>
      <c r="AR209" s="3">
        <v>0.29614800000000002</v>
      </c>
      <c r="AS209" s="3">
        <v>0.29640100000000003</v>
      </c>
      <c r="AT209" s="3">
        <v>0.2967398</v>
      </c>
      <c r="AU209" s="3">
        <v>0.2971666</v>
      </c>
      <c r="AV209" s="3">
        <v>0.2976839</v>
      </c>
      <c r="AW209" s="3">
        <v>0.298294</v>
      </c>
      <c r="AX209" s="3">
        <v>0.29899920000000002</v>
      </c>
      <c r="AY209" s="3">
        <v>0.29980190000000001</v>
      </c>
      <c r="AZ209" s="3">
        <v>0.30070429999999998</v>
      </c>
      <c r="BA209" s="3">
        <v>0.3017087</v>
      </c>
      <c r="BB209" s="3">
        <v>0.30281609999999998</v>
      </c>
      <c r="BC209" s="3">
        <v>0.3040274</v>
      </c>
      <c r="BD209" s="3">
        <v>0.30534349999999999</v>
      </c>
      <c r="BE209" s="3">
        <v>0.30676530000000002</v>
      </c>
      <c r="BF209" s="3">
        <v>0.3082936</v>
      </c>
      <c r="BG209" s="3">
        <v>0.30992930000000002</v>
      </c>
      <c r="BH209" s="3">
        <v>0.31167319999999998</v>
      </c>
      <c r="BI209" s="3">
        <v>0.31352629999999998</v>
      </c>
      <c r="BJ209" s="3">
        <v>0.31548929999999997</v>
      </c>
      <c r="BK209" s="3">
        <v>0.31756319999999999</v>
      </c>
      <c r="BL209" s="3">
        <v>0.3197489</v>
      </c>
      <c r="BM209" s="3" t="e">
        <v>#N/A</v>
      </c>
      <c r="BN209" s="3" t="e">
        <v>#N/A</v>
      </c>
    </row>
    <row r="210" spans="1:66" x14ac:dyDescent="0.35">
      <c r="A210" s="5">
        <f t="shared" si="3"/>
        <v>43748</v>
      </c>
      <c r="B210" t="s">
        <v>287</v>
      </c>
      <c r="C210" s="2">
        <v>0.75</v>
      </c>
      <c r="D210" s="2">
        <v>0.71150000000000002</v>
      </c>
      <c r="E210" s="3">
        <v>0.69051200000000001</v>
      </c>
      <c r="F210" s="3">
        <v>0.65184299999999995</v>
      </c>
      <c r="G210" s="3">
        <v>0.6177994</v>
      </c>
      <c r="H210" s="3">
        <v>0.58889979999999997</v>
      </c>
      <c r="I210" s="3">
        <v>0.56433690000000003</v>
      </c>
      <c r="J210" s="3">
        <v>0.54402899999999998</v>
      </c>
      <c r="K210" s="3">
        <v>0.52703849999999997</v>
      </c>
      <c r="L210" s="3">
        <v>0.51269580000000003</v>
      </c>
      <c r="M210" s="3">
        <v>0.50040410000000002</v>
      </c>
      <c r="N210" s="3">
        <v>0.48959069999999999</v>
      </c>
      <c r="O210" s="3">
        <v>0.47999730000000002</v>
      </c>
      <c r="P210" s="3">
        <v>0.4715357</v>
      </c>
      <c r="Q210" s="3">
        <v>0.46428000000000003</v>
      </c>
      <c r="R210" s="3">
        <v>0.45813409999999999</v>
      </c>
      <c r="S210" s="3">
        <v>0.4529262</v>
      </c>
      <c r="T210" s="3">
        <v>0.44848490000000002</v>
      </c>
      <c r="U210" s="3">
        <v>0.44463829999999999</v>
      </c>
      <c r="V210" s="3">
        <v>0.44121490000000002</v>
      </c>
      <c r="W210" s="3">
        <v>0.4380636</v>
      </c>
      <c r="X210" s="3">
        <v>0.4351392</v>
      </c>
      <c r="Y210" s="3">
        <v>0.43243009999999998</v>
      </c>
      <c r="Z210" s="3">
        <v>0.4299248</v>
      </c>
      <c r="AA210" s="3">
        <v>0.42761199999999999</v>
      </c>
      <c r="AB210" s="3">
        <v>0.42548010000000003</v>
      </c>
      <c r="AC210" s="3">
        <v>0.4235199</v>
      </c>
      <c r="AD210" s="3">
        <v>0.42173290000000002</v>
      </c>
      <c r="AE210" s="3">
        <v>0.4201242</v>
      </c>
      <c r="AF210" s="3">
        <v>0.41869859999999998</v>
      </c>
      <c r="AG210" s="3">
        <v>0.41746109999999997</v>
      </c>
      <c r="AH210" s="3">
        <v>0.41641669999999997</v>
      </c>
      <c r="AI210" s="3">
        <v>0.4155702</v>
      </c>
      <c r="AJ210" s="3">
        <v>0.41492669999999998</v>
      </c>
      <c r="AK210" s="3">
        <v>0.414491</v>
      </c>
      <c r="AL210" s="3">
        <v>0.41426809999999997</v>
      </c>
      <c r="AM210" s="3">
        <v>0.41426289999999999</v>
      </c>
      <c r="AN210" s="3">
        <v>0.41448040000000003</v>
      </c>
      <c r="AO210" s="3">
        <v>0.41492250000000003</v>
      </c>
      <c r="AP210" s="3">
        <v>0.41557769999999999</v>
      </c>
      <c r="AQ210" s="3">
        <v>0.41643089999999999</v>
      </c>
      <c r="AR210" s="3">
        <v>0.41746689999999997</v>
      </c>
      <c r="AS210" s="3">
        <v>0.41867070000000001</v>
      </c>
      <c r="AT210" s="3">
        <v>0.42002699999999998</v>
      </c>
      <c r="AU210" s="3">
        <v>0.42152079999999997</v>
      </c>
      <c r="AV210" s="3">
        <v>0.42313689999999998</v>
      </c>
      <c r="AW210" s="3">
        <v>0.42486020000000002</v>
      </c>
      <c r="AX210" s="3">
        <v>0.42667549999999999</v>
      </c>
      <c r="AY210" s="3">
        <v>0.4285677</v>
      </c>
      <c r="AZ210" s="3">
        <v>0.43052170000000001</v>
      </c>
      <c r="BA210" s="3">
        <v>0.43252499999999999</v>
      </c>
      <c r="BB210" s="3">
        <v>0.43457639999999997</v>
      </c>
      <c r="BC210" s="3">
        <v>0.43667820000000002</v>
      </c>
      <c r="BD210" s="3">
        <v>0.43883230000000001</v>
      </c>
      <c r="BE210" s="3">
        <v>0.44104110000000002</v>
      </c>
      <c r="BF210" s="3">
        <v>0.44330639999999999</v>
      </c>
      <c r="BG210" s="3">
        <v>0.44563059999999999</v>
      </c>
      <c r="BH210" s="3">
        <v>0.44801570000000002</v>
      </c>
      <c r="BI210" s="3">
        <v>0.45046380000000003</v>
      </c>
      <c r="BJ210" s="3">
        <v>0.45297700000000002</v>
      </c>
      <c r="BK210" s="3">
        <v>0.4555575</v>
      </c>
      <c r="BL210" s="3">
        <v>0.45820729999999998</v>
      </c>
      <c r="BM210" s="3" t="e">
        <v>#N/A</v>
      </c>
      <c r="BN210" s="3" t="e">
        <v>#N/A</v>
      </c>
    </row>
    <row r="211" spans="1:66" x14ac:dyDescent="0.35">
      <c r="A211" s="5">
        <f t="shared" si="3"/>
        <v>43749</v>
      </c>
      <c r="B211" t="s">
        <v>288</v>
      </c>
      <c r="C211" s="2">
        <v>0.75</v>
      </c>
      <c r="D211" s="2">
        <v>0.71079999999999999</v>
      </c>
      <c r="E211" s="3">
        <v>0.69182169999999998</v>
      </c>
      <c r="F211" s="3">
        <v>0.66600349999999997</v>
      </c>
      <c r="G211" s="3">
        <v>0.64360759999999995</v>
      </c>
      <c r="H211" s="3">
        <v>0.62602210000000003</v>
      </c>
      <c r="I211" s="3">
        <v>0.61184899999999998</v>
      </c>
      <c r="J211" s="3">
        <v>0.60045020000000005</v>
      </c>
      <c r="K211" s="3">
        <v>0.59092579999999995</v>
      </c>
      <c r="L211" s="3">
        <v>0.58249740000000005</v>
      </c>
      <c r="M211" s="3">
        <v>0.57471969999999994</v>
      </c>
      <c r="N211" s="3">
        <v>0.56758640000000005</v>
      </c>
      <c r="O211" s="3">
        <v>0.56134980000000001</v>
      </c>
      <c r="P211" s="3">
        <v>0.55626949999999997</v>
      </c>
      <c r="Q211" s="3">
        <v>0.5526858</v>
      </c>
      <c r="R211" s="3">
        <v>0.55043529999999996</v>
      </c>
      <c r="S211" s="3">
        <v>0.54918180000000005</v>
      </c>
      <c r="T211" s="3">
        <v>0.54858870000000004</v>
      </c>
      <c r="U211" s="3">
        <v>0.54831980000000002</v>
      </c>
      <c r="V211" s="3">
        <v>0.54803880000000005</v>
      </c>
      <c r="W211" s="3">
        <v>0.54746760000000005</v>
      </c>
      <c r="X211" s="3">
        <v>0.54659970000000002</v>
      </c>
      <c r="Y211" s="3">
        <v>0.54550679999999996</v>
      </c>
      <c r="Z211" s="3">
        <v>0.54426099999999999</v>
      </c>
      <c r="AA211" s="3">
        <v>0.54293420000000003</v>
      </c>
      <c r="AB211" s="3">
        <v>0.54159820000000003</v>
      </c>
      <c r="AC211" s="3">
        <v>0.54031680000000004</v>
      </c>
      <c r="AD211" s="3">
        <v>0.53911719999999996</v>
      </c>
      <c r="AE211" s="3">
        <v>0.53801679999999996</v>
      </c>
      <c r="AF211" s="3">
        <v>0.53703279999999998</v>
      </c>
      <c r="AG211" s="3">
        <v>0.53618250000000001</v>
      </c>
      <c r="AH211" s="3">
        <v>0.53548309999999999</v>
      </c>
      <c r="AI211" s="3">
        <v>0.53495199999999998</v>
      </c>
      <c r="AJ211" s="3">
        <v>0.53460640000000004</v>
      </c>
      <c r="AK211" s="3">
        <v>0.53446360000000004</v>
      </c>
      <c r="AL211" s="3">
        <v>0.53454089999999999</v>
      </c>
      <c r="AM211" s="3">
        <v>0.53485559999999999</v>
      </c>
      <c r="AN211" s="3">
        <v>0.53542489999999998</v>
      </c>
      <c r="AO211" s="3">
        <v>0.53626070000000003</v>
      </c>
      <c r="AP211" s="3">
        <v>0.53735040000000001</v>
      </c>
      <c r="AQ211" s="3">
        <v>0.53867480000000001</v>
      </c>
      <c r="AR211" s="3">
        <v>0.54021490000000005</v>
      </c>
      <c r="AS211" s="3">
        <v>0.54195130000000002</v>
      </c>
      <c r="AT211" s="3">
        <v>0.54386500000000004</v>
      </c>
      <c r="AU211" s="3">
        <v>0.54593670000000005</v>
      </c>
      <c r="AV211" s="3">
        <v>0.5481473</v>
      </c>
      <c r="AW211" s="3">
        <v>0.55047760000000001</v>
      </c>
      <c r="AX211" s="3">
        <v>0.55290830000000002</v>
      </c>
      <c r="AY211" s="3">
        <v>0.55542040000000004</v>
      </c>
      <c r="AZ211" s="3">
        <v>0.55799469999999995</v>
      </c>
      <c r="BA211" s="3">
        <v>0.56061450000000002</v>
      </c>
      <c r="BB211" s="3">
        <v>0.56327479999999996</v>
      </c>
      <c r="BC211" s="3">
        <v>0.56597359999999997</v>
      </c>
      <c r="BD211" s="3">
        <v>0.56870900000000002</v>
      </c>
      <c r="BE211" s="3">
        <v>0.57147910000000002</v>
      </c>
      <c r="BF211" s="3">
        <v>0.57428179999999995</v>
      </c>
      <c r="BG211" s="3">
        <v>0.5771153</v>
      </c>
      <c r="BH211" s="3">
        <v>0.57997759999999998</v>
      </c>
      <c r="BI211" s="3">
        <v>0.58286689999999997</v>
      </c>
      <c r="BJ211" s="3">
        <v>0.585781</v>
      </c>
      <c r="BK211" s="3">
        <v>0.58871810000000002</v>
      </c>
      <c r="BL211" s="3">
        <v>0.59167630000000004</v>
      </c>
      <c r="BM211" s="3" t="e">
        <v>#N/A</v>
      </c>
      <c r="BN211" s="3" t="e">
        <v>#N/A</v>
      </c>
    </row>
    <row r="212" spans="1:66" x14ac:dyDescent="0.35">
      <c r="A212" s="5">
        <f t="shared" si="3"/>
        <v>43752</v>
      </c>
      <c r="B212" t="s">
        <v>289</v>
      </c>
      <c r="C212" s="2">
        <v>0.75</v>
      </c>
      <c r="D212" s="2">
        <v>0.71060000000000001</v>
      </c>
      <c r="E212" s="3">
        <v>0.68868379999999996</v>
      </c>
      <c r="F212" s="3">
        <v>0.65684050000000005</v>
      </c>
      <c r="G212" s="3">
        <v>0.62864989999999998</v>
      </c>
      <c r="H212" s="3">
        <v>0.60478140000000002</v>
      </c>
      <c r="I212" s="3">
        <v>0.58337629999999996</v>
      </c>
      <c r="J212" s="3">
        <v>0.56419560000000002</v>
      </c>
      <c r="K212" s="3">
        <v>0.54731039999999997</v>
      </c>
      <c r="L212" s="3">
        <v>0.53259279999999998</v>
      </c>
      <c r="M212" s="3">
        <v>0.51989019999999997</v>
      </c>
      <c r="N212" s="3">
        <v>0.50896719999999995</v>
      </c>
      <c r="O212" s="3">
        <v>0.49979649999999998</v>
      </c>
      <c r="P212" s="3">
        <v>0.49234050000000001</v>
      </c>
      <c r="Q212" s="3">
        <v>0.48650480000000002</v>
      </c>
      <c r="R212" s="3">
        <v>0.48208440000000002</v>
      </c>
      <c r="S212" s="3">
        <v>0.47884480000000001</v>
      </c>
      <c r="T212" s="3">
        <v>0.47655120000000001</v>
      </c>
      <c r="U212" s="3">
        <v>0.47496919999999998</v>
      </c>
      <c r="V212" s="3">
        <v>0.47386400000000001</v>
      </c>
      <c r="W212" s="3">
        <v>0.4730355</v>
      </c>
      <c r="X212" s="3">
        <v>0.47242790000000001</v>
      </c>
      <c r="Y212" s="3">
        <v>0.47202329999999998</v>
      </c>
      <c r="Z212" s="3">
        <v>0.4718038</v>
      </c>
      <c r="AA212" s="3">
        <v>0.47175149999999999</v>
      </c>
      <c r="AB212" s="3">
        <v>0.47184870000000001</v>
      </c>
      <c r="AC212" s="3">
        <v>0.47207880000000002</v>
      </c>
      <c r="AD212" s="3">
        <v>0.47243180000000001</v>
      </c>
      <c r="AE212" s="3">
        <v>0.47289920000000002</v>
      </c>
      <c r="AF212" s="3">
        <v>0.47347289999999997</v>
      </c>
      <c r="AG212" s="3">
        <v>0.47414440000000002</v>
      </c>
      <c r="AH212" s="3">
        <v>0.47490529999999997</v>
      </c>
      <c r="AI212" s="3">
        <v>0.47574739999999999</v>
      </c>
      <c r="AJ212" s="3">
        <v>0.47666229999999998</v>
      </c>
      <c r="AK212" s="3">
        <v>0.4776417</v>
      </c>
      <c r="AL212" s="3">
        <v>0.47867710000000002</v>
      </c>
      <c r="AM212" s="3">
        <v>0.47976039999999998</v>
      </c>
      <c r="AN212" s="3">
        <v>0.480883</v>
      </c>
      <c r="AO212" s="3">
        <v>0.48203770000000001</v>
      </c>
      <c r="AP212" s="3">
        <v>0.48322159999999997</v>
      </c>
      <c r="AQ212" s="3">
        <v>0.484433</v>
      </c>
      <c r="AR212" s="3">
        <v>0.4856702</v>
      </c>
      <c r="AS212" s="3">
        <v>0.48693150000000002</v>
      </c>
      <c r="AT212" s="3">
        <v>0.48821530000000002</v>
      </c>
      <c r="AU212" s="3">
        <v>0.4895198</v>
      </c>
      <c r="AV212" s="3">
        <v>0.49084339999999999</v>
      </c>
      <c r="AW212" s="3">
        <v>0.49218440000000002</v>
      </c>
      <c r="AX212" s="3">
        <v>0.49354110000000001</v>
      </c>
      <c r="AY212" s="3">
        <v>0.49491190000000002</v>
      </c>
      <c r="AZ212" s="3">
        <v>0.49629499999999999</v>
      </c>
      <c r="BA212" s="3">
        <v>0.49768950000000001</v>
      </c>
      <c r="BB212" s="3">
        <v>0.49909809999999999</v>
      </c>
      <c r="BC212" s="3">
        <v>0.50052479999999999</v>
      </c>
      <c r="BD212" s="3">
        <v>0.50197360000000002</v>
      </c>
      <c r="BE212" s="3">
        <v>0.50344860000000002</v>
      </c>
      <c r="BF212" s="3">
        <v>0.50495380000000001</v>
      </c>
      <c r="BG212" s="3">
        <v>0.50649310000000003</v>
      </c>
      <c r="BH212" s="3">
        <v>0.50807049999999998</v>
      </c>
      <c r="BI212" s="3">
        <v>0.50969010000000003</v>
      </c>
      <c r="BJ212" s="3">
        <v>0.51135589999999997</v>
      </c>
      <c r="BK212" s="3">
        <v>0.51307190000000003</v>
      </c>
      <c r="BL212" s="3">
        <v>0.51484209999999997</v>
      </c>
      <c r="BM212" s="3" t="e">
        <v>#N/A</v>
      </c>
      <c r="BN212" s="3" t="e">
        <v>#N/A</v>
      </c>
    </row>
    <row r="213" spans="1:66" x14ac:dyDescent="0.35">
      <c r="A213" s="5">
        <f t="shared" si="3"/>
        <v>43753</v>
      </c>
      <c r="B213" t="s">
        <v>290</v>
      </c>
      <c r="C213" s="2">
        <v>0.75</v>
      </c>
      <c r="D213" s="2">
        <v>0.71109999999999995</v>
      </c>
      <c r="E213" s="3">
        <v>0.68667109999999998</v>
      </c>
      <c r="F213" s="3">
        <v>0.66091999999999995</v>
      </c>
      <c r="G213" s="3">
        <v>0.63946230000000004</v>
      </c>
      <c r="H213" s="3">
        <v>0.62144820000000001</v>
      </c>
      <c r="I213" s="3">
        <v>0.60429409999999995</v>
      </c>
      <c r="J213" s="3">
        <v>0.58790819999999999</v>
      </c>
      <c r="K213" s="3">
        <v>0.57293859999999996</v>
      </c>
      <c r="L213" s="3">
        <v>0.55977560000000004</v>
      </c>
      <c r="M213" s="3">
        <v>0.54847559999999995</v>
      </c>
      <c r="N213" s="3">
        <v>0.53886990000000001</v>
      </c>
      <c r="O213" s="3">
        <v>0.53083480000000005</v>
      </c>
      <c r="P213" s="3">
        <v>0.52430549999999998</v>
      </c>
      <c r="Q213" s="3">
        <v>0.51907539999999996</v>
      </c>
      <c r="R213" s="3">
        <v>0.51498429999999995</v>
      </c>
      <c r="S213" s="3">
        <v>0.51189969999999996</v>
      </c>
      <c r="T213" s="3">
        <v>0.50968899999999995</v>
      </c>
      <c r="U213" s="3">
        <v>0.50821970000000005</v>
      </c>
      <c r="V213" s="3">
        <v>0.50735940000000002</v>
      </c>
      <c r="W213" s="3">
        <v>0.50698659999999995</v>
      </c>
      <c r="X213" s="3">
        <v>0.50702670000000005</v>
      </c>
      <c r="Y213" s="3">
        <v>0.50741729999999996</v>
      </c>
      <c r="Z213" s="3">
        <v>0.50809599999999999</v>
      </c>
      <c r="AA213" s="3">
        <v>0.50900020000000001</v>
      </c>
      <c r="AB213" s="3">
        <v>0.51006770000000001</v>
      </c>
      <c r="AC213" s="3">
        <v>0.51124440000000004</v>
      </c>
      <c r="AD213" s="3">
        <v>0.51251310000000005</v>
      </c>
      <c r="AE213" s="3">
        <v>0.51386679999999996</v>
      </c>
      <c r="AF213" s="3">
        <v>0.51529860000000005</v>
      </c>
      <c r="AG213" s="3">
        <v>0.51680159999999997</v>
      </c>
      <c r="AH213" s="3">
        <v>0.51836870000000002</v>
      </c>
      <c r="AI213" s="3">
        <v>0.51999309999999999</v>
      </c>
      <c r="AJ213" s="3">
        <v>0.52166769999999996</v>
      </c>
      <c r="AK213" s="3">
        <v>0.52338560000000001</v>
      </c>
      <c r="AL213" s="3">
        <v>0.52513980000000005</v>
      </c>
      <c r="AM213" s="3">
        <v>0.52692340000000004</v>
      </c>
      <c r="AN213" s="3">
        <v>0.52872940000000002</v>
      </c>
      <c r="AO213" s="3">
        <v>0.53055189999999997</v>
      </c>
      <c r="AP213" s="3">
        <v>0.53239049999999999</v>
      </c>
      <c r="AQ213" s="3">
        <v>0.53424680000000002</v>
      </c>
      <c r="AR213" s="3">
        <v>0.5361224</v>
      </c>
      <c r="AS213" s="3">
        <v>0.53801880000000002</v>
      </c>
      <c r="AT213" s="3">
        <v>0.53993760000000002</v>
      </c>
      <c r="AU213" s="3">
        <v>0.54188029999999998</v>
      </c>
      <c r="AV213" s="3">
        <v>0.54384849999999996</v>
      </c>
      <c r="AW213" s="3">
        <v>0.54584370000000004</v>
      </c>
      <c r="AX213" s="3">
        <v>0.54786749999999995</v>
      </c>
      <c r="AY213" s="3">
        <v>0.5499214</v>
      </c>
      <c r="AZ213" s="3">
        <v>0.55200700000000003</v>
      </c>
      <c r="BA213" s="3">
        <v>0.5541258</v>
      </c>
      <c r="BB213" s="3">
        <v>0.55627890000000002</v>
      </c>
      <c r="BC213" s="3">
        <v>0.55846720000000005</v>
      </c>
      <c r="BD213" s="3">
        <v>0.56069190000000002</v>
      </c>
      <c r="BE213" s="3">
        <v>0.56295390000000001</v>
      </c>
      <c r="BF213" s="3">
        <v>0.56525429999999999</v>
      </c>
      <c r="BG213" s="3">
        <v>0.56759400000000004</v>
      </c>
      <c r="BH213" s="3">
        <v>0.56997399999999998</v>
      </c>
      <c r="BI213" s="3">
        <v>0.5723954</v>
      </c>
      <c r="BJ213" s="3">
        <v>0.57485920000000001</v>
      </c>
      <c r="BK213" s="3">
        <v>0.57736639999999995</v>
      </c>
      <c r="BL213" s="3">
        <v>0.57991800000000004</v>
      </c>
      <c r="BM213" s="3" t="e">
        <v>#N/A</v>
      </c>
      <c r="BN213" s="3" t="e">
        <v>#N/A</v>
      </c>
    </row>
    <row r="214" spans="1:66" x14ac:dyDescent="0.35">
      <c r="A214" s="5">
        <f t="shared" si="3"/>
        <v>43754</v>
      </c>
      <c r="B214" t="s">
        <v>291</v>
      </c>
      <c r="C214" s="2">
        <v>0.75</v>
      </c>
      <c r="D214" s="2">
        <v>0.71089999999999998</v>
      </c>
      <c r="E214" s="3">
        <v>0.69438509999999998</v>
      </c>
      <c r="F214" s="3">
        <v>0.67878110000000003</v>
      </c>
      <c r="G214" s="3">
        <v>0.65951040000000005</v>
      </c>
      <c r="H214" s="3">
        <v>0.6419724</v>
      </c>
      <c r="I214" s="3">
        <v>0.62889379999999995</v>
      </c>
      <c r="J214" s="3">
        <v>0.61846199999999996</v>
      </c>
      <c r="K214" s="3">
        <v>0.60851849999999996</v>
      </c>
      <c r="L214" s="3">
        <v>0.59860950000000002</v>
      </c>
      <c r="M214" s="3">
        <v>0.58893269999999998</v>
      </c>
      <c r="N214" s="3">
        <v>0.57969210000000004</v>
      </c>
      <c r="O214" s="3">
        <v>0.571044</v>
      </c>
      <c r="P214" s="3">
        <v>0.56311100000000003</v>
      </c>
      <c r="Q214" s="3">
        <v>0.55588029999999999</v>
      </c>
      <c r="R214" s="3">
        <v>0.54937179999999997</v>
      </c>
      <c r="S214" s="3">
        <v>0.54362670000000002</v>
      </c>
      <c r="T214" s="3">
        <v>0.53868629999999995</v>
      </c>
      <c r="U214" s="3">
        <v>0.5345917</v>
      </c>
      <c r="V214" s="3">
        <v>0.53138419999999997</v>
      </c>
      <c r="W214" s="3">
        <v>0.52907769999999998</v>
      </c>
      <c r="X214" s="3">
        <v>0.52757160000000003</v>
      </c>
      <c r="Y214" s="3">
        <v>0.52673510000000001</v>
      </c>
      <c r="Z214" s="3">
        <v>0.5264375</v>
      </c>
      <c r="AA214" s="3">
        <v>0.52654800000000002</v>
      </c>
      <c r="AB214" s="3">
        <v>0.52693579999999995</v>
      </c>
      <c r="AC214" s="3">
        <v>0.52748470000000003</v>
      </c>
      <c r="AD214" s="3">
        <v>0.52815679999999998</v>
      </c>
      <c r="AE214" s="3">
        <v>0.52894050000000004</v>
      </c>
      <c r="AF214" s="3">
        <v>0.52982399999999996</v>
      </c>
      <c r="AG214" s="3">
        <v>0.53079569999999998</v>
      </c>
      <c r="AH214" s="3">
        <v>0.53184390000000004</v>
      </c>
      <c r="AI214" s="3">
        <v>0.53295700000000001</v>
      </c>
      <c r="AJ214" s="3">
        <v>0.53412340000000003</v>
      </c>
      <c r="AK214" s="3">
        <v>0.53533129999999995</v>
      </c>
      <c r="AL214" s="3">
        <v>0.53656910000000002</v>
      </c>
      <c r="AM214" s="3">
        <v>0.5378252</v>
      </c>
      <c r="AN214" s="3">
        <v>0.53908789999999995</v>
      </c>
      <c r="AO214" s="3">
        <v>0.5403483</v>
      </c>
      <c r="AP214" s="3">
        <v>0.54161090000000001</v>
      </c>
      <c r="AQ214" s="3">
        <v>0.54288440000000004</v>
      </c>
      <c r="AR214" s="3">
        <v>0.54417729999999997</v>
      </c>
      <c r="AS214" s="3">
        <v>0.54549840000000005</v>
      </c>
      <c r="AT214" s="3">
        <v>0.54685609999999996</v>
      </c>
      <c r="AU214" s="3">
        <v>0.5482593</v>
      </c>
      <c r="AV214" s="3">
        <v>0.54971639999999999</v>
      </c>
      <c r="AW214" s="3">
        <v>0.55123610000000001</v>
      </c>
      <c r="AX214" s="3">
        <v>0.55282710000000002</v>
      </c>
      <c r="AY214" s="3">
        <v>0.55449789999999999</v>
      </c>
      <c r="AZ214" s="3">
        <v>0.55625720000000001</v>
      </c>
      <c r="BA214" s="3">
        <v>0.55811200000000005</v>
      </c>
      <c r="BB214" s="3">
        <v>0.56006259999999997</v>
      </c>
      <c r="BC214" s="3">
        <v>0.56210729999999998</v>
      </c>
      <c r="BD214" s="3">
        <v>0.56424439999999998</v>
      </c>
      <c r="BE214" s="3">
        <v>0.56647219999999998</v>
      </c>
      <c r="BF214" s="3">
        <v>0.56878890000000004</v>
      </c>
      <c r="BG214" s="3">
        <v>0.57119310000000001</v>
      </c>
      <c r="BH214" s="3">
        <v>0.57368280000000005</v>
      </c>
      <c r="BI214" s="3">
        <v>0.57625660000000001</v>
      </c>
      <c r="BJ214" s="3">
        <v>0.5789126</v>
      </c>
      <c r="BK214" s="3">
        <v>0.58164919999999998</v>
      </c>
      <c r="BL214" s="3">
        <v>0.58446469999999995</v>
      </c>
      <c r="BM214" s="3" t="e">
        <v>#N/A</v>
      </c>
      <c r="BN214" s="3" t="e">
        <v>#N/A</v>
      </c>
    </row>
    <row r="215" spans="1:66" x14ac:dyDescent="0.35">
      <c r="A215" s="5">
        <f t="shared" si="3"/>
        <v>43755</v>
      </c>
      <c r="B215" t="s">
        <v>292</v>
      </c>
      <c r="C215" s="2">
        <v>0.75</v>
      </c>
      <c r="D215" s="2">
        <v>0.7107</v>
      </c>
      <c r="E215" s="3">
        <v>0.69201829999999998</v>
      </c>
      <c r="F215" s="3">
        <v>0.66864860000000004</v>
      </c>
      <c r="G215" s="3">
        <v>0.64787550000000005</v>
      </c>
      <c r="H215" s="3">
        <v>0.63097829999999999</v>
      </c>
      <c r="I215" s="3">
        <v>0.61609119999999995</v>
      </c>
      <c r="J215" s="3">
        <v>0.60255519999999996</v>
      </c>
      <c r="K215" s="3">
        <v>0.59028199999999997</v>
      </c>
      <c r="L215" s="3">
        <v>0.57933520000000005</v>
      </c>
      <c r="M215" s="3">
        <v>0.56974349999999996</v>
      </c>
      <c r="N215" s="3">
        <v>0.56144959999999999</v>
      </c>
      <c r="O215" s="3">
        <v>0.55450319999999997</v>
      </c>
      <c r="P215" s="3">
        <v>0.54891820000000002</v>
      </c>
      <c r="Q215" s="3">
        <v>0.54467699999999997</v>
      </c>
      <c r="R215" s="3">
        <v>0.54160810000000004</v>
      </c>
      <c r="S215" s="3">
        <v>0.53948669999999999</v>
      </c>
      <c r="T215" s="3">
        <v>0.53808769999999995</v>
      </c>
      <c r="U215" s="3">
        <v>0.53718619999999995</v>
      </c>
      <c r="V215" s="3">
        <v>0.53655719999999996</v>
      </c>
      <c r="W215" s="3">
        <v>0.53600110000000001</v>
      </c>
      <c r="X215" s="3">
        <v>0.53544899999999995</v>
      </c>
      <c r="Y215" s="3">
        <v>0.5348733</v>
      </c>
      <c r="Z215" s="3">
        <v>0.53424669999999996</v>
      </c>
      <c r="AA215" s="3">
        <v>0.53354170000000001</v>
      </c>
      <c r="AB215" s="3">
        <v>0.53273090000000001</v>
      </c>
      <c r="AC215" s="3">
        <v>0.53179560000000003</v>
      </c>
      <c r="AD215" s="3">
        <v>0.53076040000000002</v>
      </c>
      <c r="AE215" s="3">
        <v>0.52966279999999999</v>
      </c>
      <c r="AF215" s="3">
        <v>0.52854029999999996</v>
      </c>
      <c r="AG215" s="3">
        <v>0.52743050000000002</v>
      </c>
      <c r="AH215" s="3">
        <v>0.52637089999999997</v>
      </c>
      <c r="AI215" s="3">
        <v>0.52539910000000001</v>
      </c>
      <c r="AJ215" s="3">
        <v>0.52455260000000004</v>
      </c>
      <c r="AK215" s="3">
        <v>0.52386889999999997</v>
      </c>
      <c r="AL215" s="3">
        <v>0.52338560000000001</v>
      </c>
      <c r="AM215" s="3">
        <v>0.5231403</v>
      </c>
      <c r="AN215" s="3">
        <v>0.52317049999999998</v>
      </c>
      <c r="AO215" s="3">
        <v>0.52350589999999997</v>
      </c>
      <c r="AP215" s="3">
        <v>0.52414190000000005</v>
      </c>
      <c r="AQ215" s="3">
        <v>0.52506439999999999</v>
      </c>
      <c r="AR215" s="3">
        <v>0.52625920000000004</v>
      </c>
      <c r="AS215" s="3">
        <v>0.52771230000000002</v>
      </c>
      <c r="AT215" s="3">
        <v>0.52940949999999998</v>
      </c>
      <c r="AU215" s="3">
        <v>0.5313367</v>
      </c>
      <c r="AV215" s="3">
        <v>0.53347979999999995</v>
      </c>
      <c r="AW215" s="3">
        <v>0.53582470000000004</v>
      </c>
      <c r="AX215" s="3">
        <v>0.53835710000000003</v>
      </c>
      <c r="AY215" s="3">
        <v>0.54106310000000002</v>
      </c>
      <c r="AZ215" s="3">
        <v>0.54392850000000004</v>
      </c>
      <c r="BA215" s="3">
        <v>0.5469406</v>
      </c>
      <c r="BB215" s="3">
        <v>0.55009260000000004</v>
      </c>
      <c r="BC215" s="3">
        <v>0.55337950000000002</v>
      </c>
      <c r="BD215" s="3">
        <v>0.55679630000000002</v>
      </c>
      <c r="BE215" s="3">
        <v>0.560338</v>
      </c>
      <c r="BF215" s="3">
        <v>0.56399960000000005</v>
      </c>
      <c r="BG215" s="3">
        <v>0.56777599999999995</v>
      </c>
      <c r="BH215" s="3">
        <v>0.57166229999999996</v>
      </c>
      <c r="BI215" s="3">
        <v>0.57565339999999998</v>
      </c>
      <c r="BJ215" s="3">
        <v>0.57974420000000004</v>
      </c>
      <c r="BK215" s="3">
        <v>0.5839299</v>
      </c>
      <c r="BL215" s="3">
        <v>0.58820519999999998</v>
      </c>
      <c r="BM215" s="3" t="e">
        <v>#N/A</v>
      </c>
      <c r="BN215" s="3" t="e">
        <v>#N/A</v>
      </c>
    </row>
    <row r="216" spans="1:66" x14ac:dyDescent="0.35">
      <c r="A216" s="5">
        <f t="shared" si="3"/>
        <v>43756</v>
      </c>
      <c r="B216" t="s">
        <v>293</v>
      </c>
      <c r="C216" s="2">
        <v>0.75</v>
      </c>
      <c r="D216" s="2">
        <v>0.71009999999999995</v>
      </c>
      <c r="E216" s="3">
        <v>0.68943549999999998</v>
      </c>
      <c r="F216" s="3">
        <v>0.66428010000000004</v>
      </c>
      <c r="G216" s="3">
        <v>0.64268720000000001</v>
      </c>
      <c r="H216" s="3">
        <v>0.6269496</v>
      </c>
      <c r="I216" s="3">
        <v>0.61487879999999995</v>
      </c>
      <c r="J216" s="3">
        <v>0.60461379999999998</v>
      </c>
      <c r="K216" s="3">
        <v>0.59511979999999998</v>
      </c>
      <c r="L216" s="3">
        <v>0.58605929999999995</v>
      </c>
      <c r="M216" s="3">
        <v>0.57747539999999997</v>
      </c>
      <c r="N216" s="3">
        <v>0.56957409999999997</v>
      </c>
      <c r="O216" s="3">
        <v>0.56262670000000004</v>
      </c>
      <c r="P216" s="3">
        <v>0.55686999999999998</v>
      </c>
      <c r="Q216" s="3">
        <v>0.55257639999999997</v>
      </c>
      <c r="R216" s="3">
        <v>0.54965419999999998</v>
      </c>
      <c r="S216" s="3">
        <v>0.54788820000000005</v>
      </c>
      <c r="T216" s="3">
        <v>0.54706350000000004</v>
      </c>
      <c r="U216" s="3">
        <v>0.54696500000000003</v>
      </c>
      <c r="V216" s="3">
        <v>0.54737749999999996</v>
      </c>
      <c r="W216" s="3">
        <v>0.54810479999999995</v>
      </c>
      <c r="X216" s="3">
        <v>0.54903729999999995</v>
      </c>
      <c r="Y216" s="3">
        <v>0.55009050000000004</v>
      </c>
      <c r="Z216" s="3">
        <v>0.55118</v>
      </c>
      <c r="AA216" s="3">
        <v>0.55222139999999997</v>
      </c>
      <c r="AB216" s="3">
        <v>0.55313029999999996</v>
      </c>
      <c r="AC216" s="3">
        <v>0.55383870000000002</v>
      </c>
      <c r="AD216" s="3">
        <v>0.55435230000000002</v>
      </c>
      <c r="AE216" s="3">
        <v>0.55469659999999998</v>
      </c>
      <c r="AF216" s="3">
        <v>0.55489739999999999</v>
      </c>
      <c r="AG216" s="3">
        <v>0.55498020000000003</v>
      </c>
      <c r="AH216" s="3">
        <v>0.55497070000000004</v>
      </c>
      <c r="AI216" s="3">
        <v>0.55489469999999996</v>
      </c>
      <c r="AJ216" s="3">
        <v>0.55477770000000004</v>
      </c>
      <c r="AK216" s="3">
        <v>0.55464539999999996</v>
      </c>
      <c r="AL216" s="3">
        <v>0.55452349999999995</v>
      </c>
      <c r="AM216" s="3">
        <v>0.55443770000000003</v>
      </c>
      <c r="AN216" s="3">
        <v>0.55441359999999995</v>
      </c>
      <c r="AO216" s="3">
        <v>0.55447460000000004</v>
      </c>
      <c r="AP216" s="3">
        <v>0.55463390000000001</v>
      </c>
      <c r="AQ216" s="3">
        <v>0.55490170000000005</v>
      </c>
      <c r="AR216" s="3">
        <v>0.55528849999999996</v>
      </c>
      <c r="AS216" s="3">
        <v>0.55580459999999998</v>
      </c>
      <c r="AT216" s="3">
        <v>0.55646030000000002</v>
      </c>
      <c r="AU216" s="3">
        <v>0.55726600000000004</v>
      </c>
      <c r="AV216" s="3">
        <v>0.55823219999999996</v>
      </c>
      <c r="AW216" s="3">
        <v>0.55936900000000001</v>
      </c>
      <c r="AX216" s="3">
        <v>0.56068689999999999</v>
      </c>
      <c r="AY216" s="3">
        <v>0.56219620000000003</v>
      </c>
      <c r="AZ216" s="3">
        <v>0.5639073</v>
      </c>
      <c r="BA216" s="3">
        <v>0.56582730000000003</v>
      </c>
      <c r="BB216" s="3">
        <v>0.56794960000000005</v>
      </c>
      <c r="BC216" s="3">
        <v>0.57026330000000003</v>
      </c>
      <c r="BD216" s="3">
        <v>0.57275799999999999</v>
      </c>
      <c r="BE216" s="3">
        <v>0.57542300000000002</v>
      </c>
      <c r="BF216" s="3">
        <v>0.57824750000000003</v>
      </c>
      <c r="BG216" s="3">
        <v>0.58122110000000005</v>
      </c>
      <c r="BH216" s="3">
        <v>0.58433290000000004</v>
      </c>
      <c r="BI216" s="3">
        <v>0.58757250000000005</v>
      </c>
      <c r="BJ216" s="3">
        <v>0.59092920000000004</v>
      </c>
      <c r="BK216" s="3">
        <v>0.59439220000000004</v>
      </c>
      <c r="BL216" s="3">
        <v>0.59795109999999996</v>
      </c>
      <c r="BM216" s="3" t="e">
        <v>#N/A</v>
      </c>
      <c r="BN216" s="3" t="e">
        <v>#N/A</v>
      </c>
    </row>
    <row r="217" spans="1:66" x14ac:dyDescent="0.35">
      <c r="A217" s="5">
        <f t="shared" si="3"/>
        <v>43759</v>
      </c>
      <c r="B217" t="s">
        <v>294</v>
      </c>
      <c r="C217" s="2">
        <v>0.75</v>
      </c>
      <c r="D217" s="2">
        <v>0.71109999999999995</v>
      </c>
      <c r="E217" s="3">
        <v>0.6919691</v>
      </c>
      <c r="F217" s="3">
        <v>0.66887819999999998</v>
      </c>
      <c r="G217" s="3">
        <v>0.64736079999999996</v>
      </c>
      <c r="H217" s="3">
        <v>0.6311312</v>
      </c>
      <c r="I217" s="3">
        <v>0.61931259999999999</v>
      </c>
      <c r="J217" s="3">
        <v>0.61054529999999996</v>
      </c>
      <c r="K217" s="3">
        <v>0.60379119999999997</v>
      </c>
      <c r="L217" s="3">
        <v>0.59828749999999997</v>
      </c>
      <c r="M217" s="3">
        <v>0.5936264</v>
      </c>
      <c r="N217" s="3">
        <v>0.58964470000000002</v>
      </c>
      <c r="O217" s="3">
        <v>0.58640119999999996</v>
      </c>
      <c r="P217" s="3">
        <v>0.58397319999999997</v>
      </c>
      <c r="Q217" s="3">
        <v>0.58241069999999995</v>
      </c>
      <c r="R217" s="3">
        <v>0.58163319999999996</v>
      </c>
      <c r="S217" s="3">
        <v>0.58152329999999997</v>
      </c>
      <c r="T217" s="3">
        <v>0.58196349999999997</v>
      </c>
      <c r="U217" s="3">
        <v>0.58283649999999998</v>
      </c>
      <c r="V217" s="3">
        <v>0.58402480000000001</v>
      </c>
      <c r="W217" s="3">
        <v>0.58542019999999995</v>
      </c>
      <c r="X217" s="3">
        <v>0.58695359999999996</v>
      </c>
      <c r="Y217" s="3">
        <v>0.58856620000000004</v>
      </c>
      <c r="Z217" s="3">
        <v>0.59019880000000002</v>
      </c>
      <c r="AA217" s="3">
        <v>0.5917926</v>
      </c>
      <c r="AB217" s="3">
        <v>0.59328860000000005</v>
      </c>
      <c r="AC217" s="3">
        <v>0.59463909999999998</v>
      </c>
      <c r="AD217" s="3">
        <v>0.59584559999999998</v>
      </c>
      <c r="AE217" s="3">
        <v>0.59692330000000005</v>
      </c>
      <c r="AF217" s="3">
        <v>0.59788730000000001</v>
      </c>
      <c r="AG217" s="3">
        <v>0.59875279999999997</v>
      </c>
      <c r="AH217" s="3">
        <v>0.59953489999999998</v>
      </c>
      <c r="AI217" s="3">
        <v>0.60024880000000003</v>
      </c>
      <c r="AJ217" s="3">
        <v>0.60090969999999999</v>
      </c>
      <c r="AK217" s="3">
        <v>0.60153270000000003</v>
      </c>
      <c r="AL217" s="3">
        <v>0.60213300000000003</v>
      </c>
      <c r="AM217" s="3">
        <v>0.60272570000000003</v>
      </c>
      <c r="AN217" s="3">
        <v>0.60332600000000003</v>
      </c>
      <c r="AO217" s="3">
        <v>0.60394829999999999</v>
      </c>
      <c r="AP217" s="3">
        <v>0.60460440000000004</v>
      </c>
      <c r="AQ217" s="3">
        <v>0.60530510000000004</v>
      </c>
      <c r="AR217" s="3">
        <v>0.60606130000000003</v>
      </c>
      <c r="AS217" s="3">
        <v>0.60688370000000003</v>
      </c>
      <c r="AT217" s="3">
        <v>0.60778330000000003</v>
      </c>
      <c r="AU217" s="3">
        <v>0.6087709</v>
      </c>
      <c r="AV217" s="3">
        <v>0.60985730000000005</v>
      </c>
      <c r="AW217" s="3">
        <v>0.61105350000000003</v>
      </c>
      <c r="AX217" s="3">
        <v>0.61237030000000003</v>
      </c>
      <c r="AY217" s="3">
        <v>0.61381839999999999</v>
      </c>
      <c r="AZ217" s="3">
        <v>0.61540890000000004</v>
      </c>
      <c r="BA217" s="3">
        <v>0.61715059999999999</v>
      </c>
      <c r="BB217" s="3">
        <v>0.61904239999999999</v>
      </c>
      <c r="BC217" s="3">
        <v>0.62107979999999996</v>
      </c>
      <c r="BD217" s="3">
        <v>0.62325810000000004</v>
      </c>
      <c r="BE217" s="3">
        <v>0.62557289999999999</v>
      </c>
      <c r="BF217" s="3">
        <v>0.62801960000000001</v>
      </c>
      <c r="BG217" s="3">
        <v>0.63059370000000003</v>
      </c>
      <c r="BH217" s="3">
        <v>0.63329049999999998</v>
      </c>
      <c r="BI217" s="3">
        <v>0.63610549999999999</v>
      </c>
      <c r="BJ217" s="3">
        <v>0.63903430000000006</v>
      </c>
      <c r="BK217" s="3">
        <v>0.64207210000000003</v>
      </c>
      <c r="BL217" s="3">
        <v>0.64521459999999997</v>
      </c>
      <c r="BM217" s="3" t="e">
        <v>#N/A</v>
      </c>
      <c r="BN217" s="3" t="e">
        <v>#N/A</v>
      </c>
    </row>
    <row r="218" spans="1:66" x14ac:dyDescent="0.35">
      <c r="A218" s="5">
        <f t="shared" si="3"/>
        <v>43760</v>
      </c>
      <c r="B218" t="s">
        <v>295</v>
      </c>
      <c r="C218" s="2">
        <v>0.75</v>
      </c>
      <c r="D218" s="2">
        <v>0.71160000000000001</v>
      </c>
      <c r="E218" s="3">
        <v>0.68939399999999995</v>
      </c>
      <c r="F218" s="3">
        <v>0.6635124</v>
      </c>
      <c r="G218" s="3">
        <v>0.63985349999999996</v>
      </c>
      <c r="H218" s="3">
        <v>0.62238380000000004</v>
      </c>
      <c r="I218" s="3">
        <v>0.60974200000000001</v>
      </c>
      <c r="J218" s="3">
        <v>0.59987290000000004</v>
      </c>
      <c r="K218" s="3">
        <v>0.5915378</v>
      </c>
      <c r="L218" s="3">
        <v>0.58412649999999999</v>
      </c>
      <c r="M218" s="3">
        <v>0.57749629999999996</v>
      </c>
      <c r="N218" s="3">
        <v>0.57171349999999999</v>
      </c>
      <c r="O218" s="3">
        <v>0.5669284</v>
      </c>
      <c r="P218" s="3">
        <v>0.56326869999999996</v>
      </c>
      <c r="Q218" s="3">
        <v>0.56073139999999999</v>
      </c>
      <c r="R218" s="3">
        <v>0.55918440000000003</v>
      </c>
      <c r="S218" s="3">
        <v>0.55846850000000003</v>
      </c>
      <c r="T218" s="3">
        <v>0.55842429999999998</v>
      </c>
      <c r="U218" s="3">
        <v>0.55889250000000001</v>
      </c>
      <c r="V218" s="3">
        <v>0.55971389999999999</v>
      </c>
      <c r="W218" s="3">
        <v>0.56074290000000004</v>
      </c>
      <c r="X218" s="3">
        <v>0.56189250000000002</v>
      </c>
      <c r="Y218" s="3">
        <v>0.56309070000000006</v>
      </c>
      <c r="Z218" s="3">
        <v>0.56426589999999999</v>
      </c>
      <c r="AA218" s="3">
        <v>0.56534600000000002</v>
      </c>
      <c r="AB218" s="3">
        <v>0.56625939999999997</v>
      </c>
      <c r="AC218" s="3">
        <v>0.5669497</v>
      </c>
      <c r="AD218" s="3">
        <v>0.56742910000000002</v>
      </c>
      <c r="AE218" s="3">
        <v>0.56772889999999998</v>
      </c>
      <c r="AF218" s="3">
        <v>0.56788019999999995</v>
      </c>
      <c r="AG218" s="3">
        <v>0.56791420000000004</v>
      </c>
      <c r="AH218" s="3">
        <v>0.56786219999999998</v>
      </c>
      <c r="AI218" s="3">
        <v>0.56775520000000002</v>
      </c>
      <c r="AJ218" s="3">
        <v>0.56762449999999998</v>
      </c>
      <c r="AK218" s="3">
        <v>0.56750129999999999</v>
      </c>
      <c r="AL218" s="3">
        <v>0.5674167</v>
      </c>
      <c r="AM218" s="3">
        <v>0.56740190000000001</v>
      </c>
      <c r="AN218" s="3">
        <v>0.5674882</v>
      </c>
      <c r="AO218" s="3">
        <v>0.5677027</v>
      </c>
      <c r="AP218" s="3">
        <v>0.56805190000000005</v>
      </c>
      <c r="AQ218" s="3">
        <v>0.56853489999999995</v>
      </c>
      <c r="AR218" s="3">
        <v>0.56915099999999996</v>
      </c>
      <c r="AS218" s="3">
        <v>0.5698995</v>
      </c>
      <c r="AT218" s="3">
        <v>0.57077960000000005</v>
      </c>
      <c r="AU218" s="3">
        <v>0.57179060000000004</v>
      </c>
      <c r="AV218" s="3">
        <v>0.57293159999999999</v>
      </c>
      <c r="AW218" s="3">
        <v>0.57420210000000005</v>
      </c>
      <c r="AX218" s="3">
        <v>0.57560109999999998</v>
      </c>
      <c r="AY218" s="3">
        <v>0.57712810000000003</v>
      </c>
      <c r="AZ218" s="3">
        <v>0.57878209999999997</v>
      </c>
      <c r="BA218" s="3">
        <v>0.58056220000000003</v>
      </c>
      <c r="BB218" s="3">
        <v>0.58246560000000003</v>
      </c>
      <c r="BC218" s="3">
        <v>0.58448929999999999</v>
      </c>
      <c r="BD218" s="3">
        <v>0.58662999999999998</v>
      </c>
      <c r="BE218" s="3">
        <v>0.58888450000000003</v>
      </c>
      <c r="BF218" s="3">
        <v>0.59124969999999999</v>
      </c>
      <c r="BG218" s="3">
        <v>0.59372239999999998</v>
      </c>
      <c r="BH218" s="3">
        <v>0.59629949999999998</v>
      </c>
      <c r="BI218" s="3">
        <v>0.5989778</v>
      </c>
      <c r="BJ218" s="3">
        <v>0.60175400000000001</v>
      </c>
      <c r="BK218" s="3">
        <v>0.60462519999999997</v>
      </c>
      <c r="BL218" s="3">
        <v>0.60758789999999996</v>
      </c>
      <c r="BM218" s="3" t="e">
        <v>#N/A</v>
      </c>
      <c r="BN218" s="3" t="e">
        <v>#N/A</v>
      </c>
    </row>
    <row r="219" spans="1:66" x14ac:dyDescent="0.35">
      <c r="A219" s="5">
        <f t="shared" si="3"/>
        <v>43761</v>
      </c>
      <c r="B219" t="s">
        <v>296</v>
      </c>
      <c r="C219" s="2">
        <v>0.75</v>
      </c>
      <c r="D219" s="2">
        <v>0.71240000000000003</v>
      </c>
      <c r="E219" s="3">
        <v>0.69229969999999996</v>
      </c>
      <c r="F219" s="3">
        <v>0.66972770000000004</v>
      </c>
      <c r="G219" s="3">
        <v>0.64806200000000003</v>
      </c>
      <c r="H219" s="3">
        <v>0.63021499999999997</v>
      </c>
      <c r="I219" s="3">
        <v>0.61519120000000005</v>
      </c>
      <c r="J219" s="3">
        <v>0.60196479999999997</v>
      </c>
      <c r="K219" s="3">
        <v>0.59008819999999995</v>
      </c>
      <c r="L219" s="3">
        <v>0.57947230000000005</v>
      </c>
      <c r="M219" s="3">
        <v>0.57023520000000005</v>
      </c>
      <c r="N219" s="3">
        <v>0.56248469999999995</v>
      </c>
      <c r="O219" s="3">
        <v>0.55632340000000002</v>
      </c>
      <c r="P219" s="3">
        <v>0.55173419999999995</v>
      </c>
      <c r="Q219" s="3">
        <v>0.54848969999999997</v>
      </c>
      <c r="R219" s="3">
        <v>0.54636870000000004</v>
      </c>
      <c r="S219" s="3">
        <v>0.54516799999999999</v>
      </c>
      <c r="T219" s="3">
        <v>0.5446841</v>
      </c>
      <c r="U219" s="3">
        <v>0.54471369999999997</v>
      </c>
      <c r="V219" s="3">
        <v>0.54505349999999997</v>
      </c>
      <c r="W219" s="3">
        <v>0.54552630000000002</v>
      </c>
      <c r="X219" s="3">
        <v>0.54606469999999996</v>
      </c>
      <c r="Y219" s="3">
        <v>0.54663050000000002</v>
      </c>
      <c r="Z219" s="3">
        <v>0.54718520000000004</v>
      </c>
      <c r="AA219" s="3">
        <v>0.54769040000000002</v>
      </c>
      <c r="AB219" s="3">
        <v>0.54810769999999998</v>
      </c>
      <c r="AC219" s="3">
        <v>0.54840540000000004</v>
      </c>
      <c r="AD219" s="3">
        <v>0.54858700000000005</v>
      </c>
      <c r="AE219" s="3">
        <v>0.54866809999999999</v>
      </c>
      <c r="AF219" s="3">
        <v>0.54866429999999999</v>
      </c>
      <c r="AG219" s="3">
        <v>0.54859100000000005</v>
      </c>
      <c r="AH219" s="3">
        <v>0.54846379999999995</v>
      </c>
      <c r="AI219" s="3">
        <v>0.54829839999999996</v>
      </c>
      <c r="AJ219" s="3">
        <v>0.54811010000000004</v>
      </c>
      <c r="AK219" s="3">
        <v>0.54791449999999997</v>
      </c>
      <c r="AL219" s="3">
        <v>0.54772730000000003</v>
      </c>
      <c r="AM219" s="3">
        <v>0.54756380000000004</v>
      </c>
      <c r="AN219" s="3">
        <v>0.54743969999999997</v>
      </c>
      <c r="AO219" s="3">
        <v>0.54736929999999995</v>
      </c>
      <c r="AP219" s="3">
        <v>0.54736090000000004</v>
      </c>
      <c r="AQ219" s="3">
        <v>0.54742109999999999</v>
      </c>
      <c r="AR219" s="3">
        <v>0.5475563</v>
      </c>
      <c r="AS219" s="3">
        <v>0.54777299999999995</v>
      </c>
      <c r="AT219" s="3">
        <v>0.54807790000000001</v>
      </c>
      <c r="AU219" s="3">
        <v>0.54847729999999995</v>
      </c>
      <c r="AV219" s="3">
        <v>0.54897790000000002</v>
      </c>
      <c r="AW219" s="3">
        <v>0.54958609999999997</v>
      </c>
      <c r="AX219" s="3">
        <v>0.55030849999999998</v>
      </c>
      <c r="AY219" s="3">
        <v>0.55115159999999996</v>
      </c>
      <c r="AZ219" s="3">
        <v>0.55212190000000005</v>
      </c>
      <c r="BA219" s="3">
        <v>0.55322470000000001</v>
      </c>
      <c r="BB219" s="3">
        <v>0.55445949999999999</v>
      </c>
      <c r="BC219" s="3">
        <v>0.55582450000000005</v>
      </c>
      <c r="BD219" s="3">
        <v>0.55731779999999997</v>
      </c>
      <c r="BE219" s="3">
        <v>0.55893740000000003</v>
      </c>
      <c r="BF219" s="3">
        <v>0.56068150000000005</v>
      </c>
      <c r="BG219" s="3">
        <v>0.56254800000000005</v>
      </c>
      <c r="BH219" s="3">
        <v>0.56453520000000001</v>
      </c>
      <c r="BI219" s="3">
        <v>0.56664110000000001</v>
      </c>
      <c r="BJ219" s="3">
        <v>0.56886369999999997</v>
      </c>
      <c r="BK219" s="3">
        <v>0.57120119999999996</v>
      </c>
      <c r="BL219" s="3">
        <v>0.57365169999999999</v>
      </c>
      <c r="BM219" s="3" t="e">
        <v>#N/A</v>
      </c>
      <c r="BN219" s="3" t="e">
        <v>#N/A</v>
      </c>
    </row>
    <row r="220" spans="1:66" x14ac:dyDescent="0.35">
      <c r="A220" s="5">
        <f t="shared" si="3"/>
        <v>43762</v>
      </c>
      <c r="B220" t="s">
        <v>297</v>
      </c>
      <c r="C220" s="2">
        <v>0.75</v>
      </c>
      <c r="D220" s="2">
        <v>0.71079999999999999</v>
      </c>
      <c r="E220" s="3">
        <v>0.69259400000000004</v>
      </c>
      <c r="F220" s="3">
        <v>0.66912059999999995</v>
      </c>
      <c r="G220" s="3">
        <v>0.64602470000000001</v>
      </c>
      <c r="H220" s="3">
        <v>0.62596379999999996</v>
      </c>
      <c r="I220" s="3">
        <v>0.60716210000000004</v>
      </c>
      <c r="J220" s="3">
        <v>0.58827810000000003</v>
      </c>
      <c r="K220" s="3">
        <v>0.56932649999999996</v>
      </c>
      <c r="L220" s="3">
        <v>0.551369</v>
      </c>
      <c r="M220" s="3">
        <v>0.53548010000000001</v>
      </c>
      <c r="N220" s="3">
        <v>0.52208100000000002</v>
      </c>
      <c r="O220" s="3">
        <v>0.51134919999999995</v>
      </c>
      <c r="P220" s="3">
        <v>0.50314939999999997</v>
      </c>
      <c r="Q220" s="3">
        <v>0.49708560000000002</v>
      </c>
      <c r="R220" s="3">
        <v>0.4928033</v>
      </c>
      <c r="S220" s="3">
        <v>0.48998170000000002</v>
      </c>
      <c r="T220" s="3">
        <v>0.48830030000000002</v>
      </c>
      <c r="U220" s="3">
        <v>0.48743839999999999</v>
      </c>
      <c r="V220" s="3">
        <v>0.48707519999999999</v>
      </c>
      <c r="W220" s="3">
        <v>0.48692659999999999</v>
      </c>
      <c r="X220" s="3">
        <v>0.48689480000000002</v>
      </c>
      <c r="Y220" s="3">
        <v>0.48694150000000003</v>
      </c>
      <c r="Z220" s="3">
        <v>0.48702849999999998</v>
      </c>
      <c r="AA220" s="3">
        <v>0.48711769999999999</v>
      </c>
      <c r="AB220" s="3">
        <v>0.48717080000000001</v>
      </c>
      <c r="AC220" s="3">
        <v>0.4871569</v>
      </c>
      <c r="AD220" s="3">
        <v>0.48708059999999997</v>
      </c>
      <c r="AE220" s="3">
        <v>0.48695739999999998</v>
      </c>
      <c r="AF220" s="3">
        <v>0.48680279999999998</v>
      </c>
      <c r="AG220" s="3">
        <v>0.48663200000000001</v>
      </c>
      <c r="AH220" s="3">
        <v>0.48646060000000002</v>
      </c>
      <c r="AI220" s="3">
        <v>0.48630400000000001</v>
      </c>
      <c r="AJ220" s="3">
        <v>0.48617769999999999</v>
      </c>
      <c r="AK220" s="3">
        <v>0.486097</v>
      </c>
      <c r="AL220" s="3">
        <v>0.48607729999999999</v>
      </c>
      <c r="AM220" s="3">
        <v>0.48613420000000002</v>
      </c>
      <c r="AN220" s="3">
        <v>0.48628310000000002</v>
      </c>
      <c r="AO220" s="3">
        <v>0.486537</v>
      </c>
      <c r="AP220" s="3">
        <v>0.48689880000000002</v>
      </c>
      <c r="AQ220" s="3">
        <v>0.48736839999999998</v>
      </c>
      <c r="AR220" s="3">
        <v>0.48794599999999999</v>
      </c>
      <c r="AS220" s="3">
        <v>0.48863139999999999</v>
      </c>
      <c r="AT220" s="3">
        <v>0.48942469999999999</v>
      </c>
      <c r="AU220" s="3">
        <v>0.49032579999999998</v>
      </c>
      <c r="AV220" s="3">
        <v>0.49133480000000002</v>
      </c>
      <c r="AW220" s="3">
        <v>0.49245169999999999</v>
      </c>
      <c r="AX220" s="3">
        <v>0.49367640000000002</v>
      </c>
      <c r="AY220" s="3">
        <v>0.49500889999999997</v>
      </c>
      <c r="AZ220" s="3">
        <v>0.49644929999999998</v>
      </c>
      <c r="BA220" s="3">
        <v>0.49799749999999998</v>
      </c>
      <c r="BB220" s="3">
        <v>0.49965340000000003</v>
      </c>
      <c r="BC220" s="3">
        <v>0.50141659999999999</v>
      </c>
      <c r="BD220" s="3">
        <v>0.50328720000000005</v>
      </c>
      <c r="BE220" s="3">
        <v>0.50526479999999996</v>
      </c>
      <c r="BF220" s="3">
        <v>0.5073493</v>
      </c>
      <c r="BG220" s="3">
        <v>0.50954049999999995</v>
      </c>
      <c r="BH220" s="3">
        <v>0.51183809999999996</v>
      </c>
      <c r="BI220" s="3">
        <v>0.51424199999999998</v>
      </c>
      <c r="BJ220" s="3">
        <v>0.51675210000000005</v>
      </c>
      <c r="BK220" s="3">
        <v>0.51936800000000005</v>
      </c>
      <c r="BL220" s="3">
        <v>0.52208960000000004</v>
      </c>
      <c r="BM220" s="3" t="e">
        <v>#N/A</v>
      </c>
      <c r="BN220" s="3" t="e">
        <v>#N/A</v>
      </c>
    </row>
    <row r="221" spans="1:66" x14ac:dyDescent="0.35">
      <c r="A221" s="5">
        <f t="shared" si="3"/>
        <v>43763</v>
      </c>
      <c r="B221" t="s">
        <v>298</v>
      </c>
      <c r="C221" s="2">
        <v>0.75</v>
      </c>
      <c r="D221" s="2">
        <v>0.7097</v>
      </c>
      <c r="E221" s="3">
        <v>0.69295030000000002</v>
      </c>
      <c r="F221" s="3">
        <v>0.67088099999999995</v>
      </c>
      <c r="G221" s="3">
        <v>0.64941740000000003</v>
      </c>
      <c r="H221" s="3">
        <v>0.6317102</v>
      </c>
      <c r="I221" s="3">
        <v>0.61616289999999996</v>
      </c>
      <c r="J221" s="3">
        <v>0.60112880000000002</v>
      </c>
      <c r="K221" s="3">
        <v>0.58630150000000003</v>
      </c>
      <c r="L221" s="3">
        <v>0.57220130000000002</v>
      </c>
      <c r="M221" s="3">
        <v>0.55942939999999997</v>
      </c>
      <c r="N221" s="3">
        <v>0.54843819999999999</v>
      </c>
      <c r="O221" s="3">
        <v>0.53946179999999999</v>
      </c>
      <c r="P221" s="3">
        <v>0.53252290000000002</v>
      </c>
      <c r="Q221" s="3">
        <v>0.52741720000000003</v>
      </c>
      <c r="R221" s="3">
        <v>0.52388639999999997</v>
      </c>
      <c r="S221" s="3">
        <v>0.52167269999999999</v>
      </c>
      <c r="T221" s="3">
        <v>0.5205185</v>
      </c>
      <c r="U221" s="3">
        <v>0.52016609999999996</v>
      </c>
      <c r="V221" s="3">
        <v>0.52035770000000003</v>
      </c>
      <c r="W221" s="3">
        <v>0.52086449999999995</v>
      </c>
      <c r="X221" s="3">
        <v>0.52159149999999999</v>
      </c>
      <c r="Y221" s="3">
        <v>0.52248229999999996</v>
      </c>
      <c r="Z221" s="3">
        <v>0.52348059999999996</v>
      </c>
      <c r="AA221" s="3">
        <v>0.5245303</v>
      </c>
      <c r="AB221" s="3">
        <v>0.52557489999999996</v>
      </c>
      <c r="AC221" s="3">
        <v>0.52656829999999999</v>
      </c>
      <c r="AD221" s="3">
        <v>0.52750940000000002</v>
      </c>
      <c r="AE221" s="3">
        <v>0.52840929999999997</v>
      </c>
      <c r="AF221" s="3">
        <v>0.5292791</v>
      </c>
      <c r="AG221" s="3">
        <v>0.53013010000000005</v>
      </c>
      <c r="AH221" s="3">
        <v>0.53097340000000004</v>
      </c>
      <c r="AI221" s="3">
        <v>0.53182019999999997</v>
      </c>
      <c r="AJ221" s="3">
        <v>0.53268170000000004</v>
      </c>
      <c r="AK221" s="3">
        <v>0.53356890000000001</v>
      </c>
      <c r="AL221" s="3">
        <v>0.53449310000000005</v>
      </c>
      <c r="AM221" s="3">
        <v>0.53546550000000004</v>
      </c>
      <c r="AN221" s="3">
        <v>0.53649720000000001</v>
      </c>
      <c r="AO221" s="3">
        <v>0.53759789999999996</v>
      </c>
      <c r="AP221" s="3">
        <v>0.53877030000000004</v>
      </c>
      <c r="AQ221" s="3">
        <v>0.54001560000000004</v>
      </c>
      <c r="AR221" s="3">
        <v>0.54133469999999995</v>
      </c>
      <c r="AS221" s="3">
        <v>0.54272869999999995</v>
      </c>
      <c r="AT221" s="3">
        <v>0.54419839999999997</v>
      </c>
      <c r="AU221" s="3">
        <v>0.54574500000000004</v>
      </c>
      <c r="AV221" s="3">
        <v>0.54736940000000001</v>
      </c>
      <c r="AW221" s="3">
        <v>0.54907269999999997</v>
      </c>
      <c r="AX221" s="3">
        <v>0.55085569999999995</v>
      </c>
      <c r="AY221" s="3">
        <v>0.55271959999999998</v>
      </c>
      <c r="AZ221" s="3">
        <v>0.55466530000000003</v>
      </c>
      <c r="BA221" s="3">
        <v>0.55669369999999996</v>
      </c>
      <c r="BB221" s="3">
        <v>0.558805</v>
      </c>
      <c r="BC221" s="3">
        <v>0.56099909999999997</v>
      </c>
      <c r="BD221" s="3">
        <v>0.5632762</v>
      </c>
      <c r="BE221" s="3">
        <v>0.56563609999999998</v>
      </c>
      <c r="BF221" s="3">
        <v>0.56807890000000005</v>
      </c>
      <c r="BG221" s="3">
        <v>0.57060460000000002</v>
      </c>
      <c r="BH221" s="3">
        <v>0.57321319999999998</v>
      </c>
      <c r="BI221" s="3">
        <v>0.57590479999999999</v>
      </c>
      <c r="BJ221" s="3">
        <v>0.57867919999999995</v>
      </c>
      <c r="BK221" s="3">
        <v>0.58153659999999996</v>
      </c>
      <c r="BL221" s="3">
        <v>0.58447700000000002</v>
      </c>
      <c r="BM221" s="3" t="e">
        <v>#N/A</v>
      </c>
      <c r="BN221" s="3" t="e">
        <v>#N/A</v>
      </c>
    </row>
    <row r="222" spans="1:66" x14ac:dyDescent="0.35">
      <c r="A222" s="5">
        <f t="shared" si="3"/>
        <v>43766</v>
      </c>
      <c r="B222" t="s">
        <v>299</v>
      </c>
      <c r="C222" s="2">
        <v>0.75</v>
      </c>
      <c r="D222" s="2">
        <v>0.71060000000000001</v>
      </c>
      <c r="E222" s="3">
        <v>0.69692549999999998</v>
      </c>
      <c r="F222" s="3">
        <v>0.67318979999999995</v>
      </c>
      <c r="G222" s="3">
        <v>0.65095590000000003</v>
      </c>
      <c r="H222" s="3">
        <v>0.63313540000000001</v>
      </c>
      <c r="I222" s="3">
        <v>0.61801680000000003</v>
      </c>
      <c r="J222" s="3">
        <v>0.60389360000000003</v>
      </c>
      <c r="K222" s="3">
        <v>0.59041580000000005</v>
      </c>
      <c r="L222" s="3">
        <v>0.57811970000000001</v>
      </c>
      <c r="M222" s="3">
        <v>0.56772029999999996</v>
      </c>
      <c r="N222" s="3">
        <v>0.55962290000000003</v>
      </c>
      <c r="O222" s="3">
        <v>0.55408159999999995</v>
      </c>
      <c r="P222" s="3">
        <v>0.55099679999999995</v>
      </c>
      <c r="Q222" s="3">
        <v>0.55000380000000004</v>
      </c>
      <c r="R222" s="3">
        <v>0.55070059999999998</v>
      </c>
      <c r="S222" s="3">
        <v>0.5526894</v>
      </c>
      <c r="T222" s="3">
        <v>0.55557219999999996</v>
      </c>
      <c r="U222" s="3">
        <v>0.55895139999999999</v>
      </c>
      <c r="V222" s="3">
        <v>0.56242910000000002</v>
      </c>
      <c r="W222" s="3">
        <v>0.56567279999999998</v>
      </c>
      <c r="X222" s="3">
        <v>0.56862500000000005</v>
      </c>
      <c r="Y222" s="3">
        <v>0.57130029999999998</v>
      </c>
      <c r="Z222" s="3">
        <v>0.57371349999999999</v>
      </c>
      <c r="AA222" s="3">
        <v>0.57587929999999998</v>
      </c>
      <c r="AB222" s="3">
        <v>0.57781210000000005</v>
      </c>
      <c r="AC222" s="3">
        <v>0.5795285</v>
      </c>
      <c r="AD222" s="3">
        <v>0.58105169999999995</v>
      </c>
      <c r="AE222" s="3">
        <v>0.58240720000000001</v>
      </c>
      <c r="AF222" s="3">
        <v>0.58362040000000004</v>
      </c>
      <c r="AG222" s="3">
        <v>0.58471669999999998</v>
      </c>
      <c r="AH222" s="3">
        <v>0.58572139999999995</v>
      </c>
      <c r="AI222" s="3">
        <v>0.58666010000000002</v>
      </c>
      <c r="AJ222" s="3">
        <v>0.58755800000000002</v>
      </c>
      <c r="AK222" s="3">
        <v>0.58844059999999998</v>
      </c>
      <c r="AL222" s="3">
        <v>0.58933329999999995</v>
      </c>
      <c r="AM222" s="3">
        <v>0.59026140000000005</v>
      </c>
      <c r="AN222" s="3">
        <v>0.59125050000000001</v>
      </c>
      <c r="AO222" s="3">
        <v>0.59232180000000001</v>
      </c>
      <c r="AP222" s="3">
        <v>0.59347910000000004</v>
      </c>
      <c r="AQ222" s="3">
        <v>0.59472139999999996</v>
      </c>
      <c r="AR222" s="3">
        <v>0.59604749999999995</v>
      </c>
      <c r="AS222" s="3">
        <v>0.59745619999999999</v>
      </c>
      <c r="AT222" s="3">
        <v>0.59894639999999999</v>
      </c>
      <c r="AU222" s="3">
        <v>0.60051699999999997</v>
      </c>
      <c r="AV222" s="3">
        <v>0.60216700000000001</v>
      </c>
      <c r="AW222" s="3">
        <v>0.60389510000000002</v>
      </c>
      <c r="AX222" s="3">
        <v>0.60570020000000002</v>
      </c>
      <c r="AY222" s="3">
        <v>0.60758129999999999</v>
      </c>
      <c r="AZ222" s="3">
        <v>0.6095372</v>
      </c>
      <c r="BA222" s="3">
        <v>0.61156679999999997</v>
      </c>
      <c r="BB222" s="3">
        <v>0.61366969999999998</v>
      </c>
      <c r="BC222" s="3">
        <v>0.61584539999999999</v>
      </c>
      <c r="BD222" s="3">
        <v>0.61809369999999997</v>
      </c>
      <c r="BE222" s="3">
        <v>0.62041420000000003</v>
      </c>
      <c r="BF222" s="3">
        <v>0.62280650000000004</v>
      </c>
      <c r="BG222" s="3">
        <v>0.62527029999999995</v>
      </c>
      <c r="BH222" s="3">
        <v>0.62780519999999995</v>
      </c>
      <c r="BI222" s="3">
        <v>0.6304109</v>
      </c>
      <c r="BJ222" s="3">
        <v>0.63308690000000001</v>
      </c>
      <c r="BK222" s="3">
        <v>0.63583310000000004</v>
      </c>
      <c r="BL222" s="3">
        <v>0.63864889999999996</v>
      </c>
      <c r="BM222" s="3" t="e">
        <v>#N/A</v>
      </c>
      <c r="BN222" s="3" t="e">
        <v>#N/A</v>
      </c>
    </row>
    <row r="223" spans="1:66" x14ac:dyDescent="0.35">
      <c r="A223" s="5">
        <f t="shared" si="3"/>
        <v>43767</v>
      </c>
      <c r="B223" t="s">
        <v>300</v>
      </c>
      <c r="C223" s="2">
        <v>0.75</v>
      </c>
      <c r="D223" s="2">
        <v>0.7107</v>
      </c>
      <c r="E223" s="3">
        <v>0.69834779999999996</v>
      </c>
      <c r="F223" s="3">
        <v>0.68050370000000004</v>
      </c>
      <c r="G223" s="3">
        <v>0.6637845</v>
      </c>
      <c r="H223" s="3">
        <v>0.65000519999999995</v>
      </c>
      <c r="I223" s="3">
        <v>0.63723640000000004</v>
      </c>
      <c r="J223" s="3">
        <v>0.62425549999999996</v>
      </c>
      <c r="K223" s="3">
        <v>0.61115580000000003</v>
      </c>
      <c r="L223" s="3">
        <v>0.59870690000000004</v>
      </c>
      <c r="M223" s="3">
        <v>0.58761450000000004</v>
      </c>
      <c r="N223" s="3">
        <v>0.57831569999999999</v>
      </c>
      <c r="O223" s="3">
        <v>0.57109860000000001</v>
      </c>
      <c r="P223" s="3">
        <v>0.56599920000000004</v>
      </c>
      <c r="Q223" s="3">
        <v>0.5627335</v>
      </c>
      <c r="R223" s="3">
        <v>0.5609864</v>
      </c>
      <c r="S223" s="3">
        <v>0.56045540000000005</v>
      </c>
      <c r="T223" s="3">
        <v>0.5608379</v>
      </c>
      <c r="U223" s="3">
        <v>0.56183139999999998</v>
      </c>
      <c r="V223" s="3">
        <v>0.56313329999999995</v>
      </c>
      <c r="W223" s="3">
        <v>0.56448640000000005</v>
      </c>
      <c r="X223" s="3">
        <v>0.56582489999999996</v>
      </c>
      <c r="Y223" s="3">
        <v>0.56713309999999995</v>
      </c>
      <c r="Z223" s="3">
        <v>0.56839530000000005</v>
      </c>
      <c r="AA223" s="3">
        <v>0.56959579999999999</v>
      </c>
      <c r="AB223" s="3">
        <v>0.57071879999999997</v>
      </c>
      <c r="AC223" s="3">
        <v>0.57175260000000006</v>
      </c>
      <c r="AD223" s="3">
        <v>0.57270350000000003</v>
      </c>
      <c r="AE223" s="3">
        <v>0.57358229999999999</v>
      </c>
      <c r="AF223" s="3">
        <v>0.57440009999999997</v>
      </c>
      <c r="AG223" s="3">
        <v>0.57516789999999995</v>
      </c>
      <c r="AH223" s="3">
        <v>0.57589670000000004</v>
      </c>
      <c r="AI223" s="3">
        <v>0.57659740000000004</v>
      </c>
      <c r="AJ223" s="3">
        <v>0.57728120000000005</v>
      </c>
      <c r="AK223" s="3">
        <v>0.577959</v>
      </c>
      <c r="AL223" s="3">
        <v>0.57864179999999998</v>
      </c>
      <c r="AM223" s="3">
        <v>0.57934059999999998</v>
      </c>
      <c r="AN223" s="3">
        <v>0.58006639999999998</v>
      </c>
      <c r="AO223" s="3">
        <v>0.58082979999999995</v>
      </c>
      <c r="AP223" s="3">
        <v>0.58163869999999995</v>
      </c>
      <c r="AQ223" s="3">
        <v>0.58250049999999998</v>
      </c>
      <c r="AR223" s="3">
        <v>0.58342210000000005</v>
      </c>
      <c r="AS223" s="3">
        <v>0.58441080000000001</v>
      </c>
      <c r="AT223" s="3">
        <v>0.58547380000000004</v>
      </c>
      <c r="AU223" s="3">
        <v>0.58661830000000004</v>
      </c>
      <c r="AV223" s="3">
        <v>0.58785140000000002</v>
      </c>
      <c r="AW223" s="3">
        <v>0.58918029999999999</v>
      </c>
      <c r="AX223" s="3">
        <v>0.59061220000000003</v>
      </c>
      <c r="AY223" s="3">
        <v>0.59215419999999996</v>
      </c>
      <c r="AZ223" s="3">
        <v>0.59381360000000005</v>
      </c>
      <c r="BA223" s="3">
        <v>0.59559600000000001</v>
      </c>
      <c r="BB223" s="3">
        <v>0.59749980000000003</v>
      </c>
      <c r="BC223" s="3">
        <v>0.59952130000000003</v>
      </c>
      <c r="BD223" s="3">
        <v>0.60165670000000004</v>
      </c>
      <c r="BE223" s="3">
        <v>0.6039023</v>
      </c>
      <c r="BF223" s="3">
        <v>0.60625419999999997</v>
      </c>
      <c r="BG223" s="3">
        <v>0.60870869999999999</v>
      </c>
      <c r="BH223" s="3">
        <v>0.61126199999999997</v>
      </c>
      <c r="BI223" s="3">
        <v>0.61391039999999997</v>
      </c>
      <c r="BJ223" s="3">
        <v>0.61665000000000003</v>
      </c>
      <c r="BK223" s="3">
        <v>0.6194771</v>
      </c>
      <c r="BL223" s="3">
        <v>0.62238789999999999</v>
      </c>
      <c r="BM223" s="3" t="e">
        <v>#N/A</v>
      </c>
      <c r="BN223" s="3" t="e">
        <v>#N/A</v>
      </c>
    </row>
    <row r="224" spans="1:66" x14ac:dyDescent="0.35">
      <c r="A224" s="5">
        <f t="shared" si="3"/>
        <v>43768</v>
      </c>
      <c r="B224" t="s">
        <v>301</v>
      </c>
      <c r="C224" s="2">
        <v>0.75</v>
      </c>
      <c r="D224" s="2">
        <v>0.7107</v>
      </c>
      <c r="E224" s="3">
        <v>0.69862409999999997</v>
      </c>
      <c r="F224" s="3">
        <v>0.67943750000000003</v>
      </c>
      <c r="G224" s="3">
        <v>0.66103599999999996</v>
      </c>
      <c r="H224" s="3">
        <v>0.64497689999999996</v>
      </c>
      <c r="I224" s="3">
        <v>0.62964940000000003</v>
      </c>
      <c r="J224" s="3">
        <v>0.61423000000000005</v>
      </c>
      <c r="K224" s="3">
        <v>0.59899250000000004</v>
      </c>
      <c r="L224" s="3">
        <v>0.58467069999999999</v>
      </c>
      <c r="M224" s="3">
        <v>0.57181309999999996</v>
      </c>
      <c r="N224" s="3">
        <v>0.56069020000000003</v>
      </c>
      <c r="O224" s="3">
        <v>0.55147409999999997</v>
      </c>
      <c r="P224" s="3">
        <v>0.54421509999999995</v>
      </c>
      <c r="Q224" s="3">
        <v>0.53864140000000005</v>
      </c>
      <c r="R224" s="3">
        <v>0.53449500000000005</v>
      </c>
      <c r="S224" s="3">
        <v>0.53154849999999998</v>
      </c>
      <c r="T224" s="3">
        <v>0.52957399999999999</v>
      </c>
      <c r="U224" s="3">
        <v>0.52834389999999998</v>
      </c>
      <c r="V224" s="3">
        <v>0.52763059999999995</v>
      </c>
      <c r="W224" s="3">
        <v>0.52723560000000003</v>
      </c>
      <c r="X224" s="3">
        <v>0.52708359999999999</v>
      </c>
      <c r="Y224" s="3">
        <v>0.52713140000000003</v>
      </c>
      <c r="Z224" s="3">
        <v>0.52733600000000003</v>
      </c>
      <c r="AA224" s="3">
        <v>0.52765430000000002</v>
      </c>
      <c r="AB224" s="3">
        <v>0.52804320000000005</v>
      </c>
      <c r="AC224" s="3">
        <v>0.52846510000000002</v>
      </c>
      <c r="AD224" s="3">
        <v>0.52891200000000005</v>
      </c>
      <c r="AE224" s="3">
        <v>0.52938560000000001</v>
      </c>
      <c r="AF224" s="3">
        <v>0.52988789999999997</v>
      </c>
      <c r="AG224" s="3">
        <v>0.53042069999999997</v>
      </c>
      <c r="AH224" s="3">
        <v>0.53098579999999995</v>
      </c>
      <c r="AI224" s="3">
        <v>0.53158510000000003</v>
      </c>
      <c r="AJ224" s="3">
        <v>0.53222040000000004</v>
      </c>
      <c r="AK224" s="3">
        <v>0.53289370000000003</v>
      </c>
      <c r="AL224" s="3">
        <v>0.53360669999999999</v>
      </c>
      <c r="AM224" s="3">
        <v>0.53436119999999998</v>
      </c>
      <c r="AN224" s="3">
        <v>0.53515919999999995</v>
      </c>
      <c r="AO224" s="3">
        <v>0.53600270000000005</v>
      </c>
      <c r="AP224" s="3">
        <v>0.53689439999999999</v>
      </c>
      <c r="AQ224" s="3">
        <v>0.53783720000000002</v>
      </c>
      <c r="AR224" s="3">
        <v>0.53883409999999998</v>
      </c>
      <c r="AS224" s="3">
        <v>0.53988800000000003</v>
      </c>
      <c r="AT224" s="3">
        <v>0.54100199999999998</v>
      </c>
      <c r="AU224" s="3">
        <v>0.54217899999999997</v>
      </c>
      <c r="AV224" s="3">
        <v>0.54342190000000001</v>
      </c>
      <c r="AW224" s="3">
        <v>0.54473369999999999</v>
      </c>
      <c r="AX224" s="3">
        <v>0.54611739999999998</v>
      </c>
      <c r="AY224" s="3">
        <v>0.5475759</v>
      </c>
      <c r="AZ224" s="3">
        <v>0.54911220000000005</v>
      </c>
      <c r="BA224" s="3">
        <v>0.55072880000000002</v>
      </c>
      <c r="BB224" s="3">
        <v>0.55242650000000004</v>
      </c>
      <c r="BC224" s="3">
        <v>0.55420559999999996</v>
      </c>
      <c r="BD224" s="3">
        <v>0.55606630000000001</v>
      </c>
      <c r="BE224" s="3">
        <v>0.55800899999999998</v>
      </c>
      <c r="BF224" s="3">
        <v>0.56003389999999997</v>
      </c>
      <c r="BG224" s="3">
        <v>0.56214120000000001</v>
      </c>
      <c r="BH224" s="3">
        <v>0.56433120000000003</v>
      </c>
      <c r="BI224" s="3">
        <v>0.56660429999999995</v>
      </c>
      <c r="BJ224" s="3">
        <v>0.56896069999999999</v>
      </c>
      <c r="BK224" s="3">
        <v>0.57140060000000004</v>
      </c>
      <c r="BL224" s="3">
        <v>0.57392430000000005</v>
      </c>
      <c r="BM224" s="3" t="e">
        <v>#N/A</v>
      </c>
      <c r="BN224" s="3" t="e">
        <v>#N/A</v>
      </c>
    </row>
    <row r="225" spans="1:66" x14ac:dyDescent="0.35">
      <c r="A225" s="5">
        <f t="shared" si="3"/>
        <v>43769</v>
      </c>
      <c r="B225" t="s">
        <v>302</v>
      </c>
      <c r="C225" s="2">
        <v>0.75</v>
      </c>
      <c r="D225" s="2">
        <v>0.71060000000000001</v>
      </c>
      <c r="E225" s="3">
        <v>0.70218510000000001</v>
      </c>
      <c r="F225" s="3">
        <v>0.68175540000000001</v>
      </c>
      <c r="G225" s="3">
        <v>0.66166270000000005</v>
      </c>
      <c r="H225" s="3">
        <v>0.64342080000000001</v>
      </c>
      <c r="I225" s="3">
        <v>0.62543090000000001</v>
      </c>
      <c r="J225" s="3">
        <v>0.60690549999999999</v>
      </c>
      <c r="K225" s="3">
        <v>0.58828049999999998</v>
      </c>
      <c r="L225" s="3">
        <v>0.5705732</v>
      </c>
      <c r="M225" s="3">
        <v>0.55454979999999998</v>
      </c>
      <c r="N225" s="3">
        <v>0.54065969999999997</v>
      </c>
      <c r="O225" s="3">
        <v>0.52916439999999998</v>
      </c>
      <c r="P225" s="3">
        <v>0.52006129999999995</v>
      </c>
      <c r="Q225" s="3">
        <v>0.51303399999999999</v>
      </c>
      <c r="R225" s="3">
        <v>0.50770959999999998</v>
      </c>
      <c r="S225" s="3">
        <v>0.50371849999999996</v>
      </c>
      <c r="T225" s="3">
        <v>0.5006912</v>
      </c>
      <c r="U225" s="3">
        <v>0.49825839999999999</v>
      </c>
      <c r="V225" s="3">
        <v>0.49605050000000001</v>
      </c>
      <c r="W225" s="3">
        <v>0.49377189999999999</v>
      </c>
      <c r="X225" s="3">
        <v>0.49140709999999999</v>
      </c>
      <c r="Y225" s="3">
        <v>0.48900749999999998</v>
      </c>
      <c r="Z225" s="3">
        <v>0.48662440000000001</v>
      </c>
      <c r="AA225" s="3">
        <v>0.4843092</v>
      </c>
      <c r="AB225" s="3">
        <v>0.48211320000000002</v>
      </c>
      <c r="AC225" s="3">
        <v>0.48008099999999998</v>
      </c>
      <c r="AD225" s="3">
        <v>0.47822379999999998</v>
      </c>
      <c r="AE225" s="3">
        <v>0.47654259999999998</v>
      </c>
      <c r="AF225" s="3">
        <v>0.47503849999999997</v>
      </c>
      <c r="AG225" s="3">
        <v>0.47371259999999998</v>
      </c>
      <c r="AH225" s="3">
        <v>0.47256609999999999</v>
      </c>
      <c r="AI225" s="3">
        <v>0.47159990000000002</v>
      </c>
      <c r="AJ225" s="3">
        <v>0.47081509999999999</v>
      </c>
      <c r="AK225" s="3">
        <v>0.47021289999999999</v>
      </c>
      <c r="AL225" s="3">
        <v>0.4697942</v>
      </c>
      <c r="AM225" s="3">
        <v>0.46956029999999999</v>
      </c>
      <c r="AN225" s="3">
        <v>0.46951209999999999</v>
      </c>
      <c r="AO225" s="3">
        <v>0.46964929999999999</v>
      </c>
      <c r="AP225" s="3">
        <v>0.46996559999999998</v>
      </c>
      <c r="AQ225" s="3">
        <v>0.4704526</v>
      </c>
      <c r="AR225" s="3">
        <v>0.47110229999999997</v>
      </c>
      <c r="AS225" s="3">
        <v>0.4719064</v>
      </c>
      <c r="AT225" s="3">
        <v>0.47285680000000002</v>
      </c>
      <c r="AU225" s="3">
        <v>0.47394530000000001</v>
      </c>
      <c r="AV225" s="3">
        <v>0.47516380000000003</v>
      </c>
      <c r="AW225" s="3">
        <v>0.47650399999999998</v>
      </c>
      <c r="AX225" s="3">
        <v>0.47795789999999999</v>
      </c>
      <c r="AY225" s="3">
        <v>0.47951719999999998</v>
      </c>
      <c r="AZ225" s="3">
        <v>0.48117369999999998</v>
      </c>
      <c r="BA225" s="3">
        <v>0.48292059999999998</v>
      </c>
      <c r="BB225" s="3">
        <v>0.4847572</v>
      </c>
      <c r="BC225" s="3">
        <v>0.48668410000000001</v>
      </c>
      <c r="BD225" s="3">
        <v>0.48870229999999998</v>
      </c>
      <c r="BE225" s="3">
        <v>0.49081239999999998</v>
      </c>
      <c r="BF225" s="3">
        <v>0.49301519999999999</v>
      </c>
      <c r="BG225" s="3">
        <v>0.49531170000000002</v>
      </c>
      <c r="BH225" s="3">
        <v>0.49770249999999999</v>
      </c>
      <c r="BI225" s="3">
        <v>0.50018850000000004</v>
      </c>
      <c r="BJ225" s="3">
        <v>0.50277050000000001</v>
      </c>
      <c r="BK225" s="3">
        <v>0.50544920000000004</v>
      </c>
      <c r="BL225" s="3">
        <v>0.5082255</v>
      </c>
      <c r="BM225" s="3" t="e">
        <v>#N/A</v>
      </c>
      <c r="BN225" s="3" t="e">
        <v>#N/A</v>
      </c>
    </row>
    <row r="226" spans="1:66" x14ac:dyDescent="0.35">
      <c r="A226" s="5">
        <f t="shared" si="3"/>
        <v>43770</v>
      </c>
      <c r="B226" t="s">
        <v>303</v>
      </c>
      <c r="C226" s="2">
        <v>0.75</v>
      </c>
      <c r="D226" s="2">
        <v>0.71189999999999998</v>
      </c>
      <c r="E226" s="3">
        <v>0.69158799999999998</v>
      </c>
      <c r="F226" s="3">
        <v>0.68354510000000002</v>
      </c>
      <c r="G226" s="3">
        <v>0.67717260000000001</v>
      </c>
      <c r="H226" s="3">
        <v>0.66482209999999997</v>
      </c>
      <c r="I226" s="3">
        <v>0.64730220000000005</v>
      </c>
      <c r="J226" s="3">
        <v>0.62741720000000001</v>
      </c>
      <c r="K226" s="3">
        <v>0.60761560000000003</v>
      </c>
      <c r="L226" s="3">
        <v>0.58940729999999997</v>
      </c>
      <c r="M226" s="3">
        <v>0.57330179999999997</v>
      </c>
      <c r="N226" s="3">
        <v>0.55948790000000004</v>
      </c>
      <c r="O226" s="3">
        <v>0.54789339999999997</v>
      </c>
      <c r="P226" s="3">
        <v>0.53829649999999996</v>
      </c>
      <c r="Q226" s="3">
        <v>0.5300975</v>
      </c>
      <c r="R226" s="3">
        <v>0.52307550000000003</v>
      </c>
      <c r="S226" s="3">
        <v>0.51716379999999995</v>
      </c>
      <c r="T226" s="3">
        <v>0.51229599999999997</v>
      </c>
      <c r="U226" s="3">
        <v>0.50840529999999995</v>
      </c>
      <c r="V226" s="3">
        <v>0.50542520000000002</v>
      </c>
      <c r="W226" s="3">
        <v>0.50328240000000002</v>
      </c>
      <c r="X226" s="3">
        <v>0.50186900000000001</v>
      </c>
      <c r="Y226" s="3">
        <v>0.50106620000000002</v>
      </c>
      <c r="Z226" s="3">
        <v>0.50075499999999995</v>
      </c>
      <c r="AA226" s="3">
        <v>0.50081659999999995</v>
      </c>
      <c r="AB226" s="3">
        <v>0.50113209999999997</v>
      </c>
      <c r="AC226" s="3">
        <v>0.50159770000000004</v>
      </c>
      <c r="AD226" s="3">
        <v>0.50217590000000001</v>
      </c>
      <c r="AE226" s="3">
        <v>0.50284740000000006</v>
      </c>
      <c r="AF226" s="3">
        <v>0.50359319999999996</v>
      </c>
      <c r="AG226" s="3">
        <v>0.50439400000000001</v>
      </c>
      <c r="AH226" s="3">
        <v>0.50523059999999997</v>
      </c>
      <c r="AI226" s="3">
        <v>0.50608390000000003</v>
      </c>
      <c r="AJ226" s="3">
        <v>0.50693469999999996</v>
      </c>
      <c r="AK226" s="3">
        <v>0.50776390000000005</v>
      </c>
      <c r="AL226" s="3">
        <v>0.50855209999999995</v>
      </c>
      <c r="AM226" s="3">
        <v>0.50928039999999997</v>
      </c>
      <c r="AN226" s="3">
        <v>0.50992939999999998</v>
      </c>
      <c r="AO226" s="3">
        <v>0.51048559999999998</v>
      </c>
      <c r="AP226" s="3">
        <v>0.51096059999999999</v>
      </c>
      <c r="AQ226" s="3">
        <v>0.51137270000000001</v>
      </c>
      <c r="AR226" s="3">
        <v>0.51174010000000003</v>
      </c>
      <c r="AS226" s="3">
        <v>0.51208140000000002</v>
      </c>
      <c r="AT226" s="3">
        <v>0.51241479999999995</v>
      </c>
      <c r="AU226" s="3">
        <v>0.51275859999999995</v>
      </c>
      <c r="AV226" s="3">
        <v>0.51313129999999996</v>
      </c>
      <c r="AW226" s="3">
        <v>0.51355110000000004</v>
      </c>
      <c r="AX226" s="3">
        <v>0.51403650000000001</v>
      </c>
      <c r="AY226" s="3">
        <v>0.5146058</v>
      </c>
      <c r="AZ226" s="3">
        <v>0.51527730000000005</v>
      </c>
      <c r="BA226" s="3">
        <v>0.51606669999999999</v>
      </c>
      <c r="BB226" s="3">
        <v>0.51697839999999995</v>
      </c>
      <c r="BC226" s="3">
        <v>0.51801339999999996</v>
      </c>
      <c r="BD226" s="3">
        <v>0.51917270000000004</v>
      </c>
      <c r="BE226" s="3">
        <v>0.52045739999999996</v>
      </c>
      <c r="BF226" s="3">
        <v>0.52186849999999996</v>
      </c>
      <c r="BG226" s="3">
        <v>0.52340719999999996</v>
      </c>
      <c r="BH226" s="3">
        <v>0.52507440000000005</v>
      </c>
      <c r="BI226" s="3">
        <v>0.52687130000000004</v>
      </c>
      <c r="BJ226" s="3">
        <v>0.52879880000000001</v>
      </c>
      <c r="BK226" s="3">
        <v>0.53085819999999995</v>
      </c>
      <c r="BL226" s="3">
        <v>0.53305029999999998</v>
      </c>
      <c r="BM226" s="3" t="e">
        <v>#N/A</v>
      </c>
      <c r="BN226" s="3" t="e">
        <v>#N/A</v>
      </c>
    </row>
    <row r="227" spans="1:66" x14ac:dyDescent="0.35">
      <c r="A227" s="5">
        <f t="shared" si="3"/>
        <v>43773</v>
      </c>
      <c r="B227" t="s">
        <v>304</v>
      </c>
      <c r="C227" s="2">
        <v>0.75</v>
      </c>
      <c r="D227" s="2">
        <v>0.7117</v>
      </c>
      <c r="E227" s="3">
        <v>0.70446549999999997</v>
      </c>
      <c r="F227" s="3">
        <v>0.68893899999999997</v>
      </c>
      <c r="G227" s="3">
        <v>0.67219680000000004</v>
      </c>
      <c r="H227" s="3">
        <v>0.65609430000000002</v>
      </c>
      <c r="I227" s="3">
        <v>0.64132730000000004</v>
      </c>
      <c r="J227" s="3">
        <v>0.62764569999999997</v>
      </c>
      <c r="K227" s="3">
        <v>0.61503419999999998</v>
      </c>
      <c r="L227" s="3">
        <v>0.60349010000000003</v>
      </c>
      <c r="M227" s="3">
        <v>0.59283790000000003</v>
      </c>
      <c r="N227" s="3">
        <v>0.58300609999999997</v>
      </c>
      <c r="O227" s="3">
        <v>0.57412240000000003</v>
      </c>
      <c r="P227" s="3">
        <v>0.56624280000000005</v>
      </c>
      <c r="Q227" s="3">
        <v>0.55933299999999997</v>
      </c>
      <c r="R227" s="3">
        <v>0.55335699999999999</v>
      </c>
      <c r="S227" s="3">
        <v>0.54828379999999999</v>
      </c>
      <c r="T227" s="3">
        <v>0.54408230000000002</v>
      </c>
      <c r="U227" s="3">
        <v>0.54072129999999996</v>
      </c>
      <c r="V227" s="3">
        <v>0.53816969999999997</v>
      </c>
      <c r="W227" s="3">
        <v>0.53638549999999996</v>
      </c>
      <c r="X227" s="3">
        <v>0.53528469999999995</v>
      </c>
      <c r="Y227" s="3">
        <v>0.53477350000000001</v>
      </c>
      <c r="Z227" s="3">
        <v>0.53475810000000001</v>
      </c>
      <c r="AA227" s="3">
        <v>0.53514459999999997</v>
      </c>
      <c r="AB227" s="3">
        <v>0.53583919999999996</v>
      </c>
      <c r="AC227" s="3">
        <v>0.53675839999999997</v>
      </c>
      <c r="AD227" s="3">
        <v>0.53786409999999996</v>
      </c>
      <c r="AE227" s="3">
        <v>0.53913060000000002</v>
      </c>
      <c r="AF227" s="3">
        <v>0.54053229999999997</v>
      </c>
      <c r="AG227" s="3">
        <v>0.54204370000000002</v>
      </c>
      <c r="AH227" s="3">
        <v>0.54363919999999999</v>
      </c>
      <c r="AI227" s="3">
        <v>0.54529300000000003</v>
      </c>
      <c r="AJ227" s="3">
        <v>0.54697980000000002</v>
      </c>
      <c r="AK227" s="3">
        <v>0.54867370000000004</v>
      </c>
      <c r="AL227" s="3">
        <v>0.55034930000000004</v>
      </c>
      <c r="AM227" s="3">
        <v>0.55198100000000005</v>
      </c>
      <c r="AN227" s="3">
        <v>0.55354309999999995</v>
      </c>
      <c r="AO227" s="3">
        <v>0.55501630000000002</v>
      </c>
      <c r="AP227" s="3">
        <v>0.55640849999999997</v>
      </c>
      <c r="AQ227" s="3">
        <v>0.55773530000000004</v>
      </c>
      <c r="AR227" s="3">
        <v>0.55901219999999996</v>
      </c>
      <c r="AS227" s="3">
        <v>0.5602549</v>
      </c>
      <c r="AT227" s="3">
        <v>0.56147879999999994</v>
      </c>
      <c r="AU227" s="3">
        <v>0.56269950000000002</v>
      </c>
      <c r="AV227" s="3">
        <v>0.56393260000000001</v>
      </c>
      <c r="AW227" s="3">
        <v>0.56519359999999996</v>
      </c>
      <c r="AX227" s="3">
        <v>0.5664981</v>
      </c>
      <c r="AY227" s="3">
        <v>0.56786159999999997</v>
      </c>
      <c r="AZ227" s="3">
        <v>0.56929960000000002</v>
      </c>
      <c r="BA227" s="3">
        <v>0.5708261</v>
      </c>
      <c r="BB227" s="3">
        <v>0.57244589999999995</v>
      </c>
      <c r="BC227" s="3">
        <v>0.57416089999999997</v>
      </c>
      <c r="BD227" s="3">
        <v>0.5759727</v>
      </c>
      <c r="BE227" s="3">
        <v>0.57788340000000005</v>
      </c>
      <c r="BF227" s="3">
        <v>0.57989469999999999</v>
      </c>
      <c r="BG227" s="3">
        <v>0.58200830000000003</v>
      </c>
      <c r="BH227" s="3">
        <v>0.58422629999999998</v>
      </c>
      <c r="BI227" s="3">
        <v>0.58655029999999997</v>
      </c>
      <c r="BJ227" s="3">
        <v>0.58898209999999995</v>
      </c>
      <c r="BK227" s="3">
        <v>0.59152380000000004</v>
      </c>
      <c r="BL227" s="3">
        <v>0.59417690000000001</v>
      </c>
      <c r="BM227" s="3" t="e">
        <v>#N/A</v>
      </c>
      <c r="BN227" s="3" t="e">
        <v>#N/A</v>
      </c>
    </row>
    <row r="228" spans="1:66" x14ac:dyDescent="0.35">
      <c r="A228" s="5">
        <f t="shared" si="3"/>
        <v>43774</v>
      </c>
      <c r="B228" t="s">
        <v>305</v>
      </c>
      <c r="C228" s="2">
        <v>0.75</v>
      </c>
      <c r="D228" s="2">
        <v>0.71050000000000002</v>
      </c>
      <c r="E228" s="3">
        <v>0.69350449999999997</v>
      </c>
      <c r="F228" s="3">
        <v>0.67993950000000003</v>
      </c>
      <c r="G228" s="3">
        <v>0.67300090000000001</v>
      </c>
      <c r="H228" s="3">
        <v>0.66504529999999995</v>
      </c>
      <c r="I228" s="3">
        <v>0.65440670000000001</v>
      </c>
      <c r="J228" s="3">
        <v>0.64223399999999997</v>
      </c>
      <c r="K228" s="3">
        <v>0.6302894</v>
      </c>
      <c r="L228" s="3">
        <v>0.61979790000000001</v>
      </c>
      <c r="M228" s="3">
        <v>0.61111550000000003</v>
      </c>
      <c r="N228" s="3">
        <v>0.60413700000000004</v>
      </c>
      <c r="O228" s="3">
        <v>0.59863920000000004</v>
      </c>
      <c r="P228" s="3">
        <v>0.59439540000000002</v>
      </c>
      <c r="Q228" s="3">
        <v>0.59090109999999996</v>
      </c>
      <c r="R228" s="3">
        <v>0.58807160000000003</v>
      </c>
      <c r="S228" s="3">
        <v>0.58596999999999999</v>
      </c>
      <c r="T228" s="3">
        <v>0.58465920000000005</v>
      </c>
      <c r="U228" s="3">
        <v>0.5842022</v>
      </c>
      <c r="V228" s="3">
        <v>0.58466189999999996</v>
      </c>
      <c r="W228" s="3">
        <v>0.58605980000000002</v>
      </c>
      <c r="X228" s="3">
        <v>0.58825970000000005</v>
      </c>
      <c r="Y228" s="3">
        <v>0.59108740000000004</v>
      </c>
      <c r="Z228" s="3">
        <v>0.59436920000000004</v>
      </c>
      <c r="AA228" s="3">
        <v>0.59793110000000005</v>
      </c>
      <c r="AB228" s="3">
        <v>0.60159910000000005</v>
      </c>
      <c r="AC228" s="3">
        <v>0.60522350000000003</v>
      </c>
      <c r="AD228" s="3">
        <v>0.60876039999999998</v>
      </c>
      <c r="AE228" s="3">
        <v>0.61219559999999995</v>
      </c>
      <c r="AF228" s="3">
        <v>0.61551469999999997</v>
      </c>
      <c r="AG228" s="3">
        <v>0.61870320000000001</v>
      </c>
      <c r="AH228" s="3">
        <v>0.62174680000000004</v>
      </c>
      <c r="AI228" s="3">
        <v>0.62463120000000005</v>
      </c>
      <c r="AJ228" s="3">
        <v>0.62734190000000001</v>
      </c>
      <c r="AK228" s="3">
        <v>0.62986450000000005</v>
      </c>
      <c r="AL228" s="3">
        <v>0.63218479999999999</v>
      </c>
      <c r="AM228" s="3">
        <v>0.63428819999999997</v>
      </c>
      <c r="AN228" s="3">
        <v>0.63616039999999996</v>
      </c>
      <c r="AO228" s="3">
        <v>0.63779269999999999</v>
      </c>
      <c r="AP228" s="3">
        <v>0.63920639999999995</v>
      </c>
      <c r="AQ228" s="3">
        <v>0.64043289999999997</v>
      </c>
      <c r="AR228" s="3">
        <v>0.64150359999999995</v>
      </c>
      <c r="AS228" s="3">
        <v>0.64244999999999997</v>
      </c>
      <c r="AT228" s="3">
        <v>0.64330359999999998</v>
      </c>
      <c r="AU228" s="3">
        <v>0.64409570000000005</v>
      </c>
      <c r="AV228" s="3">
        <v>0.64485789999999998</v>
      </c>
      <c r="AW228" s="3">
        <v>0.64562149999999996</v>
      </c>
      <c r="AX228" s="3">
        <v>0.6464181</v>
      </c>
      <c r="AY228" s="3">
        <v>0.64727900000000005</v>
      </c>
      <c r="AZ228" s="3">
        <v>0.64823569999999997</v>
      </c>
      <c r="BA228" s="3">
        <v>0.64931539999999999</v>
      </c>
      <c r="BB228" s="3">
        <v>0.65052449999999995</v>
      </c>
      <c r="BC228" s="3">
        <v>0.65186299999999997</v>
      </c>
      <c r="BD228" s="3">
        <v>0.653331</v>
      </c>
      <c r="BE228" s="3">
        <v>0.65492850000000002</v>
      </c>
      <c r="BF228" s="3">
        <v>0.65665569999999995</v>
      </c>
      <c r="BG228" s="3">
        <v>0.6585126</v>
      </c>
      <c r="BH228" s="3">
        <v>0.66049930000000001</v>
      </c>
      <c r="BI228" s="3">
        <v>0.66261579999999998</v>
      </c>
      <c r="BJ228" s="3">
        <v>0.66486219999999996</v>
      </c>
      <c r="BK228" s="3">
        <v>0.66723849999999996</v>
      </c>
      <c r="BL228" s="3">
        <v>0.66974489999999998</v>
      </c>
      <c r="BM228" s="3" t="e">
        <v>#N/A</v>
      </c>
      <c r="BN228" s="3" t="e">
        <v>#N/A</v>
      </c>
    </row>
    <row r="229" spans="1:66" x14ac:dyDescent="0.35">
      <c r="A229" s="5">
        <f t="shared" si="3"/>
        <v>43775</v>
      </c>
      <c r="B229" t="s">
        <v>306</v>
      </c>
      <c r="C229" s="2">
        <v>0.75</v>
      </c>
      <c r="D229" s="2">
        <v>0.71150000000000002</v>
      </c>
      <c r="E229" s="3">
        <v>0.68746459999999998</v>
      </c>
      <c r="F229" s="3">
        <v>0.67397059999999998</v>
      </c>
      <c r="G229" s="3">
        <v>0.66742089999999998</v>
      </c>
      <c r="H229" s="3">
        <v>0.65868720000000003</v>
      </c>
      <c r="I229" s="3">
        <v>0.64594819999999997</v>
      </c>
      <c r="J229" s="3">
        <v>0.63095120000000005</v>
      </c>
      <c r="K229" s="3">
        <v>0.61610540000000003</v>
      </c>
      <c r="L229" s="3">
        <v>0.60285060000000001</v>
      </c>
      <c r="M229" s="3">
        <v>0.59154390000000001</v>
      </c>
      <c r="N229" s="3">
        <v>0.58209900000000003</v>
      </c>
      <c r="O229" s="3">
        <v>0.57439180000000001</v>
      </c>
      <c r="P229" s="3">
        <v>0.56828179999999995</v>
      </c>
      <c r="Q229" s="3">
        <v>0.56349039999999995</v>
      </c>
      <c r="R229" s="3">
        <v>0.55984029999999996</v>
      </c>
      <c r="S229" s="3">
        <v>0.55719439999999998</v>
      </c>
      <c r="T229" s="3">
        <v>0.55541620000000003</v>
      </c>
      <c r="U229" s="3">
        <v>0.55436870000000005</v>
      </c>
      <c r="V229" s="3">
        <v>0.5539153</v>
      </c>
      <c r="W229" s="3">
        <v>0.55392699999999995</v>
      </c>
      <c r="X229" s="3">
        <v>0.55430579999999996</v>
      </c>
      <c r="Y229" s="3">
        <v>0.55496060000000003</v>
      </c>
      <c r="Z229" s="3">
        <v>0.55580030000000002</v>
      </c>
      <c r="AA229" s="3">
        <v>0.55673410000000001</v>
      </c>
      <c r="AB229" s="3">
        <v>0.55767100000000003</v>
      </c>
      <c r="AC229" s="3">
        <v>0.55853220000000003</v>
      </c>
      <c r="AD229" s="3">
        <v>0.55930500000000005</v>
      </c>
      <c r="AE229" s="3">
        <v>0.55999889999999997</v>
      </c>
      <c r="AF229" s="3">
        <v>0.56062350000000005</v>
      </c>
      <c r="AG229" s="3">
        <v>0.56118809999999997</v>
      </c>
      <c r="AH229" s="3">
        <v>0.56170240000000005</v>
      </c>
      <c r="AI229" s="3">
        <v>0.56217569999999994</v>
      </c>
      <c r="AJ229" s="3">
        <v>0.56261760000000005</v>
      </c>
      <c r="AK229" s="3">
        <v>0.56303749999999997</v>
      </c>
      <c r="AL229" s="3">
        <v>0.56344490000000003</v>
      </c>
      <c r="AM229" s="3">
        <v>0.56384939999999995</v>
      </c>
      <c r="AN229" s="3">
        <v>0.5642604</v>
      </c>
      <c r="AO229" s="3">
        <v>0.56468739999999995</v>
      </c>
      <c r="AP229" s="3">
        <v>0.56514010000000003</v>
      </c>
      <c r="AQ229" s="3">
        <v>0.56562800000000002</v>
      </c>
      <c r="AR229" s="3">
        <v>0.56616100000000003</v>
      </c>
      <c r="AS229" s="3">
        <v>0.56674860000000005</v>
      </c>
      <c r="AT229" s="3">
        <v>0.56740040000000003</v>
      </c>
      <c r="AU229" s="3">
        <v>0.56812629999999997</v>
      </c>
      <c r="AV229" s="3">
        <v>0.56893579999999999</v>
      </c>
      <c r="AW229" s="3">
        <v>0.56983850000000003</v>
      </c>
      <c r="AX229" s="3">
        <v>0.57084420000000002</v>
      </c>
      <c r="AY229" s="3">
        <v>0.57196259999999999</v>
      </c>
      <c r="AZ229" s="3">
        <v>0.57320320000000002</v>
      </c>
      <c r="BA229" s="3">
        <v>0.57457389999999997</v>
      </c>
      <c r="BB229" s="3">
        <v>0.57607439999999999</v>
      </c>
      <c r="BC229" s="3">
        <v>0.5777021</v>
      </c>
      <c r="BD229" s="3">
        <v>0.57945449999999998</v>
      </c>
      <c r="BE229" s="3">
        <v>0.58132890000000004</v>
      </c>
      <c r="BF229" s="3">
        <v>0.58332289999999998</v>
      </c>
      <c r="BG229" s="3">
        <v>0.5854338</v>
      </c>
      <c r="BH229" s="3">
        <v>0.58765909999999999</v>
      </c>
      <c r="BI229" s="3">
        <v>0.58999619999999997</v>
      </c>
      <c r="BJ229" s="3">
        <v>0.59244249999999998</v>
      </c>
      <c r="BK229" s="3">
        <v>0.59499550000000001</v>
      </c>
      <c r="BL229" s="3">
        <v>0.59765270000000004</v>
      </c>
      <c r="BM229" s="3" t="e">
        <v>#N/A</v>
      </c>
      <c r="BN229" s="3" t="e">
        <v>#N/A</v>
      </c>
    </row>
    <row r="230" spans="1:66" x14ac:dyDescent="0.35">
      <c r="A230" s="5">
        <f t="shared" si="3"/>
        <v>43776</v>
      </c>
      <c r="B230" t="s">
        <v>307</v>
      </c>
      <c r="C230" s="2">
        <v>0.75</v>
      </c>
      <c r="D230" s="2">
        <v>0.71079999999999999</v>
      </c>
      <c r="E230" s="3">
        <v>0.68810769999999999</v>
      </c>
      <c r="F230" s="3">
        <v>0.66504039999999998</v>
      </c>
      <c r="G230" s="3">
        <v>0.64624930000000003</v>
      </c>
      <c r="H230" s="3">
        <v>0.62711119999999998</v>
      </c>
      <c r="I230" s="3">
        <v>0.60806720000000003</v>
      </c>
      <c r="J230" s="3">
        <v>0.59066949999999996</v>
      </c>
      <c r="K230" s="3">
        <v>0.57653319999999997</v>
      </c>
      <c r="L230" s="3">
        <v>0.56628529999999999</v>
      </c>
      <c r="M230" s="3">
        <v>0.55950429999999995</v>
      </c>
      <c r="N230" s="3">
        <v>0.55547789999999997</v>
      </c>
      <c r="O230" s="3">
        <v>0.55362880000000003</v>
      </c>
      <c r="P230" s="3">
        <v>0.55343940000000003</v>
      </c>
      <c r="Q230" s="3">
        <v>0.55433200000000005</v>
      </c>
      <c r="R230" s="3">
        <v>0.55603480000000005</v>
      </c>
      <c r="S230" s="3">
        <v>0.55839059999999996</v>
      </c>
      <c r="T230" s="3">
        <v>0.56124249999999998</v>
      </c>
      <c r="U230" s="3">
        <v>0.56443319999999997</v>
      </c>
      <c r="V230" s="3">
        <v>0.56780589999999997</v>
      </c>
      <c r="W230" s="3">
        <v>0.57123089999999999</v>
      </c>
      <c r="X230" s="3">
        <v>0.57468350000000001</v>
      </c>
      <c r="Y230" s="3">
        <v>0.57816400000000001</v>
      </c>
      <c r="Z230" s="3">
        <v>0.58167270000000004</v>
      </c>
      <c r="AA230" s="3">
        <v>0.5852098</v>
      </c>
      <c r="AB230" s="3">
        <v>0.58877559999999995</v>
      </c>
      <c r="AC230" s="3">
        <v>0.5923699</v>
      </c>
      <c r="AD230" s="3">
        <v>0.59599150000000001</v>
      </c>
      <c r="AE230" s="3">
        <v>0.59963820000000001</v>
      </c>
      <c r="AF230" s="3">
        <v>0.60330830000000002</v>
      </c>
      <c r="AG230" s="3">
        <v>0.60699970000000003</v>
      </c>
      <c r="AH230" s="3">
        <v>0.61071070000000005</v>
      </c>
      <c r="AI230" s="3">
        <v>0.61443919999999996</v>
      </c>
      <c r="AJ230" s="3">
        <v>0.61818340000000005</v>
      </c>
      <c r="AK230" s="3">
        <v>0.62194130000000003</v>
      </c>
      <c r="AL230" s="3">
        <v>0.62571109999999996</v>
      </c>
      <c r="AM230" s="3">
        <v>0.62949069999999996</v>
      </c>
      <c r="AN230" s="3">
        <v>0.63327840000000002</v>
      </c>
      <c r="AO230" s="3">
        <v>0.63707250000000004</v>
      </c>
      <c r="AP230" s="3">
        <v>0.64087289999999997</v>
      </c>
      <c r="AQ230" s="3">
        <v>0.64467969999999997</v>
      </c>
      <c r="AR230" s="3">
        <v>0.64849319999999999</v>
      </c>
      <c r="AS230" s="3">
        <v>0.65231380000000005</v>
      </c>
      <c r="AT230" s="3">
        <v>0.65614150000000004</v>
      </c>
      <c r="AU230" s="3">
        <v>0.65997660000000002</v>
      </c>
      <c r="AV230" s="3">
        <v>0.66381939999999995</v>
      </c>
      <c r="AW230" s="3">
        <v>0.66767010000000004</v>
      </c>
      <c r="AX230" s="3">
        <v>0.67152900000000004</v>
      </c>
      <c r="AY230" s="3">
        <v>0.6753962</v>
      </c>
      <c r="AZ230" s="3">
        <v>0.67927199999999999</v>
      </c>
      <c r="BA230" s="3">
        <v>0.68315689999999996</v>
      </c>
      <c r="BB230" s="3">
        <v>0.68705289999999997</v>
      </c>
      <c r="BC230" s="3">
        <v>0.69096219999999997</v>
      </c>
      <c r="BD230" s="3">
        <v>0.69488709999999998</v>
      </c>
      <c r="BE230" s="3">
        <v>0.69882979999999995</v>
      </c>
      <c r="BF230" s="3">
        <v>0.70279270000000005</v>
      </c>
      <c r="BG230" s="3">
        <v>0.70677789999999996</v>
      </c>
      <c r="BH230" s="3">
        <v>0.71078779999999997</v>
      </c>
      <c r="BI230" s="3">
        <v>0.71482469999999998</v>
      </c>
      <c r="BJ230" s="3">
        <v>0.71889069999999999</v>
      </c>
      <c r="BK230" s="3">
        <v>0.72298819999999997</v>
      </c>
      <c r="BL230" s="3">
        <v>0.72711950000000003</v>
      </c>
      <c r="BM230" s="3" t="e">
        <v>#N/A</v>
      </c>
      <c r="BN230" s="3" t="e">
        <v>#N/A</v>
      </c>
    </row>
    <row r="231" spans="1:66" x14ac:dyDescent="0.35">
      <c r="A231" s="5">
        <f t="shared" si="3"/>
        <v>43777</v>
      </c>
      <c r="B231" t="s">
        <v>308</v>
      </c>
      <c r="C231" s="2">
        <v>0.75</v>
      </c>
      <c r="D231" s="2">
        <v>0.71</v>
      </c>
      <c r="E231" s="3">
        <v>0.69189489999999998</v>
      </c>
      <c r="F231" s="3">
        <v>0.6621918</v>
      </c>
      <c r="G231" s="3">
        <v>0.64011459999999998</v>
      </c>
      <c r="H231" s="3">
        <v>0.62203540000000002</v>
      </c>
      <c r="I231" s="3">
        <v>0.60730079999999997</v>
      </c>
      <c r="J231" s="3">
        <v>0.59552850000000002</v>
      </c>
      <c r="K231" s="3">
        <v>0.58634180000000002</v>
      </c>
      <c r="L231" s="3">
        <v>0.57941169999999997</v>
      </c>
      <c r="M231" s="3">
        <v>0.57443979999999994</v>
      </c>
      <c r="N231" s="3">
        <v>0.57122070000000003</v>
      </c>
      <c r="O231" s="3">
        <v>0.56951010000000002</v>
      </c>
      <c r="P231" s="3">
        <v>0.56906299999999999</v>
      </c>
      <c r="Q231" s="3">
        <v>0.56945199999999996</v>
      </c>
      <c r="R231" s="3">
        <v>0.57048189999999999</v>
      </c>
      <c r="S231" s="3">
        <v>0.57204880000000002</v>
      </c>
      <c r="T231" s="3">
        <v>0.57404909999999998</v>
      </c>
      <c r="U231" s="3">
        <v>0.57637910000000003</v>
      </c>
      <c r="V231" s="3">
        <v>0.57893519999999998</v>
      </c>
      <c r="W231" s="3">
        <v>0.58162440000000004</v>
      </c>
      <c r="X231" s="3">
        <v>0.58440329999999996</v>
      </c>
      <c r="Y231" s="3">
        <v>0.58724310000000002</v>
      </c>
      <c r="Z231" s="3">
        <v>0.5901149</v>
      </c>
      <c r="AA231" s="3">
        <v>0.59298980000000001</v>
      </c>
      <c r="AB231" s="3">
        <v>0.59583889999999995</v>
      </c>
      <c r="AC231" s="3">
        <v>0.59863789999999995</v>
      </c>
      <c r="AD231" s="3">
        <v>0.60138349999999996</v>
      </c>
      <c r="AE231" s="3">
        <v>0.6040778</v>
      </c>
      <c r="AF231" s="3">
        <v>0.60672329999999997</v>
      </c>
      <c r="AG231" s="3">
        <v>0.60932209999999998</v>
      </c>
      <c r="AH231" s="3">
        <v>0.61187659999999999</v>
      </c>
      <c r="AI231" s="3">
        <v>0.61438899999999996</v>
      </c>
      <c r="AJ231" s="3">
        <v>0.61686160000000001</v>
      </c>
      <c r="AK231" s="3">
        <v>0.61929670000000003</v>
      </c>
      <c r="AL231" s="3">
        <v>0.62169649999999999</v>
      </c>
      <c r="AM231" s="3">
        <v>0.62406340000000005</v>
      </c>
      <c r="AN231" s="3">
        <v>0.62639959999999995</v>
      </c>
      <c r="AO231" s="3">
        <v>0.62870789999999999</v>
      </c>
      <c r="AP231" s="3">
        <v>0.63099329999999998</v>
      </c>
      <c r="AQ231" s="3">
        <v>0.63326150000000003</v>
      </c>
      <c r="AR231" s="3">
        <v>0.63551809999999997</v>
      </c>
      <c r="AS231" s="3">
        <v>0.63776860000000002</v>
      </c>
      <c r="AT231" s="3">
        <v>0.6400188</v>
      </c>
      <c r="AU231" s="3">
        <v>0.64227420000000002</v>
      </c>
      <c r="AV231" s="3">
        <v>0.64454049999999996</v>
      </c>
      <c r="AW231" s="3">
        <v>0.64682329999999999</v>
      </c>
      <c r="AX231" s="3">
        <v>0.64912820000000004</v>
      </c>
      <c r="AY231" s="3">
        <v>0.65146090000000001</v>
      </c>
      <c r="AZ231" s="3">
        <v>0.65382700000000005</v>
      </c>
      <c r="BA231" s="3">
        <v>0.65623189999999998</v>
      </c>
      <c r="BB231" s="3">
        <v>0.65868000000000004</v>
      </c>
      <c r="BC231" s="3">
        <v>0.66117559999999997</v>
      </c>
      <c r="BD231" s="3">
        <v>0.6637227</v>
      </c>
      <c r="BE231" s="3">
        <v>0.66632570000000002</v>
      </c>
      <c r="BF231" s="3">
        <v>0.66898869999999999</v>
      </c>
      <c r="BG231" s="3">
        <v>0.67171579999999997</v>
      </c>
      <c r="BH231" s="3">
        <v>0.67451130000000004</v>
      </c>
      <c r="BI231" s="3">
        <v>0.67737939999999996</v>
      </c>
      <c r="BJ231" s="3">
        <v>0.68032420000000005</v>
      </c>
      <c r="BK231" s="3">
        <v>0.68334989999999995</v>
      </c>
      <c r="BL231" s="3">
        <v>0.68646070000000003</v>
      </c>
      <c r="BM231" s="3" t="e">
        <v>#N/A</v>
      </c>
      <c r="BN231" s="3" t="e">
        <v>#N/A</v>
      </c>
    </row>
    <row r="232" spans="1:66" x14ac:dyDescent="0.35">
      <c r="A232" s="5">
        <f t="shared" si="3"/>
        <v>43780</v>
      </c>
      <c r="B232" t="s">
        <v>309</v>
      </c>
      <c r="C232" s="2">
        <v>0.75</v>
      </c>
      <c r="D232" s="2">
        <v>0.71120000000000005</v>
      </c>
      <c r="E232" s="3">
        <v>0.70065540000000004</v>
      </c>
      <c r="F232" s="3">
        <v>0.67344119999999996</v>
      </c>
      <c r="G232" s="3">
        <v>0.64973150000000002</v>
      </c>
      <c r="H232" s="3">
        <v>0.63130960000000003</v>
      </c>
      <c r="I232" s="3">
        <v>0.61729690000000004</v>
      </c>
      <c r="J232" s="3">
        <v>0.60650020000000004</v>
      </c>
      <c r="K232" s="3">
        <v>0.59825729999999999</v>
      </c>
      <c r="L232" s="3">
        <v>0.59225110000000003</v>
      </c>
      <c r="M232" s="3">
        <v>0.58836109999999997</v>
      </c>
      <c r="N232" s="3">
        <v>0.58631650000000002</v>
      </c>
      <c r="O232" s="3">
        <v>0.58584049999999999</v>
      </c>
      <c r="P232" s="3">
        <v>0.5865842</v>
      </c>
      <c r="Q232" s="3">
        <v>0.58811919999999995</v>
      </c>
      <c r="R232" s="3">
        <v>0.59024100000000002</v>
      </c>
      <c r="S232" s="3">
        <v>0.59281589999999995</v>
      </c>
      <c r="T232" s="3">
        <v>0.59571039999999997</v>
      </c>
      <c r="U232" s="3">
        <v>0.59879079999999996</v>
      </c>
      <c r="V232" s="3">
        <v>0.6019236</v>
      </c>
      <c r="W232" s="3">
        <v>0.60499709999999995</v>
      </c>
      <c r="X232" s="3">
        <v>0.60798240000000003</v>
      </c>
      <c r="Y232" s="3">
        <v>0.61087069999999999</v>
      </c>
      <c r="Z232" s="3">
        <v>0.61365320000000001</v>
      </c>
      <c r="AA232" s="3">
        <v>0.61632070000000005</v>
      </c>
      <c r="AB232" s="3">
        <v>0.61886459999999999</v>
      </c>
      <c r="AC232" s="3">
        <v>0.62127909999999997</v>
      </c>
      <c r="AD232" s="3">
        <v>0.62357340000000006</v>
      </c>
      <c r="AE232" s="3">
        <v>0.62576100000000001</v>
      </c>
      <c r="AF232" s="3">
        <v>0.62785500000000005</v>
      </c>
      <c r="AG232" s="3">
        <v>0.62986880000000001</v>
      </c>
      <c r="AH232" s="3">
        <v>0.63181560000000003</v>
      </c>
      <c r="AI232" s="3">
        <v>0.63370870000000001</v>
      </c>
      <c r="AJ232" s="3">
        <v>0.6355615</v>
      </c>
      <c r="AK232" s="3">
        <v>0.63738729999999999</v>
      </c>
      <c r="AL232" s="3">
        <v>0.63919919999999997</v>
      </c>
      <c r="AM232" s="3">
        <v>0.64101070000000004</v>
      </c>
      <c r="AN232" s="3">
        <v>0.64283500000000005</v>
      </c>
      <c r="AO232" s="3">
        <v>0.64468400000000003</v>
      </c>
      <c r="AP232" s="3">
        <v>0.64656369999999996</v>
      </c>
      <c r="AQ232" s="3">
        <v>0.64847829999999995</v>
      </c>
      <c r="AR232" s="3">
        <v>0.65043220000000002</v>
      </c>
      <c r="AS232" s="3">
        <v>0.65242960000000005</v>
      </c>
      <c r="AT232" s="3">
        <v>0.65447480000000002</v>
      </c>
      <c r="AU232" s="3">
        <v>0.65657209999999999</v>
      </c>
      <c r="AV232" s="3">
        <v>0.65872580000000003</v>
      </c>
      <c r="AW232" s="3">
        <v>0.66094010000000003</v>
      </c>
      <c r="AX232" s="3">
        <v>0.66321929999999996</v>
      </c>
      <c r="AY232" s="3">
        <v>0.66556780000000004</v>
      </c>
      <c r="AZ232" s="3">
        <v>0.66798970000000002</v>
      </c>
      <c r="BA232" s="3">
        <v>0.67048870000000005</v>
      </c>
      <c r="BB232" s="3">
        <v>0.67306460000000001</v>
      </c>
      <c r="BC232" s="3">
        <v>0.67571590000000004</v>
      </c>
      <c r="BD232" s="3">
        <v>0.67844130000000002</v>
      </c>
      <c r="BE232" s="3">
        <v>0.68123920000000004</v>
      </c>
      <c r="BF232" s="3">
        <v>0.68410820000000006</v>
      </c>
      <c r="BG232" s="3">
        <v>0.68704699999999996</v>
      </c>
      <c r="BH232" s="3">
        <v>0.6900539</v>
      </c>
      <c r="BI232" s="3">
        <v>0.69312770000000001</v>
      </c>
      <c r="BJ232" s="3">
        <v>0.69626679999999996</v>
      </c>
      <c r="BK232" s="3">
        <v>0.69946980000000003</v>
      </c>
      <c r="BL232" s="3">
        <v>0.70273529999999995</v>
      </c>
      <c r="BM232" s="3" t="e">
        <v>#N/A</v>
      </c>
      <c r="BN232" s="3" t="e">
        <v>#N/A</v>
      </c>
    </row>
    <row r="233" spans="1:66" x14ac:dyDescent="0.35">
      <c r="A233" s="5">
        <f t="shared" si="3"/>
        <v>43781</v>
      </c>
      <c r="B233" t="s">
        <v>310</v>
      </c>
      <c r="C233" s="2">
        <v>0.75</v>
      </c>
      <c r="D233" s="2">
        <v>0.71030000000000004</v>
      </c>
      <c r="E233" s="3">
        <v>0.69830400000000004</v>
      </c>
      <c r="F233" s="3">
        <v>0.67572310000000002</v>
      </c>
      <c r="G233" s="3">
        <v>0.65607300000000002</v>
      </c>
      <c r="H233" s="3">
        <v>0.63767879999999999</v>
      </c>
      <c r="I233" s="3">
        <v>0.62126579999999998</v>
      </c>
      <c r="J233" s="3">
        <v>0.60732030000000004</v>
      </c>
      <c r="K233" s="3">
        <v>0.59609780000000001</v>
      </c>
      <c r="L233" s="3">
        <v>0.58746370000000003</v>
      </c>
      <c r="M233" s="3">
        <v>0.58114520000000003</v>
      </c>
      <c r="N233" s="3">
        <v>0.57687489999999997</v>
      </c>
      <c r="O233" s="3">
        <v>0.57445670000000004</v>
      </c>
      <c r="P233" s="3">
        <v>0.57372400000000001</v>
      </c>
      <c r="Q233" s="3">
        <v>0.57431840000000001</v>
      </c>
      <c r="R233" s="3">
        <v>0.57597370000000003</v>
      </c>
      <c r="S233" s="3">
        <v>0.57846750000000002</v>
      </c>
      <c r="T233" s="3">
        <v>0.58157720000000002</v>
      </c>
      <c r="U233" s="3">
        <v>0.58508009999999999</v>
      </c>
      <c r="V233" s="3">
        <v>0.58875379999999999</v>
      </c>
      <c r="W233" s="3">
        <v>0.59241220000000006</v>
      </c>
      <c r="X233" s="3">
        <v>0.59600839999999999</v>
      </c>
      <c r="Y233" s="3">
        <v>0.59952870000000003</v>
      </c>
      <c r="Z233" s="3">
        <v>0.60295929999999998</v>
      </c>
      <c r="AA233" s="3">
        <v>0.60628649999999995</v>
      </c>
      <c r="AB233" s="3">
        <v>0.60949660000000005</v>
      </c>
      <c r="AC233" s="3">
        <v>0.61257919999999999</v>
      </c>
      <c r="AD233" s="3">
        <v>0.61553930000000001</v>
      </c>
      <c r="AE233" s="3">
        <v>0.6183864</v>
      </c>
      <c r="AF233" s="3">
        <v>0.6211295</v>
      </c>
      <c r="AG233" s="3">
        <v>0.6237781</v>
      </c>
      <c r="AH233" s="3">
        <v>0.62634129999999999</v>
      </c>
      <c r="AI233" s="3">
        <v>0.62882850000000001</v>
      </c>
      <c r="AJ233" s="3">
        <v>0.63124880000000005</v>
      </c>
      <c r="AK233" s="3">
        <v>0.6336117</v>
      </c>
      <c r="AL233" s="3">
        <v>0.6359262</v>
      </c>
      <c r="AM233" s="3">
        <v>0.63820180000000004</v>
      </c>
      <c r="AN233" s="3">
        <v>0.64044769999999995</v>
      </c>
      <c r="AO233" s="3">
        <v>0.64267249999999998</v>
      </c>
      <c r="AP233" s="3">
        <v>0.6448815</v>
      </c>
      <c r="AQ233" s="3">
        <v>0.64707879999999995</v>
      </c>
      <c r="AR233" s="3">
        <v>0.64926859999999997</v>
      </c>
      <c r="AS233" s="3">
        <v>0.65145509999999995</v>
      </c>
      <c r="AT233" s="3">
        <v>0.65364219999999995</v>
      </c>
      <c r="AU233" s="3">
        <v>0.65583429999999998</v>
      </c>
      <c r="AV233" s="3">
        <v>0.65803540000000005</v>
      </c>
      <c r="AW233" s="3">
        <v>0.66024970000000005</v>
      </c>
      <c r="AX233" s="3">
        <v>0.66248130000000005</v>
      </c>
      <c r="AY233" s="3">
        <v>0.66473439999999995</v>
      </c>
      <c r="AZ233" s="3">
        <v>0.66701299999999997</v>
      </c>
      <c r="BA233" s="3">
        <v>0.66932130000000001</v>
      </c>
      <c r="BB233" s="3">
        <v>0.67166239999999999</v>
      </c>
      <c r="BC233" s="3">
        <v>0.67403930000000001</v>
      </c>
      <c r="BD233" s="3">
        <v>0.67645520000000003</v>
      </c>
      <c r="BE233" s="3">
        <v>0.67891299999999999</v>
      </c>
      <c r="BF233" s="3">
        <v>0.68141580000000002</v>
      </c>
      <c r="BG233" s="3">
        <v>0.68396650000000003</v>
      </c>
      <c r="BH233" s="3">
        <v>0.68656839999999997</v>
      </c>
      <c r="BI233" s="3">
        <v>0.68922419999999995</v>
      </c>
      <c r="BJ233" s="3">
        <v>0.69193720000000003</v>
      </c>
      <c r="BK233" s="3">
        <v>0.6947103</v>
      </c>
      <c r="BL233" s="3">
        <v>0.69754660000000002</v>
      </c>
      <c r="BM233" s="3" t="e">
        <v>#N/A</v>
      </c>
      <c r="BN233" s="3" t="e">
        <v>#N/A</v>
      </c>
    </row>
    <row r="234" spans="1:66" x14ac:dyDescent="0.35">
      <c r="A234" s="5">
        <f t="shared" si="3"/>
        <v>43782</v>
      </c>
      <c r="B234" t="s">
        <v>311</v>
      </c>
      <c r="C234" s="2">
        <v>0.75</v>
      </c>
      <c r="D234" s="2">
        <v>0.71089999999999998</v>
      </c>
      <c r="E234" s="3">
        <v>0.6970094</v>
      </c>
      <c r="F234" s="3">
        <v>0.6730294</v>
      </c>
      <c r="G234" s="3">
        <v>0.65118480000000001</v>
      </c>
      <c r="H234" s="3">
        <v>0.62984010000000001</v>
      </c>
      <c r="I234" s="3">
        <v>0.6104773</v>
      </c>
      <c r="J234" s="3">
        <v>0.59426710000000005</v>
      </c>
      <c r="K234" s="3">
        <v>0.58174820000000005</v>
      </c>
      <c r="L234" s="3">
        <v>0.57260730000000004</v>
      </c>
      <c r="M234" s="3">
        <v>0.56617490000000004</v>
      </c>
      <c r="N234" s="3">
        <v>0.56185719999999995</v>
      </c>
      <c r="O234" s="3">
        <v>0.55924940000000001</v>
      </c>
      <c r="P234" s="3">
        <v>0.55804860000000001</v>
      </c>
      <c r="Q234" s="3">
        <v>0.55782960000000004</v>
      </c>
      <c r="R234" s="3">
        <v>0.55839989999999995</v>
      </c>
      <c r="S234" s="3">
        <v>0.55964780000000003</v>
      </c>
      <c r="T234" s="3">
        <v>0.5614614</v>
      </c>
      <c r="U234" s="3">
        <v>0.56372889999999998</v>
      </c>
      <c r="V234" s="3">
        <v>0.56633829999999996</v>
      </c>
      <c r="W234" s="3">
        <v>0.56918559999999996</v>
      </c>
      <c r="X234" s="3">
        <v>0.57219679999999995</v>
      </c>
      <c r="Y234" s="3">
        <v>0.5753047</v>
      </c>
      <c r="Z234" s="3">
        <v>0.57844240000000002</v>
      </c>
      <c r="AA234" s="3">
        <v>0.58154280000000003</v>
      </c>
      <c r="AB234" s="3">
        <v>0.58453889999999997</v>
      </c>
      <c r="AC234" s="3">
        <v>0.58737300000000003</v>
      </c>
      <c r="AD234" s="3">
        <v>0.59003779999999995</v>
      </c>
      <c r="AE234" s="3">
        <v>0.59254289999999998</v>
      </c>
      <c r="AF234" s="3">
        <v>0.59489800000000004</v>
      </c>
      <c r="AG234" s="3">
        <v>0.59711270000000005</v>
      </c>
      <c r="AH234" s="3">
        <v>0.59919659999999997</v>
      </c>
      <c r="AI234" s="3">
        <v>0.60115940000000001</v>
      </c>
      <c r="AJ234" s="3">
        <v>0.60301059999999995</v>
      </c>
      <c r="AK234" s="3">
        <v>0.60475999999999996</v>
      </c>
      <c r="AL234" s="3">
        <v>0.60641710000000004</v>
      </c>
      <c r="AM234" s="3">
        <v>0.60799150000000002</v>
      </c>
      <c r="AN234" s="3">
        <v>0.6094929</v>
      </c>
      <c r="AO234" s="3">
        <v>0.61093140000000001</v>
      </c>
      <c r="AP234" s="3">
        <v>0.61231930000000001</v>
      </c>
      <c r="AQ234" s="3">
        <v>0.61366969999999998</v>
      </c>
      <c r="AR234" s="3">
        <v>0.61499570000000003</v>
      </c>
      <c r="AS234" s="3">
        <v>0.61631020000000003</v>
      </c>
      <c r="AT234" s="3">
        <v>0.61762640000000002</v>
      </c>
      <c r="AU234" s="3">
        <v>0.61895719999999999</v>
      </c>
      <c r="AV234" s="3">
        <v>0.62031579999999997</v>
      </c>
      <c r="AW234" s="3">
        <v>0.62171509999999996</v>
      </c>
      <c r="AX234" s="3">
        <v>0.62316830000000001</v>
      </c>
      <c r="AY234" s="3">
        <v>0.62468840000000003</v>
      </c>
      <c r="AZ234" s="3">
        <v>0.62628830000000002</v>
      </c>
      <c r="BA234" s="3">
        <v>0.62797939999999997</v>
      </c>
      <c r="BB234" s="3">
        <v>0.62976410000000005</v>
      </c>
      <c r="BC234" s="3">
        <v>0.63164279999999995</v>
      </c>
      <c r="BD234" s="3">
        <v>0.63361579999999995</v>
      </c>
      <c r="BE234" s="3">
        <v>0.63568340000000001</v>
      </c>
      <c r="BF234" s="3">
        <v>0.63784580000000002</v>
      </c>
      <c r="BG234" s="3">
        <v>0.64010350000000005</v>
      </c>
      <c r="BH234" s="3">
        <v>0.64245660000000004</v>
      </c>
      <c r="BI234" s="3">
        <v>0.64490550000000002</v>
      </c>
      <c r="BJ234" s="3">
        <v>0.64745039999999998</v>
      </c>
      <c r="BK234" s="3">
        <v>0.65009170000000005</v>
      </c>
      <c r="BL234" s="3">
        <v>0.65282969999999996</v>
      </c>
      <c r="BM234" s="3" t="e">
        <v>#N/A</v>
      </c>
      <c r="BN234" s="3" t="e">
        <v>#N/A</v>
      </c>
    </row>
    <row r="235" spans="1:66" x14ac:dyDescent="0.35">
      <c r="A235" s="5">
        <f t="shared" si="3"/>
        <v>43783</v>
      </c>
      <c r="B235" t="s">
        <v>312</v>
      </c>
      <c r="C235" s="2">
        <v>0.75</v>
      </c>
      <c r="D235" s="2">
        <v>0.70909999999999995</v>
      </c>
      <c r="E235" s="3">
        <v>0.69575799999999999</v>
      </c>
      <c r="F235" s="3">
        <v>0.66689370000000003</v>
      </c>
      <c r="G235" s="3">
        <v>0.64130500000000001</v>
      </c>
      <c r="H235" s="3">
        <v>0.61693900000000002</v>
      </c>
      <c r="I235" s="3">
        <v>0.59433670000000005</v>
      </c>
      <c r="J235" s="3">
        <v>0.57424470000000005</v>
      </c>
      <c r="K235" s="3">
        <v>0.55735400000000002</v>
      </c>
      <c r="L235" s="3">
        <v>0.54388630000000004</v>
      </c>
      <c r="M235" s="3">
        <v>0.5335645</v>
      </c>
      <c r="N235" s="3">
        <v>0.52590890000000001</v>
      </c>
      <c r="O235" s="3">
        <v>0.52049959999999995</v>
      </c>
      <c r="P235" s="3">
        <v>0.51689799999999997</v>
      </c>
      <c r="Q235" s="3">
        <v>0.51448450000000001</v>
      </c>
      <c r="R235" s="3">
        <v>0.51302190000000003</v>
      </c>
      <c r="S235" s="3">
        <v>0.51242509999999997</v>
      </c>
      <c r="T235" s="3">
        <v>0.51260910000000004</v>
      </c>
      <c r="U235" s="3">
        <v>0.51348899999999997</v>
      </c>
      <c r="V235" s="3">
        <v>0.51497959999999998</v>
      </c>
      <c r="W235" s="3">
        <v>0.51699419999999996</v>
      </c>
      <c r="X235" s="3">
        <v>0.51943879999999998</v>
      </c>
      <c r="Y235" s="3">
        <v>0.52221810000000002</v>
      </c>
      <c r="Z235" s="3">
        <v>0.52523640000000005</v>
      </c>
      <c r="AA235" s="3">
        <v>0.52839820000000004</v>
      </c>
      <c r="AB235" s="3">
        <v>0.53160799999999997</v>
      </c>
      <c r="AC235" s="3">
        <v>0.53478230000000004</v>
      </c>
      <c r="AD235" s="3">
        <v>0.53789569999999998</v>
      </c>
      <c r="AE235" s="3">
        <v>0.54094070000000005</v>
      </c>
      <c r="AF235" s="3">
        <v>0.54390970000000005</v>
      </c>
      <c r="AG235" s="3">
        <v>0.54679520000000004</v>
      </c>
      <c r="AH235" s="3">
        <v>0.54958949999999995</v>
      </c>
      <c r="AI235" s="3">
        <v>0.55228529999999998</v>
      </c>
      <c r="AJ235" s="3">
        <v>0.5548748</v>
      </c>
      <c r="AK235" s="3">
        <v>0.55735049999999997</v>
      </c>
      <c r="AL235" s="3">
        <v>0.55970489999999995</v>
      </c>
      <c r="AM235" s="3">
        <v>0.56193040000000005</v>
      </c>
      <c r="AN235" s="3">
        <v>0.56401950000000001</v>
      </c>
      <c r="AO235" s="3">
        <v>0.56596820000000003</v>
      </c>
      <c r="AP235" s="3">
        <v>0.56778870000000004</v>
      </c>
      <c r="AQ235" s="3">
        <v>0.56949760000000005</v>
      </c>
      <c r="AR235" s="3">
        <v>0.57111149999999999</v>
      </c>
      <c r="AS235" s="3">
        <v>0.57264700000000002</v>
      </c>
      <c r="AT235" s="3">
        <v>0.57412070000000004</v>
      </c>
      <c r="AU235" s="3">
        <v>0.57554919999999998</v>
      </c>
      <c r="AV235" s="3">
        <v>0.57694909999999999</v>
      </c>
      <c r="AW235" s="3">
        <v>0.57833699999999999</v>
      </c>
      <c r="AX235" s="3">
        <v>0.57972950000000001</v>
      </c>
      <c r="AY235" s="3">
        <v>0.58114330000000003</v>
      </c>
      <c r="AZ235" s="3">
        <v>0.58259479999999997</v>
      </c>
      <c r="BA235" s="3">
        <v>0.58409889999999998</v>
      </c>
      <c r="BB235" s="3">
        <v>0.5856616</v>
      </c>
      <c r="BC235" s="3">
        <v>0.58728670000000005</v>
      </c>
      <c r="BD235" s="3">
        <v>0.58897820000000001</v>
      </c>
      <c r="BE235" s="3">
        <v>0.59073969999999998</v>
      </c>
      <c r="BF235" s="3">
        <v>0.59257519999999997</v>
      </c>
      <c r="BG235" s="3">
        <v>0.59448840000000003</v>
      </c>
      <c r="BH235" s="3">
        <v>0.59648319999999999</v>
      </c>
      <c r="BI235" s="3">
        <v>0.59856330000000002</v>
      </c>
      <c r="BJ235" s="3">
        <v>0.60073259999999995</v>
      </c>
      <c r="BK235" s="3">
        <v>0.6029949</v>
      </c>
      <c r="BL235" s="3">
        <v>0.60535410000000001</v>
      </c>
      <c r="BM235" s="3" t="e">
        <v>#N/A</v>
      </c>
      <c r="BN235" s="3" t="e">
        <v>#N/A</v>
      </c>
    </row>
    <row r="236" spans="1:66" x14ac:dyDescent="0.35">
      <c r="A236" s="5">
        <f t="shared" si="3"/>
        <v>43784</v>
      </c>
      <c r="B236" t="s">
        <v>313</v>
      </c>
      <c r="C236" s="2">
        <v>0.75</v>
      </c>
      <c r="D236" s="2">
        <v>0.70850000000000002</v>
      </c>
      <c r="E236" s="3">
        <v>0.69584389999999996</v>
      </c>
      <c r="F236" s="3">
        <v>0.66884469999999996</v>
      </c>
      <c r="G236" s="3">
        <v>0.64587110000000003</v>
      </c>
      <c r="H236" s="3">
        <v>0.62471759999999998</v>
      </c>
      <c r="I236" s="3">
        <v>0.60563089999999997</v>
      </c>
      <c r="J236" s="3">
        <v>0.58931770000000006</v>
      </c>
      <c r="K236" s="3">
        <v>0.57630040000000005</v>
      </c>
      <c r="L236" s="3">
        <v>0.56668929999999995</v>
      </c>
      <c r="M236" s="3">
        <v>0.56007410000000002</v>
      </c>
      <c r="N236" s="3">
        <v>0.55587830000000005</v>
      </c>
      <c r="O236" s="3">
        <v>0.55350189999999999</v>
      </c>
      <c r="P236" s="3">
        <v>0.55248759999999997</v>
      </c>
      <c r="Q236" s="3">
        <v>0.55227530000000002</v>
      </c>
      <c r="R236" s="3">
        <v>0.55267189999999999</v>
      </c>
      <c r="S236" s="3">
        <v>0.55361640000000001</v>
      </c>
      <c r="T236" s="3">
        <v>0.55504759999999997</v>
      </c>
      <c r="U236" s="3">
        <v>0.55690450000000002</v>
      </c>
      <c r="V236" s="3">
        <v>0.55912580000000001</v>
      </c>
      <c r="W236" s="3">
        <v>0.56164959999999997</v>
      </c>
      <c r="X236" s="3">
        <v>0.56441010000000003</v>
      </c>
      <c r="Y236" s="3">
        <v>0.56733999999999996</v>
      </c>
      <c r="Z236" s="3">
        <v>0.5703724</v>
      </c>
      <c r="AA236" s="3">
        <v>0.57344019999999996</v>
      </c>
      <c r="AB236" s="3">
        <v>0.57647619999999999</v>
      </c>
      <c r="AC236" s="3">
        <v>0.57942309999999997</v>
      </c>
      <c r="AD236" s="3">
        <v>0.58226699999999998</v>
      </c>
      <c r="AE236" s="3">
        <v>0.58500560000000001</v>
      </c>
      <c r="AF236" s="3">
        <v>0.58763679999999996</v>
      </c>
      <c r="AG236" s="3">
        <v>0.59015859999999998</v>
      </c>
      <c r="AH236" s="3">
        <v>0.59256869999999995</v>
      </c>
      <c r="AI236" s="3">
        <v>0.59486499999999998</v>
      </c>
      <c r="AJ236" s="3">
        <v>0.59704539999999995</v>
      </c>
      <c r="AK236" s="3">
        <v>0.59910770000000002</v>
      </c>
      <c r="AL236" s="3">
        <v>0.60104990000000003</v>
      </c>
      <c r="AM236" s="3">
        <v>0.60286969999999995</v>
      </c>
      <c r="AN236" s="3">
        <v>0.60456509999999997</v>
      </c>
      <c r="AO236" s="3">
        <v>0.60613669999999997</v>
      </c>
      <c r="AP236" s="3">
        <v>0.60759770000000002</v>
      </c>
      <c r="AQ236" s="3">
        <v>0.60896459999999997</v>
      </c>
      <c r="AR236" s="3">
        <v>0.61025399999999996</v>
      </c>
      <c r="AS236" s="3">
        <v>0.61148239999999998</v>
      </c>
      <c r="AT236" s="3">
        <v>0.6126663</v>
      </c>
      <c r="AU236" s="3">
        <v>0.61382250000000005</v>
      </c>
      <c r="AV236" s="3">
        <v>0.61496740000000005</v>
      </c>
      <c r="AW236" s="3">
        <v>0.61611749999999998</v>
      </c>
      <c r="AX236" s="3">
        <v>0.61728950000000005</v>
      </c>
      <c r="AY236" s="3">
        <v>0.61849980000000004</v>
      </c>
      <c r="AZ236" s="3">
        <v>0.61976520000000002</v>
      </c>
      <c r="BA236" s="3">
        <v>0.62109959999999997</v>
      </c>
      <c r="BB236" s="3">
        <v>0.62250629999999996</v>
      </c>
      <c r="BC236" s="3">
        <v>0.62398580000000003</v>
      </c>
      <c r="BD236" s="3">
        <v>0.62553820000000004</v>
      </c>
      <c r="BE236" s="3">
        <v>0.62716400000000005</v>
      </c>
      <c r="BF236" s="3">
        <v>0.62886339999999996</v>
      </c>
      <c r="BG236" s="3">
        <v>0.6306368</v>
      </c>
      <c r="BH236" s="3">
        <v>0.63248439999999995</v>
      </c>
      <c r="BI236" s="3">
        <v>0.63440669999999999</v>
      </c>
      <c r="BJ236" s="3">
        <v>0.63640379999999996</v>
      </c>
      <c r="BK236" s="3">
        <v>0.63847620000000005</v>
      </c>
      <c r="BL236" s="3">
        <v>0.64062410000000003</v>
      </c>
      <c r="BM236" s="3" t="e">
        <v>#N/A</v>
      </c>
      <c r="BN236" s="3" t="e">
        <v>#N/A</v>
      </c>
    </row>
    <row r="237" spans="1:66" x14ac:dyDescent="0.35">
      <c r="A237" s="5">
        <f t="shared" si="3"/>
        <v>43787</v>
      </c>
      <c r="B237" t="s">
        <v>314</v>
      </c>
      <c r="C237" s="2">
        <v>0.75</v>
      </c>
      <c r="D237" s="2">
        <v>0.70989999999999998</v>
      </c>
      <c r="E237" s="3">
        <v>0.69889769999999996</v>
      </c>
      <c r="F237" s="3">
        <v>0.67096060000000002</v>
      </c>
      <c r="G237" s="3">
        <v>0.64795150000000001</v>
      </c>
      <c r="H237" s="3">
        <v>0.62852359999999996</v>
      </c>
      <c r="I237" s="3">
        <v>0.61181359999999996</v>
      </c>
      <c r="J237" s="3">
        <v>0.59764099999999998</v>
      </c>
      <c r="K237" s="3">
        <v>0.58616140000000005</v>
      </c>
      <c r="L237" s="3">
        <v>0.57751129999999995</v>
      </c>
      <c r="M237" s="3">
        <v>0.57164939999999997</v>
      </c>
      <c r="N237" s="3">
        <v>0.56811480000000003</v>
      </c>
      <c r="O237" s="3">
        <v>0.56651810000000002</v>
      </c>
      <c r="P237" s="3">
        <v>0.56645060000000003</v>
      </c>
      <c r="Q237" s="3">
        <v>0.56743160000000004</v>
      </c>
      <c r="R237" s="3">
        <v>0.56921940000000004</v>
      </c>
      <c r="S237" s="3">
        <v>0.57164800000000004</v>
      </c>
      <c r="T237" s="3">
        <v>0.57455100000000003</v>
      </c>
      <c r="U237" s="3">
        <v>0.57776229999999995</v>
      </c>
      <c r="V237" s="3">
        <v>0.58111579999999996</v>
      </c>
      <c r="W237" s="3">
        <v>0.58446920000000002</v>
      </c>
      <c r="X237" s="3">
        <v>0.58777230000000003</v>
      </c>
      <c r="Y237" s="3">
        <v>0.59099639999999998</v>
      </c>
      <c r="Z237" s="3">
        <v>0.594113</v>
      </c>
      <c r="AA237" s="3">
        <v>0.59709350000000005</v>
      </c>
      <c r="AB237" s="3">
        <v>0.59990949999999998</v>
      </c>
      <c r="AC237" s="3">
        <v>0.60253880000000004</v>
      </c>
      <c r="AD237" s="3">
        <v>0.60498850000000004</v>
      </c>
      <c r="AE237" s="3">
        <v>0.60727339999999996</v>
      </c>
      <c r="AF237" s="3">
        <v>0.60940870000000003</v>
      </c>
      <c r="AG237" s="3">
        <v>0.61140919999999999</v>
      </c>
      <c r="AH237" s="3">
        <v>0.61328990000000005</v>
      </c>
      <c r="AI237" s="3">
        <v>0.61506570000000005</v>
      </c>
      <c r="AJ237" s="3">
        <v>0.61675170000000001</v>
      </c>
      <c r="AK237" s="3">
        <v>0.61836270000000004</v>
      </c>
      <c r="AL237" s="3">
        <v>0.61991379999999996</v>
      </c>
      <c r="AM237" s="3">
        <v>0.62141990000000003</v>
      </c>
      <c r="AN237" s="3">
        <v>0.62289600000000001</v>
      </c>
      <c r="AO237" s="3">
        <v>0.62435609999999997</v>
      </c>
      <c r="AP237" s="3">
        <v>0.62581089999999995</v>
      </c>
      <c r="AQ237" s="3">
        <v>0.62726979999999999</v>
      </c>
      <c r="AR237" s="3">
        <v>0.62874249999999998</v>
      </c>
      <c r="AS237" s="3">
        <v>0.63023839999999998</v>
      </c>
      <c r="AT237" s="3">
        <v>0.63176699999999997</v>
      </c>
      <c r="AU237" s="3">
        <v>0.63333790000000001</v>
      </c>
      <c r="AV237" s="3">
        <v>0.63496059999999999</v>
      </c>
      <c r="AW237" s="3">
        <v>0.63664469999999995</v>
      </c>
      <c r="AX237" s="3">
        <v>0.63839970000000001</v>
      </c>
      <c r="AY237" s="3">
        <v>0.64023509999999995</v>
      </c>
      <c r="AZ237" s="3">
        <v>0.64216039999999996</v>
      </c>
      <c r="BA237" s="3">
        <v>0.64418399999999998</v>
      </c>
      <c r="BB237" s="3">
        <v>0.64630750000000003</v>
      </c>
      <c r="BC237" s="3">
        <v>0.64853039999999995</v>
      </c>
      <c r="BD237" s="3">
        <v>0.65085199999999999</v>
      </c>
      <c r="BE237" s="3">
        <v>0.65327179999999996</v>
      </c>
      <c r="BF237" s="3">
        <v>0.65578930000000002</v>
      </c>
      <c r="BG237" s="3">
        <v>0.65840390000000004</v>
      </c>
      <c r="BH237" s="3">
        <v>0.66111489999999995</v>
      </c>
      <c r="BI237" s="3">
        <v>0.66392200000000001</v>
      </c>
      <c r="BJ237" s="3">
        <v>0.66682439999999998</v>
      </c>
      <c r="BK237" s="3">
        <v>0.66982169999999996</v>
      </c>
      <c r="BL237" s="3">
        <v>0.67291319999999999</v>
      </c>
      <c r="BM237" s="3" t="e">
        <v>#N/A</v>
      </c>
      <c r="BN237" s="3" t="e">
        <v>#N/A</v>
      </c>
    </row>
    <row r="238" spans="1:66" x14ac:dyDescent="0.35">
      <c r="A238" s="5">
        <f t="shared" si="3"/>
        <v>43788</v>
      </c>
      <c r="B238" t="s">
        <v>315</v>
      </c>
      <c r="C238" s="2">
        <v>0.75</v>
      </c>
      <c r="D238" s="2">
        <v>0.71060000000000001</v>
      </c>
      <c r="E238" s="3">
        <v>0.69800200000000001</v>
      </c>
      <c r="F238" s="3">
        <v>0.66863159999999999</v>
      </c>
      <c r="G238" s="3">
        <v>0.64410480000000003</v>
      </c>
      <c r="H238" s="3">
        <v>0.62317560000000005</v>
      </c>
      <c r="I238" s="3">
        <v>0.60442750000000001</v>
      </c>
      <c r="J238" s="3">
        <v>0.58741639999999995</v>
      </c>
      <c r="K238" s="3">
        <v>0.57266640000000002</v>
      </c>
      <c r="L238" s="3">
        <v>0.56125689999999995</v>
      </c>
      <c r="M238" s="3">
        <v>0.55378119999999997</v>
      </c>
      <c r="N238" s="3">
        <v>0.54980010000000001</v>
      </c>
      <c r="O238" s="3">
        <v>0.54855679999999996</v>
      </c>
      <c r="P238" s="3">
        <v>0.54932409999999998</v>
      </c>
      <c r="Q238" s="3">
        <v>0.55110179999999998</v>
      </c>
      <c r="R238" s="3">
        <v>0.55351470000000003</v>
      </c>
      <c r="S238" s="3">
        <v>0.55639649999999996</v>
      </c>
      <c r="T238" s="3">
        <v>0.55958079999999999</v>
      </c>
      <c r="U238" s="3">
        <v>0.56290110000000004</v>
      </c>
      <c r="V238" s="3">
        <v>0.56619109999999995</v>
      </c>
      <c r="W238" s="3">
        <v>0.56931719999999997</v>
      </c>
      <c r="X238" s="3">
        <v>0.57227139999999999</v>
      </c>
      <c r="Y238" s="3">
        <v>0.57507540000000001</v>
      </c>
      <c r="Z238" s="3">
        <v>0.57775120000000002</v>
      </c>
      <c r="AA238" s="3">
        <v>0.58032039999999996</v>
      </c>
      <c r="AB238" s="3">
        <v>0.58280489999999996</v>
      </c>
      <c r="AC238" s="3">
        <v>0.58522350000000001</v>
      </c>
      <c r="AD238" s="3">
        <v>0.58758290000000002</v>
      </c>
      <c r="AE238" s="3">
        <v>0.58988600000000002</v>
      </c>
      <c r="AF238" s="3">
        <v>0.59213590000000005</v>
      </c>
      <c r="AG238" s="3">
        <v>0.59433559999999996</v>
      </c>
      <c r="AH238" s="3">
        <v>0.59648829999999997</v>
      </c>
      <c r="AI238" s="3">
        <v>0.59859680000000004</v>
      </c>
      <c r="AJ238" s="3">
        <v>0.60066430000000004</v>
      </c>
      <c r="AK238" s="3">
        <v>0.6026939</v>
      </c>
      <c r="AL238" s="3">
        <v>0.60468849999999996</v>
      </c>
      <c r="AM238" s="3">
        <v>0.60665119999999995</v>
      </c>
      <c r="AN238" s="3">
        <v>0.60858509999999999</v>
      </c>
      <c r="AO238" s="3">
        <v>0.61049350000000002</v>
      </c>
      <c r="AP238" s="3">
        <v>0.61238099999999995</v>
      </c>
      <c r="AQ238" s="3">
        <v>0.61425260000000004</v>
      </c>
      <c r="AR238" s="3">
        <v>0.61611349999999998</v>
      </c>
      <c r="AS238" s="3">
        <v>0.61796890000000004</v>
      </c>
      <c r="AT238" s="3">
        <v>0.61982360000000003</v>
      </c>
      <c r="AU238" s="3">
        <v>0.62168290000000004</v>
      </c>
      <c r="AV238" s="3">
        <v>0.62355190000000005</v>
      </c>
      <c r="AW238" s="3">
        <v>0.62543559999999998</v>
      </c>
      <c r="AX238" s="3">
        <v>0.62733910000000004</v>
      </c>
      <c r="AY238" s="3">
        <v>0.62926749999999998</v>
      </c>
      <c r="AZ238" s="3">
        <v>0.63122590000000001</v>
      </c>
      <c r="BA238" s="3">
        <v>0.63321919999999998</v>
      </c>
      <c r="BB238" s="3">
        <v>0.63525089999999995</v>
      </c>
      <c r="BC238" s="3">
        <v>0.63732420000000001</v>
      </c>
      <c r="BD238" s="3">
        <v>0.63944230000000002</v>
      </c>
      <c r="BE238" s="3">
        <v>0.64160850000000003</v>
      </c>
      <c r="BF238" s="3">
        <v>0.6438258</v>
      </c>
      <c r="BG238" s="3">
        <v>0.6460977</v>
      </c>
      <c r="BH238" s="3">
        <v>0.64842710000000003</v>
      </c>
      <c r="BI238" s="3">
        <v>0.65081739999999999</v>
      </c>
      <c r="BJ238" s="3">
        <v>0.65327170000000001</v>
      </c>
      <c r="BK238" s="3">
        <v>0.65579330000000002</v>
      </c>
      <c r="BL238" s="3">
        <v>0.65838529999999995</v>
      </c>
      <c r="BM238" s="3" t="e">
        <v>#N/A</v>
      </c>
      <c r="BN238" s="3" t="e">
        <v>#N/A</v>
      </c>
    </row>
    <row r="239" spans="1:66" x14ac:dyDescent="0.35">
      <c r="A239" s="5">
        <f t="shared" si="3"/>
        <v>43789</v>
      </c>
      <c r="B239" t="s">
        <v>316</v>
      </c>
      <c r="C239" s="2">
        <v>0.75</v>
      </c>
      <c r="D239" s="2">
        <v>0.71079999999999999</v>
      </c>
      <c r="E239" s="3">
        <v>0.7007428</v>
      </c>
      <c r="F239" s="3">
        <v>0.67278320000000003</v>
      </c>
      <c r="G239" s="3">
        <v>0.64802199999999999</v>
      </c>
      <c r="H239" s="3">
        <v>0.62638400000000005</v>
      </c>
      <c r="I239" s="3">
        <v>0.60741630000000002</v>
      </c>
      <c r="J239" s="3">
        <v>0.59123689999999995</v>
      </c>
      <c r="K239" s="3">
        <v>0.57832660000000002</v>
      </c>
      <c r="L239" s="3">
        <v>0.5687934</v>
      </c>
      <c r="M239" s="3">
        <v>0.56225170000000002</v>
      </c>
      <c r="N239" s="3">
        <v>0.55804860000000001</v>
      </c>
      <c r="O239" s="3">
        <v>0.55552000000000001</v>
      </c>
      <c r="P239" s="3">
        <v>0.55408460000000004</v>
      </c>
      <c r="Q239" s="3">
        <v>0.55300519999999997</v>
      </c>
      <c r="R239" s="3">
        <v>0.55213639999999997</v>
      </c>
      <c r="S239" s="3">
        <v>0.5515217</v>
      </c>
      <c r="T239" s="3">
        <v>0.5512051</v>
      </c>
      <c r="U239" s="3">
        <v>0.55123009999999995</v>
      </c>
      <c r="V239" s="3">
        <v>0.55164049999999998</v>
      </c>
      <c r="W239" s="3">
        <v>0.55246499999999998</v>
      </c>
      <c r="X239" s="3">
        <v>0.55367379999999999</v>
      </c>
      <c r="Y239" s="3">
        <v>0.55522380000000005</v>
      </c>
      <c r="Z239" s="3">
        <v>0.5570716</v>
      </c>
      <c r="AA239" s="3">
        <v>0.5591739</v>
      </c>
      <c r="AB239" s="3">
        <v>0.56148730000000002</v>
      </c>
      <c r="AC239" s="3">
        <v>0.56397120000000001</v>
      </c>
      <c r="AD239" s="3">
        <v>0.56659890000000002</v>
      </c>
      <c r="AE239" s="3">
        <v>0.56934810000000002</v>
      </c>
      <c r="AF239" s="3">
        <v>0.57219679999999995</v>
      </c>
      <c r="AG239" s="3">
        <v>0.57512300000000005</v>
      </c>
      <c r="AH239" s="3">
        <v>0.57810459999999997</v>
      </c>
      <c r="AI239" s="3">
        <v>0.58111950000000001</v>
      </c>
      <c r="AJ239" s="3">
        <v>0.58414549999999998</v>
      </c>
      <c r="AK239" s="3">
        <v>0.58716069999999998</v>
      </c>
      <c r="AL239" s="3">
        <v>0.59014290000000003</v>
      </c>
      <c r="AM239" s="3">
        <v>0.59307010000000004</v>
      </c>
      <c r="AN239" s="3">
        <v>0.59592020000000001</v>
      </c>
      <c r="AO239" s="3">
        <v>0.59867530000000002</v>
      </c>
      <c r="AP239" s="3">
        <v>0.60133809999999999</v>
      </c>
      <c r="AQ239" s="3">
        <v>0.6039175</v>
      </c>
      <c r="AR239" s="3">
        <v>0.60642249999999998</v>
      </c>
      <c r="AS239" s="3">
        <v>0.60886209999999996</v>
      </c>
      <c r="AT239" s="3">
        <v>0.61124509999999999</v>
      </c>
      <c r="AU239" s="3">
        <v>0.61358049999999997</v>
      </c>
      <c r="AV239" s="3">
        <v>0.61587729999999996</v>
      </c>
      <c r="AW239" s="3">
        <v>0.61814440000000004</v>
      </c>
      <c r="AX239" s="3">
        <v>0.62039069999999996</v>
      </c>
      <c r="AY239" s="3">
        <v>0.62262519999999999</v>
      </c>
      <c r="AZ239" s="3">
        <v>0.62485679999999999</v>
      </c>
      <c r="BA239" s="3">
        <v>0.62709389999999998</v>
      </c>
      <c r="BB239" s="3">
        <v>0.62934230000000002</v>
      </c>
      <c r="BC239" s="3">
        <v>0.63160700000000003</v>
      </c>
      <c r="BD239" s="3">
        <v>0.63389320000000005</v>
      </c>
      <c r="BE239" s="3">
        <v>0.63620589999999999</v>
      </c>
      <c r="BF239" s="3">
        <v>0.63855019999999996</v>
      </c>
      <c r="BG239" s="3">
        <v>0.64093129999999998</v>
      </c>
      <c r="BH239" s="3">
        <v>0.64335410000000004</v>
      </c>
      <c r="BI239" s="3">
        <v>0.64582379999999995</v>
      </c>
      <c r="BJ239" s="3">
        <v>0.64834539999999996</v>
      </c>
      <c r="BK239" s="3">
        <v>0.65092410000000001</v>
      </c>
      <c r="BL239" s="3">
        <v>0.65356499999999995</v>
      </c>
      <c r="BM239" s="3" t="e">
        <v>#N/A</v>
      </c>
      <c r="BN239" s="3" t="e">
        <v>#N/A</v>
      </c>
    </row>
    <row r="240" spans="1:66" x14ac:dyDescent="0.35">
      <c r="A240" s="5">
        <f t="shared" si="3"/>
        <v>43790</v>
      </c>
      <c r="B240" t="s">
        <v>317</v>
      </c>
      <c r="C240" s="2">
        <v>0.75</v>
      </c>
      <c r="D240" s="2">
        <v>0.7107</v>
      </c>
      <c r="E240" s="3">
        <v>0.70326509999999998</v>
      </c>
      <c r="F240" s="3">
        <v>0.67371829999999999</v>
      </c>
      <c r="G240" s="3">
        <v>0.64844880000000005</v>
      </c>
      <c r="H240" s="3">
        <v>0.62714320000000001</v>
      </c>
      <c r="I240" s="3">
        <v>0.6089116</v>
      </c>
      <c r="J240" s="3">
        <v>0.59338100000000005</v>
      </c>
      <c r="K240" s="3">
        <v>0.58074709999999996</v>
      </c>
      <c r="L240" s="3">
        <v>0.57111350000000005</v>
      </c>
      <c r="M240" s="3">
        <v>0.56427179999999999</v>
      </c>
      <c r="N240" s="3">
        <v>0.55977129999999997</v>
      </c>
      <c r="O240" s="3">
        <v>0.5571448</v>
      </c>
      <c r="P240" s="3">
        <v>0.55591699999999999</v>
      </c>
      <c r="Q240" s="3">
        <v>0.55550889999999997</v>
      </c>
      <c r="R240" s="3">
        <v>0.55572330000000003</v>
      </c>
      <c r="S240" s="3">
        <v>0.55650730000000004</v>
      </c>
      <c r="T240" s="3">
        <v>0.55780810000000003</v>
      </c>
      <c r="U240" s="3">
        <v>0.55957319999999999</v>
      </c>
      <c r="V240" s="3">
        <v>0.56174979999999997</v>
      </c>
      <c r="W240" s="3">
        <v>0.56428529999999999</v>
      </c>
      <c r="X240" s="3">
        <v>0.56712739999999995</v>
      </c>
      <c r="Y240" s="3">
        <v>0.57022379999999995</v>
      </c>
      <c r="Z240" s="3">
        <v>0.57352230000000004</v>
      </c>
      <c r="AA240" s="3">
        <v>0.57697069999999995</v>
      </c>
      <c r="AB240" s="3">
        <v>0.5805167</v>
      </c>
      <c r="AC240" s="3">
        <v>0.58411349999999995</v>
      </c>
      <c r="AD240" s="3">
        <v>0.58774020000000005</v>
      </c>
      <c r="AE240" s="3">
        <v>0.59138400000000002</v>
      </c>
      <c r="AF240" s="3">
        <v>0.59503200000000001</v>
      </c>
      <c r="AG240" s="3">
        <v>0.59867139999999996</v>
      </c>
      <c r="AH240" s="3">
        <v>0.60228930000000003</v>
      </c>
      <c r="AI240" s="3">
        <v>0.60587279999999999</v>
      </c>
      <c r="AJ240" s="3">
        <v>0.60940899999999998</v>
      </c>
      <c r="AK240" s="3">
        <v>0.61288520000000002</v>
      </c>
      <c r="AL240" s="3">
        <v>0.61628839999999996</v>
      </c>
      <c r="AM240" s="3">
        <v>0.61960579999999998</v>
      </c>
      <c r="AN240" s="3">
        <v>0.62282439999999994</v>
      </c>
      <c r="AO240" s="3">
        <v>0.62593489999999996</v>
      </c>
      <c r="AP240" s="3">
        <v>0.62894229999999995</v>
      </c>
      <c r="AQ240" s="3">
        <v>0.63185590000000003</v>
      </c>
      <c r="AR240" s="3">
        <v>0.63468480000000005</v>
      </c>
      <c r="AS240" s="3">
        <v>0.63743830000000001</v>
      </c>
      <c r="AT240" s="3">
        <v>0.64012559999999996</v>
      </c>
      <c r="AU240" s="3">
        <v>0.64275590000000005</v>
      </c>
      <c r="AV240" s="3">
        <v>0.64533830000000003</v>
      </c>
      <c r="AW240" s="3">
        <v>0.64788219999999996</v>
      </c>
      <c r="AX240" s="3">
        <v>0.65039670000000005</v>
      </c>
      <c r="AY240" s="3">
        <v>0.65289109999999995</v>
      </c>
      <c r="AZ240" s="3">
        <v>0.65537440000000002</v>
      </c>
      <c r="BA240" s="3">
        <v>0.65785550000000004</v>
      </c>
      <c r="BB240" s="3">
        <v>0.6603405</v>
      </c>
      <c r="BC240" s="3">
        <v>0.6628349</v>
      </c>
      <c r="BD240" s="3">
        <v>0.6653443</v>
      </c>
      <c r="BE240" s="3">
        <v>0.66787430000000003</v>
      </c>
      <c r="BF240" s="3">
        <v>0.67043030000000003</v>
      </c>
      <c r="BG240" s="3">
        <v>0.67301789999999995</v>
      </c>
      <c r="BH240" s="3">
        <v>0.67564259999999998</v>
      </c>
      <c r="BI240" s="3">
        <v>0.67830990000000002</v>
      </c>
      <c r="BJ240" s="3">
        <v>0.68102549999999995</v>
      </c>
      <c r="BK240" s="3">
        <v>0.68379489999999998</v>
      </c>
      <c r="BL240" s="3">
        <v>0.68662350000000005</v>
      </c>
      <c r="BM240" s="3" t="e">
        <v>#N/A</v>
      </c>
      <c r="BN240" s="3" t="e">
        <v>#N/A</v>
      </c>
    </row>
    <row r="241" spans="1:66" x14ac:dyDescent="0.35">
      <c r="A241" s="5">
        <f t="shared" si="3"/>
        <v>43791</v>
      </c>
      <c r="B241" t="s">
        <v>318</v>
      </c>
      <c r="C241" s="2">
        <v>0.75</v>
      </c>
      <c r="D241" s="2">
        <v>0.71040000000000003</v>
      </c>
      <c r="E241" s="3">
        <v>0.69742899999999997</v>
      </c>
      <c r="F241" s="3">
        <v>0.65725480000000003</v>
      </c>
      <c r="G241" s="3">
        <v>0.62216459999999996</v>
      </c>
      <c r="H241" s="3">
        <v>0.59250879999999995</v>
      </c>
      <c r="I241" s="3">
        <v>0.56682279999999996</v>
      </c>
      <c r="J241" s="3">
        <v>0.54478800000000005</v>
      </c>
      <c r="K241" s="3">
        <v>0.52687530000000005</v>
      </c>
      <c r="L241" s="3">
        <v>0.51311629999999997</v>
      </c>
      <c r="M241" s="3">
        <v>0.50298019999999999</v>
      </c>
      <c r="N241" s="3">
        <v>0.49586229999999998</v>
      </c>
      <c r="O241" s="3">
        <v>0.49109750000000002</v>
      </c>
      <c r="P241" s="3">
        <v>0.488151</v>
      </c>
      <c r="Q241" s="3">
        <v>0.48635149999999999</v>
      </c>
      <c r="R241" s="3">
        <v>0.48545509999999997</v>
      </c>
      <c r="S241" s="3">
        <v>0.48537269999999999</v>
      </c>
      <c r="T241" s="3">
        <v>0.48601519999999998</v>
      </c>
      <c r="U241" s="3">
        <v>0.48729329999999998</v>
      </c>
      <c r="V241" s="3">
        <v>0.489118</v>
      </c>
      <c r="W241" s="3">
        <v>0.49140519999999999</v>
      </c>
      <c r="X241" s="3">
        <v>0.49409540000000002</v>
      </c>
      <c r="Y241" s="3">
        <v>0.49713600000000002</v>
      </c>
      <c r="Z241" s="3">
        <v>0.50047439999999999</v>
      </c>
      <c r="AA241" s="3">
        <v>0.50405809999999995</v>
      </c>
      <c r="AB241" s="3">
        <v>0.50783429999999996</v>
      </c>
      <c r="AC241" s="3">
        <v>0.51175510000000002</v>
      </c>
      <c r="AD241" s="3">
        <v>0.51579180000000002</v>
      </c>
      <c r="AE241" s="3">
        <v>0.51992130000000003</v>
      </c>
      <c r="AF241" s="3">
        <v>0.52412040000000004</v>
      </c>
      <c r="AG241" s="3">
        <v>0.52836609999999995</v>
      </c>
      <c r="AH241" s="3">
        <v>0.53263519999999998</v>
      </c>
      <c r="AI241" s="3">
        <v>0.53690439999999995</v>
      </c>
      <c r="AJ241" s="3">
        <v>0.54115080000000004</v>
      </c>
      <c r="AK241" s="3">
        <v>0.54535120000000004</v>
      </c>
      <c r="AL241" s="3">
        <v>0.54948229999999998</v>
      </c>
      <c r="AM241" s="3">
        <v>0.55352109999999999</v>
      </c>
      <c r="AN241" s="3">
        <v>0.55744450000000001</v>
      </c>
      <c r="AO241" s="3">
        <v>0.56123389999999995</v>
      </c>
      <c r="AP241" s="3">
        <v>0.56489140000000004</v>
      </c>
      <c r="AQ241" s="3">
        <v>0.56842479999999995</v>
      </c>
      <c r="AR241" s="3">
        <v>0.57184190000000001</v>
      </c>
      <c r="AS241" s="3">
        <v>0.5751503</v>
      </c>
      <c r="AT241" s="3">
        <v>0.57835780000000003</v>
      </c>
      <c r="AU241" s="3">
        <v>0.58147219999999999</v>
      </c>
      <c r="AV241" s="3">
        <v>0.5845013</v>
      </c>
      <c r="AW241" s="3">
        <v>0.58745270000000005</v>
      </c>
      <c r="AX241" s="3">
        <v>0.59033429999999998</v>
      </c>
      <c r="AY241" s="3">
        <v>0.59315370000000001</v>
      </c>
      <c r="AZ241" s="3">
        <v>0.59591879999999997</v>
      </c>
      <c r="BA241" s="3">
        <v>0.59863730000000004</v>
      </c>
      <c r="BB241" s="3">
        <v>0.60131690000000004</v>
      </c>
      <c r="BC241" s="3">
        <v>0.60396550000000004</v>
      </c>
      <c r="BD241" s="3">
        <v>0.60659070000000004</v>
      </c>
      <c r="BE241" s="3">
        <v>0.60920050000000003</v>
      </c>
      <c r="BF241" s="3">
        <v>0.61180250000000003</v>
      </c>
      <c r="BG241" s="3">
        <v>0.61440450000000002</v>
      </c>
      <c r="BH241" s="3">
        <v>0.61701430000000002</v>
      </c>
      <c r="BI241" s="3">
        <v>0.61963970000000002</v>
      </c>
      <c r="BJ241" s="3">
        <v>0.62228850000000002</v>
      </c>
      <c r="BK241" s="3">
        <v>0.62496839999999998</v>
      </c>
      <c r="BL241" s="3">
        <v>0.6276872</v>
      </c>
      <c r="BM241" s="3" t="e">
        <v>#N/A</v>
      </c>
      <c r="BN241" s="3" t="e">
        <v>#N/A</v>
      </c>
    </row>
    <row r="242" spans="1:66" x14ac:dyDescent="0.35">
      <c r="A242" s="5">
        <f t="shared" si="3"/>
        <v>43794</v>
      </c>
      <c r="B242" t="s">
        <v>319</v>
      </c>
      <c r="C242" s="2">
        <v>0.75</v>
      </c>
      <c r="D242" s="2">
        <v>0.7097</v>
      </c>
      <c r="E242" s="3">
        <v>0.69892790000000005</v>
      </c>
      <c r="F242" s="3">
        <v>0.65928100000000001</v>
      </c>
      <c r="G242" s="3">
        <v>0.62608520000000001</v>
      </c>
      <c r="H242" s="3">
        <v>0.60012620000000005</v>
      </c>
      <c r="I242" s="3">
        <v>0.57816339999999999</v>
      </c>
      <c r="J242" s="3">
        <v>0.55875560000000002</v>
      </c>
      <c r="K242" s="3">
        <v>0.54198880000000005</v>
      </c>
      <c r="L242" s="3">
        <v>0.52809969999999995</v>
      </c>
      <c r="M242" s="3">
        <v>0.5171443</v>
      </c>
      <c r="N242" s="3">
        <v>0.50879859999999999</v>
      </c>
      <c r="O242" s="3">
        <v>0.50275320000000001</v>
      </c>
      <c r="P242" s="3">
        <v>0.49864160000000002</v>
      </c>
      <c r="Q242" s="3">
        <v>0.49604350000000003</v>
      </c>
      <c r="R242" s="3">
        <v>0.4947453</v>
      </c>
      <c r="S242" s="3">
        <v>0.49459740000000002</v>
      </c>
      <c r="T242" s="3">
        <v>0.49545</v>
      </c>
      <c r="U242" s="3">
        <v>0.49715359999999997</v>
      </c>
      <c r="V242" s="3">
        <v>0.49955840000000001</v>
      </c>
      <c r="W242" s="3">
        <v>0.50252200000000002</v>
      </c>
      <c r="X242" s="3">
        <v>0.50592939999999997</v>
      </c>
      <c r="Y242" s="3">
        <v>0.50967200000000001</v>
      </c>
      <c r="Z242" s="3">
        <v>0.51364140000000003</v>
      </c>
      <c r="AA242" s="3">
        <v>0.5177292</v>
      </c>
      <c r="AB242" s="3">
        <v>0.52182669999999998</v>
      </c>
      <c r="AC242" s="3">
        <v>0.52584180000000003</v>
      </c>
      <c r="AD242" s="3">
        <v>0.52975289999999997</v>
      </c>
      <c r="AE242" s="3">
        <v>0.53355839999999999</v>
      </c>
      <c r="AF242" s="3">
        <v>0.53725639999999997</v>
      </c>
      <c r="AG242" s="3">
        <v>0.54084509999999997</v>
      </c>
      <c r="AH242" s="3">
        <v>0.5443228</v>
      </c>
      <c r="AI242" s="3">
        <v>0.5476877</v>
      </c>
      <c r="AJ242" s="3">
        <v>0.55093800000000004</v>
      </c>
      <c r="AK242" s="3">
        <v>0.55407189999999995</v>
      </c>
      <c r="AL242" s="3">
        <v>0.55708769999999996</v>
      </c>
      <c r="AM242" s="3">
        <v>0.55998360000000003</v>
      </c>
      <c r="AN242" s="3">
        <v>0.56275779999999997</v>
      </c>
      <c r="AO242" s="3">
        <v>0.56541079999999999</v>
      </c>
      <c r="AP242" s="3">
        <v>0.56795320000000005</v>
      </c>
      <c r="AQ242" s="3">
        <v>0.57039850000000003</v>
      </c>
      <c r="AR242" s="3">
        <v>0.57276009999999999</v>
      </c>
      <c r="AS242" s="3">
        <v>0.57505139999999999</v>
      </c>
      <c r="AT242" s="3">
        <v>0.57728590000000002</v>
      </c>
      <c r="AU242" s="3">
        <v>0.57947680000000001</v>
      </c>
      <c r="AV242" s="3">
        <v>0.58163779999999998</v>
      </c>
      <c r="AW242" s="3">
        <v>0.58378209999999997</v>
      </c>
      <c r="AX242" s="3">
        <v>0.58592330000000004</v>
      </c>
      <c r="AY242" s="3">
        <v>0.5880746</v>
      </c>
      <c r="AZ242" s="3">
        <v>0.59024969999999999</v>
      </c>
      <c r="BA242" s="3">
        <v>0.5924606</v>
      </c>
      <c r="BB242" s="3">
        <v>0.59471320000000005</v>
      </c>
      <c r="BC242" s="3">
        <v>0.59701119999999996</v>
      </c>
      <c r="BD242" s="3">
        <v>0.59935830000000001</v>
      </c>
      <c r="BE242" s="3">
        <v>0.60175820000000002</v>
      </c>
      <c r="BF242" s="3">
        <v>0.60421460000000005</v>
      </c>
      <c r="BG242" s="3">
        <v>0.60673109999999997</v>
      </c>
      <c r="BH242" s="3">
        <v>0.60931139999999995</v>
      </c>
      <c r="BI242" s="3">
        <v>0.61195929999999998</v>
      </c>
      <c r="BJ242" s="3">
        <v>0.61467830000000001</v>
      </c>
      <c r="BK242" s="3">
        <v>0.61747229999999997</v>
      </c>
      <c r="BL242" s="3">
        <v>0.62034480000000003</v>
      </c>
      <c r="BM242" s="3" t="e">
        <v>#N/A</v>
      </c>
      <c r="BN242" s="3" t="e">
        <v>#N/A</v>
      </c>
    </row>
    <row r="243" spans="1:66" x14ac:dyDescent="0.35">
      <c r="A243" s="5">
        <f t="shared" si="3"/>
        <v>43795</v>
      </c>
      <c r="B243" t="s">
        <v>320</v>
      </c>
      <c r="C243" s="2">
        <v>0.75</v>
      </c>
      <c r="D243" s="2">
        <v>0.7097</v>
      </c>
      <c r="E243" s="3">
        <v>0.6938223</v>
      </c>
      <c r="F243" s="3">
        <v>0.65518050000000005</v>
      </c>
      <c r="G243" s="3">
        <v>0.62465559999999998</v>
      </c>
      <c r="H243" s="3">
        <v>0.60087040000000003</v>
      </c>
      <c r="I243" s="3">
        <v>0.57968310000000001</v>
      </c>
      <c r="J243" s="3">
        <v>0.55974000000000002</v>
      </c>
      <c r="K243" s="3">
        <v>0.54159990000000002</v>
      </c>
      <c r="L243" s="3">
        <v>0.52596730000000003</v>
      </c>
      <c r="M243" s="3">
        <v>0.51320880000000002</v>
      </c>
      <c r="N243" s="3">
        <v>0.5032392</v>
      </c>
      <c r="O243" s="3">
        <v>0.49576399999999998</v>
      </c>
      <c r="P243" s="3">
        <v>0.49048429999999998</v>
      </c>
      <c r="Q243" s="3">
        <v>0.48688199999999998</v>
      </c>
      <c r="R243" s="3">
        <v>0.48469289999999998</v>
      </c>
      <c r="S243" s="3">
        <v>0.48374640000000002</v>
      </c>
      <c r="T243" s="3">
        <v>0.48387219999999997</v>
      </c>
      <c r="U243" s="3">
        <v>0.48489969999999999</v>
      </c>
      <c r="V243" s="3">
        <v>0.4866586</v>
      </c>
      <c r="W243" s="3">
        <v>0.48898760000000002</v>
      </c>
      <c r="X243" s="3">
        <v>0.491761</v>
      </c>
      <c r="Y243" s="3">
        <v>0.4948613</v>
      </c>
      <c r="Z243" s="3">
        <v>0.49817109999999998</v>
      </c>
      <c r="AA243" s="3">
        <v>0.50157300000000005</v>
      </c>
      <c r="AB243" s="3">
        <v>0.50494939999999999</v>
      </c>
      <c r="AC243" s="3">
        <v>0.50820189999999998</v>
      </c>
      <c r="AD243" s="3">
        <v>0.5113143</v>
      </c>
      <c r="AE243" s="3">
        <v>0.51429369999999996</v>
      </c>
      <c r="AF243" s="3">
        <v>0.51714689999999996</v>
      </c>
      <c r="AG243" s="3">
        <v>0.51988069999999997</v>
      </c>
      <c r="AH243" s="3">
        <v>0.52250209999999997</v>
      </c>
      <c r="AI243" s="3">
        <v>0.52501790000000004</v>
      </c>
      <c r="AJ243" s="3">
        <v>0.52743510000000005</v>
      </c>
      <c r="AK243" s="3">
        <v>0.52976049999999997</v>
      </c>
      <c r="AL243" s="3">
        <v>0.53200099999999995</v>
      </c>
      <c r="AM243" s="3">
        <v>0.53416350000000001</v>
      </c>
      <c r="AN243" s="3">
        <v>0.53625489999999998</v>
      </c>
      <c r="AO243" s="3">
        <v>0.53828260000000006</v>
      </c>
      <c r="AP243" s="3">
        <v>0.54025679999999998</v>
      </c>
      <c r="AQ243" s="3">
        <v>0.54218840000000001</v>
      </c>
      <c r="AR243" s="3">
        <v>0.54408860000000003</v>
      </c>
      <c r="AS243" s="3">
        <v>0.54596849999999997</v>
      </c>
      <c r="AT243" s="3">
        <v>0.54783899999999996</v>
      </c>
      <c r="AU243" s="3">
        <v>0.54971139999999996</v>
      </c>
      <c r="AV243" s="3">
        <v>0.55159659999999999</v>
      </c>
      <c r="AW243" s="3">
        <v>0.55350569999999999</v>
      </c>
      <c r="AX243" s="3">
        <v>0.55544990000000005</v>
      </c>
      <c r="AY243" s="3">
        <v>0.55744009999999999</v>
      </c>
      <c r="AZ243" s="3">
        <v>0.55948739999999997</v>
      </c>
      <c r="BA243" s="3">
        <v>0.56160149999999998</v>
      </c>
      <c r="BB243" s="3">
        <v>0.56378510000000004</v>
      </c>
      <c r="BC243" s="3">
        <v>0.56603870000000001</v>
      </c>
      <c r="BD243" s="3">
        <v>0.56836299999999995</v>
      </c>
      <c r="BE243" s="3">
        <v>0.57075849999999995</v>
      </c>
      <c r="BF243" s="3">
        <v>0.57322569999999995</v>
      </c>
      <c r="BG243" s="3">
        <v>0.57576530000000004</v>
      </c>
      <c r="BH243" s="3">
        <v>0.5783779</v>
      </c>
      <c r="BI243" s="3">
        <v>0.58106400000000002</v>
      </c>
      <c r="BJ243" s="3">
        <v>0.58382420000000002</v>
      </c>
      <c r="BK243" s="3">
        <v>0.58665900000000004</v>
      </c>
      <c r="BL243" s="3">
        <v>0.58956909999999996</v>
      </c>
      <c r="BM243" s="3" t="e">
        <v>#N/A</v>
      </c>
      <c r="BN243" s="3" t="e">
        <v>#N/A</v>
      </c>
    </row>
    <row r="244" spans="1:66" x14ac:dyDescent="0.35">
      <c r="A244" s="5">
        <f t="shared" si="3"/>
        <v>43796</v>
      </c>
      <c r="B244" t="s">
        <v>321</v>
      </c>
      <c r="C244" s="2">
        <v>0.75</v>
      </c>
      <c r="D244" s="2">
        <v>0.71050000000000002</v>
      </c>
      <c r="E244" s="3">
        <v>0.69098709999999997</v>
      </c>
      <c r="F244" s="3">
        <v>0.65612060000000005</v>
      </c>
      <c r="G244" s="3">
        <v>0.62883180000000005</v>
      </c>
      <c r="H244" s="3">
        <v>0.60784389999999999</v>
      </c>
      <c r="I244" s="3">
        <v>0.58930479999999996</v>
      </c>
      <c r="J244" s="3">
        <v>0.571963</v>
      </c>
      <c r="K244" s="3">
        <v>0.55633100000000002</v>
      </c>
      <c r="L244" s="3">
        <v>0.54304079999999999</v>
      </c>
      <c r="M244" s="3">
        <v>0.53236620000000001</v>
      </c>
      <c r="N244" s="3">
        <v>0.52420239999999996</v>
      </c>
      <c r="O244" s="3">
        <v>0.51827809999999996</v>
      </c>
      <c r="P244" s="3">
        <v>0.51429329999999995</v>
      </c>
      <c r="Q244" s="3">
        <v>0.51183979999999996</v>
      </c>
      <c r="R244" s="3">
        <v>0.51067130000000005</v>
      </c>
      <c r="S244" s="3">
        <v>0.51059869999999996</v>
      </c>
      <c r="T244" s="3">
        <v>0.51143269999999996</v>
      </c>
      <c r="U244" s="3">
        <v>0.51298390000000005</v>
      </c>
      <c r="V244" s="3">
        <v>0.51506320000000005</v>
      </c>
      <c r="W244" s="3">
        <v>0.51750110000000005</v>
      </c>
      <c r="X244" s="3">
        <v>0.52020370000000005</v>
      </c>
      <c r="Y244" s="3">
        <v>0.52309519999999998</v>
      </c>
      <c r="Z244" s="3">
        <v>0.52609980000000001</v>
      </c>
      <c r="AA244" s="3">
        <v>0.52914159999999999</v>
      </c>
      <c r="AB244" s="3">
        <v>0.53214470000000003</v>
      </c>
      <c r="AC244" s="3">
        <v>0.53504350000000001</v>
      </c>
      <c r="AD244" s="3">
        <v>0.53782770000000002</v>
      </c>
      <c r="AE244" s="3">
        <v>0.54050560000000003</v>
      </c>
      <c r="AF244" s="3">
        <v>0.54308529999999999</v>
      </c>
      <c r="AG244" s="3">
        <v>0.54557509999999998</v>
      </c>
      <c r="AH244" s="3">
        <v>0.5479832</v>
      </c>
      <c r="AI244" s="3">
        <v>0.55031779999999997</v>
      </c>
      <c r="AJ244" s="3">
        <v>0.55258700000000005</v>
      </c>
      <c r="AK244" s="3">
        <v>0.5547993</v>
      </c>
      <c r="AL244" s="3">
        <v>0.55696259999999997</v>
      </c>
      <c r="AM244" s="3">
        <v>0.55908539999999995</v>
      </c>
      <c r="AN244" s="3">
        <v>0.56117570000000006</v>
      </c>
      <c r="AO244" s="3">
        <v>0.56324200000000002</v>
      </c>
      <c r="AP244" s="3">
        <v>0.56529280000000004</v>
      </c>
      <c r="AQ244" s="3">
        <v>0.56733699999999998</v>
      </c>
      <c r="AR244" s="3">
        <v>0.56938339999999998</v>
      </c>
      <c r="AS244" s="3">
        <v>0.57144079999999997</v>
      </c>
      <c r="AT244" s="3">
        <v>0.57351799999999997</v>
      </c>
      <c r="AU244" s="3">
        <v>0.57562389999999997</v>
      </c>
      <c r="AV244" s="3">
        <v>0.57776709999999998</v>
      </c>
      <c r="AW244" s="3">
        <v>0.57995660000000004</v>
      </c>
      <c r="AX244" s="3">
        <v>0.58220119999999997</v>
      </c>
      <c r="AY244" s="3">
        <v>0.58450959999999996</v>
      </c>
      <c r="AZ244" s="3">
        <v>0.58689060000000004</v>
      </c>
      <c r="BA244" s="3">
        <v>0.58935150000000003</v>
      </c>
      <c r="BB244" s="3">
        <v>0.59189239999999999</v>
      </c>
      <c r="BC244" s="3">
        <v>0.59451149999999997</v>
      </c>
      <c r="BD244" s="3">
        <v>0.59720680000000004</v>
      </c>
      <c r="BE244" s="3">
        <v>0.59997659999999997</v>
      </c>
      <c r="BF244" s="3">
        <v>0.60281899999999999</v>
      </c>
      <c r="BG244" s="3">
        <v>0.60573220000000005</v>
      </c>
      <c r="BH244" s="3">
        <v>0.60871439999999999</v>
      </c>
      <c r="BI244" s="3">
        <v>0.61176370000000002</v>
      </c>
      <c r="BJ244" s="3">
        <v>0.61487829999999999</v>
      </c>
      <c r="BK244" s="3">
        <v>0.6180563</v>
      </c>
      <c r="BL244" s="3">
        <v>0.62129599999999996</v>
      </c>
      <c r="BM244" s="3" t="e">
        <v>#N/A</v>
      </c>
      <c r="BN244" s="3" t="e">
        <v>#N/A</v>
      </c>
    </row>
    <row r="245" spans="1:66" x14ac:dyDescent="0.35">
      <c r="A245" s="5">
        <f t="shared" si="3"/>
        <v>43797</v>
      </c>
      <c r="B245" t="s">
        <v>322</v>
      </c>
      <c r="C245" s="2">
        <v>0.75</v>
      </c>
      <c r="D245" s="2">
        <v>0.71</v>
      </c>
      <c r="E245" s="3">
        <v>0.6926776</v>
      </c>
      <c r="F245" s="3">
        <v>0.65734060000000005</v>
      </c>
      <c r="G245" s="3">
        <v>0.63075519999999996</v>
      </c>
      <c r="H245" s="3">
        <v>0.61048119999999995</v>
      </c>
      <c r="I245" s="3">
        <v>0.59244929999999996</v>
      </c>
      <c r="J245" s="3">
        <v>0.57548310000000003</v>
      </c>
      <c r="K245" s="3">
        <v>0.56031980000000003</v>
      </c>
      <c r="L245" s="3">
        <v>0.54765710000000001</v>
      </c>
      <c r="M245" s="3">
        <v>0.53769140000000004</v>
      </c>
      <c r="N245" s="3">
        <v>0.53020100000000003</v>
      </c>
      <c r="O245" s="3">
        <v>0.524841</v>
      </c>
      <c r="P245" s="3">
        <v>0.52120650000000002</v>
      </c>
      <c r="Q245" s="3">
        <v>0.51875720000000003</v>
      </c>
      <c r="R245" s="3">
        <v>0.51728640000000004</v>
      </c>
      <c r="S245" s="3">
        <v>0.51671710000000004</v>
      </c>
      <c r="T245" s="3">
        <v>0.5169726</v>
      </c>
      <c r="U245" s="3">
        <v>0.51797610000000005</v>
      </c>
      <c r="V245" s="3">
        <v>0.51965099999999997</v>
      </c>
      <c r="W245" s="3">
        <v>0.52191659999999995</v>
      </c>
      <c r="X245" s="3">
        <v>0.52467790000000003</v>
      </c>
      <c r="Y245" s="3">
        <v>0.52783659999999999</v>
      </c>
      <c r="Z245" s="3">
        <v>0.53129420000000005</v>
      </c>
      <c r="AA245" s="3">
        <v>0.53495219999999999</v>
      </c>
      <c r="AB245" s="3">
        <v>0.53871230000000003</v>
      </c>
      <c r="AC245" s="3">
        <v>0.54248790000000002</v>
      </c>
      <c r="AD245" s="3">
        <v>0.5462513</v>
      </c>
      <c r="AE245" s="3">
        <v>0.54999240000000005</v>
      </c>
      <c r="AF245" s="3">
        <v>0.553701</v>
      </c>
      <c r="AG245" s="3">
        <v>0.55736719999999995</v>
      </c>
      <c r="AH245" s="3">
        <v>0.56098079999999995</v>
      </c>
      <c r="AI245" s="3">
        <v>0.56453180000000003</v>
      </c>
      <c r="AJ245" s="3">
        <v>0.56801009999999996</v>
      </c>
      <c r="AK245" s="3">
        <v>0.57140559999999996</v>
      </c>
      <c r="AL245" s="3">
        <v>0.57470840000000001</v>
      </c>
      <c r="AM245" s="3">
        <v>0.57790819999999998</v>
      </c>
      <c r="AN245" s="3">
        <v>0.58099509999999999</v>
      </c>
      <c r="AO245" s="3">
        <v>0.58396250000000005</v>
      </c>
      <c r="AP245" s="3">
        <v>0.58681939999999999</v>
      </c>
      <c r="AQ245" s="3">
        <v>0.58957910000000002</v>
      </c>
      <c r="AR245" s="3">
        <v>0.59225479999999997</v>
      </c>
      <c r="AS245" s="3">
        <v>0.59485980000000005</v>
      </c>
      <c r="AT245" s="3">
        <v>0.59740740000000003</v>
      </c>
      <c r="AU245" s="3">
        <v>0.59991090000000002</v>
      </c>
      <c r="AV245" s="3">
        <v>0.60238349999999996</v>
      </c>
      <c r="AW245" s="3">
        <v>0.6048386</v>
      </c>
      <c r="AX245" s="3">
        <v>0.60728930000000003</v>
      </c>
      <c r="AY245" s="3">
        <v>0.60974899999999999</v>
      </c>
      <c r="AZ245" s="3">
        <v>0.61223099999999997</v>
      </c>
      <c r="BA245" s="3">
        <v>0.61474640000000003</v>
      </c>
      <c r="BB245" s="3">
        <v>0.61729750000000005</v>
      </c>
      <c r="BC245" s="3">
        <v>0.61988379999999998</v>
      </c>
      <c r="BD245" s="3">
        <v>0.62250499999999998</v>
      </c>
      <c r="BE245" s="3">
        <v>0.62516079999999996</v>
      </c>
      <c r="BF245" s="3">
        <v>0.62785089999999999</v>
      </c>
      <c r="BG245" s="3">
        <v>0.63057470000000004</v>
      </c>
      <c r="BH245" s="3">
        <v>0.63333209999999995</v>
      </c>
      <c r="BI245" s="3">
        <v>0.63612270000000004</v>
      </c>
      <c r="BJ245" s="3">
        <v>0.63894600000000001</v>
      </c>
      <c r="BK245" s="3">
        <v>0.64180179999999998</v>
      </c>
      <c r="BL245" s="3">
        <v>0.64468970000000003</v>
      </c>
      <c r="BM245" s="3" t="e">
        <v>#N/A</v>
      </c>
      <c r="BN245" s="3" t="e">
        <v>#N/A</v>
      </c>
    </row>
    <row r="246" spans="1:66" x14ac:dyDescent="0.35">
      <c r="A246" s="5">
        <f t="shared" si="3"/>
        <v>43798</v>
      </c>
      <c r="B246" t="s">
        <v>323</v>
      </c>
      <c r="C246" s="2">
        <v>0.75</v>
      </c>
      <c r="D246" s="2">
        <v>0.71230000000000004</v>
      </c>
      <c r="E246" s="3">
        <v>0.69241180000000002</v>
      </c>
      <c r="F246" s="3">
        <v>0.65996109999999997</v>
      </c>
      <c r="G246" s="3">
        <v>0.63748300000000002</v>
      </c>
      <c r="H246" s="3">
        <v>0.62262969999999995</v>
      </c>
      <c r="I246" s="3">
        <v>0.61055570000000003</v>
      </c>
      <c r="J246" s="3">
        <v>0.59900679999999995</v>
      </c>
      <c r="K246" s="3">
        <v>0.58781419999999995</v>
      </c>
      <c r="L246" s="3">
        <v>0.57758770000000004</v>
      </c>
      <c r="M246" s="3">
        <v>0.56878229999999996</v>
      </c>
      <c r="N246" s="3">
        <v>0.56151830000000003</v>
      </c>
      <c r="O246" s="3">
        <v>0.55564590000000003</v>
      </c>
      <c r="P246" s="3">
        <v>0.55099889999999996</v>
      </c>
      <c r="Q246" s="3">
        <v>0.54728299999999996</v>
      </c>
      <c r="R246" s="3">
        <v>0.54442290000000004</v>
      </c>
      <c r="S246" s="3">
        <v>0.5424274</v>
      </c>
      <c r="T246" s="3">
        <v>0.54130529999999999</v>
      </c>
      <c r="U246" s="3">
        <v>0.54106540000000003</v>
      </c>
      <c r="V246" s="3">
        <v>0.54171639999999999</v>
      </c>
      <c r="W246" s="3">
        <v>0.54324790000000001</v>
      </c>
      <c r="X246" s="3">
        <v>0.5455506</v>
      </c>
      <c r="Y246" s="3">
        <v>0.54848370000000002</v>
      </c>
      <c r="Z246" s="3">
        <v>0.55190649999999997</v>
      </c>
      <c r="AA246" s="3">
        <v>0.55567809999999995</v>
      </c>
      <c r="AB246" s="3">
        <v>0.55965770000000004</v>
      </c>
      <c r="AC246" s="3">
        <v>0.56372259999999996</v>
      </c>
      <c r="AD246" s="3">
        <v>0.56782880000000002</v>
      </c>
      <c r="AE246" s="3">
        <v>0.57195450000000003</v>
      </c>
      <c r="AF246" s="3">
        <v>0.57607770000000003</v>
      </c>
      <c r="AG246" s="3">
        <v>0.58017649999999998</v>
      </c>
      <c r="AH246" s="3">
        <v>0.58422879999999999</v>
      </c>
      <c r="AI246" s="3">
        <v>0.58821290000000004</v>
      </c>
      <c r="AJ246" s="3">
        <v>0.59210660000000004</v>
      </c>
      <c r="AK246" s="3">
        <v>0.59588810000000003</v>
      </c>
      <c r="AL246" s="3">
        <v>0.59953540000000005</v>
      </c>
      <c r="AM246" s="3">
        <v>0.60302650000000002</v>
      </c>
      <c r="AN246" s="3">
        <v>0.60633959999999998</v>
      </c>
      <c r="AO246" s="3">
        <v>0.60945819999999995</v>
      </c>
      <c r="AP246" s="3">
        <v>0.6123902</v>
      </c>
      <c r="AQ246" s="3">
        <v>0.61515039999999999</v>
      </c>
      <c r="AR246" s="3">
        <v>0.61775340000000001</v>
      </c>
      <c r="AS246" s="3">
        <v>0.62021400000000004</v>
      </c>
      <c r="AT246" s="3">
        <v>0.62254679999999996</v>
      </c>
      <c r="AU246" s="3">
        <v>0.6247665</v>
      </c>
      <c r="AV246" s="3">
        <v>0.626888</v>
      </c>
      <c r="AW246" s="3">
        <v>0.62892570000000003</v>
      </c>
      <c r="AX246" s="3">
        <v>0.63089450000000002</v>
      </c>
      <c r="AY246" s="3">
        <v>0.63280899999999995</v>
      </c>
      <c r="AZ246" s="3">
        <v>0.63468400000000003</v>
      </c>
      <c r="BA246" s="3">
        <v>0.63653280000000001</v>
      </c>
      <c r="BB246" s="3">
        <v>0.63836329999999997</v>
      </c>
      <c r="BC246" s="3">
        <v>0.64018169999999996</v>
      </c>
      <c r="BD246" s="3">
        <v>0.64199439999999997</v>
      </c>
      <c r="BE246" s="3">
        <v>0.64380740000000003</v>
      </c>
      <c r="BF246" s="3">
        <v>0.64562719999999996</v>
      </c>
      <c r="BG246" s="3">
        <v>0.64746000000000004</v>
      </c>
      <c r="BH246" s="3">
        <v>0.649312</v>
      </c>
      <c r="BI246" s="3">
        <v>0.65118940000000003</v>
      </c>
      <c r="BJ246" s="3">
        <v>0.65309870000000003</v>
      </c>
      <c r="BK246" s="3">
        <v>0.65504589999999996</v>
      </c>
      <c r="BL246" s="3">
        <v>0.65703739999999999</v>
      </c>
      <c r="BM246" s="3" t="e">
        <v>#N/A</v>
      </c>
      <c r="BN246" s="3" t="e">
        <v>#N/A</v>
      </c>
    </row>
    <row r="247" spans="1:66" x14ac:dyDescent="0.35">
      <c r="A247" s="5">
        <f t="shared" si="3"/>
        <v>43801</v>
      </c>
      <c r="B247" t="s">
        <v>324</v>
      </c>
      <c r="C247" s="2">
        <v>0.75</v>
      </c>
      <c r="D247" s="2">
        <v>0.70909999999999995</v>
      </c>
      <c r="E247" s="3">
        <v>0.66907609999999995</v>
      </c>
      <c r="F247" s="3">
        <v>0.66229150000000003</v>
      </c>
      <c r="G247" s="3">
        <v>0.64583409999999997</v>
      </c>
      <c r="H247" s="3">
        <v>0.62763869999999999</v>
      </c>
      <c r="I247" s="3">
        <v>0.61149679999999995</v>
      </c>
      <c r="J247" s="3">
        <v>0.59840979999999999</v>
      </c>
      <c r="K247" s="3">
        <v>0.58837309999999998</v>
      </c>
      <c r="L247" s="3">
        <v>0.58063710000000002</v>
      </c>
      <c r="M247" s="3">
        <v>0.5745614</v>
      </c>
      <c r="N247" s="3">
        <v>0.56985629999999998</v>
      </c>
      <c r="O247" s="3">
        <v>0.56640239999999997</v>
      </c>
      <c r="P247" s="3">
        <v>0.56404589999999999</v>
      </c>
      <c r="Q247" s="3">
        <v>0.56259749999999997</v>
      </c>
      <c r="R247" s="3">
        <v>0.5619788</v>
      </c>
      <c r="S247" s="3">
        <v>0.56214620000000004</v>
      </c>
      <c r="T247" s="3">
        <v>0.5630558</v>
      </c>
      <c r="U247" s="3">
        <v>0.56466380000000005</v>
      </c>
      <c r="V247" s="3">
        <v>0.5669265</v>
      </c>
      <c r="W247" s="3">
        <v>0.56979219999999997</v>
      </c>
      <c r="X247" s="3">
        <v>0.57317649999999998</v>
      </c>
      <c r="Y247" s="3">
        <v>0.576986</v>
      </c>
      <c r="Z247" s="3">
        <v>0.58112759999999997</v>
      </c>
      <c r="AA247" s="3">
        <v>0.58550800000000003</v>
      </c>
      <c r="AB247" s="3">
        <v>0.59003410000000001</v>
      </c>
      <c r="AC247" s="3">
        <v>0.59462329999999997</v>
      </c>
      <c r="AD247" s="3">
        <v>0.59924049999999995</v>
      </c>
      <c r="AE247" s="3">
        <v>0.6038635</v>
      </c>
      <c r="AF247" s="3">
        <v>0.60847050000000003</v>
      </c>
      <c r="AG247" s="3">
        <v>0.61303909999999995</v>
      </c>
      <c r="AH247" s="3">
        <v>0.61754739999999997</v>
      </c>
      <c r="AI247" s="3">
        <v>0.62197329999999995</v>
      </c>
      <c r="AJ247" s="3">
        <v>0.62629460000000003</v>
      </c>
      <c r="AK247" s="3">
        <v>0.63048939999999998</v>
      </c>
      <c r="AL247" s="3">
        <v>0.63453539999999997</v>
      </c>
      <c r="AM247" s="3">
        <v>0.6384107</v>
      </c>
      <c r="AN247" s="3">
        <v>0.64209320000000003</v>
      </c>
      <c r="AO247" s="3">
        <v>0.64556610000000003</v>
      </c>
      <c r="AP247" s="3">
        <v>0.64883710000000006</v>
      </c>
      <c r="AQ247" s="3">
        <v>0.6519201</v>
      </c>
      <c r="AR247" s="3">
        <v>0.65482949999999995</v>
      </c>
      <c r="AS247" s="3">
        <v>0.65757920000000003</v>
      </c>
      <c r="AT247" s="3">
        <v>0.66018339999999998</v>
      </c>
      <c r="AU247" s="3">
        <v>0.66265629999999998</v>
      </c>
      <c r="AV247" s="3">
        <v>0.66501200000000005</v>
      </c>
      <c r="AW247" s="3">
        <v>0.66726459999999999</v>
      </c>
      <c r="AX247" s="3">
        <v>0.66942820000000003</v>
      </c>
      <c r="AY247" s="3">
        <v>0.67151689999999997</v>
      </c>
      <c r="AZ247" s="3">
        <v>0.67354499999999995</v>
      </c>
      <c r="BA247" s="3">
        <v>0.67552590000000001</v>
      </c>
      <c r="BB247" s="3">
        <v>0.67747069999999998</v>
      </c>
      <c r="BC247" s="3">
        <v>0.67938929999999997</v>
      </c>
      <c r="BD247" s="3">
        <v>0.6812916</v>
      </c>
      <c r="BE247" s="3">
        <v>0.68318760000000001</v>
      </c>
      <c r="BF247" s="3">
        <v>0.68508729999999995</v>
      </c>
      <c r="BG247" s="3">
        <v>0.68700059999999996</v>
      </c>
      <c r="BH247" s="3">
        <v>0.68893760000000004</v>
      </c>
      <c r="BI247" s="3">
        <v>0.69090810000000002</v>
      </c>
      <c r="BJ247" s="3">
        <v>0.69292220000000004</v>
      </c>
      <c r="BK247" s="3">
        <v>0.69498990000000005</v>
      </c>
      <c r="BL247" s="3">
        <v>0.69712110000000005</v>
      </c>
      <c r="BM247" s="3" t="e">
        <v>#N/A</v>
      </c>
      <c r="BN247" s="3" t="e">
        <v>#N/A</v>
      </c>
    </row>
    <row r="248" spans="1:66" x14ac:dyDescent="0.35">
      <c r="A248" s="5">
        <f t="shared" si="3"/>
        <v>43802</v>
      </c>
      <c r="B248" t="s">
        <v>325</v>
      </c>
      <c r="C248" s="2">
        <v>0.75</v>
      </c>
      <c r="D248" s="2">
        <v>0.70920000000000005</v>
      </c>
      <c r="E248" s="3">
        <v>0.66843909999999995</v>
      </c>
      <c r="F248" s="3">
        <v>0.65564529999999999</v>
      </c>
      <c r="G248" s="3">
        <v>0.63578509999999999</v>
      </c>
      <c r="H248" s="3">
        <v>0.61487170000000002</v>
      </c>
      <c r="I248" s="3">
        <v>0.59479850000000001</v>
      </c>
      <c r="J248" s="3">
        <v>0.576461</v>
      </c>
      <c r="K248" s="3">
        <v>0.56077840000000001</v>
      </c>
      <c r="L248" s="3">
        <v>0.54800009999999999</v>
      </c>
      <c r="M248" s="3">
        <v>0.53800349999999997</v>
      </c>
      <c r="N248" s="3">
        <v>0.53044429999999998</v>
      </c>
      <c r="O248" s="3">
        <v>0.52484699999999995</v>
      </c>
      <c r="P248" s="3">
        <v>0.52085490000000001</v>
      </c>
      <c r="Q248" s="3">
        <v>0.51806149999999995</v>
      </c>
      <c r="R248" s="3">
        <v>0.51629740000000002</v>
      </c>
      <c r="S248" s="3">
        <v>0.51547290000000001</v>
      </c>
      <c r="T248" s="3">
        <v>0.51549820000000002</v>
      </c>
      <c r="U248" s="3">
        <v>0.51628350000000001</v>
      </c>
      <c r="V248" s="3">
        <v>0.51773899999999995</v>
      </c>
      <c r="W248" s="3">
        <v>0.51977280000000003</v>
      </c>
      <c r="X248" s="3">
        <v>0.52228399999999997</v>
      </c>
      <c r="Y248" s="3">
        <v>0.52516929999999995</v>
      </c>
      <c r="Z248" s="3">
        <v>0.52832559999999995</v>
      </c>
      <c r="AA248" s="3">
        <v>0.5316495</v>
      </c>
      <c r="AB248" s="3">
        <v>0.53503780000000001</v>
      </c>
      <c r="AC248" s="3">
        <v>0.53840200000000005</v>
      </c>
      <c r="AD248" s="3">
        <v>0.54171829999999999</v>
      </c>
      <c r="AE248" s="3">
        <v>0.54498100000000005</v>
      </c>
      <c r="AF248" s="3">
        <v>0.54818440000000002</v>
      </c>
      <c r="AG248" s="3">
        <v>0.5513226</v>
      </c>
      <c r="AH248" s="3">
        <v>0.55439000000000005</v>
      </c>
      <c r="AI248" s="3">
        <v>0.55738069999999995</v>
      </c>
      <c r="AJ248" s="3">
        <v>0.56028900000000004</v>
      </c>
      <c r="AK248" s="3">
        <v>0.56310919999999998</v>
      </c>
      <c r="AL248" s="3">
        <v>0.56583539999999999</v>
      </c>
      <c r="AM248" s="3">
        <v>0.56846189999999996</v>
      </c>
      <c r="AN248" s="3">
        <v>0.57098300000000002</v>
      </c>
      <c r="AO248" s="3">
        <v>0.57339499999999999</v>
      </c>
      <c r="AP248" s="3">
        <v>0.57570520000000003</v>
      </c>
      <c r="AQ248" s="3">
        <v>0.57792500000000002</v>
      </c>
      <c r="AR248" s="3">
        <v>0.58006550000000001</v>
      </c>
      <c r="AS248" s="3">
        <v>0.58213789999999999</v>
      </c>
      <c r="AT248" s="3">
        <v>0.58415340000000004</v>
      </c>
      <c r="AU248" s="3">
        <v>0.58612319999999996</v>
      </c>
      <c r="AV248" s="3">
        <v>0.58805839999999998</v>
      </c>
      <c r="AW248" s="3">
        <v>0.58997040000000001</v>
      </c>
      <c r="AX248" s="3">
        <v>0.59187029999999996</v>
      </c>
      <c r="AY248" s="3">
        <v>0.5937692</v>
      </c>
      <c r="AZ248" s="3">
        <v>0.5956785</v>
      </c>
      <c r="BA248" s="3">
        <v>0.59760800000000003</v>
      </c>
      <c r="BB248" s="3">
        <v>0.59956229999999999</v>
      </c>
      <c r="BC248" s="3">
        <v>0.60154399999999997</v>
      </c>
      <c r="BD248" s="3">
        <v>0.60355579999999998</v>
      </c>
      <c r="BE248" s="3">
        <v>0.60560029999999998</v>
      </c>
      <c r="BF248" s="3">
        <v>0.60768040000000001</v>
      </c>
      <c r="BG248" s="3">
        <v>0.60979859999999997</v>
      </c>
      <c r="BH248" s="3">
        <v>0.61195759999999999</v>
      </c>
      <c r="BI248" s="3">
        <v>0.61416009999999999</v>
      </c>
      <c r="BJ248" s="3">
        <v>0.61640890000000004</v>
      </c>
      <c r="BK248" s="3">
        <v>0.6187066</v>
      </c>
      <c r="BL248" s="3">
        <v>0.62105580000000005</v>
      </c>
      <c r="BM248" s="3" t="e">
        <v>#N/A</v>
      </c>
      <c r="BN248" s="3" t="e">
        <v>#N/A</v>
      </c>
    </row>
    <row r="249" spans="1:66" x14ac:dyDescent="0.35">
      <c r="A249" s="5">
        <f t="shared" si="3"/>
        <v>43803</v>
      </c>
      <c r="B249" t="s">
        <v>326</v>
      </c>
      <c r="C249" s="2">
        <v>0.75</v>
      </c>
      <c r="D249" s="2">
        <v>0.70909999999999995</v>
      </c>
      <c r="E249" s="3">
        <v>0.67217550000000004</v>
      </c>
      <c r="F249" s="3">
        <v>0.65811229999999998</v>
      </c>
      <c r="G249" s="3">
        <v>0.64499700000000004</v>
      </c>
      <c r="H249" s="3">
        <v>0.63333810000000001</v>
      </c>
      <c r="I249" s="3">
        <v>0.62160990000000005</v>
      </c>
      <c r="J249" s="3">
        <v>0.60923859999999996</v>
      </c>
      <c r="K249" s="3">
        <v>0.59692140000000005</v>
      </c>
      <c r="L249" s="3">
        <v>0.5860398</v>
      </c>
      <c r="M249" s="3">
        <v>0.57767500000000005</v>
      </c>
      <c r="N249" s="3">
        <v>0.57190700000000005</v>
      </c>
      <c r="O249" s="3">
        <v>0.56830199999999997</v>
      </c>
      <c r="P249" s="3">
        <v>0.56635369999999996</v>
      </c>
      <c r="Q249" s="3">
        <v>0.56537890000000002</v>
      </c>
      <c r="R249" s="3">
        <v>0.56516040000000001</v>
      </c>
      <c r="S249" s="3">
        <v>0.56563540000000001</v>
      </c>
      <c r="T249" s="3">
        <v>0.5667411</v>
      </c>
      <c r="U249" s="3">
        <v>0.56841459999999999</v>
      </c>
      <c r="V249" s="3">
        <v>0.57059320000000002</v>
      </c>
      <c r="W249" s="3">
        <v>0.57321480000000002</v>
      </c>
      <c r="X249" s="3">
        <v>0.57622039999999997</v>
      </c>
      <c r="Y249" s="3">
        <v>0.57955179999999995</v>
      </c>
      <c r="Z249" s="3">
        <v>0.58315090000000003</v>
      </c>
      <c r="AA249" s="3">
        <v>0.58695929999999996</v>
      </c>
      <c r="AB249" s="3">
        <v>0.59091899999999997</v>
      </c>
      <c r="AC249" s="3">
        <v>0.59497630000000001</v>
      </c>
      <c r="AD249" s="3">
        <v>0.5991031</v>
      </c>
      <c r="AE249" s="3">
        <v>0.60327940000000002</v>
      </c>
      <c r="AF249" s="3">
        <v>0.60748559999999996</v>
      </c>
      <c r="AG249" s="3">
        <v>0.61170179999999996</v>
      </c>
      <c r="AH249" s="3">
        <v>0.61590809999999996</v>
      </c>
      <c r="AI249" s="3">
        <v>0.62008490000000005</v>
      </c>
      <c r="AJ249" s="3">
        <v>0.62421219999999999</v>
      </c>
      <c r="AK249" s="3">
        <v>0.6282702</v>
      </c>
      <c r="AL249" s="3">
        <v>0.63223929999999995</v>
      </c>
      <c r="AM249" s="3">
        <v>0.63609950000000004</v>
      </c>
      <c r="AN249" s="3">
        <v>0.63983100000000004</v>
      </c>
      <c r="AO249" s="3">
        <v>0.64341870000000001</v>
      </c>
      <c r="AP249" s="3">
        <v>0.64686969999999999</v>
      </c>
      <c r="AQ249" s="3">
        <v>0.65019800000000005</v>
      </c>
      <c r="AR249" s="3">
        <v>0.65341749999999998</v>
      </c>
      <c r="AS249" s="3">
        <v>0.65654230000000002</v>
      </c>
      <c r="AT249" s="3">
        <v>0.65958620000000001</v>
      </c>
      <c r="AU249" s="3">
        <v>0.66256340000000002</v>
      </c>
      <c r="AV249" s="3">
        <v>0.66548779999999996</v>
      </c>
      <c r="AW249" s="3">
        <v>0.66837329999999995</v>
      </c>
      <c r="AX249" s="3">
        <v>0.671234</v>
      </c>
      <c r="AY249" s="3">
        <v>0.67408369999999995</v>
      </c>
      <c r="AZ249" s="3">
        <v>0.6769366</v>
      </c>
      <c r="BA249" s="3">
        <v>0.67980470000000004</v>
      </c>
      <c r="BB249" s="3">
        <v>0.68269210000000002</v>
      </c>
      <c r="BC249" s="3">
        <v>0.6856006</v>
      </c>
      <c r="BD249" s="3">
        <v>0.68853200000000003</v>
      </c>
      <c r="BE249" s="3">
        <v>0.69148810000000005</v>
      </c>
      <c r="BF249" s="3">
        <v>0.6944707</v>
      </c>
      <c r="BG249" s="3">
        <v>0.69748160000000003</v>
      </c>
      <c r="BH249" s="3">
        <v>0.70052270000000005</v>
      </c>
      <c r="BI249" s="3">
        <v>0.70359559999999999</v>
      </c>
      <c r="BJ249" s="3">
        <v>0.70670239999999995</v>
      </c>
      <c r="BK249" s="3">
        <v>0.70984460000000005</v>
      </c>
      <c r="BL249" s="3">
        <v>0.71302430000000006</v>
      </c>
      <c r="BM249" s="3" t="e">
        <v>#N/A</v>
      </c>
      <c r="BN249" s="3" t="e">
        <v>#N/A</v>
      </c>
    </row>
    <row r="250" spans="1:66" x14ac:dyDescent="0.35">
      <c r="A250" s="5">
        <f t="shared" si="3"/>
        <v>43804</v>
      </c>
      <c r="B250" t="s">
        <v>327</v>
      </c>
      <c r="C250" s="2">
        <v>0.75</v>
      </c>
      <c r="D250" s="2">
        <v>0.7097</v>
      </c>
      <c r="E250" s="3">
        <v>0.66592229999999997</v>
      </c>
      <c r="F250" s="3">
        <v>0.65704399999999996</v>
      </c>
      <c r="G250" s="3">
        <v>0.64570859999999997</v>
      </c>
      <c r="H250" s="3">
        <v>0.63485320000000001</v>
      </c>
      <c r="I250" s="3">
        <v>0.62410810000000005</v>
      </c>
      <c r="J250" s="3">
        <v>0.61327659999999995</v>
      </c>
      <c r="K250" s="3">
        <v>0.60311870000000001</v>
      </c>
      <c r="L250" s="3">
        <v>0.59450550000000002</v>
      </c>
      <c r="M250" s="3">
        <v>0.58801700000000001</v>
      </c>
      <c r="N250" s="3">
        <v>0.58380869999999996</v>
      </c>
      <c r="O250" s="3">
        <v>0.58156229999999998</v>
      </c>
      <c r="P250" s="3">
        <v>0.58085109999999995</v>
      </c>
      <c r="Q250" s="3">
        <v>0.58106159999999996</v>
      </c>
      <c r="R250" s="3">
        <v>0.58195529999999995</v>
      </c>
      <c r="S250" s="3">
        <v>0.58344779999999996</v>
      </c>
      <c r="T250" s="3">
        <v>0.58545499999999995</v>
      </c>
      <c r="U250" s="3">
        <v>0.58789270000000005</v>
      </c>
      <c r="V250" s="3">
        <v>0.59067689999999995</v>
      </c>
      <c r="W250" s="3">
        <v>0.59373169999999997</v>
      </c>
      <c r="X250" s="3">
        <v>0.59702509999999998</v>
      </c>
      <c r="Y250" s="3">
        <v>0.60053880000000004</v>
      </c>
      <c r="Z250" s="3">
        <v>0.60425450000000003</v>
      </c>
      <c r="AA250" s="3">
        <v>0.60815390000000003</v>
      </c>
      <c r="AB250" s="3">
        <v>0.61221879999999995</v>
      </c>
      <c r="AC250" s="3">
        <v>0.61643020000000004</v>
      </c>
      <c r="AD250" s="3">
        <v>0.62076580000000003</v>
      </c>
      <c r="AE250" s="3">
        <v>0.62520220000000004</v>
      </c>
      <c r="AF250" s="3">
        <v>0.62971600000000005</v>
      </c>
      <c r="AG250" s="3">
        <v>0.63428390000000001</v>
      </c>
      <c r="AH250" s="3">
        <v>0.63888259999999997</v>
      </c>
      <c r="AI250" s="3">
        <v>0.64348870000000002</v>
      </c>
      <c r="AJ250" s="3">
        <v>0.64807870000000001</v>
      </c>
      <c r="AK250" s="3">
        <v>0.65262940000000003</v>
      </c>
      <c r="AL250" s="3">
        <v>0.65711739999999996</v>
      </c>
      <c r="AM250" s="3">
        <v>0.66151930000000003</v>
      </c>
      <c r="AN250" s="3">
        <v>0.66581179999999995</v>
      </c>
      <c r="AO250" s="3">
        <v>0.66997569999999995</v>
      </c>
      <c r="AP250" s="3">
        <v>0.67401060000000002</v>
      </c>
      <c r="AQ250" s="3">
        <v>0.67792149999999995</v>
      </c>
      <c r="AR250" s="3">
        <v>0.68171289999999996</v>
      </c>
      <c r="AS250" s="3">
        <v>0.68538980000000005</v>
      </c>
      <c r="AT250" s="3">
        <v>0.68895680000000004</v>
      </c>
      <c r="AU250" s="3">
        <v>0.69241889999999995</v>
      </c>
      <c r="AV250" s="3">
        <v>0.69578070000000003</v>
      </c>
      <c r="AW250" s="3">
        <v>0.69904710000000003</v>
      </c>
      <c r="AX250" s="3">
        <v>0.70222280000000004</v>
      </c>
      <c r="AY250" s="3">
        <v>0.70531270000000001</v>
      </c>
      <c r="AZ250" s="3">
        <v>0.70832150000000005</v>
      </c>
      <c r="BA250" s="3">
        <v>0.71125450000000001</v>
      </c>
      <c r="BB250" s="3">
        <v>0.71411939999999996</v>
      </c>
      <c r="BC250" s="3">
        <v>0.71692449999999996</v>
      </c>
      <c r="BD250" s="3">
        <v>0.71967820000000005</v>
      </c>
      <c r="BE250" s="3">
        <v>0.72238880000000005</v>
      </c>
      <c r="BF250" s="3">
        <v>0.72506459999999995</v>
      </c>
      <c r="BG250" s="3">
        <v>0.72771390000000002</v>
      </c>
      <c r="BH250" s="3">
        <v>0.73034500000000002</v>
      </c>
      <c r="BI250" s="3">
        <v>0.73296640000000002</v>
      </c>
      <c r="BJ250" s="3">
        <v>0.73558619999999997</v>
      </c>
      <c r="BK250" s="3">
        <v>0.73821289999999995</v>
      </c>
      <c r="BL250" s="3">
        <v>0.74085469999999998</v>
      </c>
      <c r="BM250" s="3" t="e">
        <v>#N/A</v>
      </c>
      <c r="BN250" s="3" t="e">
        <v>#N/A</v>
      </c>
    </row>
    <row r="251" spans="1:66" x14ac:dyDescent="0.35">
      <c r="A251" s="5">
        <f t="shared" si="3"/>
        <v>43805</v>
      </c>
      <c r="B251" t="s">
        <v>328</v>
      </c>
      <c r="C251" s="2">
        <v>0.75</v>
      </c>
      <c r="D251" s="2">
        <v>0.70860000000000001</v>
      </c>
      <c r="E251" s="3">
        <v>0.66474440000000001</v>
      </c>
      <c r="F251" s="3">
        <v>0.65818929999999998</v>
      </c>
      <c r="G251" s="3">
        <v>0.64742920000000004</v>
      </c>
      <c r="H251" s="3">
        <v>0.63605160000000005</v>
      </c>
      <c r="I251" s="3">
        <v>0.62471719999999997</v>
      </c>
      <c r="J251" s="3">
        <v>0.61382919999999996</v>
      </c>
      <c r="K251" s="3">
        <v>0.60411570000000003</v>
      </c>
      <c r="L251" s="3">
        <v>0.59613349999999998</v>
      </c>
      <c r="M251" s="3">
        <v>0.59016610000000003</v>
      </c>
      <c r="N251" s="3">
        <v>0.58622989999999997</v>
      </c>
      <c r="O251" s="3">
        <v>0.58407310000000001</v>
      </c>
      <c r="P251" s="3">
        <v>0.58338120000000004</v>
      </c>
      <c r="Q251" s="3">
        <v>0.58376470000000003</v>
      </c>
      <c r="R251" s="3">
        <v>0.58503689999999997</v>
      </c>
      <c r="S251" s="3">
        <v>0.58708479999999996</v>
      </c>
      <c r="T251" s="3">
        <v>0.58979539999999997</v>
      </c>
      <c r="U251" s="3">
        <v>0.59305580000000002</v>
      </c>
      <c r="V251" s="3">
        <v>0.59675290000000003</v>
      </c>
      <c r="W251" s="3">
        <v>0.60077879999999995</v>
      </c>
      <c r="X251" s="3">
        <v>0.60504880000000005</v>
      </c>
      <c r="Y251" s="3">
        <v>0.6094849</v>
      </c>
      <c r="Z251" s="3">
        <v>0.61400949999999999</v>
      </c>
      <c r="AA251" s="3">
        <v>0.61854439999999999</v>
      </c>
      <c r="AB251" s="3">
        <v>0.62301189999999995</v>
      </c>
      <c r="AC251" s="3">
        <v>0.62734650000000003</v>
      </c>
      <c r="AD251" s="3">
        <v>0.63153840000000006</v>
      </c>
      <c r="AE251" s="3">
        <v>0.63559270000000001</v>
      </c>
      <c r="AF251" s="3">
        <v>0.63951480000000005</v>
      </c>
      <c r="AG251" s="3">
        <v>0.64330980000000004</v>
      </c>
      <c r="AH251" s="3">
        <v>0.64698319999999998</v>
      </c>
      <c r="AI251" s="3">
        <v>0.65054020000000001</v>
      </c>
      <c r="AJ251" s="3">
        <v>0.65398599999999996</v>
      </c>
      <c r="AK251" s="3">
        <v>0.65732599999999997</v>
      </c>
      <c r="AL251" s="3">
        <v>0.66056530000000002</v>
      </c>
      <c r="AM251" s="3">
        <v>0.6637094</v>
      </c>
      <c r="AN251" s="3">
        <v>0.66676349999999995</v>
      </c>
      <c r="AO251" s="3">
        <v>0.66973360000000004</v>
      </c>
      <c r="AP251" s="3">
        <v>0.6726297</v>
      </c>
      <c r="AQ251" s="3">
        <v>0.67546249999999997</v>
      </c>
      <c r="AR251" s="3">
        <v>0.67824289999999998</v>
      </c>
      <c r="AS251" s="3">
        <v>0.68098179999999997</v>
      </c>
      <c r="AT251" s="3">
        <v>0.68369009999999997</v>
      </c>
      <c r="AU251" s="3">
        <v>0.6863785</v>
      </c>
      <c r="AV251" s="3">
        <v>0.6890579</v>
      </c>
      <c r="AW251" s="3">
        <v>0.6917392</v>
      </c>
      <c r="AX251" s="3">
        <v>0.69443319999999997</v>
      </c>
      <c r="AY251" s="3">
        <v>0.69715070000000001</v>
      </c>
      <c r="AZ251" s="3">
        <v>0.69990269999999999</v>
      </c>
      <c r="BA251" s="3">
        <v>0.70269809999999999</v>
      </c>
      <c r="BB251" s="3">
        <v>0.70553829999999995</v>
      </c>
      <c r="BC251" s="3">
        <v>0.70842210000000005</v>
      </c>
      <c r="BD251" s="3">
        <v>0.7113486</v>
      </c>
      <c r="BE251" s="3">
        <v>0.71431690000000003</v>
      </c>
      <c r="BF251" s="3">
        <v>0.71732600000000002</v>
      </c>
      <c r="BG251" s="3">
        <v>0.72037479999999998</v>
      </c>
      <c r="BH251" s="3">
        <v>0.72346239999999995</v>
      </c>
      <c r="BI251" s="3">
        <v>0.72658789999999995</v>
      </c>
      <c r="BJ251" s="3">
        <v>0.72975009999999996</v>
      </c>
      <c r="BK251" s="3">
        <v>0.7329483</v>
      </c>
      <c r="BL251" s="3">
        <v>0.73618130000000004</v>
      </c>
      <c r="BM251" s="3" t="e">
        <v>#N/A</v>
      </c>
      <c r="BN251" s="3" t="e">
        <v>#N/A</v>
      </c>
    </row>
    <row r="252" spans="1:66" x14ac:dyDescent="0.35">
      <c r="A252" s="5">
        <f t="shared" si="3"/>
        <v>43808</v>
      </c>
      <c r="B252" t="s">
        <v>329</v>
      </c>
      <c r="C252" s="2">
        <v>0.75</v>
      </c>
      <c r="D252" s="2">
        <v>0.70950000000000002</v>
      </c>
      <c r="E252" s="3">
        <v>0.66667019999999999</v>
      </c>
      <c r="F252" s="3">
        <v>0.66585399999999995</v>
      </c>
      <c r="G252" s="3">
        <v>0.65662560000000003</v>
      </c>
      <c r="H252" s="3">
        <v>0.64173899999999995</v>
      </c>
      <c r="I252" s="3">
        <v>0.62545530000000005</v>
      </c>
      <c r="J252" s="3">
        <v>0.61097699999999999</v>
      </c>
      <c r="K252" s="3">
        <v>0.60004500000000005</v>
      </c>
      <c r="L252" s="3">
        <v>0.59286700000000003</v>
      </c>
      <c r="M252" s="3">
        <v>0.58906230000000004</v>
      </c>
      <c r="N252" s="3">
        <v>0.58792350000000004</v>
      </c>
      <c r="O252" s="3">
        <v>0.58872930000000001</v>
      </c>
      <c r="P252" s="3">
        <v>0.59081410000000001</v>
      </c>
      <c r="Q252" s="3">
        <v>0.59341560000000004</v>
      </c>
      <c r="R252" s="3">
        <v>0.59631100000000004</v>
      </c>
      <c r="S252" s="3">
        <v>0.59944750000000002</v>
      </c>
      <c r="T252" s="3">
        <v>0.60277199999999997</v>
      </c>
      <c r="U252" s="3">
        <v>0.60623150000000003</v>
      </c>
      <c r="V252" s="3">
        <v>0.60977309999999996</v>
      </c>
      <c r="W252" s="3">
        <v>0.61335300000000004</v>
      </c>
      <c r="X252" s="3">
        <v>0.61696669999999998</v>
      </c>
      <c r="Y252" s="3">
        <v>0.6206199</v>
      </c>
      <c r="Z252" s="3">
        <v>0.6243185</v>
      </c>
      <c r="AA252" s="3">
        <v>0.62806819999999997</v>
      </c>
      <c r="AB252" s="3">
        <v>0.63187459999999995</v>
      </c>
      <c r="AC252" s="3">
        <v>0.63574030000000004</v>
      </c>
      <c r="AD252" s="3">
        <v>0.63965340000000004</v>
      </c>
      <c r="AE252" s="3">
        <v>0.64359770000000005</v>
      </c>
      <c r="AF252" s="3">
        <v>0.64755739999999995</v>
      </c>
      <c r="AG252" s="3">
        <v>0.65151650000000005</v>
      </c>
      <c r="AH252" s="3">
        <v>0.65545880000000001</v>
      </c>
      <c r="AI252" s="3">
        <v>0.65936859999999997</v>
      </c>
      <c r="AJ252" s="3">
        <v>0.66322979999999998</v>
      </c>
      <c r="AK252" s="3">
        <v>0.66702640000000002</v>
      </c>
      <c r="AL252" s="3">
        <v>0.67074239999999996</v>
      </c>
      <c r="AM252" s="3">
        <v>0.67436189999999996</v>
      </c>
      <c r="AN252" s="3">
        <v>0.67786880000000005</v>
      </c>
      <c r="AO252" s="3">
        <v>0.68125049999999998</v>
      </c>
      <c r="AP252" s="3">
        <v>0.68450869999999997</v>
      </c>
      <c r="AQ252" s="3">
        <v>0.68764910000000001</v>
      </c>
      <c r="AR252" s="3">
        <v>0.6906774</v>
      </c>
      <c r="AS252" s="3">
        <v>0.69359939999999998</v>
      </c>
      <c r="AT252" s="3">
        <v>0.69642079999999995</v>
      </c>
      <c r="AU252" s="3">
        <v>0.69914739999999997</v>
      </c>
      <c r="AV252" s="3">
        <v>0.70178470000000004</v>
      </c>
      <c r="AW252" s="3">
        <v>0.70433869999999998</v>
      </c>
      <c r="AX252" s="3">
        <v>0.70681490000000002</v>
      </c>
      <c r="AY252" s="3">
        <v>0.70921920000000005</v>
      </c>
      <c r="AZ252" s="3">
        <v>0.7115572</v>
      </c>
      <c r="BA252" s="3">
        <v>0.713835</v>
      </c>
      <c r="BB252" s="3">
        <v>0.71606009999999998</v>
      </c>
      <c r="BC252" s="3">
        <v>0.71824049999999995</v>
      </c>
      <c r="BD252" s="3">
        <v>0.72038429999999998</v>
      </c>
      <c r="BE252" s="3">
        <v>0.72249949999999996</v>
      </c>
      <c r="BF252" s="3">
        <v>0.72459419999999997</v>
      </c>
      <c r="BG252" s="3">
        <v>0.7266764</v>
      </c>
      <c r="BH252" s="3">
        <v>0.72875409999999996</v>
      </c>
      <c r="BI252" s="3">
        <v>0.73083549999999997</v>
      </c>
      <c r="BJ252" s="3">
        <v>0.73292849999999998</v>
      </c>
      <c r="BK252" s="3">
        <v>0.73504119999999995</v>
      </c>
      <c r="BL252" s="3">
        <v>0.73718170000000005</v>
      </c>
      <c r="BM252" s="3" t="e">
        <v>#N/A</v>
      </c>
      <c r="BN252" s="3" t="e">
        <v>#N/A</v>
      </c>
    </row>
    <row r="253" spans="1:66" x14ac:dyDescent="0.35">
      <c r="A253" s="5">
        <f t="shared" si="3"/>
        <v>43809</v>
      </c>
      <c r="B253" t="s">
        <v>330</v>
      </c>
      <c r="C253" s="2">
        <v>0.75</v>
      </c>
      <c r="D253" s="2">
        <v>0.71030000000000004</v>
      </c>
      <c r="E253" s="3">
        <v>0.67085539999999999</v>
      </c>
      <c r="F253" s="3">
        <v>0.66443870000000005</v>
      </c>
      <c r="G253" s="3">
        <v>0.65482249999999997</v>
      </c>
      <c r="H253" s="3">
        <v>0.64371299999999998</v>
      </c>
      <c r="I253" s="3">
        <v>0.63204490000000002</v>
      </c>
      <c r="J253" s="3">
        <v>0.6210097</v>
      </c>
      <c r="K253" s="3">
        <v>0.61191660000000003</v>
      </c>
      <c r="L253" s="3">
        <v>0.60558160000000005</v>
      </c>
      <c r="M253" s="3">
        <v>0.60233539999999997</v>
      </c>
      <c r="N253" s="3">
        <v>0.6019968</v>
      </c>
      <c r="O253" s="3">
        <v>0.60398010000000002</v>
      </c>
      <c r="P253" s="3">
        <v>0.60766900000000001</v>
      </c>
      <c r="Q253" s="3">
        <v>0.61215240000000004</v>
      </c>
      <c r="R253" s="3">
        <v>0.61709970000000003</v>
      </c>
      <c r="S253" s="3">
        <v>0.62238150000000003</v>
      </c>
      <c r="T253" s="3">
        <v>0.62786830000000005</v>
      </c>
      <c r="U253" s="3">
        <v>0.63343090000000002</v>
      </c>
      <c r="V253" s="3">
        <v>0.6389397</v>
      </c>
      <c r="W253" s="3">
        <v>0.64428739999999995</v>
      </c>
      <c r="X253" s="3">
        <v>0.64945909999999996</v>
      </c>
      <c r="Y253" s="3">
        <v>0.65446409999999999</v>
      </c>
      <c r="Z253" s="3">
        <v>0.6593118</v>
      </c>
      <c r="AA253" s="3">
        <v>0.66401149999999998</v>
      </c>
      <c r="AB253" s="3">
        <v>0.66857259999999996</v>
      </c>
      <c r="AC253" s="3">
        <v>0.67300320000000002</v>
      </c>
      <c r="AD253" s="3">
        <v>0.67730590000000002</v>
      </c>
      <c r="AE253" s="3">
        <v>0.68148209999999998</v>
      </c>
      <c r="AF253" s="3">
        <v>0.68553280000000005</v>
      </c>
      <c r="AG253" s="3">
        <v>0.68945920000000005</v>
      </c>
      <c r="AH253" s="3">
        <v>0.6932625</v>
      </c>
      <c r="AI253" s="3">
        <v>0.69694389999999995</v>
      </c>
      <c r="AJ253" s="3">
        <v>0.70050460000000003</v>
      </c>
      <c r="AK253" s="3">
        <v>0.70394570000000001</v>
      </c>
      <c r="AL253" s="3">
        <v>0.70726840000000002</v>
      </c>
      <c r="AM253" s="3">
        <v>0.71047389999999999</v>
      </c>
      <c r="AN253" s="3">
        <v>0.71356339999999996</v>
      </c>
      <c r="AO253" s="3">
        <v>0.71653889999999998</v>
      </c>
      <c r="AP253" s="3">
        <v>0.71940689999999996</v>
      </c>
      <c r="AQ253" s="3">
        <v>0.72217520000000002</v>
      </c>
      <c r="AR253" s="3">
        <v>0.72485189999999999</v>
      </c>
      <c r="AS253" s="3">
        <v>0.72744489999999995</v>
      </c>
      <c r="AT253" s="3">
        <v>0.72996209999999995</v>
      </c>
      <c r="AU253" s="3">
        <v>0.73241160000000005</v>
      </c>
      <c r="AV253" s="3">
        <v>0.73480120000000004</v>
      </c>
      <c r="AW253" s="3">
        <v>0.73713899999999999</v>
      </c>
      <c r="AX253" s="3">
        <v>0.7394328</v>
      </c>
      <c r="AY253" s="3">
        <v>0.74169070000000004</v>
      </c>
      <c r="AZ253" s="3">
        <v>0.74392049999999998</v>
      </c>
      <c r="BA253" s="3">
        <v>0.74612979999999995</v>
      </c>
      <c r="BB253" s="3">
        <v>0.74832399999999999</v>
      </c>
      <c r="BC253" s="3">
        <v>0.7505077</v>
      </c>
      <c r="BD253" s="3">
        <v>0.75268570000000001</v>
      </c>
      <c r="BE253" s="3">
        <v>0.75486279999999994</v>
      </c>
      <c r="BF253" s="3">
        <v>0.75704349999999998</v>
      </c>
      <c r="BG253" s="3">
        <v>0.75923260000000004</v>
      </c>
      <c r="BH253" s="3">
        <v>0.76143479999999997</v>
      </c>
      <c r="BI253" s="3">
        <v>0.76365490000000003</v>
      </c>
      <c r="BJ253" s="3">
        <v>0.76589750000000001</v>
      </c>
      <c r="BK253" s="3">
        <v>0.76816739999999994</v>
      </c>
      <c r="BL253" s="3">
        <v>0.77046919999999997</v>
      </c>
      <c r="BM253" s="3" t="e">
        <v>#N/A</v>
      </c>
      <c r="BN253" s="3" t="e">
        <v>#N/A</v>
      </c>
    </row>
    <row r="254" spans="1:66" x14ac:dyDescent="0.35">
      <c r="A254" s="5">
        <f t="shared" si="3"/>
        <v>43810</v>
      </c>
      <c r="B254" t="s">
        <v>331</v>
      </c>
      <c r="C254" s="2">
        <v>0.75</v>
      </c>
      <c r="D254" s="2">
        <v>0.70979999999999999</v>
      </c>
      <c r="E254" s="3">
        <v>0.66478470000000001</v>
      </c>
      <c r="F254" s="3">
        <v>0.65833989999999998</v>
      </c>
      <c r="G254" s="3">
        <v>0.64072240000000003</v>
      </c>
      <c r="H254" s="3">
        <v>0.62135560000000001</v>
      </c>
      <c r="I254" s="3">
        <v>0.6045123</v>
      </c>
      <c r="J254" s="3">
        <v>0.591445</v>
      </c>
      <c r="K254" s="3">
        <v>0.58234620000000004</v>
      </c>
      <c r="L254" s="3">
        <v>0.57671260000000002</v>
      </c>
      <c r="M254" s="3">
        <v>0.57396789999999998</v>
      </c>
      <c r="N254" s="3">
        <v>0.57350120000000004</v>
      </c>
      <c r="O254" s="3">
        <v>0.57470390000000005</v>
      </c>
      <c r="P254" s="3">
        <v>0.57706939999999995</v>
      </c>
      <c r="Q254" s="3">
        <v>0.58000910000000006</v>
      </c>
      <c r="R254" s="3">
        <v>0.58332379999999995</v>
      </c>
      <c r="S254" s="3">
        <v>0.58694060000000003</v>
      </c>
      <c r="T254" s="3">
        <v>0.59078640000000004</v>
      </c>
      <c r="U254" s="3">
        <v>0.59478810000000004</v>
      </c>
      <c r="V254" s="3">
        <v>0.59887270000000004</v>
      </c>
      <c r="W254" s="3">
        <v>0.6029793</v>
      </c>
      <c r="X254" s="3">
        <v>0.60709840000000004</v>
      </c>
      <c r="Y254" s="3">
        <v>0.61123400000000006</v>
      </c>
      <c r="Z254" s="3">
        <v>0.61538999999999999</v>
      </c>
      <c r="AA254" s="3">
        <v>0.61957059999999997</v>
      </c>
      <c r="AB254" s="3">
        <v>0.62377959999999999</v>
      </c>
      <c r="AC254" s="3">
        <v>0.6280192</v>
      </c>
      <c r="AD254" s="3">
        <v>0.63228090000000003</v>
      </c>
      <c r="AE254" s="3">
        <v>0.63655289999999998</v>
      </c>
      <c r="AF254" s="3">
        <v>0.64082340000000004</v>
      </c>
      <c r="AG254" s="3">
        <v>0.64508049999999995</v>
      </c>
      <c r="AH254" s="3">
        <v>0.64931229999999995</v>
      </c>
      <c r="AI254" s="3">
        <v>0.65350699999999995</v>
      </c>
      <c r="AJ254" s="3">
        <v>0.65765269999999998</v>
      </c>
      <c r="AK254" s="3">
        <v>0.66173749999999998</v>
      </c>
      <c r="AL254" s="3">
        <v>0.6657497</v>
      </c>
      <c r="AM254" s="3">
        <v>0.66967730000000003</v>
      </c>
      <c r="AN254" s="3">
        <v>0.67350849999999995</v>
      </c>
      <c r="AO254" s="3">
        <v>0.67723350000000004</v>
      </c>
      <c r="AP254" s="3">
        <v>0.68085249999999997</v>
      </c>
      <c r="AQ254" s="3">
        <v>0.68436859999999999</v>
      </c>
      <c r="AR254" s="3">
        <v>0.68778510000000004</v>
      </c>
      <c r="AS254" s="3">
        <v>0.69110530000000003</v>
      </c>
      <c r="AT254" s="3">
        <v>0.69433239999999996</v>
      </c>
      <c r="AU254" s="3">
        <v>0.69746949999999996</v>
      </c>
      <c r="AV254" s="3">
        <v>0.70051989999999997</v>
      </c>
      <c r="AW254" s="3">
        <v>0.70348690000000003</v>
      </c>
      <c r="AX254" s="3">
        <v>0.70637360000000005</v>
      </c>
      <c r="AY254" s="3">
        <v>0.70918340000000002</v>
      </c>
      <c r="AZ254" s="3">
        <v>0.71191930000000003</v>
      </c>
      <c r="BA254" s="3">
        <v>0.71458509999999997</v>
      </c>
      <c r="BB254" s="3">
        <v>0.71718660000000001</v>
      </c>
      <c r="BC254" s="3">
        <v>0.71972990000000003</v>
      </c>
      <c r="BD254" s="3">
        <v>0.72222149999999996</v>
      </c>
      <c r="BE254" s="3">
        <v>0.72466759999999997</v>
      </c>
      <c r="BF254" s="3">
        <v>0.72707460000000002</v>
      </c>
      <c r="BG254" s="3">
        <v>0.7294486</v>
      </c>
      <c r="BH254" s="3">
        <v>0.73179609999999995</v>
      </c>
      <c r="BI254" s="3">
        <v>0.73412330000000003</v>
      </c>
      <c r="BJ254" s="3">
        <v>0.73643639999999999</v>
      </c>
      <c r="BK254" s="3">
        <v>0.73874189999999995</v>
      </c>
      <c r="BL254" s="3">
        <v>0.74104599999999998</v>
      </c>
      <c r="BM254" s="3" t="e">
        <v>#N/A</v>
      </c>
      <c r="BN254" s="3" t="e">
        <v>#N/A</v>
      </c>
    </row>
    <row r="255" spans="1:66" x14ac:dyDescent="0.35">
      <c r="A255" s="5">
        <f t="shared" si="3"/>
        <v>43811</v>
      </c>
      <c r="B255" t="s">
        <v>332</v>
      </c>
      <c r="C255" s="2">
        <v>0.75</v>
      </c>
      <c r="D255" s="2">
        <v>0.71040000000000003</v>
      </c>
      <c r="E255" s="3">
        <v>0.66438109999999995</v>
      </c>
      <c r="F255" s="3">
        <v>0.65413290000000002</v>
      </c>
      <c r="G255" s="3">
        <v>0.63384010000000002</v>
      </c>
      <c r="H255" s="3">
        <v>0.61269850000000003</v>
      </c>
      <c r="I255" s="3">
        <v>0.59486459999999997</v>
      </c>
      <c r="J255" s="3">
        <v>0.58164800000000005</v>
      </c>
      <c r="K255" s="3">
        <v>0.57308539999999997</v>
      </c>
      <c r="L255" s="3">
        <v>0.56836200000000003</v>
      </c>
      <c r="M255" s="3">
        <v>0.56664369999999997</v>
      </c>
      <c r="N255" s="3">
        <v>0.56731480000000001</v>
      </c>
      <c r="O255" s="3">
        <v>0.56979590000000002</v>
      </c>
      <c r="P255" s="3">
        <v>0.57364780000000004</v>
      </c>
      <c r="Q255" s="3">
        <v>0.57834770000000002</v>
      </c>
      <c r="R255" s="3">
        <v>0.5836789</v>
      </c>
      <c r="S255" s="3">
        <v>0.5895475</v>
      </c>
      <c r="T255" s="3">
        <v>0.59585940000000004</v>
      </c>
      <c r="U255" s="3">
        <v>0.60252059999999996</v>
      </c>
      <c r="V255" s="3">
        <v>0.60943720000000001</v>
      </c>
      <c r="W255" s="3">
        <v>0.61651860000000003</v>
      </c>
      <c r="X255" s="3">
        <v>0.62369149999999995</v>
      </c>
      <c r="Y255" s="3">
        <v>0.630888</v>
      </c>
      <c r="Z255" s="3">
        <v>0.6380403</v>
      </c>
      <c r="AA255" s="3">
        <v>0.64508069999999995</v>
      </c>
      <c r="AB255" s="3">
        <v>0.6519412</v>
      </c>
      <c r="AC255" s="3">
        <v>0.65856420000000004</v>
      </c>
      <c r="AD255" s="3">
        <v>0.66494010000000003</v>
      </c>
      <c r="AE255" s="3">
        <v>0.67107430000000001</v>
      </c>
      <c r="AF255" s="3">
        <v>0.67697209999999997</v>
      </c>
      <c r="AG255" s="3">
        <v>0.68263890000000005</v>
      </c>
      <c r="AH255" s="3">
        <v>0.68808009999999997</v>
      </c>
      <c r="AI255" s="3">
        <v>0.69330099999999995</v>
      </c>
      <c r="AJ255" s="3">
        <v>0.69830689999999995</v>
      </c>
      <c r="AK255" s="3">
        <v>0.70310320000000004</v>
      </c>
      <c r="AL255" s="3">
        <v>0.70769519999999997</v>
      </c>
      <c r="AM255" s="3">
        <v>0.71208830000000001</v>
      </c>
      <c r="AN255" s="3">
        <v>0.71628789999999998</v>
      </c>
      <c r="AO255" s="3">
        <v>0.72030130000000003</v>
      </c>
      <c r="AP255" s="3">
        <v>0.72414529999999999</v>
      </c>
      <c r="AQ255" s="3">
        <v>0.72783900000000001</v>
      </c>
      <c r="AR255" s="3">
        <v>0.73140179999999999</v>
      </c>
      <c r="AS255" s="3">
        <v>0.73485270000000003</v>
      </c>
      <c r="AT255" s="3">
        <v>0.73821110000000001</v>
      </c>
      <c r="AU255" s="3">
        <v>0.74149620000000005</v>
      </c>
      <c r="AV255" s="3">
        <v>0.74472720000000003</v>
      </c>
      <c r="AW255" s="3">
        <v>0.74792340000000002</v>
      </c>
      <c r="AX255" s="3">
        <v>0.75110379999999999</v>
      </c>
      <c r="AY255" s="3">
        <v>0.75428790000000001</v>
      </c>
      <c r="AZ255" s="3">
        <v>0.75749480000000002</v>
      </c>
      <c r="BA255" s="3">
        <v>0.76074010000000003</v>
      </c>
      <c r="BB255" s="3">
        <v>0.76402400000000004</v>
      </c>
      <c r="BC255" s="3">
        <v>0.76734210000000003</v>
      </c>
      <c r="BD255" s="3">
        <v>0.77069010000000004</v>
      </c>
      <c r="BE255" s="3">
        <v>0.77406370000000002</v>
      </c>
      <c r="BF255" s="3">
        <v>0.77745869999999995</v>
      </c>
      <c r="BG255" s="3">
        <v>0.78087079999999998</v>
      </c>
      <c r="BH255" s="3">
        <v>0.78429559999999998</v>
      </c>
      <c r="BI255" s="3">
        <v>0.78772889999999995</v>
      </c>
      <c r="BJ255" s="3">
        <v>0.79116640000000005</v>
      </c>
      <c r="BK255" s="3">
        <v>0.79460379999999997</v>
      </c>
      <c r="BL255" s="3">
        <v>0.79803670000000004</v>
      </c>
      <c r="BM255" s="3" t="e">
        <v>#N/A</v>
      </c>
      <c r="BN255" s="3" t="e">
        <v>#N/A</v>
      </c>
    </row>
    <row r="256" spans="1:66" x14ac:dyDescent="0.35">
      <c r="A256" s="5">
        <f t="shared" si="3"/>
        <v>43812</v>
      </c>
      <c r="B256" t="s">
        <v>333</v>
      </c>
      <c r="C256" s="2">
        <v>0.75</v>
      </c>
      <c r="D256" s="2">
        <v>0.71130000000000004</v>
      </c>
      <c r="E256" s="3">
        <v>0.71417580000000003</v>
      </c>
      <c r="F256" s="3">
        <v>0.69202750000000002</v>
      </c>
      <c r="G256" s="3">
        <v>0.67233969999999998</v>
      </c>
      <c r="H256" s="3">
        <v>0.65397810000000001</v>
      </c>
      <c r="I256" s="3">
        <v>0.63674739999999996</v>
      </c>
      <c r="J256" s="3">
        <v>0.62187239999999999</v>
      </c>
      <c r="K256" s="3">
        <v>0.60981529999999995</v>
      </c>
      <c r="L256" s="3">
        <v>0.60068270000000001</v>
      </c>
      <c r="M256" s="3">
        <v>0.5942674</v>
      </c>
      <c r="N256" s="3">
        <v>0.59007589999999999</v>
      </c>
      <c r="O256" s="3">
        <v>0.58788390000000001</v>
      </c>
      <c r="P256" s="3">
        <v>0.58744200000000002</v>
      </c>
      <c r="Q256" s="3">
        <v>0.58847910000000003</v>
      </c>
      <c r="R256" s="3">
        <v>0.59074459999999995</v>
      </c>
      <c r="S256" s="3">
        <v>0.59399250000000003</v>
      </c>
      <c r="T256" s="3">
        <v>0.59797679999999998</v>
      </c>
      <c r="U256" s="3">
        <v>0.60245170000000003</v>
      </c>
      <c r="V256" s="3">
        <v>0.60717109999999996</v>
      </c>
      <c r="W256" s="3">
        <v>0.61192179999999996</v>
      </c>
      <c r="X256" s="3">
        <v>0.61664160000000001</v>
      </c>
      <c r="Y256" s="3">
        <v>0.62131259999999999</v>
      </c>
      <c r="Z256" s="3">
        <v>0.62591640000000004</v>
      </c>
      <c r="AA256" s="3">
        <v>0.63043490000000002</v>
      </c>
      <c r="AB256" s="3">
        <v>0.63485000000000003</v>
      </c>
      <c r="AC256" s="3">
        <v>0.63914700000000002</v>
      </c>
      <c r="AD256" s="3">
        <v>0.64332670000000003</v>
      </c>
      <c r="AE256" s="3">
        <v>0.64739440000000004</v>
      </c>
      <c r="AF256" s="3">
        <v>0.65135529999999997</v>
      </c>
      <c r="AG256" s="3">
        <v>0.65521450000000003</v>
      </c>
      <c r="AH256" s="3">
        <v>0.65897720000000004</v>
      </c>
      <c r="AI256" s="3">
        <v>0.66264860000000003</v>
      </c>
      <c r="AJ256" s="3">
        <v>0.66623399999999999</v>
      </c>
      <c r="AK256" s="3">
        <v>0.66973839999999996</v>
      </c>
      <c r="AL256" s="3">
        <v>0.67316719999999997</v>
      </c>
      <c r="AM256" s="3">
        <v>0.67652540000000005</v>
      </c>
      <c r="AN256" s="3">
        <v>0.67981820000000004</v>
      </c>
      <c r="AO256" s="3">
        <v>0.6830505</v>
      </c>
      <c r="AP256" s="3">
        <v>0.68622479999999997</v>
      </c>
      <c r="AQ256" s="3">
        <v>0.68934320000000004</v>
      </c>
      <c r="AR256" s="3">
        <v>0.69240800000000002</v>
      </c>
      <c r="AS256" s="3">
        <v>0.69542110000000001</v>
      </c>
      <c r="AT256" s="3">
        <v>0.69838469999999997</v>
      </c>
      <c r="AU256" s="3">
        <v>0.70130099999999995</v>
      </c>
      <c r="AV256" s="3">
        <v>0.70417189999999996</v>
      </c>
      <c r="AW256" s="3">
        <v>0.70699970000000001</v>
      </c>
      <c r="AX256" s="3">
        <v>0.70978649999999999</v>
      </c>
      <c r="AY256" s="3">
        <v>0.71253429999999995</v>
      </c>
      <c r="AZ256" s="3">
        <v>0.71524529999999997</v>
      </c>
      <c r="BA256" s="3">
        <v>0.7179217</v>
      </c>
      <c r="BB256" s="3">
        <v>0.72056679999999995</v>
      </c>
      <c r="BC256" s="3">
        <v>0.72318400000000005</v>
      </c>
      <c r="BD256" s="3">
        <v>0.72577650000000005</v>
      </c>
      <c r="BE256" s="3">
        <v>0.728348</v>
      </c>
      <c r="BF256" s="3">
        <v>0.73090160000000004</v>
      </c>
      <c r="BG256" s="3">
        <v>0.73344089999999995</v>
      </c>
      <c r="BH256" s="3">
        <v>0.73596919999999999</v>
      </c>
      <c r="BI256" s="3">
        <v>0.73848990000000003</v>
      </c>
      <c r="BJ256" s="3">
        <v>0.74100650000000001</v>
      </c>
      <c r="BK256" s="3">
        <v>0.74352229999999997</v>
      </c>
      <c r="BL256" s="3">
        <v>0.74604079999999995</v>
      </c>
      <c r="BM256" s="3" t="e">
        <v>#N/A</v>
      </c>
      <c r="BN256" s="3" t="e">
        <v>#N/A</v>
      </c>
    </row>
    <row r="257" spans="1:66" x14ac:dyDescent="0.35">
      <c r="A257" s="5">
        <f t="shared" si="3"/>
        <v>43815</v>
      </c>
      <c r="B257" t="s">
        <v>334</v>
      </c>
      <c r="C257" s="2">
        <v>0.75</v>
      </c>
      <c r="D257" s="2">
        <v>0.71109999999999995</v>
      </c>
      <c r="E257" s="3">
        <v>0.69466989999999995</v>
      </c>
      <c r="F257" s="3">
        <v>0.69318539999999995</v>
      </c>
      <c r="G257" s="3">
        <v>0.68006639999999996</v>
      </c>
      <c r="H257" s="3">
        <v>0.66105530000000001</v>
      </c>
      <c r="I257" s="3">
        <v>0.64153369999999998</v>
      </c>
      <c r="J257" s="3">
        <v>0.62475150000000002</v>
      </c>
      <c r="K257" s="3">
        <v>0.61219860000000004</v>
      </c>
      <c r="L257" s="3">
        <v>0.60387150000000001</v>
      </c>
      <c r="M257" s="3">
        <v>0.59921270000000004</v>
      </c>
      <c r="N257" s="3">
        <v>0.59742249999999997</v>
      </c>
      <c r="O257" s="3">
        <v>0.59781629999999997</v>
      </c>
      <c r="P257" s="3">
        <v>0.59982250000000004</v>
      </c>
      <c r="Q257" s="3">
        <v>0.60284269999999995</v>
      </c>
      <c r="R257" s="3">
        <v>0.60662689999999997</v>
      </c>
      <c r="S257" s="3">
        <v>0.61103240000000003</v>
      </c>
      <c r="T257" s="3">
        <v>0.61591649999999998</v>
      </c>
      <c r="U257" s="3">
        <v>0.62113640000000003</v>
      </c>
      <c r="V257" s="3">
        <v>0.62654940000000003</v>
      </c>
      <c r="W257" s="3">
        <v>0.63203350000000003</v>
      </c>
      <c r="X257" s="3">
        <v>0.63755419999999996</v>
      </c>
      <c r="Y257" s="3">
        <v>0.6430998</v>
      </c>
      <c r="Z257" s="3">
        <v>0.64865859999999997</v>
      </c>
      <c r="AA257" s="3">
        <v>0.65421890000000005</v>
      </c>
      <c r="AB257" s="3">
        <v>0.6597691</v>
      </c>
      <c r="AC257" s="3">
        <v>0.66529749999999999</v>
      </c>
      <c r="AD257" s="3">
        <v>0.67079270000000002</v>
      </c>
      <c r="AE257" s="3">
        <v>0.67624320000000004</v>
      </c>
      <c r="AF257" s="3">
        <v>0.68163739999999995</v>
      </c>
      <c r="AG257" s="3">
        <v>0.68696409999999997</v>
      </c>
      <c r="AH257" s="3">
        <v>0.69221169999999999</v>
      </c>
      <c r="AI257" s="3">
        <v>0.69736869999999995</v>
      </c>
      <c r="AJ257" s="3">
        <v>0.70242369999999998</v>
      </c>
      <c r="AK257" s="3">
        <v>0.70736529999999997</v>
      </c>
      <c r="AL257" s="3">
        <v>0.71218199999999998</v>
      </c>
      <c r="AM257" s="3">
        <v>0.71686229999999995</v>
      </c>
      <c r="AN257" s="3">
        <v>0.7213948</v>
      </c>
      <c r="AO257" s="3">
        <v>0.72577060000000004</v>
      </c>
      <c r="AP257" s="3">
        <v>0.72999219999999998</v>
      </c>
      <c r="AQ257" s="3">
        <v>0.73406539999999998</v>
      </c>
      <c r="AR257" s="3">
        <v>0.73799570000000003</v>
      </c>
      <c r="AS257" s="3">
        <v>0.74178889999999997</v>
      </c>
      <c r="AT257" s="3">
        <v>0.74545059999999996</v>
      </c>
      <c r="AU257" s="3">
        <v>0.74898659999999995</v>
      </c>
      <c r="AV257" s="3">
        <v>0.75240240000000003</v>
      </c>
      <c r="AW257" s="3">
        <v>0.75570380000000004</v>
      </c>
      <c r="AX257" s="3">
        <v>0.75889640000000003</v>
      </c>
      <c r="AY257" s="3">
        <v>0.76198589999999999</v>
      </c>
      <c r="AZ257" s="3">
        <v>0.76497800000000005</v>
      </c>
      <c r="BA257" s="3">
        <v>0.76787870000000003</v>
      </c>
      <c r="BB257" s="3">
        <v>0.77069549999999998</v>
      </c>
      <c r="BC257" s="3">
        <v>0.77343649999999997</v>
      </c>
      <c r="BD257" s="3">
        <v>0.77610999999999997</v>
      </c>
      <c r="BE257" s="3">
        <v>0.77872390000000002</v>
      </c>
      <c r="BF257" s="3">
        <v>0.78128640000000005</v>
      </c>
      <c r="BG257" s="3">
        <v>0.78380559999999999</v>
      </c>
      <c r="BH257" s="3">
        <v>0.78628960000000003</v>
      </c>
      <c r="BI257" s="3">
        <v>0.78874659999999996</v>
      </c>
      <c r="BJ257" s="3">
        <v>0.79118460000000002</v>
      </c>
      <c r="BK257" s="3">
        <v>0.79361179999999998</v>
      </c>
      <c r="BL257" s="3">
        <v>0.79603630000000003</v>
      </c>
      <c r="BM257" s="3" t="e">
        <v>#N/A</v>
      </c>
      <c r="BN257" s="3" t="e">
        <v>#N/A</v>
      </c>
    </row>
    <row r="258" spans="1:66" x14ac:dyDescent="0.35">
      <c r="A258" s="5">
        <f t="shared" si="3"/>
        <v>43816</v>
      </c>
      <c r="B258" t="s">
        <v>335</v>
      </c>
      <c r="C258" s="2">
        <v>0.75</v>
      </c>
      <c r="D258" s="2">
        <v>0.71040000000000003</v>
      </c>
      <c r="E258" s="3">
        <v>0.69000499999999998</v>
      </c>
      <c r="F258" s="3">
        <v>0.68335239999999997</v>
      </c>
      <c r="G258" s="3">
        <v>0.65903849999999997</v>
      </c>
      <c r="H258" s="3">
        <v>0.6261099</v>
      </c>
      <c r="I258" s="3">
        <v>0.59430050000000001</v>
      </c>
      <c r="J258" s="3">
        <v>0.56877060000000002</v>
      </c>
      <c r="K258" s="3">
        <v>0.55082569999999997</v>
      </c>
      <c r="L258" s="3">
        <v>0.53912780000000005</v>
      </c>
      <c r="M258" s="3">
        <v>0.53187770000000001</v>
      </c>
      <c r="N258" s="3">
        <v>0.52764489999999997</v>
      </c>
      <c r="O258" s="3">
        <v>0.5254645</v>
      </c>
      <c r="P258" s="3">
        <v>0.52482309999999999</v>
      </c>
      <c r="Q258" s="3">
        <v>0.52528719999999995</v>
      </c>
      <c r="R258" s="3">
        <v>0.52669840000000001</v>
      </c>
      <c r="S258" s="3">
        <v>0.52898350000000005</v>
      </c>
      <c r="T258" s="3">
        <v>0.53206929999999997</v>
      </c>
      <c r="U258" s="3">
        <v>0.53588270000000005</v>
      </c>
      <c r="V258" s="3">
        <v>0.54035060000000001</v>
      </c>
      <c r="W258" s="3">
        <v>0.54539610000000005</v>
      </c>
      <c r="X258" s="3">
        <v>0.5509271</v>
      </c>
      <c r="Y258" s="3">
        <v>0.55684769999999995</v>
      </c>
      <c r="Z258" s="3">
        <v>0.5630617</v>
      </c>
      <c r="AA258" s="3">
        <v>0.56947309999999995</v>
      </c>
      <c r="AB258" s="3">
        <v>0.57598570000000004</v>
      </c>
      <c r="AC258" s="3">
        <v>0.58251509999999995</v>
      </c>
      <c r="AD258" s="3">
        <v>0.58902860000000001</v>
      </c>
      <c r="AE258" s="3">
        <v>0.59550740000000002</v>
      </c>
      <c r="AF258" s="3">
        <v>0.60193280000000005</v>
      </c>
      <c r="AG258" s="3">
        <v>0.6082862</v>
      </c>
      <c r="AH258" s="3">
        <v>0.61454889999999995</v>
      </c>
      <c r="AI258" s="3">
        <v>0.62070230000000004</v>
      </c>
      <c r="AJ258" s="3">
        <v>0.6267277</v>
      </c>
      <c r="AK258" s="3">
        <v>0.63260629999999995</v>
      </c>
      <c r="AL258" s="3">
        <v>0.63831970000000005</v>
      </c>
      <c r="AM258" s="3">
        <v>0.643849</v>
      </c>
      <c r="AN258" s="3">
        <v>0.64917570000000002</v>
      </c>
      <c r="AO258" s="3">
        <v>0.65428459999999999</v>
      </c>
      <c r="AP258" s="3">
        <v>0.65918060000000001</v>
      </c>
      <c r="AQ258" s="3">
        <v>0.66387479999999999</v>
      </c>
      <c r="AR258" s="3">
        <v>0.66837849999999999</v>
      </c>
      <c r="AS258" s="3">
        <v>0.67270300000000005</v>
      </c>
      <c r="AT258" s="3">
        <v>0.67685949999999995</v>
      </c>
      <c r="AU258" s="3">
        <v>0.68085929999999995</v>
      </c>
      <c r="AV258" s="3">
        <v>0.68471380000000004</v>
      </c>
      <c r="AW258" s="3">
        <v>0.68843410000000005</v>
      </c>
      <c r="AX258" s="3">
        <v>0.69203150000000002</v>
      </c>
      <c r="AY258" s="3">
        <v>0.69551719999999995</v>
      </c>
      <c r="AZ258" s="3">
        <v>0.69890269999999999</v>
      </c>
      <c r="BA258" s="3">
        <v>0.70219849999999995</v>
      </c>
      <c r="BB258" s="3">
        <v>0.70541310000000002</v>
      </c>
      <c r="BC258" s="3">
        <v>0.70855389999999996</v>
      </c>
      <c r="BD258" s="3">
        <v>0.7116285</v>
      </c>
      <c r="BE258" s="3">
        <v>0.71464430000000001</v>
      </c>
      <c r="BF258" s="3">
        <v>0.71760900000000005</v>
      </c>
      <c r="BG258" s="3">
        <v>0.72053009999999995</v>
      </c>
      <c r="BH258" s="3">
        <v>0.72341509999999998</v>
      </c>
      <c r="BI258" s="3">
        <v>0.72627149999999996</v>
      </c>
      <c r="BJ258" s="3">
        <v>0.72910680000000005</v>
      </c>
      <c r="BK258" s="3">
        <v>0.73192869999999999</v>
      </c>
      <c r="BL258" s="3">
        <v>0.73474450000000002</v>
      </c>
      <c r="BM258" s="3" t="e">
        <v>#N/A</v>
      </c>
      <c r="BN258" s="3" t="e">
        <v>#N/A</v>
      </c>
    </row>
    <row r="259" spans="1:66" x14ac:dyDescent="0.35">
      <c r="A259" s="5">
        <f t="shared" si="3"/>
        <v>43817</v>
      </c>
      <c r="B259" t="s">
        <v>336</v>
      </c>
      <c r="C259" s="2">
        <v>0.75</v>
      </c>
      <c r="D259" s="2">
        <v>0.71060000000000001</v>
      </c>
      <c r="E259" s="3">
        <v>0.71019600000000005</v>
      </c>
      <c r="F259" s="3">
        <v>0.67804909999999996</v>
      </c>
      <c r="G259" s="3">
        <v>0.64575660000000001</v>
      </c>
      <c r="H259" s="3">
        <v>0.61372550000000003</v>
      </c>
      <c r="I259" s="3">
        <v>0.58549569999999995</v>
      </c>
      <c r="J259" s="3">
        <v>0.56358470000000005</v>
      </c>
      <c r="K259" s="3">
        <v>0.54827320000000002</v>
      </c>
      <c r="L259" s="3">
        <v>0.53807079999999996</v>
      </c>
      <c r="M259" s="3">
        <v>0.53135399999999999</v>
      </c>
      <c r="N259" s="3">
        <v>0.52700800000000003</v>
      </c>
      <c r="O259" s="3">
        <v>0.5243951</v>
      </c>
      <c r="P259" s="3">
        <v>0.5232059</v>
      </c>
      <c r="Q259" s="3">
        <v>0.52324020000000004</v>
      </c>
      <c r="R259" s="3">
        <v>0.52436700000000003</v>
      </c>
      <c r="S259" s="3">
        <v>0.52647189999999999</v>
      </c>
      <c r="T259" s="3">
        <v>0.52944080000000004</v>
      </c>
      <c r="U259" s="3">
        <v>0.53315950000000001</v>
      </c>
      <c r="V259" s="3">
        <v>0.53751380000000004</v>
      </c>
      <c r="W259" s="3">
        <v>0.5423962</v>
      </c>
      <c r="X259" s="3">
        <v>0.54772739999999998</v>
      </c>
      <c r="Y259" s="3">
        <v>0.55343569999999997</v>
      </c>
      <c r="Z259" s="3">
        <v>0.55944939999999999</v>
      </c>
      <c r="AA259" s="3">
        <v>0.56569659999999999</v>
      </c>
      <c r="AB259" s="3">
        <v>0.57210550000000004</v>
      </c>
      <c r="AC259" s="3">
        <v>0.57861030000000002</v>
      </c>
      <c r="AD259" s="3">
        <v>0.58517719999999995</v>
      </c>
      <c r="AE259" s="3">
        <v>0.5917829</v>
      </c>
      <c r="AF259" s="3">
        <v>0.59840420000000005</v>
      </c>
      <c r="AG259" s="3">
        <v>0.6050181</v>
      </c>
      <c r="AH259" s="3">
        <v>0.61160119999999996</v>
      </c>
      <c r="AI259" s="3">
        <v>0.61813050000000003</v>
      </c>
      <c r="AJ259" s="3">
        <v>0.62458279999999999</v>
      </c>
      <c r="AK259" s="3">
        <v>0.63093480000000002</v>
      </c>
      <c r="AL259" s="3">
        <v>0.63716349999999999</v>
      </c>
      <c r="AM259" s="3">
        <v>0.64324570000000003</v>
      </c>
      <c r="AN259" s="3">
        <v>0.64915809999999996</v>
      </c>
      <c r="AO259" s="3">
        <v>0.65488159999999995</v>
      </c>
      <c r="AP259" s="3">
        <v>0.660416</v>
      </c>
      <c r="AQ259" s="3">
        <v>0.665767</v>
      </c>
      <c r="AR259" s="3">
        <v>0.67094050000000005</v>
      </c>
      <c r="AS259" s="3">
        <v>0.67594209999999999</v>
      </c>
      <c r="AT259" s="3">
        <v>0.68077759999999998</v>
      </c>
      <c r="AU259" s="3">
        <v>0.68545259999999997</v>
      </c>
      <c r="AV259" s="3">
        <v>0.68997299999999995</v>
      </c>
      <c r="AW259" s="3">
        <v>0.69434450000000003</v>
      </c>
      <c r="AX259" s="3">
        <v>0.69857270000000005</v>
      </c>
      <c r="AY259" s="3">
        <v>0.7026635</v>
      </c>
      <c r="AZ259" s="3">
        <v>0.70662250000000004</v>
      </c>
      <c r="BA259" s="3">
        <v>0.71045599999999998</v>
      </c>
      <c r="BB259" s="3">
        <v>0.71417260000000005</v>
      </c>
      <c r="BC259" s="3">
        <v>0.71778140000000001</v>
      </c>
      <c r="BD259" s="3">
        <v>0.72129160000000003</v>
      </c>
      <c r="BE259" s="3">
        <v>0.72471240000000003</v>
      </c>
      <c r="BF259" s="3">
        <v>0.72805310000000001</v>
      </c>
      <c r="BG259" s="3">
        <v>0.73132260000000004</v>
      </c>
      <c r="BH259" s="3">
        <v>0.73453040000000003</v>
      </c>
      <c r="BI259" s="3">
        <v>0.73768549999999999</v>
      </c>
      <c r="BJ259" s="3">
        <v>0.74079709999999999</v>
      </c>
      <c r="BK259" s="3">
        <v>0.74387440000000005</v>
      </c>
      <c r="BL259" s="3">
        <v>0.7469266</v>
      </c>
      <c r="BM259" s="3" t="e">
        <v>#N/A</v>
      </c>
      <c r="BN259" s="3" t="e">
        <v>#N/A</v>
      </c>
    </row>
    <row r="260" spans="1:66" x14ac:dyDescent="0.35">
      <c r="A260" s="5">
        <f t="shared" si="3"/>
        <v>43818</v>
      </c>
      <c r="B260" t="s">
        <v>337</v>
      </c>
      <c r="C260" s="2">
        <v>0.75</v>
      </c>
      <c r="D260" s="2">
        <v>0.71130000000000004</v>
      </c>
      <c r="E260" s="3">
        <v>0.71607889999999996</v>
      </c>
      <c r="F260" s="3">
        <v>0.68871789999999999</v>
      </c>
      <c r="G260" s="3">
        <v>0.6643964</v>
      </c>
      <c r="H260" s="3">
        <v>0.64103390000000005</v>
      </c>
      <c r="I260" s="3">
        <v>0.61892100000000005</v>
      </c>
      <c r="J260" s="3">
        <v>0.59922719999999996</v>
      </c>
      <c r="K260" s="3">
        <v>0.58264850000000001</v>
      </c>
      <c r="L260" s="3">
        <v>0.56952820000000004</v>
      </c>
      <c r="M260" s="3">
        <v>0.55984120000000004</v>
      </c>
      <c r="N260" s="3">
        <v>0.55320009999999997</v>
      </c>
      <c r="O260" s="3">
        <v>0.54903519999999995</v>
      </c>
      <c r="P260" s="3">
        <v>0.54689880000000002</v>
      </c>
      <c r="Q260" s="3">
        <v>0.546288</v>
      </c>
      <c r="R260" s="3">
        <v>0.54694640000000005</v>
      </c>
      <c r="S260" s="3">
        <v>0.54871590000000003</v>
      </c>
      <c r="T260" s="3">
        <v>0.55143869999999995</v>
      </c>
      <c r="U260" s="3">
        <v>0.55495720000000004</v>
      </c>
      <c r="V260" s="3">
        <v>0.55911350000000004</v>
      </c>
      <c r="W260" s="3">
        <v>0.56376020000000004</v>
      </c>
      <c r="X260" s="3">
        <v>0.56880439999999999</v>
      </c>
      <c r="Y260" s="3">
        <v>0.57417030000000002</v>
      </c>
      <c r="Z260" s="3">
        <v>0.57978200000000002</v>
      </c>
      <c r="AA260" s="3">
        <v>0.58556379999999997</v>
      </c>
      <c r="AB260" s="3">
        <v>0.59143990000000002</v>
      </c>
      <c r="AC260" s="3">
        <v>0.59734259999999995</v>
      </c>
      <c r="AD260" s="3">
        <v>0.6032438</v>
      </c>
      <c r="AE260" s="3">
        <v>0.60912770000000005</v>
      </c>
      <c r="AF260" s="3">
        <v>0.61497820000000003</v>
      </c>
      <c r="AG260" s="3">
        <v>0.62077939999999998</v>
      </c>
      <c r="AH260" s="3">
        <v>0.6265153</v>
      </c>
      <c r="AI260" s="3">
        <v>0.63216989999999995</v>
      </c>
      <c r="AJ260" s="3">
        <v>0.6377273</v>
      </c>
      <c r="AK260" s="3">
        <v>0.64317139999999995</v>
      </c>
      <c r="AL260" s="3">
        <v>0.64848640000000002</v>
      </c>
      <c r="AM260" s="3">
        <v>0.65365620000000002</v>
      </c>
      <c r="AN260" s="3">
        <v>0.6586649</v>
      </c>
      <c r="AO260" s="3">
        <v>0.66350010000000004</v>
      </c>
      <c r="AP260" s="3">
        <v>0.66816549999999997</v>
      </c>
      <c r="AQ260" s="3">
        <v>0.67266910000000002</v>
      </c>
      <c r="AR260" s="3">
        <v>0.67701889999999998</v>
      </c>
      <c r="AS260" s="3">
        <v>0.68122300000000002</v>
      </c>
      <c r="AT260" s="3">
        <v>0.68528940000000005</v>
      </c>
      <c r="AU260" s="3">
        <v>0.68922620000000001</v>
      </c>
      <c r="AV260" s="3">
        <v>0.69304140000000003</v>
      </c>
      <c r="AW260" s="3">
        <v>0.696743</v>
      </c>
      <c r="AX260" s="3">
        <v>0.70033909999999999</v>
      </c>
      <c r="AY260" s="3">
        <v>0.70383779999999996</v>
      </c>
      <c r="AZ260" s="3">
        <v>0.70724699999999996</v>
      </c>
      <c r="BA260" s="3">
        <v>0.7105747</v>
      </c>
      <c r="BB260" s="3">
        <v>0.71382809999999997</v>
      </c>
      <c r="BC260" s="3">
        <v>0.71701409999999999</v>
      </c>
      <c r="BD260" s="3">
        <v>0.7201398</v>
      </c>
      <c r="BE260" s="3">
        <v>0.72321210000000002</v>
      </c>
      <c r="BF260" s="3">
        <v>0.72623819999999994</v>
      </c>
      <c r="BG260" s="3">
        <v>0.72922489999999995</v>
      </c>
      <c r="BH260" s="3">
        <v>0.73217929999999998</v>
      </c>
      <c r="BI260" s="3">
        <v>0.73510850000000005</v>
      </c>
      <c r="BJ260" s="3">
        <v>0.73801930000000004</v>
      </c>
      <c r="BK260" s="3">
        <v>0.74091879999999999</v>
      </c>
      <c r="BL260" s="3">
        <v>0.74381399999999998</v>
      </c>
      <c r="BM260" s="3" t="e">
        <v>#N/A</v>
      </c>
      <c r="BN260" s="3" t="e">
        <v>#N/A</v>
      </c>
    </row>
    <row r="261" spans="1:66" x14ac:dyDescent="0.35">
      <c r="A261" s="5">
        <f t="shared" si="3"/>
        <v>43819</v>
      </c>
      <c r="B261" t="s">
        <v>338</v>
      </c>
      <c r="C261" s="2">
        <v>0.75</v>
      </c>
      <c r="D261" s="2">
        <v>0.71079999999999999</v>
      </c>
      <c r="E261" s="3">
        <v>0.71737439999999997</v>
      </c>
      <c r="F261" s="3">
        <v>0.69647820000000005</v>
      </c>
      <c r="G261" s="3">
        <v>0.67723580000000005</v>
      </c>
      <c r="H261" s="3">
        <v>0.65728679999999995</v>
      </c>
      <c r="I261" s="3">
        <v>0.63679459999999999</v>
      </c>
      <c r="J261" s="3">
        <v>0.61695290000000003</v>
      </c>
      <c r="K261" s="3">
        <v>0.59861989999999998</v>
      </c>
      <c r="L261" s="3">
        <v>0.58257000000000003</v>
      </c>
      <c r="M261" s="3">
        <v>0.56931229999999999</v>
      </c>
      <c r="N261" s="3">
        <v>0.55899279999999996</v>
      </c>
      <c r="O261" s="3">
        <v>0.55157520000000004</v>
      </c>
      <c r="P261" s="3">
        <v>0.54695459999999996</v>
      </c>
      <c r="Q261" s="3">
        <v>0.54513429999999996</v>
      </c>
      <c r="R261" s="3">
        <v>0.54573430000000001</v>
      </c>
      <c r="S261" s="3">
        <v>0.54823860000000002</v>
      </c>
      <c r="T261" s="3">
        <v>0.55213120000000004</v>
      </c>
      <c r="U261" s="3">
        <v>0.55689599999999995</v>
      </c>
      <c r="V261" s="3">
        <v>0.56201679999999998</v>
      </c>
      <c r="W261" s="3">
        <v>0.56705729999999999</v>
      </c>
      <c r="X261" s="3">
        <v>0.57195050000000003</v>
      </c>
      <c r="Y261" s="3">
        <v>0.57673660000000004</v>
      </c>
      <c r="Z261" s="3">
        <v>0.58145570000000002</v>
      </c>
      <c r="AA261" s="3">
        <v>0.5861478</v>
      </c>
      <c r="AB261" s="3">
        <v>0.59085319999999997</v>
      </c>
      <c r="AC261" s="3">
        <v>0.5956051</v>
      </c>
      <c r="AD261" s="3">
        <v>0.60040590000000005</v>
      </c>
      <c r="AE261" s="3">
        <v>0.60524960000000005</v>
      </c>
      <c r="AF261" s="3">
        <v>0.61013039999999996</v>
      </c>
      <c r="AG261" s="3">
        <v>0.61504219999999998</v>
      </c>
      <c r="AH261" s="3">
        <v>0.61997919999999995</v>
      </c>
      <c r="AI261" s="3">
        <v>0.62493529999999997</v>
      </c>
      <c r="AJ261" s="3">
        <v>0.62990460000000004</v>
      </c>
      <c r="AK261" s="3">
        <v>0.63488120000000003</v>
      </c>
      <c r="AL261" s="3">
        <v>0.63985910000000001</v>
      </c>
      <c r="AM261" s="3">
        <v>0.64483230000000002</v>
      </c>
      <c r="AN261" s="3">
        <v>0.64979489999999995</v>
      </c>
      <c r="AO261" s="3">
        <v>0.65474080000000001</v>
      </c>
      <c r="AP261" s="3">
        <v>0.65966270000000005</v>
      </c>
      <c r="AQ261" s="3">
        <v>0.66455330000000001</v>
      </c>
      <c r="AR261" s="3">
        <v>0.66940520000000003</v>
      </c>
      <c r="AS261" s="3">
        <v>0.674211</v>
      </c>
      <c r="AT261" s="3">
        <v>0.67896339999999999</v>
      </c>
      <c r="AU261" s="3">
        <v>0.68365480000000001</v>
      </c>
      <c r="AV261" s="3">
        <v>0.6882779</v>
      </c>
      <c r="AW261" s="3">
        <v>0.69282529999999998</v>
      </c>
      <c r="AX261" s="3">
        <v>0.69728970000000001</v>
      </c>
      <c r="AY261" s="3">
        <v>0.7016635</v>
      </c>
      <c r="AZ261" s="3">
        <v>0.70593950000000005</v>
      </c>
      <c r="BA261" s="3">
        <v>0.71011210000000002</v>
      </c>
      <c r="BB261" s="3">
        <v>0.71418440000000005</v>
      </c>
      <c r="BC261" s="3">
        <v>0.71816159999999996</v>
      </c>
      <c r="BD261" s="3">
        <v>0.7220491</v>
      </c>
      <c r="BE261" s="3">
        <v>0.72585219999999995</v>
      </c>
      <c r="BF261" s="3">
        <v>0.72957620000000001</v>
      </c>
      <c r="BG261" s="3">
        <v>0.7332265</v>
      </c>
      <c r="BH261" s="3">
        <v>0.73680829999999997</v>
      </c>
      <c r="BI261" s="3">
        <v>0.74032710000000002</v>
      </c>
      <c r="BJ261" s="3">
        <v>0.74378809999999995</v>
      </c>
      <c r="BK261" s="3">
        <v>0.74719659999999999</v>
      </c>
      <c r="BL261" s="3">
        <v>0.75055810000000001</v>
      </c>
      <c r="BM261" s="3" t="e">
        <v>#N/A</v>
      </c>
      <c r="BN261" s="3" t="e">
        <v>#N/A</v>
      </c>
    </row>
    <row r="262" spans="1:66" x14ac:dyDescent="0.35">
      <c r="A262" s="5">
        <f t="shared" si="3"/>
        <v>43822</v>
      </c>
      <c r="B262" t="s">
        <v>339</v>
      </c>
      <c r="C262" s="2">
        <v>0.75</v>
      </c>
      <c r="D262" s="2">
        <v>0.71020000000000005</v>
      </c>
      <c r="E262" s="3">
        <v>0.70761490000000005</v>
      </c>
      <c r="F262" s="3">
        <v>0.69609140000000003</v>
      </c>
      <c r="G262" s="3">
        <v>0.68187180000000003</v>
      </c>
      <c r="H262" s="3">
        <v>0.66426600000000002</v>
      </c>
      <c r="I262" s="3">
        <v>0.64541550000000003</v>
      </c>
      <c r="J262" s="3">
        <v>0.62716620000000001</v>
      </c>
      <c r="K262" s="3">
        <v>0.61023289999999997</v>
      </c>
      <c r="L262" s="3">
        <v>0.59494650000000004</v>
      </c>
      <c r="M262" s="3">
        <v>0.58163299999999996</v>
      </c>
      <c r="N262" s="3">
        <v>0.57050889999999999</v>
      </c>
      <c r="O262" s="3">
        <v>0.56173669999999998</v>
      </c>
      <c r="P262" s="3">
        <v>0.55533449999999995</v>
      </c>
      <c r="Q262" s="3">
        <v>0.55119470000000004</v>
      </c>
      <c r="R262" s="3">
        <v>0.54910099999999995</v>
      </c>
      <c r="S262" s="3">
        <v>0.54881250000000004</v>
      </c>
      <c r="T262" s="3">
        <v>0.55008829999999997</v>
      </c>
      <c r="U262" s="3">
        <v>0.55268720000000005</v>
      </c>
      <c r="V262" s="3">
        <v>0.55636830000000004</v>
      </c>
      <c r="W262" s="3">
        <v>0.56090269999999998</v>
      </c>
      <c r="X262" s="3">
        <v>0.56611180000000005</v>
      </c>
      <c r="Y262" s="3">
        <v>0.5718299</v>
      </c>
      <c r="Z262" s="3">
        <v>0.57789179999999996</v>
      </c>
      <c r="AA262" s="3">
        <v>0.58413199999999998</v>
      </c>
      <c r="AB262" s="3">
        <v>0.59038500000000005</v>
      </c>
      <c r="AC262" s="3">
        <v>0.59651050000000005</v>
      </c>
      <c r="AD262" s="3">
        <v>0.60247799999999996</v>
      </c>
      <c r="AE262" s="3">
        <v>0.60828780000000005</v>
      </c>
      <c r="AF262" s="3">
        <v>0.61394000000000004</v>
      </c>
      <c r="AG262" s="3">
        <v>0.6194347</v>
      </c>
      <c r="AH262" s="3">
        <v>0.62477210000000005</v>
      </c>
      <c r="AI262" s="3">
        <v>0.62995219999999996</v>
      </c>
      <c r="AJ262" s="3">
        <v>0.63497519999999996</v>
      </c>
      <c r="AK262" s="3">
        <v>0.6398414</v>
      </c>
      <c r="AL262" s="3">
        <v>0.64455059999999997</v>
      </c>
      <c r="AM262" s="3">
        <v>0.64910330000000005</v>
      </c>
      <c r="AN262" s="3">
        <v>0.65349930000000001</v>
      </c>
      <c r="AO262" s="3">
        <v>0.65774060000000001</v>
      </c>
      <c r="AP262" s="3">
        <v>0.66183630000000004</v>
      </c>
      <c r="AQ262" s="3">
        <v>0.66579719999999998</v>
      </c>
      <c r="AR262" s="3">
        <v>0.66963470000000003</v>
      </c>
      <c r="AS262" s="3">
        <v>0.67335970000000001</v>
      </c>
      <c r="AT262" s="3">
        <v>0.67698329999999995</v>
      </c>
      <c r="AU262" s="3">
        <v>0.68051660000000003</v>
      </c>
      <c r="AV262" s="3">
        <v>0.68397059999999998</v>
      </c>
      <c r="AW262" s="3">
        <v>0.68735650000000004</v>
      </c>
      <c r="AX262" s="3">
        <v>0.69068529999999995</v>
      </c>
      <c r="AY262" s="3">
        <v>0.69396820000000004</v>
      </c>
      <c r="AZ262" s="3">
        <v>0.69721599999999995</v>
      </c>
      <c r="BA262" s="3">
        <v>0.70043929999999999</v>
      </c>
      <c r="BB262" s="3">
        <v>0.70364340000000003</v>
      </c>
      <c r="BC262" s="3">
        <v>0.7068316</v>
      </c>
      <c r="BD262" s="3">
        <v>0.71000750000000001</v>
      </c>
      <c r="BE262" s="3">
        <v>0.71317430000000004</v>
      </c>
      <c r="BF262" s="3">
        <v>0.71633550000000001</v>
      </c>
      <c r="BG262" s="3">
        <v>0.71949439999999998</v>
      </c>
      <c r="BH262" s="3">
        <v>0.72265440000000003</v>
      </c>
      <c r="BI262" s="3">
        <v>0.72581899999999999</v>
      </c>
      <c r="BJ262" s="3">
        <v>0.72899150000000001</v>
      </c>
      <c r="BK262" s="3">
        <v>0.73217529999999997</v>
      </c>
      <c r="BL262" s="3">
        <v>0.73537379999999997</v>
      </c>
      <c r="BM262" s="3" t="e">
        <v>#N/A</v>
      </c>
      <c r="BN262" s="3" t="e">
        <v>#N/A</v>
      </c>
    </row>
    <row r="263" spans="1:66" x14ac:dyDescent="0.35">
      <c r="A263" s="5">
        <f t="shared" si="3"/>
        <v>43823</v>
      </c>
      <c r="B263" t="s">
        <v>340</v>
      </c>
      <c r="C263" s="2">
        <v>0.75</v>
      </c>
      <c r="D263" s="2">
        <v>0.70940000000000003</v>
      </c>
      <c r="E263" s="3">
        <v>0.70457230000000004</v>
      </c>
      <c r="F263" s="3">
        <v>0.69623829999999998</v>
      </c>
      <c r="G263" s="3">
        <v>0.68262560000000005</v>
      </c>
      <c r="H263" s="3">
        <v>0.6647923</v>
      </c>
      <c r="I263" s="3">
        <v>0.64556250000000004</v>
      </c>
      <c r="J263" s="3">
        <v>0.62751460000000003</v>
      </c>
      <c r="K263" s="3">
        <v>0.61186750000000001</v>
      </c>
      <c r="L263" s="3">
        <v>0.59874780000000005</v>
      </c>
      <c r="M263" s="3">
        <v>0.58801040000000004</v>
      </c>
      <c r="N263" s="3">
        <v>0.57940619999999998</v>
      </c>
      <c r="O263" s="3">
        <v>0.5727411</v>
      </c>
      <c r="P263" s="3">
        <v>0.5679727</v>
      </c>
      <c r="Q263" s="3">
        <v>0.56504589999999999</v>
      </c>
      <c r="R263" s="3">
        <v>0.56375730000000002</v>
      </c>
      <c r="S263" s="3">
        <v>0.56386499999999995</v>
      </c>
      <c r="T263" s="3">
        <v>0.56512709999999999</v>
      </c>
      <c r="U263" s="3">
        <v>0.56730159999999996</v>
      </c>
      <c r="V263" s="3">
        <v>0.57014659999999995</v>
      </c>
      <c r="W263" s="3">
        <v>0.57344729999999999</v>
      </c>
      <c r="X263" s="3">
        <v>0.57710280000000003</v>
      </c>
      <c r="Y263" s="3">
        <v>0.58104210000000001</v>
      </c>
      <c r="Z263" s="3">
        <v>0.58519429999999995</v>
      </c>
      <c r="AA263" s="3">
        <v>0.58948860000000003</v>
      </c>
      <c r="AB263" s="3">
        <v>0.59385379999999999</v>
      </c>
      <c r="AC263" s="3">
        <v>0.59822889999999995</v>
      </c>
      <c r="AD263" s="3">
        <v>0.60259560000000001</v>
      </c>
      <c r="AE263" s="3">
        <v>0.60694729999999997</v>
      </c>
      <c r="AF263" s="3">
        <v>0.61127770000000003</v>
      </c>
      <c r="AG263" s="3">
        <v>0.61558029999999997</v>
      </c>
      <c r="AH263" s="3">
        <v>0.61984870000000003</v>
      </c>
      <c r="AI263" s="3">
        <v>0.62407639999999998</v>
      </c>
      <c r="AJ263" s="3">
        <v>0.62825699999999995</v>
      </c>
      <c r="AK263" s="3">
        <v>0.6323841</v>
      </c>
      <c r="AL263" s="3">
        <v>0.63645119999999999</v>
      </c>
      <c r="AM263" s="3">
        <v>0.64045189999999996</v>
      </c>
      <c r="AN263" s="3">
        <v>0.6443797</v>
      </c>
      <c r="AO263" s="3">
        <v>0.64822959999999996</v>
      </c>
      <c r="AP263" s="3">
        <v>0.65200610000000003</v>
      </c>
      <c r="AQ263" s="3">
        <v>0.6557172</v>
      </c>
      <c r="AR263" s="3">
        <v>0.65937120000000005</v>
      </c>
      <c r="AS263" s="3">
        <v>0.66297640000000002</v>
      </c>
      <c r="AT263" s="3">
        <v>0.66654080000000004</v>
      </c>
      <c r="AU263" s="3">
        <v>0.67007280000000002</v>
      </c>
      <c r="AV263" s="3">
        <v>0.67358039999999997</v>
      </c>
      <c r="AW263" s="3">
        <v>0.67707200000000001</v>
      </c>
      <c r="AX263" s="3">
        <v>0.68055569999999999</v>
      </c>
      <c r="AY263" s="3">
        <v>0.68403970000000003</v>
      </c>
      <c r="AZ263" s="3">
        <v>0.68753229999999999</v>
      </c>
      <c r="BA263" s="3">
        <v>0.69104049999999995</v>
      </c>
      <c r="BB263" s="3">
        <v>0.69456519999999999</v>
      </c>
      <c r="BC263" s="3">
        <v>0.69810490000000003</v>
      </c>
      <c r="BD263" s="3">
        <v>0.70165809999999995</v>
      </c>
      <c r="BE263" s="3">
        <v>0.7052233</v>
      </c>
      <c r="BF263" s="3">
        <v>0.70879899999999996</v>
      </c>
      <c r="BG263" s="3">
        <v>0.71238369999999995</v>
      </c>
      <c r="BH263" s="3">
        <v>0.7159759</v>
      </c>
      <c r="BI263" s="3">
        <v>0.71957409999999999</v>
      </c>
      <c r="BJ263" s="3">
        <v>0.72317670000000001</v>
      </c>
      <c r="BK263" s="3">
        <v>0.72678240000000005</v>
      </c>
      <c r="BL263" s="3">
        <v>0.73038950000000002</v>
      </c>
      <c r="BM263" s="3" t="e">
        <v>#N/A</v>
      </c>
      <c r="BN263" s="3" t="e">
        <v>#N/A</v>
      </c>
    </row>
    <row r="264" spans="1:66" x14ac:dyDescent="0.35">
      <c r="A264" s="5">
        <f t="shared" si="3"/>
        <v>43824</v>
      </c>
      <c r="B264" t="s">
        <v>341</v>
      </c>
      <c r="C264" s="2">
        <v>0.75</v>
      </c>
      <c r="D264" s="2" t="e">
        <v>#N/A</v>
      </c>
      <c r="E264" s="3" t="e">
        <v>#N/A</v>
      </c>
      <c r="F264" s="3" t="e">
        <v>#N/A</v>
      </c>
      <c r="G264" s="3" t="e">
        <v>#N/A</v>
      </c>
      <c r="H264" s="3" t="e">
        <v>#N/A</v>
      </c>
      <c r="I264" s="3" t="e">
        <v>#N/A</v>
      </c>
      <c r="J264" s="3" t="e">
        <v>#N/A</v>
      </c>
      <c r="K264" s="3" t="e">
        <v>#N/A</v>
      </c>
      <c r="L264" s="3" t="e">
        <v>#N/A</v>
      </c>
      <c r="M264" s="3" t="e">
        <v>#N/A</v>
      </c>
      <c r="N264" s="3" t="e">
        <v>#N/A</v>
      </c>
      <c r="O264" s="3" t="e">
        <v>#N/A</v>
      </c>
      <c r="P264" s="3" t="e">
        <v>#N/A</v>
      </c>
      <c r="Q264" s="3" t="e">
        <v>#N/A</v>
      </c>
      <c r="R264" s="3" t="e">
        <v>#N/A</v>
      </c>
      <c r="S264" s="3" t="e">
        <v>#N/A</v>
      </c>
      <c r="T264" s="3" t="e">
        <v>#N/A</v>
      </c>
      <c r="U264" s="3" t="e">
        <v>#N/A</v>
      </c>
      <c r="V264" s="3" t="e">
        <v>#N/A</v>
      </c>
      <c r="W264" s="3" t="e">
        <v>#N/A</v>
      </c>
      <c r="X264" s="3" t="e">
        <v>#N/A</v>
      </c>
      <c r="Y264" s="3" t="e">
        <v>#N/A</v>
      </c>
      <c r="Z264" s="3" t="e">
        <v>#N/A</v>
      </c>
      <c r="AA264" s="3" t="e">
        <v>#N/A</v>
      </c>
      <c r="AB264" s="3" t="e">
        <v>#N/A</v>
      </c>
      <c r="AC264" s="3" t="e">
        <v>#N/A</v>
      </c>
      <c r="AD264" s="3" t="e">
        <v>#N/A</v>
      </c>
      <c r="AE264" s="3" t="e">
        <v>#N/A</v>
      </c>
      <c r="AF264" s="3" t="e">
        <v>#N/A</v>
      </c>
      <c r="AG264" s="3" t="e">
        <v>#N/A</v>
      </c>
      <c r="AH264" s="3" t="e">
        <v>#N/A</v>
      </c>
      <c r="AI264" s="3" t="e">
        <v>#N/A</v>
      </c>
      <c r="AJ264" s="3" t="e">
        <v>#N/A</v>
      </c>
      <c r="AK264" s="3" t="e">
        <v>#N/A</v>
      </c>
      <c r="AL264" s="3" t="e">
        <v>#N/A</v>
      </c>
      <c r="AM264" s="3" t="e">
        <v>#N/A</v>
      </c>
      <c r="AN264" s="3" t="e">
        <v>#N/A</v>
      </c>
      <c r="AO264" s="3" t="e">
        <v>#N/A</v>
      </c>
      <c r="AP264" s="3" t="e">
        <v>#N/A</v>
      </c>
      <c r="AQ264" s="3" t="e">
        <v>#N/A</v>
      </c>
      <c r="AR264" s="3" t="e">
        <v>#N/A</v>
      </c>
      <c r="AS264" s="3" t="e">
        <v>#N/A</v>
      </c>
      <c r="AT264" s="3" t="e">
        <v>#N/A</v>
      </c>
      <c r="AU264" s="3" t="e">
        <v>#N/A</v>
      </c>
      <c r="AV264" s="3" t="e">
        <v>#N/A</v>
      </c>
      <c r="AW264" s="3" t="e">
        <v>#N/A</v>
      </c>
      <c r="AX264" s="3" t="e">
        <v>#N/A</v>
      </c>
      <c r="AY264" s="3" t="e">
        <v>#N/A</v>
      </c>
      <c r="AZ264" s="3" t="e">
        <v>#N/A</v>
      </c>
      <c r="BA264" s="3" t="e">
        <v>#N/A</v>
      </c>
      <c r="BB264" s="3" t="e">
        <v>#N/A</v>
      </c>
      <c r="BC264" s="3" t="e">
        <v>#N/A</v>
      </c>
      <c r="BD264" s="3" t="e">
        <v>#N/A</v>
      </c>
      <c r="BE264" s="3" t="e">
        <v>#N/A</v>
      </c>
      <c r="BF264" s="3" t="e">
        <v>#N/A</v>
      </c>
      <c r="BG264" s="3" t="e">
        <v>#N/A</v>
      </c>
      <c r="BH264" s="3" t="e">
        <v>#N/A</v>
      </c>
      <c r="BI264" s="3" t="e">
        <v>#N/A</v>
      </c>
      <c r="BJ264" s="3" t="e">
        <v>#N/A</v>
      </c>
      <c r="BK264" s="3" t="e">
        <v>#N/A</v>
      </c>
      <c r="BL264" s="3" t="e">
        <v>#N/A</v>
      </c>
      <c r="BM264" s="3" t="e">
        <v>#N/A</v>
      </c>
      <c r="BN264" s="3" t="e">
        <v>#N/A</v>
      </c>
    </row>
    <row r="265" spans="1:66" x14ac:dyDescent="0.35">
      <c r="A265" s="5">
        <f t="shared" si="3"/>
        <v>43825</v>
      </c>
      <c r="B265" t="s">
        <v>342</v>
      </c>
      <c r="C265" s="2">
        <v>0.75</v>
      </c>
      <c r="D265" s="2" t="e">
        <v>#N/A</v>
      </c>
      <c r="E265" s="3" t="e">
        <v>#N/A</v>
      </c>
      <c r="F265" s="3" t="e">
        <v>#N/A</v>
      </c>
      <c r="G265" s="3" t="e">
        <v>#N/A</v>
      </c>
      <c r="H265" s="3" t="e">
        <v>#N/A</v>
      </c>
      <c r="I265" s="3" t="e">
        <v>#N/A</v>
      </c>
      <c r="J265" s="3" t="e">
        <v>#N/A</v>
      </c>
      <c r="K265" s="3" t="e">
        <v>#N/A</v>
      </c>
      <c r="L265" s="3" t="e">
        <v>#N/A</v>
      </c>
      <c r="M265" s="3" t="e">
        <v>#N/A</v>
      </c>
      <c r="N265" s="3" t="e">
        <v>#N/A</v>
      </c>
      <c r="O265" s="3" t="e">
        <v>#N/A</v>
      </c>
      <c r="P265" s="3" t="e">
        <v>#N/A</v>
      </c>
      <c r="Q265" s="3" t="e">
        <v>#N/A</v>
      </c>
      <c r="R265" s="3" t="e">
        <v>#N/A</v>
      </c>
      <c r="S265" s="3" t="e">
        <v>#N/A</v>
      </c>
      <c r="T265" s="3" t="e">
        <v>#N/A</v>
      </c>
      <c r="U265" s="3" t="e">
        <v>#N/A</v>
      </c>
      <c r="V265" s="3" t="e">
        <v>#N/A</v>
      </c>
      <c r="W265" s="3" t="e">
        <v>#N/A</v>
      </c>
      <c r="X265" s="3" t="e">
        <v>#N/A</v>
      </c>
      <c r="Y265" s="3" t="e">
        <v>#N/A</v>
      </c>
      <c r="Z265" s="3" t="e">
        <v>#N/A</v>
      </c>
      <c r="AA265" s="3" t="e">
        <v>#N/A</v>
      </c>
      <c r="AB265" s="3" t="e">
        <v>#N/A</v>
      </c>
      <c r="AC265" s="3" t="e">
        <v>#N/A</v>
      </c>
      <c r="AD265" s="3" t="e">
        <v>#N/A</v>
      </c>
      <c r="AE265" s="3" t="e">
        <v>#N/A</v>
      </c>
      <c r="AF265" s="3" t="e">
        <v>#N/A</v>
      </c>
      <c r="AG265" s="3" t="e">
        <v>#N/A</v>
      </c>
      <c r="AH265" s="3" t="e">
        <v>#N/A</v>
      </c>
      <c r="AI265" s="3" t="e">
        <v>#N/A</v>
      </c>
      <c r="AJ265" s="3" t="e">
        <v>#N/A</v>
      </c>
      <c r="AK265" s="3" t="e">
        <v>#N/A</v>
      </c>
      <c r="AL265" s="3" t="e">
        <v>#N/A</v>
      </c>
      <c r="AM265" s="3" t="e">
        <v>#N/A</v>
      </c>
      <c r="AN265" s="3" t="e">
        <v>#N/A</v>
      </c>
      <c r="AO265" s="3" t="e">
        <v>#N/A</v>
      </c>
      <c r="AP265" s="3" t="e">
        <v>#N/A</v>
      </c>
      <c r="AQ265" s="3" t="e">
        <v>#N/A</v>
      </c>
      <c r="AR265" s="3" t="e">
        <v>#N/A</v>
      </c>
      <c r="AS265" s="3" t="e">
        <v>#N/A</v>
      </c>
      <c r="AT265" s="3" t="e">
        <v>#N/A</v>
      </c>
      <c r="AU265" s="3" t="e">
        <v>#N/A</v>
      </c>
      <c r="AV265" s="3" t="e">
        <v>#N/A</v>
      </c>
      <c r="AW265" s="3" t="e">
        <v>#N/A</v>
      </c>
      <c r="AX265" s="3" t="e">
        <v>#N/A</v>
      </c>
      <c r="AY265" s="3" t="e">
        <v>#N/A</v>
      </c>
      <c r="AZ265" s="3" t="e">
        <v>#N/A</v>
      </c>
      <c r="BA265" s="3" t="e">
        <v>#N/A</v>
      </c>
      <c r="BB265" s="3" t="e">
        <v>#N/A</v>
      </c>
      <c r="BC265" s="3" t="e">
        <v>#N/A</v>
      </c>
      <c r="BD265" s="3" t="e">
        <v>#N/A</v>
      </c>
      <c r="BE265" s="3" t="e">
        <v>#N/A</v>
      </c>
      <c r="BF265" s="3" t="e">
        <v>#N/A</v>
      </c>
      <c r="BG265" s="3" t="e">
        <v>#N/A</v>
      </c>
      <c r="BH265" s="3" t="e">
        <v>#N/A</v>
      </c>
      <c r="BI265" s="3" t="e">
        <v>#N/A</v>
      </c>
      <c r="BJ265" s="3" t="e">
        <v>#N/A</v>
      </c>
      <c r="BK265" s="3" t="e">
        <v>#N/A</v>
      </c>
      <c r="BL265" s="3" t="e">
        <v>#N/A</v>
      </c>
      <c r="BM265" s="3" t="e">
        <v>#N/A</v>
      </c>
      <c r="BN265" s="3" t="e">
        <v>#N/A</v>
      </c>
    </row>
    <row r="266" spans="1:66" x14ac:dyDescent="0.35">
      <c r="A266" s="5">
        <f t="shared" si="3"/>
        <v>43826</v>
      </c>
      <c r="B266" t="s">
        <v>343</v>
      </c>
      <c r="C266" s="2">
        <v>0.75</v>
      </c>
      <c r="D266" s="2">
        <v>0.71</v>
      </c>
      <c r="E266" s="3">
        <v>0.71365440000000002</v>
      </c>
      <c r="F266" s="3">
        <v>0.69531489999999996</v>
      </c>
      <c r="G266" s="3">
        <v>0.67996670000000003</v>
      </c>
      <c r="H266" s="3">
        <v>0.66538180000000002</v>
      </c>
      <c r="I266" s="3">
        <v>0.65182220000000002</v>
      </c>
      <c r="J266" s="3">
        <v>0.64004050000000001</v>
      </c>
      <c r="K266" s="3">
        <v>0.62990259999999998</v>
      </c>
      <c r="L266" s="3">
        <v>0.62096010000000001</v>
      </c>
      <c r="M266" s="3">
        <v>0.61281940000000001</v>
      </c>
      <c r="N266" s="3">
        <v>0.60530030000000001</v>
      </c>
      <c r="O266" s="3">
        <v>0.59845689999999996</v>
      </c>
      <c r="P266" s="3">
        <v>0.59248920000000005</v>
      </c>
      <c r="Q266" s="3">
        <v>0.58776200000000001</v>
      </c>
      <c r="R266" s="3">
        <v>0.5843296</v>
      </c>
      <c r="S266" s="3">
        <v>0.58212010000000003</v>
      </c>
      <c r="T266" s="3">
        <v>0.58106179999999996</v>
      </c>
      <c r="U266" s="3">
        <v>0.58108269999999995</v>
      </c>
      <c r="V266" s="3">
        <v>0.58211100000000005</v>
      </c>
      <c r="W266" s="3">
        <v>0.5840632</v>
      </c>
      <c r="X266" s="3">
        <v>0.58680120000000002</v>
      </c>
      <c r="Y266" s="3">
        <v>0.59017129999999995</v>
      </c>
      <c r="Z266" s="3">
        <v>0.59401959999999998</v>
      </c>
      <c r="AA266" s="3">
        <v>0.59819250000000002</v>
      </c>
      <c r="AB266" s="3">
        <v>0.60253610000000002</v>
      </c>
      <c r="AC266" s="3">
        <v>0.60691360000000005</v>
      </c>
      <c r="AD266" s="3">
        <v>0.61127949999999998</v>
      </c>
      <c r="AE266" s="3">
        <v>0.61561900000000003</v>
      </c>
      <c r="AF266" s="3">
        <v>0.6199171</v>
      </c>
      <c r="AG266" s="3">
        <v>0.62415909999999997</v>
      </c>
      <c r="AH266" s="3">
        <v>0.6283299</v>
      </c>
      <c r="AI266" s="3">
        <v>0.63241480000000005</v>
      </c>
      <c r="AJ266" s="3">
        <v>0.63639900000000005</v>
      </c>
      <c r="AK266" s="3">
        <v>0.64026740000000004</v>
      </c>
      <c r="AL266" s="3">
        <v>0.6440053</v>
      </c>
      <c r="AM266" s="3">
        <v>0.6475978</v>
      </c>
      <c r="AN266" s="3">
        <v>0.65103009999999994</v>
      </c>
      <c r="AO266" s="3">
        <v>0.65429090000000001</v>
      </c>
      <c r="AP266" s="3">
        <v>0.65738739999999996</v>
      </c>
      <c r="AQ266" s="3">
        <v>0.66033229999999998</v>
      </c>
      <c r="AR266" s="3">
        <v>0.66313809999999995</v>
      </c>
      <c r="AS266" s="3">
        <v>0.66581760000000001</v>
      </c>
      <c r="AT266" s="3">
        <v>0.66838330000000001</v>
      </c>
      <c r="AU266" s="3">
        <v>0.670848</v>
      </c>
      <c r="AV266" s="3">
        <v>0.67322409999999999</v>
      </c>
      <c r="AW266" s="3">
        <v>0.67552449999999997</v>
      </c>
      <c r="AX266" s="3">
        <v>0.67776159999999996</v>
      </c>
      <c r="AY266" s="3">
        <v>0.67994829999999995</v>
      </c>
      <c r="AZ266" s="3">
        <v>0.68209699999999995</v>
      </c>
      <c r="BA266" s="3">
        <v>0.68421949999999998</v>
      </c>
      <c r="BB266" s="3">
        <v>0.68632249999999995</v>
      </c>
      <c r="BC266" s="3">
        <v>0.68841180000000002</v>
      </c>
      <c r="BD266" s="3">
        <v>0.69049289999999997</v>
      </c>
      <c r="BE266" s="3">
        <v>0.69257159999999995</v>
      </c>
      <c r="BF266" s="3">
        <v>0.69465339999999998</v>
      </c>
      <c r="BG266" s="3">
        <v>0.69674400000000003</v>
      </c>
      <c r="BH266" s="3">
        <v>0.6988489</v>
      </c>
      <c r="BI266" s="3">
        <v>0.70097399999999999</v>
      </c>
      <c r="BJ266" s="3">
        <v>0.70312459999999999</v>
      </c>
      <c r="BK266" s="3">
        <v>0.70530660000000001</v>
      </c>
      <c r="BL266" s="3">
        <v>0.70752559999999998</v>
      </c>
      <c r="BM266" s="3" t="e">
        <v>#N/A</v>
      </c>
      <c r="BN266" s="3" t="e">
        <v>#N/A</v>
      </c>
    </row>
    <row r="267" spans="1:66" x14ac:dyDescent="0.35">
      <c r="A267" s="5">
        <f t="shared" si="3"/>
        <v>43829</v>
      </c>
      <c r="B267" t="s">
        <v>344</v>
      </c>
      <c r="C267" s="2">
        <v>0.75</v>
      </c>
      <c r="D267" s="2">
        <v>0.7107</v>
      </c>
      <c r="E267" s="3">
        <v>0.71318320000000002</v>
      </c>
      <c r="F267" s="3">
        <v>0.69379049999999998</v>
      </c>
      <c r="G267" s="3">
        <v>0.67807309999999998</v>
      </c>
      <c r="H267" s="3">
        <v>0.66408529999999999</v>
      </c>
      <c r="I267" s="3">
        <v>0.65199700000000005</v>
      </c>
      <c r="J267" s="3">
        <v>0.64223030000000003</v>
      </c>
      <c r="K267" s="3">
        <v>0.63438589999999995</v>
      </c>
      <c r="L267" s="3">
        <v>0.62780559999999996</v>
      </c>
      <c r="M267" s="3">
        <v>0.62221000000000004</v>
      </c>
      <c r="N267" s="3">
        <v>0.61748820000000004</v>
      </c>
      <c r="O267" s="3">
        <v>0.61368270000000003</v>
      </c>
      <c r="P267" s="3">
        <v>0.61090710000000004</v>
      </c>
      <c r="Q267" s="3">
        <v>0.60931409999999997</v>
      </c>
      <c r="R267" s="3">
        <v>0.60889780000000004</v>
      </c>
      <c r="S267" s="3">
        <v>0.60960300000000001</v>
      </c>
      <c r="T267" s="3">
        <v>0.61137450000000004</v>
      </c>
      <c r="U267" s="3">
        <v>0.61415710000000001</v>
      </c>
      <c r="V267" s="3">
        <v>0.61789530000000004</v>
      </c>
      <c r="W267" s="3">
        <v>0.62251900000000004</v>
      </c>
      <c r="X267" s="3">
        <v>0.62789419999999996</v>
      </c>
      <c r="Y267" s="3">
        <v>0.63387070000000001</v>
      </c>
      <c r="Z267" s="3">
        <v>0.64029780000000003</v>
      </c>
      <c r="AA267" s="3">
        <v>0.64702530000000003</v>
      </c>
      <c r="AB267" s="3">
        <v>0.65390250000000005</v>
      </c>
      <c r="AC267" s="3">
        <v>0.66079949999999998</v>
      </c>
      <c r="AD267" s="3">
        <v>0.66767549999999998</v>
      </c>
      <c r="AE267" s="3">
        <v>0.67451459999999996</v>
      </c>
      <c r="AF267" s="3">
        <v>0.68130109999999999</v>
      </c>
      <c r="AG267" s="3">
        <v>0.68801900000000005</v>
      </c>
      <c r="AH267" s="3">
        <v>0.6946523</v>
      </c>
      <c r="AI267" s="3">
        <v>0.70118530000000001</v>
      </c>
      <c r="AJ267" s="3">
        <v>0.70760199999999995</v>
      </c>
      <c r="AK267" s="3">
        <v>0.71388649999999998</v>
      </c>
      <c r="AL267" s="3">
        <v>0.72002299999999997</v>
      </c>
      <c r="AM267" s="3">
        <v>0.72599550000000002</v>
      </c>
      <c r="AN267" s="3">
        <v>0.7317882</v>
      </c>
      <c r="AO267" s="3">
        <v>0.73738930000000003</v>
      </c>
      <c r="AP267" s="3">
        <v>0.74280539999999995</v>
      </c>
      <c r="AQ267" s="3">
        <v>0.74804820000000005</v>
      </c>
      <c r="AR267" s="3">
        <v>0.7531293</v>
      </c>
      <c r="AS267" s="3">
        <v>0.75806039999999997</v>
      </c>
      <c r="AT267" s="3">
        <v>0.76285320000000001</v>
      </c>
      <c r="AU267" s="3">
        <v>0.76751919999999996</v>
      </c>
      <c r="AV267" s="3">
        <v>0.77207029999999999</v>
      </c>
      <c r="AW267" s="3">
        <v>0.77651789999999998</v>
      </c>
      <c r="AX267" s="3">
        <v>0.78087390000000001</v>
      </c>
      <c r="AY267" s="3">
        <v>0.78514980000000001</v>
      </c>
      <c r="AZ267" s="3">
        <v>0.78935730000000004</v>
      </c>
      <c r="BA267" s="3">
        <v>0.79350710000000002</v>
      </c>
      <c r="BB267" s="3">
        <v>0.79760520000000001</v>
      </c>
      <c r="BC267" s="3">
        <v>0.80165520000000001</v>
      </c>
      <c r="BD267" s="3">
        <v>0.80566119999999997</v>
      </c>
      <c r="BE267" s="3">
        <v>0.80962699999999999</v>
      </c>
      <c r="BF267" s="3">
        <v>0.81355630000000001</v>
      </c>
      <c r="BG267" s="3">
        <v>0.81745330000000005</v>
      </c>
      <c r="BH267" s="3">
        <v>0.82132159999999999</v>
      </c>
      <c r="BI267" s="3">
        <v>0.82516509999999998</v>
      </c>
      <c r="BJ267" s="3">
        <v>0.82898780000000005</v>
      </c>
      <c r="BK267" s="3">
        <v>0.83279349999999996</v>
      </c>
      <c r="BL267" s="3">
        <v>0.8365861</v>
      </c>
      <c r="BM267" s="3" t="e">
        <v>#N/A</v>
      </c>
      <c r="BN267" s="3" t="e">
        <v>#N/A</v>
      </c>
    </row>
    <row r="268" spans="1:66" x14ac:dyDescent="0.35">
      <c r="A268" s="5">
        <f t="shared" si="3"/>
        <v>43830</v>
      </c>
      <c r="B268" t="s">
        <v>345</v>
      </c>
      <c r="C268" s="2">
        <v>0.75</v>
      </c>
      <c r="D268" s="2">
        <v>0.70979999999999999</v>
      </c>
      <c r="E268" s="3">
        <v>0.70457400000000003</v>
      </c>
      <c r="F268" s="3">
        <v>0.68998709999999996</v>
      </c>
      <c r="G268" s="3">
        <v>0.67439800000000005</v>
      </c>
      <c r="H268" s="3">
        <v>0.65702039999999995</v>
      </c>
      <c r="I268" s="3">
        <v>0.64014409999999999</v>
      </c>
      <c r="J268" s="3">
        <v>0.62545490000000004</v>
      </c>
      <c r="K268" s="3">
        <v>0.61288949999999998</v>
      </c>
      <c r="L268" s="3">
        <v>0.60166470000000005</v>
      </c>
      <c r="M268" s="3">
        <v>0.59152579999999999</v>
      </c>
      <c r="N268" s="3">
        <v>0.58266600000000002</v>
      </c>
      <c r="O268" s="3">
        <v>0.57555389999999995</v>
      </c>
      <c r="P268" s="3">
        <v>0.57078289999999998</v>
      </c>
      <c r="Q268" s="3">
        <v>0.56891630000000004</v>
      </c>
      <c r="R268" s="3">
        <v>0.56984979999999996</v>
      </c>
      <c r="S268" s="3">
        <v>0.57328710000000005</v>
      </c>
      <c r="T268" s="3">
        <v>0.578932</v>
      </c>
      <c r="U268" s="3">
        <v>0.58648789999999995</v>
      </c>
      <c r="V268" s="3">
        <v>0.59565880000000004</v>
      </c>
      <c r="W268" s="3">
        <v>0.60610750000000002</v>
      </c>
      <c r="X268" s="3">
        <v>0.61734299999999998</v>
      </c>
      <c r="Y268" s="3">
        <v>0.62883710000000004</v>
      </c>
      <c r="Z268" s="3">
        <v>0.64006180000000001</v>
      </c>
      <c r="AA268" s="3">
        <v>0.65048910000000004</v>
      </c>
      <c r="AB268" s="3">
        <v>0.65959109999999999</v>
      </c>
      <c r="AC268" s="3">
        <v>0.66694880000000001</v>
      </c>
      <c r="AD268" s="3">
        <v>0.67262549999999999</v>
      </c>
      <c r="AE268" s="3">
        <v>0.67681740000000001</v>
      </c>
      <c r="AF268" s="3">
        <v>0.67972080000000001</v>
      </c>
      <c r="AG268" s="3">
        <v>0.68153180000000002</v>
      </c>
      <c r="AH268" s="3">
        <v>0.68244680000000002</v>
      </c>
      <c r="AI268" s="3">
        <v>0.68266179999999999</v>
      </c>
      <c r="AJ268" s="3">
        <v>0.68237320000000001</v>
      </c>
      <c r="AK268" s="3">
        <v>0.68177719999999997</v>
      </c>
      <c r="AL268" s="3">
        <v>0.68106999999999995</v>
      </c>
      <c r="AM268" s="3">
        <v>0.68044780000000005</v>
      </c>
      <c r="AN268" s="3">
        <v>0.68010689999999996</v>
      </c>
      <c r="AO268" s="3">
        <v>0.68022329999999998</v>
      </c>
      <c r="AP268" s="3">
        <v>0.68085320000000005</v>
      </c>
      <c r="AQ268" s="3">
        <v>0.68200859999999996</v>
      </c>
      <c r="AR268" s="3">
        <v>0.68370120000000001</v>
      </c>
      <c r="AS268" s="3">
        <v>0.68594299999999997</v>
      </c>
      <c r="AT268" s="3">
        <v>0.68874579999999996</v>
      </c>
      <c r="AU268" s="3">
        <v>0.69212149999999995</v>
      </c>
      <c r="AV268" s="3">
        <v>0.69608179999999997</v>
      </c>
      <c r="AW268" s="3">
        <v>0.70063880000000001</v>
      </c>
      <c r="AX268" s="3">
        <v>0.70580410000000005</v>
      </c>
      <c r="AY268" s="3">
        <v>0.71158969999999999</v>
      </c>
      <c r="AZ268" s="3">
        <v>0.71800750000000002</v>
      </c>
      <c r="BA268" s="3">
        <v>0.72505969999999997</v>
      </c>
      <c r="BB268" s="3">
        <v>0.7326975</v>
      </c>
      <c r="BC268" s="3">
        <v>0.74085480000000004</v>
      </c>
      <c r="BD268" s="3">
        <v>0.74946539999999995</v>
      </c>
      <c r="BE268" s="3">
        <v>0.75846340000000001</v>
      </c>
      <c r="BF268" s="3">
        <v>0.76778259999999998</v>
      </c>
      <c r="BG268" s="3">
        <v>0.77735690000000002</v>
      </c>
      <c r="BH268" s="3">
        <v>0.78712029999999999</v>
      </c>
      <c r="BI268" s="3">
        <v>0.79700660000000001</v>
      </c>
      <c r="BJ268" s="3">
        <v>0.80694969999999999</v>
      </c>
      <c r="BK268" s="3">
        <v>0.81688360000000004</v>
      </c>
      <c r="BL268" s="3">
        <v>0.82674219999999998</v>
      </c>
      <c r="BM268" s="3" t="e">
        <v>#N/A</v>
      </c>
      <c r="BN268" s="3" t="e">
        <v>#N/A</v>
      </c>
    </row>
    <row r="269" spans="1:66" x14ac:dyDescent="0.35">
      <c r="A269" s="5">
        <f t="shared" si="3"/>
        <v>43831</v>
      </c>
      <c r="B269" t="s">
        <v>346</v>
      </c>
      <c r="C269" s="2">
        <v>0.75</v>
      </c>
      <c r="D269" s="2" t="e">
        <v>#N/A</v>
      </c>
      <c r="E269" s="3" t="e">
        <v>#N/A</v>
      </c>
      <c r="F269" s="3" t="e">
        <v>#N/A</v>
      </c>
      <c r="G269" s="3" t="e">
        <v>#N/A</v>
      </c>
      <c r="H269" s="3" t="e">
        <v>#N/A</v>
      </c>
      <c r="I269" s="3" t="e">
        <v>#N/A</v>
      </c>
      <c r="J269" s="3" t="e">
        <v>#N/A</v>
      </c>
      <c r="K269" s="3" t="e">
        <v>#N/A</v>
      </c>
      <c r="L269" s="3" t="e">
        <v>#N/A</v>
      </c>
      <c r="M269" s="3" t="e">
        <v>#N/A</v>
      </c>
      <c r="N269" s="3" t="e">
        <v>#N/A</v>
      </c>
      <c r="O269" s="3" t="e">
        <v>#N/A</v>
      </c>
      <c r="P269" s="3" t="e">
        <v>#N/A</v>
      </c>
      <c r="Q269" s="3" t="e">
        <v>#N/A</v>
      </c>
      <c r="R269" s="3" t="e">
        <v>#N/A</v>
      </c>
      <c r="S269" s="3" t="e">
        <v>#N/A</v>
      </c>
      <c r="T269" s="3" t="e">
        <v>#N/A</v>
      </c>
      <c r="U269" s="3" t="e">
        <v>#N/A</v>
      </c>
      <c r="V269" s="3" t="e">
        <v>#N/A</v>
      </c>
      <c r="W269" s="3" t="e">
        <v>#N/A</v>
      </c>
      <c r="X269" s="3" t="e">
        <v>#N/A</v>
      </c>
      <c r="Y269" s="3" t="e">
        <v>#N/A</v>
      </c>
      <c r="Z269" s="3" t="e">
        <v>#N/A</v>
      </c>
      <c r="AA269" s="3" t="e">
        <v>#N/A</v>
      </c>
      <c r="AB269" s="3" t="e">
        <v>#N/A</v>
      </c>
      <c r="AC269" s="3" t="e">
        <v>#N/A</v>
      </c>
      <c r="AD269" s="3" t="e">
        <v>#N/A</v>
      </c>
      <c r="AE269" s="3" t="e">
        <v>#N/A</v>
      </c>
      <c r="AF269" s="3" t="e">
        <v>#N/A</v>
      </c>
      <c r="AG269" s="3" t="e">
        <v>#N/A</v>
      </c>
      <c r="AH269" s="3" t="e">
        <v>#N/A</v>
      </c>
      <c r="AI269" s="3" t="e">
        <v>#N/A</v>
      </c>
      <c r="AJ269" s="3" t="e">
        <v>#N/A</v>
      </c>
      <c r="AK269" s="3" t="e">
        <v>#N/A</v>
      </c>
      <c r="AL269" s="3" t="e">
        <v>#N/A</v>
      </c>
      <c r="AM269" s="3" t="e">
        <v>#N/A</v>
      </c>
      <c r="AN269" s="3" t="e">
        <v>#N/A</v>
      </c>
      <c r="AO269" s="3" t="e">
        <v>#N/A</v>
      </c>
      <c r="AP269" s="3" t="e">
        <v>#N/A</v>
      </c>
      <c r="AQ269" s="3" t="e">
        <v>#N/A</v>
      </c>
      <c r="AR269" s="3" t="e">
        <v>#N/A</v>
      </c>
      <c r="AS269" s="3" t="e">
        <v>#N/A</v>
      </c>
      <c r="AT269" s="3" t="e">
        <v>#N/A</v>
      </c>
      <c r="AU269" s="3" t="e">
        <v>#N/A</v>
      </c>
      <c r="AV269" s="3" t="e">
        <v>#N/A</v>
      </c>
      <c r="AW269" s="3" t="e">
        <v>#N/A</v>
      </c>
      <c r="AX269" s="3" t="e">
        <v>#N/A</v>
      </c>
      <c r="AY269" s="3" t="e">
        <v>#N/A</v>
      </c>
      <c r="AZ269" s="3" t="e">
        <v>#N/A</v>
      </c>
      <c r="BA269" s="3" t="e">
        <v>#N/A</v>
      </c>
      <c r="BB269" s="3" t="e">
        <v>#N/A</v>
      </c>
      <c r="BC269" s="3" t="e">
        <v>#N/A</v>
      </c>
      <c r="BD269" s="3" t="e">
        <v>#N/A</v>
      </c>
      <c r="BE269" s="3" t="e">
        <v>#N/A</v>
      </c>
      <c r="BF269" s="3" t="e">
        <v>#N/A</v>
      </c>
      <c r="BG269" s="3" t="e">
        <v>#N/A</v>
      </c>
      <c r="BH269" s="3" t="e">
        <v>#N/A</v>
      </c>
      <c r="BI269" s="3" t="e">
        <v>#N/A</v>
      </c>
      <c r="BJ269" s="3" t="e">
        <v>#N/A</v>
      </c>
      <c r="BK269" s="3" t="e">
        <v>#N/A</v>
      </c>
      <c r="BL269" s="3" t="e">
        <v>#N/A</v>
      </c>
      <c r="BM269" s="3" t="e">
        <v>#N/A</v>
      </c>
      <c r="BN269" s="3" t="e">
        <v>#N/A</v>
      </c>
    </row>
    <row r="270" spans="1:66" x14ac:dyDescent="0.35">
      <c r="A270" s="5">
        <f t="shared" ref="A270:A333" si="4">+A265+7</f>
        <v>43832</v>
      </c>
      <c r="B270" t="s">
        <v>347</v>
      </c>
      <c r="C270" s="2">
        <v>0.75</v>
      </c>
      <c r="D270" s="2">
        <v>0.71250000000000002</v>
      </c>
      <c r="E270" s="3">
        <v>0.7034224</v>
      </c>
      <c r="F270" s="3">
        <v>0.69094509999999998</v>
      </c>
      <c r="G270" s="3">
        <v>0.67475149999999995</v>
      </c>
      <c r="H270" s="3">
        <v>0.65517559999999997</v>
      </c>
      <c r="I270" s="3">
        <v>0.63591880000000001</v>
      </c>
      <c r="J270" s="3">
        <v>0.61947419999999997</v>
      </c>
      <c r="K270" s="3">
        <v>0.60623680000000002</v>
      </c>
      <c r="L270" s="3">
        <v>0.59556659999999995</v>
      </c>
      <c r="M270" s="3">
        <v>0.58691729999999998</v>
      </c>
      <c r="N270" s="3">
        <v>0.57998110000000003</v>
      </c>
      <c r="O270" s="3">
        <v>0.57466059999999997</v>
      </c>
      <c r="P270" s="3">
        <v>0.57087549999999998</v>
      </c>
      <c r="Q270" s="3">
        <v>0.56848180000000004</v>
      </c>
      <c r="R270" s="3">
        <v>0.5673551</v>
      </c>
      <c r="S270" s="3">
        <v>0.56738350000000004</v>
      </c>
      <c r="T270" s="3">
        <v>0.56845520000000005</v>
      </c>
      <c r="U270" s="3">
        <v>0.57045829999999997</v>
      </c>
      <c r="V270" s="3">
        <v>0.57328089999999998</v>
      </c>
      <c r="W270" s="3">
        <v>0.57680960000000003</v>
      </c>
      <c r="X270" s="3">
        <v>0.58092529999999998</v>
      </c>
      <c r="Y270" s="3">
        <v>0.58550749999999996</v>
      </c>
      <c r="Z270" s="3">
        <v>0.59043559999999995</v>
      </c>
      <c r="AA270" s="3">
        <v>0.59558900000000004</v>
      </c>
      <c r="AB270" s="3">
        <v>0.60084720000000003</v>
      </c>
      <c r="AC270" s="3">
        <v>0.60610339999999996</v>
      </c>
      <c r="AD270" s="3">
        <v>0.61132339999999996</v>
      </c>
      <c r="AE270" s="3">
        <v>0.61649770000000004</v>
      </c>
      <c r="AF270" s="3">
        <v>0.62161699999999998</v>
      </c>
      <c r="AG270" s="3">
        <v>0.62667170000000005</v>
      </c>
      <c r="AH270" s="3">
        <v>0.6316524</v>
      </c>
      <c r="AI270" s="3">
        <v>0.63654960000000005</v>
      </c>
      <c r="AJ270" s="3">
        <v>0.64135370000000003</v>
      </c>
      <c r="AK270" s="3">
        <v>0.64605539999999995</v>
      </c>
      <c r="AL270" s="3">
        <v>0.65064509999999998</v>
      </c>
      <c r="AM270" s="3">
        <v>0.65511339999999996</v>
      </c>
      <c r="AN270" s="3">
        <v>0.65945069999999995</v>
      </c>
      <c r="AO270" s="3">
        <v>0.66365059999999998</v>
      </c>
      <c r="AP270" s="3">
        <v>0.66772050000000005</v>
      </c>
      <c r="AQ270" s="3">
        <v>0.67167239999999995</v>
      </c>
      <c r="AR270" s="3">
        <v>0.67551810000000001</v>
      </c>
      <c r="AS270" s="3">
        <v>0.67926940000000002</v>
      </c>
      <c r="AT270" s="3">
        <v>0.6829383</v>
      </c>
      <c r="AU270" s="3">
        <v>0.68653649999999999</v>
      </c>
      <c r="AV270" s="3">
        <v>0.69007600000000002</v>
      </c>
      <c r="AW270" s="3">
        <v>0.69356859999999998</v>
      </c>
      <c r="AX270" s="3">
        <v>0.69702620000000004</v>
      </c>
      <c r="AY270" s="3">
        <v>0.70046070000000005</v>
      </c>
      <c r="AZ270" s="3">
        <v>0.70388379999999995</v>
      </c>
      <c r="BA270" s="3">
        <v>0.70730630000000005</v>
      </c>
      <c r="BB270" s="3">
        <v>0.71073280000000005</v>
      </c>
      <c r="BC270" s="3">
        <v>0.71416679999999999</v>
      </c>
      <c r="BD270" s="3">
        <v>0.71761129999999995</v>
      </c>
      <c r="BE270" s="3">
        <v>0.72106979999999998</v>
      </c>
      <c r="BF270" s="3">
        <v>0.72454549999999995</v>
      </c>
      <c r="BG270" s="3">
        <v>0.72804150000000001</v>
      </c>
      <c r="BH270" s="3">
        <v>0.73156129999999997</v>
      </c>
      <c r="BI270" s="3">
        <v>0.73510799999999998</v>
      </c>
      <c r="BJ270" s="3">
        <v>0.73868489999999998</v>
      </c>
      <c r="BK270" s="3">
        <v>0.74229529999999999</v>
      </c>
      <c r="BL270" s="3">
        <v>0.74594240000000001</v>
      </c>
      <c r="BM270" s="3" t="e">
        <v>#N/A</v>
      </c>
      <c r="BN270" s="3" t="e">
        <v>#N/A</v>
      </c>
    </row>
    <row r="271" spans="1:66" x14ac:dyDescent="0.35">
      <c r="A271" s="5">
        <f t="shared" si="4"/>
        <v>43833</v>
      </c>
      <c r="B271" t="s">
        <v>348</v>
      </c>
      <c r="C271" s="2">
        <v>0.75</v>
      </c>
      <c r="D271" s="2">
        <v>0.71099999999999997</v>
      </c>
      <c r="E271" s="3">
        <v>0.69958319999999996</v>
      </c>
      <c r="F271" s="3">
        <v>0.6841334</v>
      </c>
      <c r="G271" s="3">
        <v>0.66570189999999996</v>
      </c>
      <c r="H271" s="3">
        <v>0.64368780000000003</v>
      </c>
      <c r="I271" s="3">
        <v>0.6218766</v>
      </c>
      <c r="J271" s="3">
        <v>0.60296879999999997</v>
      </c>
      <c r="K271" s="3">
        <v>0.58732969999999995</v>
      </c>
      <c r="L271" s="3">
        <v>0.5746734</v>
      </c>
      <c r="M271" s="3">
        <v>0.56471539999999998</v>
      </c>
      <c r="N271" s="3">
        <v>0.55703320000000001</v>
      </c>
      <c r="O271" s="3">
        <v>0.55118290000000003</v>
      </c>
      <c r="P271" s="3">
        <v>0.54686670000000004</v>
      </c>
      <c r="Q271" s="3">
        <v>0.54380890000000004</v>
      </c>
      <c r="R271" s="3">
        <v>0.54188570000000003</v>
      </c>
      <c r="S271" s="3">
        <v>0.5410237</v>
      </c>
      <c r="T271" s="3">
        <v>0.54114969999999996</v>
      </c>
      <c r="U271" s="3">
        <v>0.54219030000000001</v>
      </c>
      <c r="V271" s="3">
        <v>0.54407220000000001</v>
      </c>
      <c r="W271" s="3">
        <v>0.54671429999999999</v>
      </c>
      <c r="X271" s="3">
        <v>0.54999909999999996</v>
      </c>
      <c r="Y271" s="3">
        <v>0.55379869999999998</v>
      </c>
      <c r="Z271" s="3">
        <v>0.55798530000000002</v>
      </c>
      <c r="AA271" s="3">
        <v>0.56243069999999995</v>
      </c>
      <c r="AB271" s="3">
        <v>0.56700729999999999</v>
      </c>
      <c r="AC271" s="3">
        <v>0.57160230000000001</v>
      </c>
      <c r="AD271" s="3">
        <v>0.57617910000000006</v>
      </c>
      <c r="AE271" s="3">
        <v>0.58072349999999995</v>
      </c>
      <c r="AF271" s="3">
        <v>0.58522160000000001</v>
      </c>
      <c r="AG271" s="3">
        <v>0.5896595</v>
      </c>
      <c r="AH271" s="3">
        <v>0.59402319999999997</v>
      </c>
      <c r="AI271" s="3">
        <v>0.59829880000000002</v>
      </c>
      <c r="AJ271" s="3">
        <v>0.60247220000000001</v>
      </c>
      <c r="AK271" s="3">
        <v>0.60652950000000005</v>
      </c>
      <c r="AL271" s="3">
        <v>0.61045689999999997</v>
      </c>
      <c r="AM271" s="3">
        <v>0.61424020000000001</v>
      </c>
      <c r="AN271" s="3">
        <v>0.61786560000000001</v>
      </c>
      <c r="AO271" s="3">
        <v>0.62132330000000002</v>
      </c>
      <c r="AP271" s="3">
        <v>0.62462189999999995</v>
      </c>
      <c r="AQ271" s="3">
        <v>0.62777519999999998</v>
      </c>
      <c r="AR271" s="3">
        <v>0.63079700000000005</v>
      </c>
      <c r="AS271" s="3">
        <v>0.63370099999999996</v>
      </c>
      <c r="AT271" s="3">
        <v>0.63650090000000004</v>
      </c>
      <c r="AU271" s="3">
        <v>0.63921059999999996</v>
      </c>
      <c r="AV271" s="3">
        <v>0.64184370000000002</v>
      </c>
      <c r="AW271" s="3">
        <v>0.64441409999999999</v>
      </c>
      <c r="AX271" s="3">
        <v>0.64693540000000005</v>
      </c>
      <c r="AY271" s="3">
        <v>0.64942149999999998</v>
      </c>
      <c r="AZ271" s="3">
        <v>0.65188610000000002</v>
      </c>
      <c r="BA271" s="3">
        <v>0.65434159999999997</v>
      </c>
      <c r="BB271" s="3">
        <v>0.65679370000000004</v>
      </c>
      <c r="BC271" s="3">
        <v>0.65924680000000002</v>
      </c>
      <c r="BD271" s="3">
        <v>0.66170499999999999</v>
      </c>
      <c r="BE271" s="3">
        <v>0.66417250000000005</v>
      </c>
      <c r="BF271" s="3">
        <v>0.66665339999999995</v>
      </c>
      <c r="BG271" s="3">
        <v>0.66915199999999997</v>
      </c>
      <c r="BH271" s="3">
        <v>0.67167239999999995</v>
      </c>
      <c r="BI271" s="3">
        <v>0.67421869999999995</v>
      </c>
      <c r="BJ271" s="3">
        <v>0.67679520000000004</v>
      </c>
      <c r="BK271" s="3">
        <v>0.67940610000000001</v>
      </c>
      <c r="BL271" s="3">
        <v>0.68205550000000004</v>
      </c>
      <c r="BM271" s="3" t="e">
        <v>#N/A</v>
      </c>
      <c r="BN271" s="3" t="e">
        <v>#N/A</v>
      </c>
    </row>
    <row r="272" spans="1:66" x14ac:dyDescent="0.35">
      <c r="A272" s="5">
        <f t="shared" si="4"/>
        <v>43836</v>
      </c>
      <c r="B272" t="s">
        <v>349</v>
      </c>
      <c r="C272" s="2">
        <v>0.75</v>
      </c>
      <c r="D272" s="2">
        <v>0.71240000000000003</v>
      </c>
      <c r="E272" s="3">
        <v>0.70178549999999995</v>
      </c>
      <c r="F272" s="3">
        <v>0.69093590000000005</v>
      </c>
      <c r="G272" s="3">
        <v>0.67582810000000004</v>
      </c>
      <c r="H272" s="3">
        <v>0.65690079999999995</v>
      </c>
      <c r="I272" s="3">
        <v>0.63837330000000003</v>
      </c>
      <c r="J272" s="3">
        <v>0.62274070000000004</v>
      </c>
      <c r="K272" s="3">
        <v>0.61007529999999999</v>
      </c>
      <c r="L272" s="3">
        <v>0.59982769999999996</v>
      </c>
      <c r="M272" s="3">
        <v>0.59169389999999999</v>
      </c>
      <c r="N272" s="3">
        <v>0.58528760000000002</v>
      </c>
      <c r="O272" s="3">
        <v>0.58035590000000004</v>
      </c>
      <c r="P272" s="3">
        <v>0.57669890000000001</v>
      </c>
      <c r="Q272" s="3">
        <v>0.57410760000000005</v>
      </c>
      <c r="R272" s="3">
        <v>0.57250199999999996</v>
      </c>
      <c r="S272" s="3">
        <v>0.57184060000000003</v>
      </c>
      <c r="T272" s="3">
        <v>0.57208239999999999</v>
      </c>
      <c r="U272" s="3">
        <v>0.57318599999999997</v>
      </c>
      <c r="V272" s="3">
        <v>0.57511029999999996</v>
      </c>
      <c r="W272" s="3">
        <v>0.57779709999999995</v>
      </c>
      <c r="X272" s="3">
        <v>0.58112459999999999</v>
      </c>
      <c r="Y272" s="3">
        <v>0.58495569999999997</v>
      </c>
      <c r="Z272" s="3">
        <v>0.58915329999999999</v>
      </c>
      <c r="AA272" s="3">
        <v>0.59358040000000001</v>
      </c>
      <c r="AB272" s="3">
        <v>0.59809970000000001</v>
      </c>
      <c r="AC272" s="3">
        <v>0.6025933</v>
      </c>
      <c r="AD272" s="3">
        <v>0.60702679999999998</v>
      </c>
      <c r="AE272" s="3">
        <v>0.61138890000000001</v>
      </c>
      <c r="AF272" s="3">
        <v>0.61566860000000001</v>
      </c>
      <c r="AG272" s="3">
        <v>0.61985449999999997</v>
      </c>
      <c r="AH272" s="3">
        <v>0.62393549999999998</v>
      </c>
      <c r="AI272" s="3">
        <v>0.62790049999999997</v>
      </c>
      <c r="AJ272" s="3">
        <v>0.63173809999999997</v>
      </c>
      <c r="AK272" s="3">
        <v>0.63543720000000004</v>
      </c>
      <c r="AL272" s="3">
        <v>0.63898670000000002</v>
      </c>
      <c r="AM272" s="3">
        <v>0.64237520000000004</v>
      </c>
      <c r="AN272" s="3">
        <v>0.64559169999999999</v>
      </c>
      <c r="AO272" s="3">
        <v>0.64862909999999996</v>
      </c>
      <c r="AP272" s="3">
        <v>0.6514993</v>
      </c>
      <c r="AQ272" s="3">
        <v>0.65421940000000001</v>
      </c>
      <c r="AR272" s="3">
        <v>0.65680629999999995</v>
      </c>
      <c r="AS272" s="3">
        <v>0.65927709999999995</v>
      </c>
      <c r="AT272" s="3">
        <v>0.66164889999999998</v>
      </c>
      <c r="AU272" s="3">
        <v>0.66393860000000005</v>
      </c>
      <c r="AV272" s="3">
        <v>0.66616330000000001</v>
      </c>
      <c r="AW272" s="3">
        <v>0.66834000000000005</v>
      </c>
      <c r="AX272" s="3">
        <v>0.67048569999999996</v>
      </c>
      <c r="AY272" s="3">
        <v>0.67261760000000004</v>
      </c>
      <c r="AZ272" s="3">
        <v>0.67475249999999998</v>
      </c>
      <c r="BA272" s="3">
        <v>0.67690589999999995</v>
      </c>
      <c r="BB272" s="3">
        <v>0.67908480000000004</v>
      </c>
      <c r="BC272" s="3">
        <v>0.68129320000000004</v>
      </c>
      <c r="BD272" s="3">
        <v>0.683535</v>
      </c>
      <c r="BE272" s="3">
        <v>0.68581420000000004</v>
      </c>
      <c r="BF272" s="3">
        <v>0.68813500000000005</v>
      </c>
      <c r="BG272" s="3">
        <v>0.69050129999999998</v>
      </c>
      <c r="BH272" s="3">
        <v>0.69291720000000001</v>
      </c>
      <c r="BI272" s="3">
        <v>0.69538659999999997</v>
      </c>
      <c r="BJ272" s="3">
        <v>0.69791360000000002</v>
      </c>
      <c r="BK272" s="3">
        <v>0.70050219999999996</v>
      </c>
      <c r="BL272" s="3">
        <v>0.70315649999999996</v>
      </c>
      <c r="BM272" s="3" t="e">
        <v>#N/A</v>
      </c>
      <c r="BN272" s="3" t="e">
        <v>#N/A</v>
      </c>
    </row>
    <row r="273" spans="1:66" x14ac:dyDescent="0.35">
      <c r="A273" s="5">
        <f t="shared" si="4"/>
        <v>43837</v>
      </c>
      <c r="B273" t="s">
        <v>350</v>
      </c>
      <c r="C273" s="2">
        <v>0.75</v>
      </c>
      <c r="D273" s="2">
        <v>0.71199999999999997</v>
      </c>
      <c r="E273" s="3">
        <v>0.70126639999999996</v>
      </c>
      <c r="F273" s="3">
        <v>0.69162279999999998</v>
      </c>
      <c r="G273" s="3">
        <v>0.67800070000000001</v>
      </c>
      <c r="H273" s="3">
        <v>0.66022139999999996</v>
      </c>
      <c r="I273" s="3">
        <v>0.64201750000000002</v>
      </c>
      <c r="J273" s="3">
        <v>0.62599729999999998</v>
      </c>
      <c r="K273" s="3">
        <v>0.61274150000000005</v>
      </c>
      <c r="L273" s="3">
        <v>0.60217299999999996</v>
      </c>
      <c r="M273" s="3">
        <v>0.59417189999999998</v>
      </c>
      <c r="N273" s="3">
        <v>0.58836920000000004</v>
      </c>
      <c r="O273" s="3">
        <v>0.58437749999999999</v>
      </c>
      <c r="P273" s="3">
        <v>0.58191590000000004</v>
      </c>
      <c r="Q273" s="3">
        <v>0.58063160000000003</v>
      </c>
      <c r="R273" s="3">
        <v>0.58035000000000003</v>
      </c>
      <c r="S273" s="3">
        <v>0.58095790000000003</v>
      </c>
      <c r="T273" s="3">
        <v>0.58234209999999997</v>
      </c>
      <c r="U273" s="3">
        <v>0.5843893</v>
      </c>
      <c r="V273" s="3">
        <v>0.58698640000000002</v>
      </c>
      <c r="W273" s="3">
        <v>0.59002569999999999</v>
      </c>
      <c r="X273" s="3">
        <v>0.59342059999999996</v>
      </c>
      <c r="Y273" s="3">
        <v>0.59708939999999999</v>
      </c>
      <c r="Z273" s="3">
        <v>0.60095050000000005</v>
      </c>
      <c r="AA273" s="3">
        <v>0.60492250000000003</v>
      </c>
      <c r="AB273" s="3">
        <v>0.60892360000000001</v>
      </c>
      <c r="AC273" s="3">
        <v>0.61288359999999997</v>
      </c>
      <c r="AD273" s="3">
        <v>0.61678250000000001</v>
      </c>
      <c r="AE273" s="3">
        <v>0.62061409999999995</v>
      </c>
      <c r="AF273" s="3">
        <v>0.62437209999999999</v>
      </c>
      <c r="AG273" s="3">
        <v>0.6280502</v>
      </c>
      <c r="AH273" s="3">
        <v>0.63164240000000005</v>
      </c>
      <c r="AI273" s="3">
        <v>0.63514230000000005</v>
      </c>
      <c r="AJ273" s="3">
        <v>0.63854370000000005</v>
      </c>
      <c r="AK273" s="3">
        <v>0.64184050000000004</v>
      </c>
      <c r="AL273" s="3">
        <v>0.64502630000000005</v>
      </c>
      <c r="AM273" s="3">
        <v>0.64809490000000003</v>
      </c>
      <c r="AN273" s="3">
        <v>0.65104019999999996</v>
      </c>
      <c r="AO273" s="3">
        <v>0.6538581</v>
      </c>
      <c r="AP273" s="3">
        <v>0.65655640000000004</v>
      </c>
      <c r="AQ273" s="3">
        <v>0.65914680000000003</v>
      </c>
      <c r="AR273" s="3">
        <v>0.66164109999999998</v>
      </c>
      <c r="AS273" s="3">
        <v>0.6640509</v>
      </c>
      <c r="AT273" s="3">
        <v>0.66638810000000004</v>
      </c>
      <c r="AU273" s="3">
        <v>0.66866440000000005</v>
      </c>
      <c r="AV273" s="3">
        <v>0.67089160000000003</v>
      </c>
      <c r="AW273" s="3">
        <v>0.67308120000000005</v>
      </c>
      <c r="AX273" s="3">
        <v>0.67524519999999999</v>
      </c>
      <c r="AY273" s="3">
        <v>0.67739530000000003</v>
      </c>
      <c r="AZ273" s="3">
        <v>0.67954309999999996</v>
      </c>
      <c r="BA273" s="3">
        <v>0.68169959999999996</v>
      </c>
      <c r="BB273" s="3">
        <v>0.68387100000000001</v>
      </c>
      <c r="BC273" s="3">
        <v>0.68606239999999996</v>
      </c>
      <c r="BD273" s="3">
        <v>0.68827879999999997</v>
      </c>
      <c r="BE273" s="3">
        <v>0.69052519999999995</v>
      </c>
      <c r="BF273" s="3">
        <v>0.69280649999999999</v>
      </c>
      <c r="BG273" s="3">
        <v>0.69512779999999996</v>
      </c>
      <c r="BH273" s="3">
        <v>0.69749410000000001</v>
      </c>
      <c r="BI273" s="3">
        <v>0.69991040000000004</v>
      </c>
      <c r="BJ273" s="3">
        <v>0.70238160000000005</v>
      </c>
      <c r="BK273" s="3">
        <v>0.70491280000000001</v>
      </c>
      <c r="BL273" s="3">
        <v>0.7075089</v>
      </c>
      <c r="BM273" s="3" t="e">
        <v>#N/A</v>
      </c>
      <c r="BN273" s="3" t="e">
        <v>#N/A</v>
      </c>
    </row>
    <row r="274" spans="1:66" x14ac:dyDescent="0.35">
      <c r="A274" s="5">
        <f t="shared" si="4"/>
        <v>43838</v>
      </c>
      <c r="B274" t="s">
        <v>351</v>
      </c>
      <c r="C274" s="2">
        <v>0.75</v>
      </c>
      <c r="D274" s="2">
        <v>0.71240000000000003</v>
      </c>
      <c r="E274" s="3">
        <v>0.69791360000000002</v>
      </c>
      <c r="F274" s="3">
        <v>0.68891480000000005</v>
      </c>
      <c r="G274" s="3">
        <v>0.67763850000000003</v>
      </c>
      <c r="H274" s="3">
        <v>0.66348910000000005</v>
      </c>
      <c r="I274" s="3">
        <v>0.64888270000000003</v>
      </c>
      <c r="J274" s="3">
        <v>0.63557580000000002</v>
      </c>
      <c r="K274" s="3">
        <v>0.62408350000000001</v>
      </c>
      <c r="L274" s="3">
        <v>0.61468540000000005</v>
      </c>
      <c r="M274" s="3">
        <v>0.6076416</v>
      </c>
      <c r="N274" s="3">
        <v>0.60283129999999996</v>
      </c>
      <c r="O274" s="3">
        <v>0.59998560000000001</v>
      </c>
      <c r="P274" s="3">
        <v>0.59878759999999998</v>
      </c>
      <c r="Q274" s="3">
        <v>0.59878679999999995</v>
      </c>
      <c r="R274" s="3">
        <v>0.59975140000000005</v>
      </c>
      <c r="S274" s="3">
        <v>0.60152399999999995</v>
      </c>
      <c r="T274" s="3">
        <v>0.60394729999999996</v>
      </c>
      <c r="U274" s="3">
        <v>0.60686399999999996</v>
      </c>
      <c r="V274" s="3">
        <v>0.61011680000000001</v>
      </c>
      <c r="W274" s="3">
        <v>0.61357039999999996</v>
      </c>
      <c r="X274" s="3">
        <v>0.61717299999999997</v>
      </c>
      <c r="Y274" s="3">
        <v>0.62089269999999996</v>
      </c>
      <c r="Z274" s="3">
        <v>0.62469759999999996</v>
      </c>
      <c r="AA274" s="3">
        <v>0.62855570000000005</v>
      </c>
      <c r="AB274" s="3">
        <v>0.63243530000000003</v>
      </c>
      <c r="AC274" s="3">
        <v>0.63630739999999997</v>
      </c>
      <c r="AD274" s="3">
        <v>0.64015880000000003</v>
      </c>
      <c r="AE274" s="3">
        <v>0.64398180000000005</v>
      </c>
      <c r="AF274" s="3">
        <v>0.64776869999999998</v>
      </c>
      <c r="AG274" s="3">
        <v>0.65151159999999997</v>
      </c>
      <c r="AH274" s="3">
        <v>0.65520290000000003</v>
      </c>
      <c r="AI274" s="3">
        <v>0.65883480000000005</v>
      </c>
      <c r="AJ274" s="3">
        <v>0.66239939999999997</v>
      </c>
      <c r="AK274" s="3">
        <v>0.66588910000000001</v>
      </c>
      <c r="AL274" s="3">
        <v>0.669296</v>
      </c>
      <c r="AM274" s="3">
        <v>0.6726124</v>
      </c>
      <c r="AN274" s="3">
        <v>0.67583059999999995</v>
      </c>
      <c r="AO274" s="3">
        <v>0.67894480000000001</v>
      </c>
      <c r="AP274" s="3">
        <v>0.68195939999999999</v>
      </c>
      <c r="AQ274" s="3">
        <v>0.68488179999999999</v>
      </c>
      <c r="AR274" s="3">
        <v>0.68771930000000003</v>
      </c>
      <c r="AS274" s="3">
        <v>0.69047939999999997</v>
      </c>
      <c r="AT274" s="3">
        <v>0.69316949999999999</v>
      </c>
      <c r="AU274" s="3">
        <v>0.69579679999999999</v>
      </c>
      <c r="AV274" s="3">
        <v>0.69836900000000002</v>
      </c>
      <c r="AW274" s="3">
        <v>0.70089330000000005</v>
      </c>
      <c r="AX274" s="3">
        <v>0.70337709999999998</v>
      </c>
      <c r="AY274" s="3">
        <v>0.70582780000000001</v>
      </c>
      <c r="AZ274" s="3">
        <v>0.70825289999999996</v>
      </c>
      <c r="BA274" s="3">
        <v>0.7106595</v>
      </c>
      <c r="BB274" s="3">
        <v>0.71305399999999997</v>
      </c>
      <c r="BC274" s="3">
        <v>0.71544249999999998</v>
      </c>
      <c r="BD274" s="3">
        <v>0.7178312</v>
      </c>
      <c r="BE274" s="3">
        <v>0.72022620000000004</v>
      </c>
      <c r="BF274" s="3">
        <v>0.72263370000000005</v>
      </c>
      <c r="BG274" s="3">
        <v>0.72505969999999997</v>
      </c>
      <c r="BH274" s="3">
        <v>0.72751049999999995</v>
      </c>
      <c r="BI274" s="3">
        <v>0.72999219999999998</v>
      </c>
      <c r="BJ274" s="3">
        <v>0.73251080000000002</v>
      </c>
      <c r="BK274" s="3">
        <v>0.73507259999999996</v>
      </c>
      <c r="BL274" s="3">
        <v>0.73768370000000005</v>
      </c>
      <c r="BM274" s="3" t="e">
        <v>#N/A</v>
      </c>
      <c r="BN274" s="3" t="e">
        <v>#N/A</v>
      </c>
    </row>
    <row r="275" spans="1:66" x14ac:dyDescent="0.35">
      <c r="A275" s="5">
        <f t="shared" si="4"/>
        <v>43839</v>
      </c>
      <c r="B275" t="s">
        <v>352</v>
      </c>
      <c r="C275" s="2">
        <v>0.75</v>
      </c>
      <c r="D275" s="2">
        <v>0.71230000000000004</v>
      </c>
      <c r="E275" s="3">
        <v>0.68790839999999998</v>
      </c>
      <c r="F275" s="3">
        <v>0.66903939999999995</v>
      </c>
      <c r="G275" s="3">
        <v>0.64791829999999995</v>
      </c>
      <c r="H275" s="3">
        <v>0.62508770000000002</v>
      </c>
      <c r="I275" s="3">
        <v>0.60475219999999996</v>
      </c>
      <c r="J275" s="3">
        <v>0.58926630000000002</v>
      </c>
      <c r="K275" s="3">
        <v>0.57853310000000002</v>
      </c>
      <c r="L275" s="3">
        <v>0.57149559999999999</v>
      </c>
      <c r="M275" s="3">
        <v>0.56722329999999999</v>
      </c>
      <c r="N275" s="3">
        <v>0.56494480000000002</v>
      </c>
      <c r="O275" s="3">
        <v>0.56413999999999997</v>
      </c>
      <c r="P275" s="3">
        <v>0.56440520000000005</v>
      </c>
      <c r="Q275" s="3">
        <v>0.56532559999999998</v>
      </c>
      <c r="R275" s="3">
        <v>0.56677650000000002</v>
      </c>
      <c r="S275" s="3">
        <v>0.56873810000000002</v>
      </c>
      <c r="T275" s="3">
        <v>0.57119089999999995</v>
      </c>
      <c r="U275" s="3">
        <v>0.57411509999999999</v>
      </c>
      <c r="V275" s="3">
        <v>0.57749119999999998</v>
      </c>
      <c r="W275" s="3">
        <v>0.58129390000000003</v>
      </c>
      <c r="X275" s="3">
        <v>0.58547700000000003</v>
      </c>
      <c r="Y275" s="3">
        <v>0.58998890000000004</v>
      </c>
      <c r="Z275" s="3">
        <v>0.59477820000000003</v>
      </c>
      <c r="AA275" s="3">
        <v>0.59979349999999998</v>
      </c>
      <c r="AB275" s="3">
        <v>0.6049833</v>
      </c>
      <c r="AC275" s="3">
        <v>0.61029949999999999</v>
      </c>
      <c r="AD275" s="3">
        <v>0.61570990000000003</v>
      </c>
      <c r="AE275" s="3">
        <v>0.6211873</v>
      </c>
      <c r="AF275" s="3">
        <v>0.6267045</v>
      </c>
      <c r="AG275" s="3">
        <v>0.63223419999999997</v>
      </c>
      <c r="AH275" s="3">
        <v>0.63774900000000001</v>
      </c>
      <c r="AI275" s="3">
        <v>0.64322190000000001</v>
      </c>
      <c r="AJ275" s="3">
        <v>0.64862549999999997</v>
      </c>
      <c r="AK275" s="3">
        <v>0.65393250000000003</v>
      </c>
      <c r="AL275" s="3">
        <v>0.65911580000000003</v>
      </c>
      <c r="AM275" s="3">
        <v>0.66414799999999996</v>
      </c>
      <c r="AN275" s="3">
        <v>0.66900190000000004</v>
      </c>
      <c r="AO275" s="3">
        <v>0.67365649999999999</v>
      </c>
      <c r="AP275" s="3">
        <v>0.678118</v>
      </c>
      <c r="AQ275" s="3">
        <v>0.68240040000000002</v>
      </c>
      <c r="AR275" s="3">
        <v>0.68651740000000006</v>
      </c>
      <c r="AS275" s="3">
        <v>0.69048299999999996</v>
      </c>
      <c r="AT275" s="3">
        <v>0.69431100000000001</v>
      </c>
      <c r="AU275" s="3">
        <v>0.69801530000000001</v>
      </c>
      <c r="AV275" s="3">
        <v>0.7016097</v>
      </c>
      <c r="AW275" s="3">
        <v>0.70510810000000002</v>
      </c>
      <c r="AX275" s="3">
        <v>0.7085243</v>
      </c>
      <c r="AY275" s="3">
        <v>0.71187230000000001</v>
      </c>
      <c r="AZ275" s="3">
        <v>0.71516590000000002</v>
      </c>
      <c r="BA275" s="3">
        <v>0.71841759999999999</v>
      </c>
      <c r="BB275" s="3">
        <v>0.72163440000000001</v>
      </c>
      <c r="BC275" s="3">
        <v>0.72482170000000001</v>
      </c>
      <c r="BD275" s="3">
        <v>0.72798490000000005</v>
      </c>
      <c r="BE275" s="3">
        <v>0.73112929999999998</v>
      </c>
      <c r="BF275" s="3">
        <v>0.73426020000000003</v>
      </c>
      <c r="BG275" s="3">
        <v>0.73738320000000002</v>
      </c>
      <c r="BH275" s="3">
        <v>0.74050349999999998</v>
      </c>
      <c r="BI275" s="3">
        <v>0.74362649999999997</v>
      </c>
      <c r="BJ275" s="3">
        <v>0.74675760000000002</v>
      </c>
      <c r="BK275" s="3">
        <v>0.74990219999999996</v>
      </c>
      <c r="BL275" s="3">
        <v>0.7530656</v>
      </c>
      <c r="BM275" s="3" t="e">
        <v>#N/A</v>
      </c>
      <c r="BN275" s="3" t="e">
        <v>#N/A</v>
      </c>
    </row>
    <row r="276" spans="1:66" x14ac:dyDescent="0.35">
      <c r="A276" s="5">
        <f t="shared" si="4"/>
        <v>43840</v>
      </c>
      <c r="B276" t="s">
        <v>353</v>
      </c>
      <c r="C276" s="2">
        <v>0.75</v>
      </c>
      <c r="D276" s="2">
        <v>0.7117</v>
      </c>
      <c r="E276" s="3">
        <v>0.66659990000000002</v>
      </c>
      <c r="F276" s="3">
        <v>0.64234340000000001</v>
      </c>
      <c r="G276" s="3">
        <v>0.61807500000000004</v>
      </c>
      <c r="H276" s="3">
        <v>0.59288280000000004</v>
      </c>
      <c r="I276" s="3">
        <v>0.57031520000000002</v>
      </c>
      <c r="J276" s="3">
        <v>0.55238089999999995</v>
      </c>
      <c r="K276" s="3">
        <v>0.53856789999999999</v>
      </c>
      <c r="L276" s="3">
        <v>0.52790769999999998</v>
      </c>
      <c r="M276" s="3">
        <v>0.51988210000000001</v>
      </c>
      <c r="N276" s="3">
        <v>0.51417089999999999</v>
      </c>
      <c r="O276" s="3">
        <v>0.51045030000000002</v>
      </c>
      <c r="P276" s="3">
        <v>0.50843859999999996</v>
      </c>
      <c r="Q276" s="3">
        <v>0.50770369999999998</v>
      </c>
      <c r="R276" s="3">
        <v>0.50805199999999995</v>
      </c>
      <c r="S276" s="3">
        <v>0.50938150000000004</v>
      </c>
      <c r="T276" s="3">
        <v>0.51159049999999995</v>
      </c>
      <c r="U276" s="3">
        <v>0.51457699999999995</v>
      </c>
      <c r="V276" s="3">
        <v>0.51823929999999996</v>
      </c>
      <c r="W276" s="3">
        <v>0.52248000000000006</v>
      </c>
      <c r="X276" s="3">
        <v>0.527223</v>
      </c>
      <c r="Y276" s="3">
        <v>0.5323985</v>
      </c>
      <c r="Z276" s="3">
        <v>0.53793630000000003</v>
      </c>
      <c r="AA276" s="3">
        <v>0.54376659999999999</v>
      </c>
      <c r="AB276" s="3">
        <v>0.54981939999999996</v>
      </c>
      <c r="AC276" s="3">
        <v>0.55603009999999997</v>
      </c>
      <c r="AD276" s="3">
        <v>0.56235789999999997</v>
      </c>
      <c r="AE276" s="3">
        <v>0.56876839999999995</v>
      </c>
      <c r="AF276" s="3">
        <v>0.5752273</v>
      </c>
      <c r="AG276" s="3">
        <v>0.5817002</v>
      </c>
      <c r="AH276" s="3">
        <v>0.58815289999999998</v>
      </c>
      <c r="AI276" s="3">
        <v>0.5945511</v>
      </c>
      <c r="AJ276" s="3">
        <v>0.60086030000000001</v>
      </c>
      <c r="AK276" s="3">
        <v>0.60704619999999998</v>
      </c>
      <c r="AL276" s="3">
        <v>0.61307460000000003</v>
      </c>
      <c r="AM276" s="3">
        <v>0.61891119999999999</v>
      </c>
      <c r="AN276" s="3">
        <v>0.62452149999999995</v>
      </c>
      <c r="AO276" s="3">
        <v>0.62987870000000001</v>
      </c>
      <c r="AP276" s="3">
        <v>0.63498869999999996</v>
      </c>
      <c r="AQ276" s="3">
        <v>0.63986639999999995</v>
      </c>
      <c r="AR276" s="3">
        <v>0.64452679999999996</v>
      </c>
      <c r="AS276" s="3">
        <v>0.64898469999999997</v>
      </c>
      <c r="AT276" s="3">
        <v>0.65325520000000004</v>
      </c>
      <c r="AU276" s="3">
        <v>0.65735319999999997</v>
      </c>
      <c r="AV276" s="3">
        <v>0.66129360000000004</v>
      </c>
      <c r="AW276" s="3">
        <v>0.66509130000000005</v>
      </c>
      <c r="AX276" s="3">
        <v>0.6687613</v>
      </c>
      <c r="AY276" s="3">
        <v>0.67231850000000004</v>
      </c>
      <c r="AZ276" s="3">
        <v>0.67577790000000004</v>
      </c>
      <c r="BA276" s="3">
        <v>0.67915329999999996</v>
      </c>
      <c r="BB276" s="3">
        <v>0.68245409999999995</v>
      </c>
      <c r="BC276" s="3">
        <v>0.68568819999999997</v>
      </c>
      <c r="BD276" s="3">
        <v>0.68886380000000003</v>
      </c>
      <c r="BE276" s="3">
        <v>0.69198890000000002</v>
      </c>
      <c r="BF276" s="3">
        <v>0.69507140000000001</v>
      </c>
      <c r="BG276" s="3">
        <v>0.6981195</v>
      </c>
      <c r="BH276" s="3">
        <v>0.70114109999999996</v>
      </c>
      <c r="BI276" s="3">
        <v>0.7041444</v>
      </c>
      <c r="BJ276" s="3">
        <v>0.70713720000000002</v>
      </c>
      <c r="BK276" s="3">
        <v>0.71012779999999998</v>
      </c>
      <c r="BL276" s="3">
        <v>0.71312399999999998</v>
      </c>
      <c r="BM276" s="3" t="e">
        <v>#N/A</v>
      </c>
      <c r="BN276" s="3" t="e">
        <v>#N/A</v>
      </c>
    </row>
    <row r="277" spans="1:66" x14ac:dyDescent="0.35">
      <c r="A277" s="5">
        <f t="shared" si="4"/>
        <v>43843</v>
      </c>
      <c r="B277" t="s">
        <v>354</v>
      </c>
      <c r="C277" s="2">
        <v>0.75</v>
      </c>
      <c r="D277" s="2">
        <v>0.7107</v>
      </c>
      <c r="E277" s="3">
        <v>0.60355000000000003</v>
      </c>
      <c r="F277" s="3">
        <v>0.57742629999999995</v>
      </c>
      <c r="G277" s="3">
        <v>0.55080739999999995</v>
      </c>
      <c r="H277" s="3">
        <v>0.52473740000000002</v>
      </c>
      <c r="I277" s="3">
        <v>0.50315679999999996</v>
      </c>
      <c r="J277" s="3">
        <v>0.48746660000000003</v>
      </c>
      <c r="K277" s="3">
        <v>0.47654449999999998</v>
      </c>
      <c r="L277" s="3">
        <v>0.4687868</v>
      </c>
      <c r="M277" s="3">
        <v>0.46332659999999998</v>
      </c>
      <c r="N277" s="3">
        <v>0.45968029999999999</v>
      </c>
      <c r="O277" s="3">
        <v>0.45768880000000001</v>
      </c>
      <c r="P277" s="3">
        <v>0.4572079</v>
      </c>
      <c r="Q277" s="3">
        <v>0.4580089</v>
      </c>
      <c r="R277" s="3">
        <v>0.45993000000000001</v>
      </c>
      <c r="S277" s="3">
        <v>0.46283530000000001</v>
      </c>
      <c r="T277" s="3">
        <v>0.46658880000000003</v>
      </c>
      <c r="U277" s="3">
        <v>0.47105469999999999</v>
      </c>
      <c r="V277" s="3">
        <v>0.47609699999999999</v>
      </c>
      <c r="W277" s="3">
        <v>0.48159180000000001</v>
      </c>
      <c r="X277" s="3">
        <v>0.48746070000000002</v>
      </c>
      <c r="Y277" s="3">
        <v>0.49363600000000002</v>
      </c>
      <c r="Z277" s="3">
        <v>0.50004999999999999</v>
      </c>
      <c r="AA277" s="3">
        <v>0.5066351</v>
      </c>
      <c r="AB277" s="3">
        <v>0.51332370000000005</v>
      </c>
      <c r="AC277" s="3">
        <v>0.5200555</v>
      </c>
      <c r="AD277" s="3">
        <v>0.52680289999999996</v>
      </c>
      <c r="AE277" s="3">
        <v>0.5335472</v>
      </c>
      <c r="AF277" s="3">
        <v>0.54026989999999997</v>
      </c>
      <c r="AG277" s="3">
        <v>0.5469522</v>
      </c>
      <c r="AH277" s="3">
        <v>0.55357540000000005</v>
      </c>
      <c r="AI277" s="3">
        <v>0.56012110000000004</v>
      </c>
      <c r="AJ277" s="3">
        <v>0.56657049999999998</v>
      </c>
      <c r="AK277" s="3">
        <v>0.57290490000000005</v>
      </c>
      <c r="AL277" s="3">
        <v>0.57910589999999995</v>
      </c>
      <c r="AM277" s="3">
        <v>0.58515459999999997</v>
      </c>
      <c r="AN277" s="3">
        <v>0.59103240000000001</v>
      </c>
      <c r="AO277" s="3">
        <v>0.59672480000000006</v>
      </c>
      <c r="AP277" s="3">
        <v>0.60223499999999996</v>
      </c>
      <c r="AQ277" s="3">
        <v>0.60757130000000004</v>
      </c>
      <c r="AR277" s="3">
        <v>0.61274169999999994</v>
      </c>
      <c r="AS277" s="3">
        <v>0.61775460000000004</v>
      </c>
      <c r="AT277" s="3">
        <v>0.622618</v>
      </c>
      <c r="AU277" s="3">
        <v>0.62734029999999996</v>
      </c>
      <c r="AV277" s="3">
        <v>0.63192950000000003</v>
      </c>
      <c r="AW277" s="3">
        <v>0.63639389999999996</v>
      </c>
      <c r="AX277" s="3">
        <v>0.64074160000000002</v>
      </c>
      <c r="AY277" s="3">
        <v>0.64498100000000003</v>
      </c>
      <c r="AZ277" s="3">
        <v>0.64912000000000003</v>
      </c>
      <c r="BA277" s="3">
        <v>0.6531671</v>
      </c>
      <c r="BB277" s="3">
        <v>0.65713129999999997</v>
      </c>
      <c r="BC277" s="3">
        <v>0.66102150000000004</v>
      </c>
      <c r="BD277" s="3">
        <v>0.66484699999999997</v>
      </c>
      <c r="BE277" s="3">
        <v>0.66861689999999996</v>
      </c>
      <c r="BF277" s="3">
        <v>0.6723403</v>
      </c>
      <c r="BG277" s="3">
        <v>0.67602629999999997</v>
      </c>
      <c r="BH277" s="3">
        <v>0.67968419999999996</v>
      </c>
      <c r="BI277" s="3">
        <v>0.68332300000000001</v>
      </c>
      <c r="BJ277" s="3">
        <v>0.6869518</v>
      </c>
      <c r="BK277" s="3">
        <v>0.69057990000000002</v>
      </c>
      <c r="BL277" s="3">
        <v>0.69421630000000001</v>
      </c>
      <c r="BM277" s="3" t="e">
        <v>#N/A</v>
      </c>
      <c r="BN277" s="3" t="e">
        <v>#N/A</v>
      </c>
    </row>
    <row r="278" spans="1:66" x14ac:dyDescent="0.35">
      <c r="A278" s="5">
        <f t="shared" si="4"/>
        <v>43844</v>
      </c>
      <c r="B278" t="s">
        <v>355</v>
      </c>
      <c r="C278" s="2">
        <v>0.75</v>
      </c>
      <c r="D278" s="2">
        <v>0.71109999999999995</v>
      </c>
      <c r="E278" s="3">
        <v>0.60370849999999998</v>
      </c>
      <c r="F278" s="3">
        <v>0.58461129999999994</v>
      </c>
      <c r="G278" s="3">
        <v>0.56170430000000005</v>
      </c>
      <c r="H278" s="3">
        <v>0.5372941</v>
      </c>
      <c r="I278" s="3">
        <v>0.51596649999999999</v>
      </c>
      <c r="J278" s="3">
        <v>0.49947140000000001</v>
      </c>
      <c r="K278" s="3">
        <v>0.48709350000000001</v>
      </c>
      <c r="L278" s="3">
        <v>0.4776165</v>
      </c>
      <c r="M278" s="3">
        <v>0.47037630000000002</v>
      </c>
      <c r="N278" s="3">
        <v>0.46500019999999997</v>
      </c>
      <c r="O278" s="3">
        <v>0.46129979999999998</v>
      </c>
      <c r="P278" s="3">
        <v>0.45918819999999999</v>
      </c>
      <c r="Q278" s="3">
        <v>0.45846880000000001</v>
      </c>
      <c r="R278" s="3">
        <v>0.4589839</v>
      </c>
      <c r="S278" s="3">
        <v>0.46059879999999997</v>
      </c>
      <c r="T278" s="3">
        <v>0.4631786</v>
      </c>
      <c r="U278" s="3">
        <v>0.46658860000000002</v>
      </c>
      <c r="V278" s="3">
        <v>0.4706939</v>
      </c>
      <c r="W278" s="3">
        <v>0.47536820000000002</v>
      </c>
      <c r="X278" s="3">
        <v>0.48051690000000002</v>
      </c>
      <c r="Y278" s="3">
        <v>0.48605350000000003</v>
      </c>
      <c r="Z278" s="3">
        <v>0.49189110000000003</v>
      </c>
      <c r="AA278" s="3">
        <v>0.49794280000000002</v>
      </c>
      <c r="AB278" s="3">
        <v>0.50412210000000002</v>
      </c>
      <c r="AC278" s="3">
        <v>0.51035269999999999</v>
      </c>
      <c r="AD278" s="3">
        <v>0.51660600000000001</v>
      </c>
      <c r="AE278" s="3">
        <v>0.52286630000000001</v>
      </c>
      <c r="AF278" s="3">
        <v>0.52911779999999997</v>
      </c>
      <c r="AG278" s="3">
        <v>0.53534499999999996</v>
      </c>
      <c r="AH278" s="3">
        <v>0.54153200000000001</v>
      </c>
      <c r="AI278" s="3">
        <v>0.54766320000000002</v>
      </c>
      <c r="AJ278" s="3">
        <v>0.55372290000000002</v>
      </c>
      <c r="AK278" s="3">
        <v>0.55969550000000001</v>
      </c>
      <c r="AL278" s="3">
        <v>0.56556510000000004</v>
      </c>
      <c r="AM278" s="3">
        <v>0.57131620000000005</v>
      </c>
      <c r="AN278" s="3">
        <v>0.57693300000000003</v>
      </c>
      <c r="AO278" s="3">
        <v>0.58240259999999999</v>
      </c>
      <c r="AP278" s="3">
        <v>0.58772650000000004</v>
      </c>
      <c r="AQ278" s="3">
        <v>0.59291110000000002</v>
      </c>
      <c r="AR278" s="3">
        <v>0.59796289999999996</v>
      </c>
      <c r="AS278" s="3">
        <v>0.60288839999999999</v>
      </c>
      <c r="AT278" s="3">
        <v>0.60769390000000001</v>
      </c>
      <c r="AU278" s="3">
        <v>0.61238599999999999</v>
      </c>
      <c r="AV278" s="3">
        <v>0.61697100000000005</v>
      </c>
      <c r="AW278" s="3">
        <v>0.62145539999999999</v>
      </c>
      <c r="AX278" s="3">
        <v>0.62584569999999995</v>
      </c>
      <c r="AY278" s="3">
        <v>0.63014840000000005</v>
      </c>
      <c r="AZ278" s="3">
        <v>0.63436970000000004</v>
      </c>
      <c r="BA278" s="3">
        <v>0.63851630000000004</v>
      </c>
      <c r="BB278" s="3">
        <v>0.64259489999999997</v>
      </c>
      <c r="BC278" s="3">
        <v>0.64661230000000003</v>
      </c>
      <c r="BD278" s="3">
        <v>0.65057529999999997</v>
      </c>
      <c r="BE278" s="3">
        <v>0.65449069999999998</v>
      </c>
      <c r="BF278" s="3">
        <v>0.65836530000000004</v>
      </c>
      <c r="BG278" s="3">
        <v>0.66220610000000002</v>
      </c>
      <c r="BH278" s="3">
        <v>0.66601969999999999</v>
      </c>
      <c r="BI278" s="3">
        <v>0.66981299999999999</v>
      </c>
      <c r="BJ278" s="3">
        <v>0.67359270000000004</v>
      </c>
      <c r="BK278" s="3">
        <v>0.67736589999999997</v>
      </c>
      <c r="BL278" s="3">
        <v>0.6811391</v>
      </c>
      <c r="BM278" s="3" t="e">
        <v>#N/A</v>
      </c>
      <c r="BN278" s="3" t="e">
        <v>#N/A</v>
      </c>
    </row>
    <row r="279" spans="1:66" x14ac:dyDescent="0.35">
      <c r="A279" s="5">
        <f t="shared" si="4"/>
        <v>43845</v>
      </c>
      <c r="B279" t="s">
        <v>356</v>
      </c>
      <c r="C279" s="2">
        <v>0.75</v>
      </c>
      <c r="D279" s="2">
        <v>0.71250000000000002</v>
      </c>
      <c r="E279" s="3">
        <v>0.54752120000000004</v>
      </c>
      <c r="F279" s="3">
        <v>0.53105500000000005</v>
      </c>
      <c r="G279" s="3">
        <v>0.50767779999999996</v>
      </c>
      <c r="H279" s="3">
        <v>0.48080909999999999</v>
      </c>
      <c r="I279" s="3">
        <v>0.45628049999999998</v>
      </c>
      <c r="J279" s="3">
        <v>0.43678460000000002</v>
      </c>
      <c r="K279" s="3">
        <v>0.42199799999999998</v>
      </c>
      <c r="L279" s="3">
        <v>0.41078880000000001</v>
      </c>
      <c r="M279" s="3">
        <v>0.4023216</v>
      </c>
      <c r="N279" s="3">
        <v>0.39600639999999998</v>
      </c>
      <c r="O279" s="3">
        <v>0.39154240000000001</v>
      </c>
      <c r="P279" s="3">
        <v>0.38875549999999998</v>
      </c>
      <c r="Q279" s="3">
        <v>0.38741120000000001</v>
      </c>
      <c r="R279" s="3">
        <v>0.38734059999999998</v>
      </c>
      <c r="S279" s="3">
        <v>0.38840089999999999</v>
      </c>
      <c r="T279" s="3">
        <v>0.3904492</v>
      </c>
      <c r="U279" s="3">
        <v>0.39334249999999998</v>
      </c>
      <c r="V279" s="3">
        <v>0.39693810000000002</v>
      </c>
      <c r="W279" s="3">
        <v>0.40110699999999999</v>
      </c>
      <c r="X279" s="3">
        <v>0.40577429999999998</v>
      </c>
      <c r="Y279" s="3">
        <v>0.41087780000000002</v>
      </c>
      <c r="Z279" s="3">
        <v>0.41635519999999998</v>
      </c>
      <c r="AA279" s="3">
        <v>0.42214420000000002</v>
      </c>
      <c r="AB279" s="3">
        <v>0.42818260000000002</v>
      </c>
      <c r="AC279" s="3">
        <v>0.43441180000000001</v>
      </c>
      <c r="AD279" s="3">
        <v>0.4407934</v>
      </c>
      <c r="AE279" s="3">
        <v>0.44729530000000001</v>
      </c>
      <c r="AF279" s="3">
        <v>0.4538857</v>
      </c>
      <c r="AG279" s="3">
        <v>0.46053270000000002</v>
      </c>
      <c r="AH279" s="3">
        <v>0.46720430000000002</v>
      </c>
      <c r="AI279" s="3">
        <v>0.47386869999999998</v>
      </c>
      <c r="AJ279" s="3">
        <v>0.48049399999999998</v>
      </c>
      <c r="AK279" s="3">
        <v>0.48704819999999999</v>
      </c>
      <c r="AL279" s="3">
        <v>0.49349949999999998</v>
      </c>
      <c r="AM279" s="3">
        <v>0.49981589999999998</v>
      </c>
      <c r="AN279" s="3">
        <v>0.50596560000000002</v>
      </c>
      <c r="AO279" s="3">
        <v>0.51192230000000005</v>
      </c>
      <c r="AP279" s="3">
        <v>0.51768729999999996</v>
      </c>
      <c r="AQ279" s="3">
        <v>0.52327020000000002</v>
      </c>
      <c r="AR279" s="3">
        <v>0.5286807</v>
      </c>
      <c r="AS279" s="3">
        <v>0.53392839999999997</v>
      </c>
      <c r="AT279" s="3">
        <v>0.53902309999999998</v>
      </c>
      <c r="AU279" s="3">
        <v>0.54397430000000002</v>
      </c>
      <c r="AV279" s="3">
        <v>0.54879180000000005</v>
      </c>
      <c r="AW279" s="3">
        <v>0.55348509999999995</v>
      </c>
      <c r="AX279" s="3">
        <v>0.55806389999999995</v>
      </c>
      <c r="AY279" s="3">
        <v>0.56253790000000004</v>
      </c>
      <c r="AZ279" s="3">
        <v>0.5669168</v>
      </c>
      <c r="BA279" s="3">
        <v>0.57121</v>
      </c>
      <c r="BB279" s="3">
        <v>0.57542599999999999</v>
      </c>
      <c r="BC279" s="3">
        <v>0.57957320000000001</v>
      </c>
      <c r="BD279" s="3">
        <v>0.58365999999999996</v>
      </c>
      <c r="BE279" s="3">
        <v>0.58769459999999996</v>
      </c>
      <c r="BF279" s="3">
        <v>0.59168529999999997</v>
      </c>
      <c r="BG279" s="3">
        <v>0.59564059999999996</v>
      </c>
      <c r="BH279" s="3">
        <v>0.59956869999999995</v>
      </c>
      <c r="BI279" s="3">
        <v>0.60347799999999996</v>
      </c>
      <c r="BJ279" s="3">
        <v>0.60737669999999999</v>
      </c>
      <c r="BK279" s="3">
        <v>0.61127330000000002</v>
      </c>
      <c r="BL279" s="3">
        <v>0.6151759</v>
      </c>
      <c r="BM279" s="3" t="e">
        <v>#N/A</v>
      </c>
      <c r="BN279" s="3" t="e">
        <v>#N/A</v>
      </c>
    </row>
    <row r="280" spans="1:66" x14ac:dyDescent="0.35">
      <c r="A280" s="5">
        <f t="shared" si="4"/>
        <v>43846</v>
      </c>
      <c r="B280" t="s">
        <v>357</v>
      </c>
      <c r="C280" s="2">
        <v>0.75</v>
      </c>
      <c r="D280" s="2">
        <v>0.7117</v>
      </c>
      <c r="E280" s="3">
        <v>0.55920809999999999</v>
      </c>
      <c r="F280" s="3">
        <v>0.54628049999999995</v>
      </c>
      <c r="G280" s="3">
        <v>0.52061179999999996</v>
      </c>
      <c r="H280" s="3">
        <v>0.48991380000000001</v>
      </c>
      <c r="I280" s="3">
        <v>0.46240120000000001</v>
      </c>
      <c r="J280" s="3">
        <v>0.4411774</v>
      </c>
      <c r="K280" s="3">
        <v>0.42586859999999999</v>
      </c>
      <c r="L280" s="3">
        <v>0.41499639999999999</v>
      </c>
      <c r="M280" s="3">
        <v>0.40734100000000001</v>
      </c>
      <c r="N280" s="3">
        <v>0.40197889999999997</v>
      </c>
      <c r="O280" s="3">
        <v>0.39839010000000002</v>
      </c>
      <c r="P280" s="3">
        <v>0.3962077</v>
      </c>
      <c r="Q280" s="3">
        <v>0.39501579999999997</v>
      </c>
      <c r="R280" s="3">
        <v>0.39465450000000002</v>
      </c>
      <c r="S280" s="3">
        <v>0.3950613</v>
      </c>
      <c r="T280" s="3">
        <v>0.39617360000000001</v>
      </c>
      <c r="U280" s="3">
        <v>0.39792889999999997</v>
      </c>
      <c r="V280" s="3">
        <v>0.40026460000000003</v>
      </c>
      <c r="W280" s="3">
        <v>0.40312290000000001</v>
      </c>
      <c r="X280" s="3">
        <v>0.4064643</v>
      </c>
      <c r="Y280" s="3">
        <v>0.41025329999999999</v>
      </c>
      <c r="Z280" s="3">
        <v>0.41445480000000001</v>
      </c>
      <c r="AA280" s="3">
        <v>0.41903319999999999</v>
      </c>
      <c r="AB280" s="3">
        <v>0.42395339999999998</v>
      </c>
      <c r="AC280" s="3">
        <v>0.4291797</v>
      </c>
      <c r="AD280" s="3">
        <v>0.43467489999999998</v>
      </c>
      <c r="AE280" s="3">
        <v>0.4404013</v>
      </c>
      <c r="AF280" s="3">
        <v>0.44632129999999998</v>
      </c>
      <c r="AG280" s="3">
        <v>0.4523972</v>
      </c>
      <c r="AH280" s="3">
        <v>0.45859129999999998</v>
      </c>
      <c r="AI280" s="3">
        <v>0.464866</v>
      </c>
      <c r="AJ280" s="3">
        <v>0.47118369999999998</v>
      </c>
      <c r="AK280" s="3">
        <v>0.4775065</v>
      </c>
      <c r="AL280" s="3">
        <v>0.48379689999999997</v>
      </c>
      <c r="AM280" s="3">
        <v>0.49001729999999999</v>
      </c>
      <c r="AN280" s="3">
        <v>0.49612990000000001</v>
      </c>
      <c r="AO280" s="3">
        <v>0.50210350000000004</v>
      </c>
      <c r="AP280" s="3">
        <v>0.50793549999999998</v>
      </c>
      <c r="AQ280" s="3">
        <v>0.5136309</v>
      </c>
      <c r="AR280" s="3">
        <v>0.51919490000000001</v>
      </c>
      <c r="AS280" s="3">
        <v>0.52463269999999995</v>
      </c>
      <c r="AT280" s="3">
        <v>0.52994929999999996</v>
      </c>
      <c r="AU280" s="3">
        <v>0.53515000000000001</v>
      </c>
      <c r="AV280" s="3">
        <v>0.54023980000000005</v>
      </c>
      <c r="AW280" s="3">
        <v>0.54522380000000004</v>
      </c>
      <c r="AX280" s="3">
        <v>0.55010740000000002</v>
      </c>
      <c r="AY280" s="3">
        <v>0.55489540000000004</v>
      </c>
      <c r="AZ280" s="3">
        <v>0.55959320000000001</v>
      </c>
      <c r="BA280" s="3">
        <v>0.56420619999999999</v>
      </c>
      <c r="BB280" s="3">
        <v>0.56874089999999999</v>
      </c>
      <c r="BC280" s="3">
        <v>0.57320459999999995</v>
      </c>
      <c r="BD280" s="3">
        <v>0.57760429999999996</v>
      </c>
      <c r="BE280" s="3">
        <v>0.58194690000000004</v>
      </c>
      <c r="BF280" s="3">
        <v>0.58623970000000003</v>
      </c>
      <c r="BG280" s="3">
        <v>0.59048970000000001</v>
      </c>
      <c r="BH280" s="3">
        <v>0.5947038</v>
      </c>
      <c r="BI280" s="3">
        <v>0.59888929999999996</v>
      </c>
      <c r="BJ280" s="3">
        <v>0.60305299999999995</v>
      </c>
      <c r="BK280" s="3">
        <v>0.60720220000000003</v>
      </c>
      <c r="BL280" s="3">
        <v>0.61134390000000005</v>
      </c>
      <c r="BM280" s="3" t="e">
        <v>#N/A</v>
      </c>
      <c r="BN280" s="3" t="e">
        <v>#N/A</v>
      </c>
    </row>
    <row r="281" spans="1:66" x14ac:dyDescent="0.35">
      <c r="A281" s="5">
        <f t="shared" si="4"/>
        <v>43847</v>
      </c>
      <c r="B281" t="s">
        <v>358</v>
      </c>
      <c r="C281" s="2">
        <v>0.75</v>
      </c>
      <c r="D281" s="2">
        <v>0.71199999999999997</v>
      </c>
      <c r="E281" s="3">
        <v>0.53284390000000004</v>
      </c>
      <c r="F281" s="3">
        <v>0.52097369999999998</v>
      </c>
      <c r="G281" s="3">
        <v>0.49703829999999999</v>
      </c>
      <c r="H281" s="3">
        <v>0.468501</v>
      </c>
      <c r="I281" s="3">
        <v>0.4429554</v>
      </c>
      <c r="J281" s="3">
        <v>0.42322140000000003</v>
      </c>
      <c r="K281" s="3">
        <v>0.40893499999999999</v>
      </c>
      <c r="L281" s="3">
        <v>0.39887460000000002</v>
      </c>
      <c r="M281" s="3">
        <v>0.39200289999999999</v>
      </c>
      <c r="N281" s="3">
        <v>0.38751910000000001</v>
      </c>
      <c r="O281" s="3">
        <v>0.38481090000000001</v>
      </c>
      <c r="P281" s="3">
        <v>0.38344519999999999</v>
      </c>
      <c r="Q281" s="3">
        <v>0.38293559999999999</v>
      </c>
      <c r="R281" s="3">
        <v>0.38308930000000002</v>
      </c>
      <c r="S281" s="3">
        <v>0.3838162</v>
      </c>
      <c r="T281" s="3">
        <v>0.38502649999999999</v>
      </c>
      <c r="U281" s="3">
        <v>0.38663019999999998</v>
      </c>
      <c r="V281" s="3">
        <v>0.38853739999999998</v>
      </c>
      <c r="W281" s="3">
        <v>0.39067780000000002</v>
      </c>
      <c r="X281" s="3">
        <v>0.393071</v>
      </c>
      <c r="Y281" s="3">
        <v>0.39576329999999998</v>
      </c>
      <c r="Z281" s="3">
        <v>0.39880060000000001</v>
      </c>
      <c r="AA281" s="3">
        <v>0.4022289</v>
      </c>
      <c r="AB281" s="3">
        <v>0.40609430000000002</v>
      </c>
      <c r="AC281" s="3">
        <v>0.41042879999999998</v>
      </c>
      <c r="AD281" s="3">
        <v>0.41520240000000003</v>
      </c>
      <c r="AE281" s="3">
        <v>0.42036800000000002</v>
      </c>
      <c r="AF281" s="3">
        <v>0.42587839999999999</v>
      </c>
      <c r="AG281" s="3">
        <v>0.43168659999999998</v>
      </c>
      <c r="AH281" s="3">
        <v>0.43774560000000001</v>
      </c>
      <c r="AI281" s="3">
        <v>0.44400810000000002</v>
      </c>
      <c r="AJ281" s="3">
        <v>0.45042720000000003</v>
      </c>
      <c r="AK281" s="3">
        <v>0.45695570000000002</v>
      </c>
      <c r="AL281" s="3">
        <v>0.46354649999999997</v>
      </c>
      <c r="AM281" s="3">
        <v>0.47015249999999997</v>
      </c>
      <c r="AN281" s="3">
        <v>0.4767267</v>
      </c>
      <c r="AO281" s="3">
        <v>0.4832284</v>
      </c>
      <c r="AP281" s="3">
        <v>0.48964570000000002</v>
      </c>
      <c r="AQ281" s="3">
        <v>0.49597439999999998</v>
      </c>
      <c r="AR281" s="3">
        <v>0.50221059999999995</v>
      </c>
      <c r="AS281" s="3">
        <v>0.50835019999999997</v>
      </c>
      <c r="AT281" s="3">
        <v>0.51438899999999999</v>
      </c>
      <c r="AU281" s="3">
        <v>0.52032310000000004</v>
      </c>
      <c r="AV281" s="3">
        <v>0.52614839999999996</v>
      </c>
      <c r="AW281" s="3">
        <v>0.53186069999999996</v>
      </c>
      <c r="AX281" s="3">
        <v>0.53745609999999999</v>
      </c>
      <c r="AY281" s="3">
        <v>0.54293049999999998</v>
      </c>
      <c r="AZ281" s="3">
        <v>0.54827970000000004</v>
      </c>
      <c r="BA281" s="3">
        <v>0.55350180000000004</v>
      </c>
      <c r="BB281" s="3">
        <v>0.55860319999999997</v>
      </c>
      <c r="BC281" s="3">
        <v>0.56359289999999995</v>
      </c>
      <c r="BD281" s="3">
        <v>0.56847979999999998</v>
      </c>
      <c r="BE281" s="3">
        <v>0.57327280000000003</v>
      </c>
      <c r="BF281" s="3">
        <v>0.57798079999999996</v>
      </c>
      <c r="BG281" s="3">
        <v>0.58261280000000004</v>
      </c>
      <c r="BH281" s="3">
        <v>0.58717770000000002</v>
      </c>
      <c r="BI281" s="3">
        <v>0.59168449999999995</v>
      </c>
      <c r="BJ281" s="3">
        <v>0.59614199999999995</v>
      </c>
      <c r="BK281" s="3">
        <v>0.60055919999999996</v>
      </c>
      <c r="BL281" s="3">
        <v>0.60494499999999995</v>
      </c>
      <c r="BM281" s="3" t="e">
        <v>#N/A</v>
      </c>
      <c r="BN281" s="3" t="e">
        <v>#N/A</v>
      </c>
    </row>
    <row r="282" spans="1:66" x14ac:dyDescent="0.35">
      <c r="A282" s="5">
        <f t="shared" si="4"/>
        <v>43850</v>
      </c>
      <c r="B282" t="s">
        <v>359</v>
      </c>
      <c r="C282" s="2">
        <v>0.75</v>
      </c>
      <c r="D282" s="2">
        <v>0.7117</v>
      </c>
      <c r="E282" s="3">
        <v>0.54467560000000004</v>
      </c>
      <c r="F282" s="3">
        <v>0.5263506</v>
      </c>
      <c r="G282" s="3">
        <v>0.49915860000000001</v>
      </c>
      <c r="H282" s="3">
        <v>0.47035349999999998</v>
      </c>
      <c r="I282" s="3">
        <v>0.44606950000000001</v>
      </c>
      <c r="J282" s="3">
        <v>0.42781859999999999</v>
      </c>
      <c r="K282" s="3">
        <v>0.41466779999999998</v>
      </c>
      <c r="L282" s="3">
        <v>0.4052463</v>
      </c>
      <c r="M282" s="3">
        <v>0.39869909999999997</v>
      </c>
      <c r="N282" s="3">
        <v>0.39433940000000001</v>
      </c>
      <c r="O282" s="3">
        <v>0.39177630000000002</v>
      </c>
      <c r="P282" s="3">
        <v>0.39066210000000001</v>
      </c>
      <c r="Q282" s="3">
        <v>0.39057609999999998</v>
      </c>
      <c r="R282" s="3">
        <v>0.39133400000000002</v>
      </c>
      <c r="S282" s="3">
        <v>0.3928277</v>
      </c>
      <c r="T282" s="3">
        <v>0.39494889999999999</v>
      </c>
      <c r="U282" s="3">
        <v>0.39758959999999999</v>
      </c>
      <c r="V282" s="3">
        <v>0.40064139999999998</v>
      </c>
      <c r="W282" s="3">
        <v>0.40401589999999998</v>
      </c>
      <c r="X282" s="3">
        <v>0.40769919999999998</v>
      </c>
      <c r="Y282" s="3">
        <v>0.41169529999999999</v>
      </c>
      <c r="Z282" s="3">
        <v>0.4160083</v>
      </c>
      <c r="AA282" s="3">
        <v>0.42064210000000002</v>
      </c>
      <c r="AB282" s="3">
        <v>0.4256008</v>
      </c>
      <c r="AC282" s="3">
        <v>0.4308825</v>
      </c>
      <c r="AD282" s="3">
        <v>0.43645919999999999</v>
      </c>
      <c r="AE282" s="3">
        <v>0.44229580000000002</v>
      </c>
      <c r="AF282" s="3">
        <v>0.44835710000000001</v>
      </c>
      <c r="AG282" s="3">
        <v>0.45460790000000001</v>
      </c>
      <c r="AH282" s="3">
        <v>0.46101330000000001</v>
      </c>
      <c r="AI282" s="3">
        <v>0.46753790000000001</v>
      </c>
      <c r="AJ282" s="3">
        <v>0.47414659999999997</v>
      </c>
      <c r="AK282" s="3">
        <v>0.48080440000000002</v>
      </c>
      <c r="AL282" s="3">
        <v>0.48747600000000002</v>
      </c>
      <c r="AM282" s="3">
        <v>0.49412630000000002</v>
      </c>
      <c r="AN282" s="3">
        <v>0.50072019999999995</v>
      </c>
      <c r="AO282" s="3">
        <v>0.50722739999999999</v>
      </c>
      <c r="AP282" s="3">
        <v>0.51363910000000002</v>
      </c>
      <c r="AQ282" s="3">
        <v>0.51995239999999998</v>
      </c>
      <c r="AR282" s="3">
        <v>0.52616450000000003</v>
      </c>
      <c r="AS282" s="3">
        <v>0.53227270000000004</v>
      </c>
      <c r="AT282" s="3">
        <v>0.53827389999999997</v>
      </c>
      <c r="AU282" s="3">
        <v>0.54416540000000002</v>
      </c>
      <c r="AV282" s="3">
        <v>0.54994430000000005</v>
      </c>
      <c r="AW282" s="3">
        <v>0.55560779999999999</v>
      </c>
      <c r="AX282" s="3">
        <v>0.56115309999999996</v>
      </c>
      <c r="AY282" s="3">
        <v>0.5665772</v>
      </c>
      <c r="AZ282" s="3">
        <v>0.57187730000000003</v>
      </c>
      <c r="BA282" s="3">
        <v>0.57705209999999996</v>
      </c>
      <c r="BB282" s="3">
        <v>0.58210830000000002</v>
      </c>
      <c r="BC282" s="3">
        <v>0.58705499999999999</v>
      </c>
      <c r="BD282" s="3">
        <v>0.59190160000000003</v>
      </c>
      <c r="BE282" s="3">
        <v>0.5966574</v>
      </c>
      <c r="BF282" s="3">
        <v>0.60133179999999997</v>
      </c>
      <c r="BG282" s="3">
        <v>0.60593399999999997</v>
      </c>
      <c r="BH282" s="3">
        <v>0.6104733</v>
      </c>
      <c r="BI282" s="3">
        <v>0.61495909999999998</v>
      </c>
      <c r="BJ282" s="3">
        <v>0.61940059999999997</v>
      </c>
      <c r="BK282" s="3">
        <v>0.62380720000000001</v>
      </c>
      <c r="BL282" s="3">
        <v>0.62818810000000003</v>
      </c>
      <c r="BM282" s="3" t="e">
        <v>#N/A</v>
      </c>
      <c r="BN282" s="3" t="e">
        <v>#N/A</v>
      </c>
    </row>
    <row r="283" spans="1:66" x14ac:dyDescent="0.35">
      <c r="A283" s="5">
        <f t="shared" si="4"/>
        <v>43851</v>
      </c>
      <c r="B283" t="s">
        <v>360</v>
      </c>
      <c r="C283" s="2">
        <v>0.75</v>
      </c>
      <c r="D283" s="2">
        <v>0.7117</v>
      </c>
      <c r="E283" s="3">
        <v>0.5626871</v>
      </c>
      <c r="F283" s="3">
        <v>0.54000510000000002</v>
      </c>
      <c r="G283" s="3">
        <v>0.50860660000000002</v>
      </c>
      <c r="H283" s="3">
        <v>0.47687679999999999</v>
      </c>
      <c r="I283" s="3">
        <v>0.45110939999999999</v>
      </c>
      <c r="J283" s="3">
        <v>0.43245240000000001</v>
      </c>
      <c r="K283" s="3">
        <v>0.4196088</v>
      </c>
      <c r="L283" s="3">
        <v>0.41081659999999998</v>
      </c>
      <c r="M283" s="3">
        <v>0.4048736</v>
      </c>
      <c r="N283" s="3">
        <v>0.40094790000000002</v>
      </c>
      <c r="O283" s="3">
        <v>0.3985361</v>
      </c>
      <c r="P283" s="3">
        <v>0.39734449999999999</v>
      </c>
      <c r="Q283" s="3">
        <v>0.39701379999999997</v>
      </c>
      <c r="R283" s="3">
        <v>0.39740520000000001</v>
      </c>
      <c r="S283" s="3">
        <v>0.39845439999999999</v>
      </c>
      <c r="T283" s="3">
        <v>0.40009709999999998</v>
      </c>
      <c r="U283" s="3">
        <v>0.40226899999999999</v>
      </c>
      <c r="V283" s="3">
        <v>0.40490569999999998</v>
      </c>
      <c r="W283" s="3">
        <v>0.40794720000000001</v>
      </c>
      <c r="X283" s="3">
        <v>0.41134969999999998</v>
      </c>
      <c r="Y283" s="3">
        <v>0.41507329999999998</v>
      </c>
      <c r="Z283" s="3">
        <v>0.41907800000000001</v>
      </c>
      <c r="AA283" s="3">
        <v>0.42332399999999998</v>
      </c>
      <c r="AB283" s="3">
        <v>0.42777120000000002</v>
      </c>
      <c r="AC283" s="3">
        <v>0.43238280000000001</v>
      </c>
      <c r="AD283" s="3">
        <v>0.43713560000000001</v>
      </c>
      <c r="AE283" s="3">
        <v>0.44201000000000001</v>
      </c>
      <c r="AF283" s="3">
        <v>0.44698650000000001</v>
      </c>
      <c r="AG283" s="3">
        <v>0.45204549999999999</v>
      </c>
      <c r="AH283" s="3">
        <v>0.45716760000000001</v>
      </c>
      <c r="AI283" s="3">
        <v>0.4623331</v>
      </c>
      <c r="AJ283" s="3">
        <v>0.46752250000000001</v>
      </c>
      <c r="AK283" s="3">
        <v>0.47271639999999998</v>
      </c>
      <c r="AL283" s="3">
        <v>0.47789520000000002</v>
      </c>
      <c r="AM283" s="3">
        <v>0.4830392</v>
      </c>
      <c r="AN283" s="3">
        <v>0.48812909999999998</v>
      </c>
      <c r="AO283" s="3">
        <v>0.49314799999999998</v>
      </c>
      <c r="AP283" s="3">
        <v>0.49809340000000002</v>
      </c>
      <c r="AQ283" s="3">
        <v>0.50296790000000002</v>
      </c>
      <c r="AR283" s="3">
        <v>0.50777380000000005</v>
      </c>
      <c r="AS283" s="3">
        <v>0.51251369999999996</v>
      </c>
      <c r="AT283" s="3">
        <v>0.51718989999999998</v>
      </c>
      <c r="AU283" s="3">
        <v>0.52180499999999996</v>
      </c>
      <c r="AV283" s="3">
        <v>0.52636139999999998</v>
      </c>
      <c r="AW283" s="3">
        <v>0.53086160000000004</v>
      </c>
      <c r="AX283" s="3">
        <v>0.53530800000000001</v>
      </c>
      <c r="AY283" s="3">
        <v>0.53970300000000004</v>
      </c>
      <c r="AZ283" s="3">
        <v>0.54404920000000001</v>
      </c>
      <c r="BA283" s="3">
        <v>0.54834930000000004</v>
      </c>
      <c r="BB283" s="3">
        <v>0.55260759999999998</v>
      </c>
      <c r="BC283" s="3">
        <v>0.55682869999999995</v>
      </c>
      <c r="BD283" s="3">
        <v>0.5610174</v>
      </c>
      <c r="BE283" s="3">
        <v>0.56517850000000003</v>
      </c>
      <c r="BF283" s="3">
        <v>0.56931659999999995</v>
      </c>
      <c r="BG283" s="3">
        <v>0.57343639999999996</v>
      </c>
      <c r="BH283" s="3">
        <v>0.57754269999999996</v>
      </c>
      <c r="BI283" s="3">
        <v>0.5816403</v>
      </c>
      <c r="BJ283" s="3">
        <v>0.58573370000000002</v>
      </c>
      <c r="BK283" s="3">
        <v>0.58982780000000001</v>
      </c>
      <c r="BL283" s="3">
        <v>0.59392719999999999</v>
      </c>
      <c r="BM283" s="3" t="e">
        <v>#N/A</v>
      </c>
      <c r="BN283" s="3" t="e">
        <v>#N/A</v>
      </c>
    </row>
    <row r="284" spans="1:66" x14ac:dyDescent="0.35">
      <c r="A284" s="5">
        <f t="shared" si="4"/>
        <v>43852</v>
      </c>
      <c r="B284" t="s">
        <v>361</v>
      </c>
      <c r="C284" s="2">
        <v>0.75</v>
      </c>
      <c r="D284" s="2">
        <v>0.7117</v>
      </c>
      <c r="E284" s="3">
        <v>0.57280580000000003</v>
      </c>
      <c r="F284" s="3">
        <v>0.54933679999999996</v>
      </c>
      <c r="G284" s="3">
        <v>0.51835710000000002</v>
      </c>
      <c r="H284" s="3">
        <v>0.48800860000000001</v>
      </c>
      <c r="I284" s="3">
        <v>0.46383079999999999</v>
      </c>
      <c r="J284" s="3">
        <v>0.446519</v>
      </c>
      <c r="K284" s="3">
        <v>0.43443739999999997</v>
      </c>
      <c r="L284" s="3">
        <v>0.42591859999999998</v>
      </c>
      <c r="M284" s="3">
        <v>0.41990189999999999</v>
      </c>
      <c r="N284" s="3">
        <v>0.41571710000000001</v>
      </c>
      <c r="O284" s="3">
        <v>0.4130199</v>
      </c>
      <c r="P284" s="3">
        <v>0.4115994</v>
      </c>
      <c r="Q284" s="3">
        <v>0.41117110000000001</v>
      </c>
      <c r="R284" s="3">
        <v>0.41158539999999999</v>
      </c>
      <c r="S284" s="3">
        <v>0.41273979999999999</v>
      </c>
      <c r="T284" s="3">
        <v>0.41453230000000002</v>
      </c>
      <c r="U284" s="3">
        <v>0.41686030000000002</v>
      </c>
      <c r="V284" s="3">
        <v>0.41962169999999999</v>
      </c>
      <c r="W284" s="3">
        <v>0.4227245</v>
      </c>
      <c r="X284" s="3">
        <v>0.42611539999999998</v>
      </c>
      <c r="Y284" s="3">
        <v>0.42975069999999999</v>
      </c>
      <c r="Z284" s="3">
        <v>0.43358659999999999</v>
      </c>
      <c r="AA284" s="3">
        <v>0.4375793</v>
      </c>
      <c r="AB284" s="3">
        <v>0.44168479999999999</v>
      </c>
      <c r="AC284" s="3">
        <v>0.44586369999999997</v>
      </c>
      <c r="AD284" s="3">
        <v>0.45009949999999999</v>
      </c>
      <c r="AE284" s="3">
        <v>0.4543835</v>
      </c>
      <c r="AF284" s="3">
        <v>0.45870689999999997</v>
      </c>
      <c r="AG284" s="3">
        <v>0.46306120000000001</v>
      </c>
      <c r="AH284" s="3">
        <v>0.4674374</v>
      </c>
      <c r="AI284" s="3">
        <v>0.47182689999999999</v>
      </c>
      <c r="AJ284" s="3">
        <v>0.47622110000000001</v>
      </c>
      <c r="AK284" s="3">
        <v>0.48061110000000001</v>
      </c>
      <c r="AL284" s="3">
        <v>0.48498829999999998</v>
      </c>
      <c r="AM284" s="3">
        <v>0.489344</v>
      </c>
      <c r="AN284" s="3">
        <v>0.49366939999999998</v>
      </c>
      <c r="AO284" s="3">
        <v>0.49795729999999999</v>
      </c>
      <c r="AP284" s="3">
        <v>0.50220819999999999</v>
      </c>
      <c r="AQ284" s="3">
        <v>0.5064244</v>
      </c>
      <c r="AR284" s="3">
        <v>0.51060870000000003</v>
      </c>
      <c r="AS284" s="3">
        <v>0.51476359999999999</v>
      </c>
      <c r="AT284" s="3">
        <v>0.51889169999999996</v>
      </c>
      <c r="AU284" s="3">
        <v>0.5229956</v>
      </c>
      <c r="AV284" s="3">
        <v>0.52707789999999999</v>
      </c>
      <c r="AW284" s="3">
        <v>0.53114110000000003</v>
      </c>
      <c r="AX284" s="3">
        <v>0.53518790000000005</v>
      </c>
      <c r="AY284" s="3">
        <v>0.53922079999999994</v>
      </c>
      <c r="AZ284" s="3">
        <v>0.54324240000000001</v>
      </c>
      <c r="BA284" s="3">
        <v>0.54725500000000005</v>
      </c>
      <c r="BB284" s="3">
        <v>0.55125939999999995</v>
      </c>
      <c r="BC284" s="3">
        <v>0.55525579999999997</v>
      </c>
      <c r="BD284" s="3">
        <v>0.55924470000000004</v>
      </c>
      <c r="BE284" s="3">
        <v>0.56322640000000002</v>
      </c>
      <c r="BF284" s="3">
        <v>0.56720119999999996</v>
      </c>
      <c r="BG284" s="3">
        <v>0.57116960000000006</v>
      </c>
      <c r="BH284" s="3">
        <v>0.57513179999999997</v>
      </c>
      <c r="BI284" s="3">
        <v>0.5790883</v>
      </c>
      <c r="BJ284" s="3">
        <v>0.58303939999999999</v>
      </c>
      <c r="BK284" s="3">
        <v>0.58698550000000005</v>
      </c>
      <c r="BL284" s="3">
        <v>0.59092679999999997</v>
      </c>
      <c r="BM284" s="3" t="e">
        <v>#N/A</v>
      </c>
      <c r="BN284" s="3" t="e">
        <v>#N/A</v>
      </c>
    </row>
    <row r="285" spans="1:66" x14ac:dyDescent="0.35">
      <c r="A285" s="5">
        <f t="shared" si="4"/>
        <v>43853</v>
      </c>
      <c r="B285" t="s">
        <v>362</v>
      </c>
      <c r="C285" s="2">
        <v>0.75</v>
      </c>
      <c r="D285" s="2">
        <v>0.71040000000000003</v>
      </c>
      <c r="E285" s="3">
        <v>0.56314109999999995</v>
      </c>
      <c r="F285" s="3">
        <v>0.5405276</v>
      </c>
      <c r="G285" s="3">
        <v>0.51058250000000005</v>
      </c>
      <c r="H285" s="3">
        <v>0.48055759999999997</v>
      </c>
      <c r="I285" s="3">
        <v>0.45595920000000001</v>
      </c>
      <c r="J285" s="3">
        <v>0.43745440000000002</v>
      </c>
      <c r="K285" s="3">
        <v>0.42408129999999999</v>
      </c>
      <c r="L285" s="3">
        <v>0.41464980000000001</v>
      </c>
      <c r="M285" s="3">
        <v>0.40814319999999998</v>
      </c>
      <c r="N285" s="3">
        <v>0.40369179999999999</v>
      </c>
      <c r="O285" s="3">
        <v>0.4007636</v>
      </c>
      <c r="P285" s="3">
        <v>0.398976</v>
      </c>
      <c r="Q285" s="3">
        <v>0.3979145</v>
      </c>
      <c r="R285" s="3">
        <v>0.39744040000000003</v>
      </c>
      <c r="S285" s="3">
        <v>0.39751700000000001</v>
      </c>
      <c r="T285" s="3">
        <v>0.39810770000000001</v>
      </c>
      <c r="U285" s="3">
        <v>0.39917609999999998</v>
      </c>
      <c r="V285" s="3">
        <v>0.40068550000000003</v>
      </c>
      <c r="W285" s="3">
        <v>0.40259820000000002</v>
      </c>
      <c r="X285" s="3">
        <v>0.40487119999999999</v>
      </c>
      <c r="Y285" s="3">
        <v>0.4074603</v>
      </c>
      <c r="Z285" s="3">
        <v>0.4103213</v>
      </c>
      <c r="AA285" s="3">
        <v>0.41341</v>
      </c>
      <c r="AB285" s="3">
        <v>0.41668240000000001</v>
      </c>
      <c r="AC285" s="3">
        <v>0.42009750000000001</v>
      </c>
      <c r="AD285" s="3">
        <v>0.42363129999999999</v>
      </c>
      <c r="AE285" s="3">
        <v>0.4272648</v>
      </c>
      <c r="AF285" s="3">
        <v>0.43097859999999999</v>
      </c>
      <c r="AG285" s="3">
        <v>0.43475390000000003</v>
      </c>
      <c r="AH285" s="3">
        <v>0.4385715</v>
      </c>
      <c r="AI285" s="3">
        <v>0.44241229999999998</v>
      </c>
      <c r="AJ285" s="3">
        <v>0.44625730000000002</v>
      </c>
      <c r="AK285" s="3">
        <v>0.45008720000000002</v>
      </c>
      <c r="AL285" s="3">
        <v>0.45388309999999998</v>
      </c>
      <c r="AM285" s="3">
        <v>0.45762589999999997</v>
      </c>
      <c r="AN285" s="3">
        <v>0.4612964</v>
      </c>
      <c r="AO285" s="3">
        <v>0.4648793</v>
      </c>
      <c r="AP285" s="3">
        <v>0.4683755</v>
      </c>
      <c r="AQ285" s="3">
        <v>0.4717905</v>
      </c>
      <c r="AR285" s="3">
        <v>0.47512969999999999</v>
      </c>
      <c r="AS285" s="3">
        <v>0.47839870000000001</v>
      </c>
      <c r="AT285" s="3">
        <v>0.4816028</v>
      </c>
      <c r="AU285" s="3">
        <v>0.4847475</v>
      </c>
      <c r="AV285" s="3">
        <v>0.4878383</v>
      </c>
      <c r="AW285" s="3">
        <v>0.4908806</v>
      </c>
      <c r="AX285" s="3">
        <v>0.49387999999999999</v>
      </c>
      <c r="AY285" s="3">
        <v>0.4968418</v>
      </c>
      <c r="AZ285" s="3">
        <v>0.49977159999999998</v>
      </c>
      <c r="BA285" s="3">
        <v>0.50267490000000004</v>
      </c>
      <c r="BB285" s="3">
        <v>0.50555779999999995</v>
      </c>
      <c r="BC285" s="3">
        <v>0.50842670000000001</v>
      </c>
      <c r="BD285" s="3">
        <v>0.51128779999999996</v>
      </c>
      <c r="BE285" s="3">
        <v>0.51414749999999998</v>
      </c>
      <c r="BF285" s="3">
        <v>0.51701200000000003</v>
      </c>
      <c r="BG285" s="3">
        <v>0.51988760000000001</v>
      </c>
      <c r="BH285" s="3">
        <v>0.52278060000000004</v>
      </c>
      <c r="BI285" s="3">
        <v>0.52569730000000003</v>
      </c>
      <c r="BJ285" s="3">
        <v>0.528644</v>
      </c>
      <c r="BK285" s="3">
        <v>0.53162699999999996</v>
      </c>
      <c r="BL285" s="3">
        <v>0.53465260000000003</v>
      </c>
      <c r="BM285" s="3" t="e">
        <v>#N/A</v>
      </c>
      <c r="BN285" s="3" t="e">
        <v>#N/A</v>
      </c>
    </row>
    <row r="286" spans="1:66" x14ac:dyDescent="0.35">
      <c r="A286" s="5">
        <f t="shared" si="4"/>
        <v>43854</v>
      </c>
      <c r="B286" t="s">
        <v>363</v>
      </c>
      <c r="C286" s="2">
        <v>0.75</v>
      </c>
      <c r="D286" s="2">
        <v>0.71060000000000001</v>
      </c>
      <c r="E286" s="3">
        <v>0.57425550000000003</v>
      </c>
      <c r="F286" s="3">
        <v>0.55216880000000002</v>
      </c>
      <c r="G286" s="3">
        <v>0.52214179999999999</v>
      </c>
      <c r="H286" s="3">
        <v>0.49073519999999998</v>
      </c>
      <c r="I286" s="3">
        <v>0.46317409999999998</v>
      </c>
      <c r="J286" s="3">
        <v>0.44067450000000002</v>
      </c>
      <c r="K286" s="3">
        <v>0.42311199999999999</v>
      </c>
      <c r="L286" s="3">
        <v>0.41003679999999998</v>
      </c>
      <c r="M286" s="3">
        <v>0.40074769999999998</v>
      </c>
      <c r="N286" s="3">
        <v>0.39445560000000002</v>
      </c>
      <c r="O286" s="3">
        <v>0.39043030000000001</v>
      </c>
      <c r="P286" s="3">
        <v>0.38811259999999997</v>
      </c>
      <c r="Q286" s="3">
        <v>0.38683329999999999</v>
      </c>
      <c r="R286" s="3">
        <v>0.38634649999999998</v>
      </c>
      <c r="S286" s="3">
        <v>0.3865575</v>
      </c>
      <c r="T286" s="3">
        <v>0.38737169999999999</v>
      </c>
      <c r="U286" s="3">
        <v>0.38869409999999999</v>
      </c>
      <c r="V286" s="3">
        <v>0.39043</v>
      </c>
      <c r="W286" s="3">
        <v>0.39249220000000001</v>
      </c>
      <c r="X286" s="3">
        <v>0.39482840000000002</v>
      </c>
      <c r="Y286" s="3">
        <v>0.39739639999999998</v>
      </c>
      <c r="Z286" s="3">
        <v>0.40015390000000001</v>
      </c>
      <c r="AA286" s="3">
        <v>0.40305879999999999</v>
      </c>
      <c r="AB286" s="3">
        <v>0.40606890000000001</v>
      </c>
      <c r="AC286" s="3">
        <v>0.40914669999999997</v>
      </c>
      <c r="AD286" s="3">
        <v>0.41227589999999997</v>
      </c>
      <c r="AE286" s="3">
        <v>0.41544589999999998</v>
      </c>
      <c r="AF286" s="3">
        <v>0.41864600000000002</v>
      </c>
      <c r="AG286" s="3">
        <v>0.42186560000000001</v>
      </c>
      <c r="AH286" s="3">
        <v>0.42509429999999998</v>
      </c>
      <c r="AI286" s="3">
        <v>0.42832130000000002</v>
      </c>
      <c r="AJ286" s="3">
        <v>0.43153599999999998</v>
      </c>
      <c r="AK286" s="3">
        <v>0.434728</v>
      </c>
      <c r="AL286" s="3">
        <v>0.43788650000000001</v>
      </c>
      <c r="AM286" s="3">
        <v>0.44100099999999998</v>
      </c>
      <c r="AN286" s="3">
        <v>0.44406089999999998</v>
      </c>
      <c r="AO286" s="3">
        <v>0.4470577</v>
      </c>
      <c r="AP286" s="3">
        <v>0.44999220000000001</v>
      </c>
      <c r="AQ286" s="3">
        <v>0.45286799999999999</v>
      </c>
      <c r="AR286" s="3">
        <v>0.4556885</v>
      </c>
      <c r="AS286" s="3">
        <v>0.458457</v>
      </c>
      <c r="AT286" s="3">
        <v>0.46117710000000001</v>
      </c>
      <c r="AU286" s="3">
        <v>0.46385209999999999</v>
      </c>
      <c r="AV286" s="3">
        <v>0.4664856</v>
      </c>
      <c r="AW286" s="3">
        <v>0.46908100000000003</v>
      </c>
      <c r="AX286" s="3">
        <v>0.47164159999999999</v>
      </c>
      <c r="AY286" s="3">
        <v>0.47417100000000001</v>
      </c>
      <c r="AZ286" s="3">
        <v>0.4766726</v>
      </c>
      <c r="BA286" s="3">
        <v>0.47915010000000002</v>
      </c>
      <c r="BB286" s="3">
        <v>0.48160849999999999</v>
      </c>
      <c r="BC286" s="3">
        <v>0.48405300000000001</v>
      </c>
      <c r="BD286" s="3">
        <v>0.4864888</v>
      </c>
      <c r="BE286" s="3">
        <v>0.4889213</v>
      </c>
      <c r="BF286" s="3">
        <v>0.49135570000000001</v>
      </c>
      <c r="BG286" s="3">
        <v>0.4937974</v>
      </c>
      <c r="BH286" s="3">
        <v>0.49625140000000001</v>
      </c>
      <c r="BI286" s="3">
        <v>0.49872319999999998</v>
      </c>
      <c r="BJ286" s="3">
        <v>0.50121800000000005</v>
      </c>
      <c r="BK286" s="3">
        <v>0.50374110000000005</v>
      </c>
      <c r="BL286" s="3">
        <v>0.50629769999999996</v>
      </c>
      <c r="BM286" s="3" t="e">
        <v>#N/A</v>
      </c>
      <c r="BN286" s="3" t="e">
        <v>#N/A</v>
      </c>
    </row>
    <row r="287" spans="1:66" x14ac:dyDescent="0.35">
      <c r="A287" s="5">
        <f t="shared" si="4"/>
        <v>43857</v>
      </c>
      <c r="B287" t="s">
        <v>364</v>
      </c>
      <c r="C287" s="2">
        <v>0.75</v>
      </c>
      <c r="D287" s="2">
        <v>0.70889999999999997</v>
      </c>
      <c r="E287" s="3">
        <v>0.56453520000000001</v>
      </c>
      <c r="F287" s="3">
        <v>0.53816779999999997</v>
      </c>
      <c r="G287" s="3">
        <v>0.50638799999999995</v>
      </c>
      <c r="H287" s="3">
        <v>0.47513939999999999</v>
      </c>
      <c r="I287" s="3">
        <v>0.4475307</v>
      </c>
      <c r="J287" s="3">
        <v>0.42399769999999998</v>
      </c>
      <c r="K287" s="3">
        <v>0.40440350000000003</v>
      </c>
      <c r="L287" s="3">
        <v>0.3887565</v>
      </c>
      <c r="M287" s="3">
        <v>0.37711210000000001</v>
      </c>
      <c r="N287" s="3">
        <v>0.36897039999999998</v>
      </c>
      <c r="O287" s="3">
        <v>0.36385820000000002</v>
      </c>
      <c r="P287" s="3">
        <v>0.36119849999999998</v>
      </c>
      <c r="Q287" s="3">
        <v>0.36041459999999997</v>
      </c>
      <c r="R287" s="3">
        <v>0.36111339999999997</v>
      </c>
      <c r="S287" s="3">
        <v>0.362952</v>
      </c>
      <c r="T287" s="3">
        <v>0.3655873</v>
      </c>
      <c r="U287" s="3">
        <v>0.36867620000000001</v>
      </c>
      <c r="V287" s="3">
        <v>0.37187569999999998</v>
      </c>
      <c r="W287" s="3">
        <v>0.3749055</v>
      </c>
      <c r="X287" s="3">
        <v>0.37772349999999999</v>
      </c>
      <c r="Y287" s="3">
        <v>0.38034440000000003</v>
      </c>
      <c r="Z287" s="3">
        <v>0.38278289999999998</v>
      </c>
      <c r="AA287" s="3">
        <v>0.3850538</v>
      </c>
      <c r="AB287" s="3">
        <v>0.38717180000000001</v>
      </c>
      <c r="AC287" s="3">
        <v>0.38915119999999997</v>
      </c>
      <c r="AD287" s="3">
        <v>0.39100479999999999</v>
      </c>
      <c r="AE287" s="3">
        <v>0.39274490000000001</v>
      </c>
      <c r="AF287" s="3">
        <v>0.39438380000000001</v>
      </c>
      <c r="AG287" s="3">
        <v>0.3959338</v>
      </c>
      <c r="AH287" s="3">
        <v>0.39740730000000002</v>
      </c>
      <c r="AI287" s="3">
        <v>0.39881640000000002</v>
      </c>
      <c r="AJ287" s="3">
        <v>0.40017360000000002</v>
      </c>
      <c r="AK287" s="3">
        <v>0.40149109999999999</v>
      </c>
      <c r="AL287" s="3">
        <v>0.40278130000000001</v>
      </c>
      <c r="AM287" s="3">
        <v>0.40405639999999998</v>
      </c>
      <c r="AN287" s="3">
        <v>0.40532879999999999</v>
      </c>
      <c r="AO287" s="3">
        <v>0.40660960000000002</v>
      </c>
      <c r="AP287" s="3">
        <v>0.40790490000000001</v>
      </c>
      <c r="AQ287" s="3">
        <v>0.40921920000000001</v>
      </c>
      <c r="AR287" s="3">
        <v>0.41055710000000001</v>
      </c>
      <c r="AS287" s="3">
        <v>0.41192329999999999</v>
      </c>
      <c r="AT287" s="3">
        <v>0.41332229999999998</v>
      </c>
      <c r="AU287" s="3">
        <v>0.41475879999999998</v>
      </c>
      <c r="AV287" s="3">
        <v>0.41623729999999998</v>
      </c>
      <c r="AW287" s="3">
        <v>0.41776249999999998</v>
      </c>
      <c r="AX287" s="3">
        <v>0.41933890000000001</v>
      </c>
      <c r="AY287" s="3">
        <v>0.42097119999999999</v>
      </c>
      <c r="AZ287" s="3">
        <v>0.42266399999999998</v>
      </c>
      <c r="BA287" s="3">
        <v>0.42442160000000001</v>
      </c>
      <c r="BB287" s="3">
        <v>0.42624709999999999</v>
      </c>
      <c r="BC287" s="3">
        <v>0.428143</v>
      </c>
      <c r="BD287" s="3">
        <v>0.43011199999999999</v>
      </c>
      <c r="BE287" s="3">
        <v>0.4321566</v>
      </c>
      <c r="BF287" s="3">
        <v>0.43427949999999998</v>
      </c>
      <c r="BG287" s="3">
        <v>0.43648320000000002</v>
      </c>
      <c r="BH287" s="3">
        <v>0.4387703</v>
      </c>
      <c r="BI287" s="3">
        <v>0.44114330000000002</v>
      </c>
      <c r="BJ287" s="3">
        <v>0.44360500000000003</v>
      </c>
      <c r="BK287" s="3">
        <v>0.4461579</v>
      </c>
      <c r="BL287" s="3">
        <v>0.4488046</v>
      </c>
      <c r="BM287" s="3" t="e">
        <v>#N/A</v>
      </c>
      <c r="BN287" s="3" t="e">
        <v>#N/A</v>
      </c>
    </row>
    <row r="288" spans="1:66" x14ac:dyDescent="0.35">
      <c r="A288" s="5">
        <f t="shared" si="4"/>
        <v>43858</v>
      </c>
      <c r="B288" t="s">
        <v>365</v>
      </c>
      <c r="C288" s="2">
        <v>0.75</v>
      </c>
      <c r="D288" s="2">
        <v>0.70960000000000001</v>
      </c>
      <c r="E288" s="3">
        <v>0.58721749999999995</v>
      </c>
      <c r="F288" s="3">
        <v>0.56091619999999998</v>
      </c>
      <c r="G288" s="3">
        <v>0.52800740000000002</v>
      </c>
      <c r="H288" s="3">
        <v>0.49503449999999999</v>
      </c>
      <c r="I288" s="3">
        <v>0.46651369999999998</v>
      </c>
      <c r="J288" s="3">
        <v>0.44324000000000002</v>
      </c>
      <c r="K288" s="3">
        <v>0.42528909999999998</v>
      </c>
      <c r="L288" s="3">
        <v>0.41239559999999997</v>
      </c>
      <c r="M288" s="3">
        <v>0.4037829</v>
      </c>
      <c r="N288" s="3">
        <v>0.39834789999999998</v>
      </c>
      <c r="O288" s="3">
        <v>0.39517219999999997</v>
      </c>
      <c r="P288" s="3">
        <v>0.39360129999999999</v>
      </c>
      <c r="Q288" s="3">
        <v>0.39293980000000001</v>
      </c>
      <c r="R288" s="3">
        <v>0.39297349999999998</v>
      </c>
      <c r="S288" s="3">
        <v>0.39364120000000002</v>
      </c>
      <c r="T288" s="3">
        <v>0.3948817</v>
      </c>
      <c r="U288" s="3">
        <v>0.39663359999999998</v>
      </c>
      <c r="V288" s="3">
        <v>0.39883560000000001</v>
      </c>
      <c r="W288" s="3">
        <v>0.40142529999999998</v>
      </c>
      <c r="X288" s="3">
        <v>0.40433520000000001</v>
      </c>
      <c r="Y288" s="3">
        <v>0.40749669999999999</v>
      </c>
      <c r="Z288" s="3">
        <v>0.41084130000000002</v>
      </c>
      <c r="AA288" s="3">
        <v>0.41430050000000002</v>
      </c>
      <c r="AB288" s="3">
        <v>0.4178056</v>
      </c>
      <c r="AC288" s="3">
        <v>0.42129709999999998</v>
      </c>
      <c r="AD288" s="3">
        <v>0.4247552</v>
      </c>
      <c r="AE288" s="3">
        <v>0.42817129999999998</v>
      </c>
      <c r="AF288" s="3">
        <v>0.43153639999999999</v>
      </c>
      <c r="AG288" s="3">
        <v>0.4348418</v>
      </c>
      <c r="AH288" s="3">
        <v>0.43807879999999999</v>
      </c>
      <c r="AI288" s="3">
        <v>0.44123859999999998</v>
      </c>
      <c r="AJ288" s="3">
        <v>0.44431229999999999</v>
      </c>
      <c r="AK288" s="3">
        <v>0.4472912</v>
      </c>
      <c r="AL288" s="3">
        <v>0.45016650000000002</v>
      </c>
      <c r="AM288" s="3">
        <v>0.45292949999999998</v>
      </c>
      <c r="AN288" s="3">
        <v>0.45557130000000001</v>
      </c>
      <c r="AO288" s="3">
        <v>0.45808589999999999</v>
      </c>
      <c r="AP288" s="3">
        <v>0.46048159999999999</v>
      </c>
      <c r="AQ288" s="3">
        <v>0.46277190000000001</v>
      </c>
      <c r="AR288" s="3">
        <v>0.46496979999999999</v>
      </c>
      <c r="AS288" s="3">
        <v>0.46708870000000002</v>
      </c>
      <c r="AT288" s="3">
        <v>0.4691419</v>
      </c>
      <c r="AU288" s="3">
        <v>0.47114260000000002</v>
      </c>
      <c r="AV288" s="3">
        <v>0.47310419999999997</v>
      </c>
      <c r="AW288" s="3">
        <v>0.47503970000000001</v>
      </c>
      <c r="AX288" s="3">
        <v>0.47696270000000002</v>
      </c>
      <c r="AY288" s="3">
        <v>0.47888619999999998</v>
      </c>
      <c r="AZ288" s="3">
        <v>0.48082370000000002</v>
      </c>
      <c r="BA288" s="3">
        <v>0.48278700000000002</v>
      </c>
      <c r="BB288" s="3">
        <v>0.48478199999999999</v>
      </c>
      <c r="BC288" s="3">
        <v>0.48681249999999998</v>
      </c>
      <c r="BD288" s="3">
        <v>0.48888239999999999</v>
      </c>
      <c r="BE288" s="3">
        <v>0.49099559999999998</v>
      </c>
      <c r="BF288" s="3">
        <v>0.49315599999999998</v>
      </c>
      <c r="BG288" s="3">
        <v>0.49536730000000001</v>
      </c>
      <c r="BH288" s="3">
        <v>0.49763360000000001</v>
      </c>
      <c r="BI288" s="3">
        <v>0.49995869999999998</v>
      </c>
      <c r="BJ288" s="3">
        <v>0.50234639999999997</v>
      </c>
      <c r="BK288" s="3">
        <v>0.50480060000000004</v>
      </c>
      <c r="BL288" s="3">
        <v>0.50732520000000003</v>
      </c>
      <c r="BM288" s="3" t="e">
        <v>#N/A</v>
      </c>
      <c r="BN288" s="3" t="e">
        <v>#N/A</v>
      </c>
    </row>
    <row r="289" spans="1:66" x14ac:dyDescent="0.35">
      <c r="A289" s="5">
        <f t="shared" si="4"/>
        <v>43859</v>
      </c>
      <c r="B289" t="s">
        <v>366</v>
      </c>
      <c r="C289" s="2">
        <v>0.75</v>
      </c>
      <c r="D289" s="2">
        <v>0.71030000000000004</v>
      </c>
      <c r="E289" s="3">
        <v>0.59595520000000002</v>
      </c>
      <c r="F289" s="3">
        <v>0.56608069999999999</v>
      </c>
      <c r="G289" s="3">
        <v>0.53032040000000003</v>
      </c>
      <c r="H289" s="3">
        <v>0.496058</v>
      </c>
      <c r="I289" s="3">
        <v>0.46736319999999998</v>
      </c>
      <c r="J289" s="3">
        <v>0.4444418</v>
      </c>
      <c r="K289" s="3">
        <v>0.4266991</v>
      </c>
      <c r="L289" s="3">
        <v>0.41370129999999999</v>
      </c>
      <c r="M289" s="3">
        <v>0.40493380000000001</v>
      </c>
      <c r="N289" s="3">
        <v>0.3994799</v>
      </c>
      <c r="O289" s="3">
        <v>0.39657239999999999</v>
      </c>
      <c r="P289" s="3">
        <v>0.39558549999999998</v>
      </c>
      <c r="Q289" s="3">
        <v>0.395839</v>
      </c>
      <c r="R289" s="3">
        <v>0.39701320000000001</v>
      </c>
      <c r="S289" s="3">
        <v>0.39890179999999997</v>
      </c>
      <c r="T289" s="3">
        <v>0.40129789999999999</v>
      </c>
      <c r="U289" s="3">
        <v>0.4039952</v>
      </c>
      <c r="V289" s="3">
        <v>0.4067868</v>
      </c>
      <c r="W289" s="3">
        <v>0.4095007</v>
      </c>
      <c r="X289" s="3">
        <v>0.41209519999999999</v>
      </c>
      <c r="Y289" s="3">
        <v>0.41456009999999999</v>
      </c>
      <c r="Z289" s="3">
        <v>0.4168848</v>
      </c>
      <c r="AA289" s="3">
        <v>0.41905910000000002</v>
      </c>
      <c r="AB289" s="3">
        <v>0.42107260000000002</v>
      </c>
      <c r="AC289" s="3">
        <v>0.4229176</v>
      </c>
      <c r="AD289" s="3">
        <v>0.42460150000000002</v>
      </c>
      <c r="AE289" s="3">
        <v>0.42613669999999998</v>
      </c>
      <c r="AF289" s="3">
        <v>0.42753550000000001</v>
      </c>
      <c r="AG289" s="3">
        <v>0.42881049999999998</v>
      </c>
      <c r="AH289" s="3">
        <v>0.42997380000000002</v>
      </c>
      <c r="AI289" s="3">
        <v>0.43103799999999998</v>
      </c>
      <c r="AJ289" s="3">
        <v>0.43201539999999999</v>
      </c>
      <c r="AK289" s="3">
        <v>0.43291839999999998</v>
      </c>
      <c r="AL289" s="3">
        <v>0.43375930000000001</v>
      </c>
      <c r="AM289" s="3">
        <v>0.43455060000000001</v>
      </c>
      <c r="AN289" s="3">
        <v>0.43530459999999999</v>
      </c>
      <c r="AO289" s="3">
        <v>0.43603330000000001</v>
      </c>
      <c r="AP289" s="3">
        <v>0.4367471</v>
      </c>
      <c r="AQ289" s="3">
        <v>0.43745539999999999</v>
      </c>
      <c r="AR289" s="3">
        <v>0.438168</v>
      </c>
      <c r="AS289" s="3">
        <v>0.43889450000000002</v>
      </c>
      <c r="AT289" s="3">
        <v>0.43964449999999999</v>
      </c>
      <c r="AU289" s="3">
        <v>0.44042789999999998</v>
      </c>
      <c r="AV289" s="3">
        <v>0.44125409999999998</v>
      </c>
      <c r="AW289" s="3">
        <v>0.4421329</v>
      </c>
      <c r="AX289" s="3">
        <v>0.44307380000000002</v>
      </c>
      <c r="AY289" s="3">
        <v>0.4440867</v>
      </c>
      <c r="AZ289" s="3">
        <v>0.4451811</v>
      </c>
      <c r="BA289" s="3">
        <v>0.44636530000000002</v>
      </c>
      <c r="BB289" s="3">
        <v>0.44764229999999999</v>
      </c>
      <c r="BC289" s="3">
        <v>0.449013</v>
      </c>
      <c r="BD289" s="3">
        <v>0.45047860000000001</v>
      </c>
      <c r="BE289" s="3">
        <v>0.45204040000000001</v>
      </c>
      <c r="BF289" s="3">
        <v>0.45369949999999998</v>
      </c>
      <c r="BG289" s="3">
        <v>0.4554571</v>
      </c>
      <c r="BH289" s="3">
        <v>0.4573142</v>
      </c>
      <c r="BI289" s="3">
        <v>0.45927220000000002</v>
      </c>
      <c r="BJ289" s="3">
        <v>0.46133220000000003</v>
      </c>
      <c r="BK289" s="3">
        <v>0.4634952</v>
      </c>
      <c r="BL289" s="3">
        <v>0.46576260000000003</v>
      </c>
      <c r="BM289" s="3" t="e">
        <v>#N/A</v>
      </c>
      <c r="BN289" s="3" t="e">
        <v>#N/A</v>
      </c>
    </row>
    <row r="290" spans="1:66" x14ac:dyDescent="0.35">
      <c r="A290" s="5">
        <f t="shared" si="4"/>
        <v>43860</v>
      </c>
      <c r="B290" t="s">
        <v>367</v>
      </c>
      <c r="C290" s="2">
        <v>0.75</v>
      </c>
      <c r="D290" s="2">
        <v>0.70989999999999998</v>
      </c>
      <c r="E290" s="3">
        <v>0.70999350000000006</v>
      </c>
      <c r="F290" s="3">
        <v>0.67325610000000002</v>
      </c>
      <c r="G290" s="3">
        <v>0.62827100000000002</v>
      </c>
      <c r="H290" s="3">
        <v>0.58507330000000002</v>
      </c>
      <c r="I290" s="3">
        <v>0.55039490000000002</v>
      </c>
      <c r="J290" s="3">
        <v>0.5241363</v>
      </c>
      <c r="K290" s="3">
        <v>0.50450790000000001</v>
      </c>
      <c r="L290" s="3">
        <v>0.49013800000000002</v>
      </c>
      <c r="M290" s="3">
        <v>0.47996169999999999</v>
      </c>
      <c r="N290" s="3">
        <v>0.47284949999999998</v>
      </c>
      <c r="O290" s="3">
        <v>0.46800819999999999</v>
      </c>
      <c r="P290" s="3">
        <v>0.46475759999999999</v>
      </c>
      <c r="Q290" s="3">
        <v>0.46233390000000002</v>
      </c>
      <c r="R290" s="3">
        <v>0.46047759999999999</v>
      </c>
      <c r="S290" s="3">
        <v>0.45911629999999998</v>
      </c>
      <c r="T290" s="3">
        <v>0.45817760000000002</v>
      </c>
      <c r="U290" s="3">
        <v>0.45758919999999997</v>
      </c>
      <c r="V290" s="3">
        <v>0.45727859999999998</v>
      </c>
      <c r="W290" s="3">
        <v>0.45718120000000001</v>
      </c>
      <c r="X290" s="3">
        <v>0.45726090000000003</v>
      </c>
      <c r="Y290" s="3">
        <v>0.45748870000000003</v>
      </c>
      <c r="Z290" s="3">
        <v>0.4578354</v>
      </c>
      <c r="AA290" s="3">
        <v>0.45827210000000002</v>
      </c>
      <c r="AB290" s="3">
        <v>0.4587697</v>
      </c>
      <c r="AC290" s="3">
        <v>0.4593025</v>
      </c>
      <c r="AD290" s="3">
        <v>0.45986270000000001</v>
      </c>
      <c r="AE290" s="3">
        <v>0.46044770000000002</v>
      </c>
      <c r="AF290" s="3">
        <v>0.46105459999999998</v>
      </c>
      <c r="AG290" s="3">
        <v>0.46168100000000001</v>
      </c>
      <c r="AH290" s="3">
        <v>0.46232410000000002</v>
      </c>
      <c r="AI290" s="3">
        <v>0.46298129999999998</v>
      </c>
      <c r="AJ290" s="3">
        <v>0.4636499</v>
      </c>
      <c r="AK290" s="3">
        <v>0.4643272</v>
      </c>
      <c r="AL290" s="3">
        <v>0.4650107</v>
      </c>
      <c r="AM290" s="3">
        <v>0.46569759999999999</v>
      </c>
      <c r="AN290" s="3">
        <v>0.46638540000000001</v>
      </c>
      <c r="AO290" s="3">
        <v>0.4670723</v>
      </c>
      <c r="AP290" s="3">
        <v>0.46776109999999999</v>
      </c>
      <c r="AQ290" s="3">
        <v>0.46845579999999998</v>
      </c>
      <c r="AR290" s="3">
        <v>0.46916039999999998</v>
      </c>
      <c r="AS290" s="3">
        <v>0.46987899999999999</v>
      </c>
      <c r="AT290" s="3">
        <v>0.47061540000000002</v>
      </c>
      <c r="AU290" s="3">
        <v>0.47137370000000001</v>
      </c>
      <c r="AV290" s="3">
        <v>0.47215800000000002</v>
      </c>
      <c r="AW290" s="3">
        <v>0.47297210000000001</v>
      </c>
      <c r="AX290" s="3">
        <v>0.47382000000000002</v>
      </c>
      <c r="AY290" s="3">
        <v>0.47470590000000001</v>
      </c>
      <c r="AZ290" s="3">
        <v>0.47563359999999999</v>
      </c>
      <c r="BA290" s="3">
        <v>0.4766068</v>
      </c>
      <c r="BB290" s="3">
        <v>0.47762779999999999</v>
      </c>
      <c r="BC290" s="3">
        <v>0.47869850000000003</v>
      </c>
      <c r="BD290" s="3">
        <v>0.47982049999999998</v>
      </c>
      <c r="BE290" s="3">
        <v>0.48099589999999998</v>
      </c>
      <c r="BF290" s="3">
        <v>0.4822265</v>
      </c>
      <c r="BG290" s="3">
        <v>0.483514</v>
      </c>
      <c r="BH290" s="3">
        <v>0.48486040000000002</v>
      </c>
      <c r="BI290" s="3">
        <v>0.48626750000000002</v>
      </c>
      <c r="BJ290" s="3">
        <v>0.48773709999999998</v>
      </c>
      <c r="BK290" s="3">
        <v>0.48927110000000001</v>
      </c>
      <c r="BL290" s="3">
        <v>0.49087130000000001</v>
      </c>
      <c r="BM290" s="3" t="e">
        <v>#N/A</v>
      </c>
      <c r="BN290" s="3" t="e">
        <v>#N/A</v>
      </c>
    </row>
    <row r="291" spans="1:66" x14ac:dyDescent="0.35">
      <c r="A291" s="5">
        <f t="shared" si="4"/>
        <v>43861</v>
      </c>
      <c r="B291" t="s">
        <v>368</v>
      </c>
      <c r="C291" s="2">
        <v>0.75</v>
      </c>
      <c r="D291" s="2">
        <v>0.7117</v>
      </c>
      <c r="E291" s="3">
        <v>0.70931659999999996</v>
      </c>
      <c r="F291" s="3">
        <v>0.66939599999999999</v>
      </c>
      <c r="G291" s="3">
        <v>0.6229304</v>
      </c>
      <c r="H291" s="3">
        <v>0.57902359999999997</v>
      </c>
      <c r="I291" s="3">
        <v>0.54278559999999998</v>
      </c>
      <c r="J291" s="3">
        <v>0.5140574</v>
      </c>
      <c r="K291" s="3">
        <v>0.49122880000000002</v>
      </c>
      <c r="L291" s="3">
        <v>0.4733617</v>
      </c>
      <c r="M291" s="3">
        <v>0.45960859999999998</v>
      </c>
      <c r="N291" s="3">
        <v>0.44923239999999998</v>
      </c>
      <c r="O291" s="3">
        <v>0.44149690000000003</v>
      </c>
      <c r="P291" s="3">
        <v>0.43566260000000001</v>
      </c>
      <c r="Q291" s="3">
        <v>0.4308245</v>
      </c>
      <c r="R291" s="3">
        <v>0.4267185</v>
      </c>
      <c r="S291" s="3">
        <v>0.42330279999999998</v>
      </c>
      <c r="T291" s="3">
        <v>0.4205354</v>
      </c>
      <c r="U291" s="3">
        <v>0.41837429999999998</v>
      </c>
      <c r="V291" s="3">
        <v>0.41677769999999997</v>
      </c>
      <c r="W291" s="3">
        <v>0.4157052</v>
      </c>
      <c r="X291" s="3">
        <v>0.41512389999999999</v>
      </c>
      <c r="Y291" s="3">
        <v>0.41500300000000001</v>
      </c>
      <c r="Z291" s="3">
        <v>0.41531180000000001</v>
      </c>
      <c r="AA291" s="3">
        <v>0.41601959999999999</v>
      </c>
      <c r="AB291" s="3">
        <v>0.41709560000000001</v>
      </c>
      <c r="AC291" s="3">
        <v>0.41850690000000002</v>
      </c>
      <c r="AD291" s="3">
        <v>0.42021180000000002</v>
      </c>
      <c r="AE291" s="3">
        <v>0.42216589999999998</v>
      </c>
      <c r="AF291" s="3">
        <v>0.4243249</v>
      </c>
      <c r="AG291" s="3">
        <v>0.42664429999999998</v>
      </c>
      <c r="AH291" s="3">
        <v>0.42907980000000001</v>
      </c>
      <c r="AI291" s="3">
        <v>0.4315871</v>
      </c>
      <c r="AJ291" s="3">
        <v>0.4341218</v>
      </c>
      <c r="AK291" s="3">
        <v>0.43663960000000002</v>
      </c>
      <c r="AL291" s="3">
        <v>0.43909619999999999</v>
      </c>
      <c r="AM291" s="3">
        <v>0.44144709999999998</v>
      </c>
      <c r="AN291" s="3">
        <v>0.44364799999999999</v>
      </c>
      <c r="AO291" s="3">
        <v>0.44566359999999999</v>
      </c>
      <c r="AP291" s="3">
        <v>0.44749830000000002</v>
      </c>
      <c r="AQ291" s="3">
        <v>0.44916780000000001</v>
      </c>
      <c r="AR291" s="3">
        <v>0.45068750000000002</v>
      </c>
      <c r="AS291" s="3">
        <v>0.4520729</v>
      </c>
      <c r="AT291" s="3">
        <v>0.45333950000000001</v>
      </c>
      <c r="AU291" s="3">
        <v>0.45450279999999998</v>
      </c>
      <c r="AV291" s="3">
        <v>0.45557829999999999</v>
      </c>
      <c r="AW291" s="3">
        <v>0.45658149999999997</v>
      </c>
      <c r="AX291" s="3">
        <v>0.45752789999999999</v>
      </c>
      <c r="AY291" s="3">
        <v>0.45843299999999998</v>
      </c>
      <c r="AZ291" s="3">
        <v>0.45931230000000001</v>
      </c>
      <c r="BA291" s="3">
        <v>0.46018019999999998</v>
      </c>
      <c r="BB291" s="3">
        <v>0.46104610000000001</v>
      </c>
      <c r="BC291" s="3">
        <v>0.4619182</v>
      </c>
      <c r="BD291" s="3">
        <v>0.4628043</v>
      </c>
      <c r="BE291" s="3">
        <v>0.46371269999999998</v>
      </c>
      <c r="BF291" s="3">
        <v>0.46465139999999999</v>
      </c>
      <c r="BG291" s="3">
        <v>0.4656284</v>
      </c>
      <c r="BH291" s="3">
        <v>0.46665180000000001</v>
      </c>
      <c r="BI291" s="3">
        <v>0.46772970000000003</v>
      </c>
      <c r="BJ291" s="3">
        <v>0.46887010000000001</v>
      </c>
      <c r="BK291" s="3">
        <v>0.47008109999999997</v>
      </c>
      <c r="BL291" s="3">
        <v>0.47137079999999998</v>
      </c>
      <c r="BM291" s="3" t="e">
        <v>#N/A</v>
      </c>
      <c r="BN291" s="3" t="e">
        <v>#N/A</v>
      </c>
    </row>
    <row r="292" spans="1:66" x14ac:dyDescent="0.35">
      <c r="A292" s="5">
        <f t="shared" si="4"/>
        <v>43864</v>
      </c>
      <c r="B292" t="s">
        <v>369</v>
      </c>
      <c r="C292" s="2">
        <v>0.75</v>
      </c>
      <c r="D292" s="2">
        <v>0.71040000000000003</v>
      </c>
      <c r="E292" s="3">
        <v>0.70603970000000005</v>
      </c>
      <c r="F292" s="3">
        <v>0.6668927</v>
      </c>
      <c r="G292" s="3">
        <v>0.62177749999999998</v>
      </c>
      <c r="H292" s="3">
        <v>0.57886300000000002</v>
      </c>
      <c r="I292" s="3">
        <v>0.54249740000000002</v>
      </c>
      <c r="J292" s="3">
        <v>0.51272870000000004</v>
      </c>
      <c r="K292" s="3">
        <v>0.48869240000000003</v>
      </c>
      <c r="L292" s="3">
        <v>0.46962549999999997</v>
      </c>
      <c r="M292" s="3">
        <v>0.45474730000000002</v>
      </c>
      <c r="N292" s="3">
        <v>0.44324229999999998</v>
      </c>
      <c r="O292" s="3">
        <v>0.43465510000000002</v>
      </c>
      <c r="P292" s="3">
        <v>0.42840339999999999</v>
      </c>
      <c r="Q292" s="3">
        <v>0.42377340000000002</v>
      </c>
      <c r="R292" s="3">
        <v>0.42043249999999999</v>
      </c>
      <c r="S292" s="3">
        <v>0.41816740000000002</v>
      </c>
      <c r="T292" s="3">
        <v>0.41676479999999999</v>
      </c>
      <c r="U292" s="3">
        <v>0.41601129999999997</v>
      </c>
      <c r="V292" s="3">
        <v>0.4156936</v>
      </c>
      <c r="W292" s="3">
        <v>0.41563270000000002</v>
      </c>
      <c r="X292" s="3">
        <v>0.41578080000000001</v>
      </c>
      <c r="Y292" s="3">
        <v>0.41612090000000002</v>
      </c>
      <c r="Z292" s="3">
        <v>0.41663640000000002</v>
      </c>
      <c r="AA292" s="3">
        <v>0.41731040000000003</v>
      </c>
      <c r="AB292" s="3">
        <v>0.4181262</v>
      </c>
      <c r="AC292" s="3">
        <v>0.41906759999999998</v>
      </c>
      <c r="AD292" s="3">
        <v>0.42012189999999999</v>
      </c>
      <c r="AE292" s="3">
        <v>0.42127700000000001</v>
      </c>
      <c r="AF292" s="3">
        <v>0.42252099999999998</v>
      </c>
      <c r="AG292" s="3">
        <v>0.42384189999999999</v>
      </c>
      <c r="AH292" s="3">
        <v>0.42522779999999999</v>
      </c>
      <c r="AI292" s="3">
        <v>0.42666660000000001</v>
      </c>
      <c r="AJ292" s="3">
        <v>0.42814639999999998</v>
      </c>
      <c r="AK292" s="3">
        <v>0.42965530000000002</v>
      </c>
      <c r="AL292" s="3">
        <v>0.43118129999999999</v>
      </c>
      <c r="AM292" s="3">
        <v>0.43271229999999999</v>
      </c>
      <c r="AN292" s="3">
        <v>0.43423650000000003</v>
      </c>
      <c r="AO292" s="3">
        <v>0.43574420000000003</v>
      </c>
      <c r="AP292" s="3">
        <v>0.43723659999999998</v>
      </c>
      <c r="AQ292" s="3">
        <v>0.43871779999999999</v>
      </c>
      <c r="AR292" s="3">
        <v>0.44019170000000002</v>
      </c>
      <c r="AS292" s="3">
        <v>0.44166240000000001</v>
      </c>
      <c r="AT292" s="3">
        <v>0.44313409999999998</v>
      </c>
      <c r="AU292" s="3">
        <v>0.44461060000000002</v>
      </c>
      <c r="AV292" s="3">
        <v>0.4460962</v>
      </c>
      <c r="AW292" s="3">
        <v>0.44759480000000001</v>
      </c>
      <c r="AX292" s="3">
        <v>0.44911040000000002</v>
      </c>
      <c r="AY292" s="3">
        <v>0.45064720000000003</v>
      </c>
      <c r="AZ292" s="3">
        <v>0.45220919999999998</v>
      </c>
      <c r="BA292" s="3">
        <v>0.45380039999999999</v>
      </c>
      <c r="BB292" s="3">
        <v>0.45542490000000002</v>
      </c>
      <c r="BC292" s="3">
        <v>0.45708680000000002</v>
      </c>
      <c r="BD292" s="3">
        <v>0.45879009999999998</v>
      </c>
      <c r="BE292" s="3">
        <v>0.46053880000000003</v>
      </c>
      <c r="BF292" s="3">
        <v>0.4623372</v>
      </c>
      <c r="BG292" s="3">
        <v>0.46418920000000002</v>
      </c>
      <c r="BH292" s="3">
        <v>0.46609889999999998</v>
      </c>
      <c r="BI292" s="3">
        <v>0.46807029999999999</v>
      </c>
      <c r="BJ292" s="3">
        <v>0.47010760000000001</v>
      </c>
      <c r="BK292" s="3">
        <v>0.47221479999999999</v>
      </c>
      <c r="BL292" s="3">
        <v>0.47439599999999998</v>
      </c>
      <c r="BM292" s="3" t="e">
        <v>#N/A</v>
      </c>
      <c r="BN292" s="3" t="e">
        <v>#N/A</v>
      </c>
    </row>
    <row r="293" spans="1:66" x14ac:dyDescent="0.35">
      <c r="A293" s="5">
        <f t="shared" si="4"/>
        <v>43865</v>
      </c>
      <c r="B293" t="s">
        <v>370</v>
      </c>
      <c r="C293" s="2">
        <v>0.75</v>
      </c>
      <c r="D293" s="2">
        <v>0.71040000000000003</v>
      </c>
      <c r="E293" s="3">
        <v>0.70935389999999998</v>
      </c>
      <c r="F293" s="3">
        <v>0.68516010000000005</v>
      </c>
      <c r="G293" s="3">
        <v>0.65275819999999996</v>
      </c>
      <c r="H293" s="3">
        <v>0.61784170000000005</v>
      </c>
      <c r="I293" s="3">
        <v>0.58545970000000003</v>
      </c>
      <c r="J293" s="3">
        <v>0.5569037</v>
      </c>
      <c r="K293" s="3">
        <v>0.53269390000000005</v>
      </c>
      <c r="L293" s="3">
        <v>0.51287530000000003</v>
      </c>
      <c r="M293" s="3">
        <v>0.49704720000000002</v>
      </c>
      <c r="N293" s="3">
        <v>0.48458299999999999</v>
      </c>
      <c r="O293" s="3">
        <v>0.4750779</v>
      </c>
      <c r="P293" s="3">
        <v>0.46800540000000002</v>
      </c>
      <c r="Q293" s="3">
        <v>0.46272390000000002</v>
      </c>
      <c r="R293" s="3">
        <v>0.45891739999999998</v>
      </c>
      <c r="S293" s="3">
        <v>0.45637129999999998</v>
      </c>
      <c r="T293" s="3">
        <v>0.45487109999999997</v>
      </c>
      <c r="U293" s="3">
        <v>0.4542021</v>
      </c>
      <c r="V293" s="3">
        <v>0.4541499</v>
      </c>
      <c r="W293" s="3">
        <v>0.45452629999999999</v>
      </c>
      <c r="X293" s="3">
        <v>0.45524439999999999</v>
      </c>
      <c r="Y293" s="3">
        <v>0.45624120000000001</v>
      </c>
      <c r="Z293" s="3">
        <v>0.45745370000000002</v>
      </c>
      <c r="AA293" s="3">
        <v>0.45881899999999998</v>
      </c>
      <c r="AB293" s="3">
        <v>0.46027410000000002</v>
      </c>
      <c r="AC293" s="3">
        <v>0.46176539999999999</v>
      </c>
      <c r="AD293" s="3">
        <v>0.46328029999999998</v>
      </c>
      <c r="AE293" s="3">
        <v>0.46481749999999999</v>
      </c>
      <c r="AF293" s="3">
        <v>0.46637600000000001</v>
      </c>
      <c r="AG293" s="3">
        <v>0.46795439999999999</v>
      </c>
      <c r="AH293" s="3">
        <v>0.46955150000000001</v>
      </c>
      <c r="AI293" s="3">
        <v>0.47116609999999998</v>
      </c>
      <c r="AJ293" s="3">
        <v>0.47279700000000002</v>
      </c>
      <c r="AK293" s="3">
        <v>0.474443</v>
      </c>
      <c r="AL293" s="3">
        <v>0.47610269999999999</v>
      </c>
      <c r="AM293" s="3">
        <v>0.47777510000000001</v>
      </c>
      <c r="AN293" s="3">
        <v>0.47945880000000002</v>
      </c>
      <c r="AO293" s="3">
        <v>0.48115289999999999</v>
      </c>
      <c r="AP293" s="3">
        <v>0.4828575</v>
      </c>
      <c r="AQ293" s="3">
        <v>0.48457309999999998</v>
      </c>
      <c r="AR293" s="3">
        <v>0.48630010000000001</v>
      </c>
      <c r="AS293" s="3">
        <v>0.4880391</v>
      </c>
      <c r="AT293" s="3">
        <v>0.48979060000000002</v>
      </c>
      <c r="AU293" s="3">
        <v>0.49155500000000002</v>
      </c>
      <c r="AV293" s="3">
        <v>0.49333290000000002</v>
      </c>
      <c r="AW293" s="3">
        <v>0.49512469999999997</v>
      </c>
      <c r="AX293" s="3">
        <v>0.49693100000000001</v>
      </c>
      <c r="AY293" s="3">
        <v>0.49875219999999998</v>
      </c>
      <c r="AZ293" s="3">
        <v>0.50058879999999994</v>
      </c>
      <c r="BA293" s="3">
        <v>0.50244219999999995</v>
      </c>
      <c r="BB293" s="3">
        <v>0.50431709999999996</v>
      </c>
      <c r="BC293" s="3">
        <v>0.50621959999999999</v>
      </c>
      <c r="BD293" s="3">
        <v>0.50815580000000005</v>
      </c>
      <c r="BE293" s="3">
        <v>0.51013160000000002</v>
      </c>
      <c r="BF293" s="3">
        <v>0.51215299999999997</v>
      </c>
      <c r="BG293" s="3">
        <v>0.51422619999999997</v>
      </c>
      <c r="BH293" s="3">
        <v>0.51635710000000001</v>
      </c>
      <c r="BI293" s="3">
        <v>0.51855169999999995</v>
      </c>
      <c r="BJ293" s="3">
        <v>0.5208161</v>
      </c>
      <c r="BK293" s="3">
        <v>0.52315619999999996</v>
      </c>
      <c r="BL293" s="3">
        <v>0.5255782</v>
      </c>
      <c r="BM293" s="3" t="e">
        <v>#N/A</v>
      </c>
      <c r="BN293" s="3" t="e">
        <v>#N/A</v>
      </c>
    </row>
    <row r="294" spans="1:66" x14ac:dyDescent="0.35">
      <c r="A294" s="5">
        <f t="shared" si="4"/>
        <v>43866</v>
      </c>
      <c r="B294" t="s">
        <v>371</v>
      </c>
      <c r="C294" s="2">
        <v>0.75</v>
      </c>
      <c r="D294" s="2">
        <v>0.7107</v>
      </c>
      <c r="E294" s="3">
        <v>0.70883010000000002</v>
      </c>
      <c r="F294" s="3">
        <v>0.68696670000000004</v>
      </c>
      <c r="G294" s="3">
        <v>0.65821180000000001</v>
      </c>
      <c r="H294" s="3">
        <v>0.62747249999999999</v>
      </c>
      <c r="I294" s="3">
        <v>0.59868209999999999</v>
      </c>
      <c r="J294" s="3">
        <v>0.57281389999999999</v>
      </c>
      <c r="K294" s="3">
        <v>0.55047100000000004</v>
      </c>
      <c r="L294" s="3">
        <v>0.53201569999999998</v>
      </c>
      <c r="M294" s="3">
        <v>0.51724099999999995</v>
      </c>
      <c r="N294" s="3">
        <v>0.50573230000000002</v>
      </c>
      <c r="O294" s="3">
        <v>0.49705729999999998</v>
      </c>
      <c r="P294" s="3">
        <v>0.49073460000000002</v>
      </c>
      <c r="Q294" s="3">
        <v>0.48599160000000002</v>
      </c>
      <c r="R294" s="3">
        <v>0.4825063</v>
      </c>
      <c r="S294" s="3">
        <v>0.4801126</v>
      </c>
      <c r="T294" s="3">
        <v>0.47864420000000002</v>
      </c>
      <c r="U294" s="3">
        <v>0.4779352</v>
      </c>
      <c r="V294" s="3">
        <v>0.4778192</v>
      </c>
      <c r="W294" s="3">
        <v>0.47815249999999998</v>
      </c>
      <c r="X294" s="3">
        <v>0.47887610000000003</v>
      </c>
      <c r="Y294" s="3">
        <v>0.47995130000000003</v>
      </c>
      <c r="Z294" s="3">
        <v>0.48133959999999998</v>
      </c>
      <c r="AA294" s="3">
        <v>0.48300209999999999</v>
      </c>
      <c r="AB294" s="3">
        <v>0.4849001</v>
      </c>
      <c r="AC294" s="3">
        <v>0.48699700000000001</v>
      </c>
      <c r="AD294" s="3">
        <v>0.48926720000000001</v>
      </c>
      <c r="AE294" s="3">
        <v>0.49168849999999997</v>
      </c>
      <c r="AF294" s="3">
        <v>0.49423899999999998</v>
      </c>
      <c r="AG294" s="3">
        <v>0.49689650000000002</v>
      </c>
      <c r="AH294" s="3">
        <v>0.49963920000000001</v>
      </c>
      <c r="AI294" s="3">
        <v>0.50244489999999997</v>
      </c>
      <c r="AJ294" s="3">
        <v>0.50529159999999995</v>
      </c>
      <c r="AK294" s="3">
        <v>0.50815739999999998</v>
      </c>
      <c r="AL294" s="3">
        <v>0.51102009999999998</v>
      </c>
      <c r="AM294" s="3">
        <v>0.51385780000000003</v>
      </c>
      <c r="AN294" s="3">
        <v>0.51664840000000001</v>
      </c>
      <c r="AO294" s="3">
        <v>0.51937350000000004</v>
      </c>
      <c r="AP294" s="3">
        <v>0.52203239999999995</v>
      </c>
      <c r="AQ294" s="3">
        <v>0.52462989999999998</v>
      </c>
      <c r="AR294" s="3">
        <v>0.52717049999999999</v>
      </c>
      <c r="AS294" s="3">
        <v>0.52965899999999999</v>
      </c>
      <c r="AT294" s="3">
        <v>0.53210000000000002</v>
      </c>
      <c r="AU294" s="3">
        <v>0.53449829999999998</v>
      </c>
      <c r="AV294" s="3">
        <v>0.53685839999999996</v>
      </c>
      <c r="AW294" s="3">
        <v>0.53918520000000003</v>
      </c>
      <c r="AX294" s="3">
        <v>0.54148320000000005</v>
      </c>
      <c r="AY294" s="3">
        <v>0.54375720000000005</v>
      </c>
      <c r="AZ294" s="3">
        <v>0.54601180000000005</v>
      </c>
      <c r="BA294" s="3">
        <v>0.54825190000000001</v>
      </c>
      <c r="BB294" s="3">
        <v>0.55048299999999994</v>
      </c>
      <c r="BC294" s="3">
        <v>0.55271079999999995</v>
      </c>
      <c r="BD294" s="3">
        <v>0.55494100000000002</v>
      </c>
      <c r="BE294" s="3">
        <v>0.55717930000000004</v>
      </c>
      <c r="BF294" s="3">
        <v>0.55943140000000002</v>
      </c>
      <c r="BG294" s="3">
        <v>0.56170310000000001</v>
      </c>
      <c r="BH294" s="3">
        <v>0.56399999999999995</v>
      </c>
      <c r="BI294" s="3">
        <v>0.56632780000000005</v>
      </c>
      <c r="BJ294" s="3">
        <v>0.56869219999999998</v>
      </c>
      <c r="BK294" s="3">
        <v>0.57109900000000002</v>
      </c>
      <c r="BL294" s="3">
        <v>0.57355389999999995</v>
      </c>
      <c r="BM294" s="3" t="e">
        <v>#N/A</v>
      </c>
      <c r="BN294" s="3" t="e">
        <v>#N/A</v>
      </c>
    </row>
    <row r="295" spans="1:66" x14ac:dyDescent="0.35">
      <c r="A295" s="5">
        <f t="shared" si="4"/>
        <v>43867</v>
      </c>
      <c r="B295" t="s">
        <v>372</v>
      </c>
      <c r="C295" s="2">
        <v>0.75</v>
      </c>
      <c r="D295" s="2">
        <v>0.7107</v>
      </c>
      <c r="E295" s="3">
        <v>0.70959229999999995</v>
      </c>
      <c r="F295" s="3">
        <v>0.68213210000000002</v>
      </c>
      <c r="G295" s="3">
        <v>0.64649100000000004</v>
      </c>
      <c r="H295" s="3">
        <v>0.61087809999999998</v>
      </c>
      <c r="I295" s="3">
        <v>0.58075750000000004</v>
      </c>
      <c r="J295" s="3">
        <v>0.55568200000000001</v>
      </c>
      <c r="K295" s="3">
        <v>0.53480680000000003</v>
      </c>
      <c r="L295" s="3">
        <v>0.51790829999999999</v>
      </c>
      <c r="M295" s="3">
        <v>0.50462240000000003</v>
      </c>
      <c r="N295" s="3">
        <v>0.49448039999999999</v>
      </c>
      <c r="O295" s="3">
        <v>0.48706899999999997</v>
      </c>
      <c r="P295" s="3">
        <v>0.48185539999999999</v>
      </c>
      <c r="Q295" s="3">
        <v>0.4780568</v>
      </c>
      <c r="R295" s="3">
        <v>0.4753156</v>
      </c>
      <c r="S295" s="3">
        <v>0.4734449</v>
      </c>
      <c r="T295" s="3">
        <v>0.47225830000000002</v>
      </c>
      <c r="U295" s="3">
        <v>0.47156910000000002</v>
      </c>
      <c r="V295" s="3">
        <v>0.47119080000000002</v>
      </c>
      <c r="W295" s="3">
        <v>0.4709718</v>
      </c>
      <c r="X295" s="3">
        <v>0.47089409999999998</v>
      </c>
      <c r="Y295" s="3">
        <v>0.47097129999999998</v>
      </c>
      <c r="Z295" s="3">
        <v>0.471217</v>
      </c>
      <c r="AA295" s="3">
        <v>0.47164479999999998</v>
      </c>
      <c r="AB295" s="3">
        <v>0.47226849999999998</v>
      </c>
      <c r="AC295" s="3">
        <v>0.47309780000000001</v>
      </c>
      <c r="AD295" s="3">
        <v>0.47412389999999999</v>
      </c>
      <c r="AE295" s="3">
        <v>0.47533239999999999</v>
      </c>
      <c r="AF295" s="3">
        <v>0.47670869999999999</v>
      </c>
      <c r="AG295" s="3">
        <v>0.47823850000000001</v>
      </c>
      <c r="AH295" s="3">
        <v>0.47990709999999998</v>
      </c>
      <c r="AI295" s="3">
        <v>0.48170030000000003</v>
      </c>
      <c r="AJ295" s="3">
        <v>0.48360340000000002</v>
      </c>
      <c r="AK295" s="3">
        <v>0.48560199999999998</v>
      </c>
      <c r="AL295" s="3">
        <v>0.4876817</v>
      </c>
      <c r="AM295" s="3">
        <v>0.48982799999999999</v>
      </c>
      <c r="AN295" s="3">
        <v>0.49202630000000003</v>
      </c>
      <c r="AO295" s="3">
        <v>0.49426399999999998</v>
      </c>
      <c r="AP295" s="3">
        <v>0.49653580000000003</v>
      </c>
      <c r="AQ295" s="3">
        <v>0.49883860000000002</v>
      </c>
      <c r="AR295" s="3">
        <v>0.50116930000000004</v>
      </c>
      <c r="AS295" s="3">
        <v>0.50352470000000005</v>
      </c>
      <c r="AT295" s="3">
        <v>0.50590179999999996</v>
      </c>
      <c r="AU295" s="3">
        <v>0.50829740000000001</v>
      </c>
      <c r="AV295" s="3">
        <v>0.51070850000000001</v>
      </c>
      <c r="AW295" s="3">
        <v>0.51313169999999997</v>
      </c>
      <c r="AX295" s="3">
        <v>0.51556420000000003</v>
      </c>
      <c r="AY295" s="3">
        <v>0.51800259999999998</v>
      </c>
      <c r="AZ295" s="3">
        <v>0.52044400000000002</v>
      </c>
      <c r="BA295" s="3">
        <v>0.52288639999999997</v>
      </c>
      <c r="BB295" s="3">
        <v>0.52533390000000002</v>
      </c>
      <c r="BC295" s="3">
        <v>0.52779209999999999</v>
      </c>
      <c r="BD295" s="3">
        <v>0.53026640000000003</v>
      </c>
      <c r="BE295" s="3">
        <v>0.53276250000000003</v>
      </c>
      <c r="BF295" s="3">
        <v>0.53528589999999998</v>
      </c>
      <c r="BG295" s="3">
        <v>0.53784209999999999</v>
      </c>
      <c r="BH295" s="3">
        <v>0.5404369</v>
      </c>
      <c r="BI295" s="3">
        <v>0.54307559999999999</v>
      </c>
      <c r="BJ295" s="3">
        <v>0.54576400000000003</v>
      </c>
      <c r="BK295" s="3">
        <v>0.54850739999999998</v>
      </c>
      <c r="BL295" s="3">
        <v>0.55131160000000001</v>
      </c>
      <c r="BM295" s="3" t="e">
        <v>#N/A</v>
      </c>
      <c r="BN295" s="3" t="e">
        <v>#N/A</v>
      </c>
    </row>
    <row r="296" spans="1:66" x14ac:dyDescent="0.35">
      <c r="A296" s="5">
        <f t="shared" si="4"/>
        <v>43868</v>
      </c>
      <c r="B296" t="s">
        <v>373</v>
      </c>
      <c r="C296" s="2">
        <v>0.75</v>
      </c>
      <c r="D296" s="2">
        <v>0.71120000000000005</v>
      </c>
      <c r="E296" s="3">
        <v>0.70363330000000002</v>
      </c>
      <c r="F296" s="3">
        <v>0.67882140000000002</v>
      </c>
      <c r="G296" s="3">
        <v>0.64683979999999996</v>
      </c>
      <c r="H296" s="3">
        <v>0.61454830000000005</v>
      </c>
      <c r="I296" s="3">
        <v>0.58602140000000003</v>
      </c>
      <c r="J296" s="3">
        <v>0.56140429999999997</v>
      </c>
      <c r="K296" s="3">
        <v>0.54054210000000003</v>
      </c>
      <c r="L296" s="3">
        <v>0.52336020000000005</v>
      </c>
      <c r="M296" s="3">
        <v>0.50938309999999998</v>
      </c>
      <c r="N296" s="3">
        <v>0.49823430000000002</v>
      </c>
      <c r="O296" s="3">
        <v>0.48958020000000002</v>
      </c>
      <c r="P296" s="3">
        <v>0.4830468</v>
      </c>
      <c r="Q296" s="3">
        <v>0.47805609999999998</v>
      </c>
      <c r="R296" s="3">
        <v>0.47433150000000002</v>
      </c>
      <c r="S296" s="3">
        <v>0.47171079999999999</v>
      </c>
      <c r="T296" s="3">
        <v>0.47003210000000001</v>
      </c>
      <c r="U296" s="3">
        <v>0.46913300000000002</v>
      </c>
      <c r="V296" s="3">
        <v>0.46885179999999999</v>
      </c>
      <c r="W296" s="3">
        <v>0.46904059999999997</v>
      </c>
      <c r="X296" s="3">
        <v>0.4696188</v>
      </c>
      <c r="Y296" s="3">
        <v>0.47052509999999997</v>
      </c>
      <c r="Z296" s="3">
        <v>0.47169820000000001</v>
      </c>
      <c r="AA296" s="3">
        <v>0.47307690000000002</v>
      </c>
      <c r="AB296" s="3">
        <v>0.47459980000000002</v>
      </c>
      <c r="AC296" s="3">
        <v>0.47621360000000001</v>
      </c>
      <c r="AD296" s="3">
        <v>0.47789959999999998</v>
      </c>
      <c r="AE296" s="3">
        <v>0.47964889999999999</v>
      </c>
      <c r="AF296" s="3">
        <v>0.4814522</v>
      </c>
      <c r="AG296" s="3">
        <v>0.48330079999999997</v>
      </c>
      <c r="AH296" s="3">
        <v>0.48518539999999999</v>
      </c>
      <c r="AI296" s="3">
        <v>0.48709710000000001</v>
      </c>
      <c r="AJ296" s="3">
        <v>0.48902679999999998</v>
      </c>
      <c r="AK296" s="3">
        <v>0.4909656</v>
      </c>
      <c r="AL296" s="3">
        <v>0.49290430000000002</v>
      </c>
      <c r="AM296" s="3">
        <v>0.494834</v>
      </c>
      <c r="AN296" s="3">
        <v>0.49674560000000001</v>
      </c>
      <c r="AO296" s="3">
        <v>0.49863220000000003</v>
      </c>
      <c r="AP296" s="3">
        <v>0.50049650000000001</v>
      </c>
      <c r="AQ296" s="3">
        <v>0.5023434</v>
      </c>
      <c r="AR296" s="3">
        <v>0.50417829999999997</v>
      </c>
      <c r="AS296" s="3">
        <v>0.50600630000000002</v>
      </c>
      <c r="AT296" s="3">
        <v>0.50783239999999996</v>
      </c>
      <c r="AU296" s="3">
        <v>0.50966199999999995</v>
      </c>
      <c r="AV296" s="3">
        <v>0.51150019999999996</v>
      </c>
      <c r="AW296" s="3">
        <v>0.51335200000000003</v>
      </c>
      <c r="AX296" s="3">
        <v>0.51522279999999998</v>
      </c>
      <c r="AY296" s="3">
        <v>0.51711759999999996</v>
      </c>
      <c r="AZ296" s="3">
        <v>0.51904159999999999</v>
      </c>
      <c r="BA296" s="3">
        <v>0.52099969999999995</v>
      </c>
      <c r="BB296" s="3">
        <v>0.52299490000000004</v>
      </c>
      <c r="BC296" s="3">
        <v>0.52503010000000006</v>
      </c>
      <c r="BD296" s="3">
        <v>0.52710809999999997</v>
      </c>
      <c r="BE296" s="3">
        <v>0.52923160000000002</v>
      </c>
      <c r="BF296" s="3">
        <v>0.53140330000000002</v>
      </c>
      <c r="BG296" s="3">
        <v>0.53362609999999999</v>
      </c>
      <c r="BH296" s="3">
        <v>0.53590260000000001</v>
      </c>
      <c r="BI296" s="3">
        <v>0.53823569999999998</v>
      </c>
      <c r="BJ296" s="3">
        <v>0.54062809999999994</v>
      </c>
      <c r="BK296" s="3">
        <v>0.54308259999999997</v>
      </c>
      <c r="BL296" s="3">
        <v>0.54560189999999997</v>
      </c>
      <c r="BM296" s="3" t="e">
        <v>#N/A</v>
      </c>
      <c r="BN296" s="3" t="e">
        <v>#N/A</v>
      </c>
    </row>
    <row r="297" spans="1:66" x14ac:dyDescent="0.35">
      <c r="A297" s="5">
        <f t="shared" si="4"/>
        <v>43871</v>
      </c>
      <c r="B297" t="s">
        <v>374</v>
      </c>
      <c r="C297" s="2">
        <v>0.75</v>
      </c>
      <c r="D297" s="2">
        <v>0.70950000000000002</v>
      </c>
      <c r="E297" s="3">
        <v>0.70406599999999997</v>
      </c>
      <c r="F297" s="3">
        <v>0.67529729999999999</v>
      </c>
      <c r="G297" s="3">
        <v>0.64257160000000002</v>
      </c>
      <c r="H297" s="3">
        <v>0.60999009999999998</v>
      </c>
      <c r="I297" s="3">
        <v>0.58028159999999995</v>
      </c>
      <c r="J297" s="3">
        <v>0.55393740000000002</v>
      </c>
      <c r="K297" s="3">
        <v>0.53124839999999995</v>
      </c>
      <c r="L297" s="3">
        <v>0.51227199999999995</v>
      </c>
      <c r="M297" s="3">
        <v>0.4967144</v>
      </c>
      <c r="N297" s="3">
        <v>0.48410789999999998</v>
      </c>
      <c r="O297" s="3">
        <v>0.47422180000000003</v>
      </c>
      <c r="P297" s="3">
        <v>0.4666517</v>
      </c>
      <c r="Q297" s="3">
        <v>0.4608563</v>
      </c>
      <c r="R297" s="3">
        <v>0.45653549999999998</v>
      </c>
      <c r="S297" s="3">
        <v>0.45346700000000001</v>
      </c>
      <c r="T297" s="3">
        <v>0.45142880000000002</v>
      </c>
      <c r="U297" s="3">
        <v>0.4501986</v>
      </c>
      <c r="V297" s="3">
        <v>0.44955420000000001</v>
      </c>
      <c r="W297" s="3">
        <v>0.44930569999999997</v>
      </c>
      <c r="X297" s="3">
        <v>0.4493859</v>
      </c>
      <c r="Y297" s="3">
        <v>0.44975670000000001</v>
      </c>
      <c r="Z297" s="3">
        <v>0.45038</v>
      </c>
      <c r="AA297" s="3">
        <v>0.4512177</v>
      </c>
      <c r="AB297" s="3">
        <v>0.45223190000000002</v>
      </c>
      <c r="AC297" s="3">
        <v>0.4533877</v>
      </c>
      <c r="AD297" s="3">
        <v>0.45466509999999999</v>
      </c>
      <c r="AE297" s="3">
        <v>0.45604790000000001</v>
      </c>
      <c r="AF297" s="3">
        <v>0.45752029999999999</v>
      </c>
      <c r="AG297" s="3">
        <v>0.45906609999999998</v>
      </c>
      <c r="AH297" s="3">
        <v>0.4606692</v>
      </c>
      <c r="AI297" s="3">
        <v>0.46231369999999999</v>
      </c>
      <c r="AJ297" s="3">
        <v>0.46398349999999999</v>
      </c>
      <c r="AK297" s="3">
        <v>0.46566249999999998</v>
      </c>
      <c r="AL297" s="3">
        <v>0.46733469999999999</v>
      </c>
      <c r="AM297" s="3">
        <v>0.46898410000000001</v>
      </c>
      <c r="AN297" s="3">
        <v>0.47059459999999997</v>
      </c>
      <c r="AO297" s="3">
        <v>0.47215390000000002</v>
      </c>
      <c r="AP297" s="3">
        <v>0.47366589999999997</v>
      </c>
      <c r="AQ297" s="3">
        <v>0.47513929999999999</v>
      </c>
      <c r="AR297" s="3">
        <v>0.47658260000000002</v>
      </c>
      <c r="AS297" s="3">
        <v>0.47800419999999999</v>
      </c>
      <c r="AT297" s="3">
        <v>0.47941279999999997</v>
      </c>
      <c r="AU297" s="3">
        <v>0.48081689999999999</v>
      </c>
      <c r="AV297" s="3">
        <v>0.48222490000000001</v>
      </c>
      <c r="AW297" s="3">
        <v>0.48364560000000001</v>
      </c>
      <c r="AX297" s="3">
        <v>0.4850873</v>
      </c>
      <c r="AY297" s="3">
        <v>0.48655860000000001</v>
      </c>
      <c r="AZ297" s="3">
        <v>0.4880681</v>
      </c>
      <c r="BA297" s="3">
        <v>0.48962359999999999</v>
      </c>
      <c r="BB297" s="3">
        <v>0.49122890000000002</v>
      </c>
      <c r="BC297" s="3">
        <v>0.49288670000000001</v>
      </c>
      <c r="BD297" s="3">
        <v>0.49459959999999997</v>
      </c>
      <c r="BE297" s="3">
        <v>0.49636999999999998</v>
      </c>
      <c r="BF297" s="3">
        <v>0.4982007</v>
      </c>
      <c r="BG297" s="3">
        <v>0.50009409999999999</v>
      </c>
      <c r="BH297" s="3">
        <v>0.50205290000000002</v>
      </c>
      <c r="BI297" s="3">
        <v>0.50407959999999996</v>
      </c>
      <c r="BJ297" s="3">
        <v>0.50617690000000004</v>
      </c>
      <c r="BK297" s="3">
        <v>0.50834729999999995</v>
      </c>
      <c r="BL297" s="3">
        <v>0.51059339999999998</v>
      </c>
      <c r="BM297" s="3" t="e">
        <v>#N/A</v>
      </c>
      <c r="BN297" s="3" t="e">
        <v>#N/A</v>
      </c>
    </row>
    <row r="298" spans="1:66" x14ac:dyDescent="0.35">
      <c r="A298" s="5">
        <f t="shared" si="4"/>
        <v>43872</v>
      </c>
      <c r="B298" t="s">
        <v>375</v>
      </c>
      <c r="C298" s="2">
        <v>0.75</v>
      </c>
      <c r="D298" s="2">
        <v>0.7097</v>
      </c>
      <c r="E298" s="3">
        <v>0.70740700000000001</v>
      </c>
      <c r="F298" s="3">
        <v>0.67807870000000003</v>
      </c>
      <c r="G298" s="3">
        <v>0.64621010000000001</v>
      </c>
      <c r="H298" s="3">
        <v>0.61590990000000001</v>
      </c>
      <c r="I298" s="3">
        <v>0.58921509999999999</v>
      </c>
      <c r="J298" s="3">
        <v>0.56569380000000002</v>
      </c>
      <c r="K298" s="3">
        <v>0.54510550000000002</v>
      </c>
      <c r="L298" s="3">
        <v>0.5275396</v>
      </c>
      <c r="M298" s="3">
        <v>0.51300460000000003</v>
      </c>
      <c r="N298" s="3">
        <v>0.50128039999999996</v>
      </c>
      <c r="O298" s="3">
        <v>0.49220330000000001</v>
      </c>
      <c r="P298" s="3">
        <v>0.48539569999999999</v>
      </c>
      <c r="Q298" s="3">
        <v>0.48022150000000002</v>
      </c>
      <c r="R298" s="3">
        <v>0.476356</v>
      </c>
      <c r="S298" s="3">
        <v>0.473582</v>
      </c>
      <c r="T298" s="3">
        <v>0.4716823</v>
      </c>
      <c r="U298" s="3">
        <v>0.47043950000000001</v>
      </c>
      <c r="V298" s="3">
        <v>0.46963650000000001</v>
      </c>
      <c r="W298" s="3">
        <v>0.46909119999999999</v>
      </c>
      <c r="X298" s="3">
        <v>0.4687558</v>
      </c>
      <c r="Y298" s="3">
        <v>0.46861429999999998</v>
      </c>
      <c r="Z298" s="3">
        <v>0.46865069999999998</v>
      </c>
      <c r="AA298" s="3">
        <v>0.46884920000000002</v>
      </c>
      <c r="AB298" s="3">
        <v>0.46919359999999999</v>
      </c>
      <c r="AC298" s="3">
        <v>0.46966920000000001</v>
      </c>
      <c r="AD298" s="3">
        <v>0.4702654</v>
      </c>
      <c r="AE298" s="3">
        <v>0.47097299999999997</v>
      </c>
      <c r="AF298" s="3">
        <v>0.4717828</v>
      </c>
      <c r="AG298" s="3">
        <v>0.47268549999999998</v>
      </c>
      <c r="AH298" s="3">
        <v>0.47367199999999998</v>
      </c>
      <c r="AI298" s="3">
        <v>0.47473290000000001</v>
      </c>
      <c r="AJ298" s="3">
        <v>0.47585899999999998</v>
      </c>
      <c r="AK298" s="3">
        <v>0.4770412</v>
      </c>
      <c r="AL298" s="3">
        <v>0.47827009999999998</v>
      </c>
      <c r="AM298" s="3">
        <v>0.47953659999999998</v>
      </c>
      <c r="AN298" s="3">
        <v>0.48083140000000002</v>
      </c>
      <c r="AO298" s="3">
        <v>0.48214659999999998</v>
      </c>
      <c r="AP298" s="3">
        <v>0.48348140000000001</v>
      </c>
      <c r="AQ298" s="3">
        <v>0.48483710000000002</v>
      </c>
      <c r="AR298" s="3">
        <v>0.48621540000000002</v>
      </c>
      <c r="AS298" s="3">
        <v>0.48761779999999999</v>
      </c>
      <c r="AT298" s="3">
        <v>0.48904560000000002</v>
      </c>
      <c r="AU298" s="3">
        <v>0.49050060000000001</v>
      </c>
      <c r="AV298" s="3">
        <v>0.49198399999999998</v>
      </c>
      <c r="AW298" s="3">
        <v>0.49349749999999998</v>
      </c>
      <c r="AX298" s="3">
        <v>0.4950426</v>
      </c>
      <c r="AY298" s="3">
        <v>0.49662070000000003</v>
      </c>
      <c r="AZ298" s="3">
        <v>0.49823329999999999</v>
      </c>
      <c r="BA298" s="3">
        <v>0.4998822</v>
      </c>
      <c r="BB298" s="3">
        <v>0.50156979999999995</v>
      </c>
      <c r="BC298" s="3">
        <v>0.50329880000000005</v>
      </c>
      <c r="BD298" s="3">
        <v>0.50507199999999997</v>
      </c>
      <c r="BE298" s="3">
        <v>0.50689209999999996</v>
      </c>
      <c r="BF298" s="3">
        <v>0.50876180000000004</v>
      </c>
      <c r="BG298" s="3">
        <v>0.51068389999999997</v>
      </c>
      <c r="BH298" s="3">
        <v>0.51266120000000004</v>
      </c>
      <c r="BI298" s="3">
        <v>0.51469620000000005</v>
      </c>
      <c r="BJ298" s="3">
        <v>0.51679189999999997</v>
      </c>
      <c r="BK298" s="3">
        <v>0.51895089999999999</v>
      </c>
      <c r="BL298" s="3">
        <v>0.52117590000000003</v>
      </c>
      <c r="BM298" s="3" t="e">
        <v>#N/A</v>
      </c>
      <c r="BN298" s="3" t="e">
        <v>#N/A</v>
      </c>
    </row>
    <row r="299" spans="1:66" x14ac:dyDescent="0.35">
      <c r="A299" s="5">
        <f t="shared" si="4"/>
        <v>43873</v>
      </c>
      <c r="B299" t="s">
        <v>376</v>
      </c>
      <c r="C299" s="2">
        <v>0.75</v>
      </c>
      <c r="D299" s="2">
        <v>0.70979999999999999</v>
      </c>
      <c r="E299" s="3">
        <v>0.70491579999999998</v>
      </c>
      <c r="F299" s="3">
        <v>0.67690930000000005</v>
      </c>
      <c r="G299" s="3">
        <v>0.64562529999999996</v>
      </c>
      <c r="H299" s="3">
        <v>0.61661299999999997</v>
      </c>
      <c r="I299" s="3">
        <v>0.5921923</v>
      </c>
      <c r="J299" s="3">
        <v>0.57169409999999998</v>
      </c>
      <c r="K299" s="3">
        <v>0.55463249999999997</v>
      </c>
      <c r="L299" s="3">
        <v>0.54076650000000004</v>
      </c>
      <c r="M299" s="3">
        <v>0.52971690000000005</v>
      </c>
      <c r="N299" s="3">
        <v>0.52110460000000003</v>
      </c>
      <c r="O299" s="3">
        <v>0.51456729999999995</v>
      </c>
      <c r="P299" s="3">
        <v>0.50969940000000002</v>
      </c>
      <c r="Q299" s="3">
        <v>0.50580579999999997</v>
      </c>
      <c r="R299" s="3">
        <v>0.50265009999999999</v>
      </c>
      <c r="S299" s="3">
        <v>0.50015410000000005</v>
      </c>
      <c r="T299" s="3">
        <v>0.49823980000000001</v>
      </c>
      <c r="U299" s="3">
        <v>0.49682900000000002</v>
      </c>
      <c r="V299" s="3">
        <v>0.4958436</v>
      </c>
      <c r="W299" s="3">
        <v>0.49521399999999999</v>
      </c>
      <c r="X299" s="3">
        <v>0.49490319999999999</v>
      </c>
      <c r="Y299" s="3">
        <v>0.49488219999999999</v>
      </c>
      <c r="Z299" s="3">
        <v>0.4951217</v>
      </c>
      <c r="AA299" s="3">
        <v>0.49559249999999999</v>
      </c>
      <c r="AB299" s="3">
        <v>0.49626550000000003</v>
      </c>
      <c r="AC299" s="3">
        <v>0.49711309999999997</v>
      </c>
      <c r="AD299" s="3">
        <v>0.49811610000000001</v>
      </c>
      <c r="AE299" s="3">
        <v>0.49925789999999998</v>
      </c>
      <c r="AF299" s="3">
        <v>0.50052229999999998</v>
      </c>
      <c r="AG299" s="3">
        <v>0.50189289999999998</v>
      </c>
      <c r="AH299" s="3">
        <v>0.5033531</v>
      </c>
      <c r="AI299" s="3">
        <v>0.50488670000000002</v>
      </c>
      <c r="AJ299" s="3">
        <v>0.50647710000000001</v>
      </c>
      <c r="AK299" s="3">
        <v>0.50810809999999995</v>
      </c>
      <c r="AL299" s="3">
        <v>0.50976310000000002</v>
      </c>
      <c r="AM299" s="3">
        <v>0.51142580000000004</v>
      </c>
      <c r="AN299" s="3">
        <v>0.51307979999999997</v>
      </c>
      <c r="AO299" s="3">
        <v>0.51471160000000005</v>
      </c>
      <c r="AP299" s="3">
        <v>0.51632230000000001</v>
      </c>
      <c r="AQ299" s="3">
        <v>0.51791750000000003</v>
      </c>
      <c r="AR299" s="3">
        <v>0.51950269999999998</v>
      </c>
      <c r="AS299" s="3">
        <v>0.52108330000000003</v>
      </c>
      <c r="AT299" s="3">
        <v>0.52266489999999999</v>
      </c>
      <c r="AU299" s="3">
        <v>0.52425299999999997</v>
      </c>
      <c r="AV299" s="3">
        <v>0.52585309999999996</v>
      </c>
      <c r="AW299" s="3">
        <v>0.52747080000000002</v>
      </c>
      <c r="AX299" s="3">
        <v>0.52911149999999996</v>
      </c>
      <c r="AY299" s="3">
        <v>0.53078080000000005</v>
      </c>
      <c r="AZ299" s="3">
        <v>0.53248410000000002</v>
      </c>
      <c r="BA299" s="3">
        <v>0.53422639999999999</v>
      </c>
      <c r="BB299" s="3">
        <v>0.53601019999999999</v>
      </c>
      <c r="BC299" s="3">
        <v>0.53783700000000001</v>
      </c>
      <c r="BD299" s="3">
        <v>0.53970859999999998</v>
      </c>
      <c r="BE299" s="3">
        <v>0.54162659999999996</v>
      </c>
      <c r="BF299" s="3">
        <v>0.54359279999999999</v>
      </c>
      <c r="BG299" s="3">
        <v>0.54560869999999995</v>
      </c>
      <c r="BH299" s="3">
        <v>0.5476761</v>
      </c>
      <c r="BI299" s="3">
        <v>0.54979670000000003</v>
      </c>
      <c r="BJ299" s="3">
        <v>0.55197220000000002</v>
      </c>
      <c r="BK299" s="3">
        <v>0.55420420000000004</v>
      </c>
      <c r="BL299" s="3">
        <v>0.55649439999999994</v>
      </c>
      <c r="BM299" s="3" t="e">
        <v>#N/A</v>
      </c>
      <c r="BN299" s="3" t="e">
        <v>#N/A</v>
      </c>
    </row>
    <row r="300" spans="1:66" x14ac:dyDescent="0.35">
      <c r="A300" s="5">
        <f t="shared" si="4"/>
        <v>43874</v>
      </c>
      <c r="B300" t="s">
        <v>377</v>
      </c>
      <c r="C300" s="2">
        <v>0.75</v>
      </c>
      <c r="D300" s="2">
        <v>0.71060000000000001</v>
      </c>
      <c r="E300" s="3">
        <v>0.70510470000000003</v>
      </c>
      <c r="F300" s="3">
        <v>0.68318559999999995</v>
      </c>
      <c r="G300" s="3">
        <v>0.65425420000000001</v>
      </c>
      <c r="H300" s="3">
        <v>0.62525010000000003</v>
      </c>
      <c r="I300" s="3">
        <v>0.59998450000000003</v>
      </c>
      <c r="J300" s="3">
        <v>0.57854700000000003</v>
      </c>
      <c r="K300" s="3">
        <v>0.56067160000000005</v>
      </c>
      <c r="L300" s="3">
        <v>0.54613900000000004</v>
      </c>
      <c r="M300" s="3">
        <v>0.53455220000000003</v>
      </c>
      <c r="N300" s="3">
        <v>0.52551970000000003</v>
      </c>
      <c r="O300" s="3">
        <v>0.51874889999999996</v>
      </c>
      <c r="P300" s="3">
        <v>0.51386750000000003</v>
      </c>
      <c r="Q300" s="3">
        <v>0.51026640000000001</v>
      </c>
      <c r="R300" s="3">
        <v>0.50766270000000002</v>
      </c>
      <c r="S300" s="3">
        <v>0.50590979999999997</v>
      </c>
      <c r="T300" s="3">
        <v>0.504861</v>
      </c>
      <c r="U300" s="3">
        <v>0.50436970000000003</v>
      </c>
      <c r="V300" s="3">
        <v>0.50428910000000005</v>
      </c>
      <c r="W300" s="3">
        <v>0.50449480000000002</v>
      </c>
      <c r="X300" s="3">
        <v>0.50494720000000004</v>
      </c>
      <c r="Y300" s="3">
        <v>0.50562660000000004</v>
      </c>
      <c r="Z300" s="3">
        <v>0.50651330000000006</v>
      </c>
      <c r="AA300" s="3">
        <v>0.50758789999999998</v>
      </c>
      <c r="AB300" s="3">
        <v>0.50883060000000002</v>
      </c>
      <c r="AC300" s="3">
        <v>0.51022259999999997</v>
      </c>
      <c r="AD300" s="3">
        <v>0.51174869999999995</v>
      </c>
      <c r="AE300" s="3">
        <v>0.51339449999999998</v>
      </c>
      <c r="AF300" s="3">
        <v>0.51514590000000005</v>
      </c>
      <c r="AG300" s="3">
        <v>0.51698860000000002</v>
      </c>
      <c r="AH300" s="3">
        <v>0.51890840000000005</v>
      </c>
      <c r="AI300" s="3">
        <v>0.5208912</v>
      </c>
      <c r="AJ300" s="3">
        <v>0.52292260000000002</v>
      </c>
      <c r="AK300" s="3">
        <v>0.52498849999999997</v>
      </c>
      <c r="AL300" s="3">
        <v>0.52707470000000001</v>
      </c>
      <c r="AM300" s="3">
        <v>0.5291669</v>
      </c>
      <c r="AN300" s="3">
        <v>0.53125089999999997</v>
      </c>
      <c r="AO300" s="3">
        <v>0.53331499999999998</v>
      </c>
      <c r="AP300" s="3">
        <v>0.53535880000000002</v>
      </c>
      <c r="AQ300" s="3">
        <v>0.5373848</v>
      </c>
      <c r="AR300" s="3">
        <v>0.53939550000000003</v>
      </c>
      <c r="AS300" s="3">
        <v>0.54139360000000003</v>
      </c>
      <c r="AT300" s="3">
        <v>0.54338169999999997</v>
      </c>
      <c r="AU300" s="3">
        <v>0.54536220000000002</v>
      </c>
      <c r="AV300" s="3">
        <v>0.54733790000000004</v>
      </c>
      <c r="AW300" s="3">
        <v>0.54931129999999995</v>
      </c>
      <c r="AX300" s="3">
        <v>0.55128489999999997</v>
      </c>
      <c r="AY300" s="3">
        <v>0.55326140000000001</v>
      </c>
      <c r="AZ300" s="3">
        <v>0.5552433</v>
      </c>
      <c r="BA300" s="3">
        <v>0.55723350000000005</v>
      </c>
      <c r="BB300" s="3">
        <v>0.55923639999999997</v>
      </c>
      <c r="BC300" s="3">
        <v>0.5612568</v>
      </c>
      <c r="BD300" s="3">
        <v>0.56329929999999995</v>
      </c>
      <c r="BE300" s="3">
        <v>0.5653686</v>
      </c>
      <c r="BF300" s="3">
        <v>0.56746960000000002</v>
      </c>
      <c r="BG300" s="3">
        <v>0.56960699999999997</v>
      </c>
      <c r="BH300" s="3">
        <v>0.5717854</v>
      </c>
      <c r="BI300" s="3">
        <v>0.57400969999999996</v>
      </c>
      <c r="BJ300" s="3">
        <v>0.57628460000000004</v>
      </c>
      <c r="BK300" s="3">
        <v>0.57861479999999998</v>
      </c>
      <c r="BL300" s="3">
        <v>0.58100499999999999</v>
      </c>
      <c r="BM300" s="3" t="e">
        <v>#N/A</v>
      </c>
      <c r="BN300" s="3" t="e">
        <v>#N/A</v>
      </c>
    </row>
    <row r="301" spans="1:66" x14ac:dyDescent="0.35">
      <c r="A301" s="5">
        <f t="shared" si="4"/>
        <v>43875</v>
      </c>
      <c r="B301" t="s">
        <v>378</v>
      </c>
      <c r="C301" s="2">
        <v>0.75</v>
      </c>
      <c r="D301" s="2">
        <v>0.71030000000000004</v>
      </c>
      <c r="E301" s="3">
        <v>0.70621520000000004</v>
      </c>
      <c r="F301" s="3">
        <v>0.68316069999999995</v>
      </c>
      <c r="G301" s="3">
        <v>0.65480609999999995</v>
      </c>
      <c r="H301" s="3">
        <v>0.62720100000000001</v>
      </c>
      <c r="I301" s="3">
        <v>0.60295589999999999</v>
      </c>
      <c r="J301" s="3">
        <v>0.58172460000000004</v>
      </c>
      <c r="K301" s="3">
        <v>0.56338869999999996</v>
      </c>
      <c r="L301" s="3">
        <v>0.54814359999999995</v>
      </c>
      <c r="M301" s="3">
        <v>0.53589149999999997</v>
      </c>
      <c r="N301" s="3">
        <v>0.52641260000000001</v>
      </c>
      <c r="O301" s="3">
        <v>0.51933580000000001</v>
      </c>
      <c r="P301" s="3">
        <v>0.51420129999999997</v>
      </c>
      <c r="Q301" s="3">
        <v>0.51028850000000003</v>
      </c>
      <c r="R301" s="3">
        <v>0.50731660000000001</v>
      </c>
      <c r="S301" s="3">
        <v>0.50516919999999998</v>
      </c>
      <c r="T301" s="3">
        <v>0.50372989999999995</v>
      </c>
      <c r="U301" s="3">
        <v>0.50288250000000001</v>
      </c>
      <c r="V301" s="3">
        <v>0.50251049999999997</v>
      </c>
      <c r="W301" s="3">
        <v>0.50250790000000001</v>
      </c>
      <c r="X301" s="3">
        <v>0.50281659999999995</v>
      </c>
      <c r="Y301" s="3">
        <v>0.50339239999999996</v>
      </c>
      <c r="Z301" s="3">
        <v>0.5041909</v>
      </c>
      <c r="AA301" s="3">
        <v>0.50516799999999995</v>
      </c>
      <c r="AB301" s="3">
        <v>0.50627940000000005</v>
      </c>
      <c r="AC301" s="3">
        <v>0.50748599999999999</v>
      </c>
      <c r="AD301" s="3">
        <v>0.50877170000000005</v>
      </c>
      <c r="AE301" s="3">
        <v>0.51012659999999999</v>
      </c>
      <c r="AF301" s="3">
        <v>0.51154100000000002</v>
      </c>
      <c r="AG301" s="3">
        <v>0.51300509999999999</v>
      </c>
      <c r="AH301" s="3">
        <v>0.51450899999999999</v>
      </c>
      <c r="AI301" s="3">
        <v>0.51604289999999997</v>
      </c>
      <c r="AJ301" s="3">
        <v>0.51759710000000003</v>
      </c>
      <c r="AK301" s="3">
        <v>0.51916169999999995</v>
      </c>
      <c r="AL301" s="3">
        <v>0.52072680000000005</v>
      </c>
      <c r="AM301" s="3">
        <v>0.52228280000000005</v>
      </c>
      <c r="AN301" s="3">
        <v>0.5238197</v>
      </c>
      <c r="AO301" s="3">
        <v>0.52533019999999997</v>
      </c>
      <c r="AP301" s="3">
        <v>0.5268176</v>
      </c>
      <c r="AQ301" s="3">
        <v>0.52828830000000004</v>
      </c>
      <c r="AR301" s="3">
        <v>0.52974860000000001</v>
      </c>
      <c r="AS301" s="3">
        <v>0.53120469999999997</v>
      </c>
      <c r="AT301" s="3">
        <v>0.532663</v>
      </c>
      <c r="AU301" s="3">
        <v>0.53412979999999999</v>
      </c>
      <c r="AV301" s="3">
        <v>0.53561139999999996</v>
      </c>
      <c r="AW301" s="3">
        <v>0.53711419999999999</v>
      </c>
      <c r="AX301" s="3">
        <v>0.53864440000000002</v>
      </c>
      <c r="AY301" s="3">
        <v>0.54020829999999997</v>
      </c>
      <c r="AZ301" s="3">
        <v>0.54181219999999997</v>
      </c>
      <c r="BA301" s="3">
        <v>0.54346190000000005</v>
      </c>
      <c r="BB301" s="3">
        <v>0.54516039999999999</v>
      </c>
      <c r="BC301" s="3">
        <v>0.54690970000000005</v>
      </c>
      <c r="BD301" s="3">
        <v>0.54871210000000004</v>
      </c>
      <c r="BE301" s="3">
        <v>0.55056989999999995</v>
      </c>
      <c r="BF301" s="3">
        <v>0.55248520000000001</v>
      </c>
      <c r="BG301" s="3">
        <v>0.55446019999999996</v>
      </c>
      <c r="BH301" s="3">
        <v>0.55649720000000003</v>
      </c>
      <c r="BI301" s="3">
        <v>0.55859840000000005</v>
      </c>
      <c r="BJ301" s="3">
        <v>0.56076590000000004</v>
      </c>
      <c r="BK301" s="3">
        <v>0.56300190000000006</v>
      </c>
      <c r="BL301" s="3">
        <v>0.56530879999999994</v>
      </c>
      <c r="BM301" s="3" t="e">
        <v>#N/A</v>
      </c>
      <c r="BN301" s="3" t="e">
        <v>#N/A</v>
      </c>
    </row>
    <row r="302" spans="1:66" x14ac:dyDescent="0.35">
      <c r="A302" s="5">
        <f t="shared" si="4"/>
        <v>43878</v>
      </c>
      <c r="B302" t="s">
        <v>379</v>
      </c>
      <c r="C302" s="2">
        <v>0.75</v>
      </c>
      <c r="D302" s="2">
        <v>0.70920000000000005</v>
      </c>
      <c r="E302" s="3">
        <v>0.70560929999999999</v>
      </c>
      <c r="F302" s="3">
        <v>0.68523080000000003</v>
      </c>
      <c r="G302" s="3">
        <v>0.65726879999999999</v>
      </c>
      <c r="H302" s="3">
        <v>0.63014099999999995</v>
      </c>
      <c r="I302" s="3">
        <v>0.60678180000000004</v>
      </c>
      <c r="J302" s="3">
        <v>0.58687529999999999</v>
      </c>
      <c r="K302" s="3">
        <v>0.57005879999999998</v>
      </c>
      <c r="L302" s="3">
        <v>0.55622519999999998</v>
      </c>
      <c r="M302" s="3">
        <v>0.54525999999999997</v>
      </c>
      <c r="N302" s="3">
        <v>0.5368385</v>
      </c>
      <c r="O302" s="3">
        <v>0.5307442</v>
      </c>
      <c r="P302" s="3">
        <v>0.5265727</v>
      </c>
      <c r="Q302" s="3">
        <v>0.52375879999999997</v>
      </c>
      <c r="R302" s="3">
        <v>0.52200650000000004</v>
      </c>
      <c r="S302" s="3">
        <v>0.52110800000000002</v>
      </c>
      <c r="T302" s="3">
        <v>0.52085599999999999</v>
      </c>
      <c r="U302" s="3">
        <v>0.52104260000000002</v>
      </c>
      <c r="V302" s="3">
        <v>0.52146060000000005</v>
      </c>
      <c r="W302" s="3">
        <v>0.52193869999999998</v>
      </c>
      <c r="X302" s="3">
        <v>0.52244570000000001</v>
      </c>
      <c r="Y302" s="3">
        <v>0.52298319999999998</v>
      </c>
      <c r="Z302" s="3">
        <v>0.52355280000000004</v>
      </c>
      <c r="AA302" s="3">
        <v>0.52415639999999997</v>
      </c>
      <c r="AB302" s="3">
        <v>0.52479560000000003</v>
      </c>
      <c r="AC302" s="3">
        <v>0.5254721</v>
      </c>
      <c r="AD302" s="3">
        <v>0.52618659999999995</v>
      </c>
      <c r="AE302" s="3">
        <v>0.52693990000000002</v>
      </c>
      <c r="AF302" s="3">
        <v>0.52773289999999995</v>
      </c>
      <c r="AG302" s="3">
        <v>0.52856610000000004</v>
      </c>
      <c r="AH302" s="3">
        <v>0.52944029999999997</v>
      </c>
      <c r="AI302" s="3">
        <v>0.5303563</v>
      </c>
      <c r="AJ302" s="3">
        <v>0.53131479999999998</v>
      </c>
      <c r="AK302" s="3">
        <v>0.53231660000000003</v>
      </c>
      <c r="AL302" s="3">
        <v>0.53336220000000001</v>
      </c>
      <c r="AM302" s="3">
        <v>0.53445260000000006</v>
      </c>
      <c r="AN302" s="3">
        <v>0.53558830000000002</v>
      </c>
      <c r="AO302" s="3">
        <v>0.53677030000000003</v>
      </c>
      <c r="AP302" s="3">
        <v>0.53799940000000002</v>
      </c>
      <c r="AQ302" s="3">
        <v>0.53927659999999999</v>
      </c>
      <c r="AR302" s="3">
        <v>0.5406031</v>
      </c>
      <c r="AS302" s="3">
        <v>0.54197969999999995</v>
      </c>
      <c r="AT302" s="3">
        <v>0.54340759999999999</v>
      </c>
      <c r="AU302" s="3">
        <v>0.54488769999999997</v>
      </c>
      <c r="AV302" s="3">
        <v>0.54642100000000005</v>
      </c>
      <c r="AW302" s="3">
        <v>0.54800870000000002</v>
      </c>
      <c r="AX302" s="3">
        <v>0.54965160000000002</v>
      </c>
      <c r="AY302" s="3">
        <v>0.55135080000000003</v>
      </c>
      <c r="AZ302" s="3">
        <v>0.55310740000000003</v>
      </c>
      <c r="BA302" s="3">
        <v>0.55492229999999998</v>
      </c>
      <c r="BB302" s="3">
        <v>0.55679679999999998</v>
      </c>
      <c r="BC302" s="3">
        <v>0.55873220000000001</v>
      </c>
      <c r="BD302" s="3">
        <v>0.5607297</v>
      </c>
      <c r="BE302" s="3">
        <v>0.56279060000000003</v>
      </c>
      <c r="BF302" s="3">
        <v>0.56491610000000003</v>
      </c>
      <c r="BG302" s="3">
        <v>0.56710760000000004</v>
      </c>
      <c r="BH302" s="3">
        <v>0.56936620000000004</v>
      </c>
      <c r="BI302" s="3">
        <v>0.57169329999999996</v>
      </c>
      <c r="BJ302" s="3">
        <v>0.57409019999999999</v>
      </c>
      <c r="BK302" s="3">
        <v>0.57655800000000001</v>
      </c>
      <c r="BL302" s="3">
        <v>0.57909809999999995</v>
      </c>
      <c r="BM302" s="3" t="e">
        <v>#N/A</v>
      </c>
      <c r="BN302" s="3" t="e">
        <v>#N/A</v>
      </c>
    </row>
    <row r="303" spans="1:66" x14ac:dyDescent="0.35">
      <c r="A303" s="5">
        <f t="shared" si="4"/>
        <v>43879</v>
      </c>
      <c r="B303" t="s">
        <v>380</v>
      </c>
      <c r="C303" s="2">
        <v>0.75</v>
      </c>
      <c r="D303" s="2">
        <v>0.70950000000000002</v>
      </c>
      <c r="E303" s="3">
        <v>0.70722379999999996</v>
      </c>
      <c r="F303" s="3">
        <v>0.68027610000000005</v>
      </c>
      <c r="G303" s="3">
        <v>0.65163020000000005</v>
      </c>
      <c r="H303" s="3">
        <v>0.62419749999999996</v>
      </c>
      <c r="I303" s="3">
        <v>0.59937879999999999</v>
      </c>
      <c r="J303" s="3">
        <v>0.57754760000000005</v>
      </c>
      <c r="K303" s="3">
        <v>0.55929709999999999</v>
      </c>
      <c r="L303" s="3">
        <v>0.54477149999999996</v>
      </c>
      <c r="M303" s="3">
        <v>0.53356460000000006</v>
      </c>
      <c r="N303" s="3">
        <v>0.52492620000000001</v>
      </c>
      <c r="O303" s="3">
        <v>0.51828839999999998</v>
      </c>
      <c r="P303" s="3">
        <v>0.51310820000000001</v>
      </c>
      <c r="Q303" s="3">
        <v>0.50880420000000004</v>
      </c>
      <c r="R303" s="3">
        <v>0.50519959999999997</v>
      </c>
      <c r="S303" s="3">
        <v>0.5022392</v>
      </c>
      <c r="T303" s="3">
        <v>0.49986740000000002</v>
      </c>
      <c r="U303" s="3">
        <v>0.498029</v>
      </c>
      <c r="V303" s="3">
        <v>0.49666860000000002</v>
      </c>
      <c r="W303" s="3">
        <v>0.49573339999999999</v>
      </c>
      <c r="X303" s="3">
        <v>0.49518129999999999</v>
      </c>
      <c r="Y303" s="3">
        <v>0.49497229999999998</v>
      </c>
      <c r="Z303" s="3">
        <v>0.49506670000000003</v>
      </c>
      <c r="AA303" s="3">
        <v>0.49542459999999999</v>
      </c>
      <c r="AB303" s="3">
        <v>0.49600610000000001</v>
      </c>
      <c r="AC303" s="3">
        <v>0.49677480000000002</v>
      </c>
      <c r="AD303" s="3">
        <v>0.49770779999999998</v>
      </c>
      <c r="AE303" s="3">
        <v>0.49878650000000002</v>
      </c>
      <c r="AF303" s="3">
        <v>0.49999209999999999</v>
      </c>
      <c r="AG303" s="3">
        <v>0.50130600000000003</v>
      </c>
      <c r="AH303" s="3">
        <v>0.50270919999999997</v>
      </c>
      <c r="AI303" s="3">
        <v>0.50418320000000005</v>
      </c>
      <c r="AJ303" s="3">
        <v>0.50570910000000002</v>
      </c>
      <c r="AK303" s="3">
        <v>0.50726819999999995</v>
      </c>
      <c r="AL303" s="3">
        <v>0.50884169999999995</v>
      </c>
      <c r="AM303" s="3">
        <v>0.51041099999999995</v>
      </c>
      <c r="AN303" s="3">
        <v>0.5119572</v>
      </c>
      <c r="AO303" s="3">
        <v>0.5134649</v>
      </c>
      <c r="AP303" s="3">
        <v>0.51493679999999997</v>
      </c>
      <c r="AQ303" s="3">
        <v>0.51638110000000004</v>
      </c>
      <c r="AR303" s="3">
        <v>0.51780660000000001</v>
      </c>
      <c r="AS303" s="3">
        <v>0.51922159999999995</v>
      </c>
      <c r="AT303" s="3">
        <v>0.52063479999999995</v>
      </c>
      <c r="AU303" s="3">
        <v>0.52205460000000004</v>
      </c>
      <c r="AV303" s="3">
        <v>0.52348950000000005</v>
      </c>
      <c r="AW303" s="3">
        <v>0.52494810000000003</v>
      </c>
      <c r="AX303" s="3">
        <v>0.52643879999999998</v>
      </c>
      <c r="AY303" s="3">
        <v>0.5279703</v>
      </c>
      <c r="AZ303" s="3">
        <v>0.52955099999999999</v>
      </c>
      <c r="BA303" s="3">
        <v>0.5311882</v>
      </c>
      <c r="BB303" s="3">
        <v>0.53288409999999997</v>
      </c>
      <c r="BC303" s="3">
        <v>0.53463890000000003</v>
      </c>
      <c r="BD303" s="3">
        <v>0.53645310000000002</v>
      </c>
      <c r="BE303" s="3">
        <v>0.53832679999999999</v>
      </c>
      <c r="BF303" s="3">
        <v>0.54026050000000003</v>
      </c>
      <c r="BG303" s="3">
        <v>0.54225460000000003</v>
      </c>
      <c r="BH303" s="3">
        <v>0.54430920000000005</v>
      </c>
      <c r="BI303" s="3">
        <v>0.54642489999999999</v>
      </c>
      <c r="BJ303" s="3">
        <v>0.54860189999999998</v>
      </c>
      <c r="BK303" s="3">
        <v>0.55084060000000001</v>
      </c>
      <c r="BL303" s="3">
        <v>0.55314129999999995</v>
      </c>
      <c r="BM303" s="3" t="e">
        <v>#N/A</v>
      </c>
      <c r="BN303" s="3" t="e">
        <v>#N/A</v>
      </c>
    </row>
    <row r="304" spans="1:66" x14ac:dyDescent="0.35">
      <c r="A304" s="5">
        <f t="shared" si="4"/>
        <v>43880</v>
      </c>
      <c r="B304" t="s">
        <v>381</v>
      </c>
      <c r="C304" s="2">
        <v>0.75</v>
      </c>
      <c r="D304" s="2">
        <v>0.71020000000000005</v>
      </c>
      <c r="E304" s="3">
        <v>0.7065167</v>
      </c>
      <c r="F304" s="3">
        <v>0.6817069</v>
      </c>
      <c r="G304" s="3">
        <v>0.65435149999999997</v>
      </c>
      <c r="H304" s="3">
        <v>0.626973</v>
      </c>
      <c r="I304" s="3">
        <v>0.60145720000000003</v>
      </c>
      <c r="J304" s="3">
        <v>0.57899080000000003</v>
      </c>
      <c r="K304" s="3">
        <v>0.56044629999999995</v>
      </c>
      <c r="L304" s="3">
        <v>0.5456917</v>
      </c>
      <c r="M304" s="3">
        <v>0.53409260000000003</v>
      </c>
      <c r="N304" s="3">
        <v>0.52513900000000002</v>
      </c>
      <c r="O304" s="3">
        <v>0.51839820000000003</v>
      </c>
      <c r="P304" s="3">
        <v>0.51343470000000002</v>
      </c>
      <c r="Q304" s="3">
        <v>0.50956570000000001</v>
      </c>
      <c r="R304" s="3">
        <v>0.50652730000000001</v>
      </c>
      <c r="S304" s="3">
        <v>0.50419939999999996</v>
      </c>
      <c r="T304" s="3">
        <v>0.50246190000000002</v>
      </c>
      <c r="U304" s="3">
        <v>0.50119469999999999</v>
      </c>
      <c r="V304" s="3">
        <v>0.50027790000000005</v>
      </c>
      <c r="W304" s="3">
        <v>0.49960719999999997</v>
      </c>
      <c r="X304" s="3">
        <v>0.499139</v>
      </c>
      <c r="Y304" s="3">
        <v>0.49884420000000002</v>
      </c>
      <c r="Z304" s="3">
        <v>0.49869380000000002</v>
      </c>
      <c r="AA304" s="3">
        <v>0.4986585</v>
      </c>
      <c r="AB304" s="3">
        <v>0.49870910000000002</v>
      </c>
      <c r="AC304" s="3">
        <v>0.49881999999999999</v>
      </c>
      <c r="AD304" s="3">
        <v>0.4989827</v>
      </c>
      <c r="AE304" s="3">
        <v>0.499195</v>
      </c>
      <c r="AF304" s="3">
        <v>0.49945450000000002</v>
      </c>
      <c r="AG304" s="3">
        <v>0.49975900000000001</v>
      </c>
      <c r="AH304" s="3">
        <v>0.50010619999999995</v>
      </c>
      <c r="AI304" s="3">
        <v>0.50049359999999998</v>
      </c>
      <c r="AJ304" s="3">
        <v>0.50091909999999995</v>
      </c>
      <c r="AK304" s="3">
        <v>0.50138020000000005</v>
      </c>
      <c r="AL304" s="3">
        <v>0.50187479999999995</v>
      </c>
      <c r="AM304" s="3">
        <v>0.50240030000000002</v>
      </c>
      <c r="AN304" s="3">
        <v>0.50295460000000003</v>
      </c>
      <c r="AO304" s="3">
        <v>0.50353619999999999</v>
      </c>
      <c r="AP304" s="3">
        <v>0.50414800000000004</v>
      </c>
      <c r="AQ304" s="3">
        <v>0.50479399999999996</v>
      </c>
      <c r="AR304" s="3">
        <v>0.5054786</v>
      </c>
      <c r="AS304" s="3">
        <v>0.50620580000000004</v>
      </c>
      <c r="AT304" s="3">
        <v>0.50697979999999998</v>
      </c>
      <c r="AU304" s="3">
        <v>0.50780479999999995</v>
      </c>
      <c r="AV304" s="3">
        <v>0.50868500000000005</v>
      </c>
      <c r="AW304" s="3">
        <v>0.50962450000000004</v>
      </c>
      <c r="AX304" s="3">
        <v>0.51062739999999995</v>
      </c>
      <c r="AY304" s="3">
        <v>0.51169799999999999</v>
      </c>
      <c r="AZ304" s="3">
        <v>0.51284039999999997</v>
      </c>
      <c r="BA304" s="3">
        <v>0.51405809999999996</v>
      </c>
      <c r="BB304" s="3">
        <v>0.51535180000000003</v>
      </c>
      <c r="BC304" s="3">
        <v>0.51672130000000005</v>
      </c>
      <c r="BD304" s="3">
        <v>0.51816649999999997</v>
      </c>
      <c r="BE304" s="3">
        <v>0.51968729999999996</v>
      </c>
      <c r="BF304" s="3">
        <v>0.52128339999999995</v>
      </c>
      <c r="BG304" s="3">
        <v>0.52295480000000005</v>
      </c>
      <c r="BH304" s="3">
        <v>0.52470130000000004</v>
      </c>
      <c r="BI304" s="3">
        <v>0.52652279999999996</v>
      </c>
      <c r="BJ304" s="3">
        <v>0.52841910000000003</v>
      </c>
      <c r="BK304" s="3">
        <v>0.53039009999999998</v>
      </c>
      <c r="BL304" s="3">
        <v>0.53243560000000001</v>
      </c>
      <c r="BM304" s="3" t="e">
        <v>#N/A</v>
      </c>
      <c r="BN304" s="3" t="e">
        <v>#N/A</v>
      </c>
    </row>
    <row r="305" spans="1:66" x14ac:dyDescent="0.35">
      <c r="A305" s="5">
        <f t="shared" si="4"/>
        <v>43881</v>
      </c>
      <c r="B305" t="s">
        <v>382</v>
      </c>
      <c r="C305" s="2">
        <v>0.75</v>
      </c>
      <c r="D305" s="2">
        <v>0.71099999999999997</v>
      </c>
      <c r="E305" s="3">
        <v>0.70498229999999995</v>
      </c>
      <c r="F305" s="3">
        <v>0.68010400000000004</v>
      </c>
      <c r="G305" s="3">
        <v>0.65331410000000001</v>
      </c>
      <c r="H305" s="3">
        <v>0.62608189999999997</v>
      </c>
      <c r="I305" s="3">
        <v>0.5997304</v>
      </c>
      <c r="J305" s="3">
        <v>0.57527349999999999</v>
      </c>
      <c r="K305" s="3">
        <v>0.55394109999999996</v>
      </c>
      <c r="L305" s="3">
        <v>0.53639409999999998</v>
      </c>
      <c r="M305" s="3">
        <v>0.52252050000000005</v>
      </c>
      <c r="N305" s="3">
        <v>0.51189430000000002</v>
      </c>
      <c r="O305" s="3">
        <v>0.50406150000000005</v>
      </c>
      <c r="P305" s="3">
        <v>0.4984616</v>
      </c>
      <c r="Q305" s="3">
        <v>0.49414019999999997</v>
      </c>
      <c r="R305" s="3">
        <v>0.49071490000000001</v>
      </c>
      <c r="S305" s="3">
        <v>0.48804110000000001</v>
      </c>
      <c r="T305" s="3">
        <v>0.48597430000000003</v>
      </c>
      <c r="U305" s="3">
        <v>0.48437010000000003</v>
      </c>
      <c r="V305" s="3">
        <v>0.48308420000000002</v>
      </c>
      <c r="W305" s="3">
        <v>0.48199409999999998</v>
      </c>
      <c r="X305" s="3">
        <v>0.48106130000000003</v>
      </c>
      <c r="Y305" s="3">
        <v>0.4802671</v>
      </c>
      <c r="Z305" s="3">
        <v>0.47959269999999998</v>
      </c>
      <c r="AA305" s="3">
        <v>0.47901959999999999</v>
      </c>
      <c r="AB305" s="3">
        <v>0.47852899999999998</v>
      </c>
      <c r="AC305" s="3">
        <v>0.478105</v>
      </c>
      <c r="AD305" s="3">
        <v>0.47774529999999998</v>
      </c>
      <c r="AE305" s="3">
        <v>0.47745179999999998</v>
      </c>
      <c r="AF305" s="3">
        <v>0.47722629999999999</v>
      </c>
      <c r="AG305" s="3">
        <v>0.47707050000000001</v>
      </c>
      <c r="AH305" s="3">
        <v>0.47698639999999998</v>
      </c>
      <c r="AI305" s="3">
        <v>0.4769757</v>
      </c>
      <c r="AJ305" s="3">
        <v>0.47704029999999997</v>
      </c>
      <c r="AK305" s="3">
        <v>0.47718189999999999</v>
      </c>
      <c r="AL305" s="3">
        <v>0.47740250000000001</v>
      </c>
      <c r="AM305" s="3">
        <v>0.47770380000000001</v>
      </c>
      <c r="AN305" s="3">
        <v>0.4780877</v>
      </c>
      <c r="AO305" s="3">
        <v>0.47855540000000002</v>
      </c>
      <c r="AP305" s="3">
        <v>0.47910589999999997</v>
      </c>
      <c r="AQ305" s="3">
        <v>0.47973759999999999</v>
      </c>
      <c r="AR305" s="3">
        <v>0.4804486</v>
      </c>
      <c r="AS305" s="3">
        <v>0.48123729999999998</v>
      </c>
      <c r="AT305" s="3">
        <v>0.48210209999999998</v>
      </c>
      <c r="AU305" s="3">
        <v>0.4830411</v>
      </c>
      <c r="AV305" s="3">
        <v>0.48405280000000001</v>
      </c>
      <c r="AW305" s="3">
        <v>0.48513539999999999</v>
      </c>
      <c r="AX305" s="3">
        <v>0.48628719999999998</v>
      </c>
      <c r="AY305" s="3">
        <v>0.48750650000000001</v>
      </c>
      <c r="AZ305" s="3">
        <v>0.48879159999999999</v>
      </c>
      <c r="BA305" s="3">
        <v>0.4901412</v>
      </c>
      <c r="BB305" s="3">
        <v>0.49155539999999998</v>
      </c>
      <c r="BC305" s="3">
        <v>0.4930351</v>
      </c>
      <c r="BD305" s="3">
        <v>0.49458069999999998</v>
      </c>
      <c r="BE305" s="3">
        <v>0.49619289999999999</v>
      </c>
      <c r="BF305" s="3">
        <v>0.4978725</v>
      </c>
      <c r="BG305" s="3">
        <v>0.49962010000000001</v>
      </c>
      <c r="BH305" s="3">
        <v>0.5014362</v>
      </c>
      <c r="BI305" s="3">
        <v>0.50332160000000004</v>
      </c>
      <c r="BJ305" s="3">
        <v>0.50527699999999998</v>
      </c>
      <c r="BK305" s="3">
        <v>0.5073029</v>
      </c>
      <c r="BL305" s="3">
        <v>0.50940010000000002</v>
      </c>
      <c r="BM305" s="3" t="e">
        <v>#N/A</v>
      </c>
      <c r="BN305" s="3" t="e">
        <v>#N/A</v>
      </c>
    </row>
    <row r="306" spans="1:66" x14ac:dyDescent="0.35">
      <c r="A306" s="5">
        <f t="shared" si="4"/>
        <v>43882</v>
      </c>
      <c r="B306" t="s">
        <v>383</v>
      </c>
      <c r="C306" s="2">
        <v>0.75</v>
      </c>
      <c r="D306" s="2">
        <v>0.71120000000000005</v>
      </c>
      <c r="E306" s="3">
        <v>0.70650329999999995</v>
      </c>
      <c r="F306" s="3">
        <v>0.67986990000000003</v>
      </c>
      <c r="G306" s="3">
        <v>0.65117320000000001</v>
      </c>
      <c r="H306" s="3">
        <v>0.62303900000000001</v>
      </c>
      <c r="I306" s="3">
        <v>0.59720249999999997</v>
      </c>
      <c r="J306" s="3">
        <v>0.57437360000000004</v>
      </c>
      <c r="K306" s="3">
        <v>0.55478170000000004</v>
      </c>
      <c r="L306" s="3">
        <v>0.5382441</v>
      </c>
      <c r="M306" s="3">
        <v>0.52446530000000002</v>
      </c>
      <c r="N306" s="3">
        <v>0.51324360000000002</v>
      </c>
      <c r="O306" s="3">
        <v>0.5042584</v>
      </c>
      <c r="P306" s="3">
        <v>0.49711640000000001</v>
      </c>
      <c r="Q306" s="3">
        <v>0.49104700000000001</v>
      </c>
      <c r="R306" s="3">
        <v>0.4857939</v>
      </c>
      <c r="S306" s="3">
        <v>0.48129949999999999</v>
      </c>
      <c r="T306" s="3">
        <v>0.4775066</v>
      </c>
      <c r="U306" s="3">
        <v>0.47435759999999999</v>
      </c>
      <c r="V306" s="3">
        <v>0.47179539999999998</v>
      </c>
      <c r="W306" s="3">
        <v>0.46976400000000001</v>
      </c>
      <c r="X306" s="3">
        <v>0.46821449999999998</v>
      </c>
      <c r="Y306" s="3">
        <v>0.46710030000000002</v>
      </c>
      <c r="Z306" s="3">
        <v>0.46637440000000002</v>
      </c>
      <c r="AA306" s="3">
        <v>0.46599000000000002</v>
      </c>
      <c r="AB306" s="3">
        <v>0.4659005</v>
      </c>
      <c r="AC306" s="3">
        <v>0.46606239999999999</v>
      </c>
      <c r="AD306" s="3">
        <v>0.46644720000000001</v>
      </c>
      <c r="AE306" s="3">
        <v>0.46703090000000003</v>
      </c>
      <c r="AF306" s="3">
        <v>0.46778910000000001</v>
      </c>
      <c r="AG306" s="3">
        <v>0.46869759999999999</v>
      </c>
      <c r="AH306" s="3">
        <v>0.46973229999999999</v>
      </c>
      <c r="AI306" s="3">
        <v>0.47086879999999998</v>
      </c>
      <c r="AJ306" s="3">
        <v>0.47208299999999997</v>
      </c>
      <c r="AK306" s="3">
        <v>0.47335060000000001</v>
      </c>
      <c r="AL306" s="3">
        <v>0.4746474</v>
      </c>
      <c r="AM306" s="3">
        <v>0.47594920000000002</v>
      </c>
      <c r="AN306" s="3">
        <v>0.47723169999999998</v>
      </c>
      <c r="AO306" s="3">
        <v>0.47847499999999998</v>
      </c>
      <c r="AP306" s="3">
        <v>0.47967739999999998</v>
      </c>
      <c r="AQ306" s="3">
        <v>0.48084260000000001</v>
      </c>
      <c r="AR306" s="3">
        <v>0.48197420000000002</v>
      </c>
      <c r="AS306" s="3">
        <v>0.48307559999999999</v>
      </c>
      <c r="AT306" s="3">
        <v>0.48415059999999999</v>
      </c>
      <c r="AU306" s="3">
        <v>0.48520259999999998</v>
      </c>
      <c r="AV306" s="3">
        <v>0.48623529999999998</v>
      </c>
      <c r="AW306" s="3">
        <v>0.48725220000000002</v>
      </c>
      <c r="AX306" s="3">
        <v>0.48825689999999999</v>
      </c>
      <c r="AY306" s="3">
        <v>0.48925299999999999</v>
      </c>
      <c r="AZ306" s="3">
        <v>0.49024400000000001</v>
      </c>
      <c r="BA306" s="3">
        <v>0.4912337</v>
      </c>
      <c r="BB306" s="3">
        <v>0.49222660000000001</v>
      </c>
      <c r="BC306" s="3">
        <v>0.49322719999999998</v>
      </c>
      <c r="BD306" s="3">
        <v>0.49424020000000002</v>
      </c>
      <c r="BE306" s="3">
        <v>0.49527019999999999</v>
      </c>
      <c r="BF306" s="3">
        <v>0.49632179999999998</v>
      </c>
      <c r="BG306" s="3">
        <v>0.4973997</v>
      </c>
      <c r="BH306" s="3">
        <v>0.49850860000000002</v>
      </c>
      <c r="BI306" s="3">
        <v>0.49965300000000001</v>
      </c>
      <c r="BJ306" s="3">
        <v>0.50083750000000005</v>
      </c>
      <c r="BK306" s="3">
        <v>0.50206689999999998</v>
      </c>
      <c r="BL306" s="3">
        <v>0.50334570000000001</v>
      </c>
      <c r="BM306" s="3" t="e">
        <v>#N/A</v>
      </c>
      <c r="BN306" s="3" t="e">
        <v>#N/A</v>
      </c>
    </row>
    <row r="307" spans="1:66" x14ac:dyDescent="0.35">
      <c r="A307" s="5">
        <f t="shared" si="4"/>
        <v>43885</v>
      </c>
      <c r="B307" t="s">
        <v>384</v>
      </c>
      <c r="C307" s="2">
        <v>0.75</v>
      </c>
      <c r="D307" s="2">
        <v>0.71050000000000002</v>
      </c>
      <c r="E307" s="3">
        <v>0.69595949999999995</v>
      </c>
      <c r="F307" s="3">
        <v>0.65379929999999997</v>
      </c>
      <c r="G307" s="3">
        <v>0.6145967</v>
      </c>
      <c r="H307" s="3">
        <v>0.57902880000000001</v>
      </c>
      <c r="I307" s="3">
        <v>0.54648169999999996</v>
      </c>
      <c r="J307" s="3">
        <v>0.51734789999999997</v>
      </c>
      <c r="K307" s="3">
        <v>0.49243969999999998</v>
      </c>
      <c r="L307" s="3">
        <v>0.47194629999999999</v>
      </c>
      <c r="M307" s="3">
        <v>0.45565719999999998</v>
      </c>
      <c r="N307" s="3">
        <v>0.44293549999999998</v>
      </c>
      <c r="O307" s="3">
        <v>0.43329190000000001</v>
      </c>
      <c r="P307" s="3">
        <v>0.42608420000000002</v>
      </c>
      <c r="Q307" s="3">
        <v>0.4205023</v>
      </c>
      <c r="R307" s="3">
        <v>0.41619929999999999</v>
      </c>
      <c r="S307" s="3">
        <v>0.41297539999999999</v>
      </c>
      <c r="T307" s="3">
        <v>0.41063090000000002</v>
      </c>
      <c r="U307" s="3">
        <v>0.40896589999999999</v>
      </c>
      <c r="V307" s="3">
        <v>0.4077808</v>
      </c>
      <c r="W307" s="3">
        <v>0.4069064</v>
      </c>
      <c r="X307" s="3">
        <v>0.40629120000000002</v>
      </c>
      <c r="Y307" s="3">
        <v>0.40591139999999998</v>
      </c>
      <c r="Z307" s="3">
        <v>0.40574310000000002</v>
      </c>
      <c r="AA307" s="3">
        <v>0.40576259999999997</v>
      </c>
      <c r="AB307" s="3">
        <v>0.40594619999999998</v>
      </c>
      <c r="AC307" s="3">
        <v>0.40627190000000002</v>
      </c>
      <c r="AD307" s="3">
        <v>0.4067267</v>
      </c>
      <c r="AE307" s="3">
        <v>0.40729949999999998</v>
      </c>
      <c r="AF307" s="3">
        <v>0.4079797</v>
      </c>
      <c r="AG307" s="3">
        <v>0.40875630000000002</v>
      </c>
      <c r="AH307" s="3">
        <v>0.4096185</v>
      </c>
      <c r="AI307" s="3">
        <v>0.41055540000000001</v>
      </c>
      <c r="AJ307" s="3">
        <v>0.41155619999999998</v>
      </c>
      <c r="AK307" s="3">
        <v>0.41261009999999998</v>
      </c>
      <c r="AL307" s="3">
        <v>0.41370620000000002</v>
      </c>
      <c r="AM307" s="3">
        <v>0.41483360000000002</v>
      </c>
      <c r="AN307" s="3">
        <v>0.41598160000000001</v>
      </c>
      <c r="AO307" s="3">
        <v>0.4171414</v>
      </c>
      <c r="AP307" s="3">
        <v>0.41831380000000001</v>
      </c>
      <c r="AQ307" s="3">
        <v>0.4195024</v>
      </c>
      <c r="AR307" s="3">
        <v>0.42071069999999999</v>
      </c>
      <c r="AS307" s="3">
        <v>0.42194219999999999</v>
      </c>
      <c r="AT307" s="3">
        <v>0.42320029999999997</v>
      </c>
      <c r="AU307" s="3">
        <v>0.42448849999999999</v>
      </c>
      <c r="AV307" s="3">
        <v>0.42581029999999997</v>
      </c>
      <c r="AW307" s="3">
        <v>0.42716929999999997</v>
      </c>
      <c r="AX307" s="3">
        <v>0.42856889999999997</v>
      </c>
      <c r="AY307" s="3">
        <v>0.43001260000000002</v>
      </c>
      <c r="AZ307" s="3">
        <v>0.43150379999999999</v>
      </c>
      <c r="BA307" s="3">
        <v>0.43304579999999998</v>
      </c>
      <c r="BB307" s="3">
        <v>0.43463980000000002</v>
      </c>
      <c r="BC307" s="3">
        <v>0.43628630000000002</v>
      </c>
      <c r="BD307" s="3">
        <v>0.43798609999999999</v>
      </c>
      <c r="BE307" s="3">
        <v>0.43973980000000001</v>
      </c>
      <c r="BF307" s="3">
        <v>0.44154779999999999</v>
      </c>
      <c r="BG307" s="3">
        <v>0.443411</v>
      </c>
      <c r="BH307" s="3">
        <v>0.4453298</v>
      </c>
      <c r="BI307" s="3">
        <v>0.44730500000000001</v>
      </c>
      <c r="BJ307" s="3">
        <v>0.44933709999999999</v>
      </c>
      <c r="BK307" s="3">
        <v>0.45142670000000001</v>
      </c>
      <c r="BL307" s="3">
        <v>0.45357449999999999</v>
      </c>
      <c r="BM307" s="3" t="e">
        <v>#N/A</v>
      </c>
      <c r="BN307" s="3" t="e">
        <v>#N/A</v>
      </c>
    </row>
    <row r="308" spans="1:66" x14ac:dyDescent="0.35">
      <c r="A308" s="5">
        <f t="shared" si="4"/>
        <v>43886</v>
      </c>
      <c r="B308" t="s">
        <v>385</v>
      </c>
      <c r="C308" s="2">
        <v>0.75</v>
      </c>
      <c r="D308" s="2">
        <v>0.71089999999999998</v>
      </c>
      <c r="E308" s="3">
        <v>0.68861099999999997</v>
      </c>
      <c r="F308" s="3">
        <v>0.64445050000000004</v>
      </c>
      <c r="G308" s="3">
        <v>0.60290189999999999</v>
      </c>
      <c r="H308" s="3">
        <v>0.56401800000000002</v>
      </c>
      <c r="I308" s="3">
        <v>0.52871040000000002</v>
      </c>
      <c r="J308" s="3">
        <v>0.49801410000000002</v>
      </c>
      <c r="K308" s="3">
        <v>0.47255960000000002</v>
      </c>
      <c r="L308" s="3">
        <v>0.45203700000000002</v>
      </c>
      <c r="M308" s="3">
        <v>0.43576890000000001</v>
      </c>
      <c r="N308" s="3">
        <v>0.42289759999999998</v>
      </c>
      <c r="O308" s="3">
        <v>0.41273739999999998</v>
      </c>
      <c r="P308" s="3">
        <v>0.40473290000000001</v>
      </c>
      <c r="Q308" s="3">
        <v>0.39815489999999998</v>
      </c>
      <c r="R308" s="3">
        <v>0.39273760000000002</v>
      </c>
      <c r="S308" s="3">
        <v>0.38836890000000002</v>
      </c>
      <c r="T308" s="3">
        <v>0.38493660000000002</v>
      </c>
      <c r="U308" s="3">
        <v>0.38232890000000003</v>
      </c>
      <c r="V308" s="3">
        <v>0.38043359999999998</v>
      </c>
      <c r="W308" s="3">
        <v>0.37914639999999999</v>
      </c>
      <c r="X308" s="3">
        <v>0.37839289999999998</v>
      </c>
      <c r="Y308" s="3">
        <v>0.37810539999999998</v>
      </c>
      <c r="Z308" s="3">
        <v>0.37821660000000001</v>
      </c>
      <c r="AA308" s="3">
        <v>0.37865890000000002</v>
      </c>
      <c r="AB308" s="3">
        <v>0.3793647</v>
      </c>
      <c r="AC308" s="3">
        <v>0.380274</v>
      </c>
      <c r="AD308" s="3">
        <v>0.3813589</v>
      </c>
      <c r="AE308" s="3">
        <v>0.38260040000000001</v>
      </c>
      <c r="AF308" s="3">
        <v>0.38397979999999998</v>
      </c>
      <c r="AG308" s="3">
        <v>0.38547799999999999</v>
      </c>
      <c r="AH308" s="3">
        <v>0.38707629999999998</v>
      </c>
      <c r="AI308" s="3">
        <v>0.38875559999999998</v>
      </c>
      <c r="AJ308" s="3">
        <v>0.39049719999999999</v>
      </c>
      <c r="AK308" s="3">
        <v>0.39228200000000002</v>
      </c>
      <c r="AL308" s="3">
        <v>0.39409129999999998</v>
      </c>
      <c r="AM308" s="3">
        <v>0.39590599999999998</v>
      </c>
      <c r="AN308" s="3">
        <v>0.39770739999999999</v>
      </c>
      <c r="AO308" s="3">
        <v>0.39947909999999998</v>
      </c>
      <c r="AP308" s="3">
        <v>0.4012192</v>
      </c>
      <c r="AQ308" s="3">
        <v>0.40293040000000002</v>
      </c>
      <c r="AR308" s="3">
        <v>0.40461550000000002</v>
      </c>
      <c r="AS308" s="3">
        <v>0.40627730000000001</v>
      </c>
      <c r="AT308" s="3">
        <v>0.40791860000000002</v>
      </c>
      <c r="AU308" s="3">
        <v>0.40954220000000002</v>
      </c>
      <c r="AV308" s="3">
        <v>0.41115089999999999</v>
      </c>
      <c r="AW308" s="3">
        <v>0.41274739999999999</v>
      </c>
      <c r="AX308" s="3">
        <v>0.41433449999999999</v>
      </c>
      <c r="AY308" s="3">
        <v>0.41591509999999998</v>
      </c>
      <c r="AZ308" s="3">
        <v>0.41749180000000002</v>
      </c>
      <c r="BA308" s="3">
        <v>0.41906759999999998</v>
      </c>
      <c r="BB308" s="3">
        <v>0.4206454</v>
      </c>
      <c r="BC308" s="3">
        <v>0.4222284</v>
      </c>
      <c r="BD308" s="3">
        <v>0.42381950000000002</v>
      </c>
      <c r="BE308" s="3">
        <v>0.42542190000000002</v>
      </c>
      <c r="BF308" s="3">
        <v>0.42703859999999999</v>
      </c>
      <c r="BG308" s="3">
        <v>0.42867280000000002</v>
      </c>
      <c r="BH308" s="3">
        <v>0.43032740000000003</v>
      </c>
      <c r="BI308" s="3">
        <v>0.43200569999999999</v>
      </c>
      <c r="BJ308" s="3">
        <v>0.4337105</v>
      </c>
      <c r="BK308" s="3">
        <v>0.43544509999999997</v>
      </c>
      <c r="BL308" s="3">
        <v>0.4372124</v>
      </c>
      <c r="BM308" s="3" t="e">
        <v>#N/A</v>
      </c>
      <c r="BN308" s="3" t="e">
        <v>#N/A</v>
      </c>
    </row>
    <row r="309" spans="1:66" x14ac:dyDescent="0.35">
      <c r="A309" s="5">
        <f t="shared" si="4"/>
        <v>43887</v>
      </c>
      <c r="B309" t="s">
        <v>386</v>
      </c>
      <c r="C309" s="2">
        <v>0.75</v>
      </c>
      <c r="D309" s="2">
        <v>0.71140000000000003</v>
      </c>
      <c r="E309" s="3">
        <v>0.67633379999999998</v>
      </c>
      <c r="F309" s="3">
        <v>0.63310359999999999</v>
      </c>
      <c r="G309" s="3">
        <v>0.58821029999999996</v>
      </c>
      <c r="H309" s="3">
        <v>0.54451870000000002</v>
      </c>
      <c r="I309" s="3">
        <v>0.50538799999999995</v>
      </c>
      <c r="J309" s="3">
        <v>0.47291169999999999</v>
      </c>
      <c r="K309" s="3">
        <v>0.447575</v>
      </c>
      <c r="L309" s="3">
        <v>0.42831380000000002</v>
      </c>
      <c r="M309" s="3">
        <v>0.413609</v>
      </c>
      <c r="N309" s="3">
        <v>0.40214939999999999</v>
      </c>
      <c r="O309" s="3">
        <v>0.393011</v>
      </c>
      <c r="P309" s="3">
        <v>0.38567400000000002</v>
      </c>
      <c r="Q309" s="3">
        <v>0.37964959999999998</v>
      </c>
      <c r="R309" s="3">
        <v>0.37474299999999999</v>
      </c>
      <c r="S309" s="3">
        <v>0.37085279999999998</v>
      </c>
      <c r="T309" s="3">
        <v>0.36787740000000002</v>
      </c>
      <c r="U309" s="3">
        <v>0.36571540000000002</v>
      </c>
      <c r="V309" s="3">
        <v>0.36426530000000001</v>
      </c>
      <c r="W309" s="3">
        <v>0.36343389999999998</v>
      </c>
      <c r="X309" s="3">
        <v>0.36315930000000002</v>
      </c>
      <c r="Y309" s="3">
        <v>0.36338700000000002</v>
      </c>
      <c r="Z309" s="3">
        <v>0.36406260000000001</v>
      </c>
      <c r="AA309" s="3">
        <v>0.3651317</v>
      </c>
      <c r="AB309" s="3">
        <v>0.36653980000000003</v>
      </c>
      <c r="AC309" s="3">
        <v>0.36823489999999998</v>
      </c>
      <c r="AD309" s="3">
        <v>0.37017719999999998</v>
      </c>
      <c r="AE309" s="3">
        <v>0.37233129999999998</v>
      </c>
      <c r="AF309" s="3">
        <v>0.37466159999999998</v>
      </c>
      <c r="AG309" s="3">
        <v>0.37713259999999998</v>
      </c>
      <c r="AH309" s="3">
        <v>0.37970890000000002</v>
      </c>
      <c r="AI309" s="3">
        <v>0.38235479999999999</v>
      </c>
      <c r="AJ309" s="3">
        <v>0.38503500000000002</v>
      </c>
      <c r="AK309" s="3">
        <v>0.3877139</v>
      </c>
      <c r="AL309" s="3">
        <v>0.39035599999999998</v>
      </c>
      <c r="AM309" s="3">
        <v>0.39292569999999999</v>
      </c>
      <c r="AN309" s="3">
        <v>0.39538770000000001</v>
      </c>
      <c r="AO309" s="3">
        <v>0.39771269999999997</v>
      </c>
      <c r="AP309" s="3">
        <v>0.39990219999999999</v>
      </c>
      <c r="AQ309" s="3">
        <v>0.40196710000000002</v>
      </c>
      <c r="AR309" s="3">
        <v>0.40391840000000001</v>
      </c>
      <c r="AS309" s="3">
        <v>0.40576699999999999</v>
      </c>
      <c r="AT309" s="3">
        <v>0.40752379999999999</v>
      </c>
      <c r="AU309" s="3">
        <v>0.4091996</v>
      </c>
      <c r="AV309" s="3">
        <v>0.41080549999999999</v>
      </c>
      <c r="AW309" s="3">
        <v>0.4123522</v>
      </c>
      <c r="AX309" s="3">
        <v>0.41385080000000002</v>
      </c>
      <c r="AY309" s="3">
        <v>0.41531210000000002</v>
      </c>
      <c r="AZ309" s="3">
        <v>0.41674699999999998</v>
      </c>
      <c r="BA309" s="3">
        <v>0.41816579999999998</v>
      </c>
      <c r="BB309" s="3">
        <v>0.41957529999999998</v>
      </c>
      <c r="BC309" s="3">
        <v>0.42098180000000002</v>
      </c>
      <c r="BD309" s="3">
        <v>0.42239139999999997</v>
      </c>
      <c r="BE309" s="3">
        <v>0.42381000000000002</v>
      </c>
      <c r="BF309" s="3">
        <v>0.42524400000000001</v>
      </c>
      <c r="BG309" s="3">
        <v>0.4266993</v>
      </c>
      <c r="BH309" s="3">
        <v>0.42818210000000001</v>
      </c>
      <c r="BI309" s="3">
        <v>0.42969839999999998</v>
      </c>
      <c r="BJ309" s="3">
        <v>0.43125449999999999</v>
      </c>
      <c r="BK309" s="3">
        <v>0.43285639999999997</v>
      </c>
      <c r="BL309" s="3">
        <v>0.43451020000000001</v>
      </c>
      <c r="BM309" s="3" t="e">
        <v>#N/A</v>
      </c>
      <c r="BN309" s="3" t="e">
        <v>#N/A</v>
      </c>
    </row>
    <row r="310" spans="1:66" x14ac:dyDescent="0.35">
      <c r="A310" s="5">
        <f t="shared" si="4"/>
        <v>43888</v>
      </c>
      <c r="B310" t="s">
        <v>387</v>
      </c>
      <c r="C310" s="2">
        <v>0.75</v>
      </c>
      <c r="D310" s="2">
        <v>0.71060000000000001</v>
      </c>
      <c r="E310" s="3">
        <v>0.66044049999999999</v>
      </c>
      <c r="F310" s="3">
        <v>0.58490920000000002</v>
      </c>
      <c r="G310" s="3">
        <v>0.52995919999999996</v>
      </c>
      <c r="H310" s="3">
        <v>0.49313109999999999</v>
      </c>
      <c r="I310" s="3">
        <v>0.46672469999999999</v>
      </c>
      <c r="J310" s="3">
        <v>0.44561859999999998</v>
      </c>
      <c r="K310" s="3">
        <v>0.42821510000000002</v>
      </c>
      <c r="L310" s="3">
        <v>0.41406969999999998</v>
      </c>
      <c r="M310" s="3">
        <v>0.40276970000000001</v>
      </c>
      <c r="N310" s="3">
        <v>0.39372600000000002</v>
      </c>
      <c r="O310" s="3">
        <v>0.38638630000000002</v>
      </c>
      <c r="P310" s="3">
        <v>0.38035999999999998</v>
      </c>
      <c r="Q310" s="3">
        <v>0.37527579999999999</v>
      </c>
      <c r="R310" s="3">
        <v>0.37099749999999998</v>
      </c>
      <c r="S310" s="3">
        <v>0.36747489999999999</v>
      </c>
      <c r="T310" s="3">
        <v>0.36465760000000003</v>
      </c>
      <c r="U310" s="3">
        <v>0.36249530000000002</v>
      </c>
      <c r="V310" s="3">
        <v>0.36093769999999997</v>
      </c>
      <c r="W310" s="3">
        <v>0.35993269999999999</v>
      </c>
      <c r="X310" s="3">
        <v>0.35942099999999999</v>
      </c>
      <c r="Y310" s="3">
        <v>0.35934139999999998</v>
      </c>
      <c r="Z310" s="3">
        <v>0.35963309999999998</v>
      </c>
      <c r="AA310" s="3">
        <v>0.36023500000000003</v>
      </c>
      <c r="AB310" s="3">
        <v>0.36108610000000002</v>
      </c>
      <c r="AC310" s="3">
        <v>0.36213079999999997</v>
      </c>
      <c r="AD310" s="3">
        <v>0.36334070000000002</v>
      </c>
      <c r="AE310" s="3">
        <v>0.3646954</v>
      </c>
      <c r="AF310" s="3">
        <v>0.36617440000000001</v>
      </c>
      <c r="AG310" s="3">
        <v>0.36775740000000001</v>
      </c>
      <c r="AH310" s="3">
        <v>0.36942409999999998</v>
      </c>
      <c r="AI310" s="3">
        <v>0.37115399999999998</v>
      </c>
      <c r="AJ310" s="3">
        <v>0.3729268</v>
      </c>
      <c r="AK310" s="3">
        <v>0.37472220000000001</v>
      </c>
      <c r="AL310" s="3">
        <v>0.37651960000000001</v>
      </c>
      <c r="AM310" s="3">
        <v>0.37829889999999999</v>
      </c>
      <c r="AN310" s="3">
        <v>0.38003949999999997</v>
      </c>
      <c r="AO310" s="3">
        <v>0.38172529999999999</v>
      </c>
      <c r="AP310" s="3">
        <v>0.3833587</v>
      </c>
      <c r="AQ310" s="3">
        <v>0.38494719999999999</v>
      </c>
      <c r="AR310" s="3">
        <v>0.38649820000000001</v>
      </c>
      <c r="AS310" s="3">
        <v>0.38801920000000001</v>
      </c>
      <c r="AT310" s="3">
        <v>0.38951770000000002</v>
      </c>
      <c r="AU310" s="3">
        <v>0.39100109999999999</v>
      </c>
      <c r="AV310" s="3">
        <v>0.39247700000000002</v>
      </c>
      <c r="AW310" s="3">
        <v>0.39395279999999999</v>
      </c>
      <c r="AX310" s="3">
        <v>0.39543590000000001</v>
      </c>
      <c r="AY310" s="3">
        <v>0.39693390000000001</v>
      </c>
      <c r="AZ310" s="3">
        <v>0.39845429999999998</v>
      </c>
      <c r="BA310" s="3">
        <v>0.40000380000000002</v>
      </c>
      <c r="BB310" s="3">
        <v>0.40158579999999999</v>
      </c>
      <c r="BC310" s="3">
        <v>0.40320309999999998</v>
      </c>
      <c r="BD310" s="3">
        <v>0.4048583</v>
      </c>
      <c r="BE310" s="3">
        <v>0.40655400000000003</v>
      </c>
      <c r="BF310" s="3">
        <v>0.40829290000000001</v>
      </c>
      <c r="BG310" s="3">
        <v>0.41007749999999998</v>
      </c>
      <c r="BH310" s="3">
        <v>0.41191060000000002</v>
      </c>
      <c r="BI310" s="3">
        <v>0.41379470000000002</v>
      </c>
      <c r="BJ310" s="3">
        <v>0.41573260000000001</v>
      </c>
      <c r="BK310" s="3">
        <v>0.41772680000000001</v>
      </c>
      <c r="BL310" s="3">
        <v>0.41977999999999999</v>
      </c>
      <c r="BM310" s="3" t="e">
        <v>#N/A</v>
      </c>
      <c r="BN310" s="3" t="e">
        <v>#N/A</v>
      </c>
    </row>
    <row r="311" spans="1:66" x14ac:dyDescent="0.35">
      <c r="A311" s="5">
        <f t="shared" si="4"/>
        <v>43889</v>
      </c>
      <c r="B311" t="s">
        <v>388</v>
      </c>
      <c r="C311" s="2">
        <v>0.75</v>
      </c>
      <c r="D311" s="2">
        <v>0.70979999999999999</v>
      </c>
      <c r="E311" s="3">
        <v>0.61319089999999998</v>
      </c>
      <c r="F311" s="3">
        <v>0.5211924</v>
      </c>
      <c r="G311" s="3">
        <v>0.46510010000000002</v>
      </c>
      <c r="H311" s="3">
        <v>0.43334600000000001</v>
      </c>
      <c r="I311" s="3">
        <v>0.41256280000000001</v>
      </c>
      <c r="J311" s="3">
        <v>0.39583770000000001</v>
      </c>
      <c r="K311" s="3">
        <v>0.38097910000000001</v>
      </c>
      <c r="L311" s="3">
        <v>0.36755949999999998</v>
      </c>
      <c r="M311" s="3">
        <v>0.35550369999999998</v>
      </c>
      <c r="N311" s="3">
        <v>0.34476839999999997</v>
      </c>
      <c r="O311" s="3">
        <v>0.33525749999999999</v>
      </c>
      <c r="P311" s="3">
        <v>0.32694519999999999</v>
      </c>
      <c r="Q311" s="3">
        <v>0.31987949999999998</v>
      </c>
      <c r="R311" s="3">
        <v>0.31402049999999998</v>
      </c>
      <c r="S311" s="3">
        <v>0.30929570000000001</v>
      </c>
      <c r="T311" s="3">
        <v>0.30563240000000003</v>
      </c>
      <c r="U311" s="3">
        <v>0.30295810000000001</v>
      </c>
      <c r="V311" s="3">
        <v>0.30120010000000003</v>
      </c>
      <c r="W311" s="3">
        <v>0.30028319999999997</v>
      </c>
      <c r="X311" s="3">
        <v>0.30011739999999998</v>
      </c>
      <c r="Y311" s="3">
        <v>0.30060819999999999</v>
      </c>
      <c r="Z311" s="3">
        <v>0.30166120000000002</v>
      </c>
      <c r="AA311" s="3">
        <v>0.3031819</v>
      </c>
      <c r="AB311" s="3">
        <v>0.30507580000000001</v>
      </c>
      <c r="AC311" s="3">
        <v>0.30725789999999997</v>
      </c>
      <c r="AD311" s="3">
        <v>0.30968580000000001</v>
      </c>
      <c r="AE311" s="3">
        <v>0.31232840000000001</v>
      </c>
      <c r="AF311" s="3">
        <v>0.31515490000000002</v>
      </c>
      <c r="AG311" s="3">
        <v>0.31813439999999998</v>
      </c>
      <c r="AH311" s="3">
        <v>0.32123600000000002</v>
      </c>
      <c r="AI311" s="3">
        <v>0.32442880000000002</v>
      </c>
      <c r="AJ311" s="3">
        <v>0.32768170000000002</v>
      </c>
      <c r="AK311" s="3">
        <v>0.33096409999999998</v>
      </c>
      <c r="AL311" s="3">
        <v>0.33424480000000001</v>
      </c>
      <c r="AM311" s="3">
        <v>0.33749309999999999</v>
      </c>
      <c r="AN311" s="3">
        <v>0.34067799999999998</v>
      </c>
      <c r="AO311" s="3">
        <v>0.34377380000000002</v>
      </c>
      <c r="AP311" s="3">
        <v>0.34677780000000002</v>
      </c>
      <c r="AQ311" s="3">
        <v>0.3496937</v>
      </c>
      <c r="AR311" s="3">
        <v>0.35252489999999997</v>
      </c>
      <c r="AS311" s="3">
        <v>0.35527520000000001</v>
      </c>
      <c r="AT311" s="3">
        <v>0.35794819999999999</v>
      </c>
      <c r="AU311" s="3">
        <v>0.36054750000000002</v>
      </c>
      <c r="AV311" s="3">
        <v>0.36307669999999997</v>
      </c>
      <c r="AW311" s="3">
        <v>0.36553950000000002</v>
      </c>
      <c r="AX311" s="3">
        <v>0.36793940000000003</v>
      </c>
      <c r="AY311" s="3">
        <v>0.3702801</v>
      </c>
      <c r="AZ311" s="3">
        <v>0.37256519999999999</v>
      </c>
      <c r="BA311" s="3">
        <v>0.37479879999999999</v>
      </c>
      <c r="BB311" s="3">
        <v>0.37698730000000003</v>
      </c>
      <c r="BC311" s="3">
        <v>0.37913790000000003</v>
      </c>
      <c r="BD311" s="3">
        <v>0.38125769999999998</v>
      </c>
      <c r="BE311" s="3">
        <v>0.38335380000000002</v>
      </c>
      <c r="BF311" s="3">
        <v>0.38543339999999998</v>
      </c>
      <c r="BG311" s="3">
        <v>0.3875036</v>
      </c>
      <c r="BH311" s="3">
        <v>0.38957150000000001</v>
      </c>
      <c r="BI311" s="3">
        <v>0.3916443</v>
      </c>
      <c r="BJ311" s="3">
        <v>0.3937291</v>
      </c>
      <c r="BK311" s="3">
        <v>0.39583309999999999</v>
      </c>
      <c r="BL311" s="3">
        <v>0.39796330000000002</v>
      </c>
      <c r="BM311" s="3" t="e">
        <v>#N/A</v>
      </c>
      <c r="BN311" s="3" t="e">
        <v>#N/A</v>
      </c>
    </row>
    <row r="312" spans="1:66" x14ac:dyDescent="0.35">
      <c r="A312" s="5">
        <f t="shared" si="4"/>
        <v>43892</v>
      </c>
      <c r="B312" t="s">
        <v>389</v>
      </c>
      <c r="C312" s="2">
        <v>0.75</v>
      </c>
      <c r="D312" s="2">
        <v>0.70889999999999997</v>
      </c>
      <c r="E312" s="3">
        <v>0.52132860000000003</v>
      </c>
      <c r="F312" s="3">
        <v>0.43306410000000001</v>
      </c>
      <c r="G312" s="3">
        <v>0.3789399</v>
      </c>
      <c r="H312" s="3">
        <v>0.35097479999999998</v>
      </c>
      <c r="I312" s="3">
        <v>0.33504499999999998</v>
      </c>
      <c r="J312" s="3">
        <v>0.32303900000000002</v>
      </c>
      <c r="K312" s="3">
        <v>0.31192189999999997</v>
      </c>
      <c r="L312" s="3">
        <v>0.30144720000000003</v>
      </c>
      <c r="M312" s="3">
        <v>0.29206979999999999</v>
      </c>
      <c r="N312" s="3">
        <v>0.28408339999999999</v>
      </c>
      <c r="O312" s="3">
        <v>0.27760249999999997</v>
      </c>
      <c r="P312" s="3">
        <v>0.27263929999999997</v>
      </c>
      <c r="Q312" s="3">
        <v>0.26908209999999999</v>
      </c>
      <c r="R312" s="3">
        <v>0.26676939999999999</v>
      </c>
      <c r="S312" s="3">
        <v>0.26553599999999999</v>
      </c>
      <c r="T312" s="3">
        <v>0.26521630000000002</v>
      </c>
      <c r="U312" s="3">
        <v>0.26564490000000002</v>
      </c>
      <c r="V312" s="3">
        <v>0.26665630000000001</v>
      </c>
      <c r="W312" s="3">
        <v>0.26810139999999999</v>
      </c>
      <c r="X312" s="3">
        <v>0.26990710000000001</v>
      </c>
      <c r="Y312" s="3">
        <v>0.27202229999999999</v>
      </c>
      <c r="Z312" s="3">
        <v>0.27439570000000002</v>
      </c>
      <c r="AA312" s="3">
        <v>0.27697620000000001</v>
      </c>
      <c r="AB312" s="3">
        <v>0.27971269999999998</v>
      </c>
      <c r="AC312" s="3">
        <v>0.28255960000000002</v>
      </c>
      <c r="AD312" s="3">
        <v>0.28549370000000002</v>
      </c>
      <c r="AE312" s="3">
        <v>0.28849750000000002</v>
      </c>
      <c r="AF312" s="3">
        <v>0.29155350000000002</v>
      </c>
      <c r="AG312" s="3">
        <v>0.29464400000000002</v>
      </c>
      <c r="AH312" s="3">
        <v>0.29775160000000001</v>
      </c>
      <c r="AI312" s="3">
        <v>0.30085859999999998</v>
      </c>
      <c r="AJ312" s="3">
        <v>0.30394739999999998</v>
      </c>
      <c r="AK312" s="3">
        <v>0.30700070000000002</v>
      </c>
      <c r="AL312" s="3">
        <v>0.31000070000000002</v>
      </c>
      <c r="AM312" s="3">
        <v>0.31292989999999998</v>
      </c>
      <c r="AN312" s="3">
        <v>0.31577080000000002</v>
      </c>
      <c r="AO312" s="3">
        <v>0.3185096</v>
      </c>
      <c r="AP312" s="3">
        <v>0.32114769999999998</v>
      </c>
      <c r="AQ312" s="3">
        <v>0.32369049999999999</v>
      </c>
      <c r="AR312" s="3">
        <v>0.32614330000000002</v>
      </c>
      <c r="AS312" s="3">
        <v>0.3285112</v>
      </c>
      <c r="AT312" s="3">
        <v>0.33079969999999997</v>
      </c>
      <c r="AU312" s="3">
        <v>0.33301389999999997</v>
      </c>
      <c r="AV312" s="3">
        <v>0.33515909999999999</v>
      </c>
      <c r="AW312" s="3">
        <v>0.3372406</v>
      </c>
      <c r="AX312" s="3">
        <v>0.3392638</v>
      </c>
      <c r="AY312" s="3">
        <v>0.34123379999999998</v>
      </c>
      <c r="AZ312" s="3">
        <v>0.34315590000000001</v>
      </c>
      <c r="BA312" s="3">
        <v>0.34503539999999999</v>
      </c>
      <c r="BB312" s="3">
        <v>0.3468772</v>
      </c>
      <c r="BC312" s="3">
        <v>0.348686</v>
      </c>
      <c r="BD312" s="3">
        <v>0.35046680000000002</v>
      </c>
      <c r="BE312" s="3">
        <v>0.35222419999999999</v>
      </c>
      <c r="BF312" s="3">
        <v>0.35396309999999997</v>
      </c>
      <c r="BG312" s="3">
        <v>0.35568840000000002</v>
      </c>
      <c r="BH312" s="3">
        <v>0.35740470000000002</v>
      </c>
      <c r="BI312" s="3">
        <v>0.35911690000000002</v>
      </c>
      <c r="BJ312" s="3">
        <v>0.36082989999999998</v>
      </c>
      <c r="BK312" s="3">
        <v>0.36254839999999999</v>
      </c>
      <c r="BL312" s="3">
        <v>0.36427720000000002</v>
      </c>
      <c r="BM312" s="3" t="e">
        <v>#N/A</v>
      </c>
      <c r="BN312" s="3" t="e">
        <v>#N/A</v>
      </c>
    </row>
    <row r="313" spans="1:66" x14ac:dyDescent="0.35">
      <c r="A313" s="5">
        <f t="shared" si="4"/>
        <v>43893</v>
      </c>
      <c r="B313" t="s">
        <v>390</v>
      </c>
      <c r="C313" s="2">
        <v>0.75</v>
      </c>
      <c r="D313" s="2">
        <v>0.70979999999999999</v>
      </c>
      <c r="E313" s="3">
        <v>0.4381816</v>
      </c>
      <c r="F313" s="3">
        <v>0.38159130000000002</v>
      </c>
      <c r="G313" s="3">
        <v>0.34438629999999998</v>
      </c>
      <c r="H313" s="3">
        <v>0.31912210000000002</v>
      </c>
      <c r="I313" s="3">
        <v>0.29857260000000002</v>
      </c>
      <c r="J313" s="3">
        <v>0.28079389999999999</v>
      </c>
      <c r="K313" s="3">
        <v>0.266129</v>
      </c>
      <c r="L313" s="3">
        <v>0.25470680000000001</v>
      </c>
      <c r="M313" s="3">
        <v>0.24623719999999999</v>
      </c>
      <c r="N313" s="3">
        <v>0.2401471</v>
      </c>
      <c r="O313" s="3">
        <v>0.2359146</v>
      </c>
      <c r="P313" s="3">
        <v>0.2332187</v>
      </c>
      <c r="Q313" s="3">
        <v>0.23169239999999999</v>
      </c>
      <c r="R313" s="3">
        <v>0.23115559999999999</v>
      </c>
      <c r="S313" s="3">
        <v>0.23148850000000001</v>
      </c>
      <c r="T313" s="3">
        <v>0.23257169999999999</v>
      </c>
      <c r="U313" s="3">
        <v>0.23428550000000001</v>
      </c>
      <c r="V313" s="3">
        <v>0.23651030000000001</v>
      </c>
      <c r="W313" s="3">
        <v>0.2391374</v>
      </c>
      <c r="X313" s="3">
        <v>0.2421083</v>
      </c>
      <c r="Y313" s="3">
        <v>0.24537919999999999</v>
      </c>
      <c r="Z313" s="3">
        <v>0.2489063</v>
      </c>
      <c r="AA313" s="3">
        <v>0.25264569999999997</v>
      </c>
      <c r="AB313" s="3">
        <v>0.25655349999999999</v>
      </c>
      <c r="AC313" s="3">
        <v>0.26058900000000002</v>
      </c>
      <c r="AD313" s="3">
        <v>0.2647234</v>
      </c>
      <c r="AE313" s="3">
        <v>0.26893119999999998</v>
      </c>
      <c r="AF313" s="3">
        <v>0.2731867</v>
      </c>
      <c r="AG313" s="3">
        <v>0.2774643</v>
      </c>
      <c r="AH313" s="3">
        <v>0.2817384</v>
      </c>
      <c r="AI313" s="3">
        <v>0.2859833</v>
      </c>
      <c r="AJ313" s="3">
        <v>0.29017349999999997</v>
      </c>
      <c r="AK313" s="3">
        <v>0.29428339999999997</v>
      </c>
      <c r="AL313" s="3">
        <v>0.29828719999999997</v>
      </c>
      <c r="AM313" s="3">
        <v>0.30215940000000002</v>
      </c>
      <c r="AN313" s="3">
        <v>0.30587439999999999</v>
      </c>
      <c r="AO313" s="3">
        <v>0.30941229999999997</v>
      </c>
      <c r="AP313" s="3">
        <v>0.31277670000000002</v>
      </c>
      <c r="AQ313" s="3">
        <v>0.3159767</v>
      </c>
      <c r="AR313" s="3">
        <v>0.31902160000000002</v>
      </c>
      <c r="AS313" s="3">
        <v>0.32192080000000001</v>
      </c>
      <c r="AT313" s="3">
        <v>0.32468340000000001</v>
      </c>
      <c r="AU313" s="3">
        <v>0.32731880000000002</v>
      </c>
      <c r="AV313" s="3">
        <v>0.32983620000000002</v>
      </c>
      <c r="AW313" s="3">
        <v>0.33224490000000001</v>
      </c>
      <c r="AX313" s="3">
        <v>0.33455410000000002</v>
      </c>
      <c r="AY313" s="3">
        <v>0.33677309999999999</v>
      </c>
      <c r="AZ313" s="3">
        <v>0.33891120000000002</v>
      </c>
      <c r="BA313" s="3">
        <v>0.34097719999999998</v>
      </c>
      <c r="BB313" s="3">
        <v>0.34297739999999999</v>
      </c>
      <c r="BC313" s="3">
        <v>0.34491739999999999</v>
      </c>
      <c r="BD313" s="3">
        <v>0.34680290000000003</v>
      </c>
      <c r="BE313" s="3">
        <v>0.34863939999999999</v>
      </c>
      <c r="BF313" s="3">
        <v>0.35043269999999999</v>
      </c>
      <c r="BG313" s="3">
        <v>0.35218820000000001</v>
      </c>
      <c r="BH313" s="3">
        <v>0.3539117</v>
      </c>
      <c r="BI313" s="3">
        <v>0.3556088</v>
      </c>
      <c r="BJ313" s="3">
        <v>0.35728500000000002</v>
      </c>
      <c r="BK313" s="3">
        <v>0.35894599999999999</v>
      </c>
      <c r="BL313" s="3">
        <v>0.36059750000000002</v>
      </c>
      <c r="BM313" s="3" t="e">
        <v>#N/A</v>
      </c>
      <c r="BN313" s="3" t="e">
        <v>#N/A</v>
      </c>
    </row>
    <row r="314" spans="1:66" x14ac:dyDescent="0.35">
      <c r="A314" s="5">
        <f t="shared" si="4"/>
        <v>43894</v>
      </c>
      <c r="B314" t="s">
        <v>391</v>
      </c>
      <c r="C314" s="2">
        <v>0.75</v>
      </c>
      <c r="D314" s="2">
        <v>0.71</v>
      </c>
      <c r="E314" s="3">
        <v>0.4080338</v>
      </c>
      <c r="F314" s="3">
        <v>0.33607920000000002</v>
      </c>
      <c r="G314" s="3">
        <v>0.29121770000000002</v>
      </c>
      <c r="H314" s="3">
        <v>0.26467950000000001</v>
      </c>
      <c r="I314" s="3">
        <v>0.24905330000000001</v>
      </c>
      <c r="J314" s="3">
        <v>0.2396877</v>
      </c>
      <c r="K314" s="3">
        <v>0.23412820000000001</v>
      </c>
      <c r="L314" s="3">
        <v>0.23113449999999999</v>
      </c>
      <c r="M314" s="3">
        <v>0.22995360000000001</v>
      </c>
      <c r="N314" s="3">
        <v>0.2299918</v>
      </c>
      <c r="O314" s="3">
        <v>0.2308114</v>
      </c>
      <c r="P314" s="3">
        <v>0.23208780000000001</v>
      </c>
      <c r="Q314" s="3">
        <v>0.2333723</v>
      </c>
      <c r="R314" s="3">
        <v>0.23456579999999999</v>
      </c>
      <c r="S314" s="3">
        <v>0.235678</v>
      </c>
      <c r="T314" s="3">
        <v>0.23671890000000001</v>
      </c>
      <c r="U314" s="3">
        <v>0.2376982</v>
      </c>
      <c r="V314" s="3">
        <v>0.2386259</v>
      </c>
      <c r="W314" s="3">
        <v>0.23952100000000001</v>
      </c>
      <c r="X314" s="3">
        <v>0.24045649999999999</v>
      </c>
      <c r="Y314" s="3">
        <v>0.24152370000000001</v>
      </c>
      <c r="Z314" s="3">
        <v>0.24281430000000001</v>
      </c>
      <c r="AA314" s="3">
        <v>0.24441969999999999</v>
      </c>
      <c r="AB314" s="3">
        <v>0.2464316</v>
      </c>
      <c r="AC314" s="3">
        <v>0.24891740000000001</v>
      </c>
      <c r="AD314" s="3">
        <v>0.25184770000000001</v>
      </c>
      <c r="AE314" s="3">
        <v>0.25516939999999999</v>
      </c>
      <c r="AF314" s="3">
        <v>0.25882899999999998</v>
      </c>
      <c r="AG314" s="3">
        <v>0.26277319999999998</v>
      </c>
      <c r="AH314" s="3">
        <v>0.26694869999999998</v>
      </c>
      <c r="AI314" s="3">
        <v>0.27130219999999999</v>
      </c>
      <c r="AJ314" s="3">
        <v>0.27578029999999998</v>
      </c>
      <c r="AK314" s="3">
        <v>0.28032970000000001</v>
      </c>
      <c r="AL314" s="3">
        <v>0.28489700000000001</v>
      </c>
      <c r="AM314" s="3">
        <v>0.28942889999999999</v>
      </c>
      <c r="AN314" s="3">
        <v>0.29387210000000002</v>
      </c>
      <c r="AO314" s="3">
        <v>0.29818050000000001</v>
      </c>
      <c r="AP314" s="3">
        <v>0.30234440000000001</v>
      </c>
      <c r="AQ314" s="3">
        <v>0.30636449999999998</v>
      </c>
      <c r="AR314" s="3">
        <v>0.31024190000000001</v>
      </c>
      <c r="AS314" s="3">
        <v>0.31397770000000003</v>
      </c>
      <c r="AT314" s="3">
        <v>0.31757259999999998</v>
      </c>
      <c r="AU314" s="3">
        <v>0.32102789999999998</v>
      </c>
      <c r="AV314" s="3">
        <v>0.32434429999999997</v>
      </c>
      <c r="AW314" s="3">
        <v>0.32752300000000001</v>
      </c>
      <c r="AX314" s="3">
        <v>0.33056489999999999</v>
      </c>
      <c r="AY314" s="3">
        <v>0.33347090000000001</v>
      </c>
      <c r="AZ314" s="3">
        <v>0.33624209999999999</v>
      </c>
      <c r="BA314" s="3">
        <v>0.33888109999999999</v>
      </c>
      <c r="BB314" s="3">
        <v>0.34139770000000003</v>
      </c>
      <c r="BC314" s="3">
        <v>0.34380379999999999</v>
      </c>
      <c r="BD314" s="3">
        <v>0.34611130000000001</v>
      </c>
      <c r="BE314" s="3">
        <v>0.34833190000000003</v>
      </c>
      <c r="BF314" s="3">
        <v>0.3504777</v>
      </c>
      <c r="BG314" s="3">
        <v>0.35256029999999999</v>
      </c>
      <c r="BH314" s="3">
        <v>0.35459160000000001</v>
      </c>
      <c r="BI314" s="3">
        <v>0.3565836</v>
      </c>
      <c r="BJ314" s="3">
        <v>0.35854809999999998</v>
      </c>
      <c r="BK314" s="3">
        <v>0.36049690000000001</v>
      </c>
      <c r="BL314" s="3">
        <v>0.36244179999999998</v>
      </c>
      <c r="BM314" s="3" t="e">
        <v>#N/A</v>
      </c>
      <c r="BN314" s="3" t="e">
        <v>#N/A</v>
      </c>
    </row>
    <row r="315" spans="1:66" x14ac:dyDescent="0.35">
      <c r="A315" s="5">
        <f t="shared" si="4"/>
        <v>43895</v>
      </c>
      <c r="B315" t="s">
        <v>392</v>
      </c>
      <c r="C315" s="2">
        <v>0.75</v>
      </c>
      <c r="D315" s="2">
        <v>0.70889999999999997</v>
      </c>
      <c r="E315" s="3">
        <v>0.37620320000000002</v>
      </c>
      <c r="F315" s="3">
        <v>0.32548319999999997</v>
      </c>
      <c r="G315" s="3">
        <v>0.28375990000000001</v>
      </c>
      <c r="H315" s="3">
        <v>0.24868989999999999</v>
      </c>
      <c r="I315" s="3">
        <v>0.22233120000000001</v>
      </c>
      <c r="J315" s="3">
        <v>0.2051489</v>
      </c>
      <c r="K315" s="3">
        <v>0.1953841</v>
      </c>
      <c r="L315" s="3">
        <v>0.19063089999999999</v>
      </c>
      <c r="M315" s="3">
        <v>0.1884381</v>
      </c>
      <c r="N315" s="3">
        <v>0.18721699999999999</v>
      </c>
      <c r="O315" s="3">
        <v>0.18610579999999999</v>
      </c>
      <c r="P315" s="3">
        <v>0.1847269</v>
      </c>
      <c r="Q315" s="3">
        <v>0.1826922</v>
      </c>
      <c r="R315" s="3">
        <v>0.18013970000000001</v>
      </c>
      <c r="S315" s="3">
        <v>0.17736109999999999</v>
      </c>
      <c r="T315" s="3">
        <v>0.17464840000000001</v>
      </c>
      <c r="U315" s="3">
        <v>0.17229340000000001</v>
      </c>
      <c r="V315" s="3">
        <v>0.17058799999999999</v>
      </c>
      <c r="W315" s="3">
        <v>0.16977320000000001</v>
      </c>
      <c r="X315" s="3">
        <v>0.16983000000000001</v>
      </c>
      <c r="Y315" s="3">
        <v>0.17065630000000001</v>
      </c>
      <c r="Z315" s="3">
        <v>0.17214989999999999</v>
      </c>
      <c r="AA315" s="3">
        <v>0.17420859999999999</v>
      </c>
      <c r="AB315" s="3">
        <v>0.17673040000000001</v>
      </c>
      <c r="AC315" s="3">
        <v>0.1796208</v>
      </c>
      <c r="AD315" s="3">
        <v>0.1828236</v>
      </c>
      <c r="AE315" s="3">
        <v>0.18629419999999999</v>
      </c>
      <c r="AF315" s="3">
        <v>0.18998780000000001</v>
      </c>
      <c r="AG315" s="3">
        <v>0.1938599</v>
      </c>
      <c r="AH315" s="3">
        <v>0.19786570000000001</v>
      </c>
      <c r="AI315" s="3">
        <v>0.20196069999999999</v>
      </c>
      <c r="AJ315" s="3">
        <v>0.20610010000000001</v>
      </c>
      <c r="AK315" s="3">
        <v>0.21023929999999999</v>
      </c>
      <c r="AL315" s="3">
        <v>0.21433369999999999</v>
      </c>
      <c r="AM315" s="3">
        <v>0.21833849999999999</v>
      </c>
      <c r="AN315" s="3">
        <v>0.2222092</v>
      </c>
      <c r="AO315" s="3">
        <v>0.22590930000000001</v>
      </c>
      <c r="AP315" s="3">
        <v>0.2294389</v>
      </c>
      <c r="AQ315" s="3">
        <v>0.2328083</v>
      </c>
      <c r="AR315" s="3">
        <v>0.23602770000000001</v>
      </c>
      <c r="AS315" s="3">
        <v>0.23910719999999999</v>
      </c>
      <c r="AT315" s="3">
        <v>0.24205689999999999</v>
      </c>
      <c r="AU315" s="3">
        <v>0.2448872</v>
      </c>
      <c r="AV315" s="3">
        <v>0.2476082</v>
      </c>
      <c r="AW315" s="3">
        <v>0.25023010000000001</v>
      </c>
      <c r="AX315" s="3">
        <v>0.25276310000000002</v>
      </c>
      <c r="AY315" s="3">
        <v>0.25521729999999998</v>
      </c>
      <c r="AZ315" s="3">
        <v>0.25760300000000003</v>
      </c>
      <c r="BA315" s="3">
        <v>0.25992979999999999</v>
      </c>
      <c r="BB315" s="3">
        <v>0.26220510000000002</v>
      </c>
      <c r="BC315" s="3">
        <v>0.26443549999999999</v>
      </c>
      <c r="BD315" s="3">
        <v>0.26662760000000002</v>
      </c>
      <c r="BE315" s="3">
        <v>0.26878829999999998</v>
      </c>
      <c r="BF315" s="3">
        <v>0.2709241</v>
      </c>
      <c r="BG315" s="3">
        <v>0.2730418</v>
      </c>
      <c r="BH315" s="3">
        <v>0.275148</v>
      </c>
      <c r="BI315" s="3">
        <v>0.27724939999999998</v>
      </c>
      <c r="BJ315" s="3">
        <v>0.27935270000000001</v>
      </c>
      <c r="BK315" s="3">
        <v>0.28146450000000001</v>
      </c>
      <c r="BL315" s="3">
        <v>0.2835916</v>
      </c>
      <c r="BM315" s="3" t="e">
        <v>#N/A</v>
      </c>
      <c r="BN315" s="3" t="e">
        <v>#N/A</v>
      </c>
    </row>
    <row r="316" spans="1:66" x14ac:dyDescent="0.35">
      <c r="A316" s="5">
        <f t="shared" si="4"/>
        <v>43896</v>
      </c>
      <c r="B316" t="s">
        <v>393</v>
      </c>
      <c r="C316" s="2">
        <v>0.75</v>
      </c>
      <c r="D316" s="2">
        <v>0.7087</v>
      </c>
      <c r="E316" s="3">
        <v>0.40269300000000002</v>
      </c>
      <c r="F316" s="3">
        <v>0.32722449999999997</v>
      </c>
      <c r="G316" s="3">
        <v>0.27855390000000002</v>
      </c>
      <c r="H316" s="3">
        <v>0.25265890000000002</v>
      </c>
      <c r="I316" s="3">
        <v>0.2405052</v>
      </c>
      <c r="J316" s="3">
        <v>0.2346037</v>
      </c>
      <c r="K316" s="3">
        <v>0.23045689999999999</v>
      </c>
      <c r="L316" s="3">
        <v>0.22618849999999999</v>
      </c>
      <c r="M316" s="3">
        <v>0.2212575</v>
      </c>
      <c r="N316" s="3">
        <v>0.21568760000000001</v>
      </c>
      <c r="O316" s="3">
        <v>0.20975579999999999</v>
      </c>
      <c r="P316" s="3">
        <v>0.2038481</v>
      </c>
      <c r="Q316" s="3">
        <v>0.1986165</v>
      </c>
      <c r="R316" s="3">
        <v>0.1942489</v>
      </c>
      <c r="S316" s="3">
        <v>0.1907461</v>
      </c>
      <c r="T316" s="3">
        <v>0.1881091</v>
      </c>
      <c r="U316" s="3">
        <v>0.1863389</v>
      </c>
      <c r="V316" s="3">
        <v>0.1854364</v>
      </c>
      <c r="W316" s="3">
        <v>0.1853774</v>
      </c>
      <c r="X316" s="3">
        <v>0.18602179999999999</v>
      </c>
      <c r="Y316" s="3">
        <v>0.18719569999999999</v>
      </c>
      <c r="Z316" s="3">
        <v>0.188725</v>
      </c>
      <c r="AA316" s="3">
        <v>0.19043599999999999</v>
      </c>
      <c r="AB316" s="3">
        <v>0.19215470000000001</v>
      </c>
      <c r="AC316" s="3">
        <v>0.19373460000000001</v>
      </c>
      <c r="AD316" s="3">
        <v>0.19515089999999999</v>
      </c>
      <c r="AE316" s="3">
        <v>0.19641210000000001</v>
      </c>
      <c r="AF316" s="3">
        <v>0.1975266</v>
      </c>
      <c r="AG316" s="3">
        <v>0.19850309999999999</v>
      </c>
      <c r="AH316" s="3">
        <v>0.19935</v>
      </c>
      <c r="AI316" s="3">
        <v>0.2000759</v>
      </c>
      <c r="AJ316" s="3">
        <v>0.20068929999999999</v>
      </c>
      <c r="AK316" s="3">
        <v>0.20119870000000001</v>
      </c>
      <c r="AL316" s="3">
        <v>0.2016126</v>
      </c>
      <c r="AM316" s="3">
        <v>0.2019397</v>
      </c>
      <c r="AN316" s="3">
        <v>0.20218839999999999</v>
      </c>
      <c r="AO316" s="3">
        <v>0.20236799999999999</v>
      </c>
      <c r="AP316" s="3">
        <v>0.20249130000000001</v>
      </c>
      <c r="AQ316" s="3">
        <v>0.20257169999999999</v>
      </c>
      <c r="AR316" s="3">
        <v>0.20262269999999999</v>
      </c>
      <c r="AS316" s="3">
        <v>0.2026578</v>
      </c>
      <c r="AT316" s="3">
        <v>0.2026905</v>
      </c>
      <c r="AU316" s="3">
        <v>0.20273430000000001</v>
      </c>
      <c r="AV316" s="3">
        <v>0.2028026</v>
      </c>
      <c r="AW316" s="3">
        <v>0.2029089</v>
      </c>
      <c r="AX316" s="3">
        <v>0.20306679999999999</v>
      </c>
      <c r="AY316" s="3">
        <v>0.20328969999999999</v>
      </c>
      <c r="AZ316" s="3">
        <v>0.20359099999999999</v>
      </c>
      <c r="BA316" s="3">
        <v>0.2039822</v>
      </c>
      <c r="BB316" s="3">
        <v>0.20446439999999999</v>
      </c>
      <c r="BC316" s="3">
        <v>0.2050363</v>
      </c>
      <c r="BD316" s="3">
        <v>0.2056965</v>
      </c>
      <c r="BE316" s="3">
        <v>0.20644370000000001</v>
      </c>
      <c r="BF316" s="3">
        <v>0.2072765</v>
      </c>
      <c r="BG316" s="3">
        <v>0.2081934</v>
      </c>
      <c r="BH316" s="3">
        <v>0.20919309999999999</v>
      </c>
      <c r="BI316" s="3">
        <v>0.21027419999999999</v>
      </c>
      <c r="BJ316" s="3">
        <v>0.2114354</v>
      </c>
      <c r="BK316" s="3">
        <v>0.21267520000000001</v>
      </c>
      <c r="BL316" s="3">
        <v>0.21399219999999999</v>
      </c>
      <c r="BM316" s="3" t="e">
        <v>#N/A</v>
      </c>
      <c r="BN316" s="3" t="e">
        <v>#N/A</v>
      </c>
    </row>
    <row r="317" spans="1:66" x14ac:dyDescent="0.35">
      <c r="A317" s="5">
        <f t="shared" si="4"/>
        <v>43899</v>
      </c>
      <c r="B317" t="s">
        <v>394</v>
      </c>
      <c r="C317" s="2">
        <v>0.75</v>
      </c>
      <c r="D317" s="2">
        <v>0.70909999999999995</v>
      </c>
      <c r="E317" s="3">
        <v>0.30173359999999999</v>
      </c>
      <c r="F317" s="3">
        <v>0.27053430000000001</v>
      </c>
      <c r="G317" s="3">
        <v>0.26124849999999999</v>
      </c>
      <c r="H317" s="3">
        <v>0.25925670000000001</v>
      </c>
      <c r="I317" s="3">
        <v>0.25146299999999999</v>
      </c>
      <c r="J317" s="3">
        <v>0.2372512</v>
      </c>
      <c r="K317" s="3">
        <v>0.2215819</v>
      </c>
      <c r="L317" s="3">
        <v>0.2096008</v>
      </c>
      <c r="M317" s="3">
        <v>0.20237530000000001</v>
      </c>
      <c r="N317" s="3">
        <v>0.19757749999999999</v>
      </c>
      <c r="O317" s="3">
        <v>0.19330720000000001</v>
      </c>
      <c r="P317" s="3">
        <v>0.18942329999999999</v>
      </c>
      <c r="Q317" s="3">
        <v>0.18670419999999999</v>
      </c>
      <c r="R317" s="3">
        <v>0.18505350000000001</v>
      </c>
      <c r="S317" s="3">
        <v>0.18410009999999999</v>
      </c>
      <c r="T317" s="3">
        <v>0.1834731</v>
      </c>
      <c r="U317" s="3">
        <v>0.1828014</v>
      </c>
      <c r="V317" s="3">
        <v>0.18171390000000001</v>
      </c>
      <c r="W317" s="3">
        <v>0.17992379999999999</v>
      </c>
      <c r="X317" s="3">
        <v>0.177535</v>
      </c>
      <c r="Y317" s="3">
        <v>0.1747649</v>
      </c>
      <c r="Z317" s="3">
        <v>0.1718305</v>
      </c>
      <c r="AA317" s="3">
        <v>0.16894909999999999</v>
      </c>
      <c r="AB317" s="3">
        <v>0.16633780000000001</v>
      </c>
      <c r="AC317" s="3">
        <v>0.16417219999999999</v>
      </c>
      <c r="AD317" s="3">
        <v>0.16246079999999999</v>
      </c>
      <c r="AE317" s="3">
        <v>0.1611707</v>
      </c>
      <c r="AF317" s="3">
        <v>0.16026860000000001</v>
      </c>
      <c r="AG317" s="3">
        <v>0.15972159999999999</v>
      </c>
      <c r="AH317" s="3">
        <v>0.15949640000000001</v>
      </c>
      <c r="AI317" s="3">
        <v>0.15956010000000001</v>
      </c>
      <c r="AJ317" s="3">
        <v>0.15987950000000001</v>
      </c>
      <c r="AK317" s="3">
        <v>0.1604216</v>
      </c>
      <c r="AL317" s="3">
        <v>0.1611532</v>
      </c>
      <c r="AM317" s="3">
        <v>0.1620413</v>
      </c>
      <c r="AN317" s="3">
        <v>0.1630528</v>
      </c>
      <c r="AO317" s="3">
        <v>0.16415650000000001</v>
      </c>
      <c r="AP317" s="3">
        <v>0.16532920000000001</v>
      </c>
      <c r="AQ317" s="3">
        <v>0.16654959999999999</v>
      </c>
      <c r="AR317" s="3">
        <v>0.16779620000000001</v>
      </c>
      <c r="AS317" s="3">
        <v>0.1690479</v>
      </c>
      <c r="AT317" s="3">
        <v>0.1702832</v>
      </c>
      <c r="AU317" s="3">
        <v>0.17148089999999999</v>
      </c>
      <c r="AV317" s="3">
        <v>0.17261950000000001</v>
      </c>
      <c r="AW317" s="3">
        <v>0.1736779</v>
      </c>
      <c r="AX317" s="3">
        <v>0.1746346</v>
      </c>
      <c r="AY317" s="3">
        <v>0.17546829999999999</v>
      </c>
      <c r="AZ317" s="3">
        <v>0.1761578</v>
      </c>
      <c r="BA317" s="3">
        <v>0.1766858</v>
      </c>
      <c r="BB317" s="3">
        <v>0.1770581</v>
      </c>
      <c r="BC317" s="3">
        <v>0.1772879</v>
      </c>
      <c r="BD317" s="3">
        <v>0.1773884</v>
      </c>
      <c r="BE317" s="3">
        <v>0.177373</v>
      </c>
      <c r="BF317" s="3">
        <v>0.17725489999999999</v>
      </c>
      <c r="BG317" s="3">
        <v>0.17704729999999999</v>
      </c>
      <c r="BH317" s="3">
        <v>0.17676359999999999</v>
      </c>
      <c r="BI317" s="3">
        <v>0.17641689999999999</v>
      </c>
      <c r="BJ317" s="3">
        <v>0.1760206</v>
      </c>
      <c r="BK317" s="3">
        <v>0.17558789999999999</v>
      </c>
      <c r="BL317" s="3">
        <v>0.17513219999999999</v>
      </c>
      <c r="BM317" s="3" t="e">
        <v>#N/A</v>
      </c>
      <c r="BN317" s="3" t="e">
        <v>#N/A</v>
      </c>
    </row>
    <row r="318" spans="1:66" x14ac:dyDescent="0.35">
      <c r="A318" s="5">
        <f t="shared" si="4"/>
        <v>43900</v>
      </c>
      <c r="B318" t="s">
        <v>395</v>
      </c>
      <c r="C318" s="2">
        <v>0.75</v>
      </c>
      <c r="D318" s="2">
        <v>0.70909999999999995</v>
      </c>
      <c r="E318" s="3">
        <v>0.3457498</v>
      </c>
      <c r="F318" s="3">
        <v>0.29538550000000002</v>
      </c>
      <c r="G318" s="3">
        <v>0.26770569999999999</v>
      </c>
      <c r="H318" s="3">
        <v>0.25530340000000001</v>
      </c>
      <c r="I318" s="3">
        <v>0.25009789999999998</v>
      </c>
      <c r="J318" s="3">
        <v>0.2474655</v>
      </c>
      <c r="K318" s="3">
        <v>0.24558830000000001</v>
      </c>
      <c r="L318" s="3">
        <v>0.24375369999999999</v>
      </c>
      <c r="M318" s="3">
        <v>0.24181549999999999</v>
      </c>
      <c r="N318" s="3">
        <v>0.23989820000000001</v>
      </c>
      <c r="O318" s="3">
        <v>0.23820549999999999</v>
      </c>
      <c r="P318" s="3">
        <v>0.23692270000000001</v>
      </c>
      <c r="Q318" s="3">
        <v>0.23623430000000001</v>
      </c>
      <c r="R318" s="3">
        <v>0.2361076</v>
      </c>
      <c r="S318" s="3">
        <v>0.23644999999999999</v>
      </c>
      <c r="T318" s="3">
        <v>0.23716880000000001</v>
      </c>
      <c r="U318" s="3">
        <v>0.2381712</v>
      </c>
      <c r="V318" s="3">
        <v>0.23936470000000001</v>
      </c>
      <c r="W318" s="3">
        <v>0.24066679999999999</v>
      </c>
      <c r="X318" s="3">
        <v>0.24204349999999999</v>
      </c>
      <c r="Y318" s="3">
        <v>0.24347489999999999</v>
      </c>
      <c r="Z318" s="3">
        <v>0.24494089999999999</v>
      </c>
      <c r="AA318" s="3">
        <v>0.24642149999999999</v>
      </c>
      <c r="AB318" s="3">
        <v>0.24789659999999999</v>
      </c>
      <c r="AC318" s="3">
        <v>0.2493493</v>
      </c>
      <c r="AD318" s="3">
        <v>0.25077519999999998</v>
      </c>
      <c r="AE318" s="3">
        <v>0.25217289999999998</v>
      </c>
      <c r="AF318" s="3">
        <v>0.25354110000000002</v>
      </c>
      <c r="AG318" s="3">
        <v>0.25487850000000001</v>
      </c>
      <c r="AH318" s="3">
        <v>0.25618360000000001</v>
      </c>
      <c r="AI318" s="3">
        <v>0.2574552</v>
      </c>
      <c r="AJ318" s="3">
        <v>0.25869189999999997</v>
      </c>
      <c r="AK318" s="3">
        <v>0.25989230000000002</v>
      </c>
      <c r="AL318" s="3">
        <v>0.26105509999999998</v>
      </c>
      <c r="AM318" s="3">
        <v>0.262179</v>
      </c>
      <c r="AN318" s="3">
        <v>0.26326260000000001</v>
      </c>
      <c r="AO318" s="3">
        <v>0.26430480000000001</v>
      </c>
      <c r="AP318" s="3">
        <v>0.26530520000000002</v>
      </c>
      <c r="AQ318" s="3">
        <v>0.26626369999999999</v>
      </c>
      <c r="AR318" s="3">
        <v>0.26718009999999998</v>
      </c>
      <c r="AS318" s="3">
        <v>0.26805420000000002</v>
      </c>
      <c r="AT318" s="3">
        <v>0.26888600000000001</v>
      </c>
      <c r="AU318" s="3">
        <v>0.2696752</v>
      </c>
      <c r="AV318" s="3">
        <v>0.27042169999999999</v>
      </c>
      <c r="AW318" s="3">
        <v>0.27112540000000002</v>
      </c>
      <c r="AX318" s="3">
        <v>0.27178609999999997</v>
      </c>
      <c r="AY318" s="3">
        <v>0.27240360000000002</v>
      </c>
      <c r="AZ318" s="3">
        <v>0.2729779</v>
      </c>
      <c r="BA318" s="3">
        <v>0.27350930000000001</v>
      </c>
      <c r="BB318" s="3">
        <v>0.27400099999999999</v>
      </c>
      <c r="BC318" s="3">
        <v>0.27445720000000001</v>
      </c>
      <c r="BD318" s="3">
        <v>0.27488190000000001</v>
      </c>
      <c r="BE318" s="3">
        <v>0.2752792</v>
      </c>
      <c r="BF318" s="3">
        <v>0.27565319999999999</v>
      </c>
      <c r="BG318" s="3">
        <v>0.27600809999999998</v>
      </c>
      <c r="BH318" s="3">
        <v>0.27634779999999998</v>
      </c>
      <c r="BI318" s="3">
        <v>0.27667639999999999</v>
      </c>
      <c r="BJ318" s="3">
        <v>0.27699820000000003</v>
      </c>
      <c r="BK318" s="3">
        <v>0.27731699999999998</v>
      </c>
      <c r="BL318" s="3">
        <v>0.27763710000000003</v>
      </c>
      <c r="BM318" s="3" t="e">
        <v>#N/A</v>
      </c>
      <c r="BN318" s="3" t="e">
        <v>#N/A</v>
      </c>
    </row>
    <row r="319" spans="1:66" x14ac:dyDescent="0.35">
      <c r="A319" s="5">
        <f t="shared" si="4"/>
        <v>43901</v>
      </c>
      <c r="B319" t="s">
        <v>396</v>
      </c>
      <c r="C319" s="2">
        <v>0.25</v>
      </c>
      <c r="D319" s="2">
        <v>0.2092</v>
      </c>
      <c r="E319" s="3">
        <v>0.18113899999999999</v>
      </c>
      <c r="F319" s="3">
        <v>0.16127089999999999</v>
      </c>
      <c r="G319" s="3">
        <v>0.150423</v>
      </c>
      <c r="H319" s="3">
        <v>0.14833460000000001</v>
      </c>
      <c r="I319" s="3">
        <v>0.15108730000000001</v>
      </c>
      <c r="J319" s="3">
        <v>0.15571180000000001</v>
      </c>
      <c r="K319" s="3">
        <v>0.1608299</v>
      </c>
      <c r="L319" s="3">
        <v>0.16601170000000001</v>
      </c>
      <c r="M319" s="3">
        <v>0.1711965</v>
      </c>
      <c r="N319" s="3">
        <v>0.1762996</v>
      </c>
      <c r="O319" s="3">
        <v>0.18120230000000001</v>
      </c>
      <c r="P319" s="3">
        <v>0.18586069999999999</v>
      </c>
      <c r="Q319" s="3">
        <v>0.1902731</v>
      </c>
      <c r="R319" s="3">
        <v>0.1945569</v>
      </c>
      <c r="S319" s="3">
        <v>0.1988605</v>
      </c>
      <c r="T319" s="3">
        <v>0.2033324</v>
      </c>
      <c r="U319" s="3">
        <v>0.208121</v>
      </c>
      <c r="V319" s="3">
        <v>0.2133746</v>
      </c>
      <c r="W319" s="3">
        <v>0.21920200000000001</v>
      </c>
      <c r="X319" s="3">
        <v>0.2254862</v>
      </c>
      <c r="Y319" s="3">
        <v>0.23203099999999999</v>
      </c>
      <c r="Z319" s="3">
        <v>0.2386402</v>
      </c>
      <c r="AA319" s="3">
        <v>0.24511730000000001</v>
      </c>
      <c r="AB319" s="3">
        <v>0.2512662</v>
      </c>
      <c r="AC319" s="3">
        <v>0.2569285</v>
      </c>
      <c r="AD319" s="3">
        <v>0.26209690000000002</v>
      </c>
      <c r="AE319" s="3">
        <v>0.2668024</v>
      </c>
      <c r="AF319" s="3">
        <v>0.27107569999999998</v>
      </c>
      <c r="AG319" s="3">
        <v>0.27494760000000001</v>
      </c>
      <c r="AH319" s="3">
        <v>0.2784489</v>
      </c>
      <c r="AI319" s="3">
        <v>0.28161029999999998</v>
      </c>
      <c r="AJ319" s="3">
        <v>0.28446280000000002</v>
      </c>
      <c r="AK319" s="3">
        <v>0.28703689999999998</v>
      </c>
      <c r="AL319" s="3">
        <v>0.2893637</v>
      </c>
      <c r="AM319" s="3">
        <v>0.2914737</v>
      </c>
      <c r="AN319" s="3">
        <v>0.29339789999999999</v>
      </c>
      <c r="AO319" s="3">
        <v>0.2951647</v>
      </c>
      <c r="AP319" s="3">
        <v>0.29679179999999999</v>
      </c>
      <c r="AQ319" s="3">
        <v>0.29829349999999999</v>
      </c>
      <c r="AR319" s="3">
        <v>0.2996839</v>
      </c>
      <c r="AS319" s="3">
        <v>0.30097750000000001</v>
      </c>
      <c r="AT319" s="3">
        <v>0.30218850000000003</v>
      </c>
      <c r="AU319" s="3">
        <v>0.30333120000000002</v>
      </c>
      <c r="AV319" s="3">
        <v>0.30441970000000002</v>
      </c>
      <c r="AW319" s="3">
        <v>0.30546859999999998</v>
      </c>
      <c r="AX319" s="3">
        <v>0.30649189999999998</v>
      </c>
      <c r="AY319" s="3">
        <v>0.307504</v>
      </c>
      <c r="AZ319" s="3">
        <v>0.30851919999999999</v>
      </c>
      <c r="BA319" s="3">
        <v>0.30954939999999997</v>
      </c>
      <c r="BB319" s="3">
        <v>0.31059639999999999</v>
      </c>
      <c r="BC319" s="3">
        <v>0.31165890000000002</v>
      </c>
      <c r="BD319" s="3">
        <v>0.31273580000000001</v>
      </c>
      <c r="BE319" s="3">
        <v>0.31382599999999999</v>
      </c>
      <c r="BF319" s="3">
        <v>0.3149284</v>
      </c>
      <c r="BG319" s="3">
        <v>0.31604179999999998</v>
      </c>
      <c r="BH319" s="3">
        <v>0.31716509999999998</v>
      </c>
      <c r="BI319" s="3">
        <v>0.3182971</v>
      </c>
      <c r="BJ319" s="3">
        <v>0.31943660000000001</v>
      </c>
      <c r="BK319" s="3">
        <v>0.3205827</v>
      </c>
      <c r="BL319" s="3">
        <v>0.32173400000000002</v>
      </c>
      <c r="BM319" s="3" t="e">
        <v>#N/A</v>
      </c>
      <c r="BN319" s="3" t="e">
        <v>#N/A</v>
      </c>
    </row>
    <row r="320" spans="1:66" x14ac:dyDescent="0.35">
      <c r="A320" s="5">
        <f t="shared" si="4"/>
        <v>43902</v>
      </c>
      <c r="B320" t="s">
        <v>397</v>
      </c>
      <c r="C320" s="2">
        <v>0.25</v>
      </c>
      <c r="D320" s="2">
        <v>0.20930000000000001</v>
      </c>
      <c r="E320" s="3">
        <v>0.15082319999999999</v>
      </c>
      <c r="F320" s="3">
        <v>0.14946010000000001</v>
      </c>
      <c r="G320" s="3">
        <v>0.14875459999999999</v>
      </c>
      <c r="H320" s="3">
        <v>0.14931900000000001</v>
      </c>
      <c r="I320" s="3">
        <v>0.15090680000000001</v>
      </c>
      <c r="J320" s="3">
        <v>0.15444440000000001</v>
      </c>
      <c r="K320" s="3">
        <v>0.16064439999999999</v>
      </c>
      <c r="L320" s="3">
        <v>0.16924529999999999</v>
      </c>
      <c r="M320" s="3">
        <v>0.1792405</v>
      </c>
      <c r="N320" s="3">
        <v>0.18968930000000001</v>
      </c>
      <c r="O320" s="3">
        <v>0.19992109999999999</v>
      </c>
      <c r="P320" s="3">
        <v>0.20949039999999999</v>
      </c>
      <c r="Q320" s="3">
        <v>0.21776470000000001</v>
      </c>
      <c r="R320" s="3">
        <v>0.2247884</v>
      </c>
      <c r="S320" s="3">
        <v>0.23081299999999999</v>
      </c>
      <c r="T320" s="3">
        <v>0.23608979999999999</v>
      </c>
      <c r="U320" s="3">
        <v>0.2408701</v>
      </c>
      <c r="V320" s="3">
        <v>0.2454054</v>
      </c>
      <c r="W320" s="3">
        <v>0.24992049999999999</v>
      </c>
      <c r="X320" s="3">
        <v>0.25450450000000002</v>
      </c>
      <c r="Y320" s="3">
        <v>0.25920300000000002</v>
      </c>
      <c r="Z320" s="3">
        <v>0.26406180000000001</v>
      </c>
      <c r="AA320" s="3">
        <v>0.26912649999999999</v>
      </c>
      <c r="AB320" s="3">
        <v>0.27444289999999999</v>
      </c>
      <c r="AC320" s="3">
        <v>0.28004190000000001</v>
      </c>
      <c r="AD320" s="3">
        <v>0.28588269999999999</v>
      </c>
      <c r="AE320" s="3">
        <v>0.29190260000000001</v>
      </c>
      <c r="AF320" s="3">
        <v>0.298039</v>
      </c>
      <c r="AG320" s="3">
        <v>0.30422929999999998</v>
      </c>
      <c r="AH320" s="3">
        <v>0.31041079999999999</v>
      </c>
      <c r="AI320" s="3">
        <v>0.31652079999999999</v>
      </c>
      <c r="AJ320" s="3">
        <v>0.32249670000000003</v>
      </c>
      <c r="AK320" s="3">
        <v>0.32827580000000001</v>
      </c>
      <c r="AL320" s="3">
        <v>0.33379560000000003</v>
      </c>
      <c r="AM320" s="3">
        <v>0.33899319999999999</v>
      </c>
      <c r="AN320" s="3">
        <v>0.34380620000000001</v>
      </c>
      <c r="AO320" s="3">
        <v>0.34818209999999999</v>
      </c>
      <c r="AP320" s="3">
        <v>0.3521147</v>
      </c>
      <c r="AQ320" s="3">
        <v>0.35561009999999998</v>
      </c>
      <c r="AR320" s="3">
        <v>0.35867460000000001</v>
      </c>
      <c r="AS320" s="3">
        <v>0.36131449999999998</v>
      </c>
      <c r="AT320" s="3">
        <v>0.36353590000000002</v>
      </c>
      <c r="AU320" s="3">
        <v>0.36534509999999998</v>
      </c>
      <c r="AV320" s="3">
        <v>0.36674839999999997</v>
      </c>
      <c r="AW320" s="3">
        <v>0.36775200000000002</v>
      </c>
      <c r="AX320" s="3">
        <v>0.36836210000000003</v>
      </c>
      <c r="AY320" s="3">
        <v>0.368585</v>
      </c>
      <c r="AZ320" s="3">
        <v>0.3684269</v>
      </c>
      <c r="BA320" s="3">
        <v>0.36789699999999997</v>
      </c>
      <c r="BB320" s="3">
        <v>0.36701729999999999</v>
      </c>
      <c r="BC320" s="3">
        <v>0.3658131</v>
      </c>
      <c r="BD320" s="3">
        <v>0.36431010000000003</v>
      </c>
      <c r="BE320" s="3">
        <v>0.36253370000000001</v>
      </c>
      <c r="BF320" s="3">
        <v>0.36050939999999998</v>
      </c>
      <c r="BG320" s="3">
        <v>0.35826279999999999</v>
      </c>
      <c r="BH320" s="3">
        <v>0.35581930000000001</v>
      </c>
      <c r="BI320" s="3">
        <v>0.35320439999999997</v>
      </c>
      <c r="BJ320" s="3">
        <v>0.35044360000000002</v>
      </c>
      <c r="BK320" s="3">
        <v>0.34756239999999999</v>
      </c>
      <c r="BL320" s="3">
        <v>0.34458630000000001</v>
      </c>
      <c r="BM320" s="3" t="e">
        <v>#N/A</v>
      </c>
      <c r="BN320" s="3" t="e">
        <v>#N/A</v>
      </c>
    </row>
    <row r="321" spans="1:66" x14ac:dyDescent="0.35">
      <c r="A321" s="5">
        <f t="shared" si="4"/>
        <v>43903</v>
      </c>
      <c r="B321" t="s">
        <v>398</v>
      </c>
      <c r="C321" s="2">
        <v>0.25</v>
      </c>
      <c r="D321" s="2">
        <v>0.20930000000000001</v>
      </c>
      <c r="E321" s="3">
        <v>0.1598223</v>
      </c>
      <c r="F321" s="3">
        <v>0.15394479999999999</v>
      </c>
      <c r="G321" s="3">
        <v>0.15145339999999999</v>
      </c>
      <c r="H321" s="3">
        <v>0.15416769999999999</v>
      </c>
      <c r="I321" s="3">
        <v>0.1600241</v>
      </c>
      <c r="J321" s="3">
        <v>0.16740820000000001</v>
      </c>
      <c r="K321" s="3">
        <v>0.1759522</v>
      </c>
      <c r="L321" s="3">
        <v>0.18593370000000001</v>
      </c>
      <c r="M321" s="3">
        <v>0.1974196</v>
      </c>
      <c r="N321" s="3">
        <v>0.20994360000000001</v>
      </c>
      <c r="O321" s="3">
        <v>0.22267029999999999</v>
      </c>
      <c r="P321" s="3">
        <v>0.23475209999999999</v>
      </c>
      <c r="Q321" s="3">
        <v>0.24459610000000001</v>
      </c>
      <c r="R321" s="3">
        <v>0.25214160000000002</v>
      </c>
      <c r="S321" s="3">
        <v>0.25793860000000002</v>
      </c>
      <c r="T321" s="3">
        <v>0.26253720000000003</v>
      </c>
      <c r="U321" s="3">
        <v>0.26648739999999999</v>
      </c>
      <c r="V321" s="3">
        <v>0.27033940000000001</v>
      </c>
      <c r="W321" s="3">
        <v>0.27457169999999997</v>
      </c>
      <c r="X321" s="3">
        <v>0.27933160000000001</v>
      </c>
      <c r="Y321" s="3">
        <v>0.28467009999999998</v>
      </c>
      <c r="Z321" s="3">
        <v>0.29063840000000002</v>
      </c>
      <c r="AA321" s="3">
        <v>0.29728759999999999</v>
      </c>
      <c r="AB321" s="3">
        <v>0.30466880000000002</v>
      </c>
      <c r="AC321" s="3">
        <v>0.31280920000000001</v>
      </c>
      <c r="AD321" s="3">
        <v>0.32163049999999999</v>
      </c>
      <c r="AE321" s="3">
        <v>0.33102510000000002</v>
      </c>
      <c r="AF321" s="3">
        <v>0.34088540000000001</v>
      </c>
      <c r="AG321" s="3">
        <v>0.35110400000000003</v>
      </c>
      <c r="AH321" s="3">
        <v>0.36157329999999999</v>
      </c>
      <c r="AI321" s="3">
        <v>0.37218590000000001</v>
      </c>
      <c r="AJ321" s="3">
        <v>0.38283410000000001</v>
      </c>
      <c r="AK321" s="3">
        <v>0.39341039999999999</v>
      </c>
      <c r="AL321" s="3">
        <v>0.40380739999999998</v>
      </c>
      <c r="AM321" s="3">
        <v>0.41391749999999999</v>
      </c>
      <c r="AN321" s="3">
        <v>0.42363319999999999</v>
      </c>
      <c r="AO321" s="3">
        <v>0.43286540000000001</v>
      </c>
      <c r="AP321" s="3">
        <v>0.44159860000000001</v>
      </c>
      <c r="AQ321" s="3">
        <v>0.4498356</v>
      </c>
      <c r="AR321" s="3">
        <v>0.45757949999999997</v>
      </c>
      <c r="AS321" s="3">
        <v>0.4648332</v>
      </c>
      <c r="AT321" s="3">
        <v>0.4715995</v>
      </c>
      <c r="AU321" s="3">
        <v>0.47788150000000001</v>
      </c>
      <c r="AV321" s="3">
        <v>0.483682</v>
      </c>
      <c r="AW321" s="3">
        <v>0.48900399999999999</v>
      </c>
      <c r="AX321" s="3">
        <v>0.49385030000000002</v>
      </c>
      <c r="AY321" s="3">
        <v>0.498224</v>
      </c>
      <c r="AZ321" s="3">
        <v>0.50212800000000002</v>
      </c>
      <c r="BA321" s="3">
        <v>0.50556860000000003</v>
      </c>
      <c r="BB321" s="3">
        <v>0.50856809999999997</v>
      </c>
      <c r="BC321" s="3">
        <v>0.51115299999999997</v>
      </c>
      <c r="BD321" s="3">
        <v>0.51334959999999996</v>
      </c>
      <c r="BE321" s="3">
        <v>0.51518450000000005</v>
      </c>
      <c r="BF321" s="3">
        <v>0.51668409999999998</v>
      </c>
      <c r="BG321" s="3">
        <v>0.51787490000000003</v>
      </c>
      <c r="BH321" s="3">
        <v>0.51878340000000001</v>
      </c>
      <c r="BI321" s="3">
        <v>0.51943600000000001</v>
      </c>
      <c r="BJ321" s="3">
        <v>0.51985930000000002</v>
      </c>
      <c r="BK321" s="3">
        <v>0.52007950000000003</v>
      </c>
      <c r="BL321" s="3">
        <v>0.52012329999999996</v>
      </c>
      <c r="BM321" s="3" t="e">
        <v>#N/A</v>
      </c>
      <c r="BN321" s="3" t="e">
        <v>#N/A</v>
      </c>
    </row>
    <row r="322" spans="1:66" x14ac:dyDescent="0.35">
      <c r="A322" s="5">
        <f t="shared" si="4"/>
        <v>43906</v>
      </c>
      <c r="B322" t="s">
        <v>399</v>
      </c>
      <c r="C322" s="2">
        <v>0.25</v>
      </c>
      <c r="D322" s="2">
        <v>0.20960000000000001</v>
      </c>
      <c r="E322" s="3">
        <v>0.12687019999999999</v>
      </c>
      <c r="F322" s="3">
        <v>0.1240359</v>
      </c>
      <c r="G322" s="3">
        <v>0.1212641</v>
      </c>
      <c r="H322" s="3">
        <v>0.12061760000000001</v>
      </c>
      <c r="I322" s="3">
        <v>0.1237359</v>
      </c>
      <c r="J322" s="3">
        <v>0.1302632</v>
      </c>
      <c r="K322" s="3">
        <v>0.13898450000000001</v>
      </c>
      <c r="L322" s="3">
        <v>0.14913090000000001</v>
      </c>
      <c r="M322" s="3">
        <v>0.1603271</v>
      </c>
      <c r="N322" s="3">
        <v>0.1722023</v>
      </c>
      <c r="O322" s="3">
        <v>0.18433869999999999</v>
      </c>
      <c r="P322" s="3">
        <v>0.19631960000000001</v>
      </c>
      <c r="Q322" s="3">
        <v>0.2074182</v>
      </c>
      <c r="R322" s="3">
        <v>0.2175687</v>
      </c>
      <c r="S322" s="3">
        <v>0.22691500000000001</v>
      </c>
      <c r="T322" s="3">
        <v>0.23560120000000001</v>
      </c>
      <c r="U322" s="3">
        <v>0.2437713</v>
      </c>
      <c r="V322" s="3">
        <v>0.2515695</v>
      </c>
      <c r="W322" s="3">
        <v>0.25912849999999998</v>
      </c>
      <c r="X322" s="3">
        <v>0.26652900000000002</v>
      </c>
      <c r="Y322" s="3">
        <v>0.27383629999999998</v>
      </c>
      <c r="Z322" s="3">
        <v>0.28111599999999998</v>
      </c>
      <c r="AA322" s="3">
        <v>0.28843370000000002</v>
      </c>
      <c r="AB322" s="3">
        <v>0.29585460000000002</v>
      </c>
      <c r="AC322" s="3">
        <v>0.30342789999999997</v>
      </c>
      <c r="AD322" s="3">
        <v>0.31113600000000002</v>
      </c>
      <c r="AE322" s="3">
        <v>0.31894489999999998</v>
      </c>
      <c r="AF322" s="3">
        <v>0.32682080000000002</v>
      </c>
      <c r="AG322" s="3">
        <v>0.33472960000000002</v>
      </c>
      <c r="AH322" s="3">
        <v>0.34263719999999998</v>
      </c>
      <c r="AI322" s="3">
        <v>0.35050989999999999</v>
      </c>
      <c r="AJ322" s="3">
        <v>0.3583134</v>
      </c>
      <c r="AK322" s="3">
        <v>0.36601400000000001</v>
      </c>
      <c r="AL322" s="3">
        <v>0.37357750000000001</v>
      </c>
      <c r="AM322" s="3">
        <v>0.38097009999999998</v>
      </c>
      <c r="AN322" s="3">
        <v>0.38815769999999999</v>
      </c>
      <c r="AO322" s="3">
        <v>0.39511170000000001</v>
      </c>
      <c r="AP322" s="3">
        <v>0.4018253</v>
      </c>
      <c r="AQ322" s="3">
        <v>0.40829720000000003</v>
      </c>
      <c r="AR322" s="3">
        <v>0.4145258</v>
      </c>
      <c r="AS322" s="3">
        <v>0.42050979999999999</v>
      </c>
      <c r="AT322" s="3">
        <v>0.42624780000000001</v>
      </c>
      <c r="AU322" s="3">
        <v>0.43173820000000002</v>
      </c>
      <c r="AV322" s="3">
        <v>0.43697979999999997</v>
      </c>
      <c r="AW322" s="3">
        <v>0.44197110000000001</v>
      </c>
      <c r="AX322" s="3">
        <v>0.44671060000000001</v>
      </c>
      <c r="AY322" s="3">
        <v>0.45119690000000001</v>
      </c>
      <c r="AZ322" s="3">
        <v>0.45542870000000002</v>
      </c>
      <c r="BA322" s="3">
        <v>0.45940589999999998</v>
      </c>
      <c r="BB322" s="3">
        <v>0.46313569999999998</v>
      </c>
      <c r="BC322" s="3">
        <v>0.46662789999999998</v>
      </c>
      <c r="BD322" s="3">
        <v>0.46989209999999998</v>
      </c>
      <c r="BE322" s="3">
        <v>0.47293809999999997</v>
      </c>
      <c r="BF322" s="3">
        <v>0.47577570000000002</v>
      </c>
      <c r="BG322" s="3">
        <v>0.47841450000000002</v>
      </c>
      <c r="BH322" s="3">
        <v>0.48086430000000002</v>
      </c>
      <c r="BI322" s="3">
        <v>0.48313479999999998</v>
      </c>
      <c r="BJ322" s="3">
        <v>0.48523569999999999</v>
      </c>
      <c r="BK322" s="3">
        <v>0.48717680000000002</v>
      </c>
      <c r="BL322" s="3">
        <v>0.48896780000000001</v>
      </c>
      <c r="BM322" s="3" t="e">
        <v>#N/A</v>
      </c>
      <c r="BN322" s="3" t="e">
        <v>#N/A</v>
      </c>
    </row>
    <row r="323" spans="1:66" x14ac:dyDescent="0.35">
      <c r="A323" s="5">
        <f t="shared" si="4"/>
        <v>43907</v>
      </c>
      <c r="B323" t="s">
        <v>400</v>
      </c>
      <c r="C323" s="2">
        <v>0.25</v>
      </c>
      <c r="D323" s="2">
        <v>0.2135</v>
      </c>
      <c r="E323" s="3">
        <v>0.10572819999999999</v>
      </c>
      <c r="F323" s="3">
        <v>0.111066</v>
      </c>
      <c r="G323" s="3">
        <v>0.11597830000000001</v>
      </c>
      <c r="H323" s="3">
        <v>0.1211208</v>
      </c>
      <c r="I323" s="3">
        <v>0.12641910000000001</v>
      </c>
      <c r="J323" s="3">
        <v>0.1333164</v>
      </c>
      <c r="K323" s="3">
        <v>0.14310829999999999</v>
      </c>
      <c r="L323" s="3">
        <v>0.1556399</v>
      </c>
      <c r="M323" s="3">
        <v>0.1702108</v>
      </c>
      <c r="N323" s="3">
        <v>0.1859372</v>
      </c>
      <c r="O323" s="3">
        <v>0.2020393</v>
      </c>
      <c r="P323" s="3">
        <v>0.21786179999999999</v>
      </c>
      <c r="Q323" s="3">
        <v>0.2324862</v>
      </c>
      <c r="R323" s="3">
        <v>0.24580360000000001</v>
      </c>
      <c r="S323" s="3">
        <v>0.25795360000000001</v>
      </c>
      <c r="T323" s="3">
        <v>0.26907579999999998</v>
      </c>
      <c r="U323" s="3">
        <v>0.27930959999999999</v>
      </c>
      <c r="V323" s="3">
        <v>0.28879470000000002</v>
      </c>
      <c r="W323" s="3">
        <v>0.29767559999999998</v>
      </c>
      <c r="X323" s="3">
        <v>0.30612060000000002</v>
      </c>
      <c r="Y323" s="3">
        <v>0.3143048</v>
      </c>
      <c r="Z323" s="3">
        <v>0.3224033</v>
      </c>
      <c r="AA323" s="3">
        <v>0.33059110000000003</v>
      </c>
      <c r="AB323" s="3">
        <v>0.33904329999999999</v>
      </c>
      <c r="AC323" s="3">
        <v>0.34789609999999999</v>
      </c>
      <c r="AD323" s="3">
        <v>0.35713040000000001</v>
      </c>
      <c r="AE323" s="3">
        <v>0.36668790000000001</v>
      </c>
      <c r="AF323" s="3">
        <v>0.37651069999999998</v>
      </c>
      <c r="AG323" s="3">
        <v>0.38654060000000001</v>
      </c>
      <c r="AH323" s="3">
        <v>0.3967194</v>
      </c>
      <c r="AI323" s="3">
        <v>0.40698909999999999</v>
      </c>
      <c r="AJ323" s="3">
        <v>0.41729169999999999</v>
      </c>
      <c r="AK323" s="3">
        <v>0.42756889999999997</v>
      </c>
      <c r="AL323" s="3">
        <v>0.4377627</v>
      </c>
      <c r="AM323" s="3">
        <v>0.44781510000000002</v>
      </c>
      <c r="AN323" s="3">
        <v>0.45766780000000001</v>
      </c>
      <c r="AO323" s="3">
        <v>0.46727049999999998</v>
      </c>
      <c r="AP323" s="3">
        <v>0.47660370000000002</v>
      </c>
      <c r="AQ323" s="3">
        <v>0.48565560000000002</v>
      </c>
      <c r="AR323" s="3">
        <v>0.49441439999999998</v>
      </c>
      <c r="AS323" s="3">
        <v>0.50286830000000005</v>
      </c>
      <c r="AT323" s="3">
        <v>0.5110055</v>
      </c>
      <c r="AU323" s="3">
        <v>0.5188142</v>
      </c>
      <c r="AV323" s="3">
        <v>0.52628260000000004</v>
      </c>
      <c r="AW323" s="3">
        <v>0.53339879999999995</v>
      </c>
      <c r="AX323" s="3">
        <v>0.54015120000000005</v>
      </c>
      <c r="AY323" s="3">
        <v>0.54652789999999996</v>
      </c>
      <c r="AZ323" s="3">
        <v>0.55251709999999998</v>
      </c>
      <c r="BA323" s="3">
        <v>0.55811100000000002</v>
      </c>
      <c r="BB323" s="3">
        <v>0.56332139999999997</v>
      </c>
      <c r="BC323" s="3">
        <v>0.56816610000000001</v>
      </c>
      <c r="BD323" s="3">
        <v>0.57266289999999997</v>
      </c>
      <c r="BE323" s="3">
        <v>0.57682940000000005</v>
      </c>
      <c r="BF323" s="3">
        <v>0.58068339999999996</v>
      </c>
      <c r="BG323" s="3">
        <v>0.58424279999999995</v>
      </c>
      <c r="BH323" s="3">
        <v>0.58752519999999997</v>
      </c>
      <c r="BI323" s="3">
        <v>0.59054839999999997</v>
      </c>
      <c r="BJ323" s="3">
        <v>0.59333020000000003</v>
      </c>
      <c r="BK323" s="3">
        <v>0.59588830000000004</v>
      </c>
      <c r="BL323" s="3">
        <v>0.59824049999999995</v>
      </c>
      <c r="BM323" s="3" t="e">
        <v>#N/A</v>
      </c>
      <c r="BN323" s="3" t="e">
        <v>#N/A</v>
      </c>
    </row>
    <row r="324" spans="1:66" x14ac:dyDescent="0.35">
      <c r="A324" s="5">
        <f t="shared" si="4"/>
        <v>43908</v>
      </c>
      <c r="B324" t="s">
        <v>401</v>
      </c>
      <c r="C324" s="2">
        <v>0.25</v>
      </c>
      <c r="D324" s="2">
        <v>0.21479999999999999</v>
      </c>
      <c r="E324" s="3">
        <v>0.117715</v>
      </c>
      <c r="F324" s="3">
        <v>0.119934</v>
      </c>
      <c r="G324" s="3">
        <v>0.12375609999999999</v>
      </c>
      <c r="H324" s="3">
        <v>0.1312316</v>
      </c>
      <c r="I324" s="3">
        <v>0.14177970000000001</v>
      </c>
      <c r="J324" s="3">
        <v>0.1526409</v>
      </c>
      <c r="K324" s="3">
        <v>0.1617258</v>
      </c>
      <c r="L324" s="3">
        <v>0.16927929999999999</v>
      </c>
      <c r="M324" s="3">
        <v>0.17652999999999999</v>
      </c>
      <c r="N324" s="3">
        <v>0.18448929999999999</v>
      </c>
      <c r="O324" s="3">
        <v>0.1935885</v>
      </c>
      <c r="P324" s="3">
        <v>0.20376279999999999</v>
      </c>
      <c r="Q324" s="3">
        <v>0.21416289999999999</v>
      </c>
      <c r="R324" s="3">
        <v>0.2246967</v>
      </c>
      <c r="S324" s="3">
        <v>0.23554069999999999</v>
      </c>
      <c r="T324" s="3">
        <v>0.24687129999999999</v>
      </c>
      <c r="U324" s="3">
        <v>0.25886510000000001</v>
      </c>
      <c r="V324" s="3">
        <v>0.27169840000000001</v>
      </c>
      <c r="W324" s="3">
        <v>0.28550379999999997</v>
      </c>
      <c r="X324" s="3">
        <v>0.30016399999999999</v>
      </c>
      <c r="Y324" s="3">
        <v>0.31547439999999999</v>
      </c>
      <c r="Z324" s="3">
        <v>0.33122990000000002</v>
      </c>
      <c r="AA324" s="3">
        <v>0.34722570000000003</v>
      </c>
      <c r="AB324" s="3">
        <v>0.36325669999999999</v>
      </c>
      <c r="AC324" s="3">
        <v>0.37914940000000003</v>
      </c>
      <c r="AD324" s="3">
        <v>0.39485540000000002</v>
      </c>
      <c r="AE324" s="3">
        <v>0.41035749999999999</v>
      </c>
      <c r="AF324" s="3">
        <v>0.42563879999999998</v>
      </c>
      <c r="AG324" s="3">
        <v>0.44068200000000002</v>
      </c>
      <c r="AH324" s="3">
        <v>0.45547019999999999</v>
      </c>
      <c r="AI324" s="3">
        <v>0.46998620000000002</v>
      </c>
      <c r="AJ324" s="3">
        <v>0.4842129</v>
      </c>
      <c r="AK324" s="3">
        <v>0.4981333</v>
      </c>
      <c r="AL324" s="3">
        <v>0.51173020000000002</v>
      </c>
      <c r="AM324" s="3">
        <v>0.52498659999999997</v>
      </c>
      <c r="AN324" s="3">
        <v>0.53788539999999996</v>
      </c>
      <c r="AO324" s="3">
        <v>0.55041130000000005</v>
      </c>
      <c r="AP324" s="3">
        <v>0.56255880000000003</v>
      </c>
      <c r="AQ324" s="3">
        <v>0.57432499999999997</v>
      </c>
      <c r="AR324" s="3">
        <v>0.58570690000000003</v>
      </c>
      <c r="AS324" s="3">
        <v>0.5967017</v>
      </c>
      <c r="AT324" s="3">
        <v>0.60730660000000003</v>
      </c>
      <c r="AU324" s="3">
        <v>0.61751880000000003</v>
      </c>
      <c r="AV324" s="3">
        <v>0.62733530000000004</v>
      </c>
      <c r="AW324" s="3">
        <v>0.63675329999999997</v>
      </c>
      <c r="AX324" s="3">
        <v>0.64576999999999996</v>
      </c>
      <c r="AY324" s="3">
        <v>0.65438249999999998</v>
      </c>
      <c r="AZ324" s="3">
        <v>0.66258790000000001</v>
      </c>
      <c r="BA324" s="3">
        <v>0.67038739999999997</v>
      </c>
      <c r="BB324" s="3">
        <v>0.67779920000000005</v>
      </c>
      <c r="BC324" s="3">
        <v>0.68484670000000003</v>
      </c>
      <c r="BD324" s="3">
        <v>0.69155299999999997</v>
      </c>
      <c r="BE324" s="3">
        <v>0.69794120000000004</v>
      </c>
      <c r="BF324" s="3">
        <v>0.70403459999999995</v>
      </c>
      <c r="BG324" s="3">
        <v>0.70985620000000005</v>
      </c>
      <c r="BH324" s="3">
        <v>0.71542939999999999</v>
      </c>
      <c r="BI324" s="3">
        <v>0.72077729999999995</v>
      </c>
      <c r="BJ324" s="3">
        <v>0.72592299999999998</v>
      </c>
      <c r="BK324" s="3">
        <v>0.73088980000000003</v>
      </c>
      <c r="BL324" s="3">
        <v>0.73570080000000004</v>
      </c>
      <c r="BM324" s="3" t="e">
        <v>#N/A</v>
      </c>
      <c r="BN324" s="3" t="e">
        <v>#N/A</v>
      </c>
    </row>
    <row r="325" spans="1:66" x14ac:dyDescent="0.35">
      <c r="A325" s="5">
        <f t="shared" si="4"/>
        <v>43909</v>
      </c>
      <c r="B325" t="s">
        <v>402</v>
      </c>
      <c r="C325" s="2">
        <v>0.1</v>
      </c>
      <c r="D325" s="2">
        <v>0.21340000000000001</v>
      </c>
      <c r="E325" s="3">
        <v>6.8690799999999996E-2</v>
      </c>
      <c r="F325" s="3">
        <v>5.9871300000000002E-2</v>
      </c>
      <c r="G325" s="3">
        <v>4.9538600000000002E-2</v>
      </c>
      <c r="H325" s="3">
        <v>3.9800500000000003E-2</v>
      </c>
      <c r="I325" s="3">
        <v>3.3254899999999997E-2</v>
      </c>
      <c r="J325" s="3">
        <v>3.1540699999999998E-2</v>
      </c>
      <c r="K325" s="3">
        <v>3.5787899999999997E-2</v>
      </c>
      <c r="L325" s="3">
        <v>4.7100200000000002E-2</v>
      </c>
      <c r="M325" s="3">
        <v>6.5405900000000003E-2</v>
      </c>
      <c r="N325" s="3">
        <v>8.9494799999999999E-2</v>
      </c>
      <c r="O325" s="3">
        <v>0.1169683</v>
      </c>
      <c r="P325" s="3">
        <v>0.1452126</v>
      </c>
      <c r="Q325" s="3">
        <v>0.169686</v>
      </c>
      <c r="R325" s="3">
        <v>0.18975600000000001</v>
      </c>
      <c r="S325" s="3">
        <v>0.20603869999999999</v>
      </c>
      <c r="T325" s="3">
        <v>0.2191505</v>
      </c>
      <c r="U325" s="3">
        <v>0.22970760000000001</v>
      </c>
      <c r="V325" s="3">
        <v>0.2383265</v>
      </c>
      <c r="W325" s="3">
        <v>0.24559259999999999</v>
      </c>
      <c r="X325" s="3">
        <v>0.2519344</v>
      </c>
      <c r="Y325" s="3">
        <v>0.25773000000000001</v>
      </c>
      <c r="Z325" s="3">
        <v>0.26335760000000003</v>
      </c>
      <c r="AA325" s="3">
        <v>0.26919510000000002</v>
      </c>
      <c r="AB325" s="3">
        <v>0.2756209</v>
      </c>
      <c r="AC325" s="3">
        <v>0.28294770000000002</v>
      </c>
      <c r="AD325" s="3">
        <v>0.2911706</v>
      </c>
      <c r="AE325" s="3">
        <v>0.30018800000000001</v>
      </c>
      <c r="AF325" s="3">
        <v>0.30989830000000002</v>
      </c>
      <c r="AG325" s="3">
        <v>0.32019979999999998</v>
      </c>
      <c r="AH325" s="3">
        <v>0.33099079999999997</v>
      </c>
      <c r="AI325" s="3">
        <v>0.34216970000000002</v>
      </c>
      <c r="AJ325" s="3">
        <v>0.35363480000000003</v>
      </c>
      <c r="AK325" s="3">
        <v>0.36528440000000001</v>
      </c>
      <c r="AL325" s="3">
        <v>0.37701699999999999</v>
      </c>
      <c r="AM325" s="3">
        <v>0.38873079999999999</v>
      </c>
      <c r="AN325" s="3">
        <v>0.40032420000000002</v>
      </c>
      <c r="AO325" s="3">
        <v>0.41171219999999997</v>
      </c>
      <c r="AP325" s="3">
        <v>0.42288350000000002</v>
      </c>
      <c r="AQ325" s="3">
        <v>0.43384699999999998</v>
      </c>
      <c r="AR325" s="3">
        <v>0.4446117</v>
      </c>
      <c r="AS325" s="3">
        <v>0.45518649999999999</v>
      </c>
      <c r="AT325" s="3">
        <v>0.46558050000000001</v>
      </c>
      <c r="AU325" s="3">
        <v>0.47580260000000002</v>
      </c>
      <c r="AV325" s="3">
        <v>0.48586180000000001</v>
      </c>
      <c r="AW325" s="3">
        <v>0.49576700000000001</v>
      </c>
      <c r="AX325" s="3">
        <v>0.50552710000000001</v>
      </c>
      <c r="AY325" s="3">
        <v>0.51515129999999998</v>
      </c>
      <c r="AZ325" s="3">
        <v>0.52464840000000001</v>
      </c>
      <c r="BA325" s="3">
        <v>0.53402470000000002</v>
      </c>
      <c r="BB325" s="3">
        <v>0.54327420000000004</v>
      </c>
      <c r="BC325" s="3">
        <v>0.55238779999999998</v>
      </c>
      <c r="BD325" s="3">
        <v>0.56135619999999997</v>
      </c>
      <c r="BE325" s="3">
        <v>0.57017019999999996</v>
      </c>
      <c r="BF325" s="3">
        <v>0.57882060000000002</v>
      </c>
      <c r="BG325" s="3">
        <v>0.58729810000000005</v>
      </c>
      <c r="BH325" s="3">
        <v>0.59559359999999995</v>
      </c>
      <c r="BI325" s="3">
        <v>0.6036977</v>
      </c>
      <c r="BJ325" s="3">
        <v>0.61160139999999996</v>
      </c>
      <c r="BK325" s="3">
        <v>0.61929529999999999</v>
      </c>
      <c r="BL325" s="3">
        <v>0.62677020000000006</v>
      </c>
      <c r="BM325" s="3" t="e">
        <v>#N/A</v>
      </c>
      <c r="BN325" s="3" t="e">
        <v>#N/A</v>
      </c>
    </row>
    <row r="326" spans="1:66" x14ac:dyDescent="0.35">
      <c r="A326" s="5">
        <f t="shared" si="4"/>
        <v>43910</v>
      </c>
      <c r="B326" t="s">
        <v>403</v>
      </c>
      <c r="C326" s="2">
        <v>0.1</v>
      </c>
      <c r="D326" s="2">
        <v>7.0599999999999996E-2</v>
      </c>
      <c r="E326" s="3">
        <v>6.9417999999999994E-2</v>
      </c>
      <c r="F326" s="3">
        <v>7.2461800000000007E-2</v>
      </c>
      <c r="G326" s="3">
        <v>7.5373700000000002E-2</v>
      </c>
      <c r="H326" s="3">
        <v>7.8602500000000006E-2</v>
      </c>
      <c r="I326" s="3">
        <v>8.3043800000000001E-2</v>
      </c>
      <c r="J326" s="3">
        <v>8.9543600000000001E-2</v>
      </c>
      <c r="K326" s="3">
        <v>9.8743999999999998E-2</v>
      </c>
      <c r="L326" s="3">
        <v>0.11069379999999999</v>
      </c>
      <c r="M326" s="3">
        <v>0.1245631</v>
      </c>
      <c r="N326" s="3">
        <v>0.1394638</v>
      </c>
      <c r="O326" s="3">
        <v>0.1546574</v>
      </c>
      <c r="P326" s="3">
        <v>0.16950209999999999</v>
      </c>
      <c r="Q326" s="3">
        <v>0.1828341</v>
      </c>
      <c r="R326" s="3">
        <v>0.1944901</v>
      </c>
      <c r="S326" s="3">
        <v>0.2047109</v>
      </c>
      <c r="T326" s="3">
        <v>0.21373710000000001</v>
      </c>
      <c r="U326" s="3">
        <v>0.2218098</v>
      </c>
      <c r="V326" s="3">
        <v>0.2291697</v>
      </c>
      <c r="W326" s="3">
        <v>0.23604220000000001</v>
      </c>
      <c r="X326" s="3">
        <v>0.2425804</v>
      </c>
      <c r="Y326" s="3">
        <v>0.24891669999999999</v>
      </c>
      <c r="Z326" s="3">
        <v>0.2551834</v>
      </c>
      <c r="AA326" s="3">
        <v>0.26151289999999999</v>
      </c>
      <c r="AB326" s="3">
        <v>0.26803729999999998</v>
      </c>
      <c r="AC326" s="3">
        <v>0.2748641</v>
      </c>
      <c r="AD326" s="3">
        <v>0.28199030000000003</v>
      </c>
      <c r="AE326" s="3">
        <v>0.28938229999999998</v>
      </c>
      <c r="AF326" s="3">
        <v>0.29700690000000002</v>
      </c>
      <c r="AG326" s="3">
        <v>0.30483060000000001</v>
      </c>
      <c r="AH326" s="3">
        <v>0.31281999999999999</v>
      </c>
      <c r="AI326" s="3">
        <v>0.32094159999999999</v>
      </c>
      <c r="AJ326" s="3">
        <v>0.32916200000000001</v>
      </c>
      <c r="AK326" s="3">
        <v>0.33744780000000002</v>
      </c>
      <c r="AL326" s="3">
        <v>0.34576560000000001</v>
      </c>
      <c r="AM326" s="3">
        <v>0.3540819</v>
      </c>
      <c r="AN326" s="3">
        <v>0.3623634</v>
      </c>
      <c r="AO326" s="3">
        <v>0.37058039999999998</v>
      </c>
      <c r="AP326" s="3">
        <v>0.37871899999999997</v>
      </c>
      <c r="AQ326" s="3">
        <v>0.38676919999999998</v>
      </c>
      <c r="AR326" s="3">
        <v>0.39472079999999998</v>
      </c>
      <c r="AS326" s="3">
        <v>0.40256370000000002</v>
      </c>
      <c r="AT326" s="3">
        <v>0.41028779999999998</v>
      </c>
      <c r="AU326" s="3">
        <v>0.41788310000000001</v>
      </c>
      <c r="AV326" s="3">
        <v>0.42533939999999998</v>
      </c>
      <c r="AW326" s="3">
        <v>0.4326467</v>
      </c>
      <c r="AX326" s="3">
        <v>0.43979489999999999</v>
      </c>
      <c r="AY326" s="3">
        <v>0.4467738</v>
      </c>
      <c r="AZ326" s="3">
        <v>0.45357340000000002</v>
      </c>
      <c r="BA326" s="3">
        <v>0.46018550000000003</v>
      </c>
      <c r="BB326" s="3">
        <v>0.4666109</v>
      </c>
      <c r="BC326" s="3">
        <v>0.47285270000000001</v>
      </c>
      <c r="BD326" s="3">
        <v>0.4789139</v>
      </c>
      <c r="BE326" s="3">
        <v>0.4847976</v>
      </c>
      <c r="BF326" s="3">
        <v>0.49050700000000003</v>
      </c>
      <c r="BG326" s="3">
        <v>0.49604510000000002</v>
      </c>
      <c r="BH326" s="3">
        <v>0.50141500000000006</v>
      </c>
      <c r="BI326" s="3">
        <v>0.50661990000000001</v>
      </c>
      <c r="BJ326" s="3">
        <v>0.51166279999999997</v>
      </c>
      <c r="BK326" s="3">
        <v>0.51654679999999997</v>
      </c>
      <c r="BL326" s="3">
        <v>0.52127500000000004</v>
      </c>
      <c r="BM326" s="3" t="e">
        <v>#N/A</v>
      </c>
      <c r="BN326" s="3" t="e">
        <v>#N/A</v>
      </c>
    </row>
    <row r="327" spans="1:66" x14ac:dyDescent="0.35">
      <c r="A327" s="5">
        <f t="shared" si="4"/>
        <v>43913</v>
      </c>
      <c r="B327" t="s">
        <v>404</v>
      </c>
      <c r="C327" s="2">
        <v>0.1</v>
      </c>
      <c r="D327" s="2">
        <v>7.2300000000000003E-2</v>
      </c>
      <c r="E327" s="3">
        <v>7.3193499999999995E-2</v>
      </c>
      <c r="F327" s="3">
        <v>7.5834799999999994E-2</v>
      </c>
      <c r="G327" s="3">
        <v>7.9268699999999997E-2</v>
      </c>
      <c r="H327" s="3">
        <v>8.4041099999999994E-2</v>
      </c>
      <c r="I327" s="3">
        <v>9.0080300000000002E-2</v>
      </c>
      <c r="J327" s="3">
        <v>9.6809999999999993E-2</v>
      </c>
      <c r="K327" s="3">
        <v>0.1037616</v>
      </c>
      <c r="L327" s="3">
        <v>0.11080139999999999</v>
      </c>
      <c r="M327" s="3">
        <v>0.11799999999999999</v>
      </c>
      <c r="N327" s="3">
        <v>0.12544849999999999</v>
      </c>
      <c r="O327" s="3">
        <v>0.13320009999999999</v>
      </c>
      <c r="P327" s="3">
        <v>0.14124010000000001</v>
      </c>
      <c r="Q327" s="3">
        <v>0.14963570000000001</v>
      </c>
      <c r="R327" s="3">
        <v>0.15822020000000001</v>
      </c>
      <c r="S327" s="3">
        <v>0.1667526</v>
      </c>
      <c r="T327" s="3">
        <v>0.17499219999999999</v>
      </c>
      <c r="U327" s="3">
        <v>0.18269820000000001</v>
      </c>
      <c r="V327" s="3">
        <v>0.18962979999999999</v>
      </c>
      <c r="W327" s="3">
        <v>0.1956003</v>
      </c>
      <c r="X327" s="3">
        <v>0.20067389999999999</v>
      </c>
      <c r="Y327" s="3">
        <v>0.20498739999999999</v>
      </c>
      <c r="Z327" s="3">
        <v>0.2086778</v>
      </c>
      <c r="AA327" s="3">
        <v>0.21188199999999999</v>
      </c>
      <c r="AB327" s="3">
        <v>0.21473690000000001</v>
      </c>
      <c r="AC327" s="3">
        <v>0.21736150000000001</v>
      </c>
      <c r="AD327" s="3">
        <v>0.21980350000000001</v>
      </c>
      <c r="AE327" s="3">
        <v>0.2220925</v>
      </c>
      <c r="AF327" s="3">
        <v>0.22425819999999999</v>
      </c>
      <c r="AG327" s="3">
        <v>0.22633039999999999</v>
      </c>
      <c r="AH327" s="3">
        <v>0.22833880000000001</v>
      </c>
      <c r="AI327" s="3">
        <v>0.23031309999999999</v>
      </c>
      <c r="AJ327" s="3">
        <v>0.23228309999999999</v>
      </c>
      <c r="AK327" s="3">
        <v>0.23427829999999999</v>
      </c>
      <c r="AL327" s="3">
        <v>0.2363287</v>
      </c>
      <c r="AM327" s="3">
        <v>0.2384638</v>
      </c>
      <c r="AN327" s="3">
        <v>0.24071339999999999</v>
      </c>
      <c r="AO327" s="3">
        <v>0.2431005</v>
      </c>
      <c r="AP327" s="3">
        <v>0.24562149999999999</v>
      </c>
      <c r="AQ327" s="3">
        <v>0.24826609999999999</v>
      </c>
      <c r="AR327" s="3">
        <v>0.25102390000000002</v>
      </c>
      <c r="AS327" s="3">
        <v>0.25388460000000002</v>
      </c>
      <c r="AT327" s="3">
        <v>0.2568378</v>
      </c>
      <c r="AU327" s="3">
        <v>0.25987329999999997</v>
      </c>
      <c r="AV327" s="3">
        <v>0.26298070000000001</v>
      </c>
      <c r="AW327" s="3">
        <v>0.26614959999999999</v>
      </c>
      <c r="AX327" s="3">
        <v>0.26936979999999999</v>
      </c>
      <c r="AY327" s="3">
        <v>0.27263080000000001</v>
      </c>
      <c r="AZ327" s="3">
        <v>0.27592250000000001</v>
      </c>
      <c r="BA327" s="3">
        <v>0.27923520000000002</v>
      </c>
      <c r="BB327" s="3">
        <v>0.2825645</v>
      </c>
      <c r="BC327" s="3">
        <v>0.28590710000000003</v>
      </c>
      <c r="BD327" s="3">
        <v>0.28926000000000002</v>
      </c>
      <c r="BE327" s="3">
        <v>0.2926202</v>
      </c>
      <c r="BF327" s="3">
        <v>0.29598449999999998</v>
      </c>
      <c r="BG327" s="3">
        <v>0.2993499</v>
      </c>
      <c r="BH327" s="3">
        <v>0.30271330000000002</v>
      </c>
      <c r="BI327" s="3">
        <v>0.3060716</v>
      </c>
      <c r="BJ327" s="3">
        <v>0.30942180000000002</v>
      </c>
      <c r="BK327" s="3">
        <v>0.31276080000000001</v>
      </c>
      <c r="BL327" s="3">
        <v>0.31608550000000002</v>
      </c>
      <c r="BM327" s="3" t="e">
        <v>#N/A</v>
      </c>
      <c r="BN327" s="3" t="e">
        <v>#N/A</v>
      </c>
    </row>
    <row r="328" spans="1:66" x14ac:dyDescent="0.35">
      <c r="A328" s="5">
        <f t="shared" si="4"/>
        <v>43914</v>
      </c>
      <c r="B328" t="s">
        <v>405</v>
      </c>
      <c r="C328" s="2">
        <v>0.1</v>
      </c>
      <c r="D328" s="2">
        <v>7.3599999999999999E-2</v>
      </c>
      <c r="E328" s="3">
        <v>7.3789499999999994E-2</v>
      </c>
      <c r="F328" s="3">
        <v>7.6102500000000003E-2</v>
      </c>
      <c r="G328" s="3">
        <v>7.8480900000000006E-2</v>
      </c>
      <c r="H328" s="3">
        <v>8.1725699999999998E-2</v>
      </c>
      <c r="I328" s="3">
        <v>8.6344900000000002E-2</v>
      </c>
      <c r="J328" s="3">
        <v>9.25676E-2</v>
      </c>
      <c r="K328" s="3">
        <v>0.100485</v>
      </c>
      <c r="L328" s="3">
        <v>0.1098682</v>
      </c>
      <c r="M328" s="3">
        <v>0.1203235</v>
      </c>
      <c r="N328" s="3">
        <v>0.13134879999999999</v>
      </c>
      <c r="O328" s="3">
        <v>0.1424504</v>
      </c>
      <c r="P328" s="3">
        <v>0.15323120000000001</v>
      </c>
      <c r="Q328" s="3">
        <v>0.1632835</v>
      </c>
      <c r="R328" s="3">
        <v>0.172542</v>
      </c>
      <c r="S328" s="3">
        <v>0.18103839999999999</v>
      </c>
      <c r="T328" s="3">
        <v>0.18880440000000001</v>
      </c>
      <c r="U328" s="3">
        <v>0.19587199999999999</v>
      </c>
      <c r="V328" s="3">
        <v>0.20227290000000001</v>
      </c>
      <c r="W328" s="3">
        <v>0.20805940000000001</v>
      </c>
      <c r="X328" s="3">
        <v>0.21337929999999999</v>
      </c>
      <c r="Y328" s="3">
        <v>0.2184082</v>
      </c>
      <c r="Z328" s="3">
        <v>0.22332150000000001</v>
      </c>
      <c r="AA328" s="3">
        <v>0.22829469999999999</v>
      </c>
      <c r="AB328" s="3">
        <v>0.23350309999999999</v>
      </c>
      <c r="AC328" s="3">
        <v>0.2390853</v>
      </c>
      <c r="AD328" s="3">
        <v>0.24503140000000001</v>
      </c>
      <c r="AE328" s="3">
        <v>0.25129420000000002</v>
      </c>
      <c r="AF328" s="3">
        <v>0.25782699999999997</v>
      </c>
      <c r="AG328" s="3">
        <v>0.2645827</v>
      </c>
      <c r="AH328" s="3">
        <v>0.27151439999999999</v>
      </c>
      <c r="AI328" s="3">
        <v>0.27857510000000002</v>
      </c>
      <c r="AJ328" s="3">
        <v>0.28571770000000002</v>
      </c>
      <c r="AK328" s="3">
        <v>0.29289549999999998</v>
      </c>
      <c r="AL328" s="3">
        <v>0.30006129999999998</v>
      </c>
      <c r="AM328" s="3">
        <v>0.3071682</v>
      </c>
      <c r="AN328" s="3">
        <v>0.31416929999999998</v>
      </c>
      <c r="AO328" s="3">
        <v>0.32102160000000002</v>
      </c>
      <c r="AP328" s="3">
        <v>0.32769789999999999</v>
      </c>
      <c r="AQ328" s="3">
        <v>0.3341751</v>
      </c>
      <c r="AR328" s="3">
        <v>0.34043020000000002</v>
      </c>
      <c r="AS328" s="3">
        <v>0.34643990000000002</v>
      </c>
      <c r="AT328" s="3">
        <v>0.35218120000000003</v>
      </c>
      <c r="AU328" s="3">
        <v>0.35763099999999998</v>
      </c>
      <c r="AV328" s="3">
        <v>0.36276599999999998</v>
      </c>
      <c r="AW328" s="3">
        <v>0.36756329999999998</v>
      </c>
      <c r="AX328" s="3">
        <v>0.37199959999999999</v>
      </c>
      <c r="AY328" s="3">
        <v>0.37605179999999999</v>
      </c>
      <c r="AZ328" s="3">
        <v>0.3796969</v>
      </c>
      <c r="BA328" s="3">
        <v>0.38291770000000003</v>
      </c>
      <c r="BB328" s="3">
        <v>0.38572650000000003</v>
      </c>
      <c r="BC328" s="3">
        <v>0.3881445</v>
      </c>
      <c r="BD328" s="3">
        <v>0.39019290000000001</v>
      </c>
      <c r="BE328" s="3">
        <v>0.39189299999999999</v>
      </c>
      <c r="BF328" s="3">
        <v>0.3932658</v>
      </c>
      <c r="BG328" s="3">
        <v>0.39433279999999998</v>
      </c>
      <c r="BH328" s="3">
        <v>0.39511489999999999</v>
      </c>
      <c r="BI328" s="3">
        <v>0.39563359999999997</v>
      </c>
      <c r="BJ328" s="3">
        <v>0.39590989999999998</v>
      </c>
      <c r="BK328" s="3">
        <v>0.39596520000000002</v>
      </c>
      <c r="BL328" s="3">
        <v>0.39582050000000002</v>
      </c>
      <c r="BM328" s="3" t="e">
        <v>#N/A</v>
      </c>
      <c r="BN328" s="3" t="e">
        <v>#N/A</v>
      </c>
    </row>
    <row r="329" spans="1:66" x14ac:dyDescent="0.35">
      <c r="A329" s="5">
        <f t="shared" si="4"/>
        <v>43915</v>
      </c>
      <c r="B329" t="s">
        <v>406</v>
      </c>
      <c r="C329" s="2">
        <v>0.1</v>
      </c>
      <c r="D329" s="2">
        <v>7.4999999999999997E-2</v>
      </c>
      <c r="E329" s="3">
        <v>7.4264999999999998E-2</v>
      </c>
      <c r="F329" s="3">
        <v>7.8470300000000007E-2</v>
      </c>
      <c r="G329" s="3">
        <v>8.6980500000000002E-2</v>
      </c>
      <c r="H329" s="3">
        <v>9.7695599999999994E-2</v>
      </c>
      <c r="I329" s="3">
        <v>0.1090004</v>
      </c>
      <c r="J329" s="3">
        <v>0.1197473</v>
      </c>
      <c r="K329" s="3">
        <v>0.12950700000000001</v>
      </c>
      <c r="L329" s="3">
        <v>0.13769519999999999</v>
      </c>
      <c r="M329" s="3">
        <v>0.14344760000000001</v>
      </c>
      <c r="N329" s="3">
        <v>0.14688490000000001</v>
      </c>
      <c r="O329" s="3">
        <v>0.14848510000000001</v>
      </c>
      <c r="P329" s="3">
        <v>0.14892639999999999</v>
      </c>
      <c r="Q329" s="3">
        <v>0.15018129999999999</v>
      </c>
      <c r="R329" s="3">
        <v>0.15264949999999999</v>
      </c>
      <c r="S329" s="3">
        <v>0.15618770000000001</v>
      </c>
      <c r="T329" s="3">
        <v>0.1606525</v>
      </c>
      <c r="U329" s="3">
        <v>0.16590070000000001</v>
      </c>
      <c r="V329" s="3">
        <v>0.17178869999999999</v>
      </c>
      <c r="W329" s="3">
        <v>0.17817520000000001</v>
      </c>
      <c r="X329" s="3">
        <v>0.1849288</v>
      </c>
      <c r="Y329" s="3">
        <v>0.19192190000000001</v>
      </c>
      <c r="Z329" s="3">
        <v>0.1990268</v>
      </c>
      <c r="AA329" s="3">
        <v>0.20611579999999999</v>
      </c>
      <c r="AB329" s="3">
        <v>0.21306130000000001</v>
      </c>
      <c r="AC329" s="3">
        <v>0.21975990000000001</v>
      </c>
      <c r="AD329" s="3">
        <v>0.2262054</v>
      </c>
      <c r="AE329" s="3">
        <v>0.23241590000000001</v>
      </c>
      <c r="AF329" s="3">
        <v>0.2384095</v>
      </c>
      <c r="AG329" s="3">
        <v>0.24420420000000001</v>
      </c>
      <c r="AH329" s="3">
        <v>0.24981809999999999</v>
      </c>
      <c r="AI329" s="3">
        <v>0.25526929999999998</v>
      </c>
      <c r="AJ329" s="3">
        <v>0.26057590000000003</v>
      </c>
      <c r="AK329" s="3">
        <v>0.26575589999999999</v>
      </c>
      <c r="AL329" s="3">
        <v>0.2708274</v>
      </c>
      <c r="AM329" s="3">
        <v>0.27580860000000001</v>
      </c>
      <c r="AN329" s="3">
        <v>0.28071740000000001</v>
      </c>
      <c r="AO329" s="3">
        <v>0.28556969999999998</v>
      </c>
      <c r="AP329" s="3">
        <v>0.29036970000000001</v>
      </c>
      <c r="AQ329" s="3">
        <v>0.2951184</v>
      </c>
      <c r="AR329" s="3">
        <v>0.29981669999999999</v>
      </c>
      <c r="AS329" s="3">
        <v>0.3044654</v>
      </c>
      <c r="AT329" s="3">
        <v>0.30906539999999999</v>
      </c>
      <c r="AU329" s="3">
        <v>0.3136177</v>
      </c>
      <c r="AV329" s="3">
        <v>0.31812309999999999</v>
      </c>
      <c r="AW329" s="3">
        <v>0.32258239999999999</v>
      </c>
      <c r="AX329" s="3">
        <v>0.32699669999999997</v>
      </c>
      <c r="AY329" s="3">
        <v>0.33136670000000001</v>
      </c>
      <c r="AZ329" s="3">
        <v>0.33569339999999998</v>
      </c>
      <c r="BA329" s="3">
        <v>0.33997769999999999</v>
      </c>
      <c r="BB329" s="3">
        <v>0.34422059999999999</v>
      </c>
      <c r="BC329" s="3">
        <v>0.34842329999999999</v>
      </c>
      <c r="BD329" s="3">
        <v>0.35258679999999998</v>
      </c>
      <c r="BE329" s="3">
        <v>0.35671239999999999</v>
      </c>
      <c r="BF329" s="3">
        <v>0.36080099999999998</v>
      </c>
      <c r="BG329" s="3">
        <v>0.36485380000000001</v>
      </c>
      <c r="BH329" s="3">
        <v>0.36887189999999997</v>
      </c>
      <c r="BI329" s="3">
        <v>0.37285639999999998</v>
      </c>
      <c r="BJ329" s="3">
        <v>0.37680839999999999</v>
      </c>
      <c r="BK329" s="3">
        <v>0.38072909999999999</v>
      </c>
      <c r="BL329" s="3">
        <v>0.3846194</v>
      </c>
      <c r="BM329" s="3" t="e">
        <v>#N/A</v>
      </c>
      <c r="BN329" s="3" t="e">
        <v>#N/A</v>
      </c>
    </row>
    <row r="330" spans="1:66" x14ac:dyDescent="0.35">
      <c r="A330" s="5">
        <f t="shared" si="4"/>
        <v>43916</v>
      </c>
      <c r="B330" t="s">
        <v>407</v>
      </c>
      <c r="C330" s="2">
        <v>0.1</v>
      </c>
      <c r="D330" s="2">
        <v>7.2900000000000006E-2</v>
      </c>
      <c r="E330" s="3">
        <v>7.4430899999999994E-2</v>
      </c>
      <c r="F330" s="3">
        <v>7.22603E-2</v>
      </c>
      <c r="G330" s="3">
        <v>7.1493399999999999E-2</v>
      </c>
      <c r="H330" s="3">
        <v>7.4207899999999993E-2</v>
      </c>
      <c r="I330" s="3">
        <v>7.8070500000000001E-2</v>
      </c>
      <c r="J330" s="3">
        <v>8.1996200000000005E-2</v>
      </c>
      <c r="K330" s="3">
        <v>8.7536699999999995E-2</v>
      </c>
      <c r="L330" s="3">
        <v>9.6052299999999993E-2</v>
      </c>
      <c r="M330" s="3">
        <v>0.10829510000000001</v>
      </c>
      <c r="N330" s="3">
        <v>0.1233152</v>
      </c>
      <c r="O330" s="3">
        <v>0.1384726</v>
      </c>
      <c r="P330" s="3">
        <v>0.15168609999999999</v>
      </c>
      <c r="Q330" s="3">
        <v>0.1626813</v>
      </c>
      <c r="R330" s="3">
        <v>0.1717738</v>
      </c>
      <c r="S330" s="3">
        <v>0.1793043</v>
      </c>
      <c r="T330" s="3">
        <v>0.18561330000000001</v>
      </c>
      <c r="U330" s="3">
        <v>0.19104160000000001</v>
      </c>
      <c r="V330" s="3">
        <v>0.19592989999999999</v>
      </c>
      <c r="W330" s="3">
        <v>0.20058219999999999</v>
      </c>
      <c r="X330" s="3">
        <v>0.20511399999999999</v>
      </c>
      <c r="Y330" s="3">
        <v>0.20958099999999999</v>
      </c>
      <c r="Z330" s="3">
        <v>0.21403849999999999</v>
      </c>
      <c r="AA330" s="3">
        <v>0.21854219999999999</v>
      </c>
      <c r="AB330" s="3">
        <v>0.2231474</v>
      </c>
      <c r="AC330" s="3">
        <v>0.22789880000000001</v>
      </c>
      <c r="AD330" s="3">
        <v>0.2327873</v>
      </c>
      <c r="AE330" s="3">
        <v>0.23778759999999999</v>
      </c>
      <c r="AF330" s="3">
        <v>0.24287449999999999</v>
      </c>
      <c r="AG330" s="3">
        <v>0.24802260000000001</v>
      </c>
      <c r="AH330" s="3">
        <v>0.25320670000000001</v>
      </c>
      <c r="AI330" s="3">
        <v>0.2584014</v>
      </c>
      <c r="AJ330" s="3">
        <v>0.26358160000000003</v>
      </c>
      <c r="AK330" s="3">
        <v>0.26872180000000001</v>
      </c>
      <c r="AL330" s="3">
        <v>0.2737967</v>
      </c>
      <c r="AM330" s="3">
        <v>0.27878120000000001</v>
      </c>
      <c r="AN330" s="3">
        <v>0.28364990000000001</v>
      </c>
      <c r="AO330" s="3">
        <v>0.28838130000000001</v>
      </c>
      <c r="AP330" s="3">
        <v>0.29297099999999998</v>
      </c>
      <c r="AQ330" s="3">
        <v>0.29741879999999998</v>
      </c>
      <c r="AR330" s="3">
        <v>0.30172500000000002</v>
      </c>
      <c r="AS330" s="3">
        <v>0.30588969999999999</v>
      </c>
      <c r="AT330" s="3">
        <v>0.30991289999999999</v>
      </c>
      <c r="AU330" s="3">
        <v>0.31379479999999998</v>
      </c>
      <c r="AV330" s="3">
        <v>0.31753530000000002</v>
      </c>
      <c r="AW330" s="3">
        <v>0.3211347</v>
      </c>
      <c r="AX330" s="3">
        <v>0.32459300000000002</v>
      </c>
      <c r="AY330" s="3">
        <v>0.32791029999999999</v>
      </c>
      <c r="AZ330" s="3">
        <v>0.33108670000000001</v>
      </c>
      <c r="BA330" s="3">
        <v>0.33412360000000002</v>
      </c>
      <c r="BB330" s="3">
        <v>0.33702850000000001</v>
      </c>
      <c r="BC330" s="3">
        <v>0.33981060000000002</v>
      </c>
      <c r="BD330" s="3">
        <v>0.34247889999999998</v>
      </c>
      <c r="BE330" s="3">
        <v>0.34504269999999998</v>
      </c>
      <c r="BF330" s="3">
        <v>0.34751090000000001</v>
      </c>
      <c r="BG330" s="3">
        <v>0.3498928</v>
      </c>
      <c r="BH330" s="3">
        <v>0.3521975</v>
      </c>
      <c r="BI330" s="3">
        <v>0.35443400000000003</v>
      </c>
      <c r="BJ330" s="3">
        <v>0.35661159999999997</v>
      </c>
      <c r="BK330" s="3">
        <v>0.35873929999999998</v>
      </c>
      <c r="BL330" s="3">
        <v>0.36082629999999999</v>
      </c>
      <c r="BM330" s="3" t="e">
        <v>#N/A</v>
      </c>
      <c r="BN330" s="3" t="e">
        <v>#N/A</v>
      </c>
    </row>
    <row r="331" spans="1:66" x14ac:dyDescent="0.35">
      <c r="A331" s="5">
        <f t="shared" si="4"/>
        <v>43917</v>
      </c>
      <c r="B331" t="s">
        <v>408</v>
      </c>
      <c r="C331" s="2">
        <v>0.1</v>
      </c>
      <c r="D331" s="2">
        <v>7.0999999999999994E-2</v>
      </c>
      <c r="E331" s="3">
        <v>7.2450799999999996E-2</v>
      </c>
      <c r="F331" s="3">
        <v>7.6590800000000001E-2</v>
      </c>
      <c r="G331" s="3">
        <v>8.1500699999999995E-2</v>
      </c>
      <c r="H331" s="3">
        <v>8.6830699999999997E-2</v>
      </c>
      <c r="I331" s="3">
        <v>9.2112700000000006E-2</v>
      </c>
      <c r="J331" s="3">
        <v>9.73575E-2</v>
      </c>
      <c r="K331" s="3">
        <v>0.1029677</v>
      </c>
      <c r="L331" s="3">
        <v>0.1093754</v>
      </c>
      <c r="M331" s="3">
        <v>0.11676350000000001</v>
      </c>
      <c r="N331" s="3">
        <v>0.1250783</v>
      </c>
      <c r="O331" s="3">
        <v>0.1340015</v>
      </c>
      <c r="P331" s="3">
        <v>0.14314209999999999</v>
      </c>
      <c r="Q331" s="3">
        <v>0.1517887</v>
      </c>
      <c r="R331" s="3">
        <v>0.159807</v>
      </c>
      <c r="S331" s="3">
        <v>0.1672969</v>
      </c>
      <c r="T331" s="3">
        <v>0.17435829999999999</v>
      </c>
      <c r="U331" s="3">
        <v>0.18109130000000001</v>
      </c>
      <c r="V331" s="3">
        <v>0.18759590000000001</v>
      </c>
      <c r="W331" s="3">
        <v>0.19395950000000001</v>
      </c>
      <c r="X331" s="3">
        <v>0.20021169999999999</v>
      </c>
      <c r="Y331" s="3">
        <v>0.20636499999999999</v>
      </c>
      <c r="Z331" s="3">
        <v>0.21243229999999999</v>
      </c>
      <c r="AA331" s="3">
        <v>0.21842619999999999</v>
      </c>
      <c r="AB331" s="3">
        <v>0.22435939999999999</v>
      </c>
      <c r="AC331" s="3">
        <v>0.23024049999999999</v>
      </c>
      <c r="AD331" s="3">
        <v>0.23606060000000001</v>
      </c>
      <c r="AE331" s="3">
        <v>0.24180550000000001</v>
      </c>
      <c r="AF331" s="3">
        <v>0.24746119999999999</v>
      </c>
      <c r="AG331" s="3">
        <v>0.25301390000000001</v>
      </c>
      <c r="AH331" s="3">
        <v>0.2584495</v>
      </c>
      <c r="AI331" s="3">
        <v>0.26375399999999999</v>
      </c>
      <c r="AJ331" s="3">
        <v>0.26891350000000003</v>
      </c>
      <c r="AK331" s="3">
        <v>0.27391389999999999</v>
      </c>
      <c r="AL331" s="3">
        <v>0.27874120000000002</v>
      </c>
      <c r="AM331" s="3">
        <v>0.28338150000000001</v>
      </c>
      <c r="AN331" s="3">
        <v>0.28782079999999999</v>
      </c>
      <c r="AO331" s="3">
        <v>0.29204859999999999</v>
      </c>
      <c r="AP331" s="3">
        <v>0.29606900000000003</v>
      </c>
      <c r="AQ331" s="3">
        <v>0.29988920000000002</v>
      </c>
      <c r="AR331" s="3">
        <v>0.30351689999999998</v>
      </c>
      <c r="AS331" s="3">
        <v>0.3069596</v>
      </c>
      <c r="AT331" s="3">
        <v>0.31022470000000002</v>
      </c>
      <c r="AU331" s="3">
        <v>0.31331959999999998</v>
      </c>
      <c r="AV331" s="3">
        <v>0.31625199999999998</v>
      </c>
      <c r="AW331" s="3">
        <v>0.31902930000000002</v>
      </c>
      <c r="AX331" s="3">
        <v>0.32165890000000003</v>
      </c>
      <c r="AY331" s="3">
        <v>0.3241484</v>
      </c>
      <c r="AZ331" s="3">
        <v>0.3265052</v>
      </c>
      <c r="BA331" s="3">
        <v>0.3287368</v>
      </c>
      <c r="BB331" s="3">
        <v>0.33085019999999998</v>
      </c>
      <c r="BC331" s="3">
        <v>0.33285239999999999</v>
      </c>
      <c r="BD331" s="3">
        <v>0.33475050000000001</v>
      </c>
      <c r="BE331" s="3">
        <v>0.3365514</v>
      </c>
      <c r="BF331" s="3">
        <v>0.33826210000000001</v>
      </c>
      <c r="BG331" s="3">
        <v>0.33988950000000001</v>
      </c>
      <c r="BH331" s="3">
        <v>0.34144079999999999</v>
      </c>
      <c r="BI331" s="3">
        <v>0.34292289999999997</v>
      </c>
      <c r="BJ331" s="3">
        <v>0.3443427</v>
      </c>
      <c r="BK331" s="3">
        <v>0.3457073</v>
      </c>
      <c r="BL331" s="3">
        <v>0.34702359999999999</v>
      </c>
      <c r="BM331" s="3" t="e">
        <v>#N/A</v>
      </c>
      <c r="BN331" s="3" t="e">
        <v>#N/A</v>
      </c>
    </row>
    <row r="332" spans="1:66" x14ac:dyDescent="0.35">
      <c r="A332" s="5">
        <f t="shared" si="4"/>
        <v>43920</v>
      </c>
      <c r="B332" t="s">
        <v>409</v>
      </c>
      <c r="C332" s="2">
        <v>0.1</v>
      </c>
      <c r="D332" s="2">
        <v>7.1400000000000005E-2</v>
      </c>
      <c r="E332" s="3">
        <v>7.3342299999999999E-2</v>
      </c>
      <c r="F332" s="3">
        <v>7.7176599999999998E-2</v>
      </c>
      <c r="G332" s="3">
        <v>8.1061099999999997E-2</v>
      </c>
      <c r="H332" s="3">
        <v>8.5624900000000004E-2</v>
      </c>
      <c r="I332" s="3">
        <v>9.0983599999999998E-2</v>
      </c>
      <c r="J332" s="3">
        <v>9.6896599999999999E-2</v>
      </c>
      <c r="K332" s="3">
        <v>0.1033123</v>
      </c>
      <c r="L332" s="3">
        <v>0.1103672</v>
      </c>
      <c r="M332" s="3">
        <v>0.1181207</v>
      </c>
      <c r="N332" s="3">
        <v>0.12640989999999999</v>
      </c>
      <c r="O332" s="3">
        <v>0.13490289999999999</v>
      </c>
      <c r="P332" s="3">
        <v>0.14325679999999999</v>
      </c>
      <c r="Q332" s="3">
        <v>0.1511709</v>
      </c>
      <c r="R332" s="3">
        <v>0.1586282</v>
      </c>
      <c r="S332" s="3">
        <v>0.165686</v>
      </c>
      <c r="T332" s="3">
        <v>0.17240159999999999</v>
      </c>
      <c r="U332" s="3">
        <v>0.1788324</v>
      </c>
      <c r="V332" s="3">
        <v>0.18503559999999999</v>
      </c>
      <c r="W332" s="3">
        <v>0.1910636</v>
      </c>
      <c r="X332" s="3">
        <v>0.1969467</v>
      </c>
      <c r="Y332" s="3">
        <v>0.20270820000000001</v>
      </c>
      <c r="Z332" s="3">
        <v>0.2083719</v>
      </c>
      <c r="AA332" s="3">
        <v>0.21396119999999999</v>
      </c>
      <c r="AB332" s="3">
        <v>0.21949969999999999</v>
      </c>
      <c r="AC332" s="3">
        <v>0.22500410000000001</v>
      </c>
      <c r="AD332" s="3">
        <v>0.230463</v>
      </c>
      <c r="AE332" s="3">
        <v>0.23585809999999999</v>
      </c>
      <c r="AF332" s="3">
        <v>0.24117130000000001</v>
      </c>
      <c r="AG332" s="3">
        <v>0.2463842</v>
      </c>
      <c r="AH332" s="3">
        <v>0.2514787</v>
      </c>
      <c r="AI332" s="3">
        <v>0.25643630000000001</v>
      </c>
      <c r="AJ332" s="3">
        <v>0.261239</v>
      </c>
      <c r="AK332" s="3">
        <v>0.2658684</v>
      </c>
      <c r="AL332" s="3">
        <v>0.2703063</v>
      </c>
      <c r="AM332" s="3">
        <v>0.27453440000000001</v>
      </c>
      <c r="AN332" s="3">
        <v>0.27853450000000002</v>
      </c>
      <c r="AO332" s="3">
        <v>0.28229389999999999</v>
      </c>
      <c r="AP332" s="3">
        <v>0.2858231</v>
      </c>
      <c r="AQ332" s="3">
        <v>0.2891378</v>
      </c>
      <c r="AR332" s="3">
        <v>0.29225420000000002</v>
      </c>
      <c r="AS332" s="3">
        <v>0.29518820000000001</v>
      </c>
      <c r="AT332" s="3">
        <v>0.29795569999999999</v>
      </c>
      <c r="AU332" s="3">
        <v>0.30057279999999997</v>
      </c>
      <c r="AV332" s="3">
        <v>0.30305530000000003</v>
      </c>
      <c r="AW332" s="3">
        <v>0.3054193</v>
      </c>
      <c r="AX332" s="3">
        <v>0.30768079999999998</v>
      </c>
      <c r="AY332" s="3">
        <v>0.30985560000000001</v>
      </c>
      <c r="AZ332" s="3">
        <v>0.31195980000000001</v>
      </c>
      <c r="BA332" s="3">
        <v>0.31400790000000001</v>
      </c>
      <c r="BB332" s="3">
        <v>0.31600590000000001</v>
      </c>
      <c r="BC332" s="3">
        <v>0.31795659999999998</v>
      </c>
      <c r="BD332" s="3">
        <v>0.3198627</v>
      </c>
      <c r="BE332" s="3">
        <v>0.32172719999999999</v>
      </c>
      <c r="BF332" s="3">
        <v>0.32355279999999997</v>
      </c>
      <c r="BG332" s="3">
        <v>0.32534229999999997</v>
      </c>
      <c r="BH332" s="3">
        <v>0.32709850000000001</v>
      </c>
      <c r="BI332" s="3">
        <v>0.32882430000000001</v>
      </c>
      <c r="BJ332" s="3">
        <v>0.33052239999999999</v>
      </c>
      <c r="BK332" s="3">
        <v>0.33219569999999998</v>
      </c>
      <c r="BL332" s="3">
        <v>0.3338469</v>
      </c>
      <c r="BM332" s="3" t="e">
        <v>#N/A</v>
      </c>
      <c r="BN332" s="3" t="e">
        <v>#N/A</v>
      </c>
    </row>
    <row r="333" spans="1:66" x14ac:dyDescent="0.35">
      <c r="A333" s="5">
        <f t="shared" si="4"/>
        <v>43921</v>
      </c>
      <c r="B333" t="s">
        <v>410</v>
      </c>
      <c r="C333" s="2">
        <v>0.1</v>
      </c>
      <c r="D333" s="2">
        <v>7.2900000000000006E-2</v>
      </c>
      <c r="E333" s="3">
        <v>7.2016899999999995E-2</v>
      </c>
      <c r="F333" s="3">
        <v>7.4519799999999997E-2</v>
      </c>
      <c r="G333" s="3">
        <v>7.7476699999999996E-2</v>
      </c>
      <c r="H333" s="3">
        <v>8.0868399999999993E-2</v>
      </c>
      <c r="I333" s="3">
        <v>8.5167599999999996E-2</v>
      </c>
      <c r="J333" s="3">
        <v>9.0829400000000005E-2</v>
      </c>
      <c r="K333" s="3">
        <v>9.8210400000000003E-2</v>
      </c>
      <c r="L333" s="3">
        <v>0.1072285</v>
      </c>
      <c r="M333" s="3">
        <v>0.11735080000000001</v>
      </c>
      <c r="N333" s="3">
        <v>0.12778100000000001</v>
      </c>
      <c r="O333" s="3">
        <v>0.13784589999999999</v>
      </c>
      <c r="P333" s="3">
        <v>0.1470833</v>
      </c>
      <c r="Q333" s="3">
        <v>0.15536639999999999</v>
      </c>
      <c r="R333" s="3">
        <v>0.1628126</v>
      </c>
      <c r="S333" s="3">
        <v>0.1695836</v>
      </c>
      <c r="T333" s="3">
        <v>0.17584150000000001</v>
      </c>
      <c r="U333" s="3">
        <v>0.18174799999999999</v>
      </c>
      <c r="V333" s="3">
        <v>0.18746489999999999</v>
      </c>
      <c r="W333" s="3">
        <v>0.19312879999999999</v>
      </c>
      <c r="X333" s="3">
        <v>0.19876869999999999</v>
      </c>
      <c r="Y333" s="3">
        <v>0.20438609999999999</v>
      </c>
      <c r="Z333" s="3">
        <v>0.209982</v>
      </c>
      <c r="AA333" s="3">
        <v>0.21555779999999999</v>
      </c>
      <c r="AB333" s="3">
        <v>0.22111449999999999</v>
      </c>
      <c r="AC333" s="3">
        <v>0.22665070000000001</v>
      </c>
      <c r="AD333" s="3">
        <v>0.23215330000000001</v>
      </c>
      <c r="AE333" s="3">
        <v>0.2376067</v>
      </c>
      <c r="AF333" s="3">
        <v>0.24299499999999999</v>
      </c>
      <c r="AG333" s="3">
        <v>0.24830260000000001</v>
      </c>
      <c r="AH333" s="3">
        <v>0.25351370000000001</v>
      </c>
      <c r="AI333" s="3">
        <v>0.25861240000000002</v>
      </c>
      <c r="AJ333" s="3">
        <v>0.26358320000000002</v>
      </c>
      <c r="AK333" s="3">
        <v>0.26841019999999999</v>
      </c>
      <c r="AL333" s="3">
        <v>0.27307759999999998</v>
      </c>
      <c r="AM333" s="3">
        <v>0.27756979999999998</v>
      </c>
      <c r="AN333" s="3">
        <v>0.28187099999999998</v>
      </c>
      <c r="AO333" s="3">
        <v>0.2859699</v>
      </c>
      <c r="AP333" s="3">
        <v>0.28987259999999998</v>
      </c>
      <c r="AQ333" s="3">
        <v>0.29359000000000002</v>
      </c>
      <c r="AR333" s="3">
        <v>0.29713260000000002</v>
      </c>
      <c r="AS333" s="3">
        <v>0.30051119999999998</v>
      </c>
      <c r="AT333" s="3">
        <v>0.30373650000000002</v>
      </c>
      <c r="AU333" s="3">
        <v>0.30681920000000001</v>
      </c>
      <c r="AV333" s="3">
        <v>0.30976989999999999</v>
      </c>
      <c r="AW333" s="3">
        <v>0.31259940000000003</v>
      </c>
      <c r="AX333" s="3">
        <v>0.3153183</v>
      </c>
      <c r="AY333" s="3">
        <v>0.31793729999999998</v>
      </c>
      <c r="AZ333" s="3">
        <v>0.3204671</v>
      </c>
      <c r="BA333" s="3">
        <v>0.32291740000000002</v>
      </c>
      <c r="BB333" s="3">
        <v>0.32529239999999998</v>
      </c>
      <c r="BC333" s="3">
        <v>0.32759460000000001</v>
      </c>
      <c r="BD333" s="3">
        <v>0.32982650000000002</v>
      </c>
      <c r="BE333" s="3">
        <v>0.33199050000000002</v>
      </c>
      <c r="BF333" s="3">
        <v>0.33408900000000002</v>
      </c>
      <c r="BG333" s="3">
        <v>0.33612449999999999</v>
      </c>
      <c r="BH333" s="3">
        <v>0.33809939999999999</v>
      </c>
      <c r="BI333" s="3">
        <v>0.34001629999999999</v>
      </c>
      <c r="BJ333" s="3">
        <v>0.3418774</v>
      </c>
      <c r="BK333" s="3">
        <v>0.34368539999999997</v>
      </c>
      <c r="BL333" s="3">
        <v>0.34544249999999999</v>
      </c>
      <c r="BM333" s="3" t="e">
        <v>#N/A</v>
      </c>
      <c r="BN333" s="3" t="e">
        <v>#N/A</v>
      </c>
    </row>
    <row r="334" spans="1:66" x14ac:dyDescent="0.35">
      <c r="A334" s="5">
        <f t="shared" ref="A334:A397" si="5">+A329+7</f>
        <v>43922</v>
      </c>
      <c r="B334" t="s">
        <v>411</v>
      </c>
      <c r="C334" s="2">
        <v>0.1</v>
      </c>
      <c r="D334" s="2">
        <v>7.1199999999999999E-2</v>
      </c>
      <c r="E334" s="3">
        <v>7.2450700000000007E-2</v>
      </c>
      <c r="F334" s="3">
        <v>7.4088200000000007E-2</v>
      </c>
      <c r="G334" s="3">
        <v>7.5461500000000001E-2</v>
      </c>
      <c r="H334" s="3">
        <v>7.7372300000000005E-2</v>
      </c>
      <c r="I334" s="3">
        <v>8.0443399999999998E-2</v>
      </c>
      <c r="J334" s="3">
        <v>8.4785200000000005E-2</v>
      </c>
      <c r="K334" s="3">
        <v>9.0547600000000006E-2</v>
      </c>
      <c r="L334" s="3">
        <v>9.77272E-2</v>
      </c>
      <c r="M334" s="3">
        <v>0.10608919999999999</v>
      </c>
      <c r="N334" s="3">
        <v>0.1153291</v>
      </c>
      <c r="O334" s="3">
        <v>0.12505649999999999</v>
      </c>
      <c r="P334" s="3">
        <v>0.13492380000000001</v>
      </c>
      <c r="Q334" s="3">
        <v>0.14457519999999999</v>
      </c>
      <c r="R334" s="3">
        <v>0.15388640000000001</v>
      </c>
      <c r="S334" s="3">
        <v>0.16279750000000001</v>
      </c>
      <c r="T334" s="3">
        <v>0.1712484</v>
      </c>
      <c r="U334" s="3">
        <v>0.1791789</v>
      </c>
      <c r="V334" s="3">
        <v>0.1865291</v>
      </c>
      <c r="W334" s="3">
        <v>0.1932603</v>
      </c>
      <c r="X334" s="3">
        <v>0.19942360000000001</v>
      </c>
      <c r="Y334" s="3">
        <v>0.20509359999999999</v>
      </c>
      <c r="Z334" s="3">
        <v>0.21034510000000001</v>
      </c>
      <c r="AA334" s="3">
        <v>0.21525269999999999</v>
      </c>
      <c r="AB334" s="3">
        <v>0.21989110000000001</v>
      </c>
      <c r="AC334" s="3">
        <v>0.224324</v>
      </c>
      <c r="AD334" s="3">
        <v>0.22857089999999999</v>
      </c>
      <c r="AE334" s="3">
        <v>0.23264000000000001</v>
      </c>
      <c r="AF334" s="3">
        <v>0.23653969999999999</v>
      </c>
      <c r="AG334" s="3">
        <v>0.24027860000000001</v>
      </c>
      <c r="AH334" s="3">
        <v>0.2438649</v>
      </c>
      <c r="AI334" s="3">
        <v>0.247307</v>
      </c>
      <c r="AJ334" s="3">
        <v>0.25061329999999998</v>
      </c>
      <c r="AK334" s="3">
        <v>0.25379230000000003</v>
      </c>
      <c r="AL334" s="3">
        <v>0.25685219999999997</v>
      </c>
      <c r="AM334" s="3">
        <v>0.25980150000000002</v>
      </c>
      <c r="AN334" s="3">
        <v>0.26264860000000001</v>
      </c>
      <c r="AO334" s="3">
        <v>0.26540079999999999</v>
      </c>
      <c r="AP334" s="3">
        <v>0.26806079999999999</v>
      </c>
      <c r="AQ334" s="3">
        <v>0.27062969999999997</v>
      </c>
      <c r="AR334" s="3">
        <v>0.27310849999999998</v>
      </c>
      <c r="AS334" s="3">
        <v>0.27549849999999998</v>
      </c>
      <c r="AT334" s="3">
        <v>0.27780060000000001</v>
      </c>
      <c r="AU334" s="3">
        <v>0.28001619999999999</v>
      </c>
      <c r="AV334" s="3">
        <v>0.28214620000000001</v>
      </c>
      <c r="AW334" s="3">
        <v>0.28419179999999999</v>
      </c>
      <c r="AX334" s="3">
        <v>0.28615410000000002</v>
      </c>
      <c r="AY334" s="3">
        <v>0.28803420000000002</v>
      </c>
      <c r="AZ334" s="3">
        <v>0.28983330000000002</v>
      </c>
      <c r="BA334" s="3">
        <v>0.2915528</v>
      </c>
      <c r="BB334" s="3">
        <v>0.29319580000000001</v>
      </c>
      <c r="BC334" s="3">
        <v>0.29476570000000002</v>
      </c>
      <c r="BD334" s="3">
        <v>0.29626609999999998</v>
      </c>
      <c r="BE334" s="3">
        <v>0.29770049999999998</v>
      </c>
      <c r="BF334" s="3">
        <v>0.29907250000000002</v>
      </c>
      <c r="BG334" s="3">
        <v>0.30038550000000003</v>
      </c>
      <c r="BH334" s="3">
        <v>0.3016431</v>
      </c>
      <c r="BI334" s="3">
        <v>0.30284879999999997</v>
      </c>
      <c r="BJ334" s="3">
        <v>0.3040061</v>
      </c>
      <c r="BK334" s="3">
        <v>0.30511860000000002</v>
      </c>
      <c r="BL334" s="3">
        <v>0.30618970000000001</v>
      </c>
      <c r="BM334" s="3" t="e">
        <v>#N/A</v>
      </c>
      <c r="BN334" s="3" t="e">
        <v>#N/A</v>
      </c>
    </row>
    <row r="335" spans="1:66" x14ac:dyDescent="0.35">
      <c r="A335" s="5">
        <f t="shared" si="5"/>
        <v>43923</v>
      </c>
      <c r="B335" t="s">
        <v>412</v>
      </c>
      <c r="C335" s="2">
        <v>0.1</v>
      </c>
      <c r="D335" s="2">
        <v>6.5299999999999997E-2</v>
      </c>
      <c r="E335" s="3">
        <v>7.0825799999999994E-2</v>
      </c>
      <c r="F335" s="3">
        <v>7.0789199999999997E-2</v>
      </c>
      <c r="G335" s="3">
        <v>7.2558700000000004E-2</v>
      </c>
      <c r="H335" s="3">
        <v>7.5645299999999999E-2</v>
      </c>
      <c r="I335" s="3">
        <v>7.9224799999999998E-2</v>
      </c>
      <c r="J335" s="3">
        <v>8.2997199999999993E-2</v>
      </c>
      <c r="K335" s="3">
        <v>8.7327199999999994E-2</v>
      </c>
      <c r="L335" s="3">
        <v>9.2835899999999999E-2</v>
      </c>
      <c r="M335" s="3">
        <v>9.9804799999999999E-2</v>
      </c>
      <c r="N335" s="3">
        <v>0.10806689999999999</v>
      </c>
      <c r="O335" s="3">
        <v>0.1170924</v>
      </c>
      <c r="P335" s="3">
        <v>0.1263214</v>
      </c>
      <c r="Q335" s="3">
        <v>0.13504369999999999</v>
      </c>
      <c r="R335" s="3">
        <v>0.1430862</v>
      </c>
      <c r="S335" s="3">
        <v>0.1505003</v>
      </c>
      <c r="T335" s="3">
        <v>0.15733749999999999</v>
      </c>
      <c r="U335" s="3">
        <v>0.1636495</v>
      </c>
      <c r="V335" s="3">
        <v>0.16948769999999999</v>
      </c>
      <c r="W335" s="3">
        <v>0.1749087</v>
      </c>
      <c r="X335" s="3">
        <v>0.17999419999999999</v>
      </c>
      <c r="Y335" s="3">
        <v>0.1848341</v>
      </c>
      <c r="Z335" s="3">
        <v>0.18951809999999999</v>
      </c>
      <c r="AA335" s="3">
        <v>0.19413610000000001</v>
      </c>
      <c r="AB335" s="3">
        <v>0.1987778</v>
      </c>
      <c r="AC335" s="3">
        <v>0.20351749999999999</v>
      </c>
      <c r="AD335" s="3">
        <v>0.2083536</v>
      </c>
      <c r="AE335" s="3">
        <v>0.21326139999999999</v>
      </c>
      <c r="AF335" s="3">
        <v>0.2182164</v>
      </c>
      <c r="AG335" s="3">
        <v>0.2231939</v>
      </c>
      <c r="AH335" s="3">
        <v>0.22816919999999999</v>
      </c>
      <c r="AI335" s="3">
        <v>0.23311770000000001</v>
      </c>
      <c r="AJ335" s="3">
        <v>0.2380147</v>
      </c>
      <c r="AK335" s="3">
        <v>0.24283560000000001</v>
      </c>
      <c r="AL335" s="3">
        <v>0.24755569999999999</v>
      </c>
      <c r="AM335" s="3">
        <v>0.2521505</v>
      </c>
      <c r="AN335" s="3">
        <v>0.25659520000000002</v>
      </c>
      <c r="AO335" s="3">
        <v>0.26086920000000002</v>
      </c>
      <c r="AP335" s="3">
        <v>0.26496930000000002</v>
      </c>
      <c r="AQ335" s="3">
        <v>0.268897</v>
      </c>
      <c r="AR335" s="3">
        <v>0.27265420000000001</v>
      </c>
      <c r="AS335" s="3">
        <v>0.2762423</v>
      </c>
      <c r="AT335" s="3">
        <v>0.27966299999999999</v>
      </c>
      <c r="AU335" s="3">
        <v>0.28291810000000001</v>
      </c>
      <c r="AV335" s="3">
        <v>0.28600900000000001</v>
      </c>
      <c r="AW335" s="3">
        <v>0.28893740000000001</v>
      </c>
      <c r="AX335" s="3">
        <v>0.29170499999999999</v>
      </c>
      <c r="AY335" s="3">
        <v>0.2943134</v>
      </c>
      <c r="AZ335" s="3">
        <v>0.29676419999999998</v>
      </c>
      <c r="BA335" s="3">
        <v>0.2990603</v>
      </c>
      <c r="BB335" s="3">
        <v>0.30120910000000001</v>
      </c>
      <c r="BC335" s="3">
        <v>0.30321979999999998</v>
      </c>
      <c r="BD335" s="3">
        <v>0.30510140000000002</v>
      </c>
      <c r="BE335" s="3">
        <v>0.30686289999999999</v>
      </c>
      <c r="BF335" s="3">
        <v>0.30851319999999999</v>
      </c>
      <c r="BG335" s="3">
        <v>0.31006149999999999</v>
      </c>
      <c r="BH335" s="3">
        <v>0.31151659999999998</v>
      </c>
      <c r="BI335" s="3">
        <v>0.31288759999999999</v>
      </c>
      <c r="BJ335" s="3">
        <v>0.31418360000000001</v>
      </c>
      <c r="BK335" s="3">
        <v>0.31541350000000001</v>
      </c>
      <c r="BL335" s="3">
        <v>0.31658629999999999</v>
      </c>
      <c r="BM335" s="3" t="e">
        <v>#N/A</v>
      </c>
      <c r="BN335" s="3" t="e">
        <v>#N/A</v>
      </c>
    </row>
    <row r="336" spans="1:66" x14ac:dyDescent="0.35">
      <c r="A336" s="5">
        <f t="shared" si="5"/>
        <v>43924</v>
      </c>
      <c r="B336" t="s">
        <v>413</v>
      </c>
      <c r="C336" s="2">
        <v>0.1</v>
      </c>
      <c r="D336" s="2">
        <v>6.4000000000000001E-2</v>
      </c>
      <c r="E336" s="3">
        <v>6.9303900000000002E-2</v>
      </c>
      <c r="F336" s="3">
        <v>7.0483100000000007E-2</v>
      </c>
      <c r="G336" s="3">
        <v>7.1556400000000006E-2</v>
      </c>
      <c r="H336" s="3">
        <v>7.2403999999999996E-2</v>
      </c>
      <c r="I336" s="3">
        <v>7.3033399999999998E-2</v>
      </c>
      <c r="J336" s="3">
        <v>7.4217000000000005E-2</v>
      </c>
      <c r="K336" s="3">
        <v>7.6915399999999995E-2</v>
      </c>
      <c r="L336" s="3">
        <v>8.15694E-2</v>
      </c>
      <c r="M336" s="3">
        <v>8.7983699999999998E-2</v>
      </c>
      <c r="N336" s="3">
        <v>9.5686900000000005E-2</v>
      </c>
      <c r="O336" s="3">
        <v>0.10410079999999999</v>
      </c>
      <c r="P336" s="3">
        <v>0.1127493</v>
      </c>
      <c r="Q336" s="3">
        <v>0.1211967</v>
      </c>
      <c r="R336" s="3">
        <v>0.1292789</v>
      </c>
      <c r="S336" s="3">
        <v>0.13692679999999999</v>
      </c>
      <c r="T336" s="3">
        <v>0.14407200000000001</v>
      </c>
      <c r="U336" s="3">
        <v>0.15064549999999999</v>
      </c>
      <c r="V336" s="3">
        <v>0.15657869999999999</v>
      </c>
      <c r="W336" s="3">
        <v>0.16183349999999999</v>
      </c>
      <c r="X336" s="3">
        <v>0.1665131</v>
      </c>
      <c r="Y336" s="3">
        <v>0.17076189999999999</v>
      </c>
      <c r="Z336" s="3">
        <v>0.1747243</v>
      </c>
      <c r="AA336" s="3">
        <v>0.1785447</v>
      </c>
      <c r="AB336" s="3">
        <v>0.18236759999999999</v>
      </c>
      <c r="AC336" s="3">
        <v>0.1863119</v>
      </c>
      <c r="AD336" s="3">
        <v>0.19038550000000001</v>
      </c>
      <c r="AE336" s="3">
        <v>0.1945653</v>
      </c>
      <c r="AF336" s="3">
        <v>0.19882830000000001</v>
      </c>
      <c r="AG336" s="3">
        <v>0.20315150000000001</v>
      </c>
      <c r="AH336" s="3">
        <v>0.20751169999999999</v>
      </c>
      <c r="AI336" s="3">
        <v>0.21188609999999999</v>
      </c>
      <c r="AJ336" s="3">
        <v>0.21625159999999999</v>
      </c>
      <c r="AK336" s="3">
        <v>0.22058510000000001</v>
      </c>
      <c r="AL336" s="3">
        <v>0.2248637</v>
      </c>
      <c r="AM336" s="3">
        <v>0.2290642</v>
      </c>
      <c r="AN336" s="3">
        <v>0.2331637</v>
      </c>
      <c r="AO336" s="3">
        <v>0.23714270000000001</v>
      </c>
      <c r="AP336" s="3">
        <v>0.24099580000000001</v>
      </c>
      <c r="AQ336" s="3">
        <v>0.24472150000000001</v>
      </c>
      <c r="AR336" s="3">
        <v>0.24831790000000001</v>
      </c>
      <c r="AS336" s="3">
        <v>0.25178319999999998</v>
      </c>
      <c r="AT336" s="3">
        <v>0.25511590000000001</v>
      </c>
      <c r="AU336" s="3">
        <v>0.25831409999999999</v>
      </c>
      <c r="AV336" s="3">
        <v>0.261376</v>
      </c>
      <c r="AW336" s="3">
        <v>0.26430009999999998</v>
      </c>
      <c r="AX336" s="3">
        <v>0.2670844</v>
      </c>
      <c r="AY336" s="3">
        <v>0.26972740000000001</v>
      </c>
      <c r="AZ336" s="3">
        <v>0.27222730000000001</v>
      </c>
      <c r="BA336" s="3">
        <v>0.27458399999999999</v>
      </c>
      <c r="BB336" s="3">
        <v>0.27680589999999999</v>
      </c>
      <c r="BC336" s="3">
        <v>0.27890300000000001</v>
      </c>
      <c r="BD336" s="3">
        <v>0.28088590000000002</v>
      </c>
      <c r="BE336" s="3">
        <v>0.28276459999999998</v>
      </c>
      <c r="BF336" s="3">
        <v>0.28454970000000002</v>
      </c>
      <c r="BG336" s="3">
        <v>0.28625129999999999</v>
      </c>
      <c r="BH336" s="3">
        <v>0.28787980000000002</v>
      </c>
      <c r="BI336" s="3">
        <v>0.28944550000000002</v>
      </c>
      <c r="BJ336" s="3">
        <v>0.29095870000000001</v>
      </c>
      <c r="BK336" s="3">
        <v>0.29242970000000001</v>
      </c>
      <c r="BL336" s="3">
        <v>0.29386869999999998</v>
      </c>
      <c r="BM336" s="3" t="e">
        <v>#N/A</v>
      </c>
      <c r="BN336" s="3" t="e">
        <v>#N/A</v>
      </c>
    </row>
    <row r="337" spans="1:66" x14ac:dyDescent="0.35">
      <c r="A337" s="5">
        <f t="shared" si="5"/>
        <v>43927</v>
      </c>
      <c r="B337" t="s">
        <v>414</v>
      </c>
      <c r="C337" s="2">
        <v>0.1</v>
      </c>
      <c r="D337" s="2">
        <v>6.5699999999999995E-2</v>
      </c>
      <c r="E337" s="3">
        <v>6.9078500000000001E-2</v>
      </c>
      <c r="F337" s="3">
        <v>7.0813899999999999E-2</v>
      </c>
      <c r="G337" s="3">
        <v>7.2591000000000003E-2</v>
      </c>
      <c r="H337" s="3">
        <v>7.4361499999999997E-2</v>
      </c>
      <c r="I337" s="3">
        <v>7.5984999999999997E-2</v>
      </c>
      <c r="J337" s="3">
        <v>7.7645500000000006E-2</v>
      </c>
      <c r="K337" s="3">
        <v>7.9802700000000004E-2</v>
      </c>
      <c r="L337" s="3">
        <v>8.2976800000000003E-2</v>
      </c>
      <c r="M337" s="3">
        <v>8.7534899999999999E-2</v>
      </c>
      <c r="N337" s="3">
        <v>9.3532900000000002E-2</v>
      </c>
      <c r="O337" s="3">
        <v>0.10079970000000001</v>
      </c>
      <c r="P337" s="3">
        <v>0.1090573</v>
      </c>
      <c r="Q337" s="3">
        <v>0.1179422</v>
      </c>
      <c r="R337" s="3">
        <v>0.12719659999999999</v>
      </c>
      <c r="S337" s="3">
        <v>0.13659650000000001</v>
      </c>
      <c r="T337" s="3">
        <v>0.1459181</v>
      </c>
      <c r="U337" s="3">
        <v>0.1549373</v>
      </c>
      <c r="V337" s="3">
        <v>0.16343009999999999</v>
      </c>
      <c r="W337" s="3">
        <v>0.17122270000000001</v>
      </c>
      <c r="X337" s="3">
        <v>0.1783518</v>
      </c>
      <c r="Y337" s="3">
        <v>0.1849094</v>
      </c>
      <c r="Z337" s="3">
        <v>0.19098770000000001</v>
      </c>
      <c r="AA337" s="3">
        <v>0.19667860000000001</v>
      </c>
      <c r="AB337" s="3">
        <v>0.20207430000000001</v>
      </c>
      <c r="AC337" s="3">
        <v>0.20725360000000001</v>
      </c>
      <c r="AD337" s="3">
        <v>0.21224299999999999</v>
      </c>
      <c r="AE337" s="3">
        <v>0.2170559</v>
      </c>
      <c r="AF337" s="3">
        <v>0.22170570000000001</v>
      </c>
      <c r="AG337" s="3">
        <v>0.22620570000000001</v>
      </c>
      <c r="AH337" s="3">
        <v>0.2305693</v>
      </c>
      <c r="AI337" s="3">
        <v>0.23480999999999999</v>
      </c>
      <c r="AJ337" s="3">
        <v>0.23894099999999999</v>
      </c>
      <c r="AK337" s="3">
        <v>0.24297579999999999</v>
      </c>
      <c r="AL337" s="3">
        <v>0.2469277</v>
      </c>
      <c r="AM337" s="3">
        <v>0.25080999999999998</v>
      </c>
      <c r="AN337" s="3">
        <v>0.25463629999999998</v>
      </c>
      <c r="AO337" s="3">
        <v>0.2584167</v>
      </c>
      <c r="AP337" s="3">
        <v>0.26214929999999997</v>
      </c>
      <c r="AQ337" s="3">
        <v>0.26582889999999998</v>
      </c>
      <c r="AR337" s="3">
        <v>0.26945049999999998</v>
      </c>
      <c r="AS337" s="3">
        <v>0.273009</v>
      </c>
      <c r="AT337" s="3">
        <v>0.2764992</v>
      </c>
      <c r="AU337" s="3">
        <v>0.2799162</v>
      </c>
      <c r="AV337" s="3">
        <v>0.28325470000000003</v>
      </c>
      <c r="AW337" s="3">
        <v>0.28650969999999998</v>
      </c>
      <c r="AX337" s="3">
        <v>0.28967619999999999</v>
      </c>
      <c r="AY337" s="3">
        <v>0.29274889999999998</v>
      </c>
      <c r="AZ337" s="3">
        <v>0.29572290000000001</v>
      </c>
      <c r="BA337" s="3">
        <v>0.29859439999999998</v>
      </c>
      <c r="BB337" s="3">
        <v>0.30136679999999999</v>
      </c>
      <c r="BC337" s="3">
        <v>0.30404609999999999</v>
      </c>
      <c r="BD337" s="3">
        <v>0.30663820000000003</v>
      </c>
      <c r="BE337" s="3">
        <v>0.30914900000000001</v>
      </c>
      <c r="BF337" s="3">
        <v>0.31158449999999999</v>
      </c>
      <c r="BG337" s="3">
        <v>0.31395060000000002</v>
      </c>
      <c r="BH337" s="3">
        <v>0.31625310000000001</v>
      </c>
      <c r="BI337" s="3">
        <v>0.31849810000000001</v>
      </c>
      <c r="BJ337" s="3">
        <v>0.32069140000000002</v>
      </c>
      <c r="BK337" s="3">
        <v>0.32283889999999998</v>
      </c>
      <c r="BL337" s="3">
        <v>0.32494659999999997</v>
      </c>
      <c r="BM337" s="3" t="e">
        <v>#N/A</v>
      </c>
      <c r="BN337" s="3" t="e">
        <v>#N/A</v>
      </c>
    </row>
    <row r="338" spans="1:66" x14ac:dyDescent="0.35">
      <c r="A338" s="5">
        <f t="shared" si="5"/>
        <v>43928</v>
      </c>
      <c r="B338" t="s">
        <v>415</v>
      </c>
      <c r="C338" s="2">
        <v>0.1</v>
      </c>
      <c r="D338" s="2">
        <v>6.6100000000000006E-2</v>
      </c>
      <c r="E338" s="3">
        <v>7.0831500000000006E-2</v>
      </c>
      <c r="F338" s="3">
        <v>7.4149000000000007E-2</v>
      </c>
      <c r="G338" s="3">
        <v>7.6711299999999996E-2</v>
      </c>
      <c r="H338" s="3">
        <v>7.9013799999999995E-2</v>
      </c>
      <c r="I338" s="3">
        <v>8.1560300000000002E-2</v>
      </c>
      <c r="J338" s="3">
        <v>8.4757600000000002E-2</v>
      </c>
      <c r="K338" s="3">
        <v>8.9122099999999996E-2</v>
      </c>
      <c r="L338" s="3">
        <v>9.4995999999999997E-2</v>
      </c>
      <c r="M338" s="3">
        <v>0.10246280000000001</v>
      </c>
      <c r="N338" s="3">
        <v>0.1113415</v>
      </c>
      <c r="O338" s="3">
        <v>0.1212568</v>
      </c>
      <c r="P338" s="3">
        <v>0.1318155</v>
      </c>
      <c r="Q338" s="3">
        <v>0.14249870000000001</v>
      </c>
      <c r="R338" s="3">
        <v>0.15309739999999999</v>
      </c>
      <c r="S338" s="3">
        <v>0.1634959</v>
      </c>
      <c r="T338" s="3">
        <v>0.1735786</v>
      </c>
      <c r="U338" s="3">
        <v>0.1832299</v>
      </c>
      <c r="V338" s="3">
        <v>0.19233430000000001</v>
      </c>
      <c r="W338" s="3">
        <v>0.20081499999999999</v>
      </c>
      <c r="X338" s="3">
        <v>0.2087591</v>
      </c>
      <c r="Y338" s="3">
        <v>0.21629689999999999</v>
      </c>
      <c r="Z338" s="3">
        <v>0.22355820000000001</v>
      </c>
      <c r="AA338" s="3">
        <v>0.2306733</v>
      </c>
      <c r="AB338" s="3">
        <v>0.23777219999999999</v>
      </c>
      <c r="AC338" s="3">
        <v>0.24495919999999999</v>
      </c>
      <c r="AD338" s="3">
        <v>0.2522355</v>
      </c>
      <c r="AE338" s="3">
        <v>0.25957659999999999</v>
      </c>
      <c r="AF338" s="3">
        <v>0.26695799999999997</v>
      </c>
      <c r="AG338" s="3">
        <v>0.27435510000000002</v>
      </c>
      <c r="AH338" s="3">
        <v>0.28174339999999998</v>
      </c>
      <c r="AI338" s="3">
        <v>0.28909829999999997</v>
      </c>
      <c r="AJ338" s="3">
        <v>0.29639520000000003</v>
      </c>
      <c r="AK338" s="3">
        <v>0.30360969999999998</v>
      </c>
      <c r="AL338" s="3">
        <v>0.31071720000000003</v>
      </c>
      <c r="AM338" s="3">
        <v>0.31769310000000001</v>
      </c>
      <c r="AN338" s="3">
        <v>0.32451289999999999</v>
      </c>
      <c r="AO338" s="3">
        <v>0.33115460000000002</v>
      </c>
      <c r="AP338" s="3">
        <v>0.33761160000000001</v>
      </c>
      <c r="AQ338" s="3">
        <v>0.34388269999999999</v>
      </c>
      <c r="AR338" s="3">
        <v>0.34996709999999998</v>
      </c>
      <c r="AS338" s="3">
        <v>0.3558636</v>
      </c>
      <c r="AT338" s="3">
        <v>0.36157119999999998</v>
      </c>
      <c r="AU338" s="3">
        <v>0.367089</v>
      </c>
      <c r="AV338" s="3">
        <v>0.37241590000000002</v>
      </c>
      <c r="AW338" s="3">
        <v>0.37755080000000002</v>
      </c>
      <c r="AX338" s="3">
        <v>0.38249280000000002</v>
      </c>
      <c r="AY338" s="3">
        <v>0.3872408</v>
      </c>
      <c r="AZ338" s="3">
        <v>0.39179380000000003</v>
      </c>
      <c r="BA338" s="3">
        <v>0.39615230000000001</v>
      </c>
      <c r="BB338" s="3">
        <v>0.40032420000000002</v>
      </c>
      <c r="BC338" s="3">
        <v>0.4043196</v>
      </c>
      <c r="BD338" s="3">
        <v>0.40814859999999997</v>
      </c>
      <c r="BE338" s="3">
        <v>0.4118212</v>
      </c>
      <c r="BF338" s="3">
        <v>0.41534769999999999</v>
      </c>
      <c r="BG338" s="3">
        <v>0.4187381</v>
      </c>
      <c r="BH338" s="3">
        <v>0.42200260000000001</v>
      </c>
      <c r="BI338" s="3">
        <v>0.42515130000000001</v>
      </c>
      <c r="BJ338" s="3">
        <v>0.42819420000000002</v>
      </c>
      <c r="BK338" s="3">
        <v>0.43114150000000001</v>
      </c>
      <c r="BL338" s="3">
        <v>0.43400329999999998</v>
      </c>
      <c r="BM338" s="3" t="e">
        <v>#N/A</v>
      </c>
      <c r="BN338" s="3" t="e">
        <v>#N/A</v>
      </c>
    </row>
    <row r="339" spans="1:66" x14ac:dyDescent="0.35">
      <c r="A339" s="5">
        <f t="shared" si="5"/>
        <v>43929</v>
      </c>
      <c r="B339" t="s">
        <v>416</v>
      </c>
      <c r="C339" s="2">
        <v>0.1</v>
      </c>
      <c r="D339" s="2">
        <v>6.4100000000000004E-2</v>
      </c>
      <c r="E339" s="3">
        <v>7.1200799999999995E-2</v>
      </c>
      <c r="F339" s="3">
        <v>7.2835800000000006E-2</v>
      </c>
      <c r="G339" s="3">
        <v>7.3963799999999996E-2</v>
      </c>
      <c r="H339" s="3">
        <v>7.4808299999999994E-2</v>
      </c>
      <c r="I339" s="3">
        <v>7.5495599999999996E-2</v>
      </c>
      <c r="J339" s="3">
        <v>7.6614500000000002E-2</v>
      </c>
      <c r="K339" s="3">
        <v>7.9101599999999994E-2</v>
      </c>
      <c r="L339" s="3">
        <v>8.3733100000000005E-2</v>
      </c>
      <c r="M339" s="3">
        <v>9.0814800000000001E-2</v>
      </c>
      <c r="N339" s="3">
        <v>0.1000909</v>
      </c>
      <c r="O339" s="3">
        <v>0.1109188</v>
      </c>
      <c r="P339" s="3">
        <v>0.12253360000000001</v>
      </c>
      <c r="Q339" s="3">
        <v>0.13377929999999999</v>
      </c>
      <c r="R339" s="3">
        <v>0.14437510000000001</v>
      </c>
      <c r="S339" s="3">
        <v>0.15429979999999999</v>
      </c>
      <c r="T339" s="3">
        <v>0.1635326</v>
      </c>
      <c r="U339" s="3">
        <v>0.17205239999999999</v>
      </c>
      <c r="V339" s="3">
        <v>0.1798381</v>
      </c>
      <c r="W339" s="3">
        <v>0.18689800000000001</v>
      </c>
      <c r="X339" s="3">
        <v>0.1933628</v>
      </c>
      <c r="Y339" s="3">
        <v>0.1993954</v>
      </c>
      <c r="Z339" s="3">
        <v>0.20515900000000001</v>
      </c>
      <c r="AA339" s="3">
        <v>0.21081639999999999</v>
      </c>
      <c r="AB339" s="3">
        <v>0.21653059999999999</v>
      </c>
      <c r="AC339" s="3">
        <v>0.22243260000000001</v>
      </c>
      <c r="AD339" s="3">
        <v>0.2285256</v>
      </c>
      <c r="AE339" s="3">
        <v>0.23478080000000001</v>
      </c>
      <c r="AF339" s="3">
        <v>0.2411693</v>
      </c>
      <c r="AG339" s="3">
        <v>0.2476624</v>
      </c>
      <c r="AH339" s="3">
        <v>0.25423109999999999</v>
      </c>
      <c r="AI339" s="3">
        <v>0.26084679999999999</v>
      </c>
      <c r="AJ339" s="3">
        <v>0.26748050000000001</v>
      </c>
      <c r="AK339" s="3">
        <v>0.2741034</v>
      </c>
      <c r="AL339" s="3">
        <v>0.28068680000000001</v>
      </c>
      <c r="AM339" s="3">
        <v>0.2872017</v>
      </c>
      <c r="AN339" s="3">
        <v>0.29361949999999998</v>
      </c>
      <c r="AO339" s="3">
        <v>0.29991370000000001</v>
      </c>
      <c r="AP339" s="3">
        <v>0.30607190000000001</v>
      </c>
      <c r="AQ339" s="3">
        <v>0.31208580000000002</v>
      </c>
      <c r="AR339" s="3">
        <v>0.3179476</v>
      </c>
      <c r="AS339" s="3">
        <v>0.32364910000000002</v>
      </c>
      <c r="AT339" s="3">
        <v>0.32918229999999998</v>
      </c>
      <c r="AU339" s="3">
        <v>0.33453929999999998</v>
      </c>
      <c r="AV339" s="3">
        <v>0.33971180000000001</v>
      </c>
      <c r="AW339" s="3">
        <v>0.344692</v>
      </c>
      <c r="AX339" s="3">
        <v>0.3494718</v>
      </c>
      <c r="AY339" s="3">
        <v>0.3540431</v>
      </c>
      <c r="AZ339" s="3">
        <v>0.35839789999999999</v>
      </c>
      <c r="BA339" s="3">
        <v>0.36253079999999999</v>
      </c>
      <c r="BB339" s="3">
        <v>0.36644880000000002</v>
      </c>
      <c r="BC339" s="3">
        <v>0.37016169999999998</v>
      </c>
      <c r="BD339" s="3">
        <v>0.37367980000000001</v>
      </c>
      <c r="BE339" s="3">
        <v>0.37701319999999999</v>
      </c>
      <c r="BF339" s="3">
        <v>0.3801718</v>
      </c>
      <c r="BG339" s="3">
        <v>0.3831658</v>
      </c>
      <c r="BH339" s="3">
        <v>0.3860054</v>
      </c>
      <c r="BI339" s="3">
        <v>0.3887005</v>
      </c>
      <c r="BJ339" s="3">
        <v>0.39126129999999998</v>
      </c>
      <c r="BK339" s="3">
        <v>0.39369779999999999</v>
      </c>
      <c r="BL339" s="3">
        <v>0.39602019999999999</v>
      </c>
      <c r="BM339" s="3" t="e">
        <v>#N/A</v>
      </c>
      <c r="BN339" s="3" t="e">
        <v>#N/A</v>
      </c>
    </row>
    <row r="340" spans="1:66" x14ac:dyDescent="0.35">
      <c r="A340" s="5">
        <f t="shared" si="5"/>
        <v>43930</v>
      </c>
      <c r="B340" t="s">
        <v>417</v>
      </c>
      <c r="C340" s="2">
        <v>0.1</v>
      </c>
      <c r="D340" s="2">
        <v>6.6000000000000003E-2</v>
      </c>
      <c r="E340" s="3">
        <v>7.4356199999999997E-2</v>
      </c>
      <c r="F340" s="3">
        <v>7.7969300000000005E-2</v>
      </c>
      <c r="G340" s="3">
        <v>7.9676399999999994E-2</v>
      </c>
      <c r="H340" s="3">
        <v>8.0594899999999997E-2</v>
      </c>
      <c r="I340" s="3">
        <v>8.1731600000000001E-2</v>
      </c>
      <c r="J340" s="3">
        <v>8.3628599999999997E-2</v>
      </c>
      <c r="K340" s="3">
        <v>8.6664199999999997E-2</v>
      </c>
      <c r="L340" s="3">
        <v>9.1146099999999994E-2</v>
      </c>
      <c r="M340" s="3">
        <v>9.6948300000000001E-2</v>
      </c>
      <c r="N340" s="3">
        <v>0.1036391</v>
      </c>
      <c r="O340" s="3">
        <v>0.11066860000000001</v>
      </c>
      <c r="P340" s="3">
        <v>0.1175399</v>
      </c>
      <c r="Q340" s="3">
        <v>0.12366190000000001</v>
      </c>
      <c r="R340" s="3">
        <v>0.12900429999999999</v>
      </c>
      <c r="S340" s="3">
        <v>0.13369539999999999</v>
      </c>
      <c r="T340" s="3">
        <v>0.13786319999999999</v>
      </c>
      <c r="U340" s="3">
        <v>0.1416357</v>
      </c>
      <c r="V340" s="3">
        <v>0.1451411</v>
      </c>
      <c r="W340" s="3">
        <v>0.14849860000000001</v>
      </c>
      <c r="X340" s="3">
        <v>0.15178169999999999</v>
      </c>
      <c r="Y340" s="3">
        <v>0.1550493</v>
      </c>
      <c r="Z340" s="3">
        <v>0.15836059999999999</v>
      </c>
      <c r="AA340" s="3">
        <v>0.16177449999999999</v>
      </c>
      <c r="AB340" s="3">
        <v>0.16535</v>
      </c>
      <c r="AC340" s="3">
        <v>0.1691349</v>
      </c>
      <c r="AD340" s="3">
        <v>0.1731222</v>
      </c>
      <c r="AE340" s="3">
        <v>0.17728830000000001</v>
      </c>
      <c r="AF340" s="3">
        <v>0.18160970000000001</v>
      </c>
      <c r="AG340" s="3">
        <v>0.1860627</v>
      </c>
      <c r="AH340" s="3">
        <v>0.19062380000000001</v>
      </c>
      <c r="AI340" s="3">
        <v>0.19526930000000001</v>
      </c>
      <c r="AJ340" s="3">
        <v>0.19997570000000001</v>
      </c>
      <c r="AK340" s="3">
        <v>0.2047194</v>
      </c>
      <c r="AL340" s="3">
        <v>0.20947669999999999</v>
      </c>
      <c r="AM340" s="3">
        <v>0.2142241</v>
      </c>
      <c r="AN340" s="3">
        <v>0.21893789999999999</v>
      </c>
      <c r="AO340" s="3">
        <v>0.22359670000000001</v>
      </c>
      <c r="AP340" s="3">
        <v>0.2281888</v>
      </c>
      <c r="AQ340" s="3">
        <v>0.23270540000000001</v>
      </c>
      <c r="AR340" s="3">
        <v>0.23713809999999999</v>
      </c>
      <c r="AS340" s="3">
        <v>0.2414781</v>
      </c>
      <c r="AT340" s="3">
        <v>0.24571689999999999</v>
      </c>
      <c r="AU340" s="3">
        <v>0.2498457</v>
      </c>
      <c r="AV340" s="3">
        <v>0.25385600000000003</v>
      </c>
      <c r="AW340" s="3">
        <v>0.2577391</v>
      </c>
      <c r="AX340" s="3">
        <v>0.26148640000000001</v>
      </c>
      <c r="AY340" s="3">
        <v>0.26508920000000002</v>
      </c>
      <c r="AZ340" s="3">
        <v>0.26853890000000002</v>
      </c>
      <c r="BA340" s="3">
        <v>0.27183010000000002</v>
      </c>
      <c r="BB340" s="3">
        <v>0.27497100000000002</v>
      </c>
      <c r="BC340" s="3">
        <v>0.27797379999999999</v>
      </c>
      <c r="BD340" s="3">
        <v>0.28085070000000001</v>
      </c>
      <c r="BE340" s="3">
        <v>0.28361389999999997</v>
      </c>
      <c r="BF340" s="3">
        <v>0.28627550000000002</v>
      </c>
      <c r="BG340" s="3">
        <v>0.28884759999999998</v>
      </c>
      <c r="BH340" s="3">
        <v>0.2913425</v>
      </c>
      <c r="BI340" s="3">
        <v>0.29377229999999999</v>
      </c>
      <c r="BJ340" s="3">
        <v>0.2961492</v>
      </c>
      <c r="BK340" s="3">
        <v>0.29848530000000001</v>
      </c>
      <c r="BL340" s="3">
        <v>0.30079280000000003</v>
      </c>
      <c r="BM340" s="3" t="e">
        <v>#N/A</v>
      </c>
      <c r="BN340" s="3" t="e">
        <v>#N/A</v>
      </c>
    </row>
    <row r="341" spans="1:66" x14ac:dyDescent="0.35">
      <c r="A341" s="5">
        <f t="shared" si="5"/>
        <v>43931</v>
      </c>
      <c r="B341" t="s">
        <v>418</v>
      </c>
      <c r="C341" s="2">
        <v>0.1</v>
      </c>
      <c r="D341" s="2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  <c r="P341" s="3" t="e">
        <v>#N/A</v>
      </c>
      <c r="Q341" s="3" t="e">
        <v>#N/A</v>
      </c>
      <c r="R341" s="3" t="e">
        <v>#N/A</v>
      </c>
      <c r="S341" s="3" t="e">
        <v>#N/A</v>
      </c>
      <c r="T341" s="3" t="e">
        <v>#N/A</v>
      </c>
      <c r="U341" s="3" t="e">
        <v>#N/A</v>
      </c>
      <c r="V341" s="3" t="e">
        <v>#N/A</v>
      </c>
      <c r="W341" s="3" t="e">
        <v>#N/A</v>
      </c>
      <c r="X341" s="3" t="e">
        <v>#N/A</v>
      </c>
      <c r="Y341" s="3" t="e">
        <v>#N/A</v>
      </c>
      <c r="Z341" s="3" t="e">
        <v>#N/A</v>
      </c>
      <c r="AA341" s="3" t="e">
        <v>#N/A</v>
      </c>
      <c r="AB341" s="3" t="e">
        <v>#N/A</v>
      </c>
      <c r="AC341" s="3" t="e">
        <v>#N/A</v>
      </c>
      <c r="AD341" s="3" t="e">
        <v>#N/A</v>
      </c>
      <c r="AE341" s="3" t="e">
        <v>#N/A</v>
      </c>
      <c r="AF341" s="3" t="e">
        <v>#N/A</v>
      </c>
      <c r="AG341" s="3" t="e">
        <v>#N/A</v>
      </c>
      <c r="AH341" s="3" t="e">
        <v>#N/A</v>
      </c>
      <c r="AI341" s="3" t="e">
        <v>#N/A</v>
      </c>
      <c r="AJ341" s="3" t="e">
        <v>#N/A</v>
      </c>
      <c r="AK341" s="3" t="e">
        <v>#N/A</v>
      </c>
      <c r="AL341" s="3" t="e">
        <v>#N/A</v>
      </c>
      <c r="AM341" s="3" t="e">
        <v>#N/A</v>
      </c>
      <c r="AN341" s="3" t="e">
        <v>#N/A</v>
      </c>
      <c r="AO341" s="3" t="e">
        <v>#N/A</v>
      </c>
      <c r="AP341" s="3" t="e">
        <v>#N/A</v>
      </c>
      <c r="AQ341" s="3" t="e">
        <v>#N/A</v>
      </c>
      <c r="AR341" s="3" t="e">
        <v>#N/A</v>
      </c>
      <c r="AS341" s="3" t="e">
        <v>#N/A</v>
      </c>
      <c r="AT341" s="3" t="e">
        <v>#N/A</v>
      </c>
      <c r="AU341" s="3" t="e">
        <v>#N/A</v>
      </c>
      <c r="AV341" s="3" t="e">
        <v>#N/A</v>
      </c>
      <c r="AW341" s="3" t="e">
        <v>#N/A</v>
      </c>
      <c r="AX341" s="3" t="e">
        <v>#N/A</v>
      </c>
      <c r="AY341" s="3" t="e">
        <v>#N/A</v>
      </c>
      <c r="AZ341" s="3" t="e">
        <v>#N/A</v>
      </c>
      <c r="BA341" s="3" t="e">
        <v>#N/A</v>
      </c>
      <c r="BB341" s="3" t="e">
        <v>#N/A</v>
      </c>
      <c r="BC341" s="3" t="e">
        <v>#N/A</v>
      </c>
      <c r="BD341" s="3" t="e">
        <v>#N/A</v>
      </c>
      <c r="BE341" s="3" t="e">
        <v>#N/A</v>
      </c>
      <c r="BF341" s="3" t="e">
        <v>#N/A</v>
      </c>
      <c r="BG341" s="3" t="e">
        <v>#N/A</v>
      </c>
      <c r="BH341" s="3" t="e">
        <v>#N/A</v>
      </c>
      <c r="BI341" s="3" t="e">
        <v>#N/A</v>
      </c>
      <c r="BJ341" s="3" t="e">
        <v>#N/A</v>
      </c>
      <c r="BK341" s="3" t="e">
        <v>#N/A</v>
      </c>
      <c r="BL341" s="3" t="e">
        <v>#N/A</v>
      </c>
      <c r="BM341" s="3" t="e">
        <v>#N/A</v>
      </c>
      <c r="BN341" s="3" t="e">
        <v>#N/A</v>
      </c>
    </row>
    <row r="342" spans="1:66" x14ac:dyDescent="0.35">
      <c r="A342" s="5">
        <f t="shared" si="5"/>
        <v>43934</v>
      </c>
      <c r="B342" t="s">
        <v>419</v>
      </c>
      <c r="C342" s="2">
        <v>0.1</v>
      </c>
      <c r="D342" s="2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  <c r="P342" s="3" t="e">
        <v>#N/A</v>
      </c>
      <c r="Q342" s="3" t="e">
        <v>#N/A</v>
      </c>
      <c r="R342" s="3" t="e">
        <v>#N/A</v>
      </c>
      <c r="S342" s="3" t="e">
        <v>#N/A</v>
      </c>
      <c r="T342" s="3" t="e">
        <v>#N/A</v>
      </c>
      <c r="U342" s="3" t="e">
        <v>#N/A</v>
      </c>
      <c r="V342" s="3" t="e">
        <v>#N/A</v>
      </c>
      <c r="W342" s="3" t="e">
        <v>#N/A</v>
      </c>
      <c r="X342" s="3" t="e">
        <v>#N/A</v>
      </c>
      <c r="Y342" s="3" t="e">
        <v>#N/A</v>
      </c>
      <c r="Z342" s="3" t="e">
        <v>#N/A</v>
      </c>
      <c r="AA342" s="3" t="e">
        <v>#N/A</v>
      </c>
      <c r="AB342" s="3" t="e">
        <v>#N/A</v>
      </c>
      <c r="AC342" s="3" t="e">
        <v>#N/A</v>
      </c>
      <c r="AD342" s="3" t="e">
        <v>#N/A</v>
      </c>
      <c r="AE342" s="3" t="e">
        <v>#N/A</v>
      </c>
      <c r="AF342" s="3" t="e">
        <v>#N/A</v>
      </c>
      <c r="AG342" s="3" t="e">
        <v>#N/A</v>
      </c>
      <c r="AH342" s="3" t="e">
        <v>#N/A</v>
      </c>
      <c r="AI342" s="3" t="e">
        <v>#N/A</v>
      </c>
      <c r="AJ342" s="3" t="e">
        <v>#N/A</v>
      </c>
      <c r="AK342" s="3" t="e">
        <v>#N/A</v>
      </c>
      <c r="AL342" s="3" t="e">
        <v>#N/A</v>
      </c>
      <c r="AM342" s="3" t="e">
        <v>#N/A</v>
      </c>
      <c r="AN342" s="3" t="e">
        <v>#N/A</v>
      </c>
      <c r="AO342" s="3" t="e">
        <v>#N/A</v>
      </c>
      <c r="AP342" s="3" t="e">
        <v>#N/A</v>
      </c>
      <c r="AQ342" s="3" t="e">
        <v>#N/A</v>
      </c>
      <c r="AR342" s="3" t="e">
        <v>#N/A</v>
      </c>
      <c r="AS342" s="3" t="e">
        <v>#N/A</v>
      </c>
      <c r="AT342" s="3" t="e">
        <v>#N/A</v>
      </c>
      <c r="AU342" s="3" t="e">
        <v>#N/A</v>
      </c>
      <c r="AV342" s="3" t="e">
        <v>#N/A</v>
      </c>
      <c r="AW342" s="3" t="e">
        <v>#N/A</v>
      </c>
      <c r="AX342" s="3" t="e">
        <v>#N/A</v>
      </c>
      <c r="AY342" s="3" t="e">
        <v>#N/A</v>
      </c>
      <c r="AZ342" s="3" t="e">
        <v>#N/A</v>
      </c>
      <c r="BA342" s="3" t="e">
        <v>#N/A</v>
      </c>
      <c r="BB342" s="3" t="e">
        <v>#N/A</v>
      </c>
      <c r="BC342" s="3" t="e">
        <v>#N/A</v>
      </c>
      <c r="BD342" s="3" t="e">
        <v>#N/A</v>
      </c>
      <c r="BE342" s="3" t="e">
        <v>#N/A</v>
      </c>
      <c r="BF342" s="3" t="e">
        <v>#N/A</v>
      </c>
      <c r="BG342" s="3" t="e">
        <v>#N/A</v>
      </c>
      <c r="BH342" s="3" t="e">
        <v>#N/A</v>
      </c>
      <c r="BI342" s="3" t="e">
        <v>#N/A</v>
      </c>
      <c r="BJ342" s="3" t="e">
        <v>#N/A</v>
      </c>
      <c r="BK342" s="3" t="e">
        <v>#N/A</v>
      </c>
      <c r="BL342" s="3" t="e">
        <v>#N/A</v>
      </c>
      <c r="BM342" s="3" t="e">
        <v>#N/A</v>
      </c>
      <c r="BN342" s="3" t="e">
        <v>#N/A</v>
      </c>
    </row>
    <row r="343" spans="1:66" x14ac:dyDescent="0.35">
      <c r="A343" s="5">
        <f t="shared" si="5"/>
        <v>43935</v>
      </c>
      <c r="B343" t="s">
        <v>420</v>
      </c>
      <c r="C343" s="2">
        <v>0.1</v>
      </c>
      <c r="D343" s="2">
        <v>6.3500000000000001E-2</v>
      </c>
      <c r="E343" s="3">
        <v>7.0822300000000005E-2</v>
      </c>
      <c r="F343" s="3">
        <v>7.7602099999999993E-2</v>
      </c>
      <c r="G343" s="3">
        <v>8.31012E-2</v>
      </c>
      <c r="H343" s="3">
        <v>8.6877300000000005E-2</v>
      </c>
      <c r="I343" s="3">
        <v>8.9561299999999996E-2</v>
      </c>
      <c r="J343" s="3">
        <v>9.2170000000000002E-2</v>
      </c>
      <c r="K343" s="3">
        <v>9.5529000000000003E-2</v>
      </c>
      <c r="L343" s="3">
        <v>0.1000561</v>
      </c>
      <c r="M343" s="3">
        <v>0.10575900000000001</v>
      </c>
      <c r="N343" s="3">
        <v>0.11227520000000001</v>
      </c>
      <c r="O343" s="3">
        <v>0.11909980000000001</v>
      </c>
      <c r="P343" s="3">
        <v>0.125754</v>
      </c>
      <c r="Q343" s="3">
        <v>0.1315238</v>
      </c>
      <c r="R343" s="3">
        <v>0.13639519999999999</v>
      </c>
      <c r="S343" s="3">
        <v>0.14056260000000001</v>
      </c>
      <c r="T343" s="3">
        <v>0.14421990000000001</v>
      </c>
      <c r="U343" s="3">
        <v>0.14756150000000001</v>
      </c>
      <c r="V343" s="3">
        <v>0.15078130000000001</v>
      </c>
      <c r="W343" s="3">
        <v>0.15405079999999999</v>
      </c>
      <c r="X343" s="3">
        <v>0.157446</v>
      </c>
      <c r="Y343" s="3">
        <v>0.16101799999999999</v>
      </c>
      <c r="Z343" s="3">
        <v>0.16481750000000001</v>
      </c>
      <c r="AA343" s="3">
        <v>0.16889570000000001</v>
      </c>
      <c r="AB343" s="3">
        <v>0.1733034</v>
      </c>
      <c r="AC343" s="3">
        <v>0.17807590000000001</v>
      </c>
      <c r="AD343" s="3">
        <v>0.18318580000000001</v>
      </c>
      <c r="AE343" s="3">
        <v>0.1885897</v>
      </c>
      <c r="AF343" s="3">
        <v>0.19424449999999999</v>
      </c>
      <c r="AG343" s="3">
        <v>0.20010710000000001</v>
      </c>
      <c r="AH343" s="3">
        <v>0.20613409999999999</v>
      </c>
      <c r="AI343" s="3">
        <v>0.21228250000000001</v>
      </c>
      <c r="AJ343" s="3">
        <v>0.21850900000000001</v>
      </c>
      <c r="AK343" s="3">
        <v>0.22477040000000001</v>
      </c>
      <c r="AL343" s="3">
        <v>0.2310236</v>
      </c>
      <c r="AM343" s="3">
        <v>0.2372253</v>
      </c>
      <c r="AN343" s="3">
        <v>0.2433323</v>
      </c>
      <c r="AO343" s="3">
        <v>0.24930920000000001</v>
      </c>
      <c r="AP343" s="3">
        <v>0.25515139999999997</v>
      </c>
      <c r="AQ343" s="3">
        <v>0.26086189999999998</v>
      </c>
      <c r="AR343" s="3">
        <v>0.26644380000000001</v>
      </c>
      <c r="AS343" s="3">
        <v>0.27190019999999998</v>
      </c>
      <c r="AT343" s="3">
        <v>0.27723429999999999</v>
      </c>
      <c r="AU343" s="3">
        <v>0.28244910000000001</v>
      </c>
      <c r="AV343" s="3">
        <v>0.28754780000000002</v>
      </c>
      <c r="AW343" s="3">
        <v>0.2925334</v>
      </c>
      <c r="AX343" s="3">
        <v>0.29740899999999998</v>
      </c>
      <c r="AY343" s="3">
        <v>0.30217769999999999</v>
      </c>
      <c r="AZ343" s="3">
        <v>0.30684270000000002</v>
      </c>
      <c r="BA343" s="3">
        <v>0.31140679999999998</v>
      </c>
      <c r="BB343" s="3">
        <v>0.31587179999999998</v>
      </c>
      <c r="BC343" s="3">
        <v>0.3202393</v>
      </c>
      <c r="BD343" s="3">
        <v>0.32451079999999999</v>
      </c>
      <c r="BE343" s="3">
        <v>0.32868770000000003</v>
      </c>
      <c r="BF343" s="3">
        <v>0.3327717</v>
      </c>
      <c r="BG343" s="3">
        <v>0.33676420000000001</v>
      </c>
      <c r="BH343" s="3">
        <v>0.34066679999999999</v>
      </c>
      <c r="BI343" s="3">
        <v>0.34448089999999998</v>
      </c>
      <c r="BJ343" s="3">
        <v>0.34820810000000002</v>
      </c>
      <c r="BK343" s="3">
        <v>0.35184989999999999</v>
      </c>
      <c r="BL343" s="3">
        <v>0.3554079</v>
      </c>
      <c r="BM343" s="3" t="e">
        <v>#N/A</v>
      </c>
      <c r="BN343" s="3" t="e">
        <v>#N/A</v>
      </c>
    </row>
    <row r="344" spans="1:66" x14ac:dyDescent="0.35">
      <c r="A344" s="5">
        <f t="shared" si="5"/>
        <v>43936</v>
      </c>
      <c r="B344" t="s">
        <v>421</v>
      </c>
      <c r="C344" s="2">
        <v>0.1</v>
      </c>
      <c r="D344" s="2">
        <v>6.3399999999999998E-2</v>
      </c>
      <c r="E344" s="3">
        <v>7.2202000000000002E-2</v>
      </c>
      <c r="F344" s="3">
        <v>7.8396400000000005E-2</v>
      </c>
      <c r="G344" s="3">
        <v>8.3948599999999998E-2</v>
      </c>
      <c r="H344" s="3">
        <v>8.8713299999999995E-2</v>
      </c>
      <c r="I344" s="3">
        <v>9.2757900000000004E-2</v>
      </c>
      <c r="J344" s="3">
        <v>9.6452099999999999E-2</v>
      </c>
      <c r="K344" s="3">
        <v>0.1001729</v>
      </c>
      <c r="L344" s="3">
        <v>0.10409880000000001</v>
      </c>
      <c r="M344" s="3">
        <v>0.108165</v>
      </c>
      <c r="N344" s="3">
        <v>0.1121595</v>
      </c>
      <c r="O344" s="3">
        <v>0.1158949</v>
      </c>
      <c r="P344" s="3">
        <v>0.11928270000000001</v>
      </c>
      <c r="Q344" s="3">
        <v>0.1223807</v>
      </c>
      <c r="R344" s="3">
        <v>0.1252779</v>
      </c>
      <c r="S344" s="3">
        <v>0.12806390000000001</v>
      </c>
      <c r="T344" s="3">
        <v>0.130828</v>
      </c>
      <c r="U344" s="3">
        <v>0.13365930000000001</v>
      </c>
      <c r="V344" s="3">
        <v>0.1366474</v>
      </c>
      <c r="W344" s="3">
        <v>0.1398652</v>
      </c>
      <c r="X344" s="3">
        <v>0.14331659999999999</v>
      </c>
      <c r="Y344" s="3">
        <v>0.1469877</v>
      </c>
      <c r="Z344" s="3">
        <v>0.15086440000000001</v>
      </c>
      <c r="AA344" s="3">
        <v>0.1549326</v>
      </c>
      <c r="AB344" s="3">
        <v>0.15917829999999999</v>
      </c>
      <c r="AC344" s="3">
        <v>0.16358639999999999</v>
      </c>
      <c r="AD344" s="3">
        <v>0.16813520000000001</v>
      </c>
      <c r="AE344" s="3">
        <v>0.17280090000000001</v>
      </c>
      <c r="AF344" s="3">
        <v>0.17755950000000001</v>
      </c>
      <c r="AG344" s="3">
        <v>0.1823871</v>
      </c>
      <c r="AH344" s="3">
        <v>0.1872596</v>
      </c>
      <c r="AI344" s="3">
        <v>0.1921533</v>
      </c>
      <c r="AJ344" s="3">
        <v>0.1970441</v>
      </c>
      <c r="AK344" s="3">
        <v>0.20190810000000001</v>
      </c>
      <c r="AL344" s="3">
        <v>0.2067214</v>
      </c>
      <c r="AM344" s="3">
        <v>0.21146000000000001</v>
      </c>
      <c r="AN344" s="3">
        <v>0.21609990000000001</v>
      </c>
      <c r="AO344" s="3">
        <v>0.22062109999999999</v>
      </c>
      <c r="AP344" s="3">
        <v>0.22502150000000001</v>
      </c>
      <c r="AQ344" s="3">
        <v>0.2293048</v>
      </c>
      <c r="AR344" s="3">
        <v>0.2334746</v>
      </c>
      <c r="AS344" s="3">
        <v>0.23753460000000001</v>
      </c>
      <c r="AT344" s="3">
        <v>0.24148839999999999</v>
      </c>
      <c r="AU344" s="3">
        <v>0.24533959999999999</v>
      </c>
      <c r="AV344" s="3">
        <v>0.2490919</v>
      </c>
      <c r="AW344" s="3">
        <v>0.2527488</v>
      </c>
      <c r="AX344" s="3">
        <v>0.25631419999999999</v>
      </c>
      <c r="AY344" s="3">
        <v>0.25979140000000001</v>
      </c>
      <c r="AZ344" s="3">
        <v>0.26318429999999998</v>
      </c>
      <c r="BA344" s="3">
        <v>0.26649689999999998</v>
      </c>
      <c r="BB344" s="3">
        <v>0.26973530000000001</v>
      </c>
      <c r="BC344" s="3">
        <v>0.27290629999999999</v>
      </c>
      <c r="BD344" s="3">
        <v>0.2760165</v>
      </c>
      <c r="BE344" s="3">
        <v>0.2790725</v>
      </c>
      <c r="BF344" s="3">
        <v>0.28208119999999998</v>
      </c>
      <c r="BG344" s="3">
        <v>0.2850492</v>
      </c>
      <c r="BH344" s="3">
        <v>0.28798309999999999</v>
      </c>
      <c r="BI344" s="3">
        <v>0.29088979999999998</v>
      </c>
      <c r="BJ344" s="3">
        <v>0.29377579999999998</v>
      </c>
      <c r="BK344" s="3">
        <v>0.29664790000000002</v>
      </c>
      <c r="BL344" s="3">
        <v>0.29951270000000002</v>
      </c>
      <c r="BM344" s="3" t="e">
        <v>#N/A</v>
      </c>
      <c r="BN344" s="3" t="e">
        <v>#N/A</v>
      </c>
    </row>
    <row r="345" spans="1:66" x14ac:dyDescent="0.35">
      <c r="A345" s="5">
        <f t="shared" si="5"/>
        <v>43937</v>
      </c>
      <c r="B345" t="s">
        <v>422</v>
      </c>
      <c r="C345" s="2">
        <v>0.1</v>
      </c>
      <c r="D345" s="2">
        <v>6.3200000000000006E-2</v>
      </c>
      <c r="E345" s="3">
        <v>6.9093600000000005E-2</v>
      </c>
      <c r="F345" s="3">
        <v>7.5287300000000001E-2</v>
      </c>
      <c r="G345" s="3">
        <v>8.0438499999999996E-2</v>
      </c>
      <c r="H345" s="3">
        <v>8.4966700000000006E-2</v>
      </c>
      <c r="I345" s="3">
        <v>8.9304099999999997E-2</v>
      </c>
      <c r="J345" s="3">
        <v>9.3589800000000001E-2</v>
      </c>
      <c r="K345" s="3">
        <v>9.7925799999999993E-2</v>
      </c>
      <c r="L345" s="3">
        <v>0.1025274</v>
      </c>
      <c r="M345" s="3">
        <v>0.10742210000000001</v>
      </c>
      <c r="N345" s="3">
        <v>0.11243640000000001</v>
      </c>
      <c r="O345" s="3">
        <v>0.11739570000000001</v>
      </c>
      <c r="P345" s="3">
        <v>0.12220930000000001</v>
      </c>
      <c r="Q345" s="3">
        <v>0.1268794</v>
      </c>
      <c r="R345" s="3">
        <v>0.13143089999999999</v>
      </c>
      <c r="S345" s="3">
        <v>0.13589039999999999</v>
      </c>
      <c r="T345" s="3">
        <v>0.14028409999999999</v>
      </c>
      <c r="U345" s="3">
        <v>0.14463860000000001</v>
      </c>
      <c r="V345" s="3">
        <v>0.1489801</v>
      </c>
      <c r="W345" s="3">
        <v>0.15333160000000001</v>
      </c>
      <c r="X345" s="3">
        <v>0.1576987</v>
      </c>
      <c r="Y345" s="3">
        <v>0.16208120000000001</v>
      </c>
      <c r="Z345" s="3">
        <v>0.16647899999999999</v>
      </c>
      <c r="AA345" s="3">
        <v>0.17089209999999999</v>
      </c>
      <c r="AB345" s="3">
        <v>0.17532020000000001</v>
      </c>
      <c r="AC345" s="3">
        <v>0.17976210000000001</v>
      </c>
      <c r="AD345" s="3">
        <v>0.18421080000000001</v>
      </c>
      <c r="AE345" s="3">
        <v>0.18865709999999999</v>
      </c>
      <c r="AF345" s="3">
        <v>0.19309190000000001</v>
      </c>
      <c r="AG345" s="3">
        <v>0.19750590000000001</v>
      </c>
      <c r="AH345" s="3">
        <v>0.20188999999999999</v>
      </c>
      <c r="AI345" s="3">
        <v>0.20623520000000001</v>
      </c>
      <c r="AJ345" s="3">
        <v>0.2105322</v>
      </c>
      <c r="AK345" s="3">
        <v>0.21477189999999999</v>
      </c>
      <c r="AL345" s="3">
        <v>0.21894520000000001</v>
      </c>
      <c r="AM345" s="3">
        <v>0.22304289999999999</v>
      </c>
      <c r="AN345" s="3">
        <v>0.2270558</v>
      </c>
      <c r="AO345" s="3">
        <v>0.2309765</v>
      </c>
      <c r="AP345" s="3">
        <v>0.2348044</v>
      </c>
      <c r="AQ345" s="3">
        <v>0.2385409</v>
      </c>
      <c r="AR345" s="3">
        <v>0.24218729999999999</v>
      </c>
      <c r="AS345" s="3">
        <v>0.24574509999999999</v>
      </c>
      <c r="AT345" s="3">
        <v>0.24921570000000001</v>
      </c>
      <c r="AU345" s="3">
        <v>0.25260050000000001</v>
      </c>
      <c r="AV345" s="3">
        <v>0.25590089999999999</v>
      </c>
      <c r="AW345" s="3">
        <v>0.25911830000000002</v>
      </c>
      <c r="AX345" s="3">
        <v>0.26225399999999999</v>
      </c>
      <c r="AY345" s="3">
        <v>0.26530959999999998</v>
      </c>
      <c r="AZ345" s="3">
        <v>0.26828629999999998</v>
      </c>
      <c r="BA345" s="3">
        <v>0.27118589999999998</v>
      </c>
      <c r="BB345" s="3">
        <v>0.27401160000000002</v>
      </c>
      <c r="BC345" s="3">
        <v>0.27676699999999999</v>
      </c>
      <c r="BD345" s="3">
        <v>0.27945560000000003</v>
      </c>
      <c r="BE345" s="3">
        <v>0.28208100000000003</v>
      </c>
      <c r="BF345" s="3">
        <v>0.28464669999999997</v>
      </c>
      <c r="BG345" s="3">
        <v>0.28715629999999998</v>
      </c>
      <c r="BH345" s="3">
        <v>0.28961350000000002</v>
      </c>
      <c r="BI345" s="3">
        <v>0.2920217</v>
      </c>
      <c r="BJ345" s="3">
        <v>0.29438449999999999</v>
      </c>
      <c r="BK345" s="3">
        <v>0.29670550000000001</v>
      </c>
      <c r="BL345" s="3">
        <v>0.29898829999999998</v>
      </c>
      <c r="BM345" s="3" t="e">
        <v>#N/A</v>
      </c>
      <c r="BN345" s="3" t="e">
        <v>#N/A</v>
      </c>
    </row>
    <row r="346" spans="1:66" x14ac:dyDescent="0.35">
      <c r="A346" s="5">
        <f t="shared" si="5"/>
        <v>43938</v>
      </c>
      <c r="B346" t="s">
        <v>423</v>
      </c>
      <c r="C346" s="2">
        <v>0.1</v>
      </c>
      <c r="D346" s="2">
        <v>6.4299999999999996E-2</v>
      </c>
      <c r="E346" s="3">
        <v>7.2103E-2</v>
      </c>
      <c r="F346" s="3">
        <v>7.4979400000000002E-2</v>
      </c>
      <c r="G346" s="3">
        <v>7.8204200000000001E-2</v>
      </c>
      <c r="H346" s="3">
        <v>8.1498299999999996E-2</v>
      </c>
      <c r="I346" s="3">
        <v>8.4517499999999995E-2</v>
      </c>
      <c r="J346" s="3">
        <v>8.7754100000000002E-2</v>
      </c>
      <c r="K346" s="3">
        <v>9.1881000000000004E-2</v>
      </c>
      <c r="L346" s="3">
        <v>9.7168500000000005E-2</v>
      </c>
      <c r="M346" s="3">
        <v>0.1033941</v>
      </c>
      <c r="N346" s="3">
        <v>0.1101046</v>
      </c>
      <c r="O346" s="3">
        <v>0.1168751</v>
      </c>
      <c r="P346" s="3">
        <v>0.1234048</v>
      </c>
      <c r="Q346" s="3">
        <v>0.1293685</v>
      </c>
      <c r="R346" s="3">
        <v>0.13477230000000001</v>
      </c>
      <c r="S346" s="3">
        <v>0.13973340000000001</v>
      </c>
      <c r="T346" s="3">
        <v>0.1443692</v>
      </c>
      <c r="U346" s="3">
        <v>0.14879700000000001</v>
      </c>
      <c r="V346" s="3">
        <v>0.1531342</v>
      </c>
      <c r="W346" s="3">
        <v>0.15748490000000001</v>
      </c>
      <c r="X346" s="3">
        <v>0.16189300000000001</v>
      </c>
      <c r="Y346" s="3">
        <v>0.1663848</v>
      </c>
      <c r="Z346" s="3">
        <v>0.17098640000000001</v>
      </c>
      <c r="AA346" s="3">
        <v>0.17572399999999999</v>
      </c>
      <c r="AB346" s="3">
        <v>0.18062400000000001</v>
      </c>
      <c r="AC346" s="3">
        <v>0.1857046</v>
      </c>
      <c r="AD346" s="3">
        <v>0.190945</v>
      </c>
      <c r="AE346" s="3">
        <v>0.1963126</v>
      </c>
      <c r="AF346" s="3">
        <v>0.20177490000000001</v>
      </c>
      <c r="AG346" s="3">
        <v>0.20729919999999999</v>
      </c>
      <c r="AH346" s="3">
        <v>0.21285309999999999</v>
      </c>
      <c r="AI346" s="3">
        <v>0.21840380000000001</v>
      </c>
      <c r="AJ346" s="3">
        <v>0.2239188</v>
      </c>
      <c r="AK346" s="3">
        <v>0.2293655</v>
      </c>
      <c r="AL346" s="3">
        <v>0.23471130000000001</v>
      </c>
      <c r="AM346" s="3">
        <v>0.23992359999999999</v>
      </c>
      <c r="AN346" s="3">
        <v>0.24496989999999999</v>
      </c>
      <c r="AO346" s="3">
        <v>0.24982380000000001</v>
      </c>
      <c r="AP346" s="3">
        <v>0.25448470000000001</v>
      </c>
      <c r="AQ346" s="3">
        <v>0.25895800000000002</v>
      </c>
      <c r="AR346" s="3">
        <v>0.26324930000000002</v>
      </c>
      <c r="AS346" s="3">
        <v>0.2673642</v>
      </c>
      <c r="AT346" s="3">
        <v>0.2713082</v>
      </c>
      <c r="AU346" s="3">
        <v>0.27508690000000002</v>
      </c>
      <c r="AV346" s="3">
        <v>0.2787058</v>
      </c>
      <c r="AW346" s="3">
        <v>0.28217049999999999</v>
      </c>
      <c r="AX346" s="3">
        <v>0.28548649999999998</v>
      </c>
      <c r="AY346" s="3">
        <v>0.28865940000000001</v>
      </c>
      <c r="AZ346" s="3">
        <v>0.29169479999999998</v>
      </c>
      <c r="BA346" s="3">
        <v>0.29459869999999999</v>
      </c>
      <c r="BB346" s="3">
        <v>0.29737920000000001</v>
      </c>
      <c r="BC346" s="3">
        <v>0.30004510000000001</v>
      </c>
      <c r="BD346" s="3">
        <v>0.30260510000000002</v>
      </c>
      <c r="BE346" s="3">
        <v>0.3050679</v>
      </c>
      <c r="BF346" s="3">
        <v>0.3074424</v>
      </c>
      <c r="BG346" s="3">
        <v>0.30973709999999999</v>
      </c>
      <c r="BH346" s="3">
        <v>0.31196099999999999</v>
      </c>
      <c r="BI346" s="3">
        <v>0.31412259999999997</v>
      </c>
      <c r="BJ346" s="3">
        <v>0.31623069999999998</v>
      </c>
      <c r="BK346" s="3">
        <v>0.31829410000000002</v>
      </c>
      <c r="BL346" s="3">
        <v>0.32032149999999998</v>
      </c>
      <c r="BM346" s="3" t="e">
        <v>#N/A</v>
      </c>
      <c r="BN346" s="3" t="e">
        <v>#N/A</v>
      </c>
    </row>
    <row r="347" spans="1:66" x14ac:dyDescent="0.35">
      <c r="A347" s="5">
        <f t="shared" si="5"/>
        <v>43941</v>
      </c>
      <c r="B347" t="s">
        <v>424</v>
      </c>
      <c r="C347" s="2">
        <v>0.1</v>
      </c>
      <c r="D347" s="2">
        <v>6.6100000000000006E-2</v>
      </c>
      <c r="E347" s="3">
        <v>7.1703199999999995E-2</v>
      </c>
      <c r="F347" s="3">
        <v>7.5943999999999998E-2</v>
      </c>
      <c r="G347" s="3">
        <v>7.9763100000000003E-2</v>
      </c>
      <c r="H347" s="3">
        <v>8.2795300000000002E-2</v>
      </c>
      <c r="I347" s="3">
        <v>8.5183200000000001E-2</v>
      </c>
      <c r="J347" s="3">
        <v>8.7361499999999995E-2</v>
      </c>
      <c r="K347" s="3">
        <v>8.9835100000000001E-2</v>
      </c>
      <c r="L347" s="3">
        <v>9.3179300000000007E-2</v>
      </c>
      <c r="M347" s="3">
        <v>9.7780300000000001E-2</v>
      </c>
      <c r="N347" s="3">
        <v>0.1036427</v>
      </c>
      <c r="O347" s="3">
        <v>0.11051080000000001</v>
      </c>
      <c r="P347" s="3">
        <v>0.1179692</v>
      </c>
      <c r="Q347" s="3">
        <v>0.12527940000000001</v>
      </c>
      <c r="R347" s="3">
        <v>0.1322401</v>
      </c>
      <c r="S347" s="3">
        <v>0.13881959999999999</v>
      </c>
      <c r="T347" s="3">
        <v>0.14498610000000001</v>
      </c>
      <c r="U347" s="3">
        <v>0.1507078</v>
      </c>
      <c r="V347" s="3">
        <v>0.15595300000000001</v>
      </c>
      <c r="W347" s="3">
        <v>0.1607123</v>
      </c>
      <c r="X347" s="3">
        <v>0.16507079999999999</v>
      </c>
      <c r="Y347" s="3">
        <v>0.16913829999999999</v>
      </c>
      <c r="Z347" s="3">
        <v>0.1730245</v>
      </c>
      <c r="AA347" s="3">
        <v>0.17683950000000001</v>
      </c>
      <c r="AB347" s="3">
        <v>0.18069289999999999</v>
      </c>
      <c r="AC347" s="3">
        <v>0.1846737</v>
      </c>
      <c r="AD347" s="3">
        <v>0.18878780000000001</v>
      </c>
      <c r="AE347" s="3">
        <v>0.19302030000000001</v>
      </c>
      <c r="AF347" s="3">
        <v>0.197356</v>
      </c>
      <c r="AG347" s="3">
        <v>0.20177999999999999</v>
      </c>
      <c r="AH347" s="3">
        <v>0.2062773</v>
      </c>
      <c r="AI347" s="3">
        <v>0.21083299999999999</v>
      </c>
      <c r="AJ347" s="3">
        <v>0.21543190000000001</v>
      </c>
      <c r="AK347" s="3">
        <v>0.22005930000000001</v>
      </c>
      <c r="AL347" s="3">
        <v>0.22469990000000001</v>
      </c>
      <c r="AM347" s="3">
        <v>0.22933890000000001</v>
      </c>
      <c r="AN347" s="3">
        <v>0.23396130000000001</v>
      </c>
      <c r="AO347" s="3">
        <v>0.2385526</v>
      </c>
      <c r="AP347" s="3">
        <v>0.24310019999999999</v>
      </c>
      <c r="AQ347" s="3">
        <v>0.24759229999999999</v>
      </c>
      <c r="AR347" s="3">
        <v>0.25201679999999999</v>
      </c>
      <c r="AS347" s="3">
        <v>0.25636179999999997</v>
      </c>
      <c r="AT347" s="3">
        <v>0.2606154</v>
      </c>
      <c r="AU347" s="3">
        <v>0.26476549999999999</v>
      </c>
      <c r="AV347" s="3">
        <v>0.26880009999999999</v>
      </c>
      <c r="AW347" s="3">
        <v>0.27270739999999999</v>
      </c>
      <c r="AX347" s="3">
        <v>0.27647529999999998</v>
      </c>
      <c r="AY347" s="3">
        <v>0.2800918</v>
      </c>
      <c r="AZ347" s="3">
        <v>0.28354509999999999</v>
      </c>
      <c r="BA347" s="3">
        <v>0.28682560000000001</v>
      </c>
      <c r="BB347" s="3">
        <v>0.28993829999999998</v>
      </c>
      <c r="BC347" s="3">
        <v>0.2928925</v>
      </c>
      <c r="BD347" s="3">
        <v>0.2956976</v>
      </c>
      <c r="BE347" s="3">
        <v>0.2983633</v>
      </c>
      <c r="BF347" s="3">
        <v>0.30089880000000002</v>
      </c>
      <c r="BG347" s="3">
        <v>0.30331370000000002</v>
      </c>
      <c r="BH347" s="3">
        <v>0.30561739999999998</v>
      </c>
      <c r="BI347" s="3">
        <v>0.30781950000000002</v>
      </c>
      <c r="BJ347" s="3">
        <v>0.30992930000000002</v>
      </c>
      <c r="BK347" s="3">
        <v>0.31195620000000002</v>
      </c>
      <c r="BL347" s="3">
        <v>0.31390990000000002</v>
      </c>
      <c r="BM347" s="3" t="e">
        <v>#N/A</v>
      </c>
      <c r="BN347" s="3" t="e">
        <v>#N/A</v>
      </c>
    </row>
    <row r="348" spans="1:66" x14ac:dyDescent="0.35">
      <c r="A348" s="5">
        <f t="shared" si="5"/>
        <v>43942</v>
      </c>
      <c r="B348" t="s">
        <v>425</v>
      </c>
      <c r="C348" s="2">
        <v>0.1</v>
      </c>
      <c r="D348" s="2">
        <v>6.7199999999999996E-2</v>
      </c>
      <c r="E348" s="3">
        <v>7.4833999999999998E-2</v>
      </c>
      <c r="F348" s="3">
        <v>7.7614100000000005E-2</v>
      </c>
      <c r="G348" s="3">
        <v>7.92379E-2</v>
      </c>
      <c r="H348" s="3">
        <v>7.9822400000000002E-2</v>
      </c>
      <c r="I348" s="3">
        <v>8.0462900000000004E-2</v>
      </c>
      <c r="J348" s="3">
        <v>8.2356600000000002E-2</v>
      </c>
      <c r="K348" s="3">
        <v>8.6318900000000004E-2</v>
      </c>
      <c r="L348" s="3">
        <v>9.2406199999999994E-2</v>
      </c>
      <c r="M348" s="3">
        <v>0.1001065</v>
      </c>
      <c r="N348" s="3">
        <v>0.1084948</v>
      </c>
      <c r="O348" s="3">
        <v>0.116618</v>
      </c>
      <c r="P348" s="3">
        <v>0.12369719999999999</v>
      </c>
      <c r="Q348" s="3">
        <v>0.12935450000000001</v>
      </c>
      <c r="R348" s="3">
        <v>0.13374249999999999</v>
      </c>
      <c r="S348" s="3">
        <v>0.1371299</v>
      </c>
      <c r="T348" s="3">
        <v>0.1397853</v>
      </c>
      <c r="U348" s="3">
        <v>0.14197770000000001</v>
      </c>
      <c r="V348" s="3">
        <v>0.14397560000000001</v>
      </c>
      <c r="W348" s="3">
        <v>0.14601220000000001</v>
      </c>
      <c r="X348" s="3">
        <v>0.14817130000000001</v>
      </c>
      <c r="Y348" s="3">
        <v>0.1504974</v>
      </c>
      <c r="Z348" s="3">
        <v>0.1530349</v>
      </c>
      <c r="AA348" s="3">
        <v>0.1558283</v>
      </c>
      <c r="AB348" s="3">
        <v>0.15892220000000001</v>
      </c>
      <c r="AC348" s="3">
        <v>0.16234699999999999</v>
      </c>
      <c r="AD348" s="3">
        <v>0.16607820000000001</v>
      </c>
      <c r="AE348" s="3">
        <v>0.17007720000000001</v>
      </c>
      <c r="AF348" s="3">
        <v>0.1743055</v>
      </c>
      <c r="AG348" s="3">
        <v>0.17872440000000001</v>
      </c>
      <c r="AH348" s="3">
        <v>0.1832955</v>
      </c>
      <c r="AI348" s="3">
        <v>0.18798029999999999</v>
      </c>
      <c r="AJ348" s="3">
        <v>0.1927401</v>
      </c>
      <c r="AK348" s="3">
        <v>0.1975365</v>
      </c>
      <c r="AL348" s="3">
        <v>0.20233090000000001</v>
      </c>
      <c r="AM348" s="3">
        <v>0.20708470000000001</v>
      </c>
      <c r="AN348" s="3">
        <v>0.21175949999999999</v>
      </c>
      <c r="AO348" s="3">
        <v>0.2163226</v>
      </c>
      <c r="AP348" s="3">
        <v>0.2207654</v>
      </c>
      <c r="AQ348" s="3">
        <v>0.22508529999999999</v>
      </c>
      <c r="AR348" s="3">
        <v>0.2292795</v>
      </c>
      <c r="AS348" s="3">
        <v>0.23334550000000001</v>
      </c>
      <c r="AT348" s="3">
        <v>0.23728050000000001</v>
      </c>
      <c r="AU348" s="3">
        <v>0.24108199999999999</v>
      </c>
      <c r="AV348" s="3">
        <v>0.2447471</v>
      </c>
      <c r="AW348" s="3">
        <v>0.2482733</v>
      </c>
      <c r="AX348" s="3">
        <v>0.25165799999999999</v>
      </c>
      <c r="AY348" s="3">
        <v>0.25489830000000002</v>
      </c>
      <c r="AZ348" s="3">
        <v>0.25799179999999999</v>
      </c>
      <c r="BA348" s="3">
        <v>0.26093699999999997</v>
      </c>
      <c r="BB348" s="3">
        <v>0.2637391</v>
      </c>
      <c r="BC348" s="3">
        <v>0.26640550000000002</v>
      </c>
      <c r="BD348" s="3">
        <v>0.26894309999999999</v>
      </c>
      <c r="BE348" s="3">
        <v>0.27135939999999997</v>
      </c>
      <c r="BF348" s="3">
        <v>0.2736614</v>
      </c>
      <c r="BG348" s="3">
        <v>0.2758563</v>
      </c>
      <c r="BH348" s="3">
        <v>0.27795140000000002</v>
      </c>
      <c r="BI348" s="3">
        <v>0.27995389999999998</v>
      </c>
      <c r="BJ348" s="3">
        <v>0.28187089999999998</v>
      </c>
      <c r="BK348" s="3">
        <v>0.28370970000000001</v>
      </c>
      <c r="BL348" s="3">
        <v>0.28547739999999999</v>
      </c>
      <c r="BM348" s="3" t="e">
        <v>#N/A</v>
      </c>
      <c r="BN348" s="3" t="e">
        <v>#N/A</v>
      </c>
    </row>
    <row r="349" spans="1:66" x14ac:dyDescent="0.35">
      <c r="A349" s="5">
        <f t="shared" si="5"/>
        <v>43943</v>
      </c>
      <c r="B349" t="s">
        <v>426</v>
      </c>
      <c r="C349" s="2">
        <v>0.1</v>
      </c>
      <c r="D349" s="2">
        <v>6.83E-2</v>
      </c>
      <c r="E349" s="3">
        <v>7.5199799999999997E-2</v>
      </c>
      <c r="F349" s="3">
        <v>7.7470600000000001E-2</v>
      </c>
      <c r="G349" s="3">
        <v>8.0240400000000003E-2</v>
      </c>
      <c r="H349" s="3">
        <v>8.2902799999999999E-2</v>
      </c>
      <c r="I349" s="3">
        <v>8.5483500000000004E-2</v>
      </c>
      <c r="J349" s="3">
        <v>8.8539300000000001E-2</v>
      </c>
      <c r="K349" s="3">
        <v>9.2606300000000003E-2</v>
      </c>
      <c r="L349" s="3">
        <v>9.7781699999999999E-2</v>
      </c>
      <c r="M349" s="3">
        <v>0.1037877</v>
      </c>
      <c r="N349" s="3">
        <v>0.11013489999999999</v>
      </c>
      <c r="O349" s="3">
        <v>0.1163439</v>
      </c>
      <c r="P349" s="3">
        <v>0.1220405</v>
      </c>
      <c r="Q349" s="3">
        <v>0.12685630000000001</v>
      </c>
      <c r="R349" s="3">
        <v>0.13086629999999999</v>
      </c>
      <c r="S349" s="3">
        <v>0.13426550000000001</v>
      </c>
      <c r="T349" s="3">
        <v>0.1372488</v>
      </c>
      <c r="U349" s="3">
        <v>0.14001140000000001</v>
      </c>
      <c r="V349" s="3">
        <v>0.14274809999999999</v>
      </c>
      <c r="W349" s="3">
        <v>0.1456267</v>
      </c>
      <c r="X349" s="3">
        <v>0.14870050000000001</v>
      </c>
      <c r="Y349" s="3">
        <v>0.15199299999999999</v>
      </c>
      <c r="Z349" s="3">
        <v>0.15552740000000001</v>
      </c>
      <c r="AA349" s="3">
        <v>0.1593271</v>
      </c>
      <c r="AB349" s="3">
        <v>0.16341530000000001</v>
      </c>
      <c r="AC349" s="3">
        <v>0.16780500000000001</v>
      </c>
      <c r="AD349" s="3">
        <v>0.17246719999999999</v>
      </c>
      <c r="AE349" s="3">
        <v>0.17736270000000001</v>
      </c>
      <c r="AF349" s="3">
        <v>0.18245210000000001</v>
      </c>
      <c r="AG349" s="3">
        <v>0.1876961</v>
      </c>
      <c r="AH349" s="3">
        <v>0.19305549999999999</v>
      </c>
      <c r="AI349" s="3">
        <v>0.1984908</v>
      </c>
      <c r="AJ349" s="3">
        <v>0.2039627</v>
      </c>
      <c r="AK349" s="3">
        <v>0.20943210000000001</v>
      </c>
      <c r="AL349" s="3">
        <v>0.21485940000000001</v>
      </c>
      <c r="AM349" s="3">
        <v>0.2202055</v>
      </c>
      <c r="AN349" s="3">
        <v>0.22543089999999999</v>
      </c>
      <c r="AO349" s="3">
        <v>0.2305015</v>
      </c>
      <c r="AP349" s="3">
        <v>0.23540759999999999</v>
      </c>
      <c r="AQ349" s="3">
        <v>0.24014720000000001</v>
      </c>
      <c r="AR349" s="3">
        <v>0.2447183</v>
      </c>
      <c r="AS349" s="3">
        <v>0.2491188</v>
      </c>
      <c r="AT349" s="3">
        <v>0.25334659999999998</v>
      </c>
      <c r="AU349" s="3">
        <v>0.25739960000000001</v>
      </c>
      <c r="AV349" s="3">
        <v>0.26127590000000001</v>
      </c>
      <c r="AW349" s="3">
        <v>0.26497330000000002</v>
      </c>
      <c r="AX349" s="3">
        <v>0.2684897</v>
      </c>
      <c r="AY349" s="3">
        <v>0.27182319999999999</v>
      </c>
      <c r="AZ349" s="3">
        <v>0.27497169999999999</v>
      </c>
      <c r="BA349" s="3">
        <v>0.27793479999999998</v>
      </c>
      <c r="BB349" s="3">
        <v>0.28071950000000001</v>
      </c>
      <c r="BC349" s="3">
        <v>0.28333510000000001</v>
      </c>
      <c r="BD349" s="3">
        <v>0.28579070000000001</v>
      </c>
      <c r="BE349" s="3">
        <v>0.2880955</v>
      </c>
      <c r="BF349" s="3">
        <v>0.29025859999999998</v>
      </c>
      <c r="BG349" s="3">
        <v>0.29228920000000003</v>
      </c>
      <c r="BH349" s="3">
        <v>0.29419640000000002</v>
      </c>
      <c r="BI349" s="3">
        <v>0.29598950000000002</v>
      </c>
      <c r="BJ349" s="3">
        <v>0.29767739999999998</v>
      </c>
      <c r="BK349" s="3">
        <v>0.29926950000000002</v>
      </c>
      <c r="BL349" s="3">
        <v>0.30077490000000001</v>
      </c>
      <c r="BM349" s="3" t="e">
        <v>#N/A</v>
      </c>
      <c r="BN349" s="3" t="e">
        <v>#N/A</v>
      </c>
    </row>
    <row r="350" spans="1:66" x14ac:dyDescent="0.35">
      <c r="A350" s="5">
        <f t="shared" si="5"/>
        <v>43944</v>
      </c>
      <c r="B350" t="s">
        <v>427</v>
      </c>
      <c r="C350" s="2">
        <v>0.1</v>
      </c>
      <c r="D350" s="2">
        <v>6.7299999999999999E-2</v>
      </c>
      <c r="E350" s="3">
        <v>7.46724E-2</v>
      </c>
      <c r="F350" s="3">
        <v>7.3292800000000005E-2</v>
      </c>
      <c r="G350" s="3">
        <v>7.66212E-2</v>
      </c>
      <c r="H350" s="3">
        <v>8.1286899999999995E-2</v>
      </c>
      <c r="I350" s="3">
        <v>8.4897899999999998E-2</v>
      </c>
      <c r="J350" s="3">
        <v>8.7479899999999999E-2</v>
      </c>
      <c r="K350" s="3">
        <v>8.9754799999999996E-2</v>
      </c>
      <c r="L350" s="3">
        <v>9.2498499999999997E-2</v>
      </c>
      <c r="M350" s="3">
        <v>9.6077399999999993E-2</v>
      </c>
      <c r="N350" s="3">
        <v>0.1005404</v>
      </c>
      <c r="O350" s="3">
        <v>0.1056684</v>
      </c>
      <c r="P350" s="3">
        <v>0.11114839999999999</v>
      </c>
      <c r="Q350" s="3">
        <v>0.1164225</v>
      </c>
      <c r="R350" s="3">
        <v>0.1213998</v>
      </c>
      <c r="S350" s="3">
        <v>0.12613050000000001</v>
      </c>
      <c r="T350" s="3">
        <v>0.13066510000000001</v>
      </c>
      <c r="U350" s="3">
        <v>0.1350538</v>
      </c>
      <c r="V350" s="3">
        <v>0.139347</v>
      </c>
      <c r="W350" s="3">
        <v>0.14359130000000001</v>
      </c>
      <c r="X350" s="3">
        <v>0.14781340000000001</v>
      </c>
      <c r="Y350" s="3">
        <v>0.15203420000000001</v>
      </c>
      <c r="Z350" s="3">
        <v>0.1562742</v>
      </c>
      <c r="AA350" s="3">
        <v>0.16055410000000001</v>
      </c>
      <c r="AB350" s="3">
        <v>0.1648946</v>
      </c>
      <c r="AC350" s="3">
        <v>0.16931070000000001</v>
      </c>
      <c r="AD350" s="3">
        <v>0.1737911</v>
      </c>
      <c r="AE350" s="3">
        <v>0.178316</v>
      </c>
      <c r="AF350" s="3">
        <v>0.1828658</v>
      </c>
      <c r="AG350" s="3">
        <v>0.1874208</v>
      </c>
      <c r="AH350" s="3">
        <v>0.1919614</v>
      </c>
      <c r="AI350" s="3">
        <v>0.1964678</v>
      </c>
      <c r="AJ350" s="3">
        <v>0.2009204</v>
      </c>
      <c r="AK350" s="3">
        <v>0.2052996</v>
      </c>
      <c r="AL350" s="3">
        <v>0.20958570000000001</v>
      </c>
      <c r="AM350" s="3">
        <v>0.213759</v>
      </c>
      <c r="AN350" s="3">
        <v>0.21779979999999999</v>
      </c>
      <c r="AO350" s="3">
        <v>0.2216919</v>
      </c>
      <c r="AP350" s="3">
        <v>0.2254333</v>
      </c>
      <c r="AQ350" s="3">
        <v>0.22902649999999999</v>
      </c>
      <c r="AR350" s="3">
        <v>0.2324736</v>
      </c>
      <c r="AS350" s="3">
        <v>0.23577680000000001</v>
      </c>
      <c r="AT350" s="3">
        <v>0.2389385</v>
      </c>
      <c r="AU350" s="3">
        <v>0.24196090000000001</v>
      </c>
      <c r="AV350" s="3">
        <v>0.24484629999999999</v>
      </c>
      <c r="AW350" s="3">
        <v>0.24759680000000001</v>
      </c>
      <c r="AX350" s="3">
        <v>0.25021480000000001</v>
      </c>
      <c r="AY350" s="3">
        <v>0.2527025</v>
      </c>
      <c r="AZ350" s="3">
        <v>0.25506210000000001</v>
      </c>
      <c r="BA350" s="3">
        <v>0.25729679999999999</v>
      </c>
      <c r="BB350" s="3">
        <v>0.25941340000000002</v>
      </c>
      <c r="BC350" s="3">
        <v>0.26141979999999998</v>
      </c>
      <c r="BD350" s="3">
        <v>0.2633238</v>
      </c>
      <c r="BE350" s="3">
        <v>0.26513330000000002</v>
      </c>
      <c r="BF350" s="3">
        <v>0.26685629999999999</v>
      </c>
      <c r="BG350" s="3">
        <v>0.26850049999999998</v>
      </c>
      <c r="BH350" s="3">
        <v>0.27007379999999997</v>
      </c>
      <c r="BI350" s="3">
        <v>0.2715842</v>
      </c>
      <c r="BJ350" s="3">
        <v>0.27303949999999999</v>
      </c>
      <c r="BK350" s="3">
        <v>0.27444760000000001</v>
      </c>
      <c r="BL350" s="3">
        <v>0.27581630000000001</v>
      </c>
      <c r="BM350" s="3" t="e">
        <v>#N/A</v>
      </c>
      <c r="BN350" s="3" t="e">
        <v>#N/A</v>
      </c>
    </row>
    <row r="351" spans="1:66" x14ac:dyDescent="0.35">
      <c r="A351" s="5">
        <f t="shared" si="5"/>
        <v>43945</v>
      </c>
      <c r="B351" t="s">
        <v>428</v>
      </c>
      <c r="C351" s="2">
        <v>0.1</v>
      </c>
      <c r="D351" s="2">
        <v>6.6199999999999995E-2</v>
      </c>
      <c r="E351" s="3">
        <v>7.6396199999999997E-2</v>
      </c>
      <c r="F351" s="3">
        <v>7.3315599999999995E-2</v>
      </c>
      <c r="G351" s="3">
        <v>6.7022899999999996E-2</v>
      </c>
      <c r="H351" s="3">
        <v>6.2184200000000002E-2</v>
      </c>
      <c r="I351" s="3">
        <v>6.0296099999999998E-2</v>
      </c>
      <c r="J351" s="3">
        <v>6.1827600000000003E-2</v>
      </c>
      <c r="K351" s="3">
        <v>6.6631999999999997E-2</v>
      </c>
      <c r="L351" s="3">
        <v>7.3608099999999996E-2</v>
      </c>
      <c r="M351" s="3">
        <v>8.20245E-2</v>
      </c>
      <c r="N351" s="3">
        <v>9.1287699999999999E-2</v>
      </c>
      <c r="O351" s="3">
        <v>0.10067769999999999</v>
      </c>
      <c r="P351" s="3">
        <v>0.1094844</v>
      </c>
      <c r="Q351" s="3">
        <v>0.1170706</v>
      </c>
      <c r="R351" s="3">
        <v>0.1234271</v>
      </c>
      <c r="S351" s="3">
        <v>0.12874189999999999</v>
      </c>
      <c r="T351" s="3">
        <v>0.13320299999999999</v>
      </c>
      <c r="U351" s="3">
        <v>0.13699839999999999</v>
      </c>
      <c r="V351" s="3">
        <v>0.140316</v>
      </c>
      <c r="W351" s="3">
        <v>0.14333029999999999</v>
      </c>
      <c r="X351" s="3">
        <v>0.1461529</v>
      </c>
      <c r="Y351" s="3">
        <v>0.14887719999999999</v>
      </c>
      <c r="Z351" s="3">
        <v>0.15159639999999999</v>
      </c>
      <c r="AA351" s="3">
        <v>0.15440390000000001</v>
      </c>
      <c r="AB351" s="3">
        <v>0.15739320000000001</v>
      </c>
      <c r="AC351" s="3">
        <v>0.16063859999999999</v>
      </c>
      <c r="AD351" s="3">
        <v>0.16413079999999999</v>
      </c>
      <c r="AE351" s="3">
        <v>0.16783729999999999</v>
      </c>
      <c r="AF351" s="3">
        <v>0.17172560000000001</v>
      </c>
      <c r="AG351" s="3">
        <v>0.17576339999999999</v>
      </c>
      <c r="AH351" s="3">
        <v>0.1799182</v>
      </c>
      <c r="AI351" s="3">
        <v>0.1841575</v>
      </c>
      <c r="AJ351" s="3">
        <v>0.1884489</v>
      </c>
      <c r="AK351" s="3">
        <v>0.19275999999999999</v>
      </c>
      <c r="AL351" s="3">
        <v>0.19705829999999999</v>
      </c>
      <c r="AM351" s="3">
        <v>0.2013113</v>
      </c>
      <c r="AN351" s="3">
        <v>0.20548669999999999</v>
      </c>
      <c r="AO351" s="3">
        <v>0.2095571</v>
      </c>
      <c r="AP351" s="3">
        <v>0.21351529999999999</v>
      </c>
      <c r="AQ351" s="3">
        <v>0.21735950000000001</v>
      </c>
      <c r="AR351" s="3">
        <v>0.2210877</v>
      </c>
      <c r="AS351" s="3">
        <v>0.22469790000000001</v>
      </c>
      <c r="AT351" s="3">
        <v>0.22818820000000001</v>
      </c>
      <c r="AU351" s="3">
        <v>0.2315566</v>
      </c>
      <c r="AV351" s="3">
        <v>0.23480119999999999</v>
      </c>
      <c r="AW351" s="3">
        <v>0.23791989999999999</v>
      </c>
      <c r="AX351" s="3">
        <v>0.24091080000000001</v>
      </c>
      <c r="AY351" s="3">
        <v>0.24377199999999999</v>
      </c>
      <c r="AZ351" s="3">
        <v>0.24650150000000001</v>
      </c>
      <c r="BA351" s="3">
        <v>0.24909870000000001</v>
      </c>
      <c r="BB351" s="3">
        <v>0.25156919999999999</v>
      </c>
      <c r="BC351" s="3">
        <v>0.25392039999999999</v>
      </c>
      <c r="BD351" s="3">
        <v>0.25615949999999998</v>
      </c>
      <c r="BE351" s="3">
        <v>0.25829390000000002</v>
      </c>
      <c r="BF351" s="3">
        <v>0.26033089999999998</v>
      </c>
      <c r="BG351" s="3">
        <v>0.2622777</v>
      </c>
      <c r="BH351" s="3">
        <v>0.26414159999999998</v>
      </c>
      <c r="BI351" s="3">
        <v>0.2659301</v>
      </c>
      <c r="BJ351" s="3">
        <v>0.26765030000000001</v>
      </c>
      <c r="BK351" s="3">
        <v>0.26930959999999998</v>
      </c>
      <c r="BL351" s="3">
        <v>0.27091530000000003</v>
      </c>
      <c r="BM351" s="3" t="e">
        <v>#N/A</v>
      </c>
      <c r="BN351" s="3" t="e">
        <v>#N/A</v>
      </c>
    </row>
    <row r="352" spans="1:66" x14ac:dyDescent="0.35">
      <c r="A352" s="5">
        <f t="shared" si="5"/>
        <v>43948</v>
      </c>
      <c r="B352" t="s">
        <v>429</v>
      </c>
      <c r="C352" s="2">
        <v>0.1</v>
      </c>
      <c r="D352" s="2">
        <v>6.5199999999999994E-2</v>
      </c>
      <c r="E352" s="3">
        <v>7.8281299999999998E-2</v>
      </c>
      <c r="F352" s="3">
        <v>7.2779899999999995E-2</v>
      </c>
      <c r="G352" s="3">
        <v>6.6919999999999993E-2</v>
      </c>
      <c r="H352" s="3">
        <v>6.4234100000000002E-2</v>
      </c>
      <c r="I352" s="3">
        <v>6.6549200000000003E-2</v>
      </c>
      <c r="J352" s="3">
        <v>7.2418800000000005E-2</v>
      </c>
      <c r="K352" s="3">
        <v>8.0112199999999995E-2</v>
      </c>
      <c r="L352" s="3">
        <v>8.8184799999999994E-2</v>
      </c>
      <c r="M352" s="3">
        <v>9.5558400000000002E-2</v>
      </c>
      <c r="N352" s="3">
        <v>0.1020133</v>
      </c>
      <c r="O352" s="3">
        <v>0.1075623</v>
      </c>
      <c r="P352" s="3">
        <v>0.11233990000000001</v>
      </c>
      <c r="Q352" s="3">
        <v>0.1165356</v>
      </c>
      <c r="R352" s="3">
        <v>0.1203014</v>
      </c>
      <c r="S352" s="3">
        <v>0.1237785</v>
      </c>
      <c r="T352" s="3">
        <v>0.1271082</v>
      </c>
      <c r="U352" s="3">
        <v>0.13043179999999999</v>
      </c>
      <c r="V352" s="3">
        <v>0.1338905</v>
      </c>
      <c r="W352" s="3">
        <v>0.1375981</v>
      </c>
      <c r="X352" s="3">
        <v>0.1415525</v>
      </c>
      <c r="Y352" s="3">
        <v>0.14572089999999999</v>
      </c>
      <c r="Z352" s="3">
        <v>0.15007100000000001</v>
      </c>
      <c r="AA352" s="3">
        <v>0.15457009999999999</v>
      </c>
      <c r="AB352" s="3">
        <v>0.15918570000000001</v>
      </c>
      <c r="AC352" s="3">
        <v>0.16388710000000001</v>
      </c>
      <c r="AD352" s="3">
        <v>0.16865150000000001</v>
      </c>
      <c r="AE352" s="3">
        <v>0.1734578</v>
      </c>
      <c r="AF352" s="3">
        <v>0.178285</v>
      </c>
      <c r="AG352" s="3">
        <v>0.1831121</v>
      </c>
      <c r="AH352" s="3">
        <v>0.18791820000000001</v>
      </c>
      <c r="AI352" s="3">
        <v>0.1926822</v>
      </c>
      <c r="AJ352" s="3">
        <v>0.19738320000000001</v>
      </c>
      <c r="AK352" s="3">
        <v>0.20200009999999999</v>
      </c>
      <c r="AL352" s="3">
        <v>0.2065119</v>
      </c>
      <c r="AM352" s="3">
        <v>0.21089769999999999</v>
      </c>
      <c r="AN352" s="3">
        <v>0.21513650000000001</v>
      </c>
      <c r="AO352" s="3">
        <v>0.21921170000000001</v>
      </c>
      <c r="AP352" s="3">
        <v>0.22312460000000001</v>
      </c>
      <c r="AQ352" s="3">
        <v>0.22688079999999999</v>
      </c>
      <c r="AR352" s="3">
        <v>0.230486</v>
      </c>
      <c r="AS352" s="3">
        <v>0.23394590000000001</v>
      </c>
      <c r="AT352" s="3">
        <v>0.23726620000000001</v>
      </c>
      <c r="AU352" s="3">
        <v>0.24045250000000001</v>
      </c>
      <c r="AV352" s="3">
        <v>0.2435107</v>
      </c>
      <c r="AW352" s="3">
        <v>0.2464462</v>
      </c>
      <c r="AX352" s="3">
        <v>0.24926490000000001</v>
      </c>
      <c r="AY352" s="3">
        <v>0.25197239999999999</v>
      </c>
      <c r="AZ352" s="3">
        <v>0.25457439999999998</v>
      </c>
      <c r="BA352" s="3">
        <v>0.25707679999999999</v>
      </c>
      <c r="BB352" s="3">
        <v>0.25948680000000002</v>
      </c>
      <c r="BC352" s="3">
        <v>0.26181179999999998</v>
      </c>
      <c r="BD352" s="3">
        <v>0.2640594</v>
      </c>
      <c r="BE352" s="3">
        <v>0.26623720000000001</v>
      </c>
      <c r="BF352" s="3">
        <v>0.2683526</v>
      </c>
      <c r="BG352" s="3">
        <v>0.27041330000000002</v>
      </c>
      <c r="BH352" s="3">
        <v>0.27242680000000002</v>
      </c>
      <c r="BI352" s="3">
        <v>0.27440049999999999</v>
      </c>
      <c r="BJ352" s="3">
        <v>0.27634209999999998</v>
      </c>
      <c r="BK352" s="3">
        <v>0.27825909999999998</v>
      </c>
      <c r="BL352" s="3">
        <v>0.28015899999999999</v>
      </c>
      <c r="BM352" s="3" t="e">
        <v>#N/A</v>
      </c>
      <c r="BN352" s="3" t="e">
        <v>#N/A</v>
      </c>
    </row>
    <row r="353" spans="1:66" x14ac:dyDescent="0.35">
      <c r="A353" s="5">
        <f t="shared" si="5"/>
        <v>43949</v>
      </c>
      <c r="B353" t="s">
        <v>430</v>
      </c>
      <c r="C353" s="2">
        <v>0.1</v>
      </c>
      <c r="D353" s="2">
        <v>6.6500000000000004E-2</v>
      </c>
      <c r="E353" s="3">
        <v>7.0205600000000007E-2</v>
      </c>
      <c r="F353" s="3">
        <v>7.02787E-2</v>
      </c>
      <c r="G353" s="3">
        <v>6.98902E-2</v>
      </c>
      <c r="H353" s="3">
        <v>6.94718E-2</v>
      </c>
      <c r="I353" s="3">
        <v>6.9574899999999995E-2</v>
      </c>
      <c r="J353" s="3">
        <v>7.0630499999999999E-2</v>
      </c>
      <c r="K353" s="3">
        <v>7.2897600000000007E-2</v>
      </c>
      <c r="L353" s="3">
        <v>7.6311299999999999E-2</v>
      </c>
      <c r="M353" s="3">
        <v>8.0655199999999996E-2</v>
      </c>
      <c r="N353" s="3">
        <v>8.5584400000000005E-2</v>
      </c>
      <c r="O353" s="3">
        <v>9.0760199999999999E-2</v>
      </c>
      <c r="P353" s="3">
        <v>9.5914700000000006E-2</v>
      </c>
      <c r="Q353" s="3">
        <v>0.10064149999999999</v>
      </c>
      <c r="R353" s="3">
        <v>0.1049156</v>
      </c>
      <c r="S353" s="3">
        <v>0.1088273</v>
      </c>
      <c r="T353" s="3">
        <v>0.1124666</v>
      </c>
      <c r="U353" s="3">
        <v>0.11592379999999999</v>
      </c>
      <c r="V353" s="3">
        <v>0.1192888</v>
      </c>
      <c r="W353" s="3">
        <v>0.1226425</v>
      </c>
      <c r="X353" s="3">
        <v>0.12602540000000001</v>
      </c>
      <c r="Y353" s="3">
        <v>0.1294679</v>
      </c>
      <c r="Z353" s="3">
        <v>0.13300020000000001</v>
      </c>
      <c r="AA353" s="3">
        <v>0.13665269999999999</v>
      </c>
      <c r="AB353" s="3">
        <v>0.14045560000000001</v>
      </c>
      <c r="AC353" s="3">
        <v>0.14443039999999999</v>
      </c>
      <c r="AD353" s="3">
        <v>0.1485639</v>
      </c>
      <c r="AE353" s="3">
        <v>0.1528342</v>
      </c>
      <c r="AF353" s="3">
        <v>0.1572192</v>
      </c>
      <c r="AG353" s="3">
        <v>0.16169700000000001</v>
      </c>
      <c r="AH353" s="3">
        <v>0.16624549999999999</v>
      </c>
      <c r="AI353" s="3">
        <v>0.17084289999999999</v>
      </c>
      <c r="AJ353" s="3">
        <v>0.17546709999999999</v>
      </c>
      <c r="AK353" s="3">
        <v>0.18009620000000001</v>
      </c>
      <c r="AL353" s="3">
        <v>0.18470819999999999</v>
      </c>
      <c r="AM353" s="3">
        <v>0.18928110000000001</v>
      </c>
      <c r="AN353" s="3">
        <v>0.19379289999999999</v>
      </c>
      <c r="AO353" s="3">
        <v>0.19822519999999999</v>
      </c>
      <c r="AP353" s="3">
        <v>0.20257359999999999</v>
      </c>
      <c r="AQ353" s="3">
        <v>0.2068374</v>
      </c>
      <c r="AR353" s="3">
        <v>0.2110157</v>
      </c>
      <c r="AS353" s="3">
        <v>0.21510770000000001</v>
      </c>
      <c r="AT353" s="3">
        <v>0.21911249999999999</v>
      </c>
      <c r="AU353" s="3">
        <v>0.22302949999999999</v>
      </c>
      <c r="AV353" s="3">
        <v>0.2268577</v>
      </c>
      <c r="AW353" s="3">
        <v>0.23059640000000001</v>
      </c>
      <c r="AX353" s="3">
        <v>0.2342448</v>
      </c>
      <c r="AY353" s="3">
        <v>0.23780190000000001</v>
      </c>
      <c r="AZ353" s="3">
        <v>0.24126710000000001</v>
      </c>
      <c r="BA353" s="3">
        <v>0.24463989999999999</v>
      </c>
      <c r="BB353" s="3">
        <v>0.2479218</v>
      </c>
      <c r="BC353" s="3">
        <v>0.25111499999999998</v>
      </c>
      <c r="BD353" s="3">
        <v>0.25422149999999999</v>
      </c>
      <c r="BE353" s="3">
        <v>0.25724370000000002</v>
      </c>
      <c r="BF353" s="3">
        <v>0.26018340000000001</v>
      </c>
      <c r="BG353" s="3">
        <v>0.26304300000000003</v>
      </c>
      <c r="BH353" s="3">
        <v>0.26582450000000002</v>
      </c>
      <c r="BI353" s="3">
        <v>0.26852999999999999</v>
      </c>
      <c r="BJ353" s="3">
        <v>0.27116180000000001</v>
      </c>
      <c r="BK353" s="3">
        <v>0.27372180000000002</v>
      </c>
      <c r="BL353" s="3">
        <v>0.27621230000000002</v>
      </c>
      <c r="BM353" s="3" t="e">
        <v>#N/A</v>
      </c>
      <c r="BN353" s="3" t="e">
        <v>#N/A</v>
      </c>
    </row>
    <row r="354" spans="1:66" x14ac:dyDescent="0.35">
      <c r="A354" s="5">
        <f t="shared" si="5"/>
        <v>43950</v>
      </c>
      <c r="B354" t="s">
        <v>431</v>
      </c>
      <c r="C354" s="2">
        <v>0.1</v>
      </c>
      <c r="D354" s="2">
        <v>6.7299999999999999E-2</v>
      </c>
      <c r="E354" s="3">
        <v>6.9766400000000006E-2</v>
      </c>
      <c r="F354" s="3">
        <v>6.9558800000000004E-2</v>
      </c>
      <c r="G354" s="3">
        <v>6.9821599999999998E-2</v>
      </c>
      <c r="H354" s="3">
        <v>7.0124400000000003E-2</v>
      </c>
      <c r="I354" s="3">
        <v>7.0603899999999997E-2</v>
      </c>
      <c r="J354" s="3">
        <v>7.1737700000000001E-2</v>
      </c>
      <c r="K354" s="3">
        <v>7.3833700000000002E-2</v>
      </c>
      <c r="L354" s="3">
        <v>7.6839000000000005E-2</v>
      </c>
      <c r="M354" s="3">
        <v>8.0558699999999997E-2</v>
      </c>
      <c r="N354" s="3">
        <v>8.4794099999999997E-2</v>
      </c>
      <c r="O354" s="3">
        <v>8.9347999999999997E-2</v>
      </c>
      <c r="P354" s="3">
        <v>9.4025899999999996E-2</v>
      </c>
      <c r="Q354" s="3">
        <v>9.8489999999999994E-2</v>
      </c>
      <c r="R354" s="3">
        <v>0.1027063</v>
      </c>
      <c r="S354" s="3">
        <v>0.10673199999999999</v>
      </c>
      <c r="T354" s="3">
        <v>0.11062379999999999</v>
      </c>
      <c r="U354" s="3">
        <v>0.1144389</v>
      </c>
      <c r="V354" s="3">
        <v>0.1182343</v>
      </c>
      <c r="W354" s="3">
        <v>0.1220618</v>
      </c>
      <c r="X354" s="3">
        <v>0.12595210000000001</v>
      </c>
      <c r="Y354" s="3">
        <v>0.1299304</v>
      </c>
      <c r="Z354" s="3">
        <v>0.1340218</v>
      </c>
      <c r="AA354" s="3">
        <v>0.13825129999999999</v>
      </c>
      <c r="AB354" s="3">
        <v>0.1426441</v>
      </c>
      <c r="AC354" s="3">
        <v>0.14721680000000001</v>
      </c>
      <c r="AD354" s="3">
        <v>0.1519519</v>
      </c>
      <c r="AE354" s="3">
        <v>0.1568235</v>
      </c>
      <c r="AF354" s="3">
        <v>0.1618057</v>
      </c>
      <c r="AG354" s="3">
        <v>0.16687270000000001</v>
      </c>
      <c r="AH354" s="3">
        <v>0.17199829999999999</v>
      </c>
      <c r="AI354" s="3">
        <v>0.1771568</v>
      </c>
      <c r="AJ354" s="3">
        <v>0.18232229999999999</v>
      </c>
      <c r="AK354" s="3">
        <v>0.18746869999999999</v>
      </c>
      <c r="AL354" s="3">
        <v>0.1925702</v>
      </c>
      <c r="AM354" s="3">
        <v>0.19760079999999999</v>
      </c>
      <c r="AN354" s="3">
        <v>0.20253460000000001</v>
      </c>
      <c r="AO354" s="3">
        <v>0.2073487</v>
      </c>
      <c r="AP354" s="3">
        <v>0.21203549999999999</v>
      </c>
      <c r="AQ354" s="3">
        <v>0.21659320000000001</v>
      </c>
      <c r="AR354" s="3">
        <v>0.2210194</v>
      </c>
      <c r="AS354" s="3">
        <v>0.22531209999999999</v>
      </c>
      <c r="AT354" s="3">
        <v>0.22946920000000001</v>
      </c>
      <c r="AU354" s="3">
        <v>0.23348849999999999</v>
      </c>
      <c r="AV354" s="3">
        <v>0.237368</v>
      </c>
      <c r="AW354" s="3">
        <v>0.2411055</v>
      </c>
      <c r="AX354" s="3">
        <v>0.244699</v>
      </c>
      <c r="AY354" s="3">
        <v>0.24814620000000001</v>
      </c>
      <c r="AZ354" s="3">
        <v>0.25144519999999998</v>
      </c>
      <c r="BA354" s="3">
        <v>0.25459500000000002</v>
      </c>
      <c r="BB354" s="3">
        <v>0.25760119999999997</v>
      </c>
      <c r="BC354" s="3">
        <v>0.26047039999999999</v>
      </c>
      <c r="BD354" s="3">
        <v>0.26320979999999999</v>
      </c>
      <c r="BE354" s="3">
        <v>0.26582620000000001</v>
      </c>
      <c r="BF354" s="3">
        <v>0.26832669999999997</v>
      </c>
      <c r="BG354" s="3">
        <v>0.27071800000000001</v>
      </c>
      <c r="BH354" s="3">
        <v>0.27300730000000001</v>
      </c>
      <c r="BI354" s="3">
        <v>0.27520129999999998</v>
      </c>
      <c r="BJ354" s="3">
        <v>0.27730709999999997</v>
      </c>
      <c r="BK354" s="3">
        <v>0.27933170000000002</v>
      </c>
      <c r="BL354" s="3">
        <v>0.28128189999999997</v>
      </c>
      <c r="BM354" s="3" t="e">
        <v>#N/A</v>
      </c>
      <c r="BN354" s="3" t="e">
        <v>#N/A</v>
      </c>
    </row>
    <row r="355" spans="1:66" x14ac:dyDescent="0.35">
      <c r="A355" s="5">
        <f t="shared" si="5"/>
        <v>43951</v>
      </c>
      <c r="B355" t="s">
        <v>432</v>
      </c>
      <c r="C355" s="2">
        <v>0.1</v>
      </c>
      <c r="D355" s="2">
        <v>6.6600000000000006E-2</v>
      </c>
      <c r="E355" s="3">
        <v>6.9796800000000006E-2</v>
      </c>
      <c r="F355" s="3">
        <v>6.94525E-2</v>
      </c>
      <c r="G355" s="3">
        <v>6.9667300000000001E-2</v>
      </c>
      <c r="H355" s="3">
        <v>6.9781800000000005E-2</v>
      </c>
      <c r="I355" s="3">
        <v>6.9695300000000002E-2</v>
      </c>
      <c r="J355" s="3">
        <v>6.9950499999999999E-2</v>
      </c>
      <c r="K355" s="3">
        <v>7.0949499999999999E-2</v>
      </c>
      <c r="L355" s="3">
        <v>7.2803099999999996E-2</v>
      </c>
      <c r="M355" s="3">
        <v>7.5428400000000007E-2</v>
      </c>
      <c r="N355" s="3">
        <v>7.8627100000000005E-2</v>
      </c>
      <c r="O355" s="3">
        <v>8.21794E-2</v>
      </c>
      <c r="P355" s="3">
        <v>8.5943400000000003E-2</v>
      </c>
      <c r="Q355" s="3">
        <v>8.9781299999999994E-2</v>
      </c>
      <c r="R355" s="3">
        <v>9.3658400000000003E-2</v>
      </c>
      <c r="S355" s="3">
        <v>9.7569600000000006E-2</v>
      </c>
      <c r="T355" s="3">
        <v>0.1015098</v>
      </c>
      <c r="U355" s="3">
        <v>0.10547380000000001</v>
      </c>
      <c r="V355" s="3">
        <v>0.10945630000000001</v>
      </c>
      <c r="W355" s="3">
        <v>0.1134487</v>
      </c>
      <c r="X355" s="3">
        <v>0.1174234</v>
      </c>
      <c r="Y355" s="3">
        <v>0.12134689999999999</v>
      </c>
      <c r="Z355" s="3">
        <v>0.12518580000000001</v>
      </c>
      <c r="AA355" s="3">
        <v>0.12890670000000001</v>
      </c>
      <c r="AB355" s="3">
        <v>0.13247600000000001</v>
      </c>
      <c r="AC355" s="3">
        <v>0.13586590000000001</v>
      </c>
      <c r="AD355" s="3">
        <v>0.1390778</v>
      </c>
      <c r="AE355" s="3">
        <v>0.142123</v>
      </c>
      <c r="AF355" s="3">
        <v>0.1450129</v>
      </c>
      <c r="AG355" s="3">
        <v>0.1477589</v>
      </c>
      <c r="AH355" s="3">
        <v>0.15037229999999999</v>
      </c>
      <c r="AI355" s="3">
        <v>0.15286440000000001</v>
      </c>
      <c r="AJ355" s="3">
        <v>0.15524669999999999</v>
      </c>
      <c r="AK355" s="3">
        <v>0.15753049999999999</v>
      </c>
      <c r="AL355" s="3">
        <v>0.15972710000000001</v>
      </c>
      <c r="AM355" s="3">
        <v>0.16184789999999999</v>
      </c>
      <c r="AN355" s="3">
        <v>0.1639043</v>
      </c>
      <c r="AO355" s="3">
        <v>0.16590679999999999</v>
      </c>
      <c r="AP355" s="3">
        <v>0.1678625</v>
      </c>
      <c r="AQ355" s="3">
        <v>0.16977700000000001</v>
      </c>
      <c r="AR355" s="3">
        <v>0.17165620000000001</v>
      </c>
      <c r="AS355" s="3">
        <v>0.17350589999999999</v>
      </c>
      <c r="AT355" s="3">
        <v>0.17533199999999999</v>
      </c>
      <c r="AU355" s="3">
        <v>0.17714009999999999</v>
      </c>
      <c r="AV355" s="3">
        <v>0.17893619999999999</v>
      </c>
      <c r="AW355" s="3">
        <v>0.1807261</v>
      </c>
      <c r="AX355" s="3">
        <v>0.1825155</v>
      </c>
      <c r="AY355" s="3">
        <v>0.18431020000000001</v>
      </c>
      <c r="AZ355" s="3">
        <v>0.18611610000000001</v>
      </c>
      <c r="BA355" s="3">
        <v>0.18793779999999999</v>
      </c>
      <c r="BB355" s="3">
        <v>0.18977459999999999</v>
      </c>
      <c r="BC355" s="3">
        <v>0.1916245</v>
      </c>
      <c r="BD355" s="3">
        <v>0.1934854</v>
      </c>
      <c r="BE355" s="3">
        <v>0.19535530000000001</v>
      </c>
      <c r="BF355" s="3">
        <v>0.19723209999999999</v>
      </c>
      <c r="BG355" s="3">
        <v>0.1991137</v>
      </c>
      <c r="BH355" s="3">
        <v>0.20099800000000001</v>
      </c>
      <c r="BI355" s="3">
        <v>0.20288310000000001</v>
      </c>
      <c r="BJ355" s="3">
        <v>0.2047667</v>
      </c>
      <c r="BK355" s="3">
        <v>0.20664689999999999</v>
      </c>
      <c r="BL355" s="3">
        <v>0.2085215</v>
      </c>
      <c r="BM355" s="3" t="e">
        <v>#N/A</v>
      </c>
      <c r="BN355" s="3" t="e">
        <v>#N/A</v>
      </c>
    </row>
    <row r="356" spans="1:66" x14ac:dyDescent="0.35">
      <c r="A356" s="5">
        <f t="shared" si="5"/>
        <v>43952</v>
      </c>
      <c r="B356" t="s">
        <v>433</v>
      </c>
      <c r="C356" s="2">
        <v>0.1</v>
      </c>
      <c r="D356" s="2">
        <v>6.5799999999999997E-2</v>
      </c>
      <c r="E356" s="3">
        <v>6.62996E-2</v>
      </c>
      <c r="F356" s="3">
        <v>6.5851300000000001E-2</v>
      </c>
      <c r="G356" s="3">
        <v>6.5657900000000005E-2</v>
      </c>
      <c r="H356" s="3">
        <v>6.5226900000000004E-2</v>
      </c>
      <c r="I356" s="3">
        <v>6.4624399999999999E-2</v>
      </c>
      <c r="J356" s="3">
        <v>6.4266900000000002E-2</v>
      </c>
      <c r="K356" s="3">
        <v>6.4562099999999997E-2</v>
      </c>
      <c r="L356" s="3">
        <v>6.5662700000000004E-2</v>
      </c>
      <c r="M356" s="3">
        <v>6.7440299999999995E-2</v>
      </c>
      <c r="N356" s="3">
        <v>6.9727399999999995E-2</v>
      </c>
      <c r="O356" s="3">
        <v>7.2473999999999997E-2</v>
      </c>
      <c r="P356" s="3">
        <v>7.5727199999999995E-2</v>
      </c>
      <c r="Q356" s="3">
        <v>7.9571799999999998E-2</v>
      </c>
      <c r="R356" s="3">
        <v>8.3953299999999995E-2</v>
      </c>
      <c r="S356" s="3">
        <v>8.8765999999999998E-2</v>
      </c>
      <c r="T356" s="3">
        <v>9.3903700000000007E-2</v>
      </c>
      <c r="U356" s="3">
        <v>9.9260699999999993E-2</v>
      </c>
      <c r="V356" s="3">
        <v>0.104731</v>
      </c>
      <c r="W356" s="3">
        <v>0.11021450000000001</v>
      </c>
      <c r="X356" s="3">
        <v>0.1156383</v>
      </c>
      <c r="Y356" s="3">
        <v>0.1209373</v>
      </c>
      <c r="Z356" s="3">
        <v>0.1260464</v>
      </c>
      <c r="AA356" s="3">
        <v>0.1309005</v>
      </c>
      <c r="AB356" s="3">
        <v>0.13543459999999999</v>
      </c>
      <c r="AC356" s="3">
        <v>0.13959740000000001</v>
      </c>
      <c r="AD356" s="3">
        <v>0.1434047</v>
      </c>
      <c r="AE356" s="3">
        <v>0.14689289999999999</v>
      </c>
      <c r="AF356" s="3">
        <v>0.1500985</v>
      </c>
      <c r="AG356" s="3">
        <v>0.15305769999999999</v>
      </c>
      <c r="AH356" s="3">
        <v>0.155807</v>
      </c>
      <c r="AI356" s="3">
        <v>0.15838260000000001</v>
      </c>
      <c r="AJ356" s="3">
        <v>0.16082109999999999</v>
      </c>
      <c r="AK356" s="3">
        <v>0.16315869999999999</v>
      </c>
      <c r="AL356" s="3">
        <v>0.16543179999999999</v>
      </c>
      <c r="AM356" s="3">
        <v>0.16767670000000001</v>
      </c>
      <c r="AN356" s="3">
        <v>0.16993</v>
      </c>
      <c r="AO356" s="3">
        <v>0.17222199999999999</v>
      </c>
      <c r="AP356" s="3">
        <v>0.17455760000000001</v>
      </c>
      <c r="AQ356" s="3">
        <v>0.17693449999999999</v>
      </c>
      <c r="AR356" s="3">
        <v>0.1793505</v>
      </c>
      <c r="AS356" s="3">
        <v>0.1818033</v>
      </c>
      <c r="AT356" s="3">
        <v>0.1842906</v>
      </c>
      <c r="AU356" s="3">
        <v>0.18681010000000001</v>
      </c>
      <c r="AV356" s="3">
        <v>0.18935949999999999</v>
      </c>
      <c r="AW356" s="3">
        <v>0.19193660000000001</v>
      </c>
      <c r="AX356" s="3">
        <v>0.19453899999999999</v>
      </c>
      <c r="AY356" s="3">
        <v>0.1971646</v>
      </c>
      <c r="AZ356" s="3">
        <v>0.19981099999999999</v>
      </c>
      <c r="BA356" s="3">
        <v>0.2024755</v>
      </c>
      <c r="BB356" s="3">
        <v>0.2051531</v>
      </c>
      <c r="BC356" s="3">
        <v>0.2078382</v>
      </c>
      <c r="BD356" s="3">
        <v>0.2105255</v>
      </c>
      <c r="BE356" s="3">
        <v>0.21320929999999999</v>
      </c>
      <c r="BF356" s="3">
        <v>0.21588399999999999</v>
      </c>
      <c r="BG356" s="3">
        <v>0.2185443</v>
      </c>
      <c r="BH356" s="3">
        <v>0.22118450000000001</v>
      </c>
      <c r="BI356" s="3">
        <v>0.2237991</v>
      </c>
      <c r="BJ356" s="3">
        <v>0.22638259999999999</v>
      </c>
      <c r="BK356" s="3">
        <v>0.22892940000000001</v>
      </c>
      <c r="BL356" s="3">
        <v>0.2314341</v>
      </c>
      <c r="BM356" s="3" t="e">
        <v>#N/A</v>
      </c>
      <c r="BN356" s="3" t="e">
        <v>#N/A</v>
      </c>
    </row>
    <row r="357" spans="1:66" x14ac:dyDescent="0.35">
      <c r="A357" s="5">
        <f t="shared" si="5"/>
        <v>43955</v>
      </c>
      <c r="B357" t="s">
        <v>434</v>
      </c>
      <c r="C357" s="2">
        <v>0.1</v>
      </c>
      <c r="D357" s="2">
        <v>6.59E-2</v>
      </c>
      <c r="E357" s="3">
        <v>6.4163799999999993E-2</v>
      </c>
      <c r="F357" s="3">
        <v>6.2673900000000005E-2</v>
      </c>
      <c r="G357" s="3">
        <v>6.1170200000000001E-2</v>
      </c>
      <c r="H357" s="3">
        <v>5.9366299999999997E-2</v>
      </c>
      <c r="I357" s="3">
        <v>5.71785E-2</v>
      </c>
      <c r="J357" s="3">
        <v>5.5009200000000001E-2</v>
      </c>
      <c r="K357" s="3">
        <v>5.3414499999999997E-2</v>
      </c>
      <c r="L357" s="3">
        <v>5.2809700000000001E-2</v>
      </c>
      <c r="M357" s="3">
        <v>5.3341100000000002E-2</v>
      </c>
      <c r="N357" s="3">
        <v>5.4924399999999998E-2</v>
      </c>
      <c r="O357" s="3">
        <v>5.7396999999999997E-2</v>
      </c>
      <c r="P357" s="3">
        <v>6.05645E-2</v>
      </c>
      <c r="Q357" s="3">
        <v>6.4083799999999996E-2</v>
      </c>
      <c r="R357" s="3">
        <v>6.7832600000000007E-2</v>
      </c>
      <c r="S357" s="3">
        <v>7.1762099999999995E-2</v>
      </c>
      <c r="T357" s="3">
        <v>7.5823699999999994E-2</v>
      </c>
      <c r="U357" s="3">
        <v>7.9968499999999998E-2</v>
      </c>
      <c r="V357" s="3">
        <v>8.4147600000000003E-2</v>
      </c>
      <c r="W357" s="3">
        <v>8.8319999999999996E-2</v>
      </c>
      <c r="X357" s="3">
        <v>9.2480599999999996E-2</v>
      </c>
      <c r="Y357" s="3">
        <v>9.6634499999999998E-2</v>
      </c>
      <c r="Z357" s="3">
        <v>0.1007868</v>
      </c>
      <c r="AA357" s="3">
        <v>0.10494290000000001</v>
      </c>
      <c r="AB357" s="3">
        <v>0.10910789999999999</v>
      </c>
      <c r="AC357" s="3">
        <v>0.1132847</v>
      </c>
      <c r="AD357" s="3">
        <v>0.11746769999999999</v>
      </c>
      <c r="AE357" s="3">
        <v>0.12164899999999999</v>
      </c>
      <c r="AF357" s="3">
        <v>0.1258206</v>
      </c>
      <c r="AG357" s="3">
        <v>0.1299747</v>
      </c>
      <c r="AH357" s="3">
        <v>0.13410330000000001</v>
      </c>
      <c r="AI357" s="3">
        <v>0.1381986</v>
      </c>
      <c r="AJ357" s="3">
        <v>0.14225260000000001</v>
      </c>
      <c r="AK357" s="3">
        <v>0.14625740000000001</v>
      </c>
      <c r="AL357" s="3">
        <v>0.15020510000000001</v>
      </c>
      <c r="AM357" s="3">
        <v>0.1540878</v>
      </c>
      <c r="AN357" s="3">
        <v>0.1578977</v>
      </c>
      <c r="AO357" s="3">
        <v>0.16162799999999999</v>
      </c>
      <c r="AP357" s="3">
        <v>0.16527710000000001</v>
      </c>
      <c r="AQ357" s="3">
        <v>0.16884489999999999</v>
      </c>
      <c r="AR357" s="3">
        <v>0.17233080000000001</v>
      </c>
      <c r="AS357" s="3">
        <v>0.17573469999999999</v>
      </c>
      <c r="AT357" s="3">
        <v>0.1790561</v>
      </c>
      <c r="AU357" s="3">
        <v>0.18229490000000001</v>
      </c>
      <c r="AV357" s="3">
        <v>0.18545059999999999</v>
      </c>
      <c r="AW357" s="3">
        <v>0.18852289999999999</v>
      </c>
      <c r="AX357" s="3">
        <v>0.1915115</v>
      </c>
      <c r="AY357" s="3">
        <v>0.19441610000000001</v>
      </c>
      <c r="AZ357" s="3">
        <v>0.19723640000000001</v>
      </c>
      <c r="BA357" s="3">
        <v>0.1999725</v>
      </c>
      <c r="BB357" s="3">
        <v>0.2026268</v>
      </c>
      <c r="BC357" s="3">
        <v>0.20520269999999999</v>
      </c>
      <c r="BD357" s="3">
        <v>0.20770369999999999</v>
      </c>
      <c r="BE357" s="3">
        <v>0.21013309999999999</v>
      </c>
      <c r="BF357" s="3">
        <v>0.2124943</v>
      </c>
      <c r="BG357" s="3">
        <v>0.2147907</v>
      </c>
      <c r="BH357" s="3">
        <v>0.21702569999999999</v>
      </c>
      <c r="BI357" s="3">
        <v>0.2192026</v>
      </c>
      <c r="BJ357" s="3">
        <v>0.22132489999999999</v>
      </c>
      <c r="BK357" s="3">
        <v>0.22339600000000001</v>
      </c>
      <c r="BL357" s="3">
        <v>0.22541910000000001</v>
      </c>
      <c r="BM357" s="3" t="e">
        <v>#N/A</v>
      </c>
      <c r="BN357" s="3" t="e">
        <v>#N/A</v>
      </c>
    </row>
    <row r="358" spans="1:66" x14ac:dyDescent="0.35">
      <c r="A358" s="5">
        <f t="shared" si="5"/>
        <v>43956</v>
      </c>
      <c r="B358" t="s">
        <v>435</v>
      </c>
      <c r="C358" s="2">
        <v>0.1</v>
      </c>
      <c r="D358" s="2">
        <v>6.6500000000000004E-2</v>
      </c>
      <c r="E358" s="3">
        <v>6.4505099999999996E-2</v>
      </c>
      <c r="F358" s="3">
        <v>6.20461E-2</v>
      </c>
      <c r="G358" s="3">
        <v>5.9982599999999997E-2</v>
      </c>
      <c r="H358" s="3">
        <v>5.7695700000000003E-2</v>
      </c>
      <c r="I358" s="3">
        <v>5.5232400000000001E-2</v>
      </c>
      <c r="J358" s="3">
        <v>5.3056100000000002E-2</v>
      </c>
      <c r="K358" s="3">
        <v>5.16024E-2</v>
      </c>
      <c r="L358" s="3">
        <v>5.11625E-2</v>
      </c>
      <c r="M358" s="3">
        <v>5.1830899999999999E-2</v>
      </c>
      <c r="N358" s="3">
        <v>5.34455E-2</v>
      </c>
      <c r="O358" s="3">
        <v>5.5717799999999998E-2</v>
      </c>
      <c r="P358" s="3">
        <v>5.8327900000000002E-2</v>
      </c>
      <c r="Q358" s="3">
        <v>6.08E-2</v>
      </c>
      <c r="R358" s="3">
        <v>6.3081799999999993E-2</v>
      </c>
      <c r="S358" s="3">
        <v>6.5248299999999995E-2</v>
      </c>
      <c r="T358" s="3">
        <v>6.7374600000000007E-2</v>
      </c>
      <c r="U358" s="3">
        <v>6.9535700000000006E-2</v>
      </c>
      <c r="V358" s="3">
        <v>7.1806499999999995E-2</v>
      </c>
      <c r="W358" s="3">
        <v>7.4252600000000002E-2</v>
      </c>
      <c r="X358" s="3">
        <v>7.68953E-2</v>
      </c>
      <c r="Y358" s="3">
        <v>7.97432E-2</v>
      </c>
      <c r="Z358" s="3">
        <v>8.2804699999999995E-2</v>
      </c>
      <c r="AA358" s="3">
        <v>8.6088499999999998E-2</v>
      </c>
      <c r="AB358" s="3">
        <v>8.9603000000000002E-2</v>
      </c>
      <c r="AC358" s="3">
        <v>9.33504E-2</v>
      </c>
      <c r="AD358" s="3">
        <v>9.7306699999999996E-2</v>
      </c>
      <c r="AE358" s="3">
        <v>0.1014417</v>
      </c>
      <c r="AF358" s="3">
        <v>0.1057249</v>
      </c>
      <c r="AG358" s="3">
        <v>0.110126</v>
      </c>
      <c r="AH358" s="3">
        <v>0.1146146</v>
      </c>
      <c r="AI358" s="3">
        <v>0.1191605</v>
      </c>
      <c r="AJ358" s="3">
        <v>0.1237332</v>
      </c>
      <c r="AK358" s="3">
        <v>0.12830240000000001</v>
      </c>
      <c r="AL358" s="3">
        <v>0.1328377</v>
      </c>
      <c r="AM358" s="3">
        <v>0.13730890000000001</v>
      </c>
      <c r="AN358" s="3">
        <v>0.14168549999999999</v>
      </c>
      <c r="AO358" s="3">
        <v>0.14594260000000001</v>
      </c>
      <c r="AP358" s="3">
        <v>0.15007699999999999</v>
      </c>
      <c r="AQ358" s="3">
        <v>0.1540909</v>
      </c>
      <c r="AR358" s="3">
        <v>0.1579864</v>
      </c>
      <c r="AS358" s="3">
        <v>0.16176570000000001</v>
      </c>
      <c r="AT358" s="3">
        <v>0.1654311</v>
      </c>
      <c r="AU358" s="3">
        <v>0.16898460000000001</v>
      </c>
      <c r="AV358" s="3">
        <v>0.17242840000000001</v>
      </c>
      <c r="AW358" s="3">
        <v>0.1757648</v>
      </c>
      <c r="AX358" s="3">
        <v>0.17899590000000001</v>
      </c>
      <c r="AY358" s="3">
        <v>0.18212400000000001</v>
      </c>
      <c r="AZ358" s="3">
        <v>0.18515110000000001</v>
      </c>
      <c r="BA358" s="3">
        <v>0.18807969999999999</v>
      </c>
      <c r="BB358" s="3">
        <v>0.190913</v>
      </c>
      <c r="BC358" s="3">
        <v>0.19365479999999999</v>
      </c>
      <c r="BD358" s="3">
        <v>0.1963087</v>
      </c>
      <c r="BE358" s="3">
        <v>0.19887830000000001</v>
      </c>
      <c r="BF358" s="3">
        <v>0.2013674</v>
      </c>
      <c r="BG358" s="3">
        <v>0.20377960000000001</v>
      </c>
      <c r="BH358" s="3">
        <v>0.20611860000000001</v>
      </c>
      <c r="BI358" s="3">
        <v>0.20838789999999999</v>
      </c>
      <c r="BJ358" s="3">
        <v>0.21059140000000001</v>
      </c>
      <c r="BK358" s="3">
        <v>0.21273259999999999</v>
      </c>
      <c r="BL358" s="3">
        <v>0.21481520000000001</v>
      </c>
      <c r="BM358" s="3" t="e">
        <v>#N/A</v>
      </c>
      <c r="BN358" s="3" t="e">
        <v>#N/A</v>
      </c>
    </row>
    <row r="359" spans="1:66" x14ac:dyDescent="0.35">
      <c r="A359" s="5">
        <f t="shared" si="5"/>
        <v>43957</v>
      </c>
      <c r="B359" t="s">
        <v>436</v>
      </c>
      <c r="C359" s="2">
        <v>0.1</v>
      </c>
      <c r="D359" s="2">
        <v>6.6799999999999998E-2</v>
      </c>
      <c r="E359" s="3">
        <v>6.4125799999999997E-2</v>
      </c>
      <c r="F359" s="3">
        <v>6.07071E-2</v>
      </c>
      <c r="G359" s="3">
        <v>5.74292E-2</v>
      </c>
      <c r="H359" s="3">
        <v>5.37645E-2</v>
      </c>
      <c r="I359" s="3">
        <v>4.9917900000000001E-2</v>
      </c>
      <c r="J359" s="3">
        <v>4.6292100000000003E-2</v>
      </c>
      <c r="K359" s="3">
        <v>4.3545199999999999E-2</v>
      </c>
      <c r="L359" s="3">
        <v>4.2149699999999998E-2</v>
      </c>
      <c r="M359" s="3">
        <v>4.2152299999999997E-2</v>
      </c>
      <c r="N359" s="3">
        <v>4.3348299999999999E-2</v>
      </c>
      <c r="O359" s="3">
        <v>4.5340900000000003E-2</v>
      </c>
      <c r="P359" s="3">
        <v>4.7797800000000001E-2</v>
      </c>
      <c r="Q359" s="3">
        <v>5.0400899999999998E-2</v>
      </c>
      <c r="R359" s="3">
        <v>5.3091699999999999E-2</v>
      </c>
      <c r="S359" s="3">
        <v>5.5883200000000001E-2</v>
      </c>
      <c r="T359" s="3">
        <v>5.8788100000000003E-2</v>
      </c>
      <c r="U359" s="3">
        <v>6.1819600000000002E-2</v>
      </c>
      <c r="V359" s="3">
        <v>6.4990599999999996E-2</v>
      </c>
      <c r="W359" s="3">
        <v>6.8313499999999999E-2</v>
      </c>
      <c r="X359" s="3">
        <v>7.1796899999999997E-2</v>
      </c>
      <c r="Y359" s="3">
        <v>7.5448500000000002E-2</v>
      </c>
      <c r="Z359" s="3">
        <v>7.9275999999999999E-2</v>
      </c>
      <c r="AA359" s="3">
        <v>8.3286700000000005E-2</v>
      </c>
      <c r="AB359" s="3">
        <v>8.7488399999999994E-2</v>
      </c>
      <c r="AC359" s="3">
        <v>9.1883400000000004E-2</v>
      </c>
      <c r="AD359" s="3">
        <v>9.6453700000000003E-2</v>
      </c>
      <c r="AE359" s="3">
        <v>0.10117619999999999</v>
      </c>
      <c r="AF359" s="3">
        <v>0.1060275</v>
      </c>
      <c r="AG359" s="3">
        <v>0.1109846</v>
      </c>
      <c r="AH359" s="3">
        <v>0.1160243</v>
      </c>
      <c r="AI359" s="3">
        <v>0.1211233</v>
      </c>
      <c r="AJ359" s="3">
        <v>0.1262585</v>
      </c>
      <c r="AK359" s="3">
        <v>0.13140669999999999</v>
      </c>
      <c r="AL359" s="3">
        <v>0.13654479999999999</v>
      </c>
      <c r="AM359" s="3">
        <v>0.14164940000000001</v>
      </c>
      <c r="AN359" s="3">
        <v>0.14669750000000001</v>
      </c>
      <c r="AO359" s="3">
        <v>0.15166859999999999</v>
      </c>
      <c r="AP359" s="3">
        <v>0.15655530000000001</v>
      </c>
      <c r="AQ359" s="3">
        <v>0.16135430000000001</v>
      </c>
      <c r="AR359" s="3">
        <v>0.16606219999999999</v>
      </c>
      <c r="AS359" s="3">
        <v>0.17067570000000001</v>
      </c>
      <c r="AT359" s="3">
        <v>0.1751915</v>
      </c>
      <c r="AU359" s="3">
        <v>0.17960619999999999</v>
      </c>
      <c r="AV359" s="3">
        <v>0.18391640000000001</v>
      </c>
      <c r="AW359" s="3">
        <v>0.18811890000000001</v>
      </c>
      <c r="AX359" s="3">
        <v>0.1922102</v>
      </c>
      <c r="AY359" s="3">
        <v>0.1961871</v>
      </c>
      <c r="AZ359" s="3">
        <v>0.20004620000000001</v>
      </c>
      <c r="BA359" s="3">
        <v>0.2037852</v>
      </c>
      <c r="BB359" s="3">
        <v>0.20740700000000001</v>
      </c>
      <c r="BC359" s="3">
        <v>0.21091589999999999</v>
      </c>
      <c r="BD359" s="3">
        <v>0.21431639999999999</v>
      </c>
      <c r="BE359" s="3">
        <v>0.2176128</v>
      </c>
      <c r="BF359" s="3">
        <v>0.22080959999999999</v>
      </c>
      <c r="BG359" s="3">
        <v>0.2239112</v>
      </c>
      <c r="BH359" s="3">
        <v>0.22692190000000001</v>
      </c>
      <c r="BI359" s="3">
        <v>0.2298462</v>
      </c>
      <c r="BJ359" s="3">
        <v>0.23268839999999999</v>
      </c>
      <c r="BK359" s="3">
        <v>0.235453</v>
      </c>
      <c r="BL359" s="3">
        <v>0.23814440000000001</v>
      </c>
      <c r="BM359" s="3" t="e">
        <v>#N/A</v>
      </c>
      <c r="BN359" s="3" t="e">
        <v>#N/A</v>
      </c>
    </row>
    <row r="360" spans="1:66" x14ac:dyDescent="0.35">
      <c r="A360" s="5">
        <f t="shared" si="5"/>
        <v>43958</v>
      </c>
      <c r="B360" t="s">
        <v>437</v>
      </c>
      <c r="C360" s="2">
        <v>0.1</v>
      </c>
      <c r="D360" s="2">
        <v>6.7400000000000002E-2</v>
      </c>
      <c r="E360" s="3">
        <v>6.5197400000000003E-2</v>
      </c>
      <c r="F360" s="3">
        <v>6.3543699999999995E-2</v>
      </c>
      <c r="G360" s="3">
        <v>6.1996799999999998E-2</v>
      </c>
      <c r="H360" s="3">
        <v>6.0032700000000001E-2</v>
      </c>
      <c r="I360" s="3">
        <v>5.7406499999999999E-2</v>
      </c>
      <c r="J360" s="3">
        <v>5.4374199999999998E-2</v>
      </c>
      <c r="K360" s="3">
        <v>5.1440800000000002E-2</v>
      </c>
      <c r="L360" s="3">
        <v>4.9086900000000003E-2</v>
      </c>
      <c r="M360" s="3">
        <v>4.74375E-2</v>
      </c>
      <c r="N360" s="3">
        <v>4.6393700000000003E-2</v>
      </c>
      <c r="O360" s="3">
        <v>4.5802099999999998E-2</v>
      </c>
      <c r="P360" s="3">
        <v>4.5551000000000001E-2</v>
      </c>
      <c r="Q360" s="3">
        <v>4.5527600000000001E-2</v>
      </c>
      <c r="R360" s="3">
        <v>4.5735600000000001E-2</v>
      </c>
      <c r="S360" s="3">
        <v>4.6211599999999999E-2</v>
      </c>
      <c r="T360" s="3">
        <v>4.69918E-2</v>
      </c>
      <c r="U360" s="3">
        <v>4.8112799999999997E-2</v>
      </c>
      <c r="V360" s="3">
        <v>4.9611000000000002E-2</v>
      </c>
      <c r="W360" s="3">
        <v>5.15158E-2</v>
      </c>
      <c r="X360" s="3">
        <v>5.3821099999999997E-2</v>
      </c>
      <c r="Y360" s="3">
        <v>5.6509299999999998E-2</v>
      </c>
      <c r="Z360" s="3">
        <v>5.9562900000000002E-2</v>
      </c>
      <c r="AA360" s="3">
        <v>6.2964400000000004E-2</v>
      </c>
      <c r="AB360" s="3">
        <v>6.6696099999999994E-2</v>
      </c>
      <c r="AC360" s="3">
        <v>7.0738200000000001E-2</v>
      </c>
      <c r="AD360" s="3">
        <v>7.5058899999999998E-2</v>
      </c>
      <c r="AE360" s="3">
        <v>7.9622700000000005E-2</v>
      </c>
      <c r="AF360" s="3">
        <v>8.4394399999999994E-2</v>
      </c>
      <c r="AG360" s="3">
        <v>8.9338600000000004E-2</v>
      </c>
      <c r="AH360" s="3">
        <v>9.4419900000000001E-2</v>
      </c>
      <c r="AI360" s="3">
        <v>9.9602999999999997E-2</v>
      </c>
      <c r="AJ360" s="3">
        <v>0.1048526</v>
      </c>
      <c r="AK360" s="3">
        <v>0.1101332</v>
      </c>
      <c r="AL360" s="3">
        <v>0.1154095</v>
      </c>
      <c r="AM360" s="3">
        <v>0.12064610000000001</v>
      </c>
      <c r="AN360" s="3">
        <v>0.1258078</v>
      </c>
      <c r="AO360" s="3">
        <v>0.13086439999999999</v>
      </c>
      <c r="AP360" s="3">
        <v>0.1358096</v>
      </c>
      <c r="AQ360" s="3">
        <v>0.1406433</v>
      </c>
      <c r="AR360" s="3">
        <v>0.14536569999999999</v>
      </c>
      <c r="AS360" s="3">
        <v>0.14997679999999999</v>
      </c>
      <c r="AT360" s="3">
        <v>0.15447659999999999</v>
      </c>
      <c r="AU360" s="3">
        <v>0.15886520000000001</v>
      </c>
      <c r="AV360" s="3">
        <v>0.1631426</v>
      </c>
      <c r="AW360" s="3">
        <v>0.16730900000000001</v>
      </c>
      <c r="AX360" s="3">
        <v>0.1713643</v>
      </c>
      <c r="AY360" s="3">
        <v>0.17530860000000001</v>
      </c>
      <c r="AZ360" s="3">
        <v>0.179142</v>
      </c>
      <c r="BA360" s="3">
        <v>0.182865</v>
      </c>
      <c r="BB360" s="3">
        <v>0.18648039999999999</v>
      </c>
      <c r="BC360" s="3">
        <v>0.18999170000000001</v>
      </c>
      <c r="BD360" s="3">
        <v>0.1934022</v>
      </c>
      <c r="BE360" s="3">
        <v>0.19671530000000001</v>
      </c>
      <c r="BF360" s="3">
        <v>0.19993449999999999</v>
      </c>
      <c r="BG360" s="3">
        <v>0.2030632</v>
      </c>
      <c r="BH360" s="3">
        <v>0.2061048</v>
      </c>
      <c r="BI360" s="3">
        <v>0.20906259999999999</v>
      </c>
      <c r="BJ360" s="3">
        <v>0.2119402</v>
      </c>
      <c r="BK360" s="3">
        <v>0.21474090000000001</v>
      </c>
      <c r="BL360" s="3">
        <v>0.2174682</v>
      </c>
      <c r="BM360" s="3" t="e">
        <v>#N/A</v>
      </c>
      <c r="BN360" s="3" t="e">
        <v>#N/A</v>
      </c>
    </row>
    <row r="361" spans="1:66" x14ac:dyDescent="0.35">
      <c r="A361" s="5">
        <f t="shared" si="5"/>
        <v>43959</v>
      </c>
      <c r="B361" t="s">
        <v>438</v>
      </c>
      <c r="C361" s="2">
        <v>0.1</v>
      </c>
      <c r="D361" s="2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  <c r="P361" s="3" t="e">
        <v>#N/A</v>
      </c>
      <c r="Q361" s="3" t="e">
        <v>#N/A</v>
      </c>
      <c r="R361" s="3" t="e">
        <v>#N/A</v>
      </c>
      <c r="S361" s="3" t="e">
        <v>#N/A</v>
      </c>
      <c r="T361" s="3" t="e">
        <v>#N/A</v>
      </c>
      <c r="U361" s="3" t="e">
        <v>#N/A</v>
      </c>
      <c r="V361" s="3" t="e">
        <v>#N/A</v>
      </c>
      <c r="W361" s="3" t="e">
        <v>#N/A</v>
      </c>
      <c r="X361" s="3" t="e">
        <v>#N/A</v>
      </c>
      <c r="Y361" s="3" t="e">
        <v>#N/A</v>
      </c>
      <c r="Z361" s="3" t="e">
        <v>#N/A</v>
      </c>
      <c r="AA361" s="3" t="e">
        <v>#N/A</v>
      </c>
      <c r="AB361" s="3" t="e">
        <v>#N/A</v>
      </c>
      <c r="AC361" s="3" t="e">
        <v>#N/A</v>
      </c>
      <c r="AD361" s="3" t="e">
        <v>#N/A</v>
      </c>
      <c r="AE361" s="3" t="e">
        <v>#N/A</v>
      </c>
      <c r="AF361" s="3" t="e">
        <v>#N/A</v>
      </c>
      <c r="AG361" s="3" t="e">
        <v>#N/A</v>
      </c>
      <c r="AH361" s="3" t="e">
        <v>#N/A</v>
      </c>
      <c r="AI361" s="3" t="e">
        <v>#N/A</v>
      </c>
      <c r="AJ361" s="3" t="e">
        <v>#N/A</v>
      </c>
      <c r="AK361" s="3" t="e">
        <v>#N/A</v>
      </c>
      <c r="AL361" s="3" t="e">
        <v>#N/A</v>
      </c>
      <c r="AM361" s="3" t="e">
        <v>#N/A</v>
      </c>
      <c r="AN361" s="3" t="e">
        <v>#N/A</v>
      </c>
      <c r="AO361" s="3" t="e">
        <v>#N/A</v>
      </c>
      <c r="AP361" s="3" t="e">
        <v>#N/A</v>
      </c>
      <c r="AQ361" s="3" t="e">
        <v>#N/A</v>
      </c>
      <c r="AR361" s="3" t="e">
        <v>#N/A</v>
      </c>
      <c r="AS361" s="3" t="e">
        <v>#N/A</v>
      </c>
      <c r="AT361" s="3" t="e">
        <v>#N/A</v>
      </c>
      <c r="AU361" s="3" t="e">
        <v>#N/A</v>
      </c>
      <c r="AV361" s="3" t="e">
        <v>#N/A</v>
      </c>
      <c r="AW361" s="3" t="e">
        <v>#N/A</v>
      </c>
      <c r="AX361" s="3" t="e">
        <v>#N/A</v>
      </c>
      <c r="AY361" s="3" t="e">
        <v>#N/A</v>
      </c>
      <c r="AZ361" s="3" t="e">
        <v>#N/A</v>
      </c>
      <c r="BA361" s="3" t="e">
        <v>#N/A</v>
      </c>
      <c r="BB361" s="3" t="e">
        <v>#N/A</v>
      </c>
      <c r="BC361" s="3" t="e">
        <v>#N/A</v>
      </c>
      <c r="BD361" s="3" t="e">
        <v>#N/A</v>
      </c>
      <c r="BE361" s="3" t="e">
        <v>#N/A</v>
      </c>
      <c r="BF361" s="3" t="e">
        <v>#N/A</v>
      </c>
      <c r="BG361" s="3" t="e">
        <v>#N/A</v>
      </c>
      <c r="BH361" s="3" t="e">
        <v>#N/A</v>
      </c>
      <c r="BI361" s="3" t="e">
        <v>#N/A</v>
      </c>
      <c r="BJ361" s="3" t="e">
        <v>#N/A</v>
      </c>
      <c r="BK361" s="3" t="e">
        <v>#N/A</v>
      </c>
      <c r="BL361" s="3" t="e">
        <v>#N/A</v>
      </c>
      <c r="BM361" s="3" t="e">
        <v>#N/A</v>
      </c>
      <c r="BN361" s="3" t="e">
        <v>#N/A</v>
      </c>
    </row>
    <row r="362" spans="1:66" x14ac:dyDescent="0.35">
      <c r="A362" s="5">
        <f t="shared" si="5"/>
        <v>43962</v>
      </c>
      <c r="B362" t="s">
        <v>439</v>
      </c>
      <c r="C362" s="2">
        <v>0.1</v>
      </c>
      <c r="D362" s="2">
        <v>6.6699999999999995E-2</v>
      </c>
      <c r="E362" s="3">
        <v>6.5030099999999993E-2</v>
      </c>
      <c r="F362" s="3">
        <v>6.3778299999999996E-2</v>
      </c>
      <c r="G362" s="3">
        <v>6.1942299999999999E-2</v>
      </c>
      <c r="H362" s="3">
        <v>5.8857399999999997E-2</v>
      </c>
      <c r="I362" s="3">
        <v>5.4293800000000003E-2</v>
      </c>
      <c r="J362" s="3">
        <v>4.8754600000000002E-2</v>
      </c>
      <c r="K362" s="3">
        <v>4.3411900000000003E-2</v>
      </c>
      <c r="L362" s="3">
        <v>4.0009999999999997E-2</v>
      </c>
      <c r="M362" s="3">
        <v>3.8980599999999997E-2</v>
      </c>
      <c r="N362" s="3">
        <v>3.9511600000000001E-2</v>
      </c>
      <c r="O362" s="3">
        <v>4.0874800000000003E-2</v>
      </c>
      <c r="P362" s="3">
        <v>4.2671399999999998E-2</v>
      </c>
      <c r="Q362" s="3">
        <v>4.4937199999999997E-2</v>
      </c>
      <c r="R362" s="3">
        <v>4.7646500000000001E-2</v>
      </c>
      <c r="S362" s="3">
        <v>5.0725800000000001E-2</v>
      </c>
      <c r="T362" s="3">
        <v>5.4101299999999998E-2</v>
      </c>
      <c r="U362" s="3">
        <v>5.7699599999999997E-2</v>
      </c>
      <c r="V362" s="3">
        <v>6.1447000000000002E-2</v>
      </c>
      <c r="W362" s="3">
        <v>6.5281800000000001E-2</v>
      </c>
      <c r="X362" s="3">
        <v>6.9197900000000007E-2</v>
      </c>
      <c r="Y362" s="3">
        <v>7.3205000000000006E-2</v>
      </c>
      <c r="Z362" s="3">
        <v>7.7313000000000007E-2</v>
      </c>
      <c r="AA362" s="3">
        <v>8.1531699999999999E-2</v>
      </c>
      <c r="AB362" s="3">
        <v>8.5870799999999997E-2</v>
      </c>
      <c r="AC362" s="3">
        <v>9.0337600000000004E-2</v>
      </c>
      <c r="AD362" s="3">
        <v>9.4928600000000002E-2</v>
      </c>
      <c r="AE362" s="3">
        <v>9.9637699999999996E-2</v>
      </c>
      <c r="AF362" s="3">
        <v>0.1044586</v>
      </c>
      <c r="AG362" s="3">
        <v>0.1093853</v>
      </c>
      <c r="AH362" s="3">
        <v>0.11441170000000001</v>
      </c>
      <c r="AI362" s="3">
        <v>0.1195315</v>
      </c>
      <c r="AJ362" s="3">
        <v>0.12473869999999999</v>
      </c>
      <c r="AK362" s="3">
        <v>0.13002710000000001</v>
      </c>
      <c r="AL362" s="3">
        <v>0.1353906</v>
      </c>
      <c r="AM362" s="3">
        <v>0.140823</v>
      </c>
      <c r="AN362" s="3">
        <v>0.14631820000000001</v>
      </c>
      <c r="AO362" s="3">
        <v>0.1518689</v>
      </c>
      <c r="AP362" s="3">
        <v>0.15746270000000001</v>
      </c>
      <c r="AQ362" s="3">
        <v>0.16308610000000001</v>
      </c>
      <c r="AR362" s="3">
        <v>0.16872570000000001</v>
      </c>
      <c r="AS362" s="3">
        <v>0.17436779999999999</v>
      </c>
      <c r="AT362" s="3">
        <v>0.17999889999999999</v>
      </c>
      <c r="AU362" s="3">
        <v>0.18560560000000001</v>
      </c>
      <c r="AV362" s="3">
        <v>0.19117429999999999</v>
      </c>
      <c r="AW362" s="3">
        <v>0.19669149999999999</v>
      </c>
      <c r="AX362" s="3">
        <v>0.20214370000000001</v>
      </c>
      <c r="AY362" s="3">
        <v>0.20751729999999999</v>
      </c>
      <c r="AZ362" s="3">
        <v>0.21279890000000001</v>
      </c>
      <c r="BA362" s="3">
        <v>0.2179767</v>
      </c>
      <c r="BB362" s="3">
        <v>0.22304840000000001</v>
      </c>
      <c r="BC362" s="3">
        <v>0.2280153</v>
      </c>
      <c r="BD362" s="3">
        <v>0.23287840000000001</v>
      </c>
      <c r="BE362" s="3">
        <v>0.23763880000000001</v>
      </c>
      <c r="BF362" s="3">
        <v>0.2422975</v>
      </c>
      <c r="BG362" s="3">
        <v>0.24685550000000001</v>
      </c>
      <c r="BH362" s="3">
        <v>0.25131409999999998</v>
      </c>
      <c r="BI362" s="3">
        <v>0.25567420000000002</v>
      </c>
      <c r="BJ362" s="3">
        <v>0.25993690000000003</v>
      </c>
      <c r="BK362" s="3">
        <v>0.26410339999999999</v>
      </c>
      <c r="BL362" s="3">
        <v>0.26817459999999999</v>
      </c>
      <c r="BM362" s="3" t="e">
        <v>#N/A</v>
      </c>
      <c r="BN362" s="3" t="e">
        <v>#N/A</v>
      </c>
    </row>
    <row r="363" spans="1:66" x14ac:dyDescent="0.35">
      <c r="A363" s="5">
        <f t="shared" si="5"/>
        <v>43963</v>
      </c>
      <c r="B363" t="s">
        <v>440</v>
      </c>
      <c r="C363" s="2">
        <v>0.1</v>
      </c>
      <c r="D363" s="2">
        <v>6.6699999999999995E-2</v>
      </c>
      <c r="E363" s="3">
        <v>6.5624799999999997E-2</v>
      </c>
      <c r="F363" s="3">
        <v>6.3638700000000006E-2</v>
      </c>
      <c r="G363" s="3">
        <v>6.148E-2</v>
      </c>
      <c r="H363" s="3">
        <v>5.79953E-2</v>
      </c>
      <c r="I363" s="3">
        <v>5.2629500000000003E-2</v>
      </c>
      <c r="J363" s="3">
        <v>4.5891399999999999E-2</v>
      </c>
      <c r="K363" s="3">
        <v>3.8685600000000001E-2</v>
      </c>
      <c r="L363" s="3">
        <v>3.1909100000000003E-2</v>
      </c>
      <c r="M363" s="3">
        <v>2.6130199999999999E-2</v>
      </c>
      <c r="N363" s="3">
        <v>2.1549100000000002E-2</v>
      </c>
      <c r="O363" s="3">
        <v>1.8196E-2</v>
      </c>
      <c r="P363" s="3">
        <v>1.59755E-2</v>
      </c>
      <c r="Q363" s="3">
        <v>1.45898E-2</v>
      </c>
      <c r="R363" s="3">
        <v>1.3924600000000001E-2</v>
      </c>
      <c r="S363" s="3">
        <v>1.39279E-2</v>
      </c>
      <c r="T363" s="3">
        <v>1.45477E-2</v>
      </c>
      <c r="U363" s="3">
        <v>1.5732199999999998E-2</v>
      </c>
      <c r="V363" s="3">
        <v>1.7429400000000001E-2</v>
      </c>
      <c r="W363" s="3">
        <v>1.9593099999999999E-2</v>
      </c>
      <c r="X363" s="3">
        <v>2.22043E-2</v>
      </c>
      <c r="Y363" s="3">
        <v>2.52515E-2</v>
      </c>
      <c r="Z363" s="3">
        <v>2.8723499999999999E-2</v>
      </c>
      <c r="AA363" s="3">
        <v>3.2608699999999997E-2</v>
      </c>
      <c r="AB363" s="3">
        <v>3.6895999999999998E-2</v>
      </c>
      <c r="AC363" s="3">
        <v>4.15699E-2</v>
      </c>
      <c r="AD363" s="3">
        <v>4.6599300000000003E-2</v>
      </c>
      <c r="AE363" s="3">
        <v>5.1948800000000003E-2</v>
      </c>
      <c r="AF363" s="3">
        <v>5.7583200000000001E-2</v>
      </c>
      <c r="AG363" s="3">
        <v>6.3467300000000004E-2</v>
      </c>
      <c r="AH363" s="3">
        <v>6.9565799999999997E-2</v>
      </c>
      <c r="AI363" s="3">
        <v>7.5843599999999997E-2</v>
      </c>
      <c r="AJ363" s="3">
        <v>8.22653E-2</v>
      </c>
      <c r="AK363" s="3">
        <v>8.8795700000000005E-2</v>
      </c>
      <c r="AL363" s="3">
        <v>9.5399600000000001E-2</v>
      </c>
      <c r="AM363" s="3">
        <v>0.1020418</v>
      </c>
      <c r="AN363" s="3">
        <v>0.1086869</v>
      </c>
      <c r="AO363" s="3">
        <v>0.1153039</v>
      </c>
      <c r="AP363" s="3">
        <v>0.1218774</v>
      </c>
      <c r="AQ363" s="3">
        <v>0.12839639999999999</v>
      </c>
      <c r="AR363" s="3">
        <v>0.13484969999999999</v>
      </c>
      <c r="AS363" s="3">
        <v>0.14122599999999999</v>
      </c>
      <c r="AT363" s="3">
        <v>0.14751439999999999</v>
      </c>
      <c r="AU363" s="3">
        <v>0.15370349999999999</v>
      </c>
      <c r="AV363" s="3">
        <v>0.15978229999999999</v>
      </c>
      <c r="AW363" s="3">
        <v>0.16573959999999999</v>
      </c>
      <c r="AX363" s="3">
        <v>0.1715642</v>
      </c>
      <c r="AY363" s="3">
        <v>0.17724500000000001</v>
      </c>
      <c r="AZ363" s="3">
        <v>0.18277080000000001</v>
      </c>
      <c r="BA363" s="3">
        <v>0.18813250000000001</v>
      </c>
      <c r="BB363" s="3">
        <v>0.19333120000000001</v>
      </c>
      <c r="BC363" s="3">
        <v>0.1983712</v>
      </c>
      <c r="BD363" s="3">
        <v>0.20325660000000001</v>
      </c>
      <c r="BE363" s="3">
        <v>0.2079915</v>
      </c>
      <c r="BF363" s="3">
        <v>0.2125803</v>
      </c>
      <c r="BG363" s="3">
        <v>0.2170271</v>
      </c>
      <c r="BH363" s="3">
        <v>0.221336</v>
      </c>
      <c r="BI363" s="3">
        <v>0.2255113</v>
      </c>
      <c r="BJ363" s="3">
        <v>0.22955719999999999</v>
      </c>
      <c r="BK363" s="3">
        <v>0.23347780000000001</v>
      </c>
      <c r="BL363" s="3">
        <v>0.2372774</v>
      </c>
      <c r="BM363" s="3" t="e">
        <v>#N/A</v>
      </c>
      <c r="BN363" s="3" t="e">
        <v>#N/A</v>
      </c>
    </row>
    <row r="364" spans="1:66" x14ac:dyDescent="0.35">
      <c r="A364" s="5">
        <f t="shared" si="5"/>
        <v>43964</v>
      </c>
      <c r="B364" t="s">
        <v>441</v>
      </c>
      <c r="C364" s="2">
        <v>0.1</v>
      </c>
      <c r="D364" s="2">
        <v>6.8400000000000002E-2</v>
      </c>
      <c r="E364" s="3">
        <v>6.7133899999999996E-2</v>
      </c>
      <c r="F364" s="3">
        <v>6.4197599999999994E-2</v>
      </c>
      <c r="G364" s="3">
        <v>5.8890900000000003E-2</v>
      </c>
      <c r="H364" s="3">
        <v>5.03638E-2</v>
      </c>
      <c r="I364" s="3">
        <v>3.9605700000000001E-2</v>
      </c>
      <c r="J364" s="3">
        <v>2.81643E-2</v>
      </c>
      <c r="K364" s="3">
        <v>1.7223800000000001E-2</v>
      </c>
      <c r="L364" s="3">
        <v>7.5312E-3</v>
      </c>
      <c r="M364" s="3">
        <v>-6.4389999999999998E-4</v>
      </c>
      <c r="N364" s="3">
        <v>-7.2757999999999998E-3</v>
      </c>
      <c r="O364" s="3">
        <v>-1.25288E-2</v>
      </c>
      <c r="P364" s="3">
        <v>-1.6499799999999998E-2</v>
      </c>
      <c r="Q364" s="3">
        <v>-1.94082E-2</v>
      </c>
      <c r="R364" s="3">
        <v>-2.13548E-2</v>
      </c>
      <c r="S364" s="3">
        <v>-2.2395999999999999E-2</v>
      </c>
      <c r="T364" s="3">
        <v>-2.2588199999999999E-2</v>
      </c>
      <c r="U364" s="3">
        <v>-2.19876E-2</v>
      </c>
      <c r="V364" s="3">
        <v>-2.0650600000000002E-2</v>
      </c>
      <c r="W364" s="3">
        <v>-1.8633299999999998E-2</v>
      </c>
      <c r="X364" s="3">
        <v>-1.5989400000000001E-2</v>
      </c>
      <c r="Y364" s="3">
        <v>-1.27723E-2</v>
      </c>
      <c r="Z364" s="3">
        <v>-9.0349999999999996E-3</v>
      </c>
      <c r="AA364" s="3">
        <v>-4.8307000000000003E-3</v>
      </c>
      <c r="AB364" s="3">
        <v>-2.1259999999999999E-4</v>
      </c>
      <c r="AC364" s="3">
        <v>4.7692000000000003E-3</v>
      </c>
      <c r="AD364" s="3">
        <v>1.0076999999999999E-2</v>
      </c>
      <c r="AE364" s="3">
        <v>1.5676099999999998E-2</v>
      </c>
      <c r="AF364" s="3">
        <v>2.1531700000000001E-2</v>
      </c>
      <c r="AG364" s="3">
        <v>2.76093E-2</v>
      </c>
      <c r="AH364" s="3">
        <v>3.38742E-2</v>
      </c>
      <c r="AI364" s="3">
        <v>4.0291599999999997E-2</v>
      </c>
      <c r="AJ364" s="3">
        <v>4.6826800000000002E-2</v>
      </c>
      <c r="AK364" s="3">
        <v>5.3445300000000001E-2</v>
      </c>
      <c r="AL364" s="3">
        <v>6.0112199999999998E-2</v>
      </c>
      <c r="AM364" s="3">
        <v>6.6793000000000005E-2</v>
      </c>
      <c r="AN364" s="3">
        <v>7.3452900000000002E-2</v>
      </c>
      <c r="AO364" s="3">
        <v>8.0060500000000007E-2</v>
      </c>
      <c r="AP364" s="3">
        <v>8.6600499999999997E-2</v>
      </c>
      <c r="AQ364" s="3">
        <v>9.3062199999999998E-2</v>
      </c>
      <c r="AR364" s="3">
        <v>9.9435099999999998E-2</v>
      </c>
      <c r="AS364" s="3">
        <v>0.1057087</v>
      </c>
      <c r="AT364" s="3">
        <v>0.11187229999999999</v>
      </c>
      <c r="AU364" s="3">
        <v>0.11791550000000001</v>
      </c>
      <c r="AV364" s="3">
        <v>0.1238276</v>
      </c>
      <c r="AW364" s="3">
        <v>0.1295982</v>
      </c>
      <c r="AX364" s="3">
        <v>0.13521649999999999</v>
      </c>
      <c r="AY364" s="3">
        <v>0.1406722</v>
      </c>
      <c r="AZ364" s="3">
        <v>0.14595459999999999</v>
      </c>
      <c r="BA364" s="3">
        <v>0.15105569999999999</v>
      </c>
      <c r="BB364" s="3">
        <v>0.15597800000000001</v>
      </c>
      <c r="BC364" s="3">
        <v>0.16072739999999999</v>
      </c>
      <c r="BD364" s="3">
        <v>0.1653094</v>
      </c>
      <c r="BE364" s="3">
        <v>0.16972970000000001</v>
      </c>
      <c r="BF364" s="3">
        <v>0.17399400000000001</v>
      </c>
      <c r="BG364" s="3">
        <v>0.17810799999999999</v>
      </c>
      <c r="BH364" s="3">
        <v>0.18207719999999999</v>
      </c>
      <c r="BI364" s="3">
        <v>0.1859075</v>
      </c>
      <c r="BJ364" s="3">
        <v>0.18960450000000001</v>
      </c>
      <c r="BK364" s="3">
        <v>0.19317380000000001</v>
      </c>
      <c r="BL364" s="3">
        <v>0.19662099999999999</v>
      </c>
      <c r="BM364" s="3" t="e">
        <v>#N/A</v>
      </c>
      <c r="BN364" s="3" t="e">
        <v>#N/A</v>
      </c>
    </row>
    <row r="365" spans="1:66" x14ac:dyDescent="0.35">
      <c r="A365" s="5">
        <f t="shared" si="5"/>
        <v>43965</v>
      </c>
      <c r="B365" t="s">
        <v>442</v>
      </c>
      <c r="C365" s="2">
        <v>0.1</v>
      </c>
      <c r="D365" s="2">
        <v>6.7199999999999996E-2</v>
      </c>
      <c r="E365" s="3">
        <v>6.5661600000000001E-2</v>
      </c>
      <c r="F365" s="3">
        <v>6.2934100000000007E-2</v>
      </c>
      <c r="G365" s="3">
        <v>5.9119600000000001E-2</v>
      </c>
      <c r="H365" s="3">
        <v>5.2171200000000001E-2</v>
      </c>
      <c r="I365" s="3">
        <v>4.1836199999999997E-2</v>
      </c>
      <c r="J365" s="3">
        <v>3.0204999999999999E-2</v>
      </c>
      <c r="K365" s="3">
        <v>1.9578999999999999E-2</v>
      </c>
      <c r="L365" s="3">
        <v>1.13872E-2</v>
      </c>
      <c r="M365" s="3">
        <v>5.9902999999999996E-3</v>
      </c>
      <c r="N365" s="3">
        <v>3.1586000000000001E-3</v>
      </c>
      <c r="O365" s="3">
        <v>2.2756999999999999E-3</v>
      </c>
      <c r="P365" s="3">
        <v>2.6538E-3</v>
      </c>
      <c r="Q365" s="3">
        <v>3.1560999999999998E-3</v>
      </c>
      <c r="R365" s="3">
        <v>3.5867E-3</v>
      </c>
      <c r="S365" s="3">
        <v>4.0375999999999997E-3</v>
      </c>
      <c r="T365" s="3">
        <v>4.6002999999999999E-3</v>
      </c>
      <c r="U365" s="3">
        <v>5.3664999999999997E-3</v>
      </c>
      <c r="V365" s="3">
        <v>6.4281E-3</v>
      </c>
      <c r="W365" s="3">
        <v>7.8670000000000007E-3</v>
      </c>
      <c r="X365" s="3">
        <v>9.7167E-3</v>
      </c>
      <c r="Y365" s="3">
        <v>1.19945E-2</v>
      </c>
      <c r="Z365" s="3">
        <v>1.4718E-2</v>
      </c>
      <c r="AA365" s="3">
        <v>1.7904799999999998E-2</v>
      </c>
      <c r="AB365" s="3">
        <v>2.1572399999999999E-2</v>
      </c>
      <c r="AC365" s="3">
        <v>2.5728999999999998E-2</v>
      </c>
      <c r="AD365" s="3">
        <v>3.0336800000000001E-2</v>
      </c>
      <c r="AE365" s="3">
        <v>3.5344199999999999E-2</v>
      </c>
      <c r="AF365" s="3">
        <v>4.0699300000000001E-2</v>
      </c>
      <c r="AG365" s="3">
        <v>4.6350599999999999E-2</v>
      </c>
      <c r="AH365" s="3">
        <v>5.2246399999999998E-2</v>
      </c>
      <c r="AI365" s="3">
        <v>5.8334900000000002E-2</v>
      </c>
      <c r="AJ365" s="3">
        <v>6.4564499999999997E-2</v>
      </c>
      <c r="AK365" s="3">
        <v>7.0883399999999999E-2</v>
      </c>
      <c r="AL365" s="3">
        <v>7.7240000000000003E-2</v>
      </c>
      <c r="AM365" s="3">
        <v>8.3582600000000007E-2</v>
      </c>
      <c r="AN365" s="3">
        <v>8.9859400000000006E-2</v>
      </c>
      <c r="AO365" s="3">
        <v>9.6026E-2</v>
      </c>
      <c r="AP365" s="3">
        <v>0.10206899999999999</v>
      </c>
      <c r="AQ365" s="3">
        <v>0.1079841</v>
      </c>
      <c r="AR365" s="3">
        <v>0.1137668</v>
      </c>
      <c r="AS365" s="3">
        <v>0.1194125</v>
      </c>
      <c r="AT365" s="3">
        <v>0.1249166</v>
      </c>
      <c r="AU365" s="3">
        <v>0.1302749</v>
      </c>
      <c r="AV365" s="3">
        <v>0.13548260000000001</v>
      </c>
      <c r="AW365" s="3">
        <v>0.1405353</v>
      </c>
      <c r="AX365" s="3">
        <v>0.14542859999999999</v>
      </c>
      <c r="AY365" s="3">
        <v>0.15015790000000001</v>
      </c>
      <c r="AZ365" s="3">
        <v>0.15471869999999999</v>
      </c>
      <c r="BA365" s="3">
        <v>0.15910830000000001</v>
      </c>
      <c r="BB365" s="3">
        <v>0.16333159999999999</v>
      </c>
      <c r="BC365" s="3">
        <v>0.16739599999999999</v>
      </c>
      <c r="BD365" s="3">
        <v>0.1713084</v>
      </c>
      <c r="BE365" s="3">
        <v>0.17507619999999999</v>
      </c>
      <c r="BF365" s="3">
        <v>0.17870639999999999</v>
      </c>
      <c r="BG365" s="3">
        <v>0.18220629999999999</v>
      </c>
      <c r="BH365" s="3">
        <v>0.185583</v>
      </c>
      <c r="BI365" s="3">
        <v>0.1888436</v>
      </c>
      <c r="BJ365" s="3">
        <v>0.19199540000000001</v>
      </c>
      <c r="BK365" s="3">
        <v>0.19504550000000001</v>
      </c>
      <c r="BL365" s="3">
        <v>0.19800110000000001</v>
      </c>
      <c r="BM365" s="3" t="e">
        <v>#N/A</v>
      </c>
      <c r="BN365" s="3" t="e">
        <v>#N/A</v>
      </c>
    </row>
    <row r="366" spans="1:66" x14ac:dyDescent="0.35">
      <c r="A366" s="5">
        <f t="shared" si="5"/>
        <v>43966</v>
      </c>
      <c r="B366" t="s">
        <v>443</v>
      </c>
      <c r="C366" s="2">
        <v>0.1</v>
      </c>
      <c r="D366" s="2">
        <v>6.7500000000000004E-2</v>
      </c>
      <c r="E366" s="3">
        <v>6.6392000000000007E-2</v>
      </c>
      <c r="F366" s="3">
        <v>6.3492999999999994E-2</v>
      </c>
      <c r="G366" s="3">
        <v>6.00107E-2</v>
      </c>
      <c r="H366" s="3">
        <v>5.43557E-2</v>
      </c>
      <c r="I366" s="3">
        <v>4.65514E-2</v>
      </c>
      <c r="J366" s="3">
        <v>3.7758100000000003E-2</v>
      </c>
      <c r="K366" s="3">
        <v>2.90821E-2</v>
      </c>
      <c r="L366" s="3">
        <v>2.1262199999999998E-2</v>
      </c>
      <c r="M366" s="3">
        <v>1.4645E-2</v>
      </c>
      <c r="N366" s="3">
        <v>9.2779999999999998E-3</v>
      </c>
      <c r="O366" s="3">
        <v>5.1215000000000002E-3</v>
      </c>
      <c r="P366" s="3">
        <v>2.1375000000000001E-3</v>
      </c>
      <c r="Q366" s="3">
        <v>3.3169999999999999E-4</v>
      </c>
      <c r="R366" s="3">
        <v>-3.5829999999999998E-4</v>
      </c>
      <c r="S366" s="3">
        <v>-2.0400000000000001E-5</v>
      </c>
      <c r="T366" s="3">
        <v>1.2577000000000001E-3</v>
      </c>
      <c r="U366" s="3">
        <v>3.3879000000000001E-3</v>
      </c>
      <c r="V366" s="3">
        <v>6.2823999999999996E-3</v>
      </c>
      <c r="W366" s="3">
        <v>9.8537999999999994E-3</v>
      </c>
      <c r="X366" s="3">
        <v>1.4016600000000001E-2</v>
      </c>
      <c r="Y366" s="3">
        <v>1.86856E-2</v>
      </c>
      <c r="Z366" s="3">
        <v>2.3776100000000001E-2</v>
      </c>
      <c r="AA366" s="3">
        <v>2.9203E-2</v>
      </c>
      <c r="AB366" s="3">
        <v>3.48814E-2</v>
      </c>
      <c r="AC366" s="3">
        <v>4.07357E-2</v>
      </c>
      <c r="AD366" s="3">
        <v>4.6731799999999997E-2</v>
      </c>
      <c r="AE366" s="3">
        <v>5.2847100000000001E-2</v>
      </c>
      <c r="AF366" s="3">
        <v>5.9058899999999998E-2</v>
      </c>
      <c r="AG366" s="3">
        <v>6.5344700000000006E-2</v>
      </c>
      <c r="AH366" s="3">
        <v>7.1681800000000004E-2</v>
      </c>
      <c r="AI366" s="3">
        <v>7.8047500000000006E-2</v>
      </c>
      <c r="AJ366" s="3">
        <v>8.4419300000000003E-2</v>
      </c>
      <c r="AK366" s="3">
        <v>9.0774400000000005E-2</v>
      </c>
      <c r="AL366" s="3">
        <v>9.7090300000000004E-2</v>
      </c>
      <c r="AM366" s="3">
        <v>0.1033444</v>
      </c>
      <c r="AN366" s="3">
        <v>0.1095139</v>
      </c>
      <c r="AO366" s="3">
        <v>0.1155799</v>
      </c>
      <c r="AP366" s="3">
        <v>0.1215376</v>
      </c>
      <c r="AQ366" s="3">
        <v>0.127386</v>
      </c>
      <c r="AR366" s="3">
        <v>0.13312389999999999</v>
      </c>
      <c r="AS366" s="3">
        <v>0.1387504</v>
      </c>
      <c r="AT366" s="3">
        <v>0.14426420000000001</v>
      </c>
      <c r="AU366" s="3">
        <v>0.1496642</v>
      </c>
      <c r="AV366" s="3">
        <v>0.15494949999999999</v>
      </c>
      <c r="AW366" s="3">
        <v>0.16011880000000001</v>
      </c>
      <c r="AX366" s="3">
        <v>0.16517109999999999</v>
      </c>
      <c r="AY366" s="3">
        <v>0.17010529999999999</v>
      </c>
      <c r="AZ366" s="3">
        <v>0.1749203</v>
      </c>
      <c r="BA366" s="3">
        <v>0.17961559999999999</v>
      </c>
      <c r="BB366" s="3">
        <v>0.18419350000000001</v>
      </c>
      <c r="BC366" s="3">
        <v>0.18865680000000001</v>
      </c>
      <c r="BD366" s="3">
        <v>0.1930086</v>
      </c>
      <c r="BE366" s="3">
        <v>0.19725190000000001</v>
      </c>
      <c r="BF366" s="3">
        <v>0.2013897</v>
      </c>
      <c r="BG366" s="3">
        <v>0.20542489999999999</v>
      </c>
      <c r="BH366" s="3">
        <v>0.2093605</v>
      </c>
      <c r="BI366" s="3">
        <v>0.21319949999999999</v>
      </c>
      <c r="BJ366" s="3">
        <v>0.21694479999999999</v>
      </c>
      <c r="BK366" s="3">
        <v>0.2205995</v>
      </c>
      <c r="BL366" s="3">
        <v>0.22416649999999999</v>
      </c>
      <c r="BM366" s="3" t="e">
        <v>#N/A</v>
      </c>
      <c r="BN366" s="3" t="e">
        <v>#N/A</v>
      </c>
    </row>
    <row r="367" spans="1:66" x14ac:dyDescent="0.35">
      <c r="A367" s="5">
        <f t="shared" si="5"/>
        <v>43969</v>
      </c>
      <c r="B367" t="s">
        <v>444</v>
      </c>
      <c r="C367" s="2">
        <v>0.1</v>
      </c>
      <c r="D367" s="2">
        <v>6.83E-2</v>
      </c>
      <c r="E367" s="3">
        <v>6.6375100000000006E-2</v>
      </c>
      <c r="F367" s="3">
        <v>6.0494100000000002E-2</v>
      </c>
      <c r="G367" s="3">
        <v>5.2234900000000001E-2</v>
      </c>
      <c r="H367" s="3">
        <v>4.1102300000000001E-2</v>
      </c>
      <c r="I367" s="3">
        <v>2.8277400000000001E-2</v>
      </c>
      <c r="J367" s="3">
        <v>1.5640899999999999E-2</v>
      </c>
      <c r="K367" s="3">
        <v>4.7577000000000001E-3</v>
      </c>
      <c r="L367" s="3">
        <v>-3.5546000000000002E-3</v>
      </c>
      <c r="M367" s="3">
        <v>-9.3390000000000001E-3</v>
      </c>
      <c r="N367" s="3">
        <v>-1.31431E-2</v>
      </c>
      <c r="O367" s="3">
        <v>-1.56055E-2</v>
      </c>
      <c r="P367" s="3">
        <v>-1.72344E-2</v>
      </c>
      <c r="Q367" s="3">
        <v>-1.8235500000000002E-2</v>
      </c>
      <c r="R367" s="3">
        <v>-1.8612199999999999E-2</v>
      </c>
      <c r="S367" s="3">
        <v>-1.8336100000000001E-2</v>
      </c>
      <c r="T367" s="3">
        <v>-1.7378299999999999E-2</v>
      </c>
      <c r="U367" s="3">
        <v>-1.5710200000000001E-2</v>
      </c>
      <c r="V367" s="3">
        <v>-1.33031E-2</v>
      </c>
      <c r="W367" s="3">
        <v>-1.0141000000000001E-2</v>
      </c>
      <c r="X367" s="3">
        <v>-6.2671000000000003E-3</v>
      </c>
      <c r="Y367" s="3">
        <v>-1.7417000000000001E-3</v>
      </c>
      <c r="Z367" s="3">
        <v>3.3750999999999998E-3</v>
      </c>
      <c r="AA367" s="3">
        <v>9.0229999999999998E-3</v>
      </c>
      <c r="AB367" s="3">
        <v>1.51416E-2</v>
      </c>
      <c r="AC367" s="3">
        <v>2.16726E-2</v>
      </c>
      <c r="AD367" s="3">
        <v>2.85644E-2</v>
      </c>
      <c r="AE367" s="3">
        <v>3.5767300000000002E-2</v>
      </c>
      <c r="AF367" s="3">
        <v>4.3231600000000002E-2</v>
      </c>
      <c r="AG367" s="3">
        <v>5.09077E-2</v>
      </c>
      <c r="AH367" s="3">
        <v>5.8745699999999998E-2</v>
      </c>
      <c r="AI367" s="3">
        <v>6.6696000000000005E-2</v>
      </c>
      <c r="AJ367" s="3">
        <v>7.4708800000000006E-2</v>
      </c>
      <c r="AK367" s="3">
        <v>8.2734500000000002E-2</v>
      </c>
      <c r="AL367" s="3">
        <v>9.0723300000000007E-2</v>
      </c>
      <c r="AM367" s="3">
        <v>9.8625500000000005E-2</v>
      </c>
      <c r="AN367" s="3">
        <v>0.1063914</v>
      </c>
      <c r="AO367" s="3">
        <v>0.1139792</v>
      </c>
      <c r="AP367" s="3">
        <v>0.12137870000000001</v>
      </c>
      <c r="AQ367" s="3">
        <v>0.1285876</v>
      </c>
      <c r="AR367" s="3">
        <v>0.1356038</v>
      </c>
      <c r="AS367" s="3">
        <v>0.14242479999999999</v>
      </c>
      <c r="AT367" s="3">
        <v>0.1490484</v>
      </c>
      <c r="AU367" s="3">
        <v>0.15547230000000001</v>
      </c>
      <c r="AV367" s="3">
        <v>0.16169430000000001</v>
      </c>
      <c r="AW367" s="3">
        <v>0.1677121</v>
      </c>
      <c r="AX367" s="3">
        <v>0.1735235</v>
      </c>
      <c r="AY367" s="3">
        <v>0.17912600000000001</v>
      </c>
      <c r="AZ367" s="3">
        <v>0.1845176</v>
      </c>
      <c r="BA367" s="3">
        <v>0.18969730000000001</v>
      </c>
      <c r="BB367" s="3">
        <v>0.1946724</v>
      </c>
      <c r="BC367" s="3">
        <v>0.19945280000000001</v>
      </c>
      <c r="BD367" s="3">
        <v>0.20404839999999999</v>
      </c>
      <c r="BE367" s="3">
        <v>0.20846909999999999</v>
      </c>
      <c r="BF367" s="3">
        <v>0.21272479999999999</v>
      </c>
      <c r="BG367" s="3">
        <v>0.2168253</v>
      </c>
      <c r="BH367" s="3">
        <v>0.22078059999999999</v>
      </c>
      <c r="BI367" s="3">
        <v>0.22460060000000001</v>
      </c>
      <c r="BJ367" s="3">
        <v>0.2282952</v>
      </c>
      <c r="BK367" s="3">
        <v>0.2318742</v>
      </c>
      <c r="BL367" s="3">
        <v>0.23534759999999999</v>
      </c>
      <c r="BM367" s="3" t="e">
        <v>#N/A</v>
      </c>
      <c r="BN367" s="3" t="e">
        <v>#N/A</v>
      </c>
    </row>
    <row r="368" spans="1:66" x14ac:dyDescent="0.35">
      <c r="A368" s="5">
        <f t="shared" si="5"/>
        <v>43970</v>
      </c>
      <c r="B368" t="s">
        <v>445</v>
      </c>
      <c r="C368" s="2">
        <v>0.1</v>
      </c>
      <c r="D368" s="2">
        <v>6.8000000000000005E-2</v>
      </c>
      <c r="E368" s="3">
        <v>6.52943E-2</v>
      </c>
      <c r="F368" s="3">
        <v>6.04361E-2</v>
      </c>
      <c r="G368" s="3">
        <v>5.3690399999999999E-2</v>
      </c>
      <c r="H368" s="3">
        <v>4.4250999999999999E-2</v>
      </c>
      <c r="I368" s="3">
        <v>3.2875799999999997E-2</v>
      </c>
      <c r="J368" s="3">
        <v>2.1008800000000001E-2</v>
      </c>
      <c r="K368" s="3">
        <v>1.0077300000000001E-2</v>
      </c>
      <c r="L368" s="3">
        <v>1.1697999999999999E-3</v>
      </c>
      <c r="M368" s="3">
        <v>-5.2233000000000002E-3</v>
      </c>
      <c r="N368" s="3">
        <v>-9.1797000000000007E-3</v>
      </c>
      <c r="O368" s="3">
        <v>-1.0999800000000001E-2</v>
      </c>
      <c r="P368" s="3">
        <v>-1.10712E-2</v>
      </c>
      <c r="Q368" s="3">
        <v>-9.9173999999999998E-3</v>
      </c>
      <c r="R368" s="3">
        <v>-7.7717000000000003E-3</v>
      </c>
      <c r="S368" s="3">
        <v>-4.7806999999999997E-3</v>
      </c>
      <c r="T368" s="3">
        <v>-1.0905000000000001E-3</v>
      </c>
      <c r="U368" s="3">
        <v>3.1522999999999998E-3</v>
      </c>
      <c r="V368" s="3">
        <v>7.8014E-3</v>
      </c>
      <c r="W368" s="3">
        <v>1.27283E-2</v>
      </c>
      <c r="X368" s="3">
        <v>1.7887900000000002E-2</v>
      </c>
      <c r="Y368" s="3">
        <v>2.32588E-2</v>
      </c>
      <c r="Z368" s="3">
        <v>2.8819899999999999E-2</v>
      </c>
      <c r="AA368" s="3">
        <v>3.4549999999999997E-2</v>
      </c>
      <c r="AB368" s="3">
        <v>4.0427900000000003E-2</v>
      </c>
      <c r="AC368" s="3">
        <v>4.64327E-2</v>
      </c>
      <c r="AD368" s="3">
        <v>5.2545000000000001E-2</v>
      </c>
      <c r="AE368" s="3">
        <v>5.8745699999999998E-2</v>
      </c>
      <c r="AF368" s="3">
        <v>6.5015600000000007E-2</v>
      </c>
      <c r="AG368" s="3">
        <v>7.1335700000000002E-2</v>
      </c>
      <c r="AH368" s="3">
        <v>7.7686699999999997E-2</v>
      </c>
      <c r="AI368" s="3">
        <v>8.4049700000000005E-2</v>
      </c>
      <c r="AJ368" s="3">
        <v>9.0405399999999997E-2</v>
      </c>
      <c r="AK368" s="3">
        <v>9.6734799999999996E-2</v>
      </c>
      <c r="AL368" s="3">
        <v>0.1030187</v>
      </c>
      <c r="AM368" s="3">
        <v>0.109238</v>
      </c>
      <c r="AN368" s="3">
        <v>0.1153737</v>
      </c>
      <c r="AO368" s="3">
        <v>0.12140919999999999</v>
      </c>
      <c r="AP368" s="3">
        <v>0.12733939999999999</v>
      </c>
      <c r="AQ368" s="3">
        <v>0.13316169999999999</v>
      </c>
      <c r="AR368" s="3">
        <v>0.13887360000000001</v>
      </c>
      <c r="AS368" s="3">
        <v>0.1444724</v>
      </c>
      <c r="AT368" s="3">
        <v>0.1499557</v>
      </c>
      <c r="AU368" s="3">
        <v>0.15532099999999999</v>
      </c>
      <c r="AV368" s="3">
        <v>0.1605656</v>
      </c>
      <c r="AW368" s="3">
        <v>0.165687</v>
      </c>
      <c r="AX368" s="3">
        <v>0.1706828</v>
      </c>
      <c r="AY368" s="3">
        <v>0.17555029999999999</v>
      </c>
      <c r="AZ368" s="3">
        <v>0.180287</v>
      </c>
      <c r="BA368" s="3">
        <v>0.18489140000000001</v>
      </c>
      <c r="BB368" s="3">
        <v>0.1893666</v>
      </c>
      <c r="BC368" s="3">
        <v>0.19371749999999999</v>
      </c>
      <c r="BD368" s="3">
        <v>0.19794870000000001</v>
      </c>
      <c r="BE368" s="3">
        <v>0.20206479999999999</v>
      </c>
      <c r="BF368" s="3">
        <v>0.2060707</v>
      </c>
      <c r="BG368" s="3">
        <v>0.20997099999999999</v>
      </c>
      <c r="BH368" s="3">
        <v>0.2137704</v>
      </c>
      <c r="BI368" s="3">
        <v>0.21747359999999999</v>
      </c>
      <c r="BJ368" s="3">
        <v>0.22108530000000001</v>
      </c>
      <c r="BK368" s="3">
        <v>0.22461020000000001</v>
      </c>
      <c r="BL368" s="3">
        <v>0.22805300000000001</v>
      </c>
      <c r="BM368" s="3" t="e">
        <v>#N/A</v>
      </c>
      <c r="BN368" s="3" t="e">
        <v>#N/A</v>
      </c>
    </row>
    <row r="369" spans="1:66" x14ac:dyDescent="0.35">
      <c r="A369" s="5">
        <f t="shared" si="5"/>
        <v>43971</v>
      </c>
      <c r="B369" t="s">
        <v>446</v>
      </c>
      <c r="C369" s="2">
        <v>0.1</v>
      </c>
      <c r="D369" s="2">
        <v>6.88E-2</v>
      </c>
      <c r="E369" s="3">
        <v>6.5447099999999994E-2</v>
      </c>
      <c r="F369" s="3">
        <v>5.7894500000000002E-2</v>
      </c>
      <c r="G369" s="3">
        <v>4.82379E-2</v>
      </c>
      <c r="H369" s="3">
        <v>3.6231800000000002E-2</v>
      </c>
      <c r="I369" s="3">
        <v>2.29842E-2</v>
      </c>
      <c r="J369" s="3">
        <v>9.8501999999999999E-3</v>
      </c>
      <c r="K369" s="3">
        <v>-2.0669999999999998E-3</v>
      </c>
      <c r="L369" s="3">
        <v>-1.2039299999999999E-2</v>
      </c>
      <c r="M369" s="3">
        <v>-1.9756300000000001E-2</v>
      </c>
      <c r="N369" s="3">
        <v>-2.5222700000000001E-2</v>
      </c>
      <c r="O369" s="3">
        <v>-2.8808299999999998E-2</v>
      </c>
      <c r="P369" s="3">
        <v>-3.0816099999999999E-2</v>
      </c>
      <c r="Q369" s="3">
        <v>-3.1731599999999999E-2</v>
      </c>
      <c r="R369" s="3">
        <v>-3.17186E-2</v>
      </c>
      <c r="S369" s="3">
        <v>-3.0836200000000001E-2</v>
      </c>
      <c r="T369" s="3">
        <v>-2.9143200000000001E-2</v>
      </c>
      <c r="U369" s="3">
        <v>-2.6698599999999999E-2</v>
      </c>
      <c r="V369" s="3">
        <v>-2.35614E-2</v>
      </c>
      <c r="W369" s="3">
        <v>-1.9790800000000001E-2</v>
      </c>
      <c r="X369" s="3">
        <v>-1.54474E-2</v>
      </c>
      <c r="Y369" s="3">
        <v>-1.05922E-2</v>
      </c>
      <c r="Z369" s="3">
        <v>-5.2864000000000001E-3</v>
      </c>
      <c r="AA369" s="3">
        <v>4.0880000000000002E-4</v>
      </c>
      <c r="AB369" s="3">
        <v>6.4323999999999996E-3</v>
      </c>
      <c r="AC369" s="3">
        <v>1.27277E-2</v>
      </c>
      <c r="AD369" s="3">
        <v>1.92552E-2</v>
      </c>
      <c r="AE369" s="3">
        <v>2.5980199999999998E-2</v>
      </c>
      <c r="AF369" s="3">
        <v>3.28677E-2</v>
      </c>
      <c r="AG369" s="3">
        <v>3.98827E-2</v>
      </c>
      <c r="AH369" s="3">
        <v>4.6990499999999998E-2</v>
      </c>
      <c r="AI369" s="3">
        <v>5.4156000000000003E-2</v>
      </c>
      <c r="AJ369" s="3">
        <v>6.13444E-2</v>
      </c>
      <c r="AK369" s="3">
        <v>6.8520700000000004E-2</v>
      </c>
      <c r="AL369" s="3">
        <v>7.5649999999999995E-2</v>
      </c>
      <c r="AM369" s="3">
        <v>8.2697499999999993E-2</v>
      </c>
      <c r="AN369" s="3">
        <v>8.9628100000000002E-2</v>
      </c>
      <c r="AO369" s="3">
        <v>9.6411700000000003E-2</v>
      </c>
      <c r="AP369" s="3">
        <v>0.10304049999999999</v>
      </c>
      <c r="AQ369" s="3">
        <v>0.10951370000000001</v>
      </c>
      <c r="AR369" s="3">
        <v>0.11583060000000001</v>
      </c>
      <c r="AS369" s="3">
        <v>0.1219903</v>
      </c>
      <c r="AT369" s="3">
        <v>0.12799199999999999</v>
      </c>
      <c r="AU369" s="3">
        <v>0.13383490000000001</v>
      </c>
      <c r="AV369" s="3">
        <v>0.13951820000000001</v>
      </c>
      <c r="AW369" s="3">
        <v>0.14504110000000001</v>
      </c>
      <c r="AX369" s="3">
        <v>0.1504028</v>
      </c>
      <c r="AY369" s="3">
        <v>0.1556024</v>
      </c>
      <c r="AZ369" s="3">
        <v>0.16063930000000001</v>
      </c>
      <c r="BA369" s="3">
        <v>0.16551360000000001</v>
      </c>
      <c r="BB369" s="3">
        <v>0.1702304</v>
      </c>
      <c r="BC369" s="3">
        <v>0.17479620000000001</v>
      </c>
      <c r="BD369" s="3">
        <v>0.1792173</v>
      </c>
      <c r="BE369" s="3">
        <v>0.1835001</v>
      </c>
      <c r="BF369" s="3">
        <v>0.18765109999999999</v>
      </c>
      <c r="BG369" s="3">
        <v>0.1916766</v>
      </c>
      <c r="BH369" s="3">
        <v>0.19558300000000001</v>
      </c>
      <c r="BI369" s="3">
        <v>0.19937679999999999</v>
      </c>
      <c r="BJ369" s="3">
        <v>0.2030643</v>
      </c>
      <c r="BK369" s="3">
        <v>0.2066519</v>
      </c>
      <c r="BL369" s="3">
        <v>0.210146</v>
      </c>
      <c r="BM369" s="3" t="e">
        <v>#N/A</v>
      </c>
      <c r="BN369" s="3" t="e">
        <v>#N/A</v>
      </c>
    </row>
    <row r="370" spans="1:66" x14ac:dyDescent="0.35">
      <c r="A370" s="5">
        <f t="shared" si="5"/>
        <v>43972</v>
      </c>
      <c r="B370" t="s">
        <v>447</v>
      </c>
      <c r="C370" s="2">
        <v>0.1</v>
      </c>
      <c r="D370" s="2">
        <v>6.83E-2</v>
      </c>
      <c r="E370" s="3">
        <v>6.5777299999999997E-2</v>
      </c>
      <c r="F370" s="3">
        <v>5.7245799999999999E-2</v>
      </c>
      <c r="G370" s="3">
        <v>4.5880299999999999E-2</v>
      </c>
      <c r="H370" s="3">
        <v>3.1348000000000001E-2</v>
      </c>
      <c r="I370" s="3">
        <v>1.52268E-2</v>
      </c>
      <c r="J370" s="3">
        <v>-4.8010000000000001E-4</v>
      </c>
      <c r="K370" s="3">
        <v>-1.45249E-2</v>
      </c>
      <c r="L370" s="3">
        <v>-2.6344300000000001E-2</v>
      </c>
      <c r="M370" s="3">
        <v>-3.5970200000000001E-2</v>
      </c>
      <c r="N370" s="3">
        <v>-4.3545899999999998E-2</v>
      </c>
      <c r="O370" s="3">
        <v>-4.9260999999999999E-2</v>
      </c>
      <c r="P370" s="3">
        <v>-5.3247999999999997E-2</v>
      </c>
      <c r="Q370" s="3">
        <v>-5.5637899999999997E-2</v>
      </c>
      <c r="R370" s="3">
        <v>-5.6596899999999999E-2</v>
      </c>
      <c r="S370" s="3">
        <v>-5.6298599999999997E-2</v>
      </c>
      <c r="T370" s="3">
        <v>-5.4916800000000002E-2</v>
      </c>
      <c r="U370" s="3">
        <v>-5.2625199999999997E-2</v>
      </c>
      <c r="V370" s="3">
        <v>-4.95974E-2</v>
      </c>
      <c r="W370" s="3">
        <v>-4.59969E-2</v>
      </c>
      <c r="X370" s="3">
        <v>-4.1933999999999999E-2</v>
      </c>
      <c r="Y370" s="3">
        <v>-3.7502099999999997E-2</v>
      </c>
      <c r="Z370" s="3">
        <v>-3.2794799999999999E-2</v>
      </c>
      <c r="AA370" s="3">
        <v>-2.7905300000000001E-2</v>
      </c>
      <c r="AB370" s="3">
        <v>-2.2927300000000001E-2</v>
      </c>
      <c r="AC370" s="3">
        <v>-1.7941800000000001E-2</v>
      </c>
      <c r="AD370" s="3">
        <v>-1.2969899999999999E-2</v>
      </c>
      <c r="AE370" s="3">
        <v>-8.0143000000000002E-3</v>
      </c>
      <c r="AF370" s="3">
        <v>-3.0777999999999999E-3</v>
      </c>
      <c r="AG370" s="3">
        <v>1.8369E-3</v>
      </c>
      <c r="AH370" s="3">
        <v>6.7269000000000001E-3</v>
      </c>
      <c r="AI370" s="3">
        <v>1.15896E-2</v>
      </c>
      <c r="AJ370" s="3">
        <v>1.6422099999999999E-2</v>
      </c>
      <c r="AK370" s="3">
        <v>2.1221799999999999E-2</v>
      </c>
      <c r="AL370" s="3">
        <v>2.59857E-2</v>
      </c>
      <c r="AM370" s="3">
        <v>3.07113E-2</v>
      </c>
      <c r="AN370" s="3">
        <v>3.5395599999999999E-2</v>
      </c>
      <c r="AO370" s="3">
        <v>4.0036500000000003E-2</v>
      </c>
      <c r="AP370" s="3">
        <v>4.4633399999999997E-2</v>
      </c>
      <c r="AQ370" s="3">
        <v>4.9186500000000001E-2</v>
      </c>
      <c r="AR370" s="3">
        <v>5.3695899999999998E-2</v>
      </c>
      <c r="AS370" s="3">
        <v>5.8161699999999997E-2</v>
      </c>
      <c r="AT370" s="3">
        <v>6.2584100000000004E-2</v>
      </c>
      <c r="AU370" s="3">
        <v>6.6963099999999998E-2</v>
      </c>
      <c r="AV370" s="3">
        <v>7.1299000000000001E-2</v>
      </c>
      <c r="AW370" s="3">
        <v>7.5591699999999998E-2</v>
      </c>
      <c r="AX370" s="3">
        <v>7.9841400000000007E-2</v>
      </c>
      <c r="AY370" s="3">
        <v>8.4048300000000006E-2</v>
      </c>
      <c r="AZ370" s="3">
        <v>8.8212499999999999E-2</v>
      </c>
      <c r="BA370" s="3">
        <v>9.2333999999999999E-2</v>
      </c>
      <c r="BB370" s="3">
        <v>9.6412399999999995E-2</v>
      </c>
      <c r="BC370" s="3">
        <v>0.1004473</v>
      </c>
      <c r="BD370" s="3">
        <v>0.1044383</v>
      </c>
      <c r="BE370" s="3">
        <v>0.10838490000000001</v>
      </c>
      <c r="BF370" s="3">
        <v>0.11228680000000001</v>
      </c>
      <c r="BG370" s="3">
        <v>0.11614339999999999</v>
      </c>
      <c r="BH370" s="3">
        <v>0.1199543</v>
      </c>
      <c r="BI370" s="3">
        <v>0.1237191</v>
      </c>
      <c r="BJ370" s="3">
        <v>0.1274373</v>
      </c>
      <c r="BK370" s="3">
        <v>0.13110849999999999</v>
      </c>
      <c r="BL370" s="3">
        <v>0.1347323</v>
      </c>
      <c r="BM370" s="3" t="e">
        <v>#N/A</v>
      </c>
      <c r="BN370" s="3" t="e">
        <v>#N/A</v>
      </c>
    </row>
    <row r="371" spans="1:66" x14ac:dyDescent="0.35">
      <c r="A371" s="5">
        <f t="shared" si="5"/>
        <v>43973</v>
      </c>
      <c r="B371" t="s">
        <v>448</v>
      </c>
      <c r="C371" s="2">
        <v>0.1</v>
      </c>
      <c r="D371" s="2">
        <v>6.83E-2</v>
      </c>
      <c r="E371" s="3">
        <v>6.8609900000000001E-2</v>
      </c>
      <c r="F371" s="3">
        <v>5.7693099999999997E-2</v>
      </c>
      <c r="G371" s="3">
        <v>4.2821400000000003E-2</v>
      </c>
      <c r="H371" s="3">
        <v>2.8250899999999999E-2</v>
      </c>
      <c r="I371" s="3">
        <v>1.4379100000000001E-2</v>
      </c>
      <c r="J371" s="3">
        <v>9.8539999999999999E-4</v>
      </c>
      <c r="K371" s="3">
        <v>-1.17102E-2</v>
      </c>
      <c r="L371" s="3">
        <v>-2.31448E-2</v>
      </c>
      <c r="M371" s="3">
        <v>-3.2792200000000001E-2</v>
      </c>
      <c r="N371" s="3">
        <v>-4.0387899999999997E-2</v>
      </c>
      <c r="O371" s="3">
        <v>-4.5900299999999998E-2</v>
      </c>
      <c r="P371" s="3">
        <v>-4.95161E-2</v>
      </c>
      <c r="Q371" s="3">
        <v>-5.1641399999999997E-2</v>
      </c>
      <c r="R371" s="3">
        <v>-5.2502600000000003E-2</v>
      </c>
      <c r="S371" s="3">
        <v>-5.22525E-2</v>
      </c>
      <c r="T371" s="3">
        <v>-5.1043900000000003E-2</v>
      </c>
      <c r="U371" s="3">
        <v>-4.9029499999999997E-2</v>
      </c>
      <c r="V371" s="3">
        <v>-4.6362199999999999E-2</v>
      </c>
      <c r="W371" s="3">
        <v>-4.3182600000000002E-2</v>
      </c>
      <c r="X371" s="3">
        <v>-3.9576100000000003E-2</v>
      </c>
      <c r="Y371" s="3">
        <v>-3.56116E-2</v>
      </c>
      <c r="Z371" s="3">
        <v>-3.1358200000000003E-2</v>
      </c>
      <c r="AA371" s="3">
        <v>-2.6885099999999999E-2</v>
      </c>
      <c r="AB371" s="3">
        <v>-2.2261199999999998E-2</v>
      </c>
      <c r="AC371" s="3">
        <v>-1.7547E-2</v>
      </c>
      <c r="AD371" s="3">
        <v>-1.27644E-2</v>
      </c>
      <c r="AE371" s="3">
        <v>-7.9246999999999998E-3</v>
      </c>
      <c r="AF371" s="3">
        <v>-3.0393999999999998E-3</v>
      </c>
      <c r="AG371" s="3">
        <v>1.8802999999999999E-3</v>
      </c>
      <c r="AH371" s="3">
        <v>6.8230000000000001E-3</v>
      </c>
      <c r="AI371" s="3">
        <v>1.1777299999999999E-2</v>
      </c>
      <c r="AJ371" s="3">
        <v>1.6731900000000001E-2</v>
      </c>
      <c r="AK371" s="3">
        <v>2.1675400000000001E-2</v>
      </c>
      <c r="AL371" s="3">
        <v>2.6596499999999999E-2</v>
      </c>
      <c r="AM371" s="3">
        <v>3.1483900000000002E-2</v>
      </c>
      <c r="AN371" s="3">
        <v>3.63261E-2</v>
      </c>
      <c r="AO371" s="3">
        <v>4.1113900000000002E-2</v>
      </c>
      <c r="AP371" s="3">
        <v>4.5846499999999998E-2</v>
      </c>
      <c r="AQ371" s="3">
        <v>5.0525199999999999E-2</v>
      </c>
      <c r="AR371" s="3">
        <v>5.51513E-2</v>
      </c>
      <c r="AS371" s="3">
        <v>5.9726000000000001E-2</v>
      </c>
      <c r="AT371" s="3">
        <v>6.4250600000000005E-2</v>
      </c>
      <c r="AU371" s="3">
        <v>6.8726400000000007E-2</v>
      </c>
      <c r="AV371" s="3">
        <v>7.3154700000000003E-2</v>
      </c>
      <c r="AW371" s="3">
        <v>7.7536800000000003E-2</v>
      </c>
      <c r="AX371" s="3">
        <v>8.1873899999999999E-2</v>
      </c>
      <c r="AY371" s="3">
        <v>8.6167300000000002E-2</v>
      </c>
      <c r="AZ371" s="3">
        <v>9.0418299999999993E-2</v>
      </c>
      <c r="BA371" s="3">
        <v>9.4627699999999995E-2</v>
      </c>
      <c r="BB371" s="3">
        <v>9.8794000000000007E-2</v>
      </c>
      <c r="BC371" s="3">
        <v>0.1029152</v>
      </c>
      <c r="BD371" s="3">
        <v>0.1069891</v>
      </c>
      <c r="BE371" s="3">
        <v>0.1110136</v>
      </c>
      <c r="BF371" s="3">
        <v>0.1149868</v>
      </c>
      <c r="BG371" s="3">
        <v>0.1189065</v>
      </c>
      <c r="BH371" s="3">
        <v>0.12277059999999999</v>
      </c>
      <c r="BI371" s="3">
        <v>0.1265771</v>
      </c>
      <c r="BJ371" s="3">
        <v>0.13032389999999999</v>
      </c>
      <c r="BK371" s="3">
        <v>0.13400889999999999</v>
      </c>
      <c r="BL371" s="3">
        <v>0.13763</v>
      </c>
      <c r="BM371" s="3" t="e">
        <v>#N/A</v>
      </c>
      <c r="BN371" s="3" t="e">
        <v>#N/A</v>
      </c>
    </row>
    <row r="372" spans="1:66" x14ac:dyDescent="0.35">
      <c r="A372" s="5">
        <f t="shared" si="5"/>
        <v>43976</v>
      </c>
      <c r="B372" t="s">
        <v>449</v>
      </c>
      <c r="C372" s="2">
        <v>0.1</v>
      </c>
      <c r="D372" s="2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  <c r="P372" s="3" t="e">
        <v>#N/A</v>
      </c>
      <c r="Q372" s="3" t="e">
        <v>#N/A</v>
      </c>
      <c r="R372" s="3" t="e">
        <v>#N/A</v>
      </c>
      <c r="S372" s="3" t="e">
        <v>#N/A</v>
      </c>
      <c r="T372" s="3" t="e">
        <v>#N/A</v>
      </c>
      <c r="U372" s="3" t="e">
        <v>#N/A</v>
      </c>
      <c r="V372" s="3" t="e">
        <v>#N/A</v>
      </c>
      <c r="W372" s="3" t="e">
        <v>#N/A</v>
      </c>
      <c r="X372" s="3" t="e">
        <v>#N/A</v>
      </c>
      <c r="Y372" s="3" t="e">
        <v>#N/A</v>
      </c>
      <c r="Z372" s="3" t="e">
        <v>#N/A</v>
      </c>
      <c r="AA372" s="3" t="e">
        <v>#N/A</v>
      </c>
      <c r="AB372" s="3" t="e">
        <v>#N/A</v>
      </c>
      <c r="AC372" s="3" t="e">
        <v>#N/A</v>
      </c>
      <c r="AD372" s="3" t="e">
        <v>#N/A</v>
      </c>
      <c r="AE372" s="3" t="e">
        <v>#N/A</v>
      </c>
      <c r="AF372" s="3" t="e">
        <v>#N/A</v>
      </c>
      <c r="AG372" s="3" t="e">
        <v>#N/A</v>
      </c>
      <c r="AH372" s="3" t="e">
        <v>#N/A</v>
      </c>
      <c r="AI372" s="3" t="e">
        <v>#N/A</v>
      </c>
      <c r="AJ372" s="3" t="e">
        <v>#N/A</v>
      </c>
      <c r="AK372" s="3" t="e">
        <v>#N/A</v>
      </c>
      <c r="AL372" s="3" t="e">
        <v>#N/A</v>
      </c>
      <c r="AM372" s="3" t="e">
        <v>#N/A</v>
      </c>
      <c r="AN372" s="3" t="e">
        <v>#N/A</v>
      </c>
      <c r="AO372" s="3" t="e">
        <v>#N/A</v>
      </c>
      <c r="AP372" s="3" t="e">
        <v>#N/A</v>
      </c>
      <c r="AQ372" s="3" t="e">
        <v>#N/A</v>
      </c>
      <c r="AR372" s="3" t="e">
        <v>#N/A</v>
      </c>
      <c r="AS372" s="3" t="e">
        <v>#N/A</v>
      </c>
      <c r="AT372" s="3" t="e">
        <v>#N/A</v>
      </c>
      <c r="AU372" s="3" t="e">
        <v>#N/A</v>
      </c>
      <c r="AV372" s="3" t="e">
        <v>#N/A</v>
      </c>
      <c r="AW372" s="3" t="e">
        <v>#N/A</v>
      </c>
      <c r="AX372" s="3" t="e">
        <v>#N/A</v>
      </c>
      <c r="AY372" s="3" t="e">
        <v>#N/A</v>
      </c>
      <c r="AZ372" s="3" t="e">
        <v>#N/A</v>
      </c>
      <c r="BA372" s="3" t="e">
        <v>#N/A</v>
      </c>
      <c r="BB372" s="3" t="e">
        <v>#N/A</v>
      </c>
      <c r="BC372" s="3" t="e">
        <v>#N/A</v>
      </c>
      <c r="BD372" s="3" t="e">
        <v>#N/A</v>
      </c>
      <c r="BE372" s="3" t="e">
        <v>#N/A</v>
      </c>
      <c r="BF372" s="3" t="e">
        <v>#N/A</v>
      </c>
      <c r="BG372" s="3" t="e">
        <v>#N/A</v>
      </c>
      <c r="BH372" s="3" t="e">
        <v>#N/A</v>
      </c>
      <c r="BI372" s="3" t="e">
        <v>#N/A</v>
      </c>
      <c r="BJ372" s="3" t="e">
        <v>#N/A</v>
      </c>
      <c r="BK372" s="3" t="e">
        <v>#N/A</v>
      </c>
      <c r="BL372" s="3" t="e">
        <v>#N/A</v>
      </c>
      <c r="BM372" s="3" t="e">
        <v>#N/A</v>
      </c>
      <c r="BN372" s="3" t="e">
        <v>#N/A</v>
      </c>
    </row>
    <row r="373" spans="1:66" x14ac:dyDescent="0.35">
      <c r="A373" s="5">
        <f t="shared" si="5"/>
        <v>43977</v>
      </c>
      <c r="B373" t="s">
        <v>450</v>
      </c>
      <c r="C373" s="2">
        <v>0.1</v>
      </c>
      <c r="D373" s="2">
        <v>6.7100000000000007E-2</v>
      </c>
      <c r="E373" s="3">
        <v>6.36076E-2</v>
      </c>
      <c r="F373" s="3">
        <v>5.6194000000000001E-2</v>
      </c>
      <c r="G373" s="3">
        <v>5.0183999999999999E-2</v>
      </c>
      <c r="H373" s="3">
        <v>4.2361099999999999E-2</v>
      </c>
      <c r="I373" s="3">
        <v>3.2194599999999997E-2</v>
      </c>
      <c r="J373" s="3">
        <v>2.1156399999999999E-2</v>
      </c>
      <c r="K373" s="3">
        <v>1.07942E-2</v>
      </c>
      <c r="L373" s="3">
        <v>1.9111E-3</v>
      </c>
      <c r="M373" s="3">
        <v>-5.1418000000000002E-3</v>
      </c>
      <c r="N373" s="3">
        <v>-1.0400700000000001E-2</v>
      </c>
      <c r="O373" s="3">
        <v>-1.4056300000000001E-2</v>
      </c>
      <c r="P373" s="3">
        <v>-1.6350099999999999E-2</v>
      </c>
      <c r="Q373" s="3">
        <v>-1.75785E-2</v>
      </c>
      <c r="R373" s="3">
        <v>-1.7881399999999999E-2</v>
      </c>
      <c r="S373" s="3">
        <v>-1.7353400000000001E-2</v>
      </c>
      <c r="T373" s="3">
        <v>-1.6089200000000001E-2</v>
      </c>
      <c r="U373" s="3">
        <v>-1.4183100000000001E-2</v>
      </c>
      <c r="V373" s="3">
        <v>-1.17299E-2</v>
      </c>
      <c r="W373" s="3">
        <v>-8.8173000000000001E-3</v>
      </c>
      <c r="X373" s="3">
        <v>-5.5019999999999999E-3</v>
      </c>
      <c r="Y373" s="3">
        <v>-1.8316000000000001E-3</v>
      </c>
      <c r="Z373" s="3">
        <v>2.1461000000000002E-3</v>
      </c>
      <c r="AA373" s="3">
        <v>6.3835000000000003E-3</v>
      </c>
      <c r="AB373" s="3">
        <v>1.0833000000000001E-2</v>
      </c>
      <c r="AC373" s="3">
        <v>1.54518E-2</v>
      </c>
      <c r="AD373" s="3">
        <v>2.0217099999999998E-2</v>
      </c>
      <c r="AE373" s="3">
        <v>2.5110899999999998E-2</v>
      </c>
      <c r="AF373" s="3">
        <v>3.0115300000000001E-2</v>
      </c>
      <c r="AG373" s="3">
        <v>3.5212399999999998E-2</v>
      </c>
      <c r="AH373" s="3">
        <v>4.0384200000000002E-2</v>
      </c>
      <c r="AI373" s="3">
        <v>4.5612800000000002E-2</v>
      </c>
      <c r="AJ373" s="3">
        <v>5.0880300000000003E-2</v>
      </c>
      <c r="AK373" s="3">
        <v>5.6168799999999998E-2</v>
      </c>
      <c r="AL373" s="3">
        <v>6.1460300000000002E-2</v>
      </c>
      <c r="AM373" s="3">
        <v>6.6736799999999999E-2</v>
      </c>
      <c r="AN373" s="3">
        <v>7.1980500000000003E-2</v>
      </c>
      <c r="AO373" s="3">
        <v>7.7175999999999995E-2</v>
      </c>
      <c r="AP373" s="3">
        <v>8.2318299999999997E-2</v>
      </c>
      <c r="AQ373" s="3">
        <v>8.7404999999999997E-2</v>
      </c>
      <c r="AR373" s="3">
        <v>9.2433799999999997E-2</v>
      </c>
      <c r="AS373" s="3">
        <v>9.7402000000000002E-2</v>
      </c>
      <c r="AT373" s="3">
        <v>0.1023075</v>
      </c>
      <c r="AU373" s="3">
        <v>0.1071477</v>
      </c>
      <c r="AV373" s="3">
        <v>0.1119203</v>
      </c>
      <c r="AW373" s="3">
        <v>0.1166229</v>
      </c>
      <c r="AX373" s="3">
        <v>0.121253</v>
      </c>
      <c r="AY373" s="3">
        <v>0.12580820000000001</v>
      </c>
      <c r="AZ373" s="3">
        <v>0.13028609999999999</v>
      </c>
      <c r="BA373" s="3">
        <v>0.1346849</v>
      </c>
      <c r="BB373" s="3">
        <v>0.13900570000000001</v>
      </c>
      <c r="BC373" s="3">
        <v>0.14325080000000001</v>
      </c>
      <c r="BD373" s="3">
        <v>0.1474221</v>
      </c>
      <c r="BE373" s="3">
        <v>0.15152209999999999</v>
      </c>
      <c r="BF373" s="3">
        <v>0.15555269999999999</v>
      </c>
      <c r="BG373" s="3">
        <v>0.1595162</v>
      </c>
      <c r="BH373" s="3">
        <v>0.1634147</v>
      </c>
      <c r="BI373" s="3">
        <v>0.16725039999999999</v>
      </c>
      <c r="BJ373" s="3">
        <v>0.1710256</v>
      </c>
      <c r="BK373" s="3">
        <v>0.17474219999999999</v>
      </c>
      <c r="BL373" s="3">
        <v>0.17840259999999999</v>
      </c>
      <c r="BM373" s="3" t="e">
        <v>#N/A</v>
      </c>
      <c r="BN373" s="3" t="e">
        <v>#N/A</v>
      </c>
    </row>
    <row r="374" spans="1:66" x14ac:dyDescent="0.35">
      <c r="A374" s="5">
        <f t="shared" si="5"/>
        <v>43978</v>
      </c>
      <c r="B374" t="s">
        <v>451</v>
      </c>
      <c r="C374" s="2">
        <v>0.1</v>
      </c>
      <c r="D374" s="2">
        <v>6.7699999999999996E-2</v>
      </c>
      <c r="E374" s="3">
        <v>6.43682E-2</v>
      </c>
      <c r="F374" s="3">
        <v>5.5435100000000001E-2</v>
      </c>
      <c r="G374" s="3">
        <v>4.8222399999999999E-2</v>
      </c>
      <c r="H374" s="3">
        <v>3.9538499999999997E-2</v>
      </c>
      <c r="I374" s="3">
        <v>2.9437399999999999E-2</v>
      </c>
      <c r="J374" s="3">
        <v>1.9275899999999999E-2</v>
      </c>
      <c r="K374" s="3">
        <v>9.8501999999999999E-3</v>
      </c>
      <c r="L374" s="3">
        <v>1.3998000000000001E-3</v>
      </c>
      <c r="M374" s="3">
        <v>-5.7862E-3</v>
      </c>
      <c r="N374" s="3">
        <v>-1.1434100000000001E-2</v>
      </c>
      <c r="O374" s="3">
        <v>-1.5539000000000001E-2</v>
      </c>
      <c r="P374" s="3">
        <v>-1.81529E-2</v>
      </c>
      <c r="Q374" s="3">
        <v>-1.95912E-2</v>
      </c>
      <c r="R374" s="3">
        <v>-2.00451E-2</v>
      </c>
      <c r="S374" s="3">
        <v>-1.9651200000000001E-2</v>
      </c>
      <c r="T374" s="3">
        <v>-1.8546199999999999E-2</v>
      </c>
      <c r="U374" s="3">
        <v>-1.6866900000000001E-2</v>
      </c>
      <c r="V374" s="3">
        <v>-1.47499E-2</v>
      </c>
      <c r="W374" s="3">
        <v>-1.23202E-2</v>
      </c>
      <c r="X374" s="3">
        <v>-9.6367999999999992E-3</v>
      </c>
      <c r="Y374" s="3">
        <v>-6.7352000000000002E-3</v>
      </c>
      <c r="Z374" s="3">
        <v>-3.6511999999999998E-3</v>
      </c>
      <c r="AA374" s="3">
        <v>-4.2030000000000002E-4</v>
      </c>
      <c r="AB374" s="3">
        <v>2.9218E-3</v>
      </c>
      <c r="AC374" s="3">
        <v>6.3449999999999999E-3</v>
      </c>
      <c r="AD374" s="3">
        <v>9.8402999999999997E-3</v>
      </c>
      <c r="AE374" s="3">
        <v>1.34042E-2</v>
      </c>
      <c r="AF374" s="3">
        <v>1.7033400000000001E-2</v>
      </c>
      <c r="AG374" s="3">
        <v>2.0724200000000002E-2</v>
      </c>
      <c r="AH374" s="3">
        <v>2.44733E-2</v>
      </c>
      <c r="AI374" s="3">
        <v>2.8277199999999999E-2</v>
      </c>
      <c r="AJ374" s="3">
        <v>3.2132300000000003E-2</v>
      </c>
      <c r="AK374" s="3">
        <v>3.6035299999999999E-2</v>
      </c>
      <c r="AL374" s="3">
        <v>3.9982499999999997E-2</v>
      </c>
      <c r="AM374" s="3">
        <v>4.3970599999999999E-2</v>
      </c>
      <c r="AN374" s="3">
        <v>4.79961E-2</v>
      </c>
      <c r="AO374" s="3">
        <v>5.2055499999999998E-2</v>
      </c>
      <c r="AP374" s="3">
        <v>5.6145300000000002E-2</v>
      </c>
      <c r="AQ374" s="3">
        <v>6.0262099999999999E-2</v>
      </c>
      <c r="AR374" s="3">
        <v>6.4402399999999999E-2</v>
      </c>
      <c r="AS374" s="3">
        <v>6.8562799999999993E-2</v>
      </c>
      <c r="AT374" s="3">
        <v>7.2739799999999993E-2</v>
      </c>
      <c r="AU374" s="3">
        <v>7.6929999999999998E-2</v>
      </c>
      <c r="AV374" s="3">
        <v>8.1129900000000005E-2</v>
      </c>
      <c r="AW374" s="3">
        <v>8.5336099999999998E-2</v>
      </c>
      <c r="AX374" s="3">
        <v>8.9545100000000002E-2</v>
      </c>
      <c r="AY374" s="3">
        <v>9.3753400000000001E-2</v>
      </c>
      <c r="AZ374" s="3">
        <v>9.7957699999999995E-2</v>
      </c>
      <c r="BA374" s="3">
        <v>0.1021545</v>
      </c>
      <c r="BB374" s="3">
        <v>0.1063409</v>
      </c>
      <c r="BC374" s="3">
        <v>0.1105141</v>
      </c>
      <c r="BD374" s="3">
        <v>0.1146713</v>
      </c>
      <c r="BE374" s="3">
        <v>0.1188096</v>
      </c>
      <c r="BF374" s="3">
        <v>0.12292640000000001</v>
      </c>
      <c r="BG374" s="3">
        <v>0.12701870000000001</v>
      </c>
      <c r="BH374" s="3">
        <v>0.1310837</v>
      </c>
      <c r="BI374" s="3">
        <v>0.13511870000000001</v>
      </c>
      <c r="BJ374" s="3">
        <v>0.13912089999999999</v>
      </c>
      <c r="BK374" s="3">
        <v>0.1430873</v>
      </c>
      <c r="BL374" s="3">
        <v>0.14701529999999999</v>
      </c>
      <c r="BM374" s="3" t="e">
        <v>#N/A</v>
      </c>
      <c r="BN374" s="3" t="e">
        <v>#N/A</v>
      </c>
    </row>
    <row r="375" spans="1:66" x14ac:dyDescent="0.35">
      <c r="A375" s="5">
        <f t="shared" si="5"/>
        <v>43979</v>
      </c>
      <c r="B375" t="s">
        <v>452</v>
      </c>
      <c r="C375" s="2">
        <v>0.1</v>
      </c>
      <c r="D375" s="2">
        <v>6.8000000000000005E-2</v>
      </c>
      <c r="E375" s="3">
        <v>6.4911099999999999E-2</v>
      </c>
      <c r="F375" s="3">
        <v>5.6756500000000001E-2</v>
      </c>
      <c r="G375" s="3">
        <v>4.63246E-2</v>
      </c>
      <c r="H375" s="3">
        <v>3.4930000000000003E-2</v>
      </c>
      <c r="I375" s="3">
        <v>2.34661E-2</v>
      </c>
      <c r="J375" s="3">
        <v>1.24914E-2</v>
      </c>
      <c r="K375" s="3">
        <v>2.4707000000000002E-3</v>
      </c>
      <c r="L375" s="3">
        <v>-6.2142999999999999E-3</v>
      </c>
      <c r="M375" s="3">
        <v>-1.3366100000000001E-2</v>
      </c>
      <c r="N375" s="3">
        <v>-1.89169E-2</v>
      </c>
      <c r="O375" s="3">
        <v>-2.2966199999999999E-2</v>
      </c>
      <c r="P375" s="3">
        <v>-2.56276E-2</v>
      </c>
      <c r="Q375" s="3">
        <v>-2.70292E-2</v>
      </c>
      <c r="R375" s="3">
        <v>-2.7315699999999998E-2</v>
      </c>
      <c r="S375" s="3">
        <v>-2.6635200000000001E-2</v>
      </c>
      <c r="T375" s="3">
        <v>-2.5135399999999999E-2</v>
      </c>
      <c r="U375" s="3">
        <v>-2.2963999999999998E-2</v>
      </c>
      <c r="V375" s="3">
        <v>-2.0268899999999999E-2</v>
      </c>
      <c r="W375" s="3">
        <v>-1.7183899999999998E-2</v>
      </c>
      <c r="X375" s="3">
        <v>-1.37713E-2</v>
      </c>
      <c r="Y375" s="3">
        <v>-1.00704E-2</v>
      </c>
      <c r="Z375" s="3">
        <v>-6.1208E-3</v>
      </c>
      <c r="AA375" s="3">
        <v>-1.9616999999999998E-3</v>
      </c>
      <c r="AB375" s="3">
        <v>2.3674999999999998E-3</v>
      </c>
      <c r="AC375" s="3">
        <v>6.8307999999999997E-3</v>
      </c>
      <c r="AD375" s="3">
        <v>1.14111E-2</v>
      </c>
      <c r="AE375" s="3">
        <v>1.6097899999999998E-2</v>
      </c>
      <c r="AF375" s="3">
        <v>2.08805E-2</v>
      </c>
      <c r="AG375" s="3">
        <v>2.5748E-2</v>
      </c>
      <c r="AH375" s="3">
        <v>3.06898E-2</v>
      </c>
      <c r="AI375" s="3">
        <v>3.5695200000000003E-2</v>
      </c>
      <c r="AJ375" s="3">
        <v>4.0753499999999998E-2</v>
      </c>
      <c r="AK375" s="3">
        <v>4.5853900000000003E-2</v>
      </c>
      <c r="AL375" s="3">
        <v>5.0985900000000001E-2</v>
      </c>
      <c r="AM375" s="3">
        <v>5.61387E-2</v>
      </c>
      <c r="AN375" s="3">
        <v>6.1301500000000002E-2</v>
      </c>
      <c r="AO375" s="3">
        <v>6.6464700000000002E-2</v>
      </c>
      <c r="AP375" s="3">
        <v>7.1623199999999998E-2</v>
      </c>
      <c r="AQ375" s="3">
        <v>7.6773499999999995E-2</v>
      </c>
      <c r="AR375" s="3">
        <v>8.1911999999999999E-2</v>
      </c>
      <c r="AS375" s="3">
        <v>8.7035199999999993E-2</v>
      </c>
      <c r="AT375" s="3">
        <v>9.2139299999999993E-2</v>
      </c>
      <c r="AU375" s="3">
        <v>9.7221000000000002E-2</v>
      </c>
      <c r="AV375" s="3">
        <v>0.1022766</v>
      </c>
      <c r="AW375" s="3">
        <v>0.1073026</v>
      </c>
      <c r="AX375" s="3">
        <v>0.1122953</v>
      </c>
      <c r="AY375" s="3">
        <v>0.1172512</v>
      </c>
      <c r="AZ375" s="3">
        <v>0.12216680000000001</v>
      </c>
      <c r="BA375" s="3">
        <v>0.12703890000000001</v>
      </c>
      <c r="BB375" s="3">
        <v>0.1318667</v>
      </c>
      <c r="BC375" s="3">
        <v>0.13664989999999999</v>
      </c>
      <c r="BD375" s="3">
        <v>0.1413884</v>
      </c>
      <c r="BE375" s="3">
        <v>0.14608180000000001</v>
      </c>
      <c r="BF375" s="3">
        <v>0.1507298</v>
      </c>
      <c r="BG375" s="3">
        <v>0.15533230000000001</v>
      </c>
      <c r="BH375" s="3">
        <v>0.1598889</v>
      </c>
      <c r="BI375" s="3">
        <v>0.1643994</v>
      </c>
      <c r="BJ375" s="3">
        <v>0.1688636</v>
      </c>
      <c r="BK375" s="3">
        <v>0.17328109999999999</v>
      </c>
      <c r="BL375" s="3">
        <v>0.1776518</v>
      </c>
      <c r="BM375" s="3" t="e">
        <v>#N/A</v>
      </c>
      <c r="BN375" s="3" t="e">
        <v>#N/A</v>
      </c>
    </row>
    <row r="376" spans="1:66" x14ac:dyDescent="0.35">
      <c r="A376" s="5">
        <f t="shared" si="5"/>
        <v>43980</v>
      </c>
      <c r="B376" t="s">
        <v>453</v>
      </c>
      <c r="C376" s="2">
        <v>0.1</v>
      </c>
      <c r="D376" s="2">
        <v>6.7900000000000002E-2</v>
      </c>
      <c r="E376" s="3">
        <v>6.2997399999999995E-2</v>
      </c>
      <c r="F376" s="3">
        <v>5.51134E-2</v>
      </c>
      <c r="G376" s="3">
        <v>4.5825100000000001E-2</v>
      </c>
      <c r="H376" s="3">
        <v>3.5381700000000002E-2</v>
      </c>
      <c r="I376" s="3">
        <v>2.3946599999999998E-2</v>
      </c>
      <c r="J376" s="3">
        <v>1.21356E-2</v>
      </c>
      <c r="K376" s="3">
        <v>8.4029999999999999E-4</v>
      </c>
      <c r="L376" s="3">
        <v>-9.3285E-3</v>
      </c>
      <c r="M376" s="3">
        <v>-1.8089899999999999E-2</v>
      </c>
      <c r="N376" s="3">
        <v>-2.5308500000000001E-2</v>
      </c>
      <c r="O376" s="3">
        <v>-3.0938500000000001E-2</v>
      </c>
      <c r="P376" s="3">
        <v>-3.5046000000000001E-2</v>
      </c>
      <c r="Q376" s="3">
        <v>-3.7712799999999998E-2</v>
      </c>
      <c r="R376" s="3">
        <v>-3.90818E-2</v>
      </c>
      <c r="S376" s="3">
        <v>-3.9318499999999999E-2</v>
      </c>
      <c r="T376" s="3">
        <v>-3.8588299999999999E-2</v>
      </c>
      <c r="U376" s="3">
        <v>-3.7056699999999998E-2</v>
      </c>
      <c r="V376" s="3">
        <v>-3.48889E-2</v>
      </c>
      <c r="W376" s="3">
        <v>-3.2235800000000002E-2</v>
      </c>
      <c r="X376" s="3">
        <v>-2.9179500000000001E-2</v>
      </c>
      <c r="Y376" s="3">
        <v>-2.5782200000000002E-2</v>
      </c>
      <c r="Z376" s="3">
        <v>-2.2106299999999999E-2</v>
      </c>
      <c r="AA376" s="3">
        <v>-1.82141E-2</v>
      </c>
      <c r="AB376" s="3">
        <v>-1.4167799999999999E-2</v>
      </c>
      <c r="AC376" s="3">
        <v>-1.00223E-2</v>
      </c>
      <c r="AD376" s="3">
        <v>-5.7955999999999997E-3</v>
      </c>
      <c r="AE376" s="3">
        <v>-1.4945E-3</v>
      </c>
      <c r="AF376" s="3">
        <v>2.8739E-3</v>
      </c>
      <c r="AG376" s="3">
        <v>7.3029999999999996E-3</v>
      </c>
      <c r="AH376" s="3">
        <v>1.17857E-2</v>
      </c>
      <c r="AI376" s="3">
        <v>1.6315300000000001E-2</v>
      </c>
      <c r="AJ376" s="3">
        <v>2.0884799999999999E-2</v>
      </c>
      <c r="AK376" s="3">
        <v>2.5487300000000001E-2</v>
      </c>
      <c r="AL376" s="3">
        <v>3.01161E-2</v>
      </c>
      <c r="AM376" s="3">
        <v>3.4764099999999999E-2</v>
      </c>
      <c r="AN376" s="3">
        <v>3.9424599999999997E-2</v>
      </c>
      <c r="AO376" s="3">
        <v>4.4090900000000002E-2</v>
      </c>
      <c r="AP376" s="3">
        <v>4.8757399999999999E-2</v>
      </c>
      <c r="AQ376" s="3">
        <v>5.3419000000000001E-2</v>
      </c>
      <c r="AR376" s="3">
        <v>5.8070499999999997E-2</v>
      </c>
      <c r="AS376" s="3">
        <v>6.2706600000000001E-2</v>
      </c>
      <c r="AT376" s="3">
        <v>6.7322000000000007E-2</v>
      </c>
      <c r="AU376" s="3">
        <v>7.1911699999999995E-2</v>
      </c>
      <c r="AV376" s="3">
        <v>7.6470300000000005E-2</v>
      </c>
      <c r="AW376" s="3">
        <v>8.0992700000000001E-2</v>
      </c>
      <c r="AX376" s="3">
        <v>8.5473599999999997E-2</v>
      </c>
      <c r="AY376" s="3">
        <v>8.9907799999999996E-2</v>
      </c>
      <c r="AZ376" s="3">
        <v>9.4290100000000002E-2</v>
      </c>
      <c r="BA376" s="3">
        <v>9.8616499999999996E-2</v>
      </c>
      <c r="BB376" s="3">
        <v>0.1028882</v>
      </c>
      <c r="BC376" s="3">
        <v>0.1071081</v>
      </c>
      <c r="BD376" s="3">
        <v>0.111279</v>
      </c>
      <c r="BE376" s="3">
        <v>0.1154036</v>
      </c>
      <c r="BF376" s="3">
        <v>0.1194847</v>
      </c>
      <c r="BG376" s="3">
        <v>0.1235251</v>
      </c>
      <c r="BH376" s="3">
        <v>0.12752749999999999</v>
      </c>
      <c r="BI376" s="3">
        <v>0.1314948</v>
      </c>
      <c r="BJ376" s="3">
        <v>0.13542960000000001</v>
      </c>
      <c r="BK376" s="3">
        <v>0.13933490000000001</v>
      </c>
      <c r="BL376" s="3">
        <v>0.14321329999999999</v>
      </c>
      <c r="BM376" s="3" t="e">
        <v>#N/A</v>
      </c>
      <c r="BN376" s="3" t="e">
        <v>#N/A</v>
      </c>
    </row>
    <row r="377" spans="1:66" x14ac:dyDescent="0.35">
      <c r="A377" s="5">
        <f t="shared" si="5"/>
        <v>43983</v>
      </c>
      <c r="B377" t="s">
        <v>454</v>
      </c>
      <c r="C377" s="2">
        <v>0.1</v>
      </c>
      <c r="D377" s="2">
        <v>6.6500000000000004E-2</v>
      </c>
      <c r="E377" s="3">
        <v>6.43315E-2</v>
      </c>
      <c r="F377" s="3">
        <v>5.76278E-2</v>
      </c>
      <c r="G377" s="3">
        <v>5.0045199999999998E-2</v>
      </c>
      <c r="H377" s="3">
        <v>4.1500200000000001E-2</v>
      </c>
      <c r="I377" s="3">
        <v>3.1847899999999998E-2</v>
      </c>
      <c r="J377" s="3">
        <v>2.1664599999999999E-2</v>
      </c>
      <c r="K377" s="3">
        <v>1.17804E-2</v>
      </c>
      <c r="L377" s="3">
        <v>2.65E-3</v>
      </c>
      <c r="M377" s="3">
        <v>-5.3740000000000003E-3</v>
      </c>
      <c r="N377" s="3">
        <v>-1.2113499999999999E-2</v>
      </c>
      <c r="O377" s="3">
        <v>-1.7463699999999999E-2</v>
      </c>
      <c r="P377" s="3">
        <v>-2.1474199999999999E-2</v>
      </c>
      <c r="Q377" s="3">
        <v>-2.43168E-2</v>
      </c>
      <c r="R377" s="3">
        <v>-2.60891E-2</v>
      </c>
      <c r="S377" s="3">
        <v>-2.6860999999999999E-2</v>
      </c>
      <c r="T377" s="3">
        <v>-2.6702199999999999E-2</v>
      </c>
      <c r="U377" s="3">
        <v>-2.5682699999999999E-2</v>
      </c>
      <c r="V377" s="3">
        <v>-2.38722E-2</v>
      </c>
      <c r="W377" s="3">
        <v>-2.1342E-2</v>
      </c>
      <c r="X377" s="3">
        <v>-1.8169500000000002E-2</v>
      </c>
      <c r="Y377" s="3">
        <v>-1.4433700000000001E-2</v>
      </c>
      <c r="Z377" s="3">
        <v>-1.0213699999999999E-2</v>
      </c>
      <c r="AA377" s="3">
        <v>-5.5883E-3</v>
      </c>
      <c r="AB377" s="3">
        <v>-6.3650000000000002E-4</v>
      </c>
      <c r="AC377" s="3">
        <v>4.5712000000000001E-3</v>
      </c>
      <c r="AD377" s="3">
        <v>9.9988999999999998E-3</v>
      </c>
      <c r="AE377" s="3">
        <v>1.56195E-2</v>
      </c>
      <c r="AF377" s="3">
        <v>2.14057E-2</v>
      </c>
      <c r="AG377" s="3">
        <v>2.73301E-2</v>
      </c>
      <c r="AH377" s="3">
        <v>3.3365499999999999E-2</v>
      </c>
      <c r="AI377" s="3">
        <v>3.9484699999999998E-2</v>
      </c>
      <c r="AJ377" s="3">
        <v>4.5660399999999997E-2</v>
      </c>
      <c r="AK377" s="3">
        <v>5.1865300000000003E-2</v>
      </c>
      <c r="AL377" s="3">
        <v>5.8072199999999997E-2</v>
      </c>
      <c r="AM377" s="3">
        <v>6.42538E-2</v>
      </c>
      <c r="AN377" s="3">
        <v>7.0382899999999998E-2</v>
      </c>
      <c r="AO377" s="3">
        <v>7.6436299999999999E-2</v>
      </c>
      <c r="AP377" s="3">
        <v>8.2407599999999998E-2</v>
      </c>
      <c r="AQ377" s="3">
        <v>8.8294600000000001E-2</v>
      </c>
      <c r="AR377" s="3">
        <v>9.4095100000000001E-2</v>
      </c>
      <c r="AS377" s="3">
        <v>9.9806800000000001E-2</v>
      </c>
      <c r="AT377" s="3">
        <v>0.1054274</v>
      </c>
      <c r="AU377" s="3">
        <v>0.1109547</v>
      </c>
      <c r="AV377" s="3">
        <v>0.1163864</v>
      </c>
      <c r="AW377" s="3">
        <v>0.1217203</v>
      </c>
      <c r="AX377" s="3">
        <v>0.12695419999999999</v>
      </c>
      <c r="AY377" s="3">
        <v>0.1320858</v>
      </c>
      <c r="AZ377" s="3">
        <v>0.13711280000000001</v>
      </c>
      <c r="BA377" s="3">
        <v>0.14203370000000001</v>
      </c>
      <c r="BB377" s="3">
        <v>0.1468506</v>
      </c>
      <c r="BC377" s="3">
        <v>0.1515669</v>
      </c>
      <c r="BD377" s="3">
        <v>0.15618599999999999</v>
      </c>
      <c r="BE377" s="3">
        <v>0.1607111</v>
      </c>
      <c r="BF377" s="3">
        <v>0.1651456</v>
      </c>
      <c r="BG377" s="3">
        <v>0.169493</v>
      </c>
      <c r="BH377" s="3">
        <v>0.17375650000000001</v>
      </c>
      <c r="BI377" s="3">
        <v>0.1779395</v>
      </c>
      <c r="BJ377" s="3">
        <v>0.1820454</v>
      </c>
      <c r="BK377" s="3">
        <v>0.18607750000000001</v>
      </c>
      <c r="BL377" s="3">
        <v>0.19003929999999999</v>
      </c>
      <c r="BM377" s="3" t="e">
        <v>#N/A</v>
      </c>
      <c r="BN377" s="3" t="e">
        <v>#N/A</v>
      </c>
    </row>
    <row r="378" spans="1:66" x14ac:dyDescent="0.35">
      <c r="A378" s="5">
        <f t="shared" si="5"/>
        <v>43984</v>
      </c>
      <c r="B378" t="s">
        <v>455</v>
      </c>
      <c r="C378" s="2">
        <v>0.1</v>
      </c>
      <c r="D378" s="2">
        <v>6.8599999999999994E-2</v>
      </c>
      <c r="E378" s="3">
        <v>6.5427200000000005E-2</v>
      </c>
      <c r="F378" s="3">
        <v>5.89007E-2</v>
      </c>
      <c r="G378" s="3">
        <v>5.0781699999999999E-2</v>
      </c>
      <c r="H378" s="3">
        <v>4.1802499999999999E-2</v>
      </c>
      <c r="I378" s="3">
        <v>3.2115200000000003E-2</v>
      </c>
      <c r="J378" s="3">
        <v>2.2070200000000002E-2</v>
      </c>
      <c r="K378" s="3">
        <v>1.21373E-2</v>
      </c>
      <c r="L378" s="3">
        <v>2.6955999999999998E-3</v>
      </c>
      <c r="M378" s="3">
        <v>-5.8698999999999999E-3</v>
      </c>
      <c r="N378" s="3">
        <v>-1.3267899999999999E-2</v>
      </c>
      <c r="O378" s="3">
        <v>-1.93416E-2</v>
      </c>
      <c r="P378" s="3">
        <v>-2.40491E-2</v>
      </c>
      <c r="Q378" s="3">
        <v>-2.73621E-2</v>
      </c>
      <c r="R378" s="3">
        <v>-2.9371999999999999E-2</v>
      </c>
      <c r="S378" s="3">
        <v>-3.0204399999999999E-2</v>
      </c>
      <c r="T378" s="3">
        <v>-2.9985000000000001E-2</v>
      </c>
      <c r="U378" s="3">
        <v>-2.8839299999999998E-2</v>
      </c>
      <c r="V378" s="3">
        <v>-2.68931E-2</v>
      </c>
      <c r="W378" s="3">
        <v>-2.4264399999999998E-2</v>
      </c>
      <c r="X378" s="3">
        <v>-2.1040099999999999E-2</v>
      </c>
      <c r="Y378" s="3">
        <v>-1.7298399999999998E-2</v>
      </c>
      <c r="Z378" s="3">
        <v>-1.3117800000000001E-2</v>
      </c>
      <c r="AA378" s="3">
        <v>-8.5768000000000007E-3</v>
      </c>
      <c r="AB378" s="3">
        <v>-3.7537999999999998E-3</v>
      </c>
      <c r="AC378" s="3">
        <v>1.2821E-3</v>
      </c>
      <c r="AD378" s="3">
        <v>6.4983999999999997E-3</v>
      </c>
      <c r="AE378" s="3">
        <v>1.1872199999999999E-2</v>
      </c>
      <c r="AF378" s="3">
        <v>1.7380099999999999E-2</v>
      </c>
      <c r="AG378" s="3">
        <v>2.2999200000000001E-2</v>
      </c>
      <c r="AH378" s="3">
        <v>2.8706300000000001E-2</v>
      </c>
      <c r="AI378" s="3">
        <v>3.4478300000000003E-2</v>
      </c>
      <c r="AJ378" s="3">
        <v>4.0292000000000001E-2</v>
      </c>
      <c r="AK378" s="3">
        <v>4.6124400000000003E-2</v>
      </c>
      <c r="AL378" s="3">
        <v>5.19523E-2</v>
      </c>
      <c r="AM378" s="3">
        <v>5.7752600000000001E-2</v>
      </c>
      <c r="AN378" s="3">
        <v>6.3502199999999995E-2</v>
      </c>
      <c r="AO378" s="3">
        <v>6.9181599999999996E-2</v>
      </c>
      <c r="AP378" s="3">
        <v>7.4786000000000005E-2</v>
      </c>
      <c r="AQ378" s="3">
        <v>8.0314099999999999E-2</v>
      </c>
      <c r="AR378" s="3">
        <v>8.5764800000000002E-2</v>
      </c>
      <c r="AS378" s="3">
        <v>9.1136900000000007E-2</v>
      </c>
      <c r="AT378" s="3">
        <v>9.6429100000000004E-2</v>
      </c>
      <c r="AU378" s="3">
        <v>0.1016403</v>
      </c>
      <c r="AV378" s="3">
        <v>0.1067693</v>
      </c>
      <c r="AW378" s="3">
        <v>0.11181480000000001</v>
      </c>
      <c r="AX378" s="3">
        <v>0.1167757</v>
      </c>
      <c r="AY378" s="3">
        <v>0.1216507</v>
      </c>
      <c r="AZ378" s="3">
        <v>0.12643869999999999</v>
      </c>
      <c r="BA378" s="3">
        <v>0.13113910000000001</v>
      </c>
      <c r="BB378" s="3">
        <v>0.1357545</v>
      </c>
      <c r="BC378" s="3">
        <v>0.14028840000000001</v>
      </c>
      <c r="BD378" s="3">
        <v>0.1447444</v>
      </c>
      <c r="BE378" s="3">
        <v>0.14912590000000001</v>
      </c>
      <c r="BF378" s="3">
        <v>0.15343670000000001</v>
      </c>
      <c r="BG378" s="3">
        <v>0.15768009999999999</v>
      </c>
      <c r="BH378" s="3">
        <v>0.1618597</v>
      </c>
      <c r="BI378" s="3">
        <v>0.16597899999999999</v>
      </c>
      <c r="BJ378" s="3">
        <v>0.17004169999999999</v>
      </c>
      <c r="BK378" s="3">
        <v>0.17405119999999999</v>
      </c>
      <c r="BL378" s="3">
        <v>0.17801110000000001</v>
      </c>
      <c r="BM378" s="3" t="e">
        <v>#N/A</v>
      </c>
      <c r="BN378" s="3" t="e">
        <v>#N/A</v>
      </c>
    </row>
    <row r="379" spans="1:66" x14ac:dyDescent="0.35">
      <c r="A379" s="5">
        <f t="shared" si="5"/>
        <v>43985</v>
      </c>
      <c r="B379" t="s">
        <v>456</v>
      </c>
      <c r="C379" s="2">
        <v>0.1</v>
      </c>
      <c r="D379" s="2">
        <v>6.8500000000000005E-2</v>
      </c>
      <c r="E379" s="3">
        <v>6.3713199999999998E-2</v>
      </c>
      <c r="F379" s="3">
        <v>5.7942300000000002E-2</v>
      </c>
      <c r="G379" s="3">
        <v>5.0441E-2</v>
      </c>
      <c r="H379" s="3">
        <v>4.2138099999999998E-2</v>
      </c>
      <c r="I379" s="3">
        <v>3.3235300000000002E-2</v>
      </c>
      <c r="J379" s="3">
        <v>2.43617E-2</v>
      </c>
      <c r="K379" s="3">
        <v>1.6251999999999999E-2</v>
      </c>
      <c r="L379" s="3">
        <v>9.1175000000000006E-3</v>
      </c>
      <c r="M379" s="3">
        <v>2.9791000000000002E-3</v>
      </c>
      <c r="N379" s="3">
        <v>-2.1775000000000002E-3</v>
      </c>
      <c r="O379" s="3">
        <v>-6.3756999999999998E-3</v>
      </c>
      <c r="P379" s="3">
        <v>-9.5811999999999998E-3</v>
      </c>
      <c r="Q379" s="3">
        <v>-1.17777E-2</v>
      </c>
      <c r="R379" s="3">
        <v>-1.3006500000000001E-2</v>
      </c>
      <c r="S379" s="3">
        <v>-1.3321100000000001E-2</v>
      </c>
      <c r="T379" s="3">
        <v>-1.2775399999999999E-2</v>
      </c>
      <c r="U379" s="3">
        <v>-1.14232E-2</v>
      </c>
      <c r="V379" s="3">
        <v>-9.3180999999999993E-3</v>
      </c>
      <c r="W379" s="3">
        <v>-6.5189000000000002E-3</v>
      </c>
      <c r="X379" s="3">
        <v>-3.1047000000000002E-3</v>
      </c>
      <c r="Y379" s="3">
        <v>8.3989999999999998E-4</v>
      </c>
      <c r="Z379" s="3">
        <v>5.2300999999999997E-3</v>
      </c>
      <c r="AA379" s="3">
        <v>9.9813000000000002E-3</v>
      </c>
      <c r="AB379" s="3">
        <v>1.5009E-2</v>
      </c>
      <c r="AC379" s="3">
        <v>2.0239099999999999E-2</v>
      </c>
      <c r="AD379" s="3">
        <v>2.56406E-2</v>
      </c>
      <c r="AE379" s="3">
        <v>3.1193100000000001E-2</v>
      </c>
      <c r="AF379" s="3">
        <v>3.6876199999999998E-2</v>
      </c>
      <c r="AG379" s="3">
        <v>4.2669600000000002E-2</v>
      </c>
      <c r="AH379" s="3">
        <v>4.85528E-2</v>
      </c>
      <c r="AI379" s="3">
        <v>5.4505400000000002E-2</v>
      </c>
      <c r="AJ379" s="3">
        <v>6.0507100000000001E-2</v>
      </c>
      <c r="AK379" s="3">
        <v>6.6537399999999997E-2</v>
      </c>
      <c r="AL379" s="3">
        <v>7.2576100000000004E-2</v>
      </c>
      <c r="AM379" s="3">
        <v>7.8602599999999995E-2</v>
      </c>
      <c r="AN379" s="3">
        <v>8.4596699999999997E-2</v>
      </c>
      <c r="AO379" s="3">
        <v>9.0540599999999999E-2</v>
      </c>
      <c r="AP379" s="3">
        <v>9.6429899999999999E-2</v>
      </c>
      <c r="AQ379" s="3">
        <v>0.1022642</v>
      </c>
      <c r="AR379" s="3">
        <v>0.1080429</v>
      </c>
      <c r="AS379" s="3">
        <v>0.1137657</v>
      </c>
      <c r="AT379" s="3">
        <v>0.1194321</v>
      </c>
      <c r="AU379" s="3">
        <v>0.1250416</v>
      </c>
      <c r="AV379" s="3">
        <v>0.13059390000000001</v>
      </c>
      <c r="AW379" s="3">
        <v>0.1360885</v>
      </c>
      <c r="AX379" s="3">
        <v>0.14152490000000001</v>
      </c>
      <c r="AY379" s="3">
        <v>0.1469027</v>
      </c>
      <c r="AZ379" s="3">
        <v>0.15222140000000001</v>
      </c>
      <c r="BA379" s="3">
        <v>0.1574808</v>
      </c>
      <c r="BB379" s="3">
        <v>0.16268160000000001</v>
      </c>
      <c r="BC379" s="3">
        <v>0.16782469999999999</v>
      </c>
      <c r="BD379" s="3">
        <v>0.1729108</v>
      </c>
      <c r="BE379" s="3">
        <v>0.17794090000000001</v>
      </c>
      <c r="BF379" s="3">
        <v>0.18291589999999999</v>
      </c>
      <c r="BG379" s="3">
        <v>0.18783659999999999</v>
      </c>
      <c r="BH379" s="3">
        <v>0.19270390000000001</v>
      </c>
      <c r="BI379" s="3">
        <v>0.19751879999999999</v>
      </c>
      <c r="BJ379" s="3">
        <v>0.20228199999999999</v>
      </c>
      <c r="BK379" s="3">
        <v>0.2069945</v>
      </c>
      <c r="BL379" s="3">
        <v>0.21165709999999999</v>
      </c>
      <c r="BM379" s="3" t="e">
        <v>#N/A</v>
      </c>
      <c r="BN379" s="3" t="e">
        <v>#N/A</v>
      </c>
    </row>
    <row r="380" spans="1:66" x14ac:dyDescent="0.35">
      <c r="A380" s="5">
        <f t="shared" si="5"/>
        <v>43986</v>
      </c>
      <c r="B380" t="s">
        <v>457</v>
      </c>
      <c r="C380" s="2">
        <v>0.1</v>
      </c>
      <c r="D380" s="2">
        <v>6.93E-2</v>
      </c>
      <c r="E380" s="3">
        <v>6.6298599999999999E-2</v>
      </c>
      <c r="F380" s="3">
        <v>6.2855900000000006E-2</v>
      </c>
      <c r="G380" s="3">
        <v>5.7373399999999998E-2</v>
      </c>
      <c r="H380" s="3">
        <v>5.0361400000000001E-2</v>
      </c>
      <c r="I380" s="3">
        <v>4.2185500000000001E-2</v>
      </c>
      <c r="J380" s="3">
        <v>3.35511E-2</v>
      </c>
      <c r="K380" s="3">
        <v>2.5223499999999999E-2</v>
      </c>
      <c r="L380" s="3">
        <v>1.7638600000000001E-2</v>
      </c>
      <c r="M380" s="3">
        <v>1.1073400000000001E-2</v>
      </c>
      <c r="N380" s="3">
        <v>5.6493000000000003E-3</v>
      </c>
      <c r="O380" s="3">
        <v>1.3642000000000001E-3</v>
      </c>
      <c r="P380" s="3">
        <v>-1.8041000000000001E-3</v>
      </c>
      <c r="Q380" s="3">
        <v>-3.9458999999999996E-3</v>
      </c>
      <c r="R380" s="3">
        <v>-5.1211E-3</v>
      </c>
      <c r="S380" s="3">
        <v>-5.3772000000000004E-3</v>
      </c>
      <c r="T380" s="3">
        <v>-4.7613999999999998E-3</v>
      </c>
      <c r="U380" s="3">
        <v>-3.3208999999999999E-3</v>
      </c>
      <c r="V380" s="3">
        <v>-1.1031000000000001E-3</v>
      </c>
      <c r="W380" s="3">
        <v>1.8423000000000001E-3</v>
      </c>
      <c r="X380" s="3">
        <v>5.4542999999999996E-3</v>
      </c>
      <c r="Y380" s="3">
        <v>9.6679000000000001E-3</v>
      </c>
      <c r="Z380" s="3">
        <v>1.4418E-2</v>
      </c>
      <c r="AA380" s="3">
        <v>1.9639799999999999E-2</v>
      </c>
      <c r="AB380" s="3">
        <v>2.52683E-2</v>
      </c>
      <c r="AC380" s="3">
        <v>3.1242700000000002E-2</v>
      </c>
      <c r="AD380" s="3">
        <v>3.7522800000000002E-2</v>
      </c>
      <c r="AE380" s="3">
        <v>4.4074500000000003E-2</v>
      </c>
      <c r="AF380" s="3">
        <v>5.0863999999999999E-2</v>
      </c>
      <c r="AG380" s="3">
        <v>5.7857100000000002E-2</v>
      </c>
      <c r="AH380" s="3">
        <v>6.5019900000000005E-2</v>
      </c>
      <c r="AI380" s="3">
        <v>7.2318300000000002E-2</v>
      </c>
      <c r="AJ380" s="3">
        <v>7.9718399999999995E-2</v>
      </c>
      <c r="AK380" s="3">
        <v>8.7186200000000005E-2</v>
      </c>
      <c r="AL380" s="3">
        <v>9.4687499999999994E-2</v>
      </c>
      <c r="AM380" s="3">
        <v>0.1021885</v>
      </c>
      <c r="AN380" s="3">
        <v>0.10965519999999999</v>
      </c>
      <c r="AO380" s="3">
        <v>0.117058</v>
      </c>
      <c r="AP380" s="3">
        <v>0.1243875</v>
      </c>
      <c r="AQ380" s="3">
        <v>0.1316399</v>
      </c>
      <c r="AR380" s="3">
        <v>0.1388112</v>
      </c>
      <c r="AS380" s="3">
        <v>0.14589759999999999</v>
      </c>
      <c r="AT380" s="3">
        <v>0.15289520000000001</v>
      </c>
      <c r="AU380" s="3">
        <v>0.1598</v>
      </c>
      <c r="AV380" s="3">
        <v>0.16660829999999999</v>
      </c>
      <c r="AW380" s="3">
        <v>0.1733161</v>
      </c>
      <c r="AX380" s="3">
        <v>0.17991950000000001</v>
      </c>
      <c r="AY380" s="3">
        <v>0.18641460000000001</v>
      </c>
      <c r="AZ380" s="3">
        <v>0.19279750000000001</v>
      </c>
      <c r="BA380" s="3">
        <v>0.19906550000000001</v>
      </c>
      <c r="BB380" s="3">
        <v>0.2052205</v>
      </c>
      <c r="BC380" s="3">
        <v>0.2112657</v>
      </c>
      <c r="BD380" s="3">
        <v>0.21720439999999999</v>
      </c>
      <c r="BE380" s="3">
        <v>0.22303980000000001</v>
      </c>
      <c r="BF380" s="3">
        <v>0.22877529999999999</v>
      </c>
      <c r="BG380" s="3">
        <v>0.23441400000000001</v>
      </c>
      <c r="BH380" s="3">
        <v>0.23995929999999999</v>
      </c>
      <c r="BI380" s="3">
        <v>0.24541450000000001</v>
      </c>
      <c r="BJ380" s="3">
        <v>0.25078260000000002</v>
      </c>
      <c r="BK380" s="3">
        <v>0.25606709999999999</v>
      </c>
      <c r="BL380" s="3">
        <v>0.26127119999999998</v>
      </c>
      <c r="BM380" s="3" t="e">
        <v>#N/A</v>
      </c>
      <c r="BN380" s="3" t="e">
        <v>#N/A</v>
      </c>
    </row>
    <row r="381" spans="1:66" x14ac:dyDescent="0.35">
      <c r="A381" s="5">
        <f t="shared" si="5"/>
        <v>43987</v>
      </c>
      <c r="B381" t="s">
        <v>458</v>
      </c>
      <c r="C381" s="2">
        <v>0.1</v>
      </c>
      <c r="D381" s="2">
        <v>6.7900000000000002E-2</v>
      </c>
      <c r="E381" s="3">
        <v>6.9459400000000004E-2</v>
      </c>
      <c r="F381" s="3">
        <v>6.0777600000000001E-2</v>
      </c>
      <c r="G381" s="3">
        <v>5.3148399999999998E-2</v>
      </c>
      <c r="H381" s="3">
        <v>4.6795900000000001E-2</v>
      </c>
      <c r="I381" s="3">
        <v>4.0048199999999999E-2</v>
      </c>
      <c r="J381" s="3">
        <v>3.3611099999999998E-2</v>
      </c>
      <c r="K381" s="3">
        <v>2.8146000000000001E-2</v>
      </c>
      <c r="L381" s="3">
        <v>2.3345500000000002E-2</v>
      </c>
      <c r="M381" s="3">
        <v>1.9170900000000001E-2</v>
      </c>
      <c r="N381" s="3">
        <v>1.55111E-2</v>
      </c>
      <c r="O381" s="3">
        <v>1.23943E-2</v>
      </c>
      <c r="P381" s="3">
        <v>1.04709E-2</v>
      </c>
      <c r="Q381" s="3">
        <v>9.9381999999999995E-3</v>
      </c>
      <c r="R381" s="3">
        <v>1.0671099999999999E-2</v>
      </c>
      <c r="S381" s="3">
        <v>1.2492100000000001E-2</v>
      </c>
      <c r="T381" s="3">
        <v>1.5223499999999999E-2</v>
      </c>
      <c r="U381" s="3">
        <v>1.8687700000000002E-2</v>
      </c>
      <c r="V381" s="3">
        <v>2.2707100000000001E-2</v>
      </c>
      <c r="W381" s="3">
        <v>2.7125099999999999E-2</v>
      </c>
      <c r="X381" s="3">
        <v>3.1882899999999999E-2</v>
      </c>
      <c r="Y381" s="3">
        <v>3.6950299999999998E-2</v>
      </c>
      <c r="Z381" s="3">
        <v>4.22967E-2</v>
      </c>
      <c r="AA381" s="3">
        <v>4.7891799999999998E-2</v>
      </c>
      <c r="AB381" s="3">
        <v>5.3705200000000002E-2</v>
      </c>
      <c r="AC381" s="3">
        <v>5.9708600000000001E-2</v>
      </c>
      <c r="AD381" s="3">
        <v>6.5882800000000005E-2</v>
      </c>
      <c r="AE381" s="3">
        <v>7.22111E-2</v>
      </c>
      <c r="AF381" s="3">
        <v>7.8676899999999994E-2</v>
      </c>
      <c r="AG381" s="3">
        <v>8.5263500000000006E-2</v>
      </c>
      <c r="AH381" s="3">
        <v>9.1954300000000003E-2</v>
      </c>
      <c r="AI381" s="3">
        <v>9.8732600000000004E-2</v>
      </c>
      <c r="AJ381" s="3">
        <v>0.1055818</v>
      </c>
      <c r="AK381" s="3">
        <v>0.1124851</v>
      </c>
      <c r="AL381" s="3">
        <v>0.11942609999999999</v>
      </c>
      <c r="AM381" s="3">
        <v>0.1263879</v>
      </c>
      <c r="AN381" s="3">
        <v>0.1333539</v>
      </c>
      <c r="AO381" s="3">
        <v>0.1403093</v>
      </c>
      <c r="AP381" s="3">
        <v>0.1472464</v>
      </c>
      <c r="AQ381" s="3">
        <v>0.1541592</v>
      </c>
      <c r="AR381" s="3">
        <v>0.16104180000000001</v>
      </c>
      <c r="AS381" s="3">
        <v>0.16788829999999999</v>
      </c>
      <c r="AT381" s="3">
        <v>0.17469270000000001</v>
      </c>
      <c r="AU381" s="3">
        <v>0.1814492</v>
      </c>
      <c r="AV381" s="3">
        <v>0.18815180000000001</v>
      </c>
      <c r="AW381" s="3">
        <v>0.19479460000000001</v>
      </c>
      <c r="AX381" s="3">
        <v>0.20137160000000001</v>
      </c>
      <c r="AY381" s="3">
        <v>0.2078769</v>
      </c>
      <c r="AZ381" s="3">
        <v>0.21430469999999999</v>
      </c>
      <c r="BA381" s="3">
        <v>0.22065019999999999</v>
      </c>
      <c r="BB381" s="3">
        <v>0.22691439999999999</v>
      </c>
      <c r="BC381" s="3">
        <v>0.2330998</v>
      </c>
      <c r="BD381" s="3">
        <v>0.2392089</v>
      </c>
      <c r="BE381" s="3">
        <v>0.2452442</v>
      </c>
      <c r="BF381" s="3">
        <v>0.25120819999999999</v>
      </c>
      <c r="BG381" s="3">
        <v>0.25710329999999998</v>
      </c>
      <c r="BH381" s="3">
        <v>0.2629321</v>
      </c>
      <c r="BI381" s="3">
        <v>0.26869710000000002</v>
      </c>
      <c r="BJ381" s="3">
        <v>0.2744007</v>
      </c>
      <c r="BK381" s="3">
        <v>0.2800455</v>
      </c>
      <c r="BL381" s="3">
        <v>0.285634</v>
      </c>
      <c r="BM381" s="3" t="e">
        <v>#N/A</v>
      </c>
      <c r="BN381" s="3" t="e">
        <v>#N/A</v>
      </c>
    </row>
    <row r="382" spans="1:66" x14ac:dyDescent="0.35">
      <c r="A382" s="5">
        <f t="shared" si="5"/>
        <v>43990</v>
      </c>
      <c r="B382" t="s">
        <v>459</v>
      </c>
      <c r="C382" s="2">
        <v>0.1</v>
      </c>
      <c r="D382" s="2">
        <v>6.6000000000000003E-2</v>
      </c>
      <c r="E382" s="3">
        <v>6.8105399999999996E-2</v>
      </c>
      <c r="F382" s="3">
        <v>6.515E-2</v>
      </c>
      <c r="G382" s="3">
        <v>6.0810000000000003E-2</v>
      </c>
      <c r="H382" s="3">
        <v>5.5159699999999999E-2</v>
      </c>
      <c r="I382" s="3">
        <v>4.8707599999999997E-2</v>
      </c>
      <c r="J382" s="3">
        <v>4.2063000000000003E-2</v>
      </c>
      <c r="K382" s="3">
        <v>3.5666700000000003E-2</v>
      </c>
      <c r="L382" s="3">
        <v>2.9731E-2</v>
      </c>
      <c r="M382" s="3">
        <v>2.4519699999999998E-2</v>
      </c>
      <c r="N382" s="3">
        <v>2.02746E-2</v>
      </c>
      <c r="O382" s="3">
        <v>1.71808E-2</v>
      </c>
      <c r="P382" s="3">
        <v>1.5293899999999999E-2</v>
      </c>
      <c r="Q382" s="3">
        <v>1.45699E-2</v>
      </c>
      <c r="R382" s="3">
        <v>1.49137E-2</v>
      </c>
      <c r="S382" s="3">
        <v>1.6222199999999999E-2</v>
      </c>
      <c r="T382" s="3">
        <v>1.83924E-2</v>
      </c>
      <c r="U382" s="3">
        <v>2.1321099999999999E-2</v>
      </c>
      <c r="V382" s="3">
        <v>2.4905299999999998E-2</v>
      </c>
      <c r="W382" s="3">
        <v>2.9048500000000001E-2</v>
      </c>
      <c r="X382" s="3">
        <v>3.3682400000000001E-2</v>
      </c>
      <c r="Y382" s="3">
        <v>3.8746099999999999E-2</v>
      </c>
      <c r="Z382" s="3">
        <v>4.4178500000000002E-2</v>
      </c>
      <c r="AA382" s="3">
        <v>4.9918799999999999E-2</v>
      </c>
      <c r="AB382" s="3">
        <v>5.5905999999999997E-2</v>
      </c>
      <c r="AC382" s="3">
        <v>6.2086000000000002E-2</v>
      </c>
      <c r="AD382" s="3">
        <v>6.8431400000000003E-2</v>
      </c>
      <c r="AE382" s="3">
        <v>7.49219E-2</v>
      </c>
      <c r="AF382" s="3">
        <v>8.1537100000000001E-2</v>
      </c>
      <c r="AG382" s="3">
        <v>8.8256399999999999E-2</v>
      </c>
      <c r="AH382" s="3">
        <v>9.5059599999999994E-2</v>
      </c>
      <c r="AI382" s="3">
        <v>0.101926</v>
      </c>
      <c r="AJ382" s="3">
        <v>0.1088353</v>
      </c>
      <c r="AK382" s="3">
        <v>0.1157671</v>
      </c>
      <c r="AL382" s="3">
        <v>0.1227009</v>
      </c>
      <c r="AM382" s="3">
        <v>0.12961619999999999</v>
      </c>
      <c r="AN382" s="3">
        <v>0.13649269999999999</v>
      </c>
      <c r="AO382" s="3">
        <v>0.14331279999999999</v>
      </c>
      <c r="AP382" s="3">
        <v>0.15007119999999999</v>
      </c>
      <c r="AQ382" s="3">
        <v>0.1567653</v>
      </c>
      <c r="AR382" s="3">
        <v>0.1633926</v>
      </c>
      <c r="AS382" s="3">
        <v>0.16995080000000001</v>
      </c>
      <c r="AT382" s="3">
        <v>0.17643729999999999</v>
      </c>
      <c r="AU382" s="3">
        <v>0.1828496</v>
      </c>
      <c r="AV382" s="3">
        <v>0.1891853</v>
      </c>
      <c r="AW382" s="3">
        <v>0.1954419</v>
      </c>
      <c r="AX382" s="3">
        <v>0.20161689999999999</v>
      </c>
      <c r="AY382" s="3">
        <v>0.2077079</v>
      </c>
      <c r="AZ382" s="3">
        <v>0.2137124</v>
      </c>
      <c r="BA382" s="3">
        <v>0.2196285</v>
      </c>
      <c r="BB382" s="3">
        <v>0.22545780000000001</v>
      </c>
      <c r="BC382" s="3">
        <v>0.23120309999999999</v>
      </c>
      <c r="BD382" s="3">
        <v>0.2368671</v>
      </c>
      <c r="BE382" s="3">
        <v>0.24245249999999999</v>
      </c>
      <c r="BF382" s="3">
        <v>0.24796209999999999</v>
      </c>
      <c r="BG382" s="3">
        <v>0.25339850000000003</v>
      </c>
      <c r="BH382" s="3">
        <v>0.25876460000000001</v>
      </c>
      <c r="BI382" s="3">
        <v>0.26406299999999999</v>
      </c>
      <c r="BJ382" s="3">
        <v>0.26929649999999999</v>
      </c>
      <c r="BK382" s="3">
        <v>0.27446769999999998</v>
      </c>
      <c r="BL382" s="3">
        <v>0.27957959999999998</v>
      </c>
      <c r="BM382" s="3" t="e">
        <v>#N/A</v>
      </c>
      <c r="BN382" s="3" t="e">
        <v>#N/A</v>
      </c>
    </row>
    <row r="383" spans="1:66" x14ac:dyDescent="0.35">
      <c r="A383" s="5">
        <f t="shared" si="5"/>
        <v>43991</v>
      </c>
      <c r="B383" t="s">
        <v>460</v>
      </c>
      <c r="C383" s="2">
        <v>0.1</v>
      </c>
      <c r="D383" s="2">
        <v>6.6000000000000003E-2</v>
      </c>
      <c r="E383" s="3">
        <v>6.7212400000000005E-2</v>
      </c>
      <c r="F383" s="3">
        <v>6.3544100000000006E-2</v>
      </c>
      <c r="G383" s="3">
        <v>5.8461199999999998E-2</v>
      </c>
      <c r="H383" s="3">
        <v>5.1763499999999997E-2</v>
      </c>
      <c r="I383" s="3">
        <v>4.3993499999999998E-2</v>
      </c>
      <c r="J383" s="3">
        <v>3.6248900000000001E-2</v>
      </c>
      <c r="K383" s="3">
        <v>2.9406700000000001E-2</v>
      </c>
      <c r="L383" s="3">
        <v>2.3912300000000001E-2</v>
      </c>
      <c r="M383" s="3">
        <v>2.0054499999999999E-2</v>
      </c>
      <c r="N383" s="3">
        <v>1.7829600000000001E-2</v>
      </c>
      <c r="O383" s="3">
        <v>1.7068199999999999E-2</v>
      </c>
      <c r="P383" s="3">
        <v>1.7468299999999999E-2</v>
      </c>
      <c r="Q383" s="3">
        <v>1.85617E-2</v>
      </c>
      <c r="R383" s="3">
        <v>2.0255700000000001E-2</v>
      </c>
      <c r="S383" s="3">
        <v>2.2568600000000001E-2</v>
      </c>
      <c r="T383" s="3">
        <v>2.5518599999999999E-2</v>
      </c>
      <c r="U383" s="3">
        <v>2.91241E-2</v>
      </c>
      <c r="V383" s="3">
        <v>3.3403099999999998E-2</v>
      </c>
      <c r="W383" s="3">
        <v>3.83516E-2</v>
      </c>
      <c r="X383" s="3">
        <v>4.3871100000000003E-2</v>
      </c>
      <c r="Y383" s="3">
        <v>4.9838599999999997E-2</v>
      </c>
      <c r="Z383" s="3">
        <v>5.6130800000000002E-2</v>
      </c>
      <c r="AA383" s="3">
        <v>6.2624600000000002E-2</v>
      </c>
      <c r="AB383" s="3">
        <v>6.9196900000000006E-2</v>
      </c>
      <c r="AC383" s="3">
        <v>7.5745000000000007E-2</v>
      </c>
      <c r="AD383" s="3">
        <v>8.2248000000000002E-2</v>
      </c>
      <c r="AE383" s="3">
        <v>8.8705500000000007E-2</v>
      </c>
      <c r="AF383" s="3">
        <v>9.5117099999999996E-2</v>
      </c>
      <c r="AG383" s="3">
        <v>0.1014823</v>
      </c>
      <c r="AH383" s="3">
        <v>0.1078008</v>
      </c>
      <c r="AI383" s="3">
        <v>0.1140721</v>
      </c>
      <c r="AJ383" s="3">
        <v>0.1202959</v>
      </c>
      <c r="AK383" s="3">
        <v>0.12647169999999999</v>
      </c>
      <c r="AL383" s="3">
        <v>0.13259899999999999</v>
      </c>
      <c r="AM383" s="3">
        <v>0.13867760000000001</v>
      </c>
      <c r="AN383" s="3">
        <v>0.1447069</v>
      </c>
      <c r="AO383" s="3">
        <v>0.15068699999999999</v>
      </c>
      <c r="AP383" s="3">
        <v>0.15661990000000001</v>
      </c>
      <c r="AQ383" s="3">
        <v>0.1625077</v>
      </c>
      <c r="AR383" s="3">
        <v>0.168353</v>
      </c>
      <c r="AS383" s="3">
        <v>0.1741579</v>
      </c>
      <c r="AT383" s="3">
        <v>0.1799249</v>
      </c>
      <c r="AU383" s="3">
        <v>0.1856564</v>
      </c>
      <c r="AV383" s="3">
        <v>0.19135450000000001</v>
      </c>
      <c r="AW383" s="3">
        <v>0.1970218</v>
      </c>
      <c r="AX383" s="3">
        <v>0.20266049999999999</v>
      </c>
      <c r="AY383" s="3">
        <v>0.20827290000000001</v>
      </c>
      <c r="AZ383" s="3">
        <v>0.21386150000000001</v>
      </c>
      <c r="BA383" s="3">
        <v>0.21942800000000001</v>
      </c>
      <c r="BB383" s="3">
        <v>0.22497120000000001</v>
      </c>
      <c r="BC383" s="3">
        <v>0.23048930000000001</v>
      </c>
      <c r="BD383" s="3">
        <v>0.23598040000000001</v>
      </c>
      <c r="BE383" s="3">
        <v>0.2414425</v>
      </c>
      <c r="BF383" s="3">
        <v>0.2468737</v>
      </c>
      <c r="BG383" s="3">
        <v>0.2522721</v>
      </c>
      <c r="BH383" s="3">
        <v>0.25763570000000002</v>
      </c>
      <c r="BI383" s="3">
        <v>0.26296259999999999</v>
      </c>
      <c r="BJ383" s="3">
        <v>0.26825090000000001</v>
      </c>
      <c r="BK383" s="3">
        <v>0.27349859999999998</v>
      </c>
      <c r="BL383" s="3">
        <v>0.2787038</v>
      </c>
      <c r="BM383" s="3" t="e">
        <v>#N/A</v>
      </c>
      <c r="BN383" s="3" t="e">
        <v>#N/A</v>
      </c>
    </row>
    <row r="384" spans="1:66" x14ac:dyDescent="0.35">
      <c r="A384" s="5">
        <f t="shared" si="5"/>
        <v>43992</v>
      </c>
      <c r="B384" t="s">
        <v>461</v>
      </c>
      <c r="C384" s="2">
        <v>0.1</v>
      </c>
      <c r="D384" s="2">
        <v>6.5699999999999995E-2</v>
      </c>
      <c r="E384" s="3">
        <v>6.7832500000000004E-2</v>
      </c>
      <c r="F384" s="3">
        <v>6.2995099999999998E-2</v>
      </c>
      <c r="G384" s="3">
        <v>5.6507000000000002E-2</v>
      </c>
      <c r="H384" s="3">
        <v>4.9150399999999997E-2</v>
      </c>
      <c r="I384" s="3">
        <v>4.1102E-2</v>
      </c>
      <c r="J384" s="3">
        <v>3.2844600000000002E-2</v>
      </c>
      <c r="K384" s="3">
        <v>2.4972600000000001E-2</v>
      </c>
      <c r="L384" s="3">
        <v>1.77573E-2</v>
      </c>
      <c r="M384" s="3">
        <v>1.1353200000000001E-2</v>
      </c>
      <c r="N384" s="3">
        <v>5.9153000000000001E-3</v>
      </c>
      <c r="O384" s="3">
        <v>1.5564000000000001E-3</v>
      </c>
      <c r="P384" s="3">
        <v>-1.6329999999999999E-3</v>
      </c>
      <c r="Q384" s="3">
        <v>-3.6015000000000001E-3</v>
      </c>
      <c r="R384" s="3">
        <v>-4.4374000000000002E-3</v>
      </c>
      <c r="S384" s="3">
        <v>-4.2642000000000001E-3</v>
      </c>
      <c r="T384" s="3">
        <v>-3.2054000000000002E-3</v>
      </c>
      <c r="U384" s="3">
        <v>-1.3845000000000001E-3</v>
      </c>
      <c r="V384" s="3">
        <v>1.0751000000000001E-3</v>
      </c>
      <c r="W384" s="3">
        <v>4.0577E-3</v>
      </c>
      <c r="X384" s="3">
        <v>7.4803999999999999E-3</v>
      </c>
      <c r="Y384" s="3">
        <v>1.1269100000000001E-2</v>
      </c>
      <c r="Z384" s="3">
        <v>1.5349700000000001E-2</v>
      </c>
      <c r="AA384" s="3">
        <v>1.9647899999999999E-2</v>
      </c>
      <c r="AB384" s="3">
        <v>2.4089599999999999E-2</v>
      </c>
      <c r="AC384" s="3">
        <v>2.86124E-2</v>
      </c>
      <c r="AD384" s="3">
        <v>3.32007E-2</v>
      </c>
      <c r="AE384" s="3">
        <v>3.78509E-2</v>
      </c>
      <c r="AF384" s="3">
        <v>4.2559199999999998E-2</v>
      </c>
      <c r="AG384" s="3">
        <v>4.73219E-2</v>
      </c>
      <c r="AH384" s="3">
        <v>5.2135399999999998E-2</v>
      </c>
      <c r="AI384" s="3">
        <v>5.6995900000000002E-2</v>
      </c>
      <c r="AJ384" s="3">
        <v>6.1899599999999999E-2</v>
      </c>
      <c r="AK384" s="3">
        <v>6.6842899999999997E-2</v>
      </c>
      <c r="AL384" s="3">
        <v>7.1821999999999997E-2</v>
      </c>
      <c r="AM384" s="3">
        <v>7.6833299999999993E-2</v>
      </c>
      <c r="AN384" s="3">
        <v>8.1873000000000001E-2</v>
      </c>
      <c r="AO384" s="3">
        <v>8.6937200000000006E-2</v>
      </c>
      <c r="AP384" s="3">
        <v>9.2022099999999996E-2</v>
      </c>
      <c r="AQ384" s="3">
        <v>9.7123200000000007E-2</v>
      </c>
      <c r="AR384" s="3">
        <v>0.10223649999999999</v>
      </c>
      <c r="AS384" s="3">
        <v>0.1073577</v>
      </c>
      <c r="AT384" s="3">
        <v>0.1124827</v>
      </c>
      <c r="AU384" s="3">
        <v>0.1176072</v>
      </c>
      <c r="AV384" s="3">
        <v>0.12272710000000001</v>
      </c>
      <c r="AW384" s="3">
        <v>0.12783810000000001</v>
      </c>
      <c r="AX384" s="3">
        <v>0.1329361</v>
      </c>
      <c r="AY384" s="3">
        <v>0.1380168</v>
      </c>
      <c r="AZ384" s="3">
        <v>0.14307610000000001</v>
      </c>
      <c r="BA384" s="3">
        <v>0.14811009999999999</v>
      </c>
      <c r="BB384" s="3">
        <v>0.15311659999999999</v>
      </c>
      <c r="BC384" s="3">
        <v>0.1580935</v>
      </c>
      <c r="BD384" s="3">
        <v>0.16303909999999999</v>
      </c>
      <c r="BE384" s="3">
        <v>0.1679513</v>
      </c>
      <c r="BF384" s="3">
        <v>0.17282839999999999</v>
      </c>
      <c r="BG384" s="3">
        <v>0.1776684</v>
      </c>
      <c r="BH384" s="3">
        <v>0.18246950000000001</v>
      </c>
      <c r="BI384" s="3">
        <v>0.1872296</v>
      </c>
      <c r="BJ384" s="3">
        <v>0.19194700000000001</v>
      </c>
      <c r="BK384" s="3">
        <v>0.19661980000000001</v>
      </c>
      <c r="BL384" s="3">
        <v>0.20124590000000001</v>
      </c>
      <c r="BM384" s="3" t="e">
        <v>#N/A</v>
      </c>
      <c r="BN384" s="3" t="e">
        <v>#N/A</v>
      </c>
    </row>
    <row r="385" spans="1:66" x14ac:dyDescent="0.35">
      <c r="A385" s="5">
        <f t="shared" si="5"/>
        <v>43993</v>
      </c>
      <c r="B385" t="s">
        <v>462</v>
      </c>
      <c r="C385" s="2">
        <v>0.1</v>
      </c>
      <c r="D385" s="2">
        <v>6.5100000000000005E-2</v>
      </c>
      <c r="E385" s="3">
        <v>6.7584400000000003E-2</v>
      </c>
      <c r="F385" s="3">
        <v>6.3079099999999999E-2</v>
      </c>
      <c r="G385" s="3">
        <v>5.67526E-2</v>
      </c>
      <c r="H385" s="3">
        <v>4.8458000000000001E-2</v>
      </c>
      <c r="I385" s="3">
        <v>3.8715399999999997E-2</v>
      </c>
      <c r="J385" s="3">
        <v>2.87152E-2</v>
      </c>
      <c r="K385" s="3">
        <v>1.9472699999999999E-2</v>
      </c>
      <c r="L385" s="3">
        <v>1.13388E-2</v>
      </c>
      <c r="M385" s="3">
        <v>4.2998000000000003E-3</v>
      </c>
      <c r="N385" s="3">
        <v>-1.7623000000000001E-3</v>
      </c>
      <c r="O385" s="3">
        <v>-6.8961999999999999E-3</v>
      </c>
      <c r="P385" s="3">
        <v>-1.1079200000000001E-2</v>
      </c>
      <c r="Q385" s="3">
        <v>-1.4255500000000001E-2</v>
      </c>
      <c r="R385" s="3">
        <v>-1.6475400000000001E-2</v>
      </c>
      <c r="S385" s="3">
        <v>-1.7818799999999999E-2</v>
      </c>
      <c r="T385" s="3">
        <v>-1.8365599999999999E-2</v>
      </c>
      <c r="U385" s="3">
        <v>-1.8195599999999999E-2</v>
      </c>
      <c r="V385" s="3">
        <v>-1.7388899999999999E-2</v>
      </c>
      <c r="W385" s="3">
        <v>-1.6023200000000001E-2</v>
      </c>
      <c r="X385" s="3">
        <v>-1.4166E-2</v>
      </c>
      <c r="Y385" s="3">
        <v>-1.18812E-2</v>
      </c>
      <c r="Z385" s="3">
        <v>-9.2327999999999993E-3</v>
      </c>
      <c r="AA385" s="3">
        <v>-6.2851000000000001E-3</v>
      </c>
      <c r="AB385" s="3">
        <v>-3.1018E-3</v>
      </c>
      <c r="AC385" s="3">
        <v>2.5940000000000002E-4</v>
      </c>
      <c r="AD385" s="3">
        <v>3.7728000000000002E-3</v>
      </c>
      <c r="AE385" s="3">
        <v>7.4224E-3</v>
      </c>
      <c r="AF385" s="3">
        <v>1.1192199999999999E-2</v>
      </c>
      <c r="AG385" s="3">
        <v>1.5066100000000001E-2</v>
      </c>
      <c r="AH385" s="3">
        <v>1.9028099999999999E-2</v>
      </c>
      <c r="AI385" s="3">
        <v>2.3062200000000001E-2</v>
      </c>
      <c r="AJ385" s="3">
        <v>2.71524E-2</v>
      </c>
      <c r="AK385" s="3">
        <v>3.1282499999999998E-2</v>
      </c>
      <c r="AL385" s="3">
        <v>3.5436700000000002E-2</v>
      </c>
      <c r="AM385" s="3">
        <v>3.9598700000000001E-2</v>
      </c>
      <c r="AN385" s="3">
        <v>4.3752699999999999E-2</v>
      </c>
      <c r="AO385" s="3">
        <v>4.7884900000000001E-2</v>
      </c>
      <c r="AP385" s="3">
        <v>5.1991900000000001E-2</v>
      </c>
      <c r="AQ385" s="3">
        <v>5.6073100000000001E-2</v>
      </c>
      <c r="AR385" s="3">
        <v>6.0128000000000001E-2</v>
      </c>
      <c r="AS385" s="3">
        <v>6.4156000000000005E-2</v>
      </c>
      <c r="AT385" s="3">
        <v>6.8156400000000006E-2</v>
      </c>
      <c r="AU385" s="3">
        <v>7.2128899999999996E-2</v>
      </c>
      <c r="AV385" s="3">
        <v>7.6072699999999993E-2</v>
      </c>
      <c r="AW385" s="3">
        <v>7.9987299999999997E-2</v>
      </c>
      <c r="AX385" s="3">
        <v>8.3872199999999994E-2</v>
      </c>
      <c r="AY385" s="3">
        <v>8.7726799999999994E-2</v>
      </c>
      <c r="AZ385" s="3">
        <v>9.1550400000000004E-2</v>
      </c>
      <c r="BA385" s="3">
        <v>9.5342999999999997E-2</v>
      </c>
      <c r="BB385" s="3">
        <v>9.9106E-2</v>
      </c>
      <c r="BC385" s="3">
        <v>0.1028414</v>
      </c>
      <c r="BD385" s="3">
        <v>0.1065512</v>
      </c>
      <c r="BE385" s="3">
        <v>0.1102375</v>
      </c>
      <c r="BF385" s="3">
        <v>0.1139022</v>
      </c>
      <c r="BG385" s="3">
        <v>0.11754729999999999</v>
      </c>
      <c r="BH385" s="3">
        <v>0.1211749</v>
      </c>
      <c r="BI385" s="3">
        <v>0.1247868</v>
      </c>
      <c r="BJ385" s="3">
        <v>0.1283851</v>
      </c>
      <c r="BK385" s="3">
        <v>0.1319718</v>
      </c>
      <c r="BL385" s="3">
        <v>0.1355489</v>
      </c>
      <c r="BM385" s="3" t="e">
        <v>#N/A</v>
      </c>
      <c r="BN385" s="3" t="e">
        <v>#N/A</v>
      </c>
    </row>
    <row r="386" spans="1:66" x14ac:dyDescent="0.35">
      <c r="A386" s="5">
        <f t="shared" si="5"/>
        <v>43994</v>
      </c>
      <c r="B386" t="s">
        <v>463</v>
      </c>
      <c r="C386" s="2">
        <v>0.1</v>
      </c>
      <c r="D386" s="2">
        <v>6.5100000000000005E-2</v>
      </c>
      <c r="E386" s="3">
        <v>6.24066E-2</v>
      </c>
      <c r="F386" s="3">
        <v>5.92747E-2</v>
      </c>
      <c r="G386" s="3">
        <v>5.2987899999999998E-2</v>
      </c>
      <c r="H386" s="3">
        <v>4.3971299999999998E-2</v>
      </c>
      <c r="I386" s="3">
        <v>3.3049700000000001E-2</v>
      </c>
      <c r="J386" s="3">
        <v>2.1852099999999999E-2</v>
      </c>
      <c r="K386" s="3">
        <v>1.1658699999999999E-2</v>
      </c>
      <c r="L386" s="3">
        <v>2.7829E-3</v>
      </c>
      <c r="M386" s="3">
        <v>-4.7562999999999998E-3</v>
      </c>
      <c r="N386" s="3">
        <v>-1.09888E-2</v>
      </c>
      <c r="O386" s="3">
        <v>-1.5948500000000001E-2</v>
      </c>
      <c r="P386" s="3">
        <v>-1.97512E-2</v>
      </c>
      <c r="Q386" s="3">
        <v>-2.2590099999999998E-2</v>
      </c>
      <c r="R386" s="3">
        <v>-2.4549100000000001E-2</v>
      </c>
      <c r="S386" s="3">
        <v>-2.5672500000000001E-2</v>
      </c>
      <c r="T386" s="3">
        <v>-2.6004599999999999E-2</v>
      </c>
      <c r="U386" s="3">
        <v>-2.55897E-2</v>
      </c>
      <c r="V386" s="3">
        <v>-2.44721E-2</v>
      </c>
      <c r="W386" s="3">
        <v>-2.2701300000000001E-2</v>
      </c>
      <c r="X386" s="3">
        <v>-2.0350400000000001E-2</v>
      </c>
      <c r="Y386" s="3">
        <v>-1.7499799999999999E-2</v>
      </c>
      <c r="Z386" s="3">
        <v>-1.42297E-2</v>
      </c>
      <c r="AA386" s="3">
        <v>-1.06201E-2</v>
      </c>
      <c r="AB386" s="3">
        <v>-6.7514999999999997E-3</v>
      </c>
      <c r="AC386" s="3">
        <v>-2.6944E-3</v>
      </c>
      <c r="AD386" s="3">
        <v>1.5221E-3</v>
      </c>
      <c r="AE386" s="3">
        <v>5.8805000000000003E-3</v>
      </c>
      <c r="AF386" s="3">
        <v>1.0363300000000001E-2</v>
      </c>
      <c r="AG386" s="3">
        <v>1.4952999999999999E-2</v>
      </c>
      <c r="AH386" s="3">
        <v>1.96321E-2</v>
      </c>
      <c r="AI386" s="3">
        <v>2.4383100000000001E-2</v>
      </c>
      <c r="AJ386" s="3">
        <v>2.9188499999999999E-2</v>
      </c>
      <c r="AK386" s="3">
        <v>3.40308E-2</v>
      </c>
      <c r="AL386" s="3">
        <v>3.8892500000000003E-2</v>
      </c>
      <c r="AM386" s="3">
        <v>4.3756099999999999E-2</v>
      </c>
      <c r="AN386" s="3">
        <v>4.8604099999999997E-2</v>
      </c>
      <c r="AO386" s="3">
        <v>5.3421700000000003E-2</v>
      </c>
      <c r="AP386" s="3">
        <v>5.8204899999999997E-2</v>
      </c>
      <c r="AQ386" s="3">
        <v>6.2952499999999995E-2</v>
      </c>
      <c r="AR386" s="3">
        <v>6.7663000000000001E-2</v>
      </c>
      <c r="AS386" s="3">
        <v>7.2335300000000005E-2</v>
      </c>
      <c r="AT386" s="3">
        <v>7.6967900000000006E-2</v>
      </c>
      <c r="AU386" s="3">
        <v>8.1559699999999999E-2</v>
      </c>
      <c r="AV386" s="3">
        <v>8.61093E-2</v>
      </c>
      <c r="AW386" s="3">
        <v>9.0615399999999999E-2</v>
      </c>
      <c r="AX386" s="3">
        <v>9.50767E-2</v>
      </c>
      <c r="AY386" s="3">
        <v>9.9491899999999994E-2</v>
      </c>
      <c r="AZ386" s="3">
        <v>0.1038597</v>
      </c>
      <c r="BA386" s="3">
        <v>0.108179</v>
      </c>
      <c r="BB386" s="3">
        <v>0.11244949999999999</v>
      </c>
      <c r="BC386" s="3">
        <v>0.116671</v>
      </c>
      <c r="BD386" s="3">
        <v>0.1208434</v>
      </c>
      <c r="BE386" s="3">
        <v>0.1249668</v>
      </c>
      <c r="BF386" s="3">
        <v>0.12904080000000001</v>
      </c>
      <c r="BG386" s="3">
        <v>0.1330655</v>
      </c>
      <c r="BH386" s="3">
        <v>0.13704079999999999</v>
      </c>
      <c r="BI386" s="3">
        <v>0.14096639999999999</v>
      </c>
      <c r="BJ386" s="3">
        <v>0.14484240000000001</v>
      </c>
      <c r="BK386" s="3">
        <v>0.14866860000000001</v>
      </c>
      <c r="BL386" s="3">
        <v>0.15244489999999999</v>
      </c>
      <c r="BM386" s="3" t="e">
        <v>#N/A</v>
      </c>
      <c r="BN386" s="3" t="e">
        <v>#N/A</v>
      </c>
    </row>
    <row r="387" spans="1:66" x14ac:dyDescent="0.35">
      <c r="A387" s="5">
        <f t="shared" si="5"/>
        <v>43997</v>
      </c>
      <c r="B387" t="s">
        <v>464</v>
      </c>
      <c r="C387" s="2">
        <v>0.1</v>
      </c>
      <c r="D387" s="2">
        <v>6.3399999999999998E-2</v>
      </c>
      <c r="E387" s="3">
        <v>6.0337099999999998E-2</v>
      </c>
      <c r="F387" s="3">
        <v>5.4815799999999998E-2</v>
      </c>
      <c r="G387" s="3">
        <v>4.76824E-2</v>
      </c>
      <c r="H387" s="3">
        <v>3.9035899999999998E-2</v>
      </c>
      <c r="I387" s="3">
        <v>2.9582899999999999E-2</v>
      </c>
      <c r="J387" s="3">
        <v>2.0074999999999999E-2</v>
      </c>
      <c r="K387" s="3">
        <v>1.1134700000000001E-2</v>
      </c>
      <c r="L387" s="3">
        <v>3.1698999999999998E-3</v>
      </c>
      <c r="M387" s="3">
        <v>-3.6124999999999998E-3</v>
      </c>
      <c r="N387" s="3">
        <v>-9.1806000000000006E-3</v>
      </c>
      <c r="O387" s="3">
        <v>-1.3531400000000001E-2</v>
      </c>
      <c r="P387" s="3">
        <v>-1.6740600000000001E-2</v>
      </c>
      <c r="Q387" s="3">
        <v>-1.8904000000000001E-2</v>
      </c>
      <c r="R387" s="3">
        <v>-2.0114400000000001E-2</v>
      </c>
      <c r="S387" s="3">
        <v>-2.0463800000000001E-2</v>
      </c>
      <c r="T387" s="3">
        <v>-2.0043999999999999E-2</v>
      </c>
      <c r="U387" s="3">
        <v>-1.8947100000000001E-2</v>
      </c>
      <c r="V387" s="3">
        <v>-1.7265099999999999E-2</v>
      </c>
      <c r="W387" s="3">
        <v>-1.50817E-2</v>
      </c>
      <c r="X387" s="3">
        <v>-1.24467E-2</v>
      </c>
      <c r="Y387" s="3">
        <v>-9.4006999999999997E-3</v>
      </c>
      <c r="Z387" s="3">
        <v>-5.9844E-3</v>
      </c>
      <c r="AA387" s="3">
        <v>-2.2384000000000002E-3</v>
      </c>
      <c r="AB387" s="3">
        <v>1.7964000000000001E-3</v>
      </c>
      <c r="AC387" s="3">
        <v>6.0821E-3</v>
      </c>
      <c r="AD387" s="3">
        <v>1.0590499999999999E-2</v>
      </c>
      <c r="AE387" s="3">
        <v>1.5296499999999999E-2</v>
      </c>
      <c r="AF387" s="3">
        <v>2.0174500000000001E-2</v>
      </c>
      <c r="AG387" s="3">
        <v>2.5199200000000001E-2</v>
      </c>
      <c r="AH387" s="3">
        <v>3.0345199999999999E-2</v>
      </c>
      <c r="AI387" s="3">
        <v>3.5587000000000001E-2</v>
      </c>
      <c r="AJ387" s="3">
        <v>4.0899400000000002E-2</v>
      </c>
      <c r="AK387" s="3">
        <v>4.6256899999999997E-2</v>
      </c>
      <c r="AL387" s="3">
        <v>5.1633999999999999E-2</v>
      </c>
      <c r="AM387" s="3">
        <v>5.7005599999999997E-2</v>
      </c>
      <c r="AN387" s="3">
        <v>6.2345999999999999E-2</v>
      </c>
      <c r="AO387" s="3">
        <v>6.7633899999999997E-2</v>
      </c>
      <c r="AP387" s="3">
        <v>7.2862800000000005E-2</v>
      </c>
      <c r="AQ387" s="3">
        <v>7.8030500000000003E-2</v>
      </c>
      <c r="AR387" s="3">
        <v>8.3134399999999997E-2</v>
      </c>
      <c r="AS387" s="3">
        <v>8.8172200000000006E-2</v>
      </c>
      <c r="AT387" s="3">
        <v>9.3141500000000002E-2</v>
      </c>
      <c r="AU387" s="3">
        <v>9.8039799999999996E-2</v>
      </c>
      <c r="AV387" s="3">
        <v>0.1028646</v>
      </c>
      <c r="AW387" s="3">
        <v>0.10761370000000001</v>
      </c>
      <c r="AX387" s="3">
        <v>0.1122845</v>
      </c>
      <c r="AY387" s="3">
        <v>0.1168747</v>
      </c>
      <c r="AZ387" s="3">
        <v>0.1213817</v>
      </c>
      <c r="BA387" s="3">
        <v>0.1258042</v>
      </c>
      <c r="BB387" s="3">
        <v>0.13014510000000001</v>
      </c>
      <c r="BC387" s="3">
        <v>0.134409</v>
      </c>
      <c r="BD387" s="3">
        <v>0.13860069999999999</v>
      </c>
      <c r="BE387" s="3">
        <v>0.14272470000000001</v>
      </c>
      <c r="BF387" s="3">
        <v>0.14678569999999999</v>
      </c>
      <c r="BG387" s="3">
        <v>0.15078829999999999</v>
      </c>
      <c r="BH387" s="3">
        <v>0.15473709999999999</v>
      </c>
      <c r="BI387" s="3">
        <v>0.15863679999999999</v>
      </c>
      <c r="BJ387" s="3">
        <v>0.1624921</v>
      </c>
      <c r="BK387" s="3">
        <v>0.1663075</v>
      </c>
      <c r="BL387" s="3">
        <v>0.17008770000000001</v>
      </c>
      <c r="BM387" s="3" t="e">
        <v>#N/A</v>
      </c>
      <c r="BN387" s="3" t="e">
        <v>#N/A</v>
      </c>
    </row>
    <row r="388" spans="1:66" x14ac:dyDescent="0.35">
      <c r="A388" s="5">
        <f t="shared" si="5"/>
        <v>43998</v>
      </c>
      <c r="B388" t="s">
        <v>465</v>
      </c>
      <c r="C388" s="2">
        <v>0.1</v>
      </c>
      <c r="D388" s="2">
        <v>6.2700000000000006E-2</v>
      </c>
      <c r="E388" s="3">
        <v>5.9845000000000002E-2</v>
      </c>
      <c r="F388" s="3">
        <v>5.3456900000000002E-2</v>
      </c>
      <c r="G388" s="3">
        <v>4.6957800000000001E-2</v>
      </c>
      <c r="H388" s="3">
        <v>3.9555899999999998E-2</v>
      </c>
      <c r="I388" s="3">
        <v>3.1070199999999999E-2</v>
      </c>
      <c r="J388" s="3">
        <v>2.2210799999999999E-2</v>
      </c>
      <c r="K388" s="3">
        <v>1.3891300000000001E-2</v>
      </c>
      <c r="L388" s="3">
        <v>6.6689000000000002E-3</v>
      </c>
      <c r="M388" s="3">
        <v>8.1479999999999996E-4</v>
      </c>
      <c r="N388" s="3">
        <v>-3.6955999999999998E-3</v>
      </c>
      <c r="O388" s="3">
        <v>-6.9953000000000003E-3</v>
      </c>
      <c r="P388" s="3">
        <v>-9.2926999999999992E-3</v>
      </c>
      <c r="Q388" s="3">
        <v>-1.08754E-2</v>
      </c>
      <c r="R388" s="3">
        <v>-1.18332E-2</v>
      </c>
      <c r="S388" s="3">
        <v>-1.2198000000000001E-2</v>
      </c>
      <c r="T388" s="3">
        <v>-1.20018E-2</v>
      </c>
      <c r="U388" s="3">
        <v>-1.1276700000000001E-2</v>
      </c>
      <c r="V388" s="3">
        <v>-1.0054499999999999E-2</v>
      </c>
      <c r="W388" s="3">
        <v>-8.3692000000000003E-3</v>
      </c>
      <c r="X388" s="3">
        <v>-6.2620999999999996E-3</v>
      </c>
      <c r="Y388" s="3">
        <v>-3.7764999999999999E-3</v>
      </c>
      <c r="Z388" s="3">
        <v>-9.5600000000000004E-4</v>
      </c>
      <c r="AA388" s="3">
        <v>2.1562E-3</v>
      </c>
      <c r="AB388" s="3">
        <v>5.5167000000000002E-3</v>
      </c>
      <c r="AC388" s="3">
        <v>9.0861999999999991E-3</v>
      </c>
      <c r="AD388" s="3">
        <v>1.28421E-2</v>
      </c>
      <c r="AE388" s="3">
        <v>1.6766E-2</v>
      </c>
      <c r="AF388" s="3">
        <v>2.0839400000000001E-2</v>
      </c>
      <c r="AG388" s="3">
        <v>2.5044E-2</v>
      </c>
      <c r="AH388" s="3">
        <v>2.93613E-2</v>
      </c>
      <c r="AI388" s="3">
        <v>3.3772799999999999E-2</v>
      </c>
      <c r="AJ388" s="3">
        <v>3.8260099999999998E-2</v>
      </c>
      <c r="AK388" s="3">
        <v>4.2804700000000001E-2</v>
      </c>
      <c r="AL388" s="3">
        <v>4.7388300000000001E-2</v>
      </c>
      <c r="AM388" s="3">
        <v>5.1992299999999998E-2</v>
      </c>
      <c r="AN388" s="3">
        <v>5.65984E-2</v>
      </c>
      <c r="AO388" s="3">
        <v>6.1190899999999999E-2</v>
      </c>
      <c r="AP388" s="3">
        <v>6.5765100000000007E-2</v>
      </c>
      <c r="AQ388" s="3">
        <v>7.0319499999999993E-2</v>
      </c>
      <c r="AR388" s="3">
        <v>7.4852100000000005E-2</v>
      </c>
      <c r="AS388" s="3">
        <v>7.9361200000000007E-2</v>
      </c>
      <c r="AT388" s="3">
        <v>8.3845100000000006E-2</v>
      </c>
      <c r="AU388" s="3">
        <v>8.8301900000000003E-2</v>
      </c>
      <c r="AV388" s="3">
        <v>9.2729900000000004E-2</v>
      </c>
      <c r="AW388" s="3">
        <v>9.71273E-2</v>
      </c>
      <c r="AX388" s="3">
        <v>0.1014924</v>
      </c>
      <c r="AY388" s="3">
        <v>0.1058233</v>
      </c>
      <c r="AZ388" s="3">
        <v>0.1101183</v>
      </c>
      <c r="BA388" s="3">
        <v>0.11437600000000001</v>
      </c>
      <c r="BB388" s="3">
        <v>0.11859690000000001</v>
      </c>
      <c r="BC388" s="3">
        <v>0.12278210000000001</v>
      </c>
      <c r="BD388" s="3">
        <v>0.12693260000000001</v>
      </c>
      <c r="BE388" s="3">
        <v>0.13104959999999999</v>
      </c>
      <c r="BF388" s="3">
        <v>0.13513410000000001</v>
      </c>
      <c r="BG388" s="3">
        <v>0.13918720000000001</v>
      </c>
      <c r="BH388" s="3">
        <v>0.1432099</v>
      </c>
      <c r="BI388" s="3">
        <v>0.14720330000000001</v>
      </c>
      <c r="BJ388" s="3">
        <v>0.15116859999999999</v>
      </c>
      <c r="BK388" s="3">
        <v>0.15510669999999999</v>
      </c>
      <c r="BL388" s="3">
        <v>0.15901879999999999</v>
      </c>
      <c r="BM388" s="3" t="e">
        <v>#N/A</v>
      </c>
      <c r="BN388" s="3" t="e">
        <v>#N/A</v>
      </c>
    </row>
    <row r="389" spans="1:66" x14ac:dyDescent="0.35">
      <c r="A389" s="5">
        <f t="shared" si="5"/>
        <v>43999</v>
      </c>
      <c r="B389" t="s">
        <v>466</v>
      </c>
      <c r="C389" s="2">
        <v>0.1</v>
      </c>
      <c r="D389" s="2">
        <v>6.3600000000000004E-2</v>
      </c>
      <c r="E389" s="3">
        <v>5.8881900000000001E-2</v>
      </c>
      <c r="F389" s="3">
        <v>5.0557299999999999E-2</v>
      </c>
      <c r="G389" s="3">
        <v>4.3267899999999998E-2</v>
      </c>
      <c r="H389" s="3">
        <v>3.5929200000000001E-2</v>
      </c>
      <c r="I389" s="3">
        <v>2.75859E-2</v>
      </c>
      <c r="J389" s="3">
        <v>1.84274E-2</v>
      </c>
      <c r="K389" s="3">
        <v>9.0156999999999998E-3</v>
      </c>
      <c r="L389" s="3">
        <v>-6.8800000000000005E-5</v>
      </c>
      <c r="M389" s="3">
        <v>-8.3715000000000005E-3</v>
      </c>
      <c r="N389" s="3">
        <v>-1.56636E-2</v>
      </c>
      <c r="O389" s="3">
        <v>-2.1854999999999999E-2</v>
      </c>
      <c r="P389" s="3">
        <v>-2.6876000000000001E-2</v>
      </c>
      <c r="Q389" s="3">
        <v>-3.0724999999999999E-2</v>
      </c>
      <c r="R389" s="3">
        <v>-3.3456600000000003E-2</v>
      </c>
      <c r="S389" s="3">
        <v>-3.5135600000000003E-2</v>
      </c>
      <c r="T389" s="3">
        <v>-3.5826700000000003E-2</v>
      </c>
      <c r="U389" s="3">
        <v>-3.55947E-2</v>
      </c>
      <c r="V389" s="3">
        <v>-3.4504399999999998E-2</v>
      </c>
      <c r="W389" s="3">
        <v>-3.2625899999999999E-2</v>
      </c>
      <c r="X389" s="3">
        <v>-3.00512E-2</v>
      </c>
      <c r="Y389" s="3">
        <v>-2.6878200000000001E-2</v>
      </c>
      <c r="Z389" s="3">
        <v>-2.3204800000000001E-2</v>
      </c>
      <c r="AA389" s="3">
        <v>-1.9129E-2</v>
      </c>
      <c r="AB389" s="3">
        <v>-1.4748600000000001E-2</v>
      </c>
      <c r="AC389" s="3">
        <v>-1.01496E-2</v>
      </c>
      <c r="AD389" s="3">
        <v>-5.3701E-3</v>
      </c>
      <c r="AE389" s="3">
        <v>-4.3629999999999998E-4</v>
      </c>
      <c r="AF389" s="3">
        <v>4.6255999999999997E-3</v>
      </c>
      <c r="AG389" s="3">
        <v>9.7896000000000007E-3</v>
      </c>
      <c r="AH389" s="3">
        <v>1.50294E-2</v>
      </c>
      <c r="AI389" s="3">
        <v>2.0318800000000001E-2</v>
      </c>
      <c r="AJ389" s="3">
        <v>2.56318E-2</v>
      </c>
      <c r="AK389" s="3">
        <v>3.09421E-2</v>
      </c>
      <c r="AL389" s="3">
        <v>3.6223499999999999E-2</v>
      </c>
      <c r="AM389" s="3">
        <v>4.1450000000000001E-2</v>
      </c>
      <c r="AN389" s="3">
        <v>4.6595299999999999E-2</v>
      </c>
      <c r="AO389" s="3">
        <v>5.1637599999999999E-2</v>
      </c>
      <c r="AP389" s="3">
        <v>5.6576000000000001E-2</v>
      </c>
      <c r="AQ389" s="3">
        <v>6.1416100000000001E-2</v>
      </c>
      <c r="AR389" s="3">
        <v>6.6163299999999994E-2</v>
      </c>
      <c r="AS389" s="3">
        <v>7.0823300000000006E-2</v>
      </c>
      <c r="AT389" s="3">
        <v>7.5401599999999999E-2</v>
      </c>
      <c r="AU389" s="3">
        <v>7.9903699999999994E-2</v>
      </c>
      <c r="AV389" s="3">
        <v>8.4335099999999996E-2</v>
      </c>
      <c r="AW389" s="3">
        <v>8.87014E-2</v>
      </c>
      <c r="AX389" s="3">
        <v>9.3008199999999999E-2</v>
      </c>
      <c r="AY389" s="3">
        <v>9.7260799999999994E-2</v>
      </c>
      <c r="AZ389" s="3">
        <v>0.101465</v>
      </c>
      <c r="BA389" s="3">
        <v>0.1056257</v>
      </c>
      <c r="BB389" s="3">
        <v>0.1097461</v>
      </c>
      <c r="BC389" s="3">
        <v>0.1138286</v>
      </c>
      <c r="BD389" s="3">
        <v>0.11787590000000001</v>
      </c>
      <c r="BE389" s="3">
        <v>0.1218905</v>
      </c>
      <c r="BF389" s="3">
        <v>0.12587480000000001</v>
      </c>
      <c r="BG389" s="3">
        <v>0.12983159999999999</v>
      </c>
      <c r="BH389" s="3">
        <v>0.1337631</v>
      </c>
      <c r="BI389" s="3">
        <v>0.13767209999999999</v>
      </c>
      <c r="BJ389" s="3">
        <v>0.1415611</v>
      </c>
      <c r="BK389" s="3">
        <v>0.14543249999999999</v>
      </c>
      <c r="BL389" s="3">
        <v>0.14928900000000001</v>
      </c>
      <c r="BM389" s="3" t="e">
        <v>#N/A</v>
      </c>
      <c r="BN389" s="3" t="e">
        <v>#N/A</v>
      </c>
    </row>
    <row r="390" spans="1:66" x14ac:dyDescent="0.35">
      <c r="A390" s="5">
        <f t="shared" si="5"/>
        <v>44000</v>
      </c>
      <c r="B390" t="s">
        <v>467</v>
      </c>
      <c r="C390" s="2">
        <v>0.1</v>
      </c>
      <c r="D390" s="2">
        <v>6.2399999999999997E-2</v>
      </c>
      <c r="E390" s="3">
        <v>6.1972600000000003E-2</v>
      </c>
      <c r="F390" s="3">
        <v>5.72989E-2</v>
      </c>
      <c r="G390" s="3">
        <v>5.1421000000000001E-2</v>
      </c>
      <c r="H390" s="3">
        <v>4.3722799999999999E-2</v>
      </c>
      <c r="I390" s="3">
        <v>3.4416099999999998E-2</v>
      </c>
      <c r="J390" s="3">
        <v>2.4254499999999998E-2</v>
      </c>
      <c r="K390" s="3">
        <v>1.4106199999999999E-2</v>
      </c>
      <c r="L390" s="3">
        <v>4.7320000000000001E-3</v>
      </c>
      <c r="M390" s="3">
        <v>-3.408E-3</v>
      </c>
      <c r="N390" s="3">
        <v>-1.02258E-2</v>
      </c>
      <c r="O390" s="3">
        <v>-1.57979E-2</v>
      </c>
      <c r="P390" s="3">
        <v>-2.0275700000000001E-2</v>
      </c>
      <c r="Q390" s="3">
        <v>-2.3835499999999999E-2</v>
      </c>
      <c r="R390" s="3">
        <v>-2.6539799999999999E-2</v>
      </c>
      <c r="S390" s="3">
        <v>-2.84201E-2</v>
      </c>
      <c r="T390" s="3">
        <v>-2.9508E-2</v>
      </c>
      <c r="U390" s="3">
        <v>-2.9835E-2</v>
      </c>
      <c r="V390" s="3">
        <v>-2.9432699999999999E-2</v>
      </c>
      <c r="W390" s="3">
        <v>-2.8334000000000002E-2</v>
      </c>
      <c r="X390" s="3">
        <v>-2.6578299999999999E-2</v>
      </c>
      <c r="Y390" s="3">
        <v>-2.42075E-2</v>
      </c>
      <c r="Z390" s="3">
        <v>-2.1263199999999999E-2</v>
      </c>
      <c r="AA390" s="3">
        <v>-1.77872E-2</v>
      </c>
      <c r="AB390" s="3">
        <v>-1.3821099999999999E-2</v>
      </c>
      <c r="AC390" s="3">
        <v>-9.4074999999999992E-3</v>
      </c>
      <c r="AD390" s="3">
        <v>-4.5925999999999996E-3</v>
      </c>
      <c r="AE390" s="3">
        <v>5.7609999999999996E-4</v>
      </c>
      <c r="AF390" s="3">
        <v>6.051E-3</v>
      </c>
      <c r="AG390" s="3">
        <v>1.17848E-2</v>
      </c>
      <c r="AH390" s="3">
        <v>1.77299E-2</v>
      </c>
      <c r="AI390" s="3">
        <v>2.38388E-2</v>
      </c>
      <c r="AJ390" s="3">
        <v>3.0064199999999999E-2</v>
      </c>
      <c r="AK390" s="3">
        <v>3.6358500000000002E-2</v>
      </c>
      <c r="AL390" s="3">
        <v>4.2674200000000002E-2</v>
      </c>
      <c r="AM390" s="3">
        <v>4.8963899999999998E-2</v>
      </c>
      <c r="AN390" s="3">
        <v>5.518E-2</v>
      </c>
      <c r="AO390" s="3">
        <v>6.1282700000000002E-2</v>
      </c>
      <c r="AP390" s="3">
        <v>6.7264599999999994E-2</v>
      </c>
      <c r="AQ390" s="3">
        <v>7.3127700000000004E-2</v>
      </c>
      <c r="AR390" s="3">
        <v>7.8873799999999994E-2</v>
      </c>
      <c r="AS390" s="3">
        <v>8.4504700000000002E-2</v>
      </c>
      <c r="AT390" s="3">
        <v>9.0022500000000005E-2</v>
      </c>
      <c r="AU390" s="3">
        <v>9.5428899999999997E-2</v>
      </c>
      <c r="AV390" s="3">
        <v>0.1007258</v>
      </c>
      <c r="AW390" s="3">
        <v>0.1059151</v>
      </c>
      <c r="AX390" s="3">
        <v>0.11099870000000001</v>
      </c>
      <c r="AY390" s="3">
        <v>0.1159784</v>
      </c>
      <c r="AZ390" s="3">
        <v>0.1208562</v>
      </c>
      <c r="BA390" s="3">
        <v>0.1256343</v>
      </c>
      <c r="BB390" s="3">
        <v>0.13031709999999999</v>
      </c>
      <c r="BC390" s="3">
        <v>0.13490959999999999</v>
      </c>
      <c r="BD390" s="3">
        <v>0.1394166</v>
      </c>
      <c r="BE390" s="3">
        <v>0.1438431</v>
      </c>
      <c r="BF390" s="3">
        <v>0.14819399999999999</v>
      </c>
      <c r="BG390" s="3">
        <v>0.15247430000000001</v>
      </c>
      <c r="BH390" s="3">
        <v>0.15668889999999999</v>
      </c>
      <c r="BI390" s="3">
        <v>0.16084270000000001</v>
      </c>
      <c r="BJ390" s="3">
        <v>0.16494049999999999</v>
      </c>
      <c r="BK390" s="3">
        <v>0.16898750000000001</v>
      </c>
      <c r="BL390" s="3">
        <v>0.17298839999999999</v>
      </c>
      <c r="BM390" s="3" t="e">
        <v>#N/A</v>
      </c>
      <c r="BN390" s="3" t="e">
        <v>#N/A</v>
      </c>
    </row>
    <row r="391" spans="1:66" x14ac:dyDescent="0.35">
      <c r="A391" s="5">
        <f t="shared" si="5"/>
        <v>44001</v>
      </c>
      <c r="B391" t="s">
        <v>468</v>
      </c>
      <c r="C391" s="2">
        <v>0.1</v>
      </c>
      <c r="D391" s="2">
        <v>6.3700000000000007E-2</v>
      </c>
      <c r="E391" s="3">
        <v>6.3974400000000001E-2</v>
      </c>
      <c r="F391" s="3">
        <v>5.7154299999999998E-2</v>
      </c>
      <c r="G391" s="3">
        <v>4.9811399999999999E-2</v>
      </c>
      <c r="H391" s="3">
        <v>4.1471399999999999E-2</v>
      </c>
      <c r="I391" s="3">
        <v>3.1817900000000003E-2</v>
      </c>
      <c r="J391" s="3">
        <v>2.1179300000000002E-2</v>
      </c>
      <c r="K391" s="3">
        <v>1.02405E-2</v>
      </c>
      <c r="L391" s="3">
        <v>-3.1639999999999999E-4</v>
      </c>
      <c r="M391" s="3">
        <v>-9.9109000000000003E-3</v>
      </c>
      <c r="N391" s="3">
        <v>-1.8201100000000001E-2</v>
      </c>
      <c r="O391" s="3">
        <v>-2.5023699999999999E-2</v>
      </c>
      <c r="P391" s="3">
        <v>-3.0413599999999999E-2</v>
      </c>
      <c r="Q391" s="3">
        <v>-3.4543499999999998E-2</v>
      </c>
      <c r="R391" s="3">
        <v>-3.7520900000000003E-2</v>
      </c>
      <c r="S391" s="3">
        <v>-3.9424800000000003E-2</v>
      </c>
      <c r="T391" s="3">
        <v>-4.0333899999999999E-2</v>
      </c>
      <c r="U391" s="3">
        <v>-4.0327200000000001E-2</v>
      </c>
      <c r="V391" s="3">
        <v>-3.9483499999999998E-2</v>
      </c>
      <c r="W391" s="3">
        <v>-3.78818E-2</v>
      </c>
      <c r="X391" s="3">
        <v>-3.56012E-2</v>
      </c>
      <c r="Y391" s="3">
        <v>-3.2720699999999998E-2</v>
      </c>
      <c r="Z391" s="3">
        <v>-2.9319600000000001E-2</v>
      </c>
      <c r="AA391" s="3">
        <v>-2.5477E-2</v>
      </c>
      <c r="AB391" s="3">
        <v>-2.1272099999999999E-2</v>
      </c>
      <c r="AC391" s="3">
        <v>-1.67765E-2</v>
      </c>
      <c r="AD391" s="3">
        <v>-1.20293E-2</v>
      </c>
      <c r="AE391" s="3">
        <v>-7.0606000000000002E-3</v>
      </c>
      <c r="AF391" s="3">
        <v>-1.9004E-3</v>
      </c>
      <c r="AG391" s="3">
        <v>3.4212999999999999E-3</v>
      </c>
      <c r="AH391" s="3">
        <v>8.8745000000000004E-3</v>
      </c>
      <c r="AI391" s="3">
        <v>1.44291E-2</v>
      </c>
      <c r="AJ391" s="3">
        <v>2.0055099999999999E-2</v>
      </c>
      <c r="AK391" s="3">
        <v>2.5722499999999999E-2</v>
      </c>
      <c r="AL391" s="3">
        <v>3.1401199999999997E-2</v>
      </c>
      <c r="AM391" s="3">
        <v>3.7061299999999998E-2</v>
      </c>
      <c r="AN391" s="3">
        <v>4.2672599999999998E-2</v>
      </c>
      <c r="AO391" s="3">
        <v>4.8210599999999999E-2</v>
      </c>
      <c r="AP391" s="3">
        <v>5.3672200000000003E-2</v>
      </c>
      <c r="AQ391" s="3">
        <v>5.9059599999999997E-2</v>
      </c>
      <c r="AR391" s="3">
        <v>6.4375100000000005E-2</v>
      </c>
      <c r="AS391" s="3">
        <v>6.9620899999999999E-2</v>
      </c>
      <c r="AT391" s="3">
        <v>7.4799500000000005E-2</v>
      </c>
      <c r="AU391" s="3">
        <v>7.9912999999999998E-2</v>
      </c>
      <c r="AV391" s="3">
        <v>8.4963700000000003E-2</v>
      </c>
      <c r="AW391" s="3">
        <v>8.9954000000000006E-2</v>
      </c>
      <c r="AX391" s="3">
        <v>9.4886100000000001E-2</v>
      </c>
      <c r="AY391" s="3">
        <v>9.9762199999999995E-2</v>
      </c>
      <c r="AZ391" s="3">
        <v>0.1045847</v>
      </c>
      <c r="BA391" s="3">
        <v>0.1093562</v>
      </c>
      <c r="BB391" s="3">
        <v>0.1140809</v>
      </c>
      <c r="BC391" s="3">
        <v>0.1187636</v>
      </c>
      <c r="BD391" s="3">
        <v>0.1234089</v>
      </c>
      <c r="BE391" s="3">
        <v>0.12802160000000001</v>
      </c>
      <c r="BF391" s="3">
        <v>0.13260620000000001</v>
      </c>
      <c r="BG391" s="3">
        <v>0.1371675</v>
      </c>
      <c r="BH391" s="3">
        <v>0.14171010000000001</v>
      </c>
      <c r="BI391" s="3">
        <v>0.1462388</v>
      </c>
      <c r="BJ391" s="3">
        <v>0.15075830000000001</v>
      </c>
      <c r="BK391" s="3">
        <v>0.1552732</v>
      </c>
      <c r="BL391" s="3">
        <v>0.15978819999999999</v>
      </c>
      <c r="BM391" s="3" t="e">
        <v>#N/A</v>
      </c>
      <c r="BN391" s="3" t="e">
        <v>#N/A</v>
      </c>
    </row>
    <row r="392" spans="1:66" x14ac:dyDescent="0.35">
      <c r="A392" s="5">
        <f t="shared" si="5"/>
        <v>44004</v>
      </c>
      <c r="B392" t="s">
        <v>469</v>
      </c>
      <c r="C392" s="2">
        <v>0.1</v>
      </c>
      <c r="D392" s="2">
        <v>6.3600000000000004E-2</v>
      </c>
      <c r="E392" s="3">
        <v>6.2977000000000005E-2</v>
      </c>
      <c r="F392" s="3">
        <v>5.5309799999999999E-2</v>
      </c>
      <c r="G392" s="3">
        <v>4.7743800000000003E-2</v>
      </c>
      <c r="H392" s="3">
        <v>3.8986699999999999E-2</v>
      </c>
      <c r="I392" s="3">
        <v>2.8860899999999998E-2</v>
      </c>
      <c r="J392" s="3">
        <v>1.7982399999999999E-2</v>
      </c>
      <c r="K392" s="3">
        <v>7.0853000000000001E-3</v>
      </c>
      <c r="L392" s="3">
        <v>-3.1705000000000001E-3</v>
      </c>
      <c r="M392" s="3">
        <v>-1.2332600000000001E-2</v>
      </c>
      <c r="N392" s="3">
        <v>-2.0248200000000001E-2</v>
      </c>
      <c r="O392" s="3">
        <v>-2.6906599999999999E-2</v>
      </c>
      <c r="P392" s="3">
        <v>-3.2432500000000003E-2</v>
      </c>
      <c r="Q392" s="3">
        <v>-3.69523E-2</v>
      </c>
      <c r="R392" s="3">
        <v>-4.0533199999999998E-2</v>
      </c>
      <c r="S392" s="3">
        <v>-4.3228200000000001E-2</v>
      </c>
      <c r="T392" s="3">
        <v>-4.50908E-2</v>
      </c>
      <c r="U392" s="3">
        <v>-4.6174300000000001E-2</v>
      </c>
      <c r="V392" s="3">
        <v>-4.6531799999999998E-2</v>
      </c>
      <c r="W392" s="3">
        <v>-4.6215699999999998E-2</v>
      </c>
      <c r="X392" s="3">
        <v>-4.5274399999999999E-2</v>
      </c>
      <c r="Y392" s="3">
        <v>-4.3755299999999997E-2</v>
      </c>
      <c r="Z392" s="3">
        <v>-4.1705600000000002E-2</v>
      </c>
      <c r="AA392" s="3">
        <v>-3.9172699999999998E-2</v>
      </c>
      <c r="AB392" s="3">
        <v>-3.6203800000000001E-2</v>
      </c>
      <c r="AC392" s="3">
        <v>-3.2843999999999998E-2</v>
      </c>
      <c r="AD392" s="3">
        <v>-2.9128500000000002E-2</v>
      </c>
      <c r="AE392" s="3">
        <v>-2.5090299999999999E-2</v>
      </c>
      <c r="AF392" s="3">
        <v>-2.0762200000000001E-2</v>
      </c>
      <c r="AG392" s="3">
        <v>-1.6177199999999999E-2</v>
      </c>
      <c r="AH392" s="3">
        <v>-1.13683E-2</v>
      </c>
      <c r="AI392" s="3">
        <v>-6.3683000000000003E-3</v>
      </c>
      <c r="AJ392" s="3">
        <v>-1.2103000000000001E-3</v>
      </c>
      <c r="AK392" s="3">
        <v>4.0730000000000002E-3</v>
      </c>
      <c r="AL392" s="3">
        <v>9.4485999999999997E-3</v>
      </c>
      <c r="AM392" s="3">
        <v>1.4883499999999999E-2</v>
      </c>
      <c r="AN392" s="3">
        <v>2.0344899999999999E-2</v>
      </c>
      <c r="AO392" s="3">
        <v>2.58047E-2</v>
      </c>
      <c r="AP392" s="3">
        <v>3.1255100000000001E-2</v>
      </c>
      <c r="AQ392" s="3">
        <v>3.6693099999999999E-2</v>
      </c>
      <c r="AR392" s="3">
        <v>4.2115800000000002E-2</v>
      </c>
      <c r="AS392" s="3">
        <v>4.7520100000000003E-2</v>
      </c>
      <c r="AT392" s="3">
        <v>5.2903100000000002E-2</v>
      </c>
      <c r="AU392" s="3">
        <v>5.8262000000000001E-2</v>
      </c>
      <c r="AV392" s="3">
        <v>6.35936E-2</v>
      </c>
      <c r="AW392" s="3">
        <v>6.8895100000000001E-2</v>
      </c>
      <c r="AX392" s="3">
        <v>7.4163499999999993E-2</v>
      </c>
      <c r="AY392" s="3">
        <v>7.9395900000000005E-2</v>
      </c>
      <c r="AZ392" s="3">
        <v>8.4589300000000006E-2</v>
      </c>
      <c r="BA392" s="3">
        <v>8.9741299999999996E-2</v>
      </c>
      <c r="BB392" s="3">
        <v>9.4853000000000007E-2</v>
      </c>
      <c r="BC392" s="3">
        <v>9.9926699999999993E-2</v>
      </c>
      <c r="BD392" s="3">
        <v>0.1049643</v>
      </c>
      <c r="BE392" s="3">
        <v>0.1099682</v>
      </c>
      <c r="BF392" s="3">
        <v>0.1149405</v>
      </c>
      <c r="BG392" s="3">
        <v>0.1198833</v>
      </c>
      <c r="BH392" s="3">
        <v>0.1247988</v>
      </c>
      <c r="BI392" s="3">
        <v>0.1296892</v>
      </c>
      <c r="BJ392" s="3">
        <v>0.1345567</v>
      </c>
      <c r="BK392" s="3">
        <v>0.13940340000000001</v>
      </c>
      <c r="BL392" s="3">
        <v>0.14423140000000001</v>
      </c>
      <c r="BM392" s="3" t="e">
        <v>#N/A</v>
      </c>
      <c r="BN392" s="3" t="e">
        <v>#N/A</v>
      </c>
    </row>
    <row r="393" spans="1:66" x14ac:dyDescent="0.35">
      <c r="A393" s="5">
        <f t="shared" si="5"/>
        <v>44005</v>
      </c>
      <c r="B393" t="s">
        <v>470</v>
      </c>
      <c r="C393" s="2">
        <v>0.1</v>
      </c>
      <c r="D393" s="2">
        <v>6.2100000000000002E-2</v>
      </c>
      <c r="E393" s="3">
        <v>6.2524499999999997E-2</v>
      </c>
      <c r="F393" s="3">
        <v>5.5529000000000002E-2</v>
      </c>
      <c r="G393" s="3">
        <v>4.8941900000000003E-2</v>
      </c>
      <c r="H393" s="3">
        <v>4.1580800000000001E-2</v>
      </c>
      <c r="I393" s="3">
        <v>3.2884200000000002E-2</v>
      </c>
      <c r="J393" s="3">
        <v>2.3222E-2</v>
      </c>
      <c r="K393" s="3">
        <v>1.3325E-2</v>
      </c>
      <c r="L393" s="3">
        <v>3.8107000000000002E-3</v>
      </c>
      <c r="M393" s="3">
        <v>-4.9205000000000004E-3</v>
      </c>
      <c r="N393" s="3">
        <v>-1.2702E-2</v>
      </c>
      <c r="O393" s="3">
        <v>-1.9473000000000001E-2</v>
      </c>
      <c r="P393" s="3">
        <v>-2.5268100000000002E-2</v>
      </c>
      <c r="Q393" s="3">
        <v>-3.0167300000000001E-2</v>
      </c>
      <c r="R393" s="3">
        <v>-3.4209499999999997E-2</v>
      </c>
      <c r="S393" s="3">
        <v>-3.7421299999999998E-2</v>
      </c>
      <c r="T393" s="3">
        <v>-3.9829099999999999E-2</v>
      </c>
      <c r="U393" s="3">
        <v>-4.14594E-2</v>
      </c>
      <c r="V393" s="3">
        <v>-4.23387E-2</v>
      </c>
      <c r="W393" s="3">
        <v>-4.2497100000000003E-2</v>
      </c>
      <c r="X393" s="3">
        <v>-4.1981400000000002E-2</v>
      </c>
      <c r="Y393" s="3">
        <v>-4.0842200000000002E-2</v>
      </c>
      <c r="Z393" s="3">
        <v>-3.9130499999999999E-2</v>
      </c>
      <c r="AA393" s="3">
        <v>-3.6896900000000003E-2</v>
      </c>
      <c r="AB393" s="3">
        <v>-3.4192399999999998E-2</v>
      </c>
      <c r="AC393" s="3">
        <v>-3.1065200000000001E-2</v>
      </c>
      <c r="AD393" s="3">
        <v>-2.7553999999999999E-2</v>
      </c>
      <c r="AE393" s="3">
        <v>-2.3694799999999999E-2</v>
      </c>
      <c r="AF393" s="3">
        <v>-1.9523800000000001E-2</v>
      </c>
      <c r="AG393" s="3">
        <v>-1.5077E-2</v>
      </c>
      <c r="AH393" s="3">
        <v>-1.0390699999999999E-2</v>
      </c>
      <c r="AI393" s="3">
        <v>-5.5008000000000001E-3</v>
      </c>
      <c r="AJ393" s="3">
        <v>-4.4359999999999999E-4</v>
      </c>
      <c r="AK393" s="3">
        <v>4.7448999999999998E-3</v>
      </c>
      <c r="AL393" s="3">
        <v>1.0028499999999999E-2</v>
      </c>
      <c r="AM393" s="3">
        <v>1.5371299999999999E-2</v>
      </c>
      <c r="AN393" s="3">
        <v>2.0736899999999999E-2</v>
      </c>
      <c r="AO393" s="3">
        <v>2.6094900000000001E-2</v>
      </c>
      <c r="AP393" s="3">
        <v>3.1436899999999997E-2</v>
      </c>
      <c r="AQ393" s="3">
        <v>3.67602E-2</v>
      </c>
      <c r="AR393" s="3">
        <v>4.2062000000000002E-2</v>
      </c>
      <c r="AS393" s="3">
        <v>4.7339399999999997E-2</v>
      </c>
      <c r="AT393" s="3">
        <v>5.2589700000000003E-2</v>
      </c>
      <c r="AU393" s="3">
        <v>5.7810100000000003E-2</v>
      </c>
      <c r="AV393" s="3">
        <v>6.2997800000000007E-2</v>
      </c>
      <c r="AW393" s="3">
        <v>6.8150000000000002E-2</v>
      </c>
      <c r="AX393" s="3">
        <v>7.3263999999999996E-2</v>
      </c>
      <c r="AY393" s="3">
        <v>7.8336900000000001E-2</v>
      </c>
      <c r="AZ393" s="3">
        <v>8.3365999999999996E-2</v>
      </c>
      <c r="BA393" s="3">
        <v>8.8349300000000006E-2</v>
      </c>
      <c r="BB393" s="3">
        <v>9.3288599999999999E-2</v>
      </c>
      <c r="BC393" s="3">
        <v>9.8187099999999999E-2</v>
      </c>
      <c r="BD393" s="3">
        <v>0.1030479</v>
      </c>
      <c r="BE393" s="3">
        <v>0.107874</v>
      </c>
      <c r="BF393" s="3">
        <v>0.11266859999999999</v>
      </c>
      <c r="BG393" s="3">
        <v>0.1174346</v>
      </c>
      <c r="BH393" s="3">
        <v>0.1221753</v>
      </c>
      <c r="BI393" s="3">
        <v>0.1268936</v>
      </c>
      <c r="BJ393" s="3">
        <v>0.13159270000000001</v>
      </c>
      <c r="BK393" s="3">
        <v>0.1362757</v>
      </c>
      <c r="BL393" s="3">
        <v>0.1409456</v>
      </c>
      <c r="BM393" s="3" t="e">
        <v>#N/A</v>
      </c>
      <c r="BN393" s="3" t="e">
        <v>#N/A</v>
      </c>
    </row>
    <row r="394" spans="1:66" x14ac:dyDescent="0.35">
      <c r="A394" s="5">
        <f t="shared" si="5"/>
        <v>44006</v>
      </c>
      <c r="B394" t="s">
        <v>471</v>
      </c>
      <c r="C394" s="2">
        <v>0.1</v>
      </c>
      <c r="D394" s="2">
        <v>6.2600000000000003E-2</v>
      </c>
      <c r="E394" s="3">
        <v>6.30748E-2</v>
      </c>
      <c r="F394" s="3">
        <v>5.5137899999999997E-2</v>
      </c>
      <c r="G394" s="3">
        <v>4.7729899999999999E-2</v>
      </c>
      <c r="H394" s="3">
        <v>3.9602400000000003E-2</v>
      </c>
      <c r="I394" s="3">
        <v>3.0648600000000002E-2</v>
      </c>
      <c r="J394" s="3">
        <v>2.1391799999999999E-2</v>
      </c>
      <c r="K394" s="3">
        <v>1.23579E-2</v>
      </c>
      <c r="L394" s="3">
        <v>3.9566000000000002E-3</v>
      </c>
      <c r="M394" s="3">
        <v>-3.5745E-3</v>
      </c>
      <c r="N394" s="3">
        <v>-1.01634E-2</v>
      </c>
      <c r="O394" s="3">
        <v>-1.58231E-2</v>
      </c>
      <c r="P394" s="3">
        <v>-2.05861E-2</v>
      </c>
      <c r="Q394" s="3">
        <v>-2.4581599999999999E-2</v>
      </c>
      <c r="R394" s="3">
        <v>-2.7880700000000001E-2</v>
      </c>
      <c r="S394" s="3">
        <v>-3.0533000000000001E-2</v>
      </c>
      <c r="T394" s="3">
        <v>-3.25878E-2</v>
      </c>
      <c r="U394" s="3">
        <v>-3.4094399999999997E-2</v>
      </c>
      <c r="V394" s="3">
        <v>-3.5102099999999997E-2</v>
      </c>
      <c r="W394" s="3">
        <v>-3.5656899999999998E-2</v>
      </c>
      <c r="X394" s="3">
        <v>-3.5790200000000001E-2</v>
      </c>
      <c r="Y394" s="3">
        <v>-3.5529400000000003E-2</v>
      </c>
      <c r="Z394" s="3">
        <v>-3.4902200000000001E-2</v>
      </c>
      <c r="AA394" s="3">
        <v>-3.3935899999999998E-2</v>
      </c>
      <c r="AB394" s="3">
        <v>-3.2658300000000001E-2</v>
      </c>
      <c r="AC394" s="3">
        <v>-3.10946E-2</v>
      </c>
      <c r="AD394" s="3">
        <v>-2.9261700000000002E-2</v>
      </c>
      <c r="AE394" s="3">
        <v>-2.7174400000000001E-2</v>
      </c>
      <c r="AF394" s="3">
        <v>-2.4847299999999999E-2</v>
      </c>
      <c r="AG394" s="3">
        <v>-2.2295300000000001E-2</v>
      </c>
      <c r="AH394" s="3">
        <v>-1.9532899999999999E-2</v>
      </c>
      <c r="AI394" s="3">
        <v>-1.65749E-2</v>
      </c>
      <c r="AJ394" s="3">
        <v>-1.3436099999999999E-2</v>
      </c>
      <c r="AK394" s="3">
        <v>-1.01312E-2</v>
      </c>
      <c r="AL394" s="3">
        <v>-6.6749000000000001E-3</v>
      </c>
      <c r="AM394" s="3">
        <v>-3.0818E-3</v>
      </c>
      <c r="AN394" s="3">
        <v>6.332E-4</v>
      </c>
      <c r="AO394" s="3">
        <v>4.4567000000000001E-3</v>
      </c>
      <c r="AP394" s="3">
        <v>8.3815999999999995E-3</v>
      </c>
      <c r="AQ394" s="3">
        <v>1.2402699999999999E-2</v>
      </c>
      <c r="AR394" s="3">
        <v>1.6514600000000001E-2</v>
      </c>
      <c r="AS394" s="3">
        <v>2.0712100000000001E-2</v>
      </c>
      <c r="AT394" s="3">
        <v>2.4989899999999999E-2</v>
      </c>
      <c r="AU394" s="3">
        <v>2.9342900000000002E-2</v>
      </c>
      <c r="AV394" s="3">
        <v>3.3765700000000003E-2</v>
      </c>
      <c r="AW394" s="3">
        <v>3.8253099999999998E-2</v>
      </c>
      <c r="AX394" s="3">
        <v>4.2799900000000002E-2</v>
      </c>
      <c r="AY394" s="3">
        <v>4.7400699999999997E-2</v>
      </c>
      <c r="AZ394" s="3">
        <v>5.2050399999999997E-2</v>
      </c>
      <c r="BA394" s="3">
        <v>5.67439E-2</v>
      </c>
      <c r="BB394" s="3">
        <v>6.1478100000000001E-2</v>
      </c>
      <c r="BC394" s="3">
        <v>6.62499E-2</v>
      </c>
      <c r="BD394" s="3">
        <v>7.1056499999999995E-2</v>
      </c>
      <c r="BE394" s="3">
        <v>7.5895000000000004E-2</v>
      </c>
      <c r="BF394" s="3">
        <v>8.0762299999999995E-2</v>
      </c>
      <c r="BG394" s="3">
        <v>8.5655700000000001E-2</v>
      </c>
      <c r="BH394" s="3">
        <v>9.0572200000000005E-2</v>
      </c>
      <c r="BI394" s="3">
        <v>9.5508800000000005E-2</v>
      </c>
      <c r="BJ394" s="3">
        <v>0.1004628</v>
      </c>
      <c r="BK394" s="3">
        <v>0.1054311</v>
      </c>
      <c r="BL394" s="3">
        <v>0.1104108</v>
      </c>
      <c r="BM394" s="3" t="e">
        <v>#N/A</v>
      </c>
      <c r="BN394" s="3" t="e">
        <v>#N/A</v>
      </c>
    </row>
    <row r="395" spans="1:66" x14ac:dyDescent="0.35">
      <c r="A395" s="5">
        <f t="shared" si="5"/>
        <v>44007</v>
      </c>
      <c r="B395" t="s">
        <v>472</v>
      </c>
      <c r="C395" s="2">
        <v>0.1</v>
      </c>
      <c r="D395" s="2">
        <v>6.3E-2</v>
      </c>
      <c r="E395" s="3">
        <v>6.1758899999999999E-2</v>
      </c>
      <c r="F395" s="3">
        <v>5.3805800000000001E-2</v>
      </c>
      <c r="G395" s="3">
        <v>4.6968099999999999E-2</v>
      </c>
      <c r="H395" s="3">
        <v>4.0046900000000003E-2</v>
      </c>
      <c r="I395" s="3">
        <v>3.2538400000000002E-2</v>
      </c>
      <c r="J395" s="3">
        <v>2.4565400000000001E-2</v>
      </c>
      <c r="K395" s="3">
        <v>1.6332599999999999E-2</v>
      </c>
      <c r="L395" s="3">
        <v>8.0298000000000001E-3</v>
      </c>
      <c r="M395" s="3">
        <v>-1.3740000000000001E-4</v>
      </c>
      <c r="N395" s="3">
        <v>-8.0145000000000008E-3</v>
      </c>
      <c r="O395" s="3">
        <v>-1.54418E-2</v>
      </c>
      <c r="P395" s="3">
        <v>-2.22142E-2</v>
      </c>
      <c r="Q395" s="3">
        <v>-2.8018499999999998E-2</v>
      </c>
      <c r="R395" s="3">
        <v>-3.2833300000000003E-2</v>
      </c>
      <c r="S395" s="3">
        <v>-3.6721299999999998E-2</v>
      </c>
      <c r="T395" s="3">
        <v>-3.9745500000000003E-2</v>
      </c>
      <c r="U395" s="3">
        <v>-4.1968699999999998E-2</v>
      </c>
      <c r="V395" s="3">
        <v>-4.3453800000000001E-2</v>
      </c>
      <c r="W395" s="3">
        <v>-4.4266100000000003E-2</v>
      </c>
      <c r="X395" s="3">
        <v>-4.4486600000000001E-2</v>
      </c>
      <c r="Y395" s="3">
        <v>-4.4201999999999998E-2</v>
      </c>
      <c r="Z395" s="3">
        <v>-4.3499400000000001E-2</v>
      </c>
      <c r="AA395" s="3">
        <v>-4.2465500000000003E-2</v>
      </c>
      <c r="AB395" s="3">
        <v>-4.1187399999999999E-2</v>
      </c>
      <c r="AC395" s="3">
        <v>-3.9740699999999997E-2</v>
      </c>
      <c r="AD395" s="3">
        <v>-3.8146100000000002E-2</v>
      </c>
      <c r="AE395" s="3">
        <v>-3.64079E-2</v>
      </c>
      <c r="AF395" s="3">
        <v>-3.4530199999999997E-2</v>
      </c>
      <c r="AG395" s="3">
        <v>-3.25171E-2</v>
      </c>
      <c r="AH395" s="3">
        <v>-3.0372799999999998E-2</v>
      </c>
      <c r="AI395" s="3">
        <v>-2.8101500000000001E-2</v>
      </c>
      <c r="AJ395" s="3">
        <v>-2.5707199999999999E-2</v>
      </c>
      <c r="AK395" s="3">
        <v>-2.3194200000000002E-2</v>
      </c>
      <c r="AL395" s="3">
        <v>-2.0566600000000001E-2</v>
      </c>
      <c r="AM395" s="3">
        <v>-1.78286E-2</v>
      </c>
      <c r="AN395" s="3">
        <v>-1.49842E-2</v>
      </c>
      <c r="AO395" s="3">
        <v>-1.20375E-2</v>
      </c>
      <c r="AP395" s="3">
        <v>-8.9914000000000001E-3</v>
      </c>
      <c r="AQ395" s="3">
        <v>-5.8488000000000004E-3</v>
      </c>
      <c r="AR395" s="3">
        <v>-2.6124E-3</v>
      </c>
      <c r="AS395" s="3">
        <v>7.1500000000000003E-4</v>
      </c>
      <c r="AT395" s="3">
        <v>4.1307000000000002E-3</v>
      </c>
      <c r="AU395" s="3">
        <v>7.6316999999999999E-3</v>
      </c>
      <c r="AV395" s="3">
        <v>1.12155E-2</v>
      </c>
      <c r="AW395" s="3">
        <v>1.4879099999999999E-2</v>
      </c>
      <c r="AX395" s="3">
        <v>1.8619799999999999E-2</v>
      </c>
      <c r="AY395" s="3">
        <v>2.2434900000000001E-2</v>
      </c>
      <c r="AZ395" s="3">
        <v>2.6321500000000001E-2</v>
      </c>
      <c r="BA395" s="3">
        <v>3.0276600000000001E-2</v>
      </c>
      <c r="BB395" s="3">
        <v>3.4296E-2</v>
      </c>
      <c r="BC395" s="3">
        <v>3.8375300000000001E-2</v>
      </c>
      <c r="BD395" s="3">
        <v>4.25098E-2</v>
      </c>
      <c r="BE395" s="3">
        <v>4.6695199999999999E-2</v>
      </c>
      <c r="BF395" s="3">
        <v>5.0926800000000001E-2</v>
      </c>
      <c r="BG395" s="3">
        <v>5.5200199999999998E-2</v>
      </c>
      <c r="BH395" s="3">
        <v>5.9510899999999999E-2</v>
      </c>
      <c r="BI395" s="3">
        <v>6.3854400000000006E-2</v>
      </c>
      <c r="BJ395" s="3">
        <v>6.8226099999999998E-2</v>
      </c>
      <c r="BK395" s="3">
        <v>7.2621500000000005E-2</v>
      </c>
      <c r="BL395" s="3">
        <v>7.7036199999999999E-2</v>
      </c>
      <c r="BM395" s="3" t="e">
        <v>#N/A</v>
      </c>
      <c r="BN395" s="3" t="e">
        <v>#N/A</v>
      </c>
    </row>
    <row r="396" spans="1:66" x14ac:dyDescent="0.35">
      <c r="A396" s="5">
        <f t="shared" si="5"/>
        <v>44008</v>
      </c>
      <c r="B396" t="s">
        <v>473</v>
      </c>
      <c r="C396" s="2">
        <v>0.1</v>
      </c>
      <c r="D396" s="2">
        <v>6.3299999999999995E-2</v>
      </c>
      <c r="E396" s="3">
        <v>5.78293E-2</v>
      </c>
      <c r="F396" s="3">
        <v>5.80928E-2</v>
      </c>
      <c r="G396" s="3">
        <v>5.2328399999999997E-2</v>
      </c>
      <c r="H396" s="3">
        <v>4.2297399999999999E-2</v>
      </c>
      <c r="I396" s="3">
        <v>3.0775199999999999E-2</v>
      </c>
      <c r="J396" s="3">
        <v>1.91582E-2</v>
      </c>
      <c r="K396" s="3">
        <v>8.5559E-3</v>
      </c>
      <c r="L396" s="3">
        <v>-3.8430000000000002E-4</v>
      </c>
      <c r="M396" s="3">
        <v>-7.8799999999999999E-3</v>
      </c>
      <c r="N396" s="3">
        <v>-1.43932E-2</v>
      </c>
      <c r="O396" s="3">
        <v>-2.0161200000000001E-2</v>
      </c>
      <c r="P396" s="3">
        <v>-2.5218399999999998E-2</v>
      </c>
      <c r="Q396" s="3">
        <v>-2.95751E-2</v>
      </c>
      <c r="R396" s="3">
        <v>-3.3282699999999998E-2</v>
      </c>
      <c r="S396" s="3">
        <v>-3.6403999999999999E-2</v>
      </c>
      <c r="T396" s="3">
        <v>-3.9002299999999997E-2</v>
      </c>
      <c r="U396" s="3">
        <v>-4.1140400000000001E-2</v>
      </c>
      <c r="V396" s="3">
        <v>-4.28814E-2</v>
      </c>
      <c r="W396" s="3">
        <v>-4.4281300000000003E-2</v>
      </c>
      <c r="X396" s="3">
        <v>-4.5355699999999999E-2</v>
      </c>
      <c r="Y396" s="3">
        <v>-4.61062E-2</v>
      </c>
      <c r="Z396" s="3">
        <v>-4.6534300000000001E-2</v>
      </c>
      <c r="AA396" s="3">
        <v>-4.6641500000000002E-2</v>
      </c>
      <c r="AB396" s="3">
        <v>-4.6429400000000003E-2</v>
      </c>
      <c r="AC396" s="3">
        <v>-4.5900799999999999E-2</v>
      </c>
      <c r="AD396" s="3">
        <v>-4.5063800000000001E-2</v>
      </c>
      <c r="AE396" s="3">
        <v>-4.3928500000000002E-2</v>
      </c>
      <c r="AF396" s="3">
        <v>-4.2504699999999999E-2</v>
      </c>
      <c r="AG396" s="3">
        <v>-4.0802100000000001E-2</v>
      </c>
      <c r="AH396" s="3">
        <v>-3.88306E-2</v>
      </c>
      <c r="AI396" s="3">
        <v>-3.6600100000000003E-2</v>
      </c>
      <c r="AJ396" s="3">
        <v>-3.4120400000000002E-2</v>
      </c>
      <c r="AK396" s="3">
        <v>-3.1401400000000003E-2</v>
      </c>
      <c r="AL396" s="3">
        <v>-2.84529E-2</v>
      </c>
      <c r="AM396" s="3">
        <v>-2.52848E-2</v>
      </c>
      <c r="AN396" s="3">
        <v>-2.1906800000000001E-2</v>
      </c>
      <c r="AO396" s="3">
        <v>-1.8329399999999999E-2</v>
      </c>
      <c r="AP396" s="3">
        <v>-1.4565099999999999E-2</v>
      </c>
      <c r="AQ396" s="3">
        <v>-1.06269E-2</v>
      </c>
      <c r="AR396" s="3">
        <v>-6.5279999999999999E-3</v>
      </c>
      <c r="AS396" s="3">
        <v>-2.2813E-3</v>
      </c>
      <c r="AT396" s="3">
        <v>2.0999999999999999E-3</v>
      </c>
      <c r="AU396" s="3">
        <v>6.6029000000000001E-3</v>
      </c>
      <c r="AV396" s="3">
        <v>1.1214399999999999E-2</v>
      </c>
      <c r="AW396" s="3">
        <v>1.5921299999999999E-2</v>
      </c>
      <c r="AX396" s="3">
        <v>2.0710699999999999E-2</v>
      </c>
      <c r="AY396" s="3">
        <v>2.5569499999999998E-2</v>
      </c>
      <c r="AZ396" s="3">
        <v>3.0484500000000001E-2</v>
      </c>
      <c r="BA396" s="3">
        <v>3.5444000000000003E-2</v>
      </c>
      <c r="BB396" s="3">
        <v>4.0441400000000002E-2</v>
      </c>
      <c r="BC396" s="3">
        <v>4.5471499999999998E-2</v>
      </c>
      <c r="BD396" s="3">
        <v>5.0529299999999999E-2</v>
      </c>
      <c r="BE396" s="3">
        <v>5.5609699999999998E-2</v>
      </c>
      <c r="BF396" s="3">
        <v>6.0707700000000003E-2</v>
      </c>
      <c r="BG396" s="3">
        <v>6.5817899999999999E-2</v>
      </c>
      <c r="BH396" s="3">
        <v>7.0935499999999999E-2</v>
      </c>
      <c r="BI396" s="3">
        <v>7.6055300000000006E-2</v>
      </c>
      <c r="BJ396" s="3">
        <v>8.1172099999999997E-2</v>
      </c>
      <c r="BK396" s="3">
        <v>8.6280999999999997E-2</v>
      </c>
      <c r="BL396" s="3">
        <v>9.1376700000000005E-2</v>
      </c>
      <c r="BM396" s="3" t="e">
        <v>#N/A</v>
      </c>
      <c r="BN396" s="3" t="e">
        <v>#N/A</v>
      </c>
    </row>
    <row r="397" spans="1:66" x14ac:dyDescent="0.35">
      <c r="A397" s="5">
        <f t="shared" si="5"/>
        <v>44011</v>
      </c>
      <c r="B397" t="s">
        <v>474</v>
      </c>
      <c r="C397" s="2">
        <v>0.1</v>
      </c>
      <c r="D397" s="2">
        <v>6.1899999999999997E-2</v>
      </c>
      <c r="E397" s="3">
        <v>6.1333199999999997E-2</v>
      </c>
      <c r="F397" s="3">
        <v>5.3774500000000003E-2</v>
      </c>
      <c r="G397" s="3">
        <v>4.5945300000000001E-2</v>
      </c>
      <c r="H397" s="3">
        <v>3.67252E-2</v>
      </c>
      <c r="I397" s="3">
        <v>2.61663E-2</v>
      </c>
      <c r="J397" s="3">
        <v>1.52216E-2</v>
      </c>
      <c r="K397" s="3">
        <v>4.6568E-3</v>
      </c>
      <c r="L397" s="3">
        <v>-5.1619999999999999E-3</v>
      </c>
      <c r="M397" s="3">
        <v>-1.4111200000000001E-2</v>
      </c>
      <c r="N397" s="3">
        <v>-2.2227199999999999E-2</v>
      </c>
      <c r="O397" s="3">
        <v>-2.9502500000000001E-2</v>
      </c>
      <c r="P397" s="3">
        <v>-3.5934199999999999E-2</v>
      </c>
      <c r="Q397" s="3">
        <v>-4.1468199999999997E-2</v>
      </c>
      <c r="R397" s="3">
        <v>-4.6129000000000003E-2</v>
      </c>
      <c r="S397" s="3">
        <v>-4.99678E-2</v>
      </c>
      <c r="T397" s="3">
        <v>-5.3035800000000001E-2</v>
      </c>
      <c r="U397" s="3">
        <v>-5.5384000000000003E-2</v>
      </c>
      <c r="V397" s="3">
        <v>-5.7063500000000003E-2</v>
      </c>
      <c r="W397" s="3">
        <v>-5.8126499999999998E-2</v>
      </c>
      <c r="X397" s="3">
        <v>-5.8628899999999998E-2</v>
      </c>
      <c r="Y397" s="3">
        <v>-5.8627600000000002E-2</v>
      </c>
      <c r="Z397" s="3">
        <v>-5.8179700000000001E-2</v>
      </c>
      <c r="AA397" s="3">
        <v>-5.7342200000000003E-2</v>
      </c>
      <c r="AB397" s="3">
        <v>-5.6171899999999997E-2</v>
      </c>
      <c r="AC397" s="3">
        <v>-5.4718799999999998E-2</v>
      </c>
      <c r="AD397" s="3">
        <v>-5.3004200000000001E-2</v>
      </c>
      <c r="AE397" s="3">
        <v>-5.1042499999999998E-2</v>
      </c>
      <c r="AF397" s="3">
        <v>-4.8848000000000003E-2</v>
      </c>
      <c r="AG397" s="3">
        <v>-4.6434900000000001E-2</v>
      </c>
      <c r="AH397" s="3">
        <v>-4.3817500000000002E-2</v>
      </c>
      <c r="AI397" s="3">
        <v>-4.1010199999999997E-2</v>
      </c>
      <c r="AJ397" s="3">
        <v>-3.8027100000000001E-2</v>
      </c>
      <c r="AK397" s="3">
        <v>-3.48826E-2</v>
      </c>
      <c r="AL397" s="3">
        <v>-3.1591099999999997E-2</v>
      </c>
      <c r="AM397" s="3">
        <v>-2.81666E-2</v>
      </c>
      <c r="AN397" s="3">
        <v>-2.4623699999999998E-2</v>
      </c>
      <c r="AO397" s="3">
        <v>-2.09751E-2</v>
      </c>
      <c r="AP397" s="3">
        <v>-1.72281E-2</v>
      </c>
      <c r="AQ397" s="3">
        <v>-1.33887E-2</v>
      </c>
      <c r="AR397" s="3">
        <v>-9.4625999999999998E-3</v>
      </c>
      <c r="AS397" s="3">
        <v>-5.4559999999999999E-3</v>
      </c>
      <c r="AT397" s="3">
        <v>-1.3745000000000001E-3</v>
      </c>
      <c r="AU397" s="3">
        <v>2.7758000000000001E-3</v>
      </c>
      <c r="AV397" s="3">
        <v>6.9890999999999998E-3</v>
      </c>
      <c r="AW397" s="3">
        <v>1.12595E-2</v>
      </c>
      <c r="AX397" s="3">
        <v>1.5581100000000001E-2</v>
      </c>
      <c r="AY397" s="3">
        <v>1.9948E-2</v>
      </c>
      <c r="AZ397" s="3">
        <v>2.4354299999999999E-2</v>
      </c>
      <c r="BA397" s="3">
        <v>2.8794500000000001E-2</v>
      </c>
      <c r="BB397" s="3">
        <v>3.32649E-2</v>
      </c>
      <c r="BC397" s="3">
        <v>3.7762799999999999E-2</v>
      </c>
      <c r="BD397" s="3">
        <v>4.2285200000000002E-2</v>
      </c>
      <c r="BE397" s="3">
        <v>4.6829299999999997E-2</v>
      </c>
      <c r="BF397" s="3">
        <v>5.1392E-2</v>
      </c>
      <c r="BG397" s="3">
        <v>5.5970600000000002E-2</v>
      </c>
      <c r="BH397" s="3">
        <v>6.0562100000000001E-2</v>
      </c>
      <c r="BI397" s="3">
        <v>6.5163700000000005E-2</v>
      </c>
      <c r="BJ397" s="3">
        <v>6.9772299999999995E-2</v>
      </c>
      <c r="BK397" s="3">
        <v>7.4385300000000001E-2</v>
      </c>
      <c r="BL397" s="3">
        <v>7.89995E-2</v>
      </c>
      <c r="BM397" s="3" t="e">
        <v>#N/A</v>
      </c>
      <c r="BN397" s="3" t="e">
        <v>#N/A</v>
      </c>
    </row>
    <row r="398" spans="1:66" x14ac:dyDescent="0.35">
      <c r="A398" s="5">
        <f t="shared" ref="A398:A461" si="6">+A393+7</f>
        <v>44012</v>
      </c>
      <c r="B398" t="s">
        <v>475</v>
      </c>
      <c r="C398" s="2">
        <v>0.1</v>
      </c>
      <c r="D398" s="2">
        <v>6.0299999999999999E-2</v>
      </c>
      <c r="E398" s="3">
        <v>6.0694699999999997E-2</v>
      </c>
      <c r="F398" s="3">
        <v>5.3568400000000002E-2</v>
      </c>
      <c r="G398" s="3">
        <v>4.6248200000000003E-2</v>
      </c>
      <c r="H398" s="3">
        <v>3.6825999999999998E-2</v>
      </c>
      <c r="I398" s="3">
        <v>2.53444E-2</v>
      </c>
      <c r="J398" s="3">
        <v>1.30042E-2</v>
      </c>
      <c r="K398" s="3">
        <v>6.8099999999999996E-4</v>
      </c>
      <c r="L398" s="3">
        <v>-1.09055E-2</v>
      </c>
      <c r="M398" s="3">
        <v>-2.1219600000000002E-2</v>
      </c>
      <c r="N398" s="3">
        <v>-3.0192699999999999E-2</v>
      </c>
      <c r="O398" s="3">
        <v>-3.7870000000000001E-2</v>
      </c>
      <c r="P398" s="3">
        <v>-4.43816E-2</v>
      </c>
      <c r="Q398" s="3">
        <v>-4.9895399999999999E-2</v>
      </c>
      <c r="R398" s="3">
        <v>-5.45005E-2</v>
      </c>
      <c r="S398" s="3">
        <v>-5.8264000000000003E-2</v>
      </c>
      <c r="T398" s="3">
        <v>-6.1252599999999997E-2</v>
      </c>
      <c r="U398" s="3">
        <v>-6.3533300000000001E-2</v>
      </c>
      <c r="V398" s="3">
        <v>-6.5172800000000003E-2</v>
      </c>
      <c r="W398" s="3">
        <v>-6.6231300000000007E-2</v>
      </c>
      <c r="X398" s="3">
        <v>-6.6737299999999999E-2</v>
      </c>
      <c r="Y398" s="3">
        <v>-6.6710199999999997E-2</v>
      </c>
      <c r="Z398" s="3">
        <v>-6.6169599999999995E-2</v>
      </c>
      <c r="AA398" s="3">
        <v>-6.5134899999999996E-2</v>
      </c>
      <c r="AB398" s="3">
        <v>-6.3625500000000001E-2</v>
      </c>
      <c r="AC398" s="3">
        <v>-6.1662799999999997E-2</v>
      </c>
      <c r="AD398" s="3">
        <v>-5.92764E-2</v>
      </c>
      <c r="AE398" s="3">
        <v>-5.6497699999999998E-2</v>
      </c>
      <c r="AF398" s="3">
        <v>-5.3358099999999999E-2</v>
      </c>
      <c r="AG398" s="3">
        <v>-4.9889200000000002E-2</v>
      </c>
      <c r="AH398" s="3">
        <v>-4.6122299999999998E-2</v>
      </c>
      <c r="AI398" s="3">
        <v>-4.2089000000000001E-2</v>
      </c>
      <c r="AJ398" s="3">
        <v>-3.7820800000000002E-2</v>
      </c>
      <c r="AK398" s="3">
        <v>-3.3348999999999997E-2</v>
      </c>
      <c r="AL398" s="3">
        <v>-2.87053E-2</v>
      </c>
      <c r="AM398" s="3">
        <v>-2.3920899999999998E-2</v>
      </c>
      <c r="AN398" s="3">
        <v>-1.90274E-2</v>
      </c>
      <c r="AO398" s="3">
        <v>-1.4052800000000001E-2</v>
      </c>
      <c r="AP398" s="3">
        <v>-9.0110999999999993E-3</v>
      </c>
      <c r="AQ398" s="3">
        <v>-3.9125999999999996E-3</v>
      </c>
      <c r="AR398" s="3">
        <v>1.232E-3</v>
      </c>
      <c r="AS398" s="3">
        <v>6.4124000000000004E-3</v>
      </c>
      <c r="AT398" s="3">
        <v>1.1618E-2</v>
      </c>
      <c r="AU398" s="3">
        <v>1.68383E-2</v>
      </c>
      <c r="AV398" s="3">
        <v>2.20629E-2</v>
      </c>
      <c r="AW398" s="3">
        <v>2.7281300000000001E-2</v>
      </c>
      <c r="AX398" s="3">
        <v>3.2483100000000001E-2</v>
      </c>
      <c r="AY398" s="3">
        <v>3.7657599999999999E-2</v>
      </c>
      <c r="AZ398" s="3">
        <v>4.2794499999999999E-2</v>
      </c>
      <c r="BA398" s="3">
        <v>4.7884900000000001E-2</v>
      </c>
      <c r="BB398" s="3">
        <v>5.2927500000000002E-2</v>
      </c>
      <c r="BC398" s="3">
        <v>5.7923700000000002E-2</v>
      </c>
      <c r="BD398" s="3">
        <v>6.2874600000000003E-2</v>
      </c>
      <c r="BE398" s="3">
        <v>6.7781300000000003E-2</v>
      </c>
      <c r="BF398" s="3">
        <v>7.2645199999999993E-2</v>
      </c>
      <c r="BG398" s="3">
        <v>7.7467400000000006E-2</v>
      </c>
      <c r="BH398" s="3">
        <v>8.2249000000000003E-2</v>
      </c>
      <c r="BI398" s="3">
        <v>8.6991399999999997E-2</v>
      </c>
      <c r="BJ398" s="3">
        <v>9.1695700000000005E-2</v>
      </c>
      <c r="BK398" s="3">
        <v>9.6363000000000004E-2</v>
      </c>
      <c r="BL398" s="3">
        <v>0.10099470000000001</v>
      </c>
      <c r="BM398" s="3" t="e">
        <v>#N/A</v>
      </c>
      <c r="BN398" s="3" t="e">
        <v>#N/A</v>
      </c>
    </row>
    <row r="399" spans="1:66" x14ac:dyDescent="0.35">
      <c r="A399" s="5">
        <f t="shared" si="6"/>
        <v>44013</v>
      </c>
      <c r="B399" t="s">
        <v>476</v>
      </c>
      <c r="C399" s="2">
        <v>0.1</v>
      </c>
      <c r="D399" s="2">
        <v>6.1100000000000002E-2</v>
      </c>
      <c r="E399" s="3">
        <v>6.1566999999999997E-2</v>
      </c>
      <c r="F399" s="3">
        <v>5.3978199999999997E-2</v>
      </c>
      <c r="G399" s="3">
        <v>4.62015E-2</v>
      </c>
      <c r="H399" s="3">
        <v>3.76084E-2</v>
      </c>
      <c r="I399" s="3">
        <v>2.85977E-2</v>
      </c>
      <c r="J399" s="3">
        <v>1.9718200000000002E-2</v>
      </c>
      <c r="K399" s="3">
        <v>1.1121900000000001E-2</v>
      </c>
      <c r="L399" s="3">
        <v>2.8939E-3</v>
      </c>
      <c r="M399" s="3">
        <v>-4.8593000000000004E-3</v>
      </c>
      <c r="N399" s="3">
        <v>-1.2134600000000001E-2</v>
      </c>
      <c r="O399" s="3">
        <v>-1.8981399999999999E-2</v>
      </c>
      <c r="P399" s="3">
        <v>-2.5415500000000001E-2</v>
      </c>
      <c r="Q399" s="3">
        <v>-3.1495500000000003E-2</v>
      </c>
      <c r="R399" s="3">
        <v>-3.7149599999999998E-2</v>
      </c>
      <c r="S399" s="3">
        <v>-4.2266499999999999E-2</v>
      </c>
      <c r="T399" s="3">
        <v>-4.6734999999999999E-2</v>
      </c>
      <c r="U399" s="3">
        <v>-5.0444000000000003E-2</v>
      </c>
      <c r="V399" s="3">
        <v>-5.3282299999999998E-2</v>
      </c>
      <c r="W399" s="3">
        <v>-5.51566E-2</v>
      </c>
      <c r="X399" s="3">
        <v>-5.60873E-2</v>
      </c>
      <c r="Y399" s="3">
        <v>-5.6138500000000001E-2</v>
      </c>
      <c r="Z399" s="3">
        <v>-5.5374199999999998E-2</v>
      </c>
      <c r="AA399" s="3">
        <v>-5.3858700000000002E-2</v>
      </c>
      <c r="AB399" s="3">
        <v>-5.1656199999999999E-2</v>
      </c>
      <c r="AC399" s="3">
        <v>-4.8829299999999999E-2</v>
      </c>
      <c r="AD399" s="3">
        <v>-4.54349E-2</v>
      </c>
      <c r="AE399" s="3">
        <v>-4.1528500000000003E-2</v>
      </c>
      <c r="AF399" s="3">
        <v>-3.7165299999999998E-2</v>
      </c>
      <c r="AG399" s="3">
        <v>-3.2400900000000003E-2</v>
      </c>
      <c r="AH399" s="3">
        <v>-2.7290600000000002E-2</v>
      </c>
      <c r="AI399" s="3">
        <v>-2.1889800000000001E-2</v>
      </c>
      <c r="AJ399" s="3">
        <v>-1.6253900000000002E-2</v>
      </c>
      <c r="AK399" s="3">
        <v>-1.04382E-2</v>
      </c>
      <c r="AL399" s="3">
        <v>-4.4983000000000002E-3</v>
      </c>
      <c r="AM399" s="3">
        <v>1.5104999999999999E-3</v>
      </c>
      <c r="AN399" s="3">
        <v>7.5328000000000001E-3</v>
      </c>
      <c r="AO399" s="3">
        <v>1.35202E-2</v>
      </c>
      <c r="AP399" s="3">
        <v>1.94585E-2</v>
      </c>
      <c r="AQ399" s="3">
        <v>2.53438E-2</v>
      </c>
      <c r="AR399" s="3">
        <v>3.1172200000000001E-2</v>
      </c>
      <c r="AS399" s="3">
        <v>3.6940000000000001E-2</v>
      </c>
      <c r="AT399" s="3">
        <v>4.2643300000000002E-2</v>
      </c>
      <c r="AU399" s="3">
        <v>4.8278099999999997E-2</v>
      </c>
      <c r="AV399" s="3">
        <v>5.3840800000000001E-2</v>
      </c>
      <c r="AW399" s="3">
        <v>5.9327400000000002E-2</v>
      </c>
      <c r="AX399" s="3">
        <v>6.4734E-2</v>
      </c>
      <c r="AY399" s="3">
        <v>7.0056900000000005E-2</v>
      </c>
      <c r="AZ399" s="3">
        <v>7.5292200000000004E-2</v>
      </c>
      <c r="BA399" s="3">
        <v>8.0437300000000003E-2</v>
      </c>
      <c r="BB399" s="3">
        <v>8.5495799999999997E-2</v>
      </c>
      <c r="BC399" s="3">
        <v>9.0472700000000003E-2</v>
      </c>
      <c r="BD399" s="3">
        <v>9.5373100000000002E-2</v>
      </c>
      <c r="BE399" s="3">
        <v>0.1002021</v>
      </c>
      <c r="BF399" s="3">
        <v>0.1049648</v>
      </c>
      <c r="BG399" s="3">
        <v>0.1096664</v>
      </c>
      <c r="BH399" s="3">
        <v>0.11431180000000001</v>
      </c>
      <c r="BI399" s="3">
        <v>0.1189061</v>
      </c>
      <c r="BJ399" s="3">
        <v>0.1234546</v>
      </c>
      <c r="BK399" s="3">
        <v>0.1279622</v>
      </c>
      <c r="BL399" s="3">
        <v>0.1324341</v>
      </c>
      <c r="BM399" s="3" t="e">
        <v>#N/A</v>
      </c>
      <c r="BN399" s="3" t="e">
        <v>#N/A</v>
      </c>
    </row>
    <row r="400" spans="1:66" x14ac:dyDescent="0.35">
      <c r="A400" s="5">
        <f t="shared" si="6"/>
        <v>44014</v>
      </c>
      <c r="B400" t="s">
        <v>477</v>
      </c>
      <c r="C400" s="2">
        <v>0.1</v>
      </c>
      <c r="D400" s="2">
        <v>6.08E-2</v>
      </c>
      <c r="E400" s="3">
        <v>5.9542299999999999E-2</v>
      </c>
      <c r="F400" s="3">
        <v>5.2284700000000003E-2</v>
      </c>
      <c r="G400" s="3">
        <v>4.5516500000000001E-2</v>
      </c>
      <c r="H400" s="3">
        <v>3.7538599999999998E-2</v>
      </c>
      <c r="I400" s="3">
        <v>2.81736E-2</v>
      </c>
      <c r="J400" s="3">
        <v>1.8175500000000001E-2</v>
      </c>
      <c r="K400" s="3">
        <v>8.0712000000000006E-3</v>
      </c>
      <c r="L400" s="3">
        <v>-1.7535999999999999E-3</v>
      </c>
      <c r="M400" s="3">
        <v>-1.09868E-2</v>
      </c>
      <c r="N400" s="3">
        <v>-1.9398200000000001E-2</v>
      </c>
      <c r="O400" s="3">
        <v>-2.69047E-2</v>
      </c>
      <c r="P400" s="3">
        <v>-3.3452000000000003E-2</v>
      </c>
      <c r="Q400" s="3">
        <v>-3.91163E-2</v>
      </c>
      <c r="R400" s="3">
        <v>-4.3934500000000001E-2</v>
      </c>
      <c r="S400" s="3">
        <v>-4.7922399999999997E-2</v>
      </c>
      <c r="T400" s="3">
        <v>-5.10959E-2</v>
      </c>
      <c r="U400" s="3">
        <v>-5.3470900000000002E-2</v>
      </c>
      <c r="V400" s="3">
        <v>-5.50632E-2</v>
      </c>
      <c r="W400" s="3">
        <v>-5.5892200000000003E-2</v>
      </c>
      <c r="X400" s="3">
        <v>-5.5997999999999999E-2</v>
      </c>
      <c r="Y400" s="3">
        <v>-5.5427499999999998E-2</v>
      </c>
      <c r="Z400" s="3">
        <v>-5.4227999999999998E-2</v>
      </c>
      <c r="AA400" s="3">
        <v>-5.2446600000000003E-2</v>
      </c>
      <c r="AB400" s="3">
        <v>-5.0130399999999999E-2</v>
      </c>
      <c r="AC400" s="3">
        <v>-4.7325600000000002E-2</v>
      </c>
      <c r="AD400" s="3">
        <v>-4.40744E-2</v>
      </c>
      <c r="AE400" s="3">
        <v>-4.0417700000000001E-2</v>
      </c>
      <c r="AF400" s="3">
        <v>-3.6396299999999999E-2</v>
      </c>
      <c r="AG400" s="3">
        <v>-3.2051200000000002E-2</v>
      </c>
      <c r="AH400" s="3">
        <v>-2.7423300000000001E-2</v>
      </c>
      <c r="AI400" s="3">
        <v>-2.2553299999999998E-2</v>
      </c>
      <c r="AJ400" s="3">
        <v>-1.7482299999999999E-2</v>
      </c>
      <c r="AK400" s="3">
        <v>-1.2251099999999999E-2</v>
      </c>
      <c r="AL400" s="3">
        <v>-6.9005000000000004E-3</v>
      </c>
      <c r="AM400" s="3">
        <v>-1.4714000000000001E-3</v>
      </c>
      <c r="AN400" s="3">
        <v>3.9952E-3</v>
      </c>
      <c r="AO400" s="3">
        <v>9.4639000000000008E-3</v>
      </c>
      <c r="AP400" s="3">
        <v>1.49231E-2</v>
      </c>
      <c r="AQ400" s="3">
        <v>2.0367799999999998E-2</v>
      </c>
      <c r="AR400" s="3">
        <v>2.5793199999999999E-2</v>
      </c>
      <c r="AS400" s="3">
        <v>3.1194099999999999E-2</v>
      </c>
      <c r="AT400" s="3">
        <v>3.6565599999999997E-2</v>
      </c>
      <c r="AU400" s="3">
        <v>4.1902799999999997E-2</v>
      </c>
      <c r="AV400" s="3">
        <v>4.7200600000000002E-2</v>
      </c>
      <c r="AW400" s="3">
        <v>5.2454099999999997E-2</v>
      </c>
      <c r="AX400" s="3">
        <v>5.76582E-2</v>
      </c>
      <c r="AY400" s="3">
        <v>6.2808100000000006E-2</v>
      </c>
      <c r="AZ400" s="3">
        <v>6.7898799999999995E-2</v>
      </c>
      <c r="BA400" s="3">
        <v>7.2926400000000002E-2</v>
      </c>
      <c r="BB400" s="3">
        <v>7.7892600000000006E-2</v>
      </c>
      <c r="BC400" s="3">
        <v>8.2800700000000005E-2</v>
      </c>
      <c r="BD400" s="3">
        <v>8.7653599999999998E-2</v>
      </c>
      <c r="BE400" s="3">
        <v>9.2454700000000001E-2</v>
      </c>
      <c r="BF400" s="3">
        <v>9.7207000000000002E-2</v>
      </c>
      <c r="BG400" s="3">
        <v>0.10191359999999999</v>
      </c>
      <c r="BH400" s="3">
        <v>0.1065778</v>
      </c>
      <c r="BI400" s="3">
        <v>0.1112026</v>
      </c>
      <c r="BJ400" s="3">
        <v>0.1157912</v>
      </c>
      <c r="BK400" s="3">
        <v>0.1203468</v>
      </c>
      <c r="BL400" s="3">
        <v>0.1248725</v>
      </c>
      <c r="BM400" s="3" t="e">
        <v>#N/A</v>
      </c>
      <c r="BN400" s="3" t="e">
        <v>#N/A</v>
      </c>
    </row>
    <row r="401" spans="1:66" x14ac:dyDescent="0.35">
      <c r="A401" s="5">
        <f t="shared" si="6"/>
        <v>44015</v>
      </c>
      <c r="B401" t="s">
        <v>478</v>
      </c>
      <c r="C401" s="2">
        <v>0.1</v>
      </c>
      <c r="D401" s="2">
        <v>6.08E-2</v>
      </c>
      <c r="E401" s="3">
        <v>6.0246500000000001E-2</v>
      </c>
      <c r="F401" s="3">
        <v>5.1222999999999998E-2</v>
      </c>
      <c r="G401" s="3">
        <v>4.01766E-2</v>
      </c>
      <c r="H401" s="3">
        <v>3.1682299999999997E-2</v>
      </c>
      <c r="I401" s="3">
        <v>2.47683E-2</v>
      </c>
      <c r="J401" s="3">
        <v>1.5991100000000001E-2</v>
      </c>
      <c r="K401" s="3">
        <v>5.0667000000000004E-3</v>
      </c>
      <c r="L401" s="3">
        <v>-6.6810999999999997E-3</v>
      </c>
      <c r="M401" s="3">
        <v>-1.7786199999999999E-2</v>
      </c>
      <c r="N401" s="3">
        <v>-2.72564E-2</v>
      </c>
      <c r="O401" s="3">
        <v>-3.46951E-2</v>
      </c>
      <c r="P401" s="3">
        <v>-4.00463E-2</v>
      </c>
      <c r="Q401" s="3">
        <v>-4.4288500000000001E-2</v>
      </c>
      <c r="R401" s="3">
        <v>-4.7773700000000002E-2</v>
      </c>
      <c r="S401" s="3">
        <v>-5.0562200000000002E-2</v>
      </c>
      <c r="T401" s="3">
        <v>-5.2714200000000003E-2</v>
      </c>
      <c r="U401" s="3">
        <v>-5.42903E-2</v>
      </c>
      <c r="V401" s="3">
        <v>-5.5350499999999997E-2</v>
      </c>
      <c r="W401" s="3">
        <v>-5.59452E-2</v>
      </c>
      <c r="X401" s="3">
        <v>-5.6072299999999999E-2</v>
      </c>
      <c r="Y401" s="3">
        <v>-5.5713199999999997E-2</v>
      </c>
      <c r="Z401" s="3">
        <v>-5.4849200000000001E-2</v>
      </c>
      <c r="AA401" s="3">
        <v>-5.3461700000000001E-2</v>
      </c>
      <c r="AB401" s="3">
        <v>-5.1532000000000001E-2</v>
      </c>
      <c r="AC401" s="3">
        <v>-4.9051400000000002E-2</v>
      </c>
      <c r="AD401" s="3">
        <v>-4.6053700000000003E-2</v>
      </c>
      <c r="AE401" s="3">
        <v>-4.2585199999999997E-2</v>
      </c>
      <c r="AF401" s="3">
        <v>-3.86916E-2</v>
      </c>
      <c r="AG401" s="3">
        <v>-3.4418999999999998E-2</v>
      </c>
      <c r="AH401" s="3">
        <v>-2.98134E-2</v>
      </c>
      <c r="AI401" s="3">
        <v>-2.4920600000000001E-2</v>
      </c>
      <c r="AJ401" s="3">
        <v>-1.97868E-2</v>
      </c>
      <c r="AK401" s="3">
        <v>-1.4457899999999999E-2</v>
      </c>
      <c r="AL401" s="3">
        <v>-8.9797999999999996E-3</v>
      </c>
      <c r="AM401" s="3">
        <v>-3.3985E-3</v>
      </c>
      <c r="AN401" s="3">
        <v>2.2399999999999998E-3</v>
      </c>
      <c r="AO401" s="3">
        <v>7.8963999999999996E-3</v>
      </c>
      <c r="AP401" s="3">
        <v>1.3558300000000001E-2</v>
      </c>
      <c r="AQ401" s="3">
        <v>1.9219900000000002E-2</v>
      </c>
      <c r="AR401" s="3">
        <v>2.4875399999999999E-2</v>
      </c>
      <c r="AS401" s="3">
        <v>3.0519000000000001E-2</v>
      </c>
      <c r="AT401" s="3">
        <v>3.6144999999999997E-2</v>
      </c>
      <c r="AU401" s="3">
        <v>4.17475E-2</v>
      </c>
      <c r="AV401" s="3">
        <v>4.7320800000000003E-2</v>
      </c>
      <c r="AW401" s="3">
        <v>5.2859200000000002E-2</v>
      </c>
      <c r="AX401" s="3">
        <v>5.8356699999999997E-2</v>
      </c>
      <c r="AY401" s="3">
        <v>6.3807799999999998E-2</v>
      </c>
      <c r="AZ401" s="3">
        <v>6.9206500000000004E-2</v>
      </c>
      <c r="BA401" s="3">
        <v>7.4548199999999995E-2</v>
      </c>
      <c r="BB401" s="3">
        <v>7.9833299999999996E-2</v>
      </c>
      <c r="BC401" s="3">
        <v>8.50635E-2</v>
      </c>
      <c r="BD401" s="3">
        <v>9.0240500000000001E-2</v>
      </c>
      <c r="BE401" s="3">
        <v>9.5365800000000001E-2</v>
      </c>
      <c r="BF401" s="3">
        <v>0.1004414</v>
      </c>
      <c r="BG401" s="3">
        <v>0.1054688</v>
      </c>
      <c r="BH401" s="3">
        <v>0.1104498</v>
      </c>
      <c r="BI401" s="3">
        <v>0.115386</v>
      </c>
      <c r="BJ401" s="3">
        <v>0.1202792</v>
      </c>
      <c r="BK401" s="3">
        <v>0.12513099999999999</v>
      </c>
      <c r="BL401" s="3">
        <v>0.12994320000000001</v>
      </c>
      <c r="BM401" s="3" t="e">
        <v>#N/A</v>
      </c>
      <c r="BN401" s="3" t="e">
        <v>#N/A</v>
      </c>
    </row>
    <row r="402" spans="1:66" x14ac:dyDescent="0.35">
      <c r="A402" s="5">
        <f t="shared" si="6"/>
        <v>44018</v>
      </c>
      <c r="B402" t="s">
        <v>479</v>
      </c>
      <c r="C402" s="2">
        <v>0.1</v>
      </c>
      <c r="D402" s="2">
        <v>5.9200000000000003E-2</v>
      </c>
      <c r="E402" s="3">
        <v>5.86835E-2</v>
      </c>
      <c r="F402" s="3">
        <v>5.2091499999999999E-2</v>
      </c>
      <c r="G402" s="3">
        <v>4.5863599999999997E-2</v>
      </c>
      <c r="H402" s="3">
        <v>3.8658100000000001E-2</v>
      </c>
      <c r="I402" s="3">
        <v>3.0627499999999998E-2</v>
      </c>
      <c r="J402" s="3">
        <v>2.2279500000000001E-2</v>
      </c>
      <c r="K402" s="3">
        <v>1.37319E-2</v>
      </c>
      <c r="L402" s="3">
        <v>5.1358000000000003E-3</v>
      </c>
      <c r="M402" s="3">
        <v>-3.2173000000000002E-3</v>
      </c>
      <c r="N402" s="3">
        <v>-1.1122999999999999E-2</v>
      </c>
      <c r="O402" s="3">
        <v>-1.84245E-2</v>
      </c>
      <c r="P402" s="3">
        <v>-2.50324E-2</v>
      </c>
      <c r="Q402" s="3">
        <v>-3.0875099999999999E-2</v>
      </c>
      <c r="R402" s="3">
        <v>-3.5945100000000001E-2</v>
      </c>
      <c r="S402" s="3">
        <v>-4.0252000000000003E-2</v>
      </c>
      <c r="T402" s="3">
        <v>-4.38056E-2</v>
      </c>
      <c r="U402" s="3">
        <v>-4.66156E-2</v>
      </c>
      <c r="V402" s="3">
        <v>-4.8691499999999999E-2</v>
      </c>
      <c r="W402" s="3">
        <v>-5.00455E-2</v>
      </c>
      <c r="X402" s="3">
        <v>-5.0699800000000003E-2</v>
      </c>
      <c r="Y402" s="3">
        <v>-5.0679700000000001E-2</v>
      </c>
      <c r="Z402" s="3">
        <v>-5.0010600000000002E-2</v>
      </c>
      <c r="AA402" s="3">
        <v>-4.8717900000000001E-2</v>
      </c>
      <c r="AB402" s="3">
        <v>-4.6826899999999998E-2</v>
      </c>
      <c r="AC402" s="3">
        <v>-4.4366000000000003E-2</v>
      </c>
      <c r="AD402" s="3">
        <v>-4.1375799999999997E-2</v>
      </c>
      <c r="AE402" s="3">
        <v>-3.7900099999999999E-2</v>
      </c>
      <c r="AF402" s="3">
        <v>-3.3982499999999999E-2</v>
      </c>
      <c r="AG402" s="3">
        <v>-2.96669E-2</v>
      </c>
      <c r="AH402" s="3">
        <v>-2.49968E-2</v>
      </c>
      <c r="AI402" s="3">
        <v>-2.0015999999999999E-2</v>
      </c>
      <c r="AJ402" s="3">
        <v>-1.47682E-2</v>
      </c>
      <c r="AK402" s="3">
        <v>-9.2971000000000008E-3</v>
      </c>
      <c r="AL402" s="3">
        <v>-3.6465E-3</v>
      </c>
      <c r="AM402" s="3">
        <v>2.1400999999999998E-3</v>
      </c>
      <c r="AN402" s="3">
        <v>8.0187999999999995E-3</v>
      </c>
      <c r="AO402" s="3">
        <v>1.39516E-2</v>
      </c>
      <c r="AP402" s="3">
        <v>1.9923E-2</v>
      </c>
      <c r="AQ402" s="3">
        <v>2.5922799999999999E-2</v>
      </c>
      <c r="AR402" s="3">
        <v>3.1941200000000003E-2</v>
      </c>
      <c r="AS402" s="3">
        <v>3.7968300000000003E-2</v>
      </c>
      <c r="AT402" s="3">
        <v>4.3993999999999998E-2</v>
      </c>
      <c r="AU402" s="3">
        <v>5.0008299999999999E-2</v>
      </c>
      <c r="AV402" s="3">
        <v>5.60014E-2</v>
      </c>
      <c r="AW402" s="3">
        <v>6.1963200000000003E-2</v>
      </c>
      <c r="AX402" s="3">
        <v>6.7883799999999994E-2</v>
      </c>
      <c r="AY402" s="3">
        <v>7.3753299999999994E-2</v>
      </c>
      <c r="AZ402" s="3">
        <v>7.9561599999999996E-2</v>
      </c>
      <c r="BA402" s="3">
        <v>8.5300200000000007E-2</v>
      </c>
      <c r="BB402" s="3">
        <v>9.0968499999999994E-2</v>
      </c>
      <c r="BC402" s="3">
        <v>9.6568399999999999E-2</v>
      </c>
      <c r="BD402" s="3">
        <v>0.10210180000000001</v>
      </c>
      <c r="BE402" s="3">
        <v>0.10757070000000001</v>
      </c>
      <c r="BF402" s="3">
        <v>0.11297699999999999</v>
      </c>
      <c r="BG402" s="3">
        <v>0.1183226</v>
      </c>
      <c r="BH402" s="3">
        <v>0.1236095</v>
      </c>
      <c r="BI402" s="3">
        <v>0.1288395</v>
      </c>
      <c r="BJ402" s="3">
        <v>0.13401469999999999</v>
      </c>
      <c r="BK402" s="3">
        <v>0.13913700000000001</v>
      </c>
      <c r="BL402" s="3">
        <v>0.14420830000000001</v>
      </c>
      <c r="BM402" s="3" t="e">
        <v>#N/A</v>
      </c>
      <c r="BN402" s="3" t="e">
        <v>#N/A</v>
      </c>
    </row>
    <row r="403" spans="1:66" x14ac:dyDescent="0.35">
      <c r="A403" s="5">
        <f t="shared" si="6"/>
        <v>44019</v>
      </c>
      <c r="B403" t="s">
        <v>480</v>
      </c>
      <c r="C403" s="2">
        <v>0.1</v>
      </c>
      <c r="D403" s="2">
        <v>5.8999999999999997E-2</v>
      </c>
      <c r="E403" s="3">
        <v>5.83937E-2</v>
      </c>
      <c r="F403" s="3">
        <v>5.1242000000000003E-2</v>
      </c>
      <c r="G403" s="3">
        <v>4.4768700000000002E-2</v>
      </c>
      <c r="H403" s="3">
        <v>3.7380499999999997E-2</v>
      </c>
      <c r="I403" s="3">
        <v>2.8814200000000002E-2</v>
      </c>
      <c r="J403" s="3">
        <v>1.9646400000000001E-2</v>
      </c>
      <c r="K403" s="3">
        <v>1.02221E-2</v>
      </c>
      <c r="L403" s="3">
        <v>8.6140000000000001E-4</v>
      </c>
      <c r="M403" s="3">
        <v>-8.1259999999999995E-3</v>
      </c>
      <c r="N403" s="3">
        <v>-1.6596099999999999E-2</v>
      </c>
      <c r="O403" s="3">
        <v>-2.4437400000000001E-2</v>
      </c>
      <c r="P403" s="3">
        <v>-3.1611399999999998E-2</v>
      </c>
      <c r="Q403" s="3">
        <v>-3.81774E-2</v>
      </c>
      <c r="R403" s="3">
        <v>-4.4111499999999998E-2</v>
      </c>
      <c r="S403" s="3">
        <v>-4.9361599999999999E-2</v>
      </c>
      <c r="T403" s="3">
        <v>-5.38755E-2</v>
      </c>
      <c r="U403" s="3">
        <v>-5.7601100000000002E-2</v>
      </c>
      <c r="V403" s="3">
        <v>-6.04863E-2</v>
      </c>
      <c r="W403" s="3">
        <v>-6.2496400000000001E-2</v>
      </c>
      <c r="X403" s="3">
        <v>-6.3678999999999999E-2</v>
      </c>
      <c r="Y403" s="3">
        <v>-6.4104900000000006E-2</v>
      </c>
      <c r="Z403" s="3">
        <v>-6.3845299999999994E-2</v>
      </c>
      <c r="AA403" s="3">
        <v>-6.2971200000000005E-2</v>
      </c>
      <c r="AB403" s="3">
        <v>-6.15536E-2</v>
      </c>
      <c r="AC403" s="3">
        <v>-5.9657700000000001E-2</v>
      </c>
      <c r="AD403" s="3">
        <v>-5.7325099999999997E-2</v>
      </c>
      <c r="AE403" s="3">
        <v>-5.4591300000000002E-2</v>
      </c>
      <c r="AF403" s="3">
        <v>-5.1492000000000003E-2</v>
      </c>
      <c r="AG403" s="3">
        <v>-4.80627E-2</v>
      </c>
      <c r="AH403" s="3">
        <v>-4.4339200000000002E-2</v>
      </c>
      <c r="AI403" s="3">
        <v>-4.0356999999999997E-2</v>
      </c>
      <c r="AJ403" s="3">
        <v>-3.6151799999999998E-2</v>
      </c>
      <c r="AK403" s="3">
        <v>-3.1759099999999998E-2</v>
      </c>
      <c r="AL403" s="3">
        <v>-2.7214599999999999E-2</v>
      </c>
      <c r="AM403" s="3">
        <v>-2.2554000000000001E-2</v>
      </c>
      <c r="AN403" s="3">
        <v>-1.78128E-2</v>
      </c>
      <c r="AO403" s="3">
        <v>-1.30213E-2</v>
      </c>
      <c r="AP403" s="3">
        <v>-8.1887000000000001E-3</v>
      </c>
      <c r="AQ403" s="3">
        <v>-3.3189000000000001E-3</v>
      </c>
      <c r="AR403" s="3">
        <v>1.5843999999999999E-3</v>
      </c>
      <c r="AS403" s="3">
        <v>6.5173999999999996E-3</v>
      </c>
      <c r="AT403" s="3">
        <v>1.1476099999999999E-2</v>
      </c>
      <c r="AU403" s="3">
        <v>1.6456800000000001E-2</v>
      </c>
      <c r="AV403" s="3">
        <v>2.1455700000000001E-2</v>
      </c>
      <c r="AW403" s="3">
        <v>2.64689E-2</v>
      </c>
      <c r="AX403" s="3">
        <v>3.14925E-2</v>
      </c>
      <c r="AY403" s="3">
        <v>3.6522899999999997E-2</v>
      </c>
      <c r="AZ403" s="3">
        <v>4.1556000000000003E-2</v>
      </c>
      <c r="BA403" s="3">
        <v>4.6588499999999998E-2</v>
      </c>
      <c r="BB403" s="3">
        <v>5.1617900000000001E-2</v>
      </c>
      <c r="BC403" s="3">
        <v>5.66423E-2</v>
      </c>
      <c r="BD403" s="3">
        <v>6.1659800000000001E-2</v>
      </c>
      <c r="BE403" s="3">
        <v>6.6668400000000003E-2</v>
      </c>
      <c r="BF403" s="3">
        <v>7.1666300000000002E-2</v>
      </c>
      <c r="BG403" s="3">
        <v>7.6651399999999995E-2</v>
      </c>
      <c r="BH403" s="3">
        <v>8.1621799999999994E-2</v>
      </c>
      <c r="BI403" s="3">
        <v>8.6575600000000003E-2</v>
      </c>
      <c r="BJ403" s="3">
        <v>9.1510900000000006E-2</v>
      </c>
      <c r="BK403" s="3">
        <v>9.6425800000000006E-2</v>
      </c>
      <c r="BL403" s="3">
        <v>0.1013182</v>
      </c>
      <c r="BM403" s="3" t="e">
        <v>#N/A</v>
      </c>
      <c r="BN403" s="3" t="e">
        <v>#N/A</v>
      </c>
    </row>
    <row r="404" spans="1:66" x14ac:dyDescent="0.35">
      <c r="A404" s="5">
        <f t="shared" si="6"/>
        <v>44020</v>
      </c>
      <c r="B404" t="s">
        <v>481</v>
      </c>
      <c r="C404" s="2">
        <v>0.1</v>
      </c>
      <c r="D404" s="2">
        <v>5.96E-2</v>
      </c>
      <c r="E404" s="3">
        <v>5.78696E-2</v>
      </c>
      <c r="F404" s="3">
        <v>5.1451499999999997E-2</v>
      </c>
      <c r="G404" s="3">
        <v>4.4355199999999997E-2</v>
      </c>
      <c r="H404" s="3">
        <v>3.5989300000000002E-2</v>
      </c>
      <c r="I404" s="3">
        <v>2.6737899999999998E-2</v>
      </c>
      <c r="J404" s="3">
        <v>1.7116099999999999E-2</v>
      </c>
      <c r="K404" s="3">
        <v>7.2109000000000001E-3</v>
      </c>
      <c r="L404" s="3">
        <v>-2.9126E-3</v>
      </c>
      <c r="M404" s="3">
        <v>-1.28959E-2</v>
      </c>
      <c r="N404" s="3">
        <v>-2.2328600000000001E-2</v>
      </c>
      <c r="O404" s="3">
        <v>-3.1014799999999999E-2</v>
      </c>
      <c r="P404" s="3">
        <v>-3.8874400000000003E-2</v>
      </c>
      <c r="Q404" s="3">
        <v>-4.6036399999999998E-2</v>
      </c>
      <c r="R404" s="3">
        <v>-5.2504700000000001E-2</v>
      </c>
      <c r="S404" s="3">
        <v>-5.8235099999999998E-2</v>
      </c>
      <c r="T404" s="3">
        <v>-6.3183299999999998E-2</v>
      </c>
      <c r="U404" s="3">
        <v>-6.7305100000000007E-2</v>
      </c>
      <c r="V404" s="3">
        <v>-7.0556400000000005E-2</v>
      </c>
      <c r="W404" s="3">
        <v>-7.2903800000000005E-2</v>
      </c>
      <c r="X404" s="3">
        <v>-7.4376600000000001E-2</v>
      </c>
      <c r="Y404" s="3">
        <v>-7.5025999999999995E-2</v>
      </c>
      <c r="Z404" s="3">
        <v>-7.4902999999999997E-2</v>
      </c>
      <c r="AA404" s="3">
        <v>-7.4058899999999997E-2</v>
      </c>
      <c r="AB404" s="3">
        <v>-7.2544800000000007E-2</v>
      </c>
      <c r="AC404" s="3">
        <v>-7.0411299999999996E-2</v>
      </c>
      <c r="AD404" s="3">
        <v>-6.7705899999999999E-2</v>
      </c>
      <c r="AE404" s="3">
        <v>-6.4475599999999994E-2</v>
      </c>
      <c r="AF404" s="3">
        <v>-6.0767500000000002E-2</v>
      </c>
      <c r="AG404" s="3">
        <v>-5.6628499999999998E-2</v>
      </c>
      <c r="AH404" s="3">
        <v>-5.2105600000000002E-2</v>
      </c>
      <c r="AI404" s="3">
        <v>-4.72459E-2</v>
      </c>
      <c r="AJ404" s="3">
        <v>-4.20962E-2</v>
      </c>
      <c r="AK404" s="3">
        <v>-3.6703600000000003E-2</v>
      </c>
      <c r="AL404" s="3">
        <v>-3.1115E-2</v>
      </c>
      <c r="AM404" s="3">
        <v>-2.5377500000000001E-2</v>
      </c>
      <c r="AN404" s="3">
        <v>-1.9538099999999999E-2</v>
      </c>
      <c r="AO404" s="3">
        <v>-1.3638300000000001E-2</v>
      </c>
      <c r="AP404" s="3">
        <v>-7.6939E-3</v>
      </c>
      <c r="AQ404" s="3">
        <v>-1.7128E-3</v>
      </c>
      <c r="AR404" s="3">
        <v>4.2973000000000004E-3</v>
      </c>
      <c r="AS404" s="3">
        <v>1.0328499999999999E-2</v>
      </c>
      <c r="AT404" s="3">
        <v>1.6372999999999999E-2</v>
      </c>
      <c r="AU404" s="3">
        <v>2.2422999999999998E-2</v>
      </c>
      <c r="AV404" s="3">
        <v>2.8470599999999999E-2</v>
      </c>
      <c r="AW404" s="3">
        <v>3.4507999999999997E-2</v>
      </c>
      <c r="AX404" s="3">
        <v>4.0527399999999998E-2</v>
      </c>
      <c r="AY404" s="3">
        <v>4.6521100000000003E-2</v>
      </c>
      <c r="AZ404" s="3">
        <v>5.2481E-2</v>
      </c>
      <c r="BA404" s="3">
        <v>5.84007E-2</v>
      </c>
      <c r="BB404" s="3">
        <v>6.4278199999999994E-2</v>
      </c>
      <c r="BC404" s="3">
        <v>7.0113200000000001E-2</v>
      </c>
      <c r="BD404" s="3">
        <v>7.5905200000000006E-2</v>
      </c>
      <c r="BE404" s="3">
        <v>8.1653900000000001E-2</v>
      </c>
      <c r="BF404" s="3">
        <v>8.7358900000000003E-2</v>
      </c>
      <c r="BG404" s="3">
        <v>9.3019699999999997E-2</v>
      </c>
      <c r="BH404" s="3">
        <v>9.8636000000000001E-2</v>
      </c>
      <c r="BI404" s="3">
        <v>0.1042073</v>
      </c>
      <c r="BJ404" s="3">
        <v>0.1097332</v>
      </c>
      <c r="BK404" s="3">
        <v>0.1152133</v>
      </c>
      <c r="BL404" s="3">
        <v>0.1206472</v>
      </c>
      <c r="BM404" s="3" t="e">
        <v>#N/A</v>
      </c>
      <c r="BN404" s="3" t="e">
        <v>#N/A</v>
      </c>
    </row>
    <row r="405" spans="1:66" x14ac:dyDescent="0.35">
      <c r="A405" s="5">
        <f t="shared" si="6"/>
        <v>44021</v>
      </c>
      <c r="B405" t="s">
        <v>482</v>
      </c>
      <c r="C405" s="2">
        <v>0.1</v>
      </c>
      <c r="D405" s="2">
        <v>5.9400000000000001E-2</v>
      </c>
      <c r="E405" s="3">
        <v>5.77393E-2</v>
      </c>
      <c r="F405" s="3">
        <v>5.1545000000000001E-2</v>
      </c>
      <c r="G405" s="3">
        <v>4.5652100000000001E-2</v>
      </c>
      <c r="H405" s="3">
        <v>3.8524599999999999E-2</v>
      </c>
      <c r="I405" s="3">
        <v>2.9692E-2</v>
      </c>
      <c r="J405" s="3">
        <v>1.9615299999999999E-2</v>
      </c>
      <c r="K405" s="3">
        <v>8.8847000000000006E-3</v>
      </c>
      <c r="L405" s="3">
        <v>-1.9892999999999998E-3</v>
      </c>
      <c r="M405" s="3">
        <v>-1.2711800000000001E-2</v>
      </c>
      <c r="N405" s="3">
        <v>-2.3167299999999998E-2</v>
      </c>
      <c r="O405" s="3">
        <v>-3.3211699999999997E-2</v>
      </c>
      <c r="P405" s="3">
        <v>-4.26582E-2</v>
      </c>
      <c r="Q405" s="3">
        <v>-5.1295E-2</v>
      </c>
      <c r="R405" s="3">
        <v>-5.9060599999999998E-2</v>
      </c>
      <c r="S405" s="3">
        <v>-6.5935199999999999E-2</v>
      </c>
      <c r="T405" s="3">
        <v>-7.1899099999999994E-2</v>
      </c>
      <c r="U405" s="3">
        <v>-7.6932299999999995E-2</v>
      </c>
      <c r="V405" s="3">
        <v>-8.1015000000000004E-2</v>
      </c>
      <c r="W405" s="3">
        <v>-8.4136699999999995E-2</v>
      </c>
      <c r="X405" s="3">
        <v>-8.6332900000000004E-2</v>
      </c>
      <c r="Y405" s="3">
        <v>-8.7654499999999996E-2</v>
      </c>
      <c r="Z405" s="3">
        <v>-8.8151900000000005E-2</v>
      </c>
      <c r="AA405" s="3">
        <v>-8.7875999999999996E-2</v>
      </c>
      <c r="AB405" s="3">
        <v>-8.6877300000000005E-2</v>
      </c>
      <c r="AC405" s="3">
        <v>-8.5207500000000005E-2</v>
      </c>
      <c r="AD405" s="3">
        <v>-8.2922800000000005E-2</v>
      </c>
      <c r="AE405" s="3">
        <v>-8.0080899999999997E-2</v>
      </c>
      <c r="AF405" s="3">
        <v>-7.6739600000000005E-2</v>
      </c>
      <c r="AG405" s="3">
        <v>-7.2956400000000005E-2</v>
      </c>
      <c r="AH405" s="3">
        <v>-6.8789000000000003E-2</v>
      </c>
      <c r="AI405" s="3">
        <v>-6.42953E-2</v>
      </c>
      <c r="AJ405" s="3">
        <v>-5.9532799999999997E-2</v>
      </c>
      <c r="AK405" s="3">
        <v>-5.4559200000000002E-2</v>
      </c>
      <c r="AL405" s="3">
        <v>-4.9432299999999998E-2</v>
      </c>
      <c r="AM405" s="3">
        <v>-4.4209600000000002E-2</v>
      </c>
      <c r="AN405" s="3">
        <v>-3.8948999999999998E-2</v>
      </c>
      <c r="AO405" s="3">
        <v>-3.3699300000000001E-2</v>
      </c>
      <c r="AP405" s="3">
        <v>-2.8470599999999999E-2</v>
      </c>
      <c r="AQ405" s="3">
        <v>-2.3262600000000001E-2</v>
      </c>
      <c r="AR405" s="3">
        <v>-1.80746E-2</v>
      </c>
      <c r="AS405" s="3">
        <v>-1.29062E-2</v>
      </c>
      <c r="AT405" s="3">
        <v>-7.7568999999999997E-3</v>
      </c>
      <c r="AU405" s="3">
        <v>-2.6261000000000001E-3</v>
      </c>
      <c r="AV405" s="3">
        <v>2.4865999999999998E-3</v>
      </c>
      <c r="AW405" s="3">
        <v>7.5817999999999997E-3</v>
      </c>
      <c r="AX405" s="3">
        <v>1.26599E-2</v>
      </c>
      <c r="AY405" s="3">
        <v>1.7721500000000001E-2</v>
      </c>
      <c r="AZ405" s="3">
        <v>2.2767099999999998E-2</v>
      </c>
      <c r="BA405" s="3">
        <v>2.7797700000000002E-2</v>
      </c>
      <c r="BB405" s="3">
        <v>3.2817300000000001E-2</v>
      </c>
      <c r="BC405" s="3">
        <v>3.7830099999999998E-2</v>
      </c>
      <c r="BD405" s="3">
        <v>4.2840900000000001E-2</v>
      </c>
      <c r="BE405" s="3">
        <v>4.7854099999999997E-2</v>
      </c>
      <c r="BF405" s="3">
        <v>5.28741E-2</v>
      </c>
      <c r="BG405" s="3">
        <v>5.7905600000000002E-2</v>
      </c>
      <c r="BH405" s="3">
        <v>6.2952999999999995E-2</v>
      </c>
      <c r="BI405" s="3">
        <v>6.8020800000000006E-2</v>
      </c>
      <c r="BJ405" s="3">
        <v>7.3113600000000001E-2</v>
      </c>
      <c r="BK405" s="3">
        <v>7.8235799999999994E-2</v>
      </c>
      <c r="BL405" s="3">
        <v>8.3391999999999994E-2</v>
      </c>
      <c r="BM405" s="3" t="e">
        <v>#N/A</v>
      </c>
      <c r="BN405" s="3" t="e">
        <v>#N/A</v>
      </c>
    </row>
    <row r="406" spans="1:66" x14ac:dyDescent="0.35">
      <c r="A406" s="5">
        <f t="shared" si="6"/>
        <v>44022</v>
      </c>
      <c r="B406" t="s">
        <v>483</v>
      </c>
      <c r="C406" s="2">
        <v>0.1</v>
      </c>
      <c r="D406" s="2">
        <v>5.9900000000000002E-2</v>
      </c>
      <c r="E406" s="3">
        <v>5.4790699999999998E-2</v>
      </c>
      <c r="F406" s="3">
        <v>5.1590900000000002E-2</v>
      </c>
      <c r="G406" s="3">
        <v>4.5932500000000001E-2</v>
      </c>
      <c r="H406" s="3">
        <v>3.9877799999999998E-2</v>
      </c>
      <c r="I406" s="3">
        <v>3.11238E-2</v>
      </c>
      <c r="J406" s="3">
        <v>1.89245E-2</v>
      </c>
      <c r="K406" s="3">
        <v>3.9892E-3</v>
      </c>
      <c r="L406" s="3">
        <v>-1.14693E-2</v>
      </c>
      <c r="M406" s="3">
        <v>-2.4682300000000001E-2</v>
      </c>
      <c r="N406" s="3">
        <v>-3.48949E-2</v>
      </c>
      <c r="O406" s="3">
        <v>-4.3096500000000003E-2</v>
      </c>
      <c r="P406" s="3">
        <v>-5.0454199999999998E-2</v>
      </c>
      <c r="Q406" s="3">
        <v>-5.7707799999999997E-2</v>
      </c>
      <c r="R406" s="3">
        <v>-6.4886899999999997E-2</v>
      </c>
      <c r="S406" s="3">
        <v>-7.1825100000000003E-2</v>
      </c>
      <c r="T406" s="3">
        <v>-7.8356200000000001E-2</v>
      </c>
      <c r="U406" s="3">
        <v>-8.4313899999999997E-2</v>
      </c>
      <c r="V406" s="3">
        <v>-8.9531899999999998E-2</v>
      </c>
      <c r="W406" s="3">
        <v>-9.38697E-2</v>
      </c>
      <c r="X406" s="3">
        <v>-9.7306799999999999E-2</v>
      </c>
      <c r="Y406" s="3">
        <v>-9.9857299999999996E-2</v>
      </c>
      <c r="Z406" s="3">
        <v>-0.10153520000000001</v>
      </c>
      <c r="AA406" s="3">
        <v>-0.1023546</v>
      </c>
      <c r="AB406" s="3">
        <v>-0.1023297</v>
      </c>
      <c r="AC406" s="3">
        <v>-0.1014819</v>
      </c>
      <c r="AD406" s="3">
        <v>-9.9864800000000004E-2</v>
      </c>
      <c r="AE406" s="3">
        <v>-9.7541000000000003E-2</v>
      </c>
      <c r="AF406" s="3">
        <v>-9.4573099999999993E-2</v>
      </c>
      <c r="AG406" s="3">
        <v>-9.1023499999999993E-2</v>
      </c>
      <c r="AH406" s="3">
        <v>-8.6955000000000005E-2</v>
      </c>
      <c r="AI406" s="3">
        <v>-8.24299E-2</v>
      </c>
      <c r="AJ406" s="3">
        <v>-7.7510899999999994E-2</v>
      </c>
      <c r="AK406" s="3">
        <v>-7.2260599999999994E-2</v>
      </c>
      <c r="AL406" s="3">
        <v>-6.6741499999999995E-2</v>
      </c>
      <c r="AM406" s="3">
        <v>-6.10162E-2</v>
      </c>
      <c r="AN406" s="3">
        <v>-5.5147099999999998E-2</v>
      </c>
      <c r="AO406" s="3">
        <v>-4.9188200000000001E-2</v>
      </c>
      <c r="AP406" s="3">
        <v>-4.3158500000000002E-2</v>
      </c>
      <c r="AQ406" s="3">
        <v>-3.7068299999999998E-2</v>
      </c>
      <c r="AR406" s="3">
        <v>-3.0927799999999998E-2</v>
      </c>
      <c r="AS406" s="3">
        <v>-2.4747399999999999E-2</v>
      </c>
      <c r="AT406" s="3">
        <v>-1.85373E-2</v>
      </c>
      <c r="AU406" s="3">
        <v>-1.23079E-2</v>
      </c>
      <c r="AV406" s="3">
        <v>-6.0695000000000002E-3</v>
      </c>
      <c r="AW406" s="3">
        <v>1.6780000000000001E-4</v>
      </c>
      <c r="AX406" s="3">
        <v>6.3934999999999999E-3</v>
      </c>
      <c r="AY406" s="3">
        <v>1.2597300000000001E-2</v>
      </c>
      <c r="AZ406" s="3">
        <v>1.87691E-2</v>
      </c>
      <c r="BA406" s="3">
        <v>2.48997E-2</v>
      </c>
      <c r="BB406" s="3">
        <v>3.0986300000000001E-2</v>
      </c>
      <c r="BC406" s="3">
        <v>3.7027200000000003E-2</v>
      </c>
      <c r="BD406" s="3">
        <v>4.3021200000000002E-2</v>
      </c>
      <c r="BE406" s="3">
        <v>4.8966700000000002E-2</v>
      </c>
      <c r="BF406" s="3">
        <v>5.4862399999999999E-2</v>
      </c>
      <c r="BG406" s="3">
        <v>6.0706799999999998E-2</v>
      </c>
      <c r="BH406" s="3">
        <v>6.6498500000000002E-2</v>
      </c>
      <c r="BI406" s="3">
        <v>7.2236099999999998E-2</v>
      </c>
      <c r="BJ406" s="3">
        <v>7.7918100000000004E-2</v>
      </c>
      <c r="BK406" s="3">
        <v>8.3543199999999998E-2</v>
      </c>
      <c r="BL406" s="3">
        <v>8.9109800000000003E-2</v>
      </c>
      <c r="BM406" s="3" t="e">
        <v>#N/A</v>
      </c>
      <c r="BN406" s="3" t="e">
        <v>#N/A</v>
      </c>
    </row>
    <row r="407" spans="1:66" x14ac:dyDescent="0.35">
      <c r="A407" s="5">
        <f t="shared" si="6"/>
        <v>44025</v>
      </c>
      <c r="B407" t="s">
        <v>484</v>
      </c>
      <c r="C407" s="2">
        <v>0.1</v>
      </c>
      <c r="D407" s="2">
        <v>5.9900000000000002E-2</v>
      </c>
      <c r="E407" s="3">
        <v>5.7275699999999999E-2</v>
      </c>
      <c r="F407" s="3">
        <v>5.3436900000000002E-2</v>
      </c>
      <c r="G407" s="3">
        <v>4.81848E-2</v>
      </c>
      <c r="H407" s="3">
        <v>4.1198699999999998E-2</v>
      </c>
      <c r="I407" s="3">
        <v>3.2801799999999999E-2</v>
      </c>
      <c r="J407" s="3">
        <v>2.3519399999999999E-2</v>
      </c>
      <c r="K407" s="3">
        <v>1.374E-2</v>
      </c>
      <c r="L407" s="3">
        <v>3.7762E-3</v>
      </c>
      <c r="M407" s="3">
        <v>-6.1815999999999998E-3</v>
      </c>
      <c r="N407" s="3">
        <v>-1.6043999999999999E-2</v>
      </c>
      <c r="O407" s="3">
        <v>-2.5670100000000001E-2</v>
      </c>
      <c r="P407" s="3">
        <v>-3.4856999999999999E-2</v>
      </c>
      <c r="Q407" s="3">
        <v>-4.3246399999999997E-2</v>
      </c>
      <c r="R407" s="3">
        <v>-5.07407E-2</v>
      </c>
      <c r="S407" s="3">
        <v>-5.73245E-2</v>
      </c>
      <c r="T407" s="3">
        <v>-6.2982399999999994E-2</v>
      </c>
      <c r="U407" s="3">
        <v>-6.7698999999999995E-2</v>
      </c>
      <c r="V407" s="3">
        <v>-7.1458900000000006E-2</v>
      </c>
      <c r="W407" s="3">
        <v>-7.4259000000000006E-2</v>
      </c>
      <c r="X407" s="3">
        <v>-7.6153200000000004E-2</v>
      </c>
      <c r="Y407" s="3">
        <v>-7.72119E-2</v>
      </c>
      <c r="Z407" s="3">
        <v>-7.7505500000000005E-2</v>
      </c>
      <c r="AA407" s="3">
        <v>-7.7104400000000003E-2</v>
      </c>
      <c r="AB407" s="3">
        <v>-7.6078999999999994E-2</v>
      </c>
      <c r="AC407" s="3">
        <v>-7.4494299999999999E-2</v>
      </c>
      <c r="AD407" s="3">
        <v>-7.2394399999999998E-2</v>
      </c>
      <c r="AE407" s="3">
        <v>-6.9817599999999994E-2</v>
      </c>
      <c r="AF407" s="3">
        <v>-6.6802500000000001E-2</v>
      </c>
      <c r="AG407" s="3">
        <v>-6.3387700000000005E-2</v>
      </c>
      <c r="AH407" s="3">
        <v>-5.9611699999999997E-2</v>
      </c>
      <c r="AI407" s="3">
        <v>-5.5513E-2</v>
      </c>
      <c r="AJ407" s="3">
        <v>-5.1130200000000001E-2</v>
      </c>
      <c r="AK407" s="3">
        <v>-4.6501800000000003E-2</v>
      </c>
      <c r="AL407" s="3">
        <v>-4.1666399999999999E-2</v>
      </c>
      <c r="AM407" s="3">
        <v>-3.6662399999999998E-2</v>
      </c>
      <c r="AN407" s="3">
        <v>-3.1528500000000001E-2</v>
      </c>
      <c r="AO407" s="3">
        <v>-2.62984E-2</v>
      </c>
      <c r="AP407" s="3">
        <v>-2.0986299999999999E-2</v>
      </c>
      <c r="AQ407" s="3">
        <v>-1.56019E-2</v>
      </c>
      <c r="AR407" s="3">
        <v>-1.01548E-2</v>
      </c>
      <c r="AS407" s="3">
        <v>-4.6544000000000004E-3</v>
      </c>
      <c r="AT407" s="3">
        <v>8.897E-4</v>
      </c>
      <c r="AU407" s="3">
        <v>6.4679999999999998E-3</v>
      </c>
      <c r="AV407" s="3">
        <v>1.20708E-2</v>
      </c>
      <c r="AW407" s="3">
        <v>1.7688800000000001E-2</v>
      </c>
      <c r="AX407" s="3">
        <v>2.3312200000000002E-2</v>
      </c>
      <c r="AY407" s="3">
        <v>2.8931599999999998E-2</v>
      </c>
      <c r="AZ407" s="3">
        <v>3.4537400000000003E-2</v>
      </c>
      <c r="BA407" s="3">
        <v>4.0121200000000003E-2</v>
      </c>
      <c r="BB407" s="3">
        <v>4.5680499999999999E-2</v>
      </c>
      <c r="BC407" s="3">
        <v>5.1214900000000001E-2</v>
      </c>
      <c r="BD407" s="3">
        <v>5.6723900000000001E-2</v>
      </c>
      <c r="BE407" s="3">
        <v>6.2207100000000001E-2</v>
      </c>
      <c r="BF407" s="3">
        <v>6.7664000000000002E-2</v>
      </c>
      <c r="BG407" s="3">
        <v>7.3094099999999995E-2</v>
      </c>
      <c r="BH407" s="3">
        <v>7.84971E-2</v>
      </c>
      <c r="BI407" s="3">
        <v>8.3872500000000003E-2</v>
      </c>
      <c r="BJ407" s="3">
        <v>8.9219699999999999E-2</v>
      </c>
      <c r="BK407" s="3">
        <v>9.4538399999999995E-2</v>
      </c>
      <c r="BL407" s="3">
        <v>9.9828100000000003E-2</v>
      </c>
      <c r="BM407" s="3" t="e">
        <v>#N/A</v>
      </c>
      <c r="BN407" s="3" t="e">
        <v>#N/A</v>
      </c>
    </row>
    <row r="408" spans="1:66" x14ac:dyDescent="0.35">
      <c r="A408" s="5">
        <f t="shared" si="6"/>
        <v>44026</v>
      </c>
      <c r="B408" t="s">
        <v>485</v>
      </c>
      <c r="C408" s="2">
        <v>0.1</v>
      </c>
      <c r="D408" s="2">
        <v>6.0499999999999998E-2</v>
      </c>
      <c r="E408" s="3">
        <v>5.6897200000000002E-2</v>
      </c>
      <c r="F408" s="3">
        <v>5.2322300000000002E-2</v>
      </c>
      <c r="G408" s="3">
        <v>4.5924399999999997E-2</v>
      </c>
      <c r="H408" s="3">
        <v>3.7385599999999998E-2</v>
      </c>
      <c r="I408" s="3">
        <v>2.7175299999999999E-2</v>
      </c>
      <c r="J408" s="3">
        <v>1.60895E-2</v>
      </c>
      <c r="K408" s="3">
        <v>4.6987000000000001E-3</v>
      </c>
      <c r="L408" s="3">
        <v>-6.6262999999999999E-3</v>
      </c>
      <c r="M408" s="3">
        <v>-1.7702200000000001E-2</v>
      </c>
      <c r="N408" s="3">
        <v>-2.8468400000000001E-2</v>
      </c>
      <c r="O408" s="3">
        <v>-3.8820100000000003E-2</v>
      </c>
      <c r="P408" s="3">
        <v>-4.8620999999999998E-2</v>
      </c>
      <c r="Q408" s="3">
        <v>-5.76664E-2</v>
      </c>
      <c r="R408" s="3">
        <v>-6.5880300000000003E-2</v>
      </c>
      <c r="S408" s="3">
        <v>-7.3226100000000002E-2</v>
      </c>
      <c r="T408" s="3">
        <v>-7.9667500000000002E-2</v>
      </c>
      <c r="U408" s="3">
        <v>-8.5167699999999999E-2</v>
      </c>
      <c r="V408" s="3">
        <v>-8.9690199999999998E-2</v>
      </c>
      <c r="W408" s="3">
        <v>-9.3213599999999994E-2</v>
      </c>
      <c r="X408" s="3">
        <v>-9.5785599999999999E-2</v>
      </c>
      <c r="Y408" s="3">
        <v>-9.7474199999999997E-2</v>
      </c>
      <c r="Z408" s="3">
        <v>-9.8347299999999999E-2</v>
      </c>
      <c r="AA408" s="3">
        <v>-9.8472900000000002E-2</v>
      </c>
      <c r="AB408" s="3">
        <v>-9.7919000000000006E-2</v>
      </c>
      <c r="AC408" s="3">
        <v>-9.6749199999999994E-2</v>
      </c>
      <c r="AD408" s="3">
        <v>-9.5009700000000002E-2</v>
      </c>
      <c r="AE408" s="3">
        <v>-9.2742599999999994E-2</v>
      </c>
      <c r="AF408" s="3">
        <v>-8.9989899999999998E-2</v>
      </c>
      <c r="AG408" s="3">
        <v>-8.6793400000000007E-2</v>
      </c>
      <c r="AH408" s="3">
        <v>-8.3195199999999997E-2</v>
      </c>
      <c r="AI408" s="3">
        <v>-7.9237199999999994E-2</v>
      </c>
      <c r="AJ408" s="3">
        <v>-7.4961399999999997E-2</v>
      </c>
      <c r="AK408" s="3">
        <v>-7.0409799999999995E-2</v>
      </c>
      <c r="AL408" s="3">
        <v>-6.5624299999999997E-2</v>
      </c>
      <c r="AM408" s="3">
        <v>-6.0647E-2</v>
      </c>
      <c r="AN408" s="3">
        <v>-5.5519699999999998E-2</v>
      </c>
      <c r="AO408" s="3">
        <v>-5.0278999999999997E-2</v>
      </c>
      <c r="AP408" s="3">
        <v>-4.4939399999999997E-2</v>
      </c>
      <c r="AQ408" s="3">
        <v>-3.9510200000000002E-2</v>
      </c>
      <c r="AR408" s="3">
        <v>-3.4000500000000003E-2</v>
      </c>
      <c r="AS408" s="3">
        <v>-2.8419400000000001E-2</v>
      </c>
      <c r="AT408" s="3">
        <v>-2.2776000000000001E-2</v>
      </c>
      <c r="AU408" s="3">
        <v>-1.7079500000000001E-2</v>
      </c>
      <c r="AV408" s="3">
        <v>-1.1339E-2</v>
      </c>
      <c r="AW408" s="3">
        <v>-5.5637999999999998E-3</v>
      </c>
      <c r="AX408" s="3">
        <v>2.3719999999999999E-4</v>
      </c>
      <c r="AY408" s="3">
        <v>6.0546999999999997E-3</v>
      </c>
      <c r="AZ408" s="3">
        <v>1.18797E-2</v>
      </c>
      <c r="BA408" s="3">
        <v>1.7703799999999999E-2</v>
      </c>
      <c r="BB408" s="3">
        <v>2.3523700000000002E-2</v>
      </c>
      <c r="BC408" s="3">
        <v>2.9337100000000001E-2</v>
      </c>
      <c r="BD408" s="3">
        <v>3.5142E-2</v>
      </c>
      <c r="BE408" s="3">
        <v>4.0936300000000002E-2</v>
      </c>
      <c r="BF408" s="3">
        <v>4.6717799999999997E-2</v>
      </c>
      <c r="BG408" s="3">
        <v>5.2484500000000003E-2</v>
      </c>
      <c r="BH408" s="3">
        <v>5.82342E-2</v>
      </c>
      <c r="BI408" s="3">
        <v>6.3964800000000002E-2</v>
      </c>
      <c r="BJ408" s="3">
        <v>6.9674299999999995E-2</v>
      </c>
      <c r="BK408" s="3">
        <v>7.5360399999999994E-2</v>
      </c>
      <c r="BL408" s="3">
        <v>8.1021200000000002E-2</v>
      </c>
      <c r="BM408" s="3" t="e">
        <v>#N/A</v>
      </c>
      <c r="BN408" s="3" t="e">
        <v>#N/A</v>
      </c>
    </row>
    <row r="409" spans="1:66" x14ac:dyDescent="0.35">
      <c r="A409" s="5">
        <f t="shared" si="6"/>
        <v>44027</v>
      </c>
      <c r="B409" t="s">
        <v>486</v>
      </c>
      <c r="C409" s="2">
        <v>0.1</v>
      </c>
      <c r="D409" s="2">
        <v>6.0900000000000003E-2</v>
      </c>
      <c r="E409" s="3">
        <v>5.7612099999999999E-2</v>
      </c>
      <c r="F409" s="3">
        <v>5.1661600000000002E-2</v>
      </c>
      <c r="G409" s="3">
        <v>4.3059E-2</v>
      </c>
      <c r="H409" s="3">
        <v>3.1533100000000001E-2</v>
      </c>
      <c r="I409" s="3">
        <v>1.7898799999999999E-2</v>
      </c>
      <c r="J409" s="3">
        <v>3.3896E-3</v>
      </c>
      <c r="K409" s="3">
        <v>-1.09742E-2</v>
      </c>
      <c r="L409" s="3">
        <v>-2.4406299999999999E-2</v>
      </c>
      <c r="M409" s="3">
        <v>-3.6482899999999999E-2</v>
      </c>
      <c r="N409" s="3">
        <v>-4.7137900000000003E-2</v>
      </c>
      <c r="O409" s="3">
        <v>-5.64447E-2</v>
      </c>
      <c r="P409" s="3">
        <v>-6.4506800000000003E-2</v>
      </c>
      <c r="Q409" s="3">
        <v>-7.1503300000000006E-2</v>
      </c>
      <c r="R409" s="3">
        <v>-7.7535699999999999E-2</v>
      </c>
      <c r="S409" s="3">
        <v>-8.2679299999999997E-2</v>
      </c>
      <c r="T409" s="3">
        <v>-8.7009400000000001E-2</v>
      </c>
      <c r="U409" s="3">
        <v>-9.0601299999999996E-2</v>
      </c>
      <c r="V409" s="3">
        <v>-9.3530299999999997E-2</v>
      </c>
      <c r="W409" s="3">
        <v>-9.58624E-2</v>
      </c>
      <c r="X409" s="3">
        <v>-9.7610100000000005E-2</v>
      </c>
      <c r="Y409" s="3">
        <v>-9.8767199999999999E-2</v>
      </c>
      <c r="Z409" s="3">
        <v>-9.9327399999999996E-2</v>
      </c>
      <c r="AA409" s="3">
        <v>-9.9284600000000001E-2</v>
      </c>
      <c r="AB409" s="3">
        <v>-9.8632399999999995E-2</v>
      </c>
      <c r="AC409" s="3">
        <v>-9.7372500000000001E-2</v>
      </c>
      <c r="AD409" s="3">
        <v>-9.5537300000000006E-2</v>
      </c>
      <c r="AE409" s="3">
        <v>-9.3167299999999995E-2</v>
      </c>
      <c r="AF409" s="3">
        <v>-9.0302800000000003E-2</v>
      </c>
      <c r="AG409" s="3">
        <v>-8.6984199999999998E-2</v>
      </c>
      <c r="AH409" s="3">
        <v>-8.3251699999999998E-2</v>
      </c>
      <c r="AI409" s="3">
        <v>-7.9145800000000002E-2</v>
      </c>
      <c r="AJ409" s="3">
        <v>-7.4706800000000004E-2</v>
      </c>
      <c r="AK409" s="3">
        <v>-6.9974999999999996E-2</v>
      </c>
      <c r="AL409" s="3">
        <v>-6.4990800000000001E-2</v>
      </c>
      <c r="AM409" s="3">
        <v>-5.9794600000000003E-2</v>
      </c>
      <c r="AN409" s="3">
        <v>-5.4426599999999999E-2</v>
      </c>
      <c r="AO409" s="3">
        <v>-4.8923800000000003E-2</v>
      </c>
      <c r="AP409" s="3">
        <v>-4.3305700000000003E-2</v>
      </c>
      <c r="AQ409" s="3">
        <v>-3.7586599999999998E-2</v>
      </c>
      <c r="AR409" s="3">
        <v>-3.1780999999999997E-2</v>
      </c>
      <c r="AS409" s="3">
        <v>-2.5903099999999998E-2</v>
      </c>
      <c r="AT409" s="3">
        <v>-1.99674E-2</v>
      </c>
      <c r="AU409" s="3">
        <v>-1.3988199999999999E-2</v>
      </c>
      <c r="AV409" s="3">
        <v>-7.9798000000000004E-3</v>
      </c>
      <c r="AW409" s="3">
        <v>-1.9566000000000002E-3</v>
      </c>
      <c r="AX409" s="3">
        <v>4.0670000000000003E-3</v>
      </c>
      <c r="AY409" s="3">
        <v>1.0076699999999999E-2</v>
      </c>
      <c r="AZ409" s="3">
        <v>1.6058099999999999E-2</v>
      </c>
      <c r="BA409" s="3">
        <v>2.19992E-2</v>
      </c>
      <c r="BB409" s="3">
        <v>2.7898099999999999E-2</v>
      </c>
      <c r="BC409" s="3">
        <v>3.3755899999999998E-2</v>
      </c>
      <c r="BD409" s="3">
        <v>3.95736E-2</v>
      </c>
      <c r="BE409" s="3">
        <v>4.5352200000000002E-2</v>
      </c>
      <c r="BF409" s="3">
        <v>5.1092600000000002E-2</v>
      </c>
      <c r="BG409" s="3">
        <v>5.6795900000000003E-2</v>
      </c>
      <c r="BH409" s="3">
        <v>6.2462999999999998E-2</v>
      </c>
      <c r="BI409" s="3">
        <v>6.8095000000000003E-2</v>
      </c>
      <c r="BJ409" s="3">
        <v>7.3692900000000006E-2</v>
      </c>
      <c r="BK409" s="3">
        <v>7.92577E-2</v>
      </c>
      <c r="BL409" s="3">
        <v>8.4790299999999999E-2</v>
      </c>
      <c r="BM409" s="3" t="e">
        <v>#N/A</v>
      </c>
      <c r="BN409" s="3" t="e">
        <v>#N/A</v>
      </c>
    </row>
    <row r="410" spans="1:66" x14ac:dyDescent="0.35">
      <c r="A410" s="5">
        <f t="shared" si="6"/>
        <v>44028</v>
      </c>
      <c r="B410" t="s">
        <v>487</v>
      </c>
      <c r="C410" s="2">
        <v>0.1</v>
      </c>
      <c r="D410" s="2">
        <v>6.1800000000000001E-2</v>
      </c>
      <c r="E410" s="3">
        <v>5.8414300000000002E-2</v>
      </c>
      <c r="F410" s="3">
        <v>5.1486700000000003E-2</v>
      </c>
      <c r="G410" s="3">
        <v>4.1365899999999997E-2</v>
      </c>
      <c r="H410" s="3">
        <v>2.8098600000000001E-2</v>
      </c>
      <c r="I410" s="3">
        <v>1.27613E-2</v>
      </c>
      <c r="J410" s="3">
        <v>-3.2694E-3</v>
      </c>
      <c r="K410" s="3">
        <v>-1.883E-2</v>
      </c>
      <c r="L410" s="3">
        <v>-3.3050200000000002E-2</v>
      </c>
      <c r="M410" s="3">
        <v>-4.5649799999999997E-2</v>
      </c>
      <c r="N410" s="3">
        <v>-5.67439E-2</v>
      </c>
      <c r="O410" s="3">
        <v>-6.6502000000000006E-2</v>
      </c>
      <c r="P410" s="3">
        <v>-7.5105900000000003E-2</v>
      </c>
      <c r="Q410" s="3">
        <v>-8.2727200000000001E-2</v>
      </c>
      <c r="R410" s="3">
        <v>-8.9411400000000002E-2</v>
      </c>
      <c r="S410" s="3">
        <v>-9.5170900000000003E-2</v>
      </c>
      <c r="T410" s="3">
        <v>-0.1000183</v>
      </c>
      <c r="U410" s="3">
        <v>-0.103966</v>
      </c>
      <c r="V410" s="3">
        <v>-0.1070266</v>
      </c>
      <c r="W410" s="3">
        <v>-0.10921939999999999</v>
      </c>
      <c r="X410" s="3">
        <v>-0.1105989</v>
      </c>
      <c r="Y410" s="3">
        <v>-0.1112311</v>
      </c>
      <c r="Z410" s="3">
        <v>-0.11118169999999999</v>
      </c>
      <c r="AA410" s="3">
        <v>-0.1105165</v>
      </c>
      <c r="AB410" s="3">
        <v>-0.10930140000000001</v>
      </c>
      <c r="AC410" s="3">
        <v>-0.1075979</v>
      </c>
      <c r="AD410" s="3">
        <v>-0.1054462</v>
      </c>
      <c r="AE410" s="3">
        <v>-0.10288029999999999</v>
      </c>
      <c r="AF410" s="3">
        <v>-9.9934099999999998E-2</v>
      </c>
      <c r="AG410" s="3">
        <v>-9.6641299999999999E-2</v>
      </c>
      <c r="AH410" s="3">
        <v>-9.3035800000000002E-2</v>
      </c>
      <c r="AI410" s="3">
        <v>-8.9151599999999998E-2</v>
      </c>
      <c r="AJ410" s="3">
        <v>-8.5022399999999998E-2</v>
      </c>
      <c r="AK410" s="3">
        <v>-8.0682299999999998E-2</v>
      </c>
      <c r="AL410" s="3">
        <v>-7.6164899999999994E-2</v>
      </c>
      <c r="AM410" s="3">
        <v>-7.1504200000000004E-2</v>
      </c>
      <c r="AN410" s="3">
        <v>-6.6734100000000005E-2</v>
      </c>
      <c r="AO410" s="3">
        <v>-6.18842E-2</v>
      </c>
      <c r="AP410" s="3">
        <v>-5.6965099999999998E-2</v>
      </c>
      <c r="AQ410" s="3">
        <v>-5.1982500000000001E-2</v>
      </c>
      <c r="AR410" s="3">
        <v>-4.6941700000000003E-2</v>
      </c>
      <c r="AS410" s="3">
        <v>-4.1848299999999998E-2</v>
      </c>
      <c r="AT410" s="3">
        <v>-3.6707900000000002E-2</v>
      </c>
      <c r="AU410" s="3">
        <v>-3.1525900000000003E-2</v>
      </c>
      <c r="AV410" s="3">
        <v>-2.6307799999999999E-2</v>
      </c>
      <c r="AW410" s="3">
        <v>-2.10592E-2</v>
      </c>
      <c r="AX410" s="3">
        <v>-1.5785500000000001E-2</v>
      </c>
      <c r="AY410" s="3">
        <v>-1.0492400000000001E-2</v>
      </c>
      <c r="AZ410" s="3">
        <v>-5.1852000000000001E-3</v>
      </c>
      <c r="BA410" s="3">
        <v>1.3109999999999999E-4</v>
      </c>
      <c r="BB410" s="3">
        <v>5.4545000000000001E-3</v>
      </c>
      <c r="BC410" s="3">
        <v>1.0783600000000001E-2</v>
      </c>
      <c r="BD410" s="3">
        <v>1.6117200000000002E-2</v>
      </c>
      <c r="BE410" s="3">
        <v>2.14541E-2</v>
      </c>
      <c r="BF410" s="3">
        <v>2.6792799999999999E-2</v>
      </c>
      <c r="BG410" s="3">
        <v>3.2132099999999997E-2</v>
      </c>
      <c r="BH410" s="3">
        <v>3.7470799999999999E-2</v>
      </c>
      <c r="BI410" s="3">
        <v>4.2807499999999998E-2</v>
      </c>
      <c r="BJ410" s="3">
        <v>4.8141000000000003E-2</v>
      </c>
      <c r="BK410" s="3">
        <v>5.3469900000000001E-2</v>
      </c>
      <c r="BL410" s="3">
        <v>5.8792999999999998E-2</v>
      </c>
      <c r="BM410" s="3" t="e">
        <v>#N/A</v>
      </c>
      <c r="BN410" s="3" t="e">
        <v>#N/A</v>
      </c>
    </row>
    <row r="411" spans="1:66" x14ac:dyDescent="0.35">
      <c r="A411" s="5">
        <f t="shared" si="6"/>
        <v>44029</v>
      </c>
      <c r="B411" t="s">
        <v>488</v>
      </c>
      <c r="C411" s="2">
        <v>0.1</v>
      </c>
      <c r="D411" s="2">
        <v>0.06</v>
      </c>
      <c r="E411" s="3">
        <v>5.8337800000000002E-2</v>
      </c>
      <c r="F411" s="3">
        <v>4.6540699999999997E-2</v>
      </c>
      <c r="G411" s="3">
        <v>3.6066099999999997E-2</v>
      </c>
      <c r="H411" s="3">
        <v>2.81274E-2</v>
      </c>
      <c r="I411" s="3">
        <v>1.84969E-2</v>
      </c>
      <c r="J411" s="3">
        <v>5.3781999999999996E-3</v>
      </c>
      <c r="K411" s="3">
        <v>-9.3948999999999994E-3</v>
      </c>
      <c r="L411" s="3">
        <v>-2.3884300000000001E-2</v>
      </c>
      <c r="M411" s="3">
        <v>-3.72701E-2</v>
      </c>
      <c r="N411" s="3">
        <v>-4.92697E-2</v>
      </c>
      <c r="O411" s="3">
        <v>-5.9980800000000001E-2</v>
      </c>
      <c r="P411" s="3">
        <v>-6.9697599999999998E-2</v>
      </c>
      <c r="Q411" s="3">
        <v>-7.8210199999999994E-2</v>
      </c>
      <c r="R411" s="3">
        <v>-8.5491300000000006E-2</v>
      </c>
      <c r="S411" s="3">
        <v>-9.1620499999999994E-2</v>
      </c>
      <c r="T411" s="3">
        <v>-9.6677200000000005E-2</v>
      </c>
      <c r="U411" s="3">
        <v>-0.100741</v>
      </c>
      <c r="V411" s="3">
        <v>-0.10389130000000001</v>
      </c>
      <c r="W411" s="3">
        <v>-0.1062013</v>
      </c>
      <c r="X411" s="3">
        <v>-0.1077147</v>
      </c>
      <c r="Y411" s="3">
        <v>-0.1084669</v>
      </c>
      <c r="Z411" s="3">
        <v>-0.10849300000000001</v>
      </c>
      <c r="AA411" s="3">
        <v>-0.1078283</v>
      </c>
      <c r="AB411" s="3">
        <v>-0.1065079</v>
      </c>
      <c r="AC411" s="3">
        <v>-0.1045686</v>
      </c>
      <c r="AD411" s="3">
        <v>-0.10205350000000001</v>
      </c>
      <c r="AE411" s="3">
        <v>-9.9007200000000004E-2</v>
      </c>
      <c r="AF411" s="3">
        <v>-9.5474699999999996E-2</v>
      </c>
      <c r="AG411" s="3">
        <v>-9.1500700000000004E-2</v>
      </c>
      <c r="AH411" s="3">
        <v>-8.7129999999999999E-2</v>
      </c>
      <c r="AI411" s="3">
        <v>-8.2407300000000003E-2</v>
      </c>
      <c r="AJ411" s="3">
        <v>-7.7377600000000005E-2</v>
      </c>
      <c r="AK411" s="3">
        <v>-7.20856E-2</v>
      </c>
      <c r="AL411" s="3">
        <v>-6.6576099999999999E-2</v>
      </c>
      <c r="AM411" s="3">
        <v>-6.0893900000000001E-2</v>
      </c>
      <c r="AN411" s="3">
        <v>-5.5083800000000002E-2</v>
      </c>
      <c r="AO411" s="3">
        <v>-4.9185100000000002E-2</v>
      </c>
      <c r="AP411" s="3">
        <v>-4.3214900000000001E-2</v>
      </c>
      <c r="AQ411" s="3">
        <v>-3.7185000000000003E-2</v>
      </c>
      <c r="AR411" s="3">
        <v>-3.1107099999999999E-2</v>
      </c>
      <c r="AS411" s="3">
        <v>-2.4992799999999999E-2</v>
      </c>
      <c r="AT411" s="3">
        <v>-1.88539E-2</v>
      </c>
      <c r="AU411" s="3">
        <v>-1.2702E-2</v>
      </c>
      <c r="AV411" s="3">
        <v>-6.5487999999999996E-3</v>
      </c>
      <c r="AW411" s="3">
        <v>-4.06E-4</v>
      </c>
      <c r="AX411" s="3">
        <v>5.7146999999999996E-3</v>
      </c>
      <c r="AY411" s="3">
        <v>1.1801600000000001E-2</v>
      </c>
      <c r="AZ411" s="3">
        <v>1.7843100000000001E-2</v>
      </c>
      <c r="BA411" s="3">
        <v>2.3829199999999998E-2</v>
      </c>
      <c r="BB411" s="3">
        <v>2.9758300000000001E-2</v>
      </c>
      <c r="BC411" s="3">
        <v>3.5630799999999997E-2</v>
      </c>
      <c r="BD411" s="3">
        <v>4.1447299999999999E-2</v>
      </c>
      <c r="BE411" s="3">
        <v>4.7208300000000002E-2</v>
      </c>
      <c r="BF411" s="3">
        <v>5.2914200000000002E-2</v>
      </c>
      <c r="BG411" s="3">
        <v>5.85655E-2</v>
      </c>
      <c r="BH411" s="3">
        <v>6.4162800000000006E-2</v>
      </c>
      <c r="BI411" s="3">
        <v>6.9706599999999994E-2</v>
      </c>
      <c r="BJ411" s="3">
        <v>7.5197399999999998E-2</v>
      </c>
      <c r="BK411" s="3">
        <v>8.0635700000000005E-2</v>
      </c>
      <c r="BL411" s="3">
        <v>8.6021899999999998E-2</v>
      </c>
      <c r="BM411" s="3" t="e">
        <v>#N/A</v>
      </c>
      <c r="BN411" s="3" t="e">
        <v>#N/A</v>
      </c>
    </row>
    <row r="412" spans="1:66" x14ac:dyDescent="0.35">
      <c r="A412" s="5">
        <f t="shared" si="6"/>
        <v>44032</v>
      </c>
      <c r="B412" t="s">
        <v>489</v>
      </c>
      <c r="C412" s="2">
        <v>0.1</v>
      </c>
      <c r="D412" s="2">
        <v>6.0100000000000001E-2</v>
      </c>
      <c r="E412" s="3">
        <v>5.6883099999999999E-2</v>
      </c>
      <c r="F412" s="3">
        <v>5.1527799999999999E-2</v>
      </c>
      <c r="G412" s="3">
        <v>4.2834499999999998E-2</v>
      </c>
      <c r="H412" s="3">
        <v>3.0574799999999999E-2</v>
      </c>
      <c r="I412" s="3">
        <v>1.58821E-2</v>
      </c>
      <c r="J412" s="3">
        <v>2.285E-4</v>
      </c>
      <c r="K412" s="3">
        <v>-1.50429E-2</v>
      </c>
      <c r="L412" s="3">
        <v>-2.9055999999999998E-2</v>
      </c>
      <c r="M412" s="3">
        <v>-4.14606E-2</v>
      </c>
      <c r="N412" s="3">
        <v>-5.2412599999999997E-2</v>
      </c>
      <c r="O412" s="3">
        <v>-6.2053200000000003E-2</v>
      </c>
      <c r="P412" s="3">
        <v>-7.0565299999999997E-2</v>
      </c>
      <c r="Q412" s="3">
        <v>-7.8140100000000004E-2</v>
      </c>
      <c r="R412" s="3">
        <v>-8.48275E-2</v>
      </c>
      <c r="S412" s="3">
        <v>-9.0639999999999998E-2</v>
      </c>
      <c r="T412" s="3">
        <v>-9.55902E-2</v>
      </c>
      <c r="U412" s="3">
        <v>-9.9690799999999996E-2</v>
      </c>
      <c r="V412" s="3">
        <v>-0.1029542</v>
      </c>
      <c r="W412" s="3">
        <v>-0.1053965</v>
      </c>
      <c r="X412" s="3">
        <v>-0.1070487</v>
      </c>
      <c r="Y412" s="3">
        <v>-0.1079461</v>
      </c>
      <c r="Z412" s="3">
        <v>-0.1081241</v>
      </c>
      <c r="AA412" s="3">
        <v>-0.1076182</v>
      </c>
      <c r="AB412" s="3">
        <v>-0.1064639</v>
      </c>
      <c r="AC412" s="3">
        <v>-0.1046984</v>
      </c>
      <c r="AD412" s="3">
        <v>-0.102367</v>
      </c>
      <c r="AE412" s="3">
        <v>-9.9516800000000002E-2</v>
      </c>
      <c r="AF412" s="3">
        <v>-9.6194799999999997E-2</v>
      </c>
      <c r="AG412" s="3">
        <v>-9.2448299999999997E-2</v>
      </c>
      <c r="AH412" s="3">
        <v>-8.8324399999999997E-2</v>
      </c>
      <c r="AI412" s="3">
        <v>-8.3870200000000006E-2</v>
      </c>
      <c r="AJ412" s="3">
        <v>-7.9132800000000003E-2</v>
      </c>
      <c r="AK412" s="3">
        <v>-7.4159299999999997E-2</v>
      </c>
      <c r="AL412" s="3">
        <v>-6.89969E-2</v>
      </c>
      <c r="AM412" s="3">
        <v>-6.3692700000000005E-2</v>
      </c>
      <c r="AN412" s="3">
        <v>-5.8293900000000003E-2</v>
      </c>
      <c r="AO412" s="3">
        <v>-5.2840900000000003E-2</v>
      </c>
      <c r="AP412" s="3">
        <v>-4.7347599999999997E-2</v>
      </c>
      <c r="AQ412" s="3">
        <v>-4.1821400000000002E-2</v>
      </c>
      <c r="AR412" s="3">
        <v>-3.6269599999999999E-2</v>
      </c>
      <c r="AS412" s="3">
        <v>-3.0699500000000001E-2</v>
      </c>
      <c r="AT412" s="3">
        <v>-2.51183E-2</v>
      </c>
      <c r="AU412" s="3">
        <v>-1.9533499999999999E-2</v>
      </c>
      <c r="AV412" s="3">
        <v>-1.39522E-2</v>
      </c>
      <c r="AW412" s="3">
        <v>-8.3818999999999994E-3</v>
      </c>
      <c r="AX412" s="3">
        <v>-2.8297000000000001E-3</v>
      </c>
      <c r="AY412" s="3">
        <v>2.6968999999999999E-3</v>
      </c>
      <c r="AZ412" s="3">
        <v>8.1907000000000004E-3</v>
      </c>
      <c r="BA412" s="3">
        <v>1.36454E-2</v>
      </c>
      <c r="BB412" s="3">
        <v>1.9060500000000001E-2</v>
      </c>
      <c r="BC412" s="3">
        <v>2.4437400000000001E-2</v>
      </c>
      <c r="BD412" s="3">
        <v>2.9777399999999999E-2</v>
      </c>
      <c r="BE412" s="3">
        <v>3.5081899999999999E-2</v>
      </c>
      <c r="BF412" s="3">
        <v>4.0352199999999998E-2</v>
      </c>
      <c r="BG412" s="3">
        <v>4.55898E-2</v>
      </c>
      <c r="BH412" s="3">
        <v>5.0796000000000001E-2</v>
      </c>
      <c r="BI412" s="3">
        <v>5.5972099999999997E-2</v>
      </c>
      <c r="BJ412" s="3">
        <v>6.1119600000000003E-2</v>
      </c>
      <c r="BK412" s="3">
        <v>6.6239699999999999E-2</v>
      </c>
      <c r="BL412" s="3">
        <v>7.1333999999999995E-2</v>
      </c>
      <c r="BM412" s="3" t="e">
        <v>#N/A</v>
      </c>
      <c r="BN412" s="3" t="e">
        <v>#N/A</v>
      </c>
    </row>
    <row r="413" spans="1:66" x14ac:dyDescent="0.35">
      <c r="A413" s="5">
        <f t="shared" si="6"/>
        <v>44033</v>
      </c>
      <c r="B413" t="s">
        <v>490</v>
      </c>
      <c r="C413" s="2">
        <v>0.1</v>
      </c>
      <c r="D413" s="2">
        <v>6.0199999999999997E-2</v>
      </c>
      <c r="E413" s="3">
        <v>5.6965300000000003E-2</v>
      </c>
      <c r="F413" s="3">
        <v>5.1499499999999997E-2</v>
      </c>
      <c r="G413" s="3">
        <v>4.2540700000000001E-2</v>
      </c>
      <c r="H413" s="3">
        <v>3.0025E-2</v>
      </c>
      <c r="I413" s="3">
        <v>1.49695E-2</v>
      </c>
      <c r="J413" s="3">
        <v>-1.2509999999999999E-3</v>
      </c>
      <c r="K413" s="3">
        <v>-1.7366599999999999E-2</v>
      </c>
      <c r="L413" s="3">
        <v>-3.2455499999999998E-2</v>
      </c>
      <c r="M413" s="3">
        <v>-4.61477E-2</v>
      </c>
      <c r="N413" s="3">
        <v>-5.8520500000000003E-2</v>
      </c>
      <c r="O413" s="3">
        <v>-6.9667900000000005E-2</v>
      </c>
      <c r="P413" s="3">
        <v>-7.9713400000000004E-2</v>
      </c>
      <c r="Q413" s="3">
        <v>-8.8783699999999993E-2</v>
      </c>
      <c r="R413" s="3">
        <v>-9.6890900000000002E-2</v>
      </c>
      <c r="S413" s="3">
        <v>-0.1040171</v>
      </c>
      <c r="T413" s="3">
        <v>-0.1101442</v>
      </c>
      <c r="U413" s="3">
        <v>-0.1152541</v>
      </c>
      <c r="V413" s="3">
        <v>-0.1193288</v>
      </c>
      <c r="W413" s="3">
        <v>-0.122364</v>
      </c>
      <c r="X413" s="3">
        <v>-0.12441919999999999</v>
      </c>
      <c r="Y413" s="3">
        <v>-0.12557199999999999</v>
      </c>
      <c r="Z413" s="3">
        <v>-0.1259004</v>
      </c>
      <c r="AA413" s="3">
        <v>-0.12548210000000001</v>
      </c>
      <c r="AB413" s="3">
        <v>-0.1243949</v>
      </c>
      <c r="AC413" s="3">
        <v>-0.12271079999999999</v>
      </c>
      <c r="AD413" s="3">
        <v>-0.1204785</v>
      </c>
      <c r="AE413" s="3">
        <v>-0.11774080000000001</v>
      </c>
      <c r="AF413" s="3">
        <v>-0.11454060000000001</v>
      </c>
      <c r="AG413" s="3">
        <v>-0.11092059999999999</v>
      </c>
      <c r="AH413" s="3">
        <v>-0.1069238</v>
      </c>
      <c r="AI413" s="3">
        <v>-0.1025928</v>
      </c>
      <c r="AJ413" s="3">
        <v>-9.7970699999999994E-2</v>
      </c>
      <c r="AK413" s="3">
        <v>-9.3100100000000005E-2</v>
      </c>
      <c r="AL413" s="3">
        <v>-8.8024000000000005E-2</v>
      </c>
      <c r="AM413" s="3">
        <v>-8.27851E-2</v>
      </c>
      <c r="AN413" s="3">
        <v>-7.7426400000000006E-2</v>
      </c>
      <c r="AO413" s="3">
        <v>-7.1984800000000002E-2</v>
      </c>
      <c r="AP413" s="3">
        <v>-6.6474500000000006E-2</v>
      </c>
      <c r="AQ413" s="3">
        <v>-6.0903699999999998E-2</v>
      </c>
      <c r="AR413" s="3">
        <v>-5.5280599999999999E-2</v>
      </c>
      <c r="AS413" s="3">
        <v>-4.9613699999999997E-2</v>
      </c>
      <c r="AT413" s="3">
        <v>-4.39113E-2</v>
      </c>
      <c r="AU413" s="3">
        <v>-3.81815E-2</v>
      </c>
      <c r="AV413" s="3">
        <v>-3.2432599999999999E-2</v>
      </c>
      <c r="AW413" s="3">
        <v>-2.6673100000000002E-2</v>
      </c>
      <c r="AX413" s="3">
        <v>-2.0911200000000001E-2</v>
      </c>
      <c r="AY413" s="3">
        <v>-1.5155099999999999E-2</v>
      </c>
      <c r="AZ413" s="3">
        <v>-9.4132E-3</v>
      </c>
      <c r="BA413" s="3">
        <v>-3.6928E-3</v>
      </c>
      <c r="BB413" s="3">
        <v>2.0033E-3</v>
      </c>
      <c r="BC413" s="3">
        <v>7.6737999999999997E-3</v>
      </c>
      <c r="BD413" s="3">
        <v>1.33174E-2</v>
      </c>
      <c r="BE413" s="3">
        <v>1.89327E-2</v>
      </c>
      <c r="BF413" s="3">
        <v>2.4518399999999999E-2</v>
      </c>
      <c r="BG413" s="3">
        <v>3.0072999999999999E-2</v>
      </c>
      <c r="BH413" s="3">
        <v>3.5595399999999999E-2</v>
      </c>
      <c r="BI413" s="3">
        <v>4.1084099999999998E-2</v>
      </c>
      <c r="BJ413" s="3">
        <v>4.65379E-2</v>
      </c>
      <c r="BK413" s="3">
        <v>5.1955300000000003E-2</v>
      </c>
      <c r="BL413" s="3">
        <v>5.7334999999999997E-2</v>
      </c>
      <c r="BM413" s="3" t="e">
        <v>#N/A</v>
      </c>
      <c r="BN413" s="3" t="e">
        <v>#N/A</v>
      </c>
    </row>
    <row r="414" spans="1:66" x14ac:dyDescent="0.35">
      <c r="A414" s="5">
        <f t="shared" si="6"/>
        <v>44034</v>
      </c>
      <c r="B414" t="s">
        <v>491</v>
      </c>
      <c r="C414" s="2">
        <v>0.1</v>
      </c>
      <c r="D414" s="2">
        <v>5.8700000000000002E-2</v>
      </c>
      <c r="E414" s="3">
        <v>5.4750699999999999E-2</v>
      </c>
      <c r="F414" s="3">
        <v>4.8231700000000002E-2</v>
      </c>
      <c r="G414" s="3">
        <v>3.8256400000000003E-2</v>
      </c>
      <c r="H414" s="3">
        <v>2.76479E-2</v>
      </c>
      <c r="I414" s="3">
        <v>1.37649E-2</v>
      </c>
      <c r="J414" s="3">
        <v>-4.0293000000000004E-3</v>
      </c>
      <c r="K414" s="3">
        <v>-2.29047E-2</v>
      </c>
      <c r="L414" s="3">
        <v>-4.0216300000000003E-2</v>
      </c>
      <c r="M414" s="3">
        <v>-5.4828099999999998E-2</v>
      </c>
      <c r="N414" s="3">
        <v>-6.6564499999999999E-2</v>
      </c>
      <c r="O414" s="3">
        <v>-7.5905100000000003E-2</v>
      </c>
      <c r="P414" s="3">
        <v>-8.3591799999999994E-2</v>
      </c>
      <c r="Q414" s="3">
        <v>-9.0569700000000003E-2</v>
      </c>
      <c r="R414" s="3">
        <v>-9.7035399999999994E-2</v>
      </c>
      <c r="S414" s="3">
        <v>-0.1029716</v>
      </c>
      <c r="T414" s="3">
        <v>-0.1083611</v>
      </c>
      <c r="U414" s="3">
        <v>-0.1131866</v>
      </c>
      <c r="V414" s="3">
        <v>-0.11743099999999999</v>
      </c>
      <c r="W414" s="3">
        <v>-0.1210774</v>
      </c>
      <c r="X414" s="3">
        <v>-0.1241124</v>
      </c>
      <c r="Y414" s="3">
        <v>-0.12652340000000001</v>
      </c>
      <c r="Z414" s="3">
        <v>-0.12829769999999999</v>
      </c>
      <c r="AA414" s="3">
        <v>-0.1294228</v>
      </c>
      <c r="AB414" s="3">
        <v>-0.12988620000000001</v>
      </c>
      <c r="AC414" s="3">
        <v>-0.12968499999999999</v>
      </c>
      <c r="AD414" s="3">
        <v>-0.12885469999999999</v>
      </c>
      <c r="AE414" s="3">
        <v>-0.12744040000000001</v>
      </c>
      <c r="AF414" s="3">
        <v>-0.1254873</v>
      </c>
      <c r="AG414" s="3">
        <v>-0.1230407</v>
      </c>
      <c r="AH414" s="3">
        <v>-0.12014569999999999</v>
      </c>
      <c r="AI414" s="3">
        <v>-0.1168474</v>
      </c>
      <c r="AJ414" s="3">
        <v>-0.113191</v>
      </c>
      <c r="AK414" s="3">
        <v>-0.1092217</v>
      </c>
      <c r="AL414" s="3">
        <v>-0.1049847</v>
      </c>
      <c r="AM414" s="3">
        <v>-0.10052510000000001</v>
      </c>
      <c r="AN414" s="3">
        <v>-9.5888200000000007E-2</v>
      </c>
      <c r="AO414" s="3">
        <v>-9.1114500000000001E-2</v>
      </c>
      <c r="AP414" s="3">
        <v>-8.6222499999999994E-2</v>
      </c>
      <c r="AQ414" s="3">
        <v>-8.1224000000000005E-2</v>
      </c>
      <c r="AR414" s="3">
        <v>-7.6130799999999998E-2</v>
      </c>
      <c r="AS414" s="3">
        <v>-7.0954500000000004E-2</v>
      </c>
      <c r="AT414" s="3">
        <v>-6.5707000000000002E-2</v>
      </c>
      <c r="AU414" s="3">
        <v>-6.0400000000000002E-2</v>
      </c>
      <c r="AV414" s="3">
        <v>-5.5045200000000002E-2</v>
      </c>
      <c r="AW414" s="3">
        <v>-4.9654400000000001E-2</v>
      </c>
      <c r="AX414" s="3">
        <v>-4.4239300000000002E-2</v>
      </c>
      <c r="AY414" s="3">
        <v>-3.8811699999999998E-2</v>
      </c>
      <c r="AZ414" s="3">
        <v>-3.3383400000000001E-2</v>
      </c>
      <c r="BA414" s="3">
        <v>-2.79645E-2</v>
      </c>
      <c r="BB414" s="3">
        <v>-2.2558399999999999E-2</v>
      </c>
      <c r="BC414" s="3">
        <v>-1.7166399999999998E-2</v>
      </c>
      <c r="BD414" s="3">
        <v>-1.17901E-2</v>
      </c>
      <c r="BE414" s="3">
        <v>-6.4308999999999998E-3</v>
      </c>
      <c r="BF414" s="3">
        <v>-1.0901000000000001E-3</v>
      </c>
      <c r="BG414" s="3">
        <v>4.2307999999999998E-3</v>
      </c>
      <c r="BH414" s="3">
        <v>9.5303000000000002E-3</v>
      </c>
      <c r="BI414" s="3">
        <v>1.4807000000000001E-2</v>
      </c>
      <c r="BJ414" s="3">
        <v>2.0059500000000001E-2</v>
      </c>
      <c r="BK414" s="3">
        <v>2.5286300000000001E-2</v>
      </c>
      <c r="BL414" s="3">
        <v>3.0486099999999999E-2</v>
      </c>
      <c r="BM414" s="3" t="e">
        <v>#N/A</v>
      </c>
      <c r="BN414" s="3" t="e">
        <v>#N/A</v>
      </c>
    </row>
    <row r="415" spans="1:66" x14ac:dyDescent="0.35">
      <c r="A415" s="5">
        <f t="shared" si="6"/>
        <v>44035</v>
      </c>
      <c r="B415" t="s">
        <v>492</v>
      </c>
      <c r="C415" s="2">
        <v>0.1</v>
      </c>
      <c r="D415" s="2">
        <v>5.8400000000000001E-2</v>
      </c>
      <c r="E415" s="3">
        <v>5.7707700000000001E-2</v>
      </c>
      <c r="F415" s="3">
        <v>5.0903499999999997E-2</v>
      </c>
      <c r="G415" s="3">
        <v>4.1735700000000001E-2</v>
      </c>
      <c r="H415" s="3">
        <v>2.9776299999999999E-2</v>
      </c>
      <c r="I415" s="3">
        <v>1.38522E-2</v>
      </c>
      <c r="J415" s="3">
        <v>-4.4584000000000004E-3</v>
      </c>
      <c r="K415" s="3">
        <v>-2.2425400000000002E-2</v>
      </c>
      <c r="L415" s="3">
        <v>-3.7983999999999997E-2</v>
      </c>
      <c r="M415" s="3">
        <v>-5.0983199999999999E-2</v>
      </c>
      <c r="N415" s="3">
        <v>-6.2137100000000001E-2</v>
      </c>
      <c r="O415" s="3">
        <v>-7.21551E-2</v>
      </c>
      <c r="P415" s="3">
        <v>-8.1514500000000004E-2</v>
      </c>
      <c r="Q415" s="3">
        <v>-9.0446200000000004E-2</v>
      </c>
      <c r="R415" s="3">
        <v>-9.8904199999999998E-2</v>
      </c>
      <c r="S415" s="3">
        <v>-0.1067824</v>
      </c>
      <c r="T415" s="3">
        <v>-0.1139743</v>
      </c>
      <c r="U415" s="3">
        <v>-0.1203736</v>
      </c>
      <c r="V415" s="3">
        <v>-0.12587390000000001</v>
      </c>
      <c r="W415" s="3">
        <v>-0.13038710000000001</v>
      </c>
      <c r="X415" s="3">
        <v>-0.1339167</v>
      </c>
      <c r="Y415" s="3">
        <v>-0.13649629999999999</v>
      </c>
      <c r="Z415" s="3">
        <v>-0.138159</v>
      </c>
      <c r="AA415" s="3">
        <v>-0.13893820000000001</v>
      </c>
      <c r="AB415" s="3">
        <v>-0.13886709999999999</v>
      </c>
      <c r="AC415" s="3">
        <v>-0.13798299999999999</v>
      </c>
      <c r="AD415" s="3">
        <v>-0.1363423</v>
      </c>
      <c r="AE415" s="3">
        <v>-0.1340073</v>
      </c>
      <c r="AF415" s="3">
        <v>-0.13103999999999999</v>
      </c>
      <c r="AG415" s="3">
        <v>-0.1275029</v>
      </c>
      <c r="AH415" s="3">
        <v>-0.1234582</v>
      </c>
      <c r="AI415" s="3">
        <v>-0.118968</v>
      </c>
      <c r="AJ415" s="3">
        <v>-0.1140946</v>
      </c>
      <c r="AK415" s="3">
        <v>-0.1089002</v>
      </c>
      <c r="AL415" s="3">
        <v>-0.1034472</v>
      </c>
      <c r="AM415" s="3">
        <v>-9.7797700000000001E-2</v>
      </c>
      <c r="AN415" s="3">
        <v>-9.2013899999999996E-2</v>
      </c>
      <c r="AO415" s="3">
        <v>-8.6150400000000002E-2</v>
      </c>
      <c r="AP415" s="3">
        <v>-8.0227099999999996E-2</v>
      </c>
      <c r="AQ415" s="3">
        <v>-7.4254600000000004E-2</v>
      </c>
      <c r="AR415" s="3">
        <v>-6.8243399999999996E-2</v>
      </c>
      <c r="AS415" s="3">
        <v>-6.2204200000000001E-2</v>
      </c>
      <c r="AT415" s="3">
        <v>-5.6147299999999997E-2</v>
      </c>
      <c r="AU415" s="3">
        <v>-5.00834E-2</v>
      </c>
      <c r="AV415" s="3">
        <v>-4.4023E-2</v>
      </c>
      <c r="AW415" s="3">
        <v>-3.7976700000000002E-2</v>
      </c>
      <c r="AX415" s="3">
        <v>-3.1954999999999997E-2</v>
      </c>
      <c r="AY415" s="3">
        <v>-2.5968399999999999E-2</v>
      </c>
      <c r="AZ415" s="3">
        <v>-2.00275E-2</v>
      </c>
      <c r="BA415" s="3">
        <v>-1.41409E-2</v>
      </c>
      <c r="BB415" s="3">
        <v>-8.3085999999999993E-3</v>
      </c>
      <c r="BC415" s="3">
        <v>-2.5279999999999999E-3</v>
      </c>
      <c r="BD415" s="3">
        <v>3.2033000000000001E-3</v>
      </c>
      <c r="BE415" s="3">
        <v>8.8877000000000001E-3</v>
      </c>
      <c r="BF415" s="3">
        <v>1.45276E-2</v>
      </c>
      <c r="BG415" s="3">
        <v>2.0125500000000001E-2</v>
      </c>
      <c r="BH415" s="3">
        <v>2.56838E-2</v>
      </c>
      <c r="BI415" s="3">
        <v>3.1205E-2</v>
      </c>
      <c r="BJ415" s="3">
        <v>3.6691399999999999E-2</v>
      </c>
      <c r="BK415" s="3">
        <v>4.2145700000000001E-2</v>
      </c>
      <c r="BL415" s="3">
        <v>4.7570099999999997E-2</v>
      </c>
      <c r="BM415" s="3" t="e">
        <v>#N/A</v>
      </c>
      <c r="BN415" s="3" t="e">
        <v>#N/A</v>
      </c>
    </row>
    <row r="416" spans="1:66" x14ac:dyDescent="0.35">
      <c r="A416" s="5">
        <f t="shared" si="6"/>
        <v>44036</v>
      </c>
      <c r="B416" t="s">
        <v>493</v>
      </c>
      <c r="C416" s="2">
        <v>0.1</v>
      </c>
      <c r="D416" s="2">
        <v>5.8799999999999998E-2</v>
      </c>
      <c r="E416" s="3">
        <v>5.4830299999999998E-2</v>
      </c>
      <c r="F416" s="3">
        <v>5.2808800000000003E-2</v>
      </c>
      <c r="G416" s="3">
        <v>4.7113099999999998E-2</v>
      </c>
      <c r="H416" s="3">
        <v>3.8050300000000002E-2</v>
      </c>
      <c r="I416" s="3">
        <v>2.4279200000000001E-2</v>
      </c>
      <c r="J416" s="3">
        <v>7.0606000000000002E-3</v>
      </c>
      <c r="K416" s="3">
        <v>-1.0234399999999999E-2</v>
      </c>
      <c r="L416" s="3">
        <v>-2.4975299999999999E-2</v>
      </c>
      <c r="M416" s="3">
        <v>-3.72182E-2</v>
      </c>
      <c r="N416" s="3">
        <v>-4.8061600000000003E-2</v>
      </c>
      <c r="O416" s="3">
        <v>-5.8295E-2</v>
      </c>
      <c r="P416" s="3">
        <v>-6.8058400000000005E-2</v>
      </c>
      <c r="Q416" s="3">
        <v>-7.7281699999999995E-2</v>
      </c>
      <c r="R416" s="3">
        <v>-8.5880300000000007E-2</v>
      </c>
      <c r="S416" s="3">
        <v>-9.3771599999999997E-2</v>
      </c>
      <c r="T416" s="3">
        <v>-0.1008728</v>
      </c>
      <c r="U416" s="3">
        <v>-0.10710119999999999</v>
      </c>
      <c r="V416" s="3">
        <v>-0.1123739</v>
      </c>
      <c r="W416" s="3">
        <v>-0.1166278</v>
      </c>
      <c r="X416" s="3">
        <v>-0.1198896</v>
      </c>
      <c r="Y416" s="3">
        <v>-0.1222123</v>
      </c>
      <c r="Z416" s="3">
        <v>-0.123649</v>
      </c>
      <c r="AA416" s="3">
        <v>-0.1242526</v>
      </c>
      <c r="AB416" s="3">
        <v>-0.1240762</v>
      </c>
      <c r="AC416" s="3">
        <v>-0.1231722</v>
      </c>
      <c r="AD416" s="3">
        <v>-0.1215917</v>
      </c>
      <c r="AE416" s="3">
        <v>-0.1193849</v>
      </c>
      <c r="AF416" s="3">
        <v>-0.11660239999999999</v>
      </c>
      <c r="AG416" s="3">
        <v>-0.11329450000000001</v>
      </c>
      <c r="AH416" s="3">
        <v>-0.1095116</v>
      </c>
      <c r="AI416" s="3">
        <v>-0.1053041</v>
      </c>
      <c r="AJ416" s="3">
        <v>-0.1007224</v>
      </c>
      <c r="AK416" s="3">
        <v>-9.5816899999999997E-2</v>
      </c>
      <c r="AL416" s="3">
        <v>-9.0638099999999999E-2</v>
      </c>
      <c r="AM416" s="3">
        <v>-8.5236199999999998E-2</v>
      </c>
      <c r="AN416" s="3">
        <v>-7.9661800000000005E-2</v>
      </c>
      <c r="AO416" s="3">
        <v>-7.3958999999999997E-2</v>
      </c>
      <c r="AP416" s="3">
        <v>-6.8147100000000002E-2</v>
      </c>
      <c r="AQ416" s="3">
        <v>-6.2239099999999999E-2</v>
      </c>
      <c r="AR416" s="3">
        <v>-5.6248100000000002E-2</v>
      </c>
      <c r="AS416" s="3">
        <v>-5.0187099999999998E-2</v>
      </c>
      <c r="AT416" s="3">
        <v>-4.4069200000000003E-2</v>
      </c>
      <c r="AU416" s="3">
        <v>-3.7907400000000001E-2</v>
      </c>
      <c r="AV416" s="3">
        <v>-3.1714800000000001E-2</v>
      </c>
      <c r="AW416" s="3">
        <v>-2.55044E-2</v>
      </c>
      <c r="AX416" s="3">
        <v>-1.9289299999999999E-2</v>
      </c>
      <c r="AY416" s="3">
        <v>-1.30826E-2</v>
      </c>
      <c r="AZ416" s="3">
        <v>-6.8972E-3</v>
      </c>
      <c r="BA416" s="3">
        <v>-7.4419999999999998E-4</v>
      </c>
      <c r="BB416" s="3">
        <v>5.3742E-3</v>
      </c>
      <c r="BC416" s="3">
        <v>1.1458400000000001E-2</v>
      </c>
      <c r="BD416" s="3">
        <v>1.7508699999999999E-2</v>
      </c>
      <c r="BE416" s="3">
        <v>2.3525399999999998E-2</v>
      </c>
      <c r="BF416" s="3">
        <v>2.9508900000000001E-2</v>
      </c>
      <c r="BG416" s="3">
        <v>3.5459499999999998E-2</v>
      </c>
      <c r="BH416" s="3">
        <v>4.1377400000000002E-2</v>
      </c>
      <c r="BI416" s="3">
        <v>4.7263100000000002E-2</v>
      </c>
      <c r="BJ416" s="3">
        <v>5.3116900000000002E-2</v>
      </c>
      <c r="BK416" s="3">
        <v>5.8938999999999998E-2</v>
      </c>
      <c r="BL416" s="3">
        <v>6.4729800000000004E-2</v>
      </c>
      <c r="BM416" s="3" t="e">
        <v>#N/A</v>
      </c>
      <c r="BN416" s="3" t="e">
        <v>#N/A</v>
      </c>
    </row>
    <row r="417" spans="1:66" x14ac:dyDescent="0.35">
      <c r="A417" s="5">
        <f t="shared" si="6"/>
        <v>44039</v>
      </c>
      <c r="B417" t="s">
        <v>494</v>
      </c>
      <c r="C417" s="2">
        <v>0.1</v>
      </c>
      <c r="D417" s="2">
        <v>5.8400000000000001E-2</v>
      </c>
      <c r="E417" s="3">
        <v>5.7086100000000001E-2</v>
      </c>
      <c r="F417" s="3">
        <v>5.0949099999999997E-2</v>
      </c>
      <c r="G417" s="3">
        <v>4.0796399999999997E-2</v>
      </c>
      <c r="H417" s="3">
        <v>2.6940800000000001E-2</v>
      </c>
      <c r="I417" s="3">
        <v>1.1134399999999999E-2</v>
      </c>
      <c r="J417" s="3">
        <v>-5.1434999999999996E-3</v>
      </c>
      <c r="K417" s="3">
        <v>-2.06841E-2</v>
      </c>
      <c r="L417" s="3">
        <v>-3.4729599999999999E-2</v>
      </c>
      <c r="M417" s="3">
        <v>-4.7142999999999997E-2</v>
      </c>
      <c r="N417" s="3">
        <v>-5.8327999999999998E-2</v>
      </c>
      <c r="O417" s="3">
        <v>-6.8609199999999995E-2</v>
      </c>
      <c r="P417" s="3">
        <v>-7.8218099999999999E-2</v>
      </c>
      <c r="Q417" s="3">
        <v>-8.7249699999999999E-2</v>
      </c>
      <c r="R417" s="3">
        <v>-9.5696400000000001E-2</v>
      </c>
      <c r="S417" s="3">
        <v>-0.1035334</v>
      </c>
      <c r="T417" s="3">
        <v>-0.1107358</v>
      </c>
      <c r="U417" s="3">
        <v>-0.1172788</v>
      </c>
      <c r="V417" s="3">
        <v>-0.1231377</v>
      </c>
      <c r="W417" s="3">
        <v>-0.12828809999999999</v>
      </c>
      <c r="X417" s="3">
        <v>-0.1327083</v>
      </c>
      <c r="Y417" s="3">
        <v>-0.13637730000000001</v>
      </c>
      <c r="Z417" s="3">
        <v>-0.13927410000000001</v>
      </c>
      <c r="AA417" s="3">
        <v>-0.14137749999999999</v>
      </c>
      <c r="AB417" s="3">
        <v>-0.1426666</v>
      </c>
      <c r="AC417" s="3">
        <v>-0.1431326</v>
      </c>
      <c r="AD417" s="3">
        <v>-0.14281630000000001</v>
      </c>
      <c r="AE417" s="3">
        <v>-0.1417706</v>
      </c>
      <c r="AF417" s="3">
        <v>-0.14004849999999999</v>
      </c>
      <c r="AG417" s="3">
        <v>-0.13770309999999999</v>
      </c>
      <c r="AH417" s="3">
        <v>-0.1347873</v>
      </c>
      <c r="AI417" s="3">
        <v>-0.1313541</v>
      </c>
      <c r="AJ417" s="3">
        <v>-0.1274566</v>
      </c>
      <c r="AK417" s="3">
        <v>-0.1231478</v>
      </c>
      <c r="AL417" s="3">
        <v>-0.11848060000000001</v>
      </c>
      <c r="AM417" s="3">
        <v>-0.1135081</v>
      </c>
      <c r="AN417" s="3">
        <v>-0.1082832</v>
      </c>
      <c r="AO417" s="3">
        <v>-0.1028536</v>
      </c>
      <c r="AP417" s="3">
        <v>-9.7245600000000001E-2</v>
      </c>
      <c r="AQ417" s="3">
        <v>-9.1480000000000006E-2</v>
      </c>
      <c r="AR417" s="3">
        <v>-8.5577600000000004E-2</v>
      </c>
      <c r="AS417" s="3">
        <v>-7.9559299999999999E-2</v>
      </c>
      <c r="AT417" s="3">
        <v>-7.3445899999999995E-2</v>
      </c>
      <c r="AU417" s="3">
        <v>-6.7258399999999996E-2</v>
      </c>
      <c r="AV417" s="3">
        <v>-6.1017500000000002E-2</v>
      </c>
      <c r="AW417" s="3">
        <v>-5.47442E-2</v>
      </c>
      <c r="AX417" s="3">
        <v>-4.8459200000000001E-2</v>
      </c>
      <c r="AY417" s="3">
        <v>-4.2183400000000003E-2</v>
      </c>
      <c r="AZ417" s="3">
        <v>-3.5937799999999999E-2</v>
      </c>
      <c r="BA417" s="3">
        <v>-2.9740599999999999E-2</v>
      </c>
      <c r="BB417" s="3">
        <v>-2.3596499999999999E-2</v>
      </c>
      <c r="BC417" s="3">
        <v>-1.75056E-2</v>
      </c>
      <c r="BD417" s="3">
        <v>-1.1468000000000001E-2</v>
      </c>
      <c r="BE417" s="3">
        <v>-5.4840000000000002E-3</v>
      </c>
      <c r="BF417" s="3">
        <v>4.4650000000000001E-4</v>
      </c>
      <c r="BG417" s="3">
        <v>6.3232999999999996E-3</v>
      </c>
      <c r="BH417" s="3">
        <v>1.21463E-2</v>
      </c>
      <c r="BI417" s="3">
        <v>1.7915400000000001E-2</v>
      </c>
      <c r="BJ417" s="3">
        <v>2.3630399999999999E-2</v>
      </c>
      <c r="BK417" s="3">
        <v>2.92912E-2</v>
      </c>
      <c r="BL417" s="3">
        <v>3.4897699999999997E-2</v>
      </c>
      <c r="BM417" s="3" t="e">
        <v>#N/A</v>
      </c>
      <c r="BN417" s="3" t="e">
        <v>#N/A</v>
      </c>
    </row>
    <row r="418" spans="1:66" x14ac:dyDescent="0.35">
      <c r="A418" s="5">
        <f t="shared" si="6"/>
        <v>44040</v>
      </c>
      <c r="B418" t="s">
        <v>495</v>
      </c>
      <c r="C418" s="2">
        <v>0.1</v>
      </c>
      <c r="D418" s="2">
        <v>5.9799999999999999E-2</v>
      </c>
      <c r="E418" s="3">
        <v>4.9869700000000003E-2</v>
      </c>
      <c r="F418" s="3">
        <v>4.2019500000000001E-2</v>
      </c>
      <c r="G418" s="3">
        <v>3.18359E-2</v>
      </c>
      <c r="H418" s="3">
        <v>2.1405500000000001E-2</v>
      </c>
      <c r="I418" s="3">
        <v>1.0789999999999999E-2</v>
      </c>
      <c r="J418" s="3">
        <v>-1.5039000000000001E-3</v>
      </c>
      <c r="K418" s="3">
        <v>-1.55134E-2</v>
      </c>
      <c r="L418" s="3">
        <v>-3.0312800000000001E-2</v>
      </c>
      <c r="M418" s="3">
        <v>-4.4520799999999999E-2</v>
      </c>
      <c r="N418" s="3">
        <v>-5.7469199999999998E-2</v>
      </c>
      <c r="O418" s="3">
        <v>-6.9202799999999995E-2</v>
      </c>
      <c r="P418" s="3">
        <v>-7.9993800000000004E-2</v>
      </c>
      <c r="Q418" s="3">
        <v>-8.9996599999999996E-2</v>
      </c>
      <c r="R418" s="3">
        <v>-9.9207000000000004E-2</v>
      </c>
      <c r="S418" s="3">
        <v>-0.1075887</v>
      </c>
      <c r="T418" s="3">
        <v>-0.11510579999999999</v>
      </c>
      <c r="U418" s="3">
        <v>-0.1217221</v>
      </c>
      <c r="V418" s="3">
        <v>-0.1274016</v>
      </c>
      <c r="W418" s="3">
        <v>-0.13211880000000001</v>
      </c>
      <c r="X418" s="3">
        <v>-0.13589760000000001</v>
      </c>
      <c r="Y418" s="3">
        <v>-0.13877610000000001</v>
      </c>
      <c r="Z418" s="3">
        <v>-0.14079249999999999</v>
      </c>
      <c r="AA418" s="3">
        <v>-0.1419851</v>
      </c>
      <c r="AB418" s="3">
        <v>-0.14239199999999999</v>
      </c>
      <c r="AC418" s="3">
        <v>-0.14205319999999999</v>
      </c>
      <c r="AD418" s="3">
        <v>-0.1410169</v>
      </c>
      <c r="AE418" s="3">
        <v>-0.13933280000000001</v>
      </c>
      <c r="AF418" s="3">
        <v>-0.1370509</v>
      </c>
      <c r="AG418" s="3">
        <v>-0.13422100000000001</v>
      </c>
      <c r="AH418" s="3">
        <v>-0.13089319999999999</v>
      </c>
      <c r="AI418" s="3">
        <v>-0.12711720000000001</v>
      </c>
      <c r="AJ418" s="3">
        <v>-0.122943</v>
      </c>
      <c r="AK418" s="3">
        <v>-0.1184205</v>
      </c>
      <c r="AL418" s="3">
        <v>-0.1135996</v>
      </c>
      <c r="AM418" s="3">
        <v>-0.10853019999999999</v>
      </c>
      <c r="AN418" s="3">
        <v>-0.1032622</v>
      </c>
      <c r="AO418" s="3">
        <v>-9.7839499999999996E-2</v>
      </c>
      <c r="AP418" s="3">
        <v>-9.2282000000000003E-2</v>
      </c>
      <c r="AQ418" s="3">
        <v>-8.6603399999999997E-2</v>
      </c>
      <c r="AR418" s="3">
        <v>-8.0817799999999995E-2</v>
      </c>
      <c r="AS418" s="3">
        <v>-7.4938900000000003E-2</v>
      </c>
      <c r="AT418" s="3">
        <v>-6.8980600000000003E-2</v>
      </c>
      <c r="AU418" s="3">
        <v>-6.2956799999999993E-2</v>
      </c>
      <c r="AV418" s="3">
        <v>-5.6881300000000003E-2</v>
      </c>
      <c r="AW418" s="3">
        <v>-5.0768000000000001E-2</v>
      </c>
      <c r="AX418" s="3">
        <v>-4.4630700000000002E-2</v>
      </c>
      <c r="AY418" s="3">
        <v>-3.8483400000000001E-2</v>
      </c>
      <c r="AZ418" s="3">
        <v>-3.2339699999999999E-2</v>
      </c>
      <c r="BA418" s="3">
        <v>-2.6212200000000001E-2</v>
      </c>
      <c r="BB418" s="3">
        <v>-2.01053E-2</v>
      </c>
      <c r="BC418" s="3">
        <v>-1.40213E-2</v>
      </c>
      <c r="BD418" s="3">
        <v>-7.9626000000000002E-3</v>
      </c>
      <c r="BE418" s="3">
        <v>-1.9314E-3</v>
      </c>
      <c r="BF418" s="3">
        <v>4.0699999999999998E-3</v>
      </c>
      <c r="BG418" s="3">
        <v>1.00394E-2</v>
      </c>
      <c r="BH418" s="3">
        <v>1.59743E-2</v>
      </c>
      <c r="BI418" s="3">
        <v>2.1872699999999998E-2</v>
      </c>
      <c r="BJ418" s="3">
        <v>2.7732099999999999E-2</v>
      </c>
      <c r="BK418" s="3">
        <v>3.3550200000000002E-2</v>
      </c>
      <c r="BL418" s="3">
        <v>3.9324900000000003E-2</v>
      </c>
      <c r="BM418" s="3" t="e">
        <v>#N/A</v>
      </c>
      <c r="BN418" s="3" t="e">
        <v>#N/A</v>
      </c>
    </row>
    <row r="419" spans="1:66" x14ac:dyDescent="0.35">
      <c r="A419" s="5">
        <f t="shared" si="6"/>
        <v>44041</v>
      </c>
      <c r="B419" t="s">
        <v>496</v>
      </c>
      <c r="C419" s="2">
        <v>0.1</v>
      </c>
      <c r="D419" s="2">
        <v>5.91E-2</v>
      </c>
      <c r="E419" s="3">
        <v>5.3027900000000003E-2</v>
      </c>
      <c r="F419" s="3">
        <v>4.5003300000000003E-2</v>
      </c>
      <c r="G419" s="3">
        <v>3.4869999999999998E-2</v>
      </c>
      <c r="H419" s="3">
        <v>2.31028E-2</v>
      </c>
      <c r="I419" s="3">
        <v>1.05486E-2</v>
      </c>
      <c r="J419" s="3">
        <v>-2.2437999999999998E-3</v>
      </c>
      <c r="K419" s="3">
        <v>-1.4712599999999999E-2</v>
      </c>
      <c r="L419" s="3">
        <v>-2.6454600000000002E-2</v>
      </c>
      <c r="M419" s="3">
        <v>-3.7539900000000001E-2</v>
      </c>
      <c r="N419" s="3">
        <v>-4.82041E-2</v>
      </c>
      <c r="O419" s="3">
        <v>-5.8570200000000003E-2</v>
      </c>
      <c r="P419" s="3">
        <v>-6.86364E-2</v>
      </c>
      <c r="Q419" s="3">
        <v>-7.8368699999999999E-2</v>
      </c>
      <c r="R419" s="3">
        <v>-8.7659299999999996E-2</v>
      </c>
      <c r="S419" s="3">
        <v>-9.6380999999999994E-2</v>
      </c>
      <c r="T419" s="3">
        <v>-0.1044061</v>
      </c>
      <c r="U419" s="3">
        <v>-0.11160730000000001</v>
      </c>
      <c r="V419" s="3">
        <v>-0.11785710000000001</v>
      </c>
      <c r="W419" s="3">
        <v>-0.1230484</v>
      </c>
      <c r="X419" s="3">
        <v>-0.12718860000000001</v>
      </c>
      <c r="Y419" s="3">
        <v>-0.13032560000000001</v>
      </c>
      <c r="Z419" s="3">
        <v>-0.13250719999999999</v>
      </c>
      <c r="AA419" s="3">
        <v>-0.13378129999999999</v>
      </c>
      <c r="AB419" s="3">
        <v>-0.13419590000000001</v>
      </c>
      <c r="AC419" s="3">
        <v>-0.13380049999999999</v>
      </c>
      <c r="AD419" s="3">
        <v>-0.1326521</v>
      </c>
      <c r="AE419" s="3">
        <v>-0.13080939999999999</v>
      </c>
      <c r="AF419" s="3">
        <v>-0.1283311</v>
      </c>
      <c r="AG419" s="3">
        <v>-0.12527579999999999</v>
      </c>
      <c r="AH419" s="3">
        <v>-0.1217024</v>
      </c>
      <c r="AI419" s="3">
        <v>-0.11766939999999999</v>
      </c>
      <c r="AJ419" s="3">
        <v>-0.11323569999999999</v>
      </c>
      <c r="AK419" s="3">
        <v>-0.1084598</v>
      </c>
      <c r="AL419" s="3">
        <v>-0.1034006</v>
      </c>
      <c r="AM419" s="3">
        <v>-9.8116599999999998E-2</v>
      </c>
      <c r="AN419" s="3">
        <v>-9.2666700000000005E-2</v>
      </c>
      <c r="AO419" s="3">
        <v>-8.7103E-2</v>
      </c>
      <c r="AP419" s="3">
        <v>-8.1446900000000003E-2</v>
      </c>
      <c r="AQ419" s="3">
        <v>-7.5710100000000002E-2</v>
      </c>
      <c r="AR419" s="3">
        <v>-6.9904300000000003E-2</v>
      </c>
      <c r="AS419" s="3">
        <v>-6.4041200000000006E-2</v>
      </c>
      <c r="AT419" s="3">
        <v>-5.8132499999999997E-2</v>
      </c>
      <c r="AU419" s="3">
        <v>-5.219E-2</v>
      </c>
      <c r="AV419" s="3">
        <v>-4.6225500000000003E-2</v>
      </c>
      <c r="AW419" s="3">
        <v>-4.0250599999999997E-2</v>
      </c>
      <c r="AX419" s="3">
        <v>-3.4277099999999998E-2</v>
      </c>
      <c r="AY419" s="3">
        <v>-2.83167E-2</v>
      </c>
      <c r="AZ419" s="3">
        <v>-2.23812E-2</v>
      </c>
      <c r="BA419" s="3">
        <v>-1.6480600000000001E-2</v>
      </c>
      <c r="BB419" s="3">
        <v>-1.06179E-2</v>
      </c>
      <c r="BC419" s="3">
        <v>-4.7939000000000002E-3</v>
      </c>
      <c r="BD419" s="3">
        <v>9.9029999999999995E-4</v>
      </c>
      <c r="BE419" s="3">
        <v>6.7340000000000004E-3</v>
      </c>
      <c r="BF419" s="3">
        <v>1.24361E-2</v>
      </c>
      <c r="BG419" s="3">
        <v>1.8095699999999999E-2</v>
      </c>
      <c r="BH419" s="3">
        <v>2.3711900000000001E-2</v>
      </c>
      <c r="BI419" s="3">
        <v>2.9283900000000002E-2</v>
      </c>
      <c r="BJ419" s="3">
        <v>3.4810599999999997E-2</v>
      </c>
      <c r="BK419" s="3">
        <v>4.0291199999999999E-2</v>
      </c>
      <c r="BL419" s="3">
        <v>4.57247E-2</v>
      </c>
      <c r="BM419" s="3" t="e">
        <v>#N/A</v>
      </c>
      <c r="BN419" s="3" t="e">
        <v>#N/A</v>
      </c>
    </row>
    <row r="420" spans="1:66" x14ac:dyDescent="0.35">
      <c r="A420" s="5">
        <f t="shared" si="6"/>
        <v>44042</v>
      </c>
      <c r="B420" t="s">
        <v>497</v>
      </c>
      <c r="C420" s="2">
        <v>0.1</v>
      </c>
      <c r="D420" s="2">
        <v>6.0100000000000001E-2</v>
      </c>
      <c r="E420" s="3">
        <v>5.3455500000000003E-2</v>
      </c>
      <c r="F420" s="3">
        <v>4.5830099999999999E-2</v>
      </c>
      <c r="G420" s="3">
        <v>3.5126600000000001E-2</v>
      </c>
      <c r="H420" s="3">
        <v>2.1705800000000001E-2</v>
      </c>
      <c r="I420" s="3">
        <v>6.8636000000000001E-3</v>
      </c>
      <c r="J420" s="3">
        <v>-8.2848999999999996E-3</v>
      </c>
      <c r="K420" s="3">
        <v>-2.2663200000000001E-2</v>
      </c>
      <c r="L420" s="3">
        <v>-3.5480999999999999E-2</v>
      </c>
      <c r="M420" s="3">
        <v>-4.6829099999999999E-2</v>
      </c>
      <c r="N420" s="3">
        <v>-5.7176299999999999E-2</v>
      </c>
      <c r="O420" s="3">
        <v>-6.6911200000000004E-2</v>
      </c>
      <c r="P420" s="3">
        <v>-7.6276999999999998E-2</v>
      </c>
      <c r="Q420" s="3">
        <v>-8.5500800000000002E-2</v>
      </c>
      <c r="R420" s="3">
        <v>-9.4515500000000002E-2</v>
      </c>
      <c r="S420" s="3">
        <v>-0.1031734</v>
      </c>
      <c r="T420" s="3">
        <v>-0.1113268</v>
      </c>
      <c r="U420" s="3">
        <v>-0.1188278</v>
      </c>
      <c r="V420" s="3">
        <v>-0.12552869999999999</v>
      </c>
      <c r="W420" s="3">
        <v>-0.131304</v>
      </c>
      <c r="X420" s="3">
        <v>-0.1361417</v>
      </c>
      <c r="Y420" s="3">
        <v>-0.1400663</v>
      </c>
      <c r="Z420" s="3">
        <v>-0.14310210000000001</v>
      </c>
      <c r="AA420" s="3">
        <v>-0.1452736</v>
      </c>
      <c r="AB420" s="3">
        <v>-0.14660519999999999</v>
      </c>
      <c r="AC420" s="3">
        <v>-0.1471259</v>
      </c>
      <c r="AD420" s="3">
        <v>-0.14688670000000001</v>
      </c>
      <c r="AE420" s="3">
        <v>-0.1459454</v>
      </c>
      <c r="AF420" s="3">
        <v>-0.14435980000000001</v>
      </c>
      <c r="AG420" s="3">
        <v>-0.1421877</v>
      </c>
      <c r="AH420" s="3">
        <v>-0.13948679999999999</v>
      </c>
      <c r="AI420" s="3">
        <v>-0.13631499999999999</v>
      </c>
      <c r="AJ420" s="3">
        <v>-0.13272999999999999</v>
      </c>
      <c r="AK420" s="3">
        <v>-0.1287896</v>
      </c>
      <c r="AL420" s="3">
        <v>-0.1245517</v>
      </c>
      <c r="AM420" s="3">
        <v>-0.1200739</v>
      </c>
      <c r="AN420" s="3">
        <v>-0.11541410000000001</v>
      </c>
      <c r="AO420" s="3">
        <v>-0.1106232</v>
      </c>
      <c r="AP420" s="3">
        <v>-0.1057218</v>
      </c>
      <c r="AQ420" s="3">
        <v>-0.10072209999999999</v>
      </c>
      <c r="AR420" s="3">
        <v>-9.5636399999999996E-2</v>
      </c>
      <c r="AS420" s="3">
        <v>-9.0476799999999996E-2</v>
      </c>
      <c r="AT420" s="3">
        <v>-8.5255700000000004E-2</v>
      </c>
      <c r="AU420" s="3">
        <v>-7.9985100000000003E-2</v>
      </c>
      <c r="AV420" s="3">
        <v>-7.4677499999999994E-2</v>
      </c>
      <c r="AW420" s="3">
        <v>-6.9344900000000001E-2</v>
      </c>
      <c r="AX420" s="3">
        <v>-6.3999700000000007E-2</v>
      </c>
      <c r="AY420" s="3">
        <v>-5.8653999999999998E-2</v>
      </c>
      <c r="AZ420" s="3">
        <v>-5.3320199999999998E-2</v>
      </c>
      <c r="BA420" s="3">
        <v>-4.8008500000000003E-2</v>
      </c>
      <c r="BB420" s="3">
        <v>-4.2721500000000003E-2</v>
      </c>
      <c r="BC420" s="3">
        <v>-3.74595E-2</v>
      </c>
      <c r="BD420" s="3">
        <v>-3.2222599999999997E-2</v>
      </c>
      <c r="BE420" s="3">
        <v>-2.7011299999999999E-2</v>
      </c>
      <c r="BF420" s="3">
        <v>-2.18257E-2</v>
      </c>
      <c r="BG420" s="3">
        <v>-1.6666199999999999E-2</v>
      </c>
      <c r="BH420" s="3">
        <v>-1.1533E-2</v>
      </c>
      <c r="BI420" s="3">
        <v>-6.4263000000000002E-3</v>
      </c>
      <c r="BJ420" s="3">
        <v>-1.3464E-3</v>
      </c>
      <c r="BK420" s="3">
        <v>3.7063E-3</v>
      </c>
      <c r="BL420" s="3">
        <v>8.7316000000000008E-3</v>
      </c>
      <c r="BM420" s="3" t="e">
        <v>#N/A</v>
      </c>
      <c r="BN420" s="3" t="e">
        <v>#N/A</v>
      </c>
    </row>
    <row r="421" spans="1:66" x14ac:dyDescent="0.35">
      <c r="A421" s="5">
        <f t="shared" si="6"/>
        <v>44043</v>
      </c>
      <c r="B421" t="s">
        <v>498</v>
      </c>
      <c r="C421" s="2">
        <v>0.1</v>
      </c>
      <c r="D421" s="2">
        <v>6.0299999999999999E-2</v>
      </c>
      <c r="E421" s="3">
        <v>5.5371099999999999E-2</v>
      </c>
      <c r="F421" s="3">
        <v>4.8673800000000003E-2</v>
      </c>
      <c r="G421" s="3">
        <v>3.8580900000000001E-2</v>
      </c>
      <c r="H421" s="3">
        <v>2.5647799999999998E-2</v>
      </c>
      <c r="I421" s="3">
        <v>1.1494799999999999E-2</v>
      </c>
      <c r="J421" s="3">
        <v>-2.7683E-3</v>
      </c>
      <c r="K421" s="3">
        <v>-1.6193300000000001E-2</v>
      </c>
      <c r="L421" s="3">
        <v>-2.8163500000000001E-2</v>
      </c>
      <c r="M421" s="3">
        <v>-3.8874499999999999E-2</v>
      </c>
      <c r="N421" s="3">
        <v>-4.8812599999999998E-2</v>
      </c>
      <c r="O421" s="3">
        <v>-5.8378399999999997E-2</v>
      </c>
      <c r="P421" s="3">
        <v>-6.7798899999999995E-2</v>
      </c>
      <c r="Q421" s="3">
        <v>-7.7219599999999999E-2</v>
      </c>
      <c r="R421" s="3">
        <v>-8.6517300000000005E-2</v>
      </c>
      <c r="S421" s="3">
        <v>-9.5485700000000007E-2</v>
      </c>
      <c r="T421" s="3">
        <v>-0.10391830000000001</v>
      </c>
      <c r="U421" s="3">
        <v>-0.1116089</v>
      </c>
      <c r="V421" s="3">
        <v>-0.1183512</v>
      </c>
      <c r="W421" s="3">
        <v>-0.12397710000000001</v>
      </c>
      <c r="X421" s="3">
        <v>-0.12849630000000001</v>
      </c>
      <c r="Y421" s="3">
        <v>-0.13197</v>
      </c>
      <c r="Z421" s="3">
        <v>-0.1344593</v>
      </c>
      <c r="AA421" s="3">
        <v>-0.13602549999999999</v>
      </c>
      <c r="AB421" s="3">
        <v>-0.13672960000000001</v>
      </c>
      <c r="AC421" s="3">
        <v>-0.13663249999999999</v>
      </c>
      <c r="AD421" s="3">
        <v>-0.1357932</v>
      </c>
      <c r="AE421" s="3">
        <v>-0.13427020000000001</v>
      </c>
      <c r="AF421" s="3">
        <v>-0.13212199999999999</v>
      </c>
      <c r="AG421" s="3">
        <v>-0.1294072</v>
      </c>
      <c r="AH421" s="3">
        <v>-0.1261843</v>
      </c>
      <c r="AI421" s="3">
        <v>-0.12251190000000001</v>
      </c>
      <c r="AJ421" s="3">
        <v>-0.1184484</v>
      </c>
      <c r="AK421" s="3">
        <v>-0.1140524</v>
      </c>
      <c r="AL421" s="3">
        <v>-0.1093824</v>
      </c>
      <c r="AM421" s="3">
        <v>-0.1044969</v>
      </c>
      <c r="AN421" s="3">
        <v>-9.9454600000000004E-2</v>
      </c>
      <c r="AO421" s="3">
        <v>-9.4305600000000003E-2</v>
      </c>
      <c r="AP421" s="3">
        <v>-8.9067199999999999E-2</v>
      </c>
      <c r="AQ421" s="3">
        <v>-8.3748500000000003E-2</v>
      </c>
      <c r="AR421" s="3">
        <v>-7.8358499999999998E-2</v>
      </c>
      <c r="AS421" s="3">
        <v>-7.2906200000000004E-2</v>
      </c>
      <c r="AT421" s="3">
        <v>-6.7400699999999994E-2</v>
      </c>
      <c r="AU421" s="3">
        <v>-6.1851000000000003E-2</v>
      </c>
      <c r="AV421" s="3">
        <v>-5.6265999999999997E-2</v>
      </c>
      <c r="AW421" s="3">
        <v>-5.0654999999999999E-2</v>
      </c>
      <c r="AX421" s="3">
        <v>-4.5026700000000003E-2</v>
      </c>
      <c r="AY421" s="3">
        <v>-3.9390399999999999E-2</v>
      </c>
      <c r="AZ421" s="3">
        <v>-3.3755E-2</v>
      </c>
      <c r="BA421" s="3">
        <v>-2.8128400000000001E-2</v>
      </c>
      <c r="BB421" s="3">
        <v>-2.2513499999999999E-2</v>
      </c>
      <c r="BC421" s="3">
        <v>-1.6911700000000002E-2</v>
      </c>
      <c r="BD421" s="3">
        <v>-1.1324499999999999E-2</v>
      </c>
      <c r="BE421" s="3">
        <v>-5.7534999999999999E-3</v>
      </c>
      <c r="BF421" s="3">
        <v>-1.9990000000000001E-4</v>
      </c>
      <c r="BG421" s="3">
        <v>5.3344999999999998E-3</v>
      </c>
      <c r="BH421" s="3">
        <v>1.0848500000000001E-2</v>
      </c>
      <c r="BI421" s="3">
        <v>1.6340500000000001E-2</v>
      </c>
      <c r="BJ421" s="3">
        <v>2.1809100000000001E-2</v>
      </c>
      <c r="BK421" s="3">
        <v>2.7252700000000001E-2</v>
      </c>
      <c r="BL421" s="3">
        <v>3.2669900000000002E-2</v>
      </c>
      <c r="BM421" s="3" t="e">
        <v>#N/A</v>
      </c>
      <c r="BN421" s="3" t="e">
        <v>#N/A</v>
      </c>
    </row>
    <row r="422" spans="1:66" x14ac:dyDescent="0.35">
      <c r="A422" s="5">
        <f t="shared" si="6"/>
        <v>44046</v>
      </c>
      <c r="B422" t="s">
        <v>499</v>
      </c>
      <c r="C422" s="2">
        <v>0.1</v>
      </c>
      <c r="D422" s="2">
        <v>5.74E-2</v>
      </c>
      <c r="E422" s="3">
        <v>5.4196099999999997E-2</v>
      </c>
      <c r="F422" s="3">
        <v>4.5648800000000003E-2</v>
      </c>
      <c r="G422" s="3">
        <v>3.3929099999999997E-2</v>
      </c>
      <c r="H422" s="3">
        <v>1.9732699999999999E-2</v>
      </c>
      <c r="I422" s="3">
        <v>4.8298999999999998E-3</v>
      </c>
      <c r="J422" s="3">
        <v>-9.7467000000000005E-3</v>
      </c>
      <c r="K422" s="3">
        <v>-2.32014E-2</v>
      </c>
      <c r="L422" s="3">
        <v>-3.5131999999999997E-2</v>
      </c>
      <c r="M422" s="3">
        <v>-4.5750399999999997E-2</v>
      </c>
      <c r="N422" s="3">
        <v>-5.5538499999999998E-2</v>
      </c>
      <c r="O422" s="3">
        <v>-6.4853800000000003E-2</v>
      </c>
      <c r="P422" s="3">
        <v>-7.3935200000000006E-2</v>
      </c>
      <c r="Q422" s="3">
        <v>-8.2964700000000002E-2</v>
      </c>
      <c r="R422" s="3">
        <v>-9.1838400000000001E-2</v>
      </c>
      <c r="S422" s="3">
        <v>-0.1003783</v>
      </c>
      <c r="T422" s="3">
        <v>-0.1084065</v>
      </c>
      <c r="U422" s="3">
        <v>-0.11574470000000001</v>
      </c>
      <c r="V422" s="3">
        <v>-0.12221509999999999</v>
      </c>
      <c r="W422" s="3">
        <v>-0.12767049999999999</v>
      </c>
      <c r="X422" s="3">
        <v>-0.13210730000000001</v>
      </c>
      <c r="Y422" s="3">
        <v>-0.1355634</v>
      </c>
      <c r="Z422" s="3">
        <v>-0.1380767</v>
      </c>
      <c r="AA422" s="3">
        <v>-0.13968530000000001</v>
      </c>
      <c r="AB422" s="3">
        <v>-0.1404271</v>
      </c>
      <c r="AC422" s="3">
        <v>-0.14034360000000001</v>
      </c>
      <c r="AD422" s="3">
        <v>-0.13949139999999999</v>
      </c>
      <c r="AE422" s="3">
        <v>-0.13793040000000001</v>
      </c>
      <c r="AF422" s="3">
        <v>-0.13572090000000001</v>
      </c>
      <c r="AG422" s="3">
        <v>-0.13292290000000001</v>
      </c>
      <c r="AH422" s="3">
        <v>-0.1295964</v>
      </c>
      <c r="AI422" s="3">
        <v>-0.12580160000000001</v>
      </c>
      <c r="AJ422" s="3">
        <v>-0.1215986</v>
      </c>
      <c r="AK422" s="3">
        <v>-0.1170475</v>
      </c>
      <c r="AL422" s="3">
        <v>-0.1122084</v>
      </c>
      <c r="AM422" s="3">
        <v>-0.10714129999999999</v>
      </c>
      <c r="AN422" s="3">
        <v>-0.10190639999999999</v>
      </c>
      <c r="AO422" s="3">
        <v>-9.6555600000000005E-2</v>
      </c>
      <c r="AP422" s="3">
        <v>-9.1108499999999995E-2</v>
      </c>
      <c r="AQ422" s="3">
        <v>-8.5576600000000003E-2</v>
      </c>
      <c r="AR422" s="3">
        <v>-7.9971500000000001E-2</v>
      </c>
      <c r="AS422" s="3">
        <v>-7.4304499999999996E-2</v>
      </c>
      <c r="AT422" s="3">
        <v>-6.8587099999999998E-2</v>
      </c>
      <c r="AU422" s="3">
        <v>-6.2830899999999995E-2</v>
      </c>
      <c r="AV422" s="3">
        <v>-5.7047199999999999E-2</v>
      </c>
      <c r="AW422" s="3">
        <v>-5.12477E-2</v>
      </c>
      <c r="AX422" s="3">
        <v>-4.5443699999999997E-2</v>
      </c>
      <c r="AY422" s="3">
        <v>-3.96467E-2</v>
      </c>
      <c r="AZ422" s="3">
        <v>-3.3868200000000001E-2</v>
      </c>
      <c r="BA422" s="3">
        <v>-2.8118299999999999E-2</v>
      </c>
      <c r="BB422" s="3">
        <v>-2.2399800000000001E-2</v>
      </c>
      <c r="BC422" s="3">
        <v>-1.6712600000000001E-2</v>
      </c>
      <c r="BD422" s="3">
        <v>-1.1057000000000001E-2</v>
      </c>
      <c r="BE422" s="3">
        <v>-5.4332E-3</v>
      </c>
      <c r="BF422" s="3">
        <v>1.5880000000000001E-4</v>
      </c>
      <c r="BG422" s="3">
        <v>5.7185999999999999E-3</v>
      </c>
      <c r="BH422" s="3">
        <v>1.1246300000000001E-2</v>
      </c>
      <c r="BI422" s="3">
        <v>1.6741499999999999E-2</v>
      </c>
      <c r="BJ422" s="3">
        <v>2.22043E-2</v>
      </c>
      <c r="BK422" s="3">
        <v>2.7634300000000001E-2</v>
      </c>
      <c r="BL422" s="3">
        <v>3.3031400000000002E-2</v>
      </c>
      <c r="BM422" s="3" t="e">
        <v>#N/A</v>
      </c>
      <c r="BN422" s="3" t="e">
        <v>#N/A</v>
      </c>
    </row>
    <row r="423" spans="1:66" x14ac:dyDescent="0.35">
      <c r="A423" s="5">
        <f t="shared" si="6"/>
        <v>44047</v>
      </c>
      <c r="B423" t="s">
        <v>500</v>
      </c>
      <c r="C423" s="2">
        <v>0.1</v>
      </c>
      <c r="D423" s="2">
        <v>5.6800000000000003E-2</v>
      </c>
      <c r="E423" s="3">
        <v>4.9803300000000002E-2</v>
      </c>
      <c r="F423" s="3">
        <v>4.9586999999999999E-2</v>
      </c>
      <c r="G423" s="3">
        <v>4.1015900000000001E-2</v>
      </c>
      <c r="H423" s="3">
        <v>2.5318799999999999E-2</v>
      </c>
      <c r="I423" s="3">
        <v>6.0943999999999998E-3</v>
      </c>
      <c r="J423" s="3">
        <v>-1.2404200000000001E-2</v>
      </c>
      <c r="K423" s="3">
        <v>-2.75538E-2</v>
      </c>
      <c r="L423" s="3">
        <v>-3.96402E-2</v>
      </c>
      <c r="M423" s="3">
        <v>-4.9990600000000003E-2</v>
      </c>
      <c r="N423" s="3">
        <v>-5.9690600000000003E-2</v>
      </c>
      <c r="O423" s="3">
        <v>-6.9270999999999999E-2</v>
      </c>
      <c r="P423" s="3">
        <v>-7.8854599999999997E-2</v>
      </c>
      <c r="Q423" s="3">
        <v>-8.8209099999999999E-2</v>
      </c>
      <c r="R423" s="3">
        <v>-9.7183500000000006E-2</v>
      </c>
      <c r="S423" s="3">
        <v>-0.1056691</v>
      </c>
      <c r="T423" s="3">
        <v>-0.11355759999999999</v>
      </c>
      <c r="U423" s="3">
        <v>-0.1207405</v>
      </c>
      <c r="V423" s="3">
        <v>-0.1271091</v>
      </c>
      <c r="W423" s="3">
        <v>-0.132577</v>
      </c>
      <c r="X423" s="3">
        <v>-0.13715910000000001</v>
      </c>
      <c r="Y423" s="3">
        <v>-0.14089969999999999</v>
      </c>
      <c r="Z423" s="3">
        <v>-0.1438432</v>
      </c>
      <c r="AA423" s="3">
        <v>-0.146034</v>
      </c>
      <c r="AB423" s="3">
        <v>-0.14751649999999999</v>
      </c>
      <c r="AC423" s="3">
        <v>-0.14833470000000001</v>
      </c>
      <c r="AD423" s="3">
        <v>-0.14853079999999999</v>
      </c>
      <c r="AE423" s="3">
        <v>-0.1481469</v>
      </c>
      <c r="AF423" s="3">
        <v>-0.14722489999999999</v>
      </c>
      <c r="AG423" s="3">
        <v>-0.14580670000000001</v>
      </c>
      <c r="AH423" s="3">
        <v>-0.14393420000000001</v>
      </c>
      <c r="AI423" s="3">
        <v>-0.14164950000000001</v>
      </c>
      <c r="AJ423" s="3">
        <v>-0.13899429999999999</v>
      </c>
      <c r="AK423" s="3">
        <v>-0.13601070000000001</v>
      </c>
      <c r="AL423" s="3">
        <v>-0.13274069999999999</v>
      </c>
      <c r="AM423" s="3">
        <v>-0.12922600000000001</v>
      </c>
      <c r="AN423" s="3">
        <v>-0.1255088</v>
      </c>
      <c r="AO423" s="3">
        <v>-0.12162580000000001</v>
      </c>
      <c r="AP423" s="3">
        <v>-0.11759360000000001</v>
      </c>
      <c r="AQ423" s="3">
        <v>-0.11342380000000001</v>
      </c>
      <c r="AR423" s="3">
        <v>-0.1091279</v>
      </c>
      <c r="AS423" s="3">
        <v>-0.1047173</v>
      </c>
      <c r="AT423" s="3">
        <v>-0.10020370000000001</v>
      </c>
      <c r="AU423" s="3">
        <v>-9.55984E-2</v>
      </c>
      <c r="AV423" s="3">
        <v>-9.0913099999999997E-2</v>
      </c>
      <c r="AW423" s="3">
        <v>-8.6159200000000005E-2</v>
      </c>
      <c r="AX423" s="3">
        <v>-8.1348299999999998E-2</v>
      </c>
      <c r="AY423" s="3">
        <v>-7.6491799999999999E-2</v>
      </c>
      <c r="AZ423" s="3">
        <v>-7.1601300000000007E-2</v>
      </c>
      <c r="BA423" s="3">
        <v>-6.6687200000000002E-2</v>
      </c>
      <c r="BB423" s="3">
        <v>-6.1753700000000002E-2</v>
      </c>
      <c r="BC423" s="3">
        <v>-5.6803600000000003E-2</v>
      </c>
      <c r="BD423" s="3">
        <v>-5.1839400000000001E-2</v>
      </c>
      <c r="BE423" s="3">
        <v>-4.68639E-2</v>
      </c>
      <c r="BF423" s="3">
        <v>-4.18795E-2</v>
      </c>
      <c r="BG423" s="3">
        <v>-3.6888999999999998E-2</v>
      </c>
      <c r="BH423" s="3">
        <v>-3.1895E-2</v>
      </c>
      <c r="BI423" s="3">
        <v>-2.69E-2</v>
      </c>
      <c r="BJ423" s="3">
        <v>-2.1906800000000001E-2</v>
      </c>
      <c r="BK423" s="3">
        <v>-1.6917999999999999E-2</v>
      </c>
      <c r="BL423" s="3">
        <v>-1.19361E-2</v>
      </c>
      <c r="BM423" s="3" t="e">
        <v>#N/A</v>
      </c>
      <c r="BN423" s="3" t="e">
        <v>#N/A</v>
      </c>
    </row>
    <row r="424" spans="1:66" x14ac:dyDescent="0.35">
      <c r="A424" s="5">
        <f t="shared" si="6"/>
        <v>44048</v>
      </c>
      <c r="B424" t="s">
        <v>501</v>
      </c>
      <c r="C424" s="2">
        <v>0.1</v>
      </c>
      <c r="D424" s="2">
        <v>5.7200000000000001E-2</v>
      </c>
      <c r="E424" s="3">
        <v>5.5109100000000001E-2</v>
      </c>
      <c r="F424" s="3">
        <v>4.3959999999999999E-2</v>
      </c>
      <c r="G424" s="3">
        <v>3.07703E-2</v>
      </c>
      <c r="H424" s="3">
        <v>1.6200699999999998E-2</v>
      </c>
      <c r="I424" s="3">
        <v>1.7015999999999999E-3</v>
      </c>
      <c r="J424" s="3">
        <v>-1.2033500000000001E-2</v>
      </c>
      <c r="K424" s="3">
        <v>-2.4488599999999999E-2</v>
      </c>
      <c r="L424" s="3">
        <v>-3.54405E-2</v>
      </c>
      <c r="M424" s="3">
        <v>-4.5173499999999998E-2</v>
      </c>
      <c r="N424" s="3">
        <v>-5.4112800000000003E-2</v>
      </c>
      <c r="O424" s="3">
        <v>-6.2613199999999994E-2</v>
      </c>
      <c r="P424" s="3">
        <v>-7.0905899999999994E-2</v>
      </c>
      <c r="Q424" s="3">
        <v>-7.9193E-2</v>
      </c>
      <c r="R424" s="3">
        <v>-8.7369799999999997E-2</v>
      </c>
      <c r="S424" s="3">
        <v>-9.5249200000000006E-2</v>
      </c>
      <c r="T424" s="3">
        <v>-0.1026441</v>
      </c>
      <c r="U424" s="3">
        <v>-0.1093674</v>
      </c>
      <c r="V424" s="3">
        <v>-0.115232</v>
      </c>
      <c r="W424" s="3">
        <v>-0.12007710000000001</v>
      </c>
      <c r="X424" s="3">
        <v>-0.12389029999999999</v>
      </c>
      <c r="Y424" s="3">
        <v>-0.1267112</v>
      </c>
      <c r="Z424" s="3">
        <v>-0.12857959999999999</v>
      </c>
      <c r="AA424" s="3">
        <v>-0.12953529999999999</v>
      </c>
      <c r="AB424" s="3">
        <v>-0.12961829999999999</v>
      </c>
      <c r="AC424" s="3">
        <v>-0.12887170000000001</v>
      </c>
      <c r="AD424" s="3">
        <v>-0.1273531</v>
      </c>
      <c r="AE424" s="3">
        <v>-0.1251237</v>
      </c>
      <c r="AF424" s="3">
        <v>-0.12224459999999999</v>
      </c>
      <c r="AG424" s="3">
        <v>-0.1187769</v>
      </c>
      <c r="AH424" s="3">
        <v>-0.1147817</v>
      </c>
      <c r="AI424" s="3">
        <v>-0.1103201</v>
      </c>
      <c r="AJ424" s="3">
        <v>-0.1054533</v>
      </c>
      <c r="AK424" s="3">
        <v>-0.1002422</v>
      </c>
      <c r="AL424" s="3">
        <v>-9.4748200000000005E-2</v>
      </c>
      <c r="AM424" s="3">
        <v>-8.9032200000000006E-2</v>
      </c>
      <c r="AN424" s="3">
        <v>-8.3155400000000004E-2</v>
      </c>
      <c r="AO424" s="3">
        <v>-7.7172199999999996E-2</v>
      </c>
      <c r="AP424" s="3">
        <v>-7.1104299999999995E-2</v>
      </c>
      <c r="AQ424" s="3">
        <v>-6.4963599999999996E-2</v>
      </c>
      <c r="AR424" s="3">
        <v>-5.8761899999999999E-2</v>
      </c>
      <c r="AS424" s="3">
        <v>-5.2511000000000002E-2</v>
      </c>
      <c r="AT424" s="3">
        <v>-4.6222600000000003E-2</v>
      </c>
      <c r="AU424" s="3">
        <v>-3.9908699999999998E-2</v>
      </c>
      <c r="AV424" s="3">
        <v>-3.3581E-2</v>
      </c>
      <c r="AW424" s="3">
        <v>-2.7251299999999999E-2</v>
      </c>
      <c r="AX424" s="3">
        <v>-2.0931399999999999E-2</v>
      </c>
      <c r="AY424" s="3">
        <v>-1.4633200000000001E-2</v>
      </c>
      <c r="AZ424" s="3">
        <v>-8.3683999999999998E-3</v>
      </c>
      <c r="BA424" s="3">
        <v>-2.1472000000000002E-3</v>
      </c>
      <c r="BB424" s="3">
        <v>4.0283000000000003E-3</v>
      </c>
      <c r="BC424" s="3">
        <v>1.01578E-2</v>
      </c>
      <c r="BD424" s="3">
        <v>1.6241100000000001E-2</v>
      </c>
      <c r="BE424" s="3">
        <v>2.2278200000000001E-2</v>
      </c>
      <c r="BF424" s="3">
        <v>2.82688E-2</v>
      </c>
      <c r="BG424" s="3">
        <v>3.4212800000000002E-2</v>
      </c>
      <c r="BH424" s="3">
        <v>4.0110100000000003E-2</v>
      </c>
      <c r="BI424" s="3">
        <v>4.5960500000000001E-2</v>
      </c>
      <c r="BJ424" s="3">
        <v>5.1763700000000003E-2</v>
      </c>
      <c r="BK424" s="3">
        <v>5.7519800000000003E-2</v>
      </c>
      <c r="BL424" s="3">
        <v>6.3228400000000004E-2</v>
      </c>
      <c r="BM424" s="3" t="e">
        <v>#N/A</v>
      </c>
      <c r="BN424" s="3" t="e">
        <v>#N/A</v>
      </c>
    </row>
    <row r="425" spans="1:66" x14ac:dyDescent="0.35">
      <c r="A425" s="5">
        <f t="shared" si="6"/>
        <v>44049</v>
      </c>
      <c r="B425" t="s">
        <v>502</v>
      </c>
      <c r="C425" s="2">
        <v>0.1</v>
      </c>
      <c r="D425" s="2">
        <v>5.7299999999999997E-2</v>
      </c>
      <c r="E425" s="3">
        <v>5.8053500000000001E-2</v>
      </c>
      <c r="F425" s="3">
        <v>5.3452800000000002E-2</v>
      </c>
      <c r="G425" s="3">
        <v>4.7647200000000001E-2</v>
      </c>
      <c r="H425" s="3">
        <v>4.1090000000000002E-2</v>
      </c>
      <c r="I425" s="3">
        <v>3.4221099999999997E-2</v>
      </c>
      <c r="J425" s="3">
        <v>2.68807E-2</v>
      </c>
      <c r="K425" s="3">
        <v>1.8998899999999999E-2</v>
      </c>
      <c r="L425" s="3">
        <v>1.0644799999999999E-2</v>
      </c>
      <c r="M425" s="3">
        <v>1.8845000000000001E-3</v>
      </c>
      <c r="N425" s="3">
        <v>-7.2268999999999996E-3</v>
      </c>
      <c r="O425" s="3">
        <v>-1.66404E-2</v>
      </c>
      <c r="P425" s="3">
        <v>-2.6294000000000001E-2</v>
      </c>
      <c r="Q425" s="3">
        <v>-3.6103200000000002E-2</v>
      </c>
      <c r="R425" s="3">
        <v>-4.5867100000000001E-2</v>
      </c>
      <c r="S425" s="3">
        <v>-5.5355000000000001E-2</v>
      </c>
      <c r="T425" s="3">
        <v>-6.4336000000000004E-2</v>
      </c>
      <c r="U425" s="3">
        <v>-7.2579699999999997E-2</v>
      </c>
      <c r="V425" s="3">
        <v>-7.9855099999999998E-2</v>
      </c>
      <c r="W425" s="3">
        <v>-8.5972099999999996E-2</v>
      </c>
      <c r="X425" s="3">
        <v>-9.0948100000000004E-2</v>
      </c>
      <c r="Y425" s="3">
        <v>-9.4866800000000001E-2</v>
      </c>
      <c r="Z425" s="3">
        <v>-9.7811700000000001E-2</v>
      </c>
      <c r="AA425" s="3">
        <v>-9.9866700000000003E-2</v>
      </c>
      <c r="AB425" s="3">
        <v>-0.10111530000000001</v>
      </c>
      <c r="AC425" s="3">
        <v>-0.10163709999999999</v>
      </c>
      <c r="AD425" s="3">
        <v>-0.1014911</v>
      </c>
      <c r="AE425" s="3">
        <v>-0.10072970000000001</v>
      </c>
      <c r="AF425" s="3">
        <v>-9.9405900000000005E-2</v>
      </c>
      <c r="AG425" s="3">
        <v>-9.7572199999999998E-2</v>
      </c>
      <c r="AH425" s="3">
        <v>-9.5281400000000002E-2</v>
      </c>
      <c r="AI425" s="3">
        <v>-9.2586000000000002E-2</v>
      </c>
      <c r="AJ425" s="3">
        <v>-8.9538900000000005E-2</v>
      </c>
      <c r="AK425" s="3">
        <v>-8.6192599999999994E-2</v>
      </c>
      <c r="AL425" s="3">
        <v>-8.2600000000000007E-2</v>
      </c>
      <c r="AM425" s="3">
        <v>-7.8813499999999995E-2</v>
      </c>
      <c r="AN425" s="3">
        <v>-7.4885999999999994E-2</v>
      </c>
      <c r="AO425" s="3">
        <v>-7.0863499999999996E-2</v>
      </c>
      <c r="AP425" s="3">
        <v>-6.67624E-2</v>
      </c>
      <c r="AQ425" s="3">
        <v>-6.25912E-2</v>
      </c>
      <c r="AR425" s="3">
        <v>-5.8358100000000003E-2</v>
      </c>
      <c r="AS425" s="3">
        <v>-5.40717E-2</v>
      </c>
      <c r="AT425" s="3">
        <v>-4.9740300000000001E-2</v>
      </c>
      <c r="AU425" s="3">
        <v>-4.5372299999999997E-2</v>
      </c>
      <c r="AV425" s="3">
        <v>-4.0976100000000001E-2</v>
      </c>
      <c r="AW425" s="3">
        <v>-3.6559899999999999E-2</v>
      </c>
      <c r="AX425" s="3">
        <v>-3.2132399999999998E-2</v>
      </c>
      <c r="AY425" s="3">
        <v>-2.7701699999999999E-2</v>
      </c>
      <c r="AZ425" s="3">
        <v>-2.3276399999999999E-2</v>
      </c>
      <c r="BA425" s="3">
        <v>-1.8863399999999999E-2</v>
      </c>
      <c r="BB425" s="3">
        <v>-1.44639E-2</v>
      </c>
      <c r="BC425" s="3">
        <v>-1.00775E-2</v>
      </c>
      <c r="BD425" s="3">
        <v>-5.7038000000000002E-3</v>
      </c>
      <c r="BE425" s="3">
        <v>-1.3423E-3</v>
      </c>
      <c r="BF425" s="3">
        <v>3.0073999999999999E-3</v>
      </c>
      <c r="BG425" s="3">
        <v>7.3457000000000001E-3</v>
      </c>
      <c r="BH425" s="3">
        <v>1.16732E-2</v>
      </c>
      <c r="BI425" s="3">
        <v>1.59902E-2</v>
      </c>
      <c r="BJ425" s="3">
        <v>2.0297200000000001E-2</v>
      </c>
      <c r="BK425" s="3">
        <v>2.4594600000000001E-2</v>
      </c>
      <c r="BL425" s="3">
        <v>2.88828E-2</v>
      </c>
      <c r="BM425" s="3" t="e">
        <v>#N/A</v>
      </c>
      <c r="BN425" s="3" t="e">
        <v>#N/A</v>
      </c>
    </row>
    <row r="426" spans="1:66" x14ac:dyDescent="0.35">
      <c r="A426" s="5">
        <f t="shared" si="6"/>
        <v>44050</v>
      </c>
      <c r="B426" t="s">
        <v>503</v>
      </c>
      <c r="C426" s="2">
        <v>0.1</v>
      </c>
      <c r="D426" s="2">
        <v>5.8400000000000001E-2</v>
      </c>
      <c r="E426" s="3">
        <v>5.8159799999999998E-2</v>
      </c>
      <c r="F426" s="3">
        <v>5.4834099999999997E-2</v>
      </c>
      <c r="G426" s="3">
        <v>4.9585600000000001E-2</v>
      </c>
      <c r="H426" s="3">
        <v>4.2411600000000001E-2</v>
      </c>
      <c r="I426" s="3">
        <v>3.3945700000000002E-2</v>
      </c>
      <c r="J426" s="3">
        <v>2.4798899999999999E-2</v>
      </c>
      <c r="K426" s="3">
        <v>1.5572799999999999E-2</v>
      </c>
      <c r="L426" s="3">
        <v>6.6448000000000002E-3</v>
      </c>
      <c r="M426" s="3">
        <v>-1.9318E-3</v>
      </c>
      <c r="N426" s="3">
        <v>-1.0209899999999999E-2</v>
      </c>
      <c r="O426" s="3">
        <v>-1.8253999999999999E-2</v>
      </c>
      <c r="P426" s="3">
        <v>-2.6110700000000001E-2</v>
      </c>
      <c r="Q426" s="3">
        <v>-3.3744900000000001E-2</v>
      </c>
      <c r="R426" s="3">
        <v>-4.1092299999999998E-2</v>
      </c>
      <c r="S426" s="3">
        <v>-4.8085999999999997E-2</v>
      </c>
      <c r="T426" s="3">
        <v>-5.4658699999999998E-2</v>
      </c>
      <c r="U426" s="3">
        <v>-6.0743400000000003E-2</v>
      </c>
      <c r="V426" s="3">
        <v>-6.6272999999999999E-2</v>
      </c>
      <c r="W426" s="3">
        <v>-7.1186100000000002E-2</v>
      </c>
      <c r="X426" s="3">
        <v>-7.5447E-2</v>
      </c>
      <c r="Y426" s="3">
        <v>-7.9027899999999998E-2</v>
      </c>
      <c r="Z426" s="3">
        <v>-8.1900799999999996E-2</v>
      </c>
      <c r="AA426" s="3">
        <v>-8.4037799999999996E-2</v>
      </c>
      <c r="AB426" s="3">
        <v>-8.5410799999999995E-2</v>
      </c>
      <c r="AC426" s="3">
        <v>-8.6004499999999998E-2</v>
      </c>
      <c r="AD426" s="3">
        <v>-8.5858199999999996E-2</v>
      </c>
      <c r="AE426" s="3">
        <v>-8.5026699999999997E-2</v>
      </c>
      <c r="AF426" s="3">
        <v>-8.3564600000000003E-2</v>
      </c>
      <c r="AG426" s="3">
        <v>-8.1526600000000005E-2</v>
      </c>
      <c r="AH426" s="3">
        <v>-7.8967300000000004E-2</v>
      </c>
      <c r="AI426" s="3">
        <v>-7.5941499999999995E-2</v>
      </c>
      <c r="AJ426" s="3">
        <v>-7.2503700000000004E-2</v>
      </c>
      <c r="AK426" s="3">
        <v>-6.8708699999999998E-2</v>
      </c>
      <c r="AL426" s="3">
        <v>-6.4611100000000005E-2</v>
      </c>
      <c r="AM426" s="3">
        <v>-6.0265600000000003E-2</v>
      </c>
      <c r="AN426" s="3">
        <v>-5.57268E-2</v>
      </c>
      <c r="AO426" s="3">
        <v>-5.1042700000000003E-2</v>
      </c>
      <c r="AP426" s="3">
        <v>-4.6234299999999999E-2</v>
      </c>
      <c r="AQ426" s="3">
        <v>-4.13158E-2</v>
      </c>
      <c r="AR426" s="3">
        <v>-3.6301399999999998E-2</v>
      </c>
      <c r="AS426" s="3">
        <v>-3.1205500000000001E-2</v>
      </c>
      <c r="AT426" s="3">
        <v>-2.6042200000000001E-2</v>
      </c>
      <c r="AU426" s="3">
        <v>-2.0825900000000001E-2</v>
      </c>
      <c r="AV426" s="3">
        <v>-1.55706E-2</v>
      </c>
      <c r="AW426" s="3">
        <v>-1.0290799999999999E-2</v>
      </c>
      <c r="AX426" s="3">
        <v>-5.0007000000000003E-3</v>
      </c>
      <c r="AY426" s="3">
        <v>2.856E-4</v>
      </c>
      <c r="AZ426" s="3">
        <v>5.5535999999999997E-3</v>
      </c>
      <c r="BA426" s="3">
        <v>1.0791500000000001E-2</v>
      </c>
      <c r="BB426" s="3">
        <v>1.59966E-2</v>
      </c>
      <c r="BC426" s="3">
        <v>2.1169E-2</v>
      </c>
      <c r="BD426" s="3">
        <v>2.63088E-2</v>
      </c>
      <c r="BE426" s="3">
        <v>3.1416300000000001E-2</v>
      </c>
      <c r="BF426" s="3">
        <v>3.6491299999999997E-2</v>
      </c>
      <c r="BG426" s="3">
        <v>4.15342E-2</v>
      </c>
      <c r="BH426" s="3">
        <v>4.65449E-2</v>
      </c>
      <c r="BI426" s="3">
        <v>5.1523600000000003E-2</v>
      </c>
      <c r="BJ426" s="3">
        <v>5.6470300000000001E-2</v>
      </c>
      <c r="BK426" s="3">
        <v>6.1385299999999997E-2</v>
      </c>
      <c r="BL426" s="3">
        <v>6.6268599999999997E-2</v>
      </c>
      <c r="BM426" s="3" t="e">
        <v>#N/A</v>
      </c>
      <c r="BN426" s="3" t="e">
        <v>#N/A</v>
      </c>
    </row>
    <row r="427" spans="1:66" x14ac:dyDescent="0.35">
      <c r="A427" s="5">
        <f t="shared" si="6"/>
        <v>44053</v>
      </c>
      <c r="B427" t="s">
        <v>504</v>
      </c>
      <c r="C427" s="2">
        <v>0.1</v>
      </c>
      <c r="D427" s="2">
        <v>5.7200000000000001E-2</v>
      </c>
      <c r="E427" s="3">
        <v>5.81705E-2</v>
      </c>
      <c r="F427" s="3">
        <v>5.43965E-2</v>
      </c>
      <c r="G427" s="3">
        <v>4.79295E-2</v>
      </c>
      <c r="H427" s="3">
        <v>3.9154099999999997E-2</v>
      </c>
      <c r="I427" s="3">
        <v>2.9387300000000002E-2</v>
      </c>
      <c r="J427" s="3">
        <v>1.9496099999999999E-2</v>
      </c>
      <c r="K427" s="3">
        <v>9.9713000000000006E-3</v>
      </c>
      <c r="L427" s="3">
        <v>9.3780000000000003E-4</v>
      </c>
      <c r="M427" s="3">
        <v>-7.8356999999999993E-3</v>
      </c>
      <c r="N427" s="3">
        <v>-1.66375E-2</v>
      </c>
      <c r="O427" s="3">
        <v>-2.5666499999999998E-2</v>
      </c>
      <c r="P427" s="3">
        <v>-3.4974999999999999E-2</v>
      </c>
      <c r="Q427" s="3">
        <v>-4.4522100000000002E-2</v>
      </c>
      <c r="R427" s="3">
        <v>-5.4107599999999999E-2</v>
      </c>
      <c r="S427" s="3">
        <v>-6.3493499999999994E-2</v>
      </c>
      <c r="T427" s="3">
        <v>-7.2441500000000006E-2</v>
      </c>
      <c r="U427" s="3">
        <v>-8.0713499999999994E-2</v>
      </c>
      <c r="V427" s="3">
        <v>-8.8071499999999997E-2</v>
      </c>
      <c r="W427" s="3">
        <v>-9.4317999999999999E-2</v>
      </c>
      <c r="X427" s="3">
        <v>-9.9443699999999996E-2</v>
      </c>
      <c r="Y427" s="3">
        <v>-0.1034943</v>
      </c>
      <c r="Z427" s="3">
        <v>-0.1065152</v>
      </c>
      <c r="AA427" s="3">
        <v>-0.10855190000000001</v>
      </c>
      <c r="AB427" s="3">
        <v>-0.10965</v>
      </c>
      <c r="AC427" s="3">
        <v>-0.1098586</v>
      </c>
      <c r="AD427" s="3">
        <v>-0.1092413</v>
      </c>
      <c r="AE427" s="3">
        <v>-0.1078655</v>
      </c>
      <c r="AF427" s="3">
        <v>-0.10579860000000001</v>
      </c>
      <c r="AG427" s="3">
        <v>-0.1031078</v>
      </c>
      <c r="AH427" s="3">
        <v>-9.9860500000000005E-2</v>
      </c>
      <c r="AI427" s="3">
        <v>-9.6123899999999998E-2</v>
      </c>
      <c r="AJ427" s="3">
        <v>-9.1965500000000006E-2</v>
      </c>
      <c r="AK427" s="3">
        <v>-8.74524E-2</v>
      </c>
      <c r="AL427" s="3">
        <v>-8.2652199999999995E-2</v>
      </c>
      <c r="AM427" s="3">
        <v>-7.7632000000000007E-2</v>
      </c>
      <c r="AN427" s="3">
        <v>-7.2459300000000004E-2</v>
      </c>
      <c r="AO427" s="3">
        <v>-6.7191899999999999E-2</v>
      </c>
      <c r="AP427" s="3">
        <v>-6.1850599999999999E-2</v>
      </c>
      <c r="AQ427" s="3">
        <v>-5.64466E-2</v>
      </c>
      <c r="AR427" s="3">
        <v>-5.0991399999999999E-2</v>
      </c>
      <c r="AS427" s="3">
        <v>-4.5496099999999998E-2</v>
      </c>
      <c r="AT427" s="3">
        <v>-3.9972199999999999E-2</v>
      </c>
      <c r="AU427" s="3">
        <v>-3.44309E-2</v>
      </c>
      <c r="AV427" s="3">
        <v>-2.8883599999999999E-2</v>
      </c>
      <c r="AW427" s="3">
        <v>-2.3341500000000001E-2</v>
      </c>
      <c r="AX427" s="3">
        <v>-1.7816100000000001E-2</v>
      </c>
      <c r="AY427" s="3">
        <v>-1.2318600000000001E-2</v>
      </c>
      <c r="AZ427" s="3">
        <v>-6.8602999999999997E-3</v>
      </c>
      <c r="BA427" s="3">
        <v>-1.451E-3</v>
      </c>
      <c r="BB427" s="3">
        <v>3.9078000000000003E-3</v>
      </c>
      <c r="BC427" s="3">
        <v>9.2175999999999994E-3</v>
      </c>
      <c r="BD427" s="3">
        <v>1.4479799999999999E-2</v>
      </c>
      <c r="BE427" s="3">
        <v>1.96957E-2</v>
      </c>
      <c r="BF427" s="3">
        <v>2.4866699999999999E-2</v>
      </c>
      <c r="BG427" s="3">
        <v>2.9994199999999999E-2</v>
      </c>
      <c r="BH427" s="3">
        <v>3.5079699999999998E-2</v>
      </c>
      <c r="BI427" s="3">
        <v>4.01245E-2</v>
      </c>
      <c r="BJ427" s="3">
        <v>4.5130000000000003E-2</v>
      </c>
      <c r="BK427" s="3">
        <v>5.0097500000000003E-2</v>
      </c>
      <c r="BL427" s="3">
        <v>5.5028500000000001E-2</v>
      </c>
      <c r="BM427" s="3" t="e">
        <v>#N/A</v>
      </c>
      <c r="BN427" s="3" t="e">
        <v>#N/A</v>
      </c>
    </row>
    <row r="428" spans="1:66" x14ac:dyDescent="0.35">
      <c r="A428" s="5">
        <f t="shared" si="6"/>
        <v>44054</v>
      </c>
      <c r="B428" t="s">
        <v>505</v>
      </c>
      <c r="C428" s="2">
        <v>0.1</v>
      </c>
      <c r="D428" s="2">
        <v>5.6099999999999997E-2</v>
      </c>
      <c r="E428" s="3">
        <v>5.82173E-2</v>
      </c>
      <c r="F428" s="3">
        <v>5.4264899999999998E-2</v>
      </c>
      <c r="G428" s="3">
        <v>4.8348099999999998E-2</v>
      </c>
      <c r="H428" s="3">
        <v>4.1011699999999998E-2</v>
      </c>
      <c r="I428" s="3">
        <v>3.3337699999999998E-2</v>
      </c>
      <c r="J428" s="3">
        <v>2.5935799999999998E-2</v>
      </c>
      <c r="K428" s="3">
        <v>1.91331E-2</v>
      </c>
      <c r="L428" s="3">
        <v>1.2981299999999999E-2</v>
      </c>
      <c r="M428" s="3">
        <v>7.2198999999999996E-3</v>
      </c>
      <c r="N428" s="3">
        <v>1.5024000000000001E-3</v>
      </c>
      <c r="O428" s="3">
        <v>-4.4479999999999997E-3</v>
      </c>
      <c r="P428" s="3">
        <v>-1.0761400000000001E-2</v>
      </c>
      <c r="Q428" s="3">
        <v>-1.7477699999999999E-2</v>
      </c>
      <c r="R428" s="3">
        <v>-2.4421399999999999E-2</v>
      </c>
      <c r="S428" s="3">
        <v>-3.1363299999999997E-2</v>
      </c>
      <c r="T428" s="3">
        <v>-3.80741E-2</v>
      </c>
      <c r="U428" s="3">
        <v>-4.4324599999999999E-2</v>
      </c>
      <c r="V428" s="3">
        <v>-4.9885699999999998E-2</v>
      </c>
      <c r="W428" s="3">
        <v>-5.4563399999999998E-2</v>
      </c>
      <c r="X428" s="3">
        <v>-5.8328999999999999E-2</v>
      </c>
      <c r="Y428" s="3">
        <v>-6.1201100000000001E-2</v>
      </c>
      <c r="Z428" s="3">
        <v>-6.3198299999999999E-2</v>
      </c>
      <c r="AA428" s="3">
        <v>-6.4339599999999997E-2</v>
      </c>
      <c r="AB428" s="3">
        <v>-6.4643500000000007E-2</v>
      </c>
      <c r="AC428" s="3">
        <v>-6.4135300000000006E-2</v>
      </c>
      <c r="AD428" s="3">
        <v>-6.2866699999999998E-2</v>
      </c>
      <c r="AE428" s="3">
        <v>-6.0895699999999997E-2</v>
      </c>
      <c r="AF428" s="3">
        <v>-5.8280400000000003E-2</v>
      </c>
      <c r="AG428" s="3">
        <v>-5.50789E-2</v>
      </c>
      <c r="AH428" s="3">
        <v>-5.1349400000000003E-2</v>
      </c>
      <c r="AI428" s="3">
        <v>-4.7149799999999999E-2</v>
      </c>
      <c r="AJ428" s="3">
        <v>-4.2538300000000001E-2</v>
      </c>
      <c r="AK428" s="3">
        <v>-3.7573000000000002E-2</v>
      </c>
      <c r="AL428" s="3">
        <v>-3.2312E-2</v>
      </c>
      <c r="AM428" s="3">
        <v>-2.6813500000000001E-2</v>
      </c>
      <c r="AN428" s="3">
        <v>-2.1135399999999999E-2</v>
      </c>
      <c r="AO428" s="3">
        <v>-1.53283E-2</v>
      </c>
      <c r="AP428" s="3">
        <v>-9.4123000000000002E-3</v>
      </c>
      <c r="AQ428" s="3">
        <v>-3.3996999999999999E-3</v>
      </c>
      <c r="AR428" s="3">
        <v>2.6968999999999999E-3</v>
      </c>
      <c r="AS428" s="3">
        <v>8.8651000000000008E-3</v>
      </c>
      <c r="AT428" s="3">
        <v>1.5092599999999999E-2</v>
      </c>
      <c r="AU428" s="3">
        <v>2.1366699999999999E-2</v>
      </c>
      <c r="AV428" s="3">
        <v>2.76752E-2</v>
      </c>
      <c r="AW428" s="3">
        <v>3.4005500000000001E-2</v>
      </c>
      <c r="AX428" s="3">
        <v>4.0345300000000001E-2</v>
      </c>
      <c r="AY428" s="3">
        <v>4.6682000000000001E-2</v>
      </c>
      <c r="AZ428" s="3">
        <v>5.30032E-2</v>
      </c>
      <c r="BA428" s="3">
        <v>5.9298200000000002E-2</v>
      </c>
      <c r="BB428" s="3">
        <v>6.55636E-2</v>
      </c>
      <c r="BC428" s="3">
        <v>7.1798799999999996E-2</v>
      </c>
      <c r="BD428" s="3">
        <v>7.80029E-2</v>
      </c>
      <c r="BE428" s="3">
        <v>8.4175200000000006E-2</v>
      </c>
      <c r="BF428" s="3">
        <v>9.0314900000000004E-2</v>
      </c>
      <c r="BG428" s="3">
        <v>9.6421199999999999E-2</v>
      </c>
      <c r="BH428" s="3">
        <v>0.1024933</v>
      </c>
      <c r="BI428" s="3">
        <v>0.1085304</v>
      </c>
      <c r="BJ428" s="3">
        <v>0.1145317</v>
      </c>
      <c r="BK428" s="3">
        <v>0.12049650000000001</v>
      </c>
      <c r="BL428" s="3">
        <v>0.12642390000000001</v>
      </c>
      <c r="BM428" s="3" t="e">
        <v>#N/A</v>
      </c>
      <c r="BN428" s="3" t="e">
        <v>#N/A</v>
      </c>
    </row>
    <row r="429" spans="1:66" x14ac:dyDescent="0.35">
      <c r="A429" s="5">
        <f t="shared" si="6"/>
        <v>44055</v>
      </c>
      <c r="B429" t="s">
        <v>506</v>
      </c>
      <c r="C429" s="2">
        <v>0.1</v>
      </c>
      <c r="D429" s="2">
        <v>5.6300000000000003E-2</v>
      </c>
      <c r="E429" s="3">
        <v>5.7916200000000001E-2</v>
      </c>
      <c r="F429" s="3">
        <v>5.4515599999999997E-2</v>
      </c>
      <c r="G429" s="3">
        <v>4.9017499999999999E-2</v>
      </c>
      <c r="H429" s="3">
        <v>4.1589800000000003E-2</v>
      </c>
      <c r="I429" s="3">
        <v>3.3234800000000002E-2</v>
      </c>
      <c r="J429" s="3">
        <v>2.4881500000000001E-2</v>
      </c>
      <c r="K429" s="3">
        <v>1.7237300000000001E-2</v>
      </c>
      <c r="L429" s="3">
        <v>1.06205E-2</v>
      </c>
      <c r="M429" s="3">
        <v>4.8471E-3</v>
      </c>
      <c r="N429" s="3">
        <v>-4.4099999999999999E-4</v>
      </c>
      <c r="O429" s="3">
        <v>-5.5954999999999998E-3</v>
      </c>
      <c r="P429" s="3">
        <v>-1.0869800000000001E-2</v>
      </c>
      <c r="Q429" s="3">
        <v>-1.65106E-2</v>
      </c>
      <c r="R429" s="3">
        <v>-2.2391299999999999E-2</v>
      </c>
      <c r="S429" s="3">
        <v>-2.8284199999999999E-2</v>
      </c>
      <c r="T429" s="3">
        <v>-3.3961400000000003E-2</v>
      </c>
      <c r="U429" s="3">
        <v>-3.9194899999999998E-2</v>
      </c>
      <c r="V429" s="3">
        <v>-4.3756900000000001E-2</v>
      </c>
      <c r="W429" s="3">
        <v>-4.7447000000000003E-2</v>
      </c>
      <c r="X429" s="3">
        <v>-5.0219800000000002E-2</v>
      </c>
      <c r="Y429" s="3">
        <v>-5.2084600000000002E-2</v>
      </c>
      <c r="Z429" s="3">
        <v>-5.3050600000000003E-2</v>
      </c>
      <c r="AA429" s="3">
        <v>-5.3127099999999997E-2</v>
      </c>
      <c r="AB429" s="3">
        <v>-5.2323599999999998E-2</v>
      </c>
      <c r="AC429" s="3">
        <v>-5.0659000000000003E-2</v>
      </c>
      <c r="AD429" s="3">
        <v>-4.8191699999999997E-2</v>
      </c>
      <c r="AE429" s="3">
        <v>-4.4990000000000002E-2</v>
      </c>
      <c r="AF429" s="3">
        <v>-4.1121999999999999E-2</v>
      </c>
      <c r="AG429" s="3">
        <v>-3.6655800000000002E-2</v>
      </c>
      <c r="AH429" s="3">
        <v>-3.1659699999999999E-2</v>
      </c>
      <c r="AI429" s="3">
        <v>-2.6201800000000001E-2</v>
      </c>
      <c r="AJ429" s="3">
        <v>-2.0350300000000002E-2</v>
      </c>
      <c r="AK429" s="3">
        <v>-1.4173399999999999E-2</v>
      </c>
      <c r="AL429" s="3">
        <v>-7.7391999999999999E-3</v>
      </c>
      <c r="AM429" s="3">
        <v>-1.116E-3</v>
      </c>
      <c r="AN429" s="3">
        <v>5.6280999999999996E-3</v>
      </c>
      <c r="AO429" s="3">
        <v>1.2432500000000001E-2</v>
      </c>
      <c r="AP429" s="3">
        <v>1.92733E-2</v>
      </c>
      <c r="AQ429" s="3">
        <v>2.6137799999999999E-2</v>
      </c>
      <c r="AR429" s="3">
        <v>3.3013399999999998E-2</v>
      </c>
      <c r="AS429" s="3">
        <v>3.9887499999999999E-2</v>
      </c>
      <c r="AT429" s="3">
        <v>4.6747299999999999E-2</v>
      </c>
      <c r="AU429" s="3">
        <v>5.3580200000000001E-2</v>
      </c>
      <c r="AV429" s="3">
        <v>6.0373599999999999E-2</v>
      </c>
      <c r="AW429" s="3">
        <v>6.7114800000000002E-2</v>
      </c>
      <c r="AX429" s="3">
        <v>7.3791200000000001E-2</v>
      </c>
      <c r="AY429" s="3">
        <v>8.0390000000000003E-2</v>
      </c>
      <c r="AZ429" s="3">
        <v>8.6898699999999995E-2</v>
      </c>
      <c r="BA429" s="3">
        <v>9.3306899999999998E-2</v>
      </c>
      <c r="BB429" s="3">
        <v>9.9615099999999998E-2</v>
      </c>
      <c r="BC429" s="3">
        <v>0.1058267</v>
      </c>
      <c r="BD429" s="3">
        <v>0.111945</v>
      </c>
      <c r="BE429" s="3">
        <v>0.1179733</v>
      </c>
      <c r="BF429" s="3">
        <v>0.1239151</v>
      </c>
      <c r="BG429" s="3">
        <v>0.12977359999999999</v>
      </c>
      <c r="BH429" s="3">
        <v>0.13555220000000001</v>
      </c>
      <c r="BI429" s="3">
        <v>0.1412542</v>
      </c>
      <c r="BJ429" s="3">
        <v>0.14688309999999999</v>
      </c>
      <c r="BK429" s="3">
        <v>0.1524421</v>
      </c>
      <c r="BL429" s="3">
        <v>0.15793470000000001</v>
      </c>
      <c r="BM429" s="3" t="e">
        <v>#N/A</v>
      </c>
      <c r="BN429" s="3" t="e">
        <v>#N/A</v>
      </c>
    </row>
    <row r="430" spans="1:66" x14ac:dyDescent="0.35">
      <c r="A430" s="5">
        <f t="shared" si="6"/>
        <v>44056</v>
      </c>
      <c r="B430" t="s">
        <v>507</v>
      </c>
      <c r="C430" s="2">
        <v>0.1</v>
      </c>
      <c r="D430" s="2">
        <v>5.7099999999999998E-2</v>
      </c>
      <c r="E430" s="3">
        <v>5.8819400000000001E-2</v>
      </c>
      <c r="F430" s="3">
        <v>5.7577999999999997E-2</v>
      </c>
      <c r="G430" s="3">
        <v>5.3529500000000001E-2</v>
      </c>
      <c r="H430" s="3">
        <v>4.6737500000000001E-2</v>
      </c>
      <c r="I430" s="3">
        <v>3.81827E-2</v>
      </c>
      <c r="J430" s="3">
        <v>2.89733E-2</v>
      </c>
      <c r="K430" s="3">
        <v>2.00772E-2</v>
      </c>
      <c r="L430" s="3">
        <v>1.21592E-2</v>
      </c>
      <c r="M430" s="3">
        <v>5.3290999999999998E-3</v>
      </c>
      <c r="N430" s="3">
        <v>-5.7919999999999998E-4</v>
      </c>
      <c r="O430" s="3">
        <v>-5.8723999999999998E-3</v>
      </c>
      <c r="P430" s="3">
        <v>-1.08859E-2</v>
      </c>
      <c r="Q430" s="3">
        <v>-1.6075099999999998E-2</v>
      </c>
      <c r="R430" s="3">
        <v>-2.1415199999999999E-2</v>
      </c>
      <c r="S430" s="3">
        <v>-2.6745000000000001E-2</v>
      </c>
      <c r="T430" s="3">
        <v>-3.1903300000000002E-2</v>
      </c>
      <c r="U430" s="3">
        <v>-3.6728700000000003E-2</v>
      </c>
      <c r="V430" s="3">
        <v>-4.1060100000000002E-2</v>
      </c>
      <c r="W430" s="3">
        <v>-4.4753099999999997E-2</v>
      </c>
      <c r="X430" s="3">
        <v>-4.7749600000000003E-2</v>
      </c>
      <c r="Y430" s="3">
        <v>-5.0019099999999997E-2</v>
      </c>
      <c r="Z430" s="3">
        <v>-5.1531100000000003E-2</v>
      </c>
      <c r="AA430" s="3">
        <v>-5.2255200000000002E-2</v>
      </c>
      <c r="AB430" s="3">
        <v>-5.2160699999999997E-2</v>
      </c>
      <c r="AC430" s="3">
        <v>-5.1229400000000001E-2</v>
      </c>
      <c r="AD430" s="3">
        <v>-4.9501999999999997E-2</v>
      </c>
      <c r="AE430" s="3">
        <v>-4.7037099999999998E-2</v>
      </c>
      <c r="AF430" s="3">
        <v>-4.3893399999999999E-2</v>
      </c>
      <c r="AG430" s="3">
        <v>-4.0129600000000001E-2</v>
      </c>
      <c r="AH430" s="3">
        <v>-3.5804299999999997E-2</v>
      </c>
      <c r="AI430" s="3">
        <v>-3.0976299999999998E-2</v>
      </c>
      <c r="AJ430" s="3">
        <v>-2.5704100000000001E-2</v>
      </c>
      <c r="AK430" s="3">
        <v>-2.0046499999999998E-2</v>
      </c>
      <c r="AL430" s="3">
        <v>-1.4062099999999999E-2</v>
      </c>
      <c r="AM430" s="3">
        <v>-7.8097000000000001E-3</v>
      </c>
      <c r="AN430" s="3">
        <v>-1.3477999999999999E-3</v>
      </c>
      <c r="AO430" s="3">
        <v>5.2712000000000002E-3</v>
      </c>
      <c r="AP430" s="3">
        <v>1.2023000000000001E-2</v>
      </c>
      <c r="AQ430" s="3">
        <v>1.88913E-2</v>
      </c>
      <c r="AR430" s="3">
        <v>2.58596E-2</v>
      </c>
      <c r="AS430" s="3">
        <v>3.29114E-2</v>
      </c>
      <c r="AT430" s="3">
        <v>4.0030299999999998E-2</v>
      </c>
      <c r="AU430" s="3">
        <v>4.7199699999999997E-2</v>
      </c>
      <c r="AV430" s="3">
        <v>5.4403300000000002E-2</v>
      </c>
      <c r="AW430" s="3">
        <v>6.1624499999999999E-2</v>
      </c>
      <c r="AX430" s="3">
        <v>6.8846900000000003E-2</v>
      </c>
      <c r="AY430" s="3">
        <v>7.6054099999999999E-2</v>
      </c>
      <c r="AZ430" s="3">
        <v>8.3229600000000001E-2</v>
      </c>
      <c r="BA430" s="3">
        <v>9.0359400000000006E-2</v>
      </c>
      <c r="BB430" s="3">
        <v>9.7440200000000005E-2</v>
      </c>
      <c r="BC430" s="3">
        <v>0.10447190000000001</v>
      </c>
      <c r="BD430" s="3">
        <v>0.1114541</v>
      </c>
      <c r="BE430" s="3">
        <v>0.1183867</v>
      </c>
      <c r="BF430" s="3">
        <v>0.12526950000000001</v>
      </c>
      <c r="BG430" s="3">
        <v>0.1321021</v>
      </c>
      <c r="BH430" s="3">
        <v>0.13888439999999999</v>
      </c>
      <c r="BI430" s="3">
        <v>0.1456162</v>
      </c>
      <c r="BJ430" s="3">
        <v>0.15229719999999999</v>
      </c>
      <c r="BK430" s="3">
        <v>0.15892709999999999</v>
      </c>
      <c r="BL430" s="3">
        <v>0.16550580000000001</v>
      </c>
      <c r="BM430" s="3" t="e">
        <v>#N/A</v>
      </c>
      <c r="BN430" s="3" t="e">
        <v>#N/A</v>
      </c>
    </row>
    <row r="431" spans="1:66" x14ac:dyDescent="0.35">
      <c r="A431" s="5">
        <f t="shared" si="6"/>
        <v>44057</v>
      </c>
      <c r="B431" t="s">
        <v>508</v>
      </c>
      <c r="C431" s="2">
        <v>0.1</v>
      </c>
      <c r="D431" s="2">
        <v>5.6800000000000003E-2</v>
      </c>
      <c r="E431" s="3">
        <v>5.9851099999999997E-2</v>
      </c>
      <c r="F431" s="3">
        <v>5.6413499999999998E-2</v>
      </c>
      <c r="G431" s="3">
        <v>5.0518100000000003E-2</v>
      </c>
      <c r="H431" s="3">
        <v>4.2742200000000001E-2</v>
      </c>
      <c r="I431" s="3">
        <v>3.3952700000000002E-2</v>
      </c>
      <c r="J431" s="3">
        <v>2.4722999999999998E-2</v>
      </c>
      <c r="K431" s="3">
        <v>1.55706E-2</v>
      </c>
      <c r="L431" s="3">
        <v>6.8986999999999998E-3</v>
      </c>
      <c r="M431" s="3">
        <v>-1.1628999999999999E-3</v>
      </c>
      <c r="N431" s="3">
        <v>-8.6361000000000007E-3</v>
      </c>
      <c r="O431" s="3">
        <v>-1.5629000000000001E-2</v>
      </c>
      <c r="P431" s="3">
        <v>-2.2289199999999999E-2</v>
      </c>
      <c r="Q431" s="3">
        <v>-2.88595E-2</v>
      </c>
      <c r="R431" s="3">
        <v>-3.5286999999999999E-2</v>
      </c>
      <c r="S431" s="3">
        <v>-4.1417000000000002E-2</v>
      </c>
      <c r="T431" s="3">
        <v>-4.70946E-2</v>
      </c>
      <c r="U431" s="3">
        <v>-5.2164799999999997E-2</v>
      </c>
      <c r="V431" s="3">
        <v>-5.6472799999999997E-2</v>
      </c>
      <c r="W431" s="3">
        <v>-5.9889900000000003E-2</v>
      </c>
      <c r="X431" s="3">
        <v>-6.24088E-2</v>
      </c>
      <c r="Y431" s="3">
        <v>-6.4057500000000003E-2</v>
      </c>
      <c r="Z431" s="3">
        <v>-6.4863699999999996E-2</v>
      </c>
      <c r="AA431" s="3">
        <v>-6.4855499999999996E-2</v>
      </c>
      <c r="AB431" s="3">
        <v>-6.4060699999999998E-2</v>
      </c>
      <c r="AC431" s="3">
        <v>-6.2510300000000005E-2</v>
      </c>
      <c r="AD431" s="3">
        <v>-6.0249499999999998E-2</v>
      </c>
      <c r="AE431" s="3">
        <v>-5.7327099999999999E-2</v>
      </c>
      <c r="AF431" s="3">
        <v>-5.3792100000000002E-2</v>
      </c>
      <c r="AG431" s="3">
        <v>-4.9693399999999999E-2</v>
      </c>
      <c r="AH431" s="3">
        <v>-4.5080000000000002E-2</v>
      </c>
      <c r="AI431" s="3">
        <v>-4.00007E-2</v>
      </c>
      <c r="AJ431" s="3">
        <v>-3.45045E-2</v>
      </c>
      <c r="AK431" s="3">
        <v>-2.86403E-2</v>
      </c>
      <c r="AL431" s="3">
        <v>-2.2457100000000001E-2</v>
      </c>
      <c r="AM431" s="3">
        <v>-1.6003699999999999E-2</v>
      </c>
      <c r="AN431" s="3">
        <v>-9.3290000000000005E-3</v>
      </c>
      <c r="AO431" s="3">
        <v>-2.4767999999999999E-3</v>
      </c>
      <c r="AP431" s="3">
        <v>4.5307000000000004E-3</v>
      </c>
      <c r="AQ431" s="3">
        <v>1.16764E-2</v>
      </c>
      <c r="AR431" s="3">
        <v>1.8943399999999999E-2</v>
      </c>
      <c r="AS431" s="3">
        <v>2.6314500000000001E-2</v>
      </c>
      <c r="AT431" s="3">
        <v>3.3772799999999999E-2</v>
      </c>
      <c r="AU431" s="3">
        <v>4.1301200000000003E-2</v>
      </c>
      <c r="AV431" s="3">
        <v>4.8882700000000001E-2</v>
      </c>
      <c r="AW431" s="3">
        <v>5.65002E-2</v>
      </c>
      <c r="AX431" s="3">
        <v>6.4136799999999994E-2</v>
      </c>
      <c r="AY431" s="3">
        <v>7.1775400000000003E-2</v>
      </c>
      <c r="AZ431" s="3">
        <v>7.9398999999999997E-2</v>
      </c>
      <c r="BA431" s="3">
        <v>8.6992399999999998E-2</v>
      </c>
      <c r="BB431" s="3">
        <v>9.4548800000000002E-2</v>
      </c>
      <c r="BC431" s="3">
        <v>0.1020635</v>
      </c>
      <c r="BD431" s="3">
        <v>0.10953209999999999</v>
      </c>
      <c r="BE431" s="3">
        <v>0.11694980000000001</v>
      </c>
      <c r="BF431" s="3">
        <v>0.12431209999999999</v>
      </c>
      <c r="BG431" s="3">
        <v>0.13161439999999999</v>
      </c>
      <c r="BH431" s="3">
        <v>0.13885210000000001</v>
      </c>
      <c r="BI431" s="3">
        <v>0.1460206</v>
      </c>
      <c r="BJ431" s="3">
        <v>0.15311540000000001</v>
      </c>
      <c r="BK431" s="3">
        <v>0.16013189999999999</v>
      </c>
      <c r="BL431" s="3">
        <v>0.1670654</v>
      </c>
      <c r="BM431" s="3" t="e">
        <v>#N/A</v>
      </c>
      <c r="BN431" s="3" t="e">
        <v>#N/A</v>
      </c>
    </row>
    <row r="432" spans="1:66" x14ac:dyDescent="0.35">
      <c r="A432" s="5">
        <f t="shared" si="6"/>
        <v>44060</v>
      </c>
      <c r="B432" t="s">
        <v>509</v>
      </c>
      <c r="C432" s="2">
        <v>0.1</v>
      </c>
      <c r="D432" s="2">
        <v>5.6300000000000003E-2</v>
      </c>
      <c r="E432" s="3">
        <v>5.8413899999999998E-2</v>
      </c>
      <c r="F432" s="3">
        <v>5.4115499999999997E-2</v>
      </c>
      <c r="G432" s="3">
        <v>4.7970800000000001E-2</v>
      </c>
      <c r="H432" s="3">
        <v>4.0145E-2</v>
      </c>
      <c r="I432" s="3">
        <v>3.1025400000000002E-2</v>
      </c>
      <c r="J432" s="3">
        <v>2.0994599999999999E-2</v>
      </c>
      <c r="K432" s="3">
        <v>1.0541500000000001E-2</v>
      </c>
      <c r="L432" s="3">
        <v>9.1399999999999999E-5</v>
      </c>
      <c r="M432" s="3">
        <v>-1.01309E-2</v>
      </c>
      <c r="N432" s="3">
        <v>-2.00463E-2</v>
      </c>
      <c r="O432" s="3">
        <v>-2.9657599999999999E-2</v>
      </c>
      <c r="P432" s="3">
        <v>-3.9007100000000003E-2</v>
      </c>
      <c r="Q432" s="3">
        <v>-4.8169499999999997E-2</v>
      </c>
      <c r="R432" s="3">
        <v>-5.7036200000000002E-2</v>
      </c>
      <c r="S432" s="3">
        <v>-6.5447500000000006E-2</v>
      </c>
      <c r="T432" s="3">
        <v>-7.3243600000000006E-2</v>
      </c>
      <c r="U432" s="3">
        <v>-8.0264500000000003E-2</v>
      </c>
      <c r="V432" s="3">
        <v>-8.6350399999999994E-2</v>
      </c>
      <c r="W432" s="3">
        <v>-9.1365500000000002E-2</v>
      </c>
      <c r="X432" s="3">
        <v>-9.5285499999999995E-2</v>
      </c>
      <c r="Y432" s="3">
        <v>-9.8118200000000003E-2</v>
      </c>
      <c r="Z432" s="3">
        <v>-9.9871500000000002E-2</v>
      </c>
      <c r="AA432" s="3">
        <v>-0.1005533</v>
      </c>
      <c r="AB432" s="3">
        <v>-0.1001715</v>
      </c>
      <c r="AC432" s="3">
        <v>-9.8746700000000007E-2</v>
      </c>
      <c r="AD432" s="3">
        <v>-9.6350000000000005E-2</v>
      </c>
      <c r="AE432" s="3">
        <v>-9.3065499999999995E-2</v>
      </c>
      <c r="AF432" s="3">
        <v>-8.8977000000000001E-2</v>
      </c>
      <c r="AG432" s="3">
        <v>-8.4168499999999993E-2</v>
      </c>
      <c r="AH432" s="3">
        <v>-7.8723799999999997E-2</v>
      </c>
      <c r="AI432" s="3">
        <v>-7.2726899999999997E-2</v>
      </c>
      <c r="AJ432" s="3">
        <v>-6.6261700000000007E-2</v>
      </c>
      <c r="AK432" s="3">
        <v>-5.9412100000000002E-2</v>
      </c>
      <c r="AL432" s="3">
        <v>-5.2262000000000003E-2</v>
      </c>
      <c r="AM432" s="3">
        <v>-4.4895299999999999E-2</v>
      </c>
      <c r="AN432" s="3">
        <v>-3.7395999999999999E-2</v>
      </c>
      <c r="AO432" s="3">
        <v>-2.98356E-2</v>
      </c>
      <c r="AP432" s="3">
        <v>-2.22364E-2</v>
      </c>
      <c r="AQ432" s="3">
        <v>-1.4608400000000001E-2</v>
      </c>
      <c r="AR432" s="3">
        <v>-6.9617000000000004E-3</v>
      </c>
      <c r="AS432" s="3">
        <v>6.9399999999999996E-4</v>
      </c>
      <c r="AT432" s="3">
        <v>8.3484000000000006E-3</v>
      </c>
      <c r="AU432" s="3">
        <v>1.5991700000000001E-2</v>
      </c>
      <c r="AV432" s="3">
        <v>2.36139E-2</v>
      </c>
      <c r="AW432" s="3">
        <v>3.12051E-2</v>
      </c>
      <c r="AX432" s="3">
        <v>3.8755100000000001E-2</v>
      </c>
      <c r="AY432" s="3">
        <v>4.6254099999999999E-2</v>
      </c>
      <c r="AZ432" s="3">
        <v>5.36921E-2</v>
      </c>
      <c r="BA432" s="3">
        <v>6.1060299999999998E-2</v>
      </c>
      <c r="BB432" s="3">
        <v>6.8357100000000004E-2</v>
      </c>
      <c r="BC432" s="3">
        <v>7.5582999999999997E-2</v>
      </c>
      <c r="BD432" s="3">
        <v>8.2738599999999995E-2</v>
      </c>
      <c r="BE432" s="3">
        <v>8.9824500000000002E-2</v>
      </c>
      <c r="BF432" s="3">
        <v>9.6841399999999994E-2</v>
      </c>
      <c r="BG432" s="3">
        <v>0.1037897</v>
      </c>
      <c r="BH432" s="3">
        <v>0.11067</v>
      </c>
      <c r="BI432" s="3">
        <v>0.11748309999999999</v>
      </c>
      <c r="BJ432" s="3">
        <v>0.1242294</v>
      </c>
      <c r="BK432" s="3">
        <v>0.13090959999999999</v>
      </c>
      <c r="BL432" s="3">
        <v>0.13752410000000001</v>
      </c>
      <c r="BM432" s="3" t="e">
        <v>#N/A</v>
      </c>
      <c r="BN432" s="3" t="e">
        <v>#N/A</v>
      </c>
    </row>
    <row r="433" spans="1:66" x14ac:dyDescent="0.35">
      <c r="A433" s="5">
        <f t="shared" si="6"/>
        <v>44061</v>
      </c>
      <c r="B433" t="s">
        <v>510</v>
      </c>
      <c r="C433" s="2">
        <v>0.1</v>
      </c>
      <c r="D433" s="2">
        <v>5.5300000000000002E-2</v>
      </c>
      <c r="E433" s="3">
        <v>5.6529000000000003E-2</v>
      </c>
      <c r="F433" s="3">
        <v>5.6199100000000002E-2</v>
      </c>
      <c r="G433" s="3">
        <v>5.0490699999999999E-2</v>
      </c>
      <c r="H433" s="3">
        <v>4.1043400000000001E-2</v>
      </c>
      <c r="I433" s="3">
        <v>2.96294E-2</v>
      </c>
      <c r="J433" s="3">
        <v>1.7523899999999999E-2</v>
      </c>
      <c r="K433" s="3">
        <v>5.5773999999999997E-3</v>
      </c>
      <c r="L433" s="3">
        <v>-5.9014000000000002E-3</v>
      </c>
      <c r="M433" s="3">
        <v>-1.6877E-2</v>
      </c>
      <c r="N433" s="3">
        <v>-2.7405800000000001E-2</v>
      </c>
      <c r="O433" s="3">
        <v>-3.75804E-2</v>
      </c>
      <c r="P433" s="3">
        <v>-4.7527699999999999E-2</v>
      </c>
      <c r="Q433" s="3">
        <v>-5.75402E-2</v>
      </c>
      <c r="R433" s="3">
        <v>-6.7489599999999997E-2</v>
      </c>
      <c r="S433" s="3">
        <v>-7.7123200000000003E-2</v>
      </c>
      <c r="T433" s="3">
        <v>-8.6188100000000004E-2</v>
      </c>
      <c r="U433" s="3">
        <v>-9.4431500000000002E-2</v>
      </c>
      <c r="V433" s="3">
        <v>-0.1016007</v>
      </c>
      <c r="W433" s="3">
        <v>-0.1074838</v>
      </c>
      <c r="X433" s="3">
        <v>-0.11205850000000001</v>
      </c>
      <c r="Y433" s="3">
        <v>-0.115358</v>
      </c>
      <c r="Z433" s="3">
        <v>-0.11741500000000001</v>
      </c>
      <c r="AA433" s="3">
        <v>-0.1182624</v>
      </c>
      <c r="AB433" s="3">
        <v>-0.1179331</v>
      </c>
      <c r="AC433" s="3">
        <v>-0.1164698</v>
      </c>
      <c r="AD433" s="3">
        <v>-0.1139536</v>
      </c>
      <c r="AE433" s="3">
        <v>-0.1104753</v>
      </c>
      <c r="AF433" s="3">
        <v>-0.106126</v>
      </c>
      <c r="AG433" s="3">
        <v>-0.1009964</v>
      </c>
      <c r="AH433" s="3">
        <v>-9.5177499999999998E-2</v>
      </c>
      <c r="AI433" s="3">
        <v>-8.8760099999999995E-2</v>
      </c>
      <c r="AJ433" s="3">
        <v>-8.1835099999999994E-2</v>
      </c>
      <c r="AK433" s="3">
        <v>-7.4493400000000001E-2</v>
      </c>
      <c r="AL433" s="3">
        <v>-6.6825800000000005E-2</v>
      </c>
      <c r="AM433" s="3">
        <v>-5.8923299999999998E-2</v>
      </c>
      <c r="AN433" s="3">
        <v>-5.08768E-2</v>
      </c>
      <c r="AO433" s="3">
        <v>-4.2763900000000001E-2</v>
      </c>
      <c r="AP433" s="3">
        <v>-3.4609599999999997E-2</v>
      </c>
      <c r="AQ433" s="3">
        <v>-2.64257E-2</v>
      </c>
      <c r="AR433" s="3">
        <v>-1.82241E-2</v>
      </c>
      <c r="AS433" s="3">
        <v>-1.0016600000000001E-2</v>
      </c>
      <c r="AT433" s="3">
        <v>-1.8148999999999999E-3</v>
      </c>
      <c r="AU433" s="3">
        <v>6.3689999999999997E-3</v>
      </c>
      <c r="AV433" s="3">
        <v>1.45235E-2</v>
      </c>
      <c r="AW433" s="3">
        <v>2.26366E-2</v>
      </c>
      <c r="AX433" s="3">
        <v>3.06967E-2</v>
      </c>
      <c r="AY433" s="3">
        <v>3.8691799999999998E-2</v>
      </c>
      <c r="AZ433" s="3">
        <v>4.6610100000000002E-2</v>
      </c>
      <c r="BA433" s="3">
        <v>5.4441799999999999E-2</v>
      </c>
      <c r="BB433" s="3">
        <v>6.2186100000000001E-2</v>
      </c>
      <c r="BC433" s="3">
        <v>6.9844900000000001E-2</v>
      </c>
      <c r="BD433" s="3">
        <v>7.74204E-2</v>
      </c>
      <c r="BE433" s="3">
        <v>8.4914600000000007E-2</v>
      </c>
      <c r="BF433" s="3">
        <v>9.2329499999999995E-2</v>
      </c>
      <c r="BG433" s="3">
        <v>9.9667199999999997E-2</v>
      </c>
      <c r="BH433" s="3">
        <v>0.1069297</v>
      </c>
      <c r="BI433" s="3">
        <v>0.114119</v>
      </c>
      <c r="BJ433" s="3">
        <v>0.1212372</v>
      </c>
      <c r="BK433" s="3">
        <v>0.12828629999999999</v>
      </c>
      <c r="BL433" s="3">
        <v>0.13526840000000001</v>
      </c>
      <c r="BM433" s="3" t="e">
        <v>#N/A</v>
      </c>
      <c r="BN433" s="3" t="e">
        <v>#N/A</v>
      </c>
    </row>
    <row r="434" spans="1:66" x14ac:dyDescent="0.35">
      <c r="A434" s="5">
        <f t="shared" si="6"/>
        <v>44062</v>
      </c>
      <c r="B434" t="s">
        <v>511</v>
      </c>
      <c r="C434" s="2">
        <v>0.1</v>
      </c>
      <c r="D434" s="2">
        <v>5.62E-2</v>
      </c>
      <c r="E434" s="3">
        <v>5.6979500000000002E-2</v>
      </c>
      <c r="F434" s="3">
        <v>5.7974400000000002E-2</v>
      </c>
      <c r="G434" s="3">
        <v>5.1645200000000002E-2</v>
      </c>
      <c r="H434" s="3">
        <v>4.0797199999999999E-2</v>
      </c>
      <c r="I434" s="3">
        <v>2.8967199999999999E-2</v>
      </c>
      <c r="J434" s="3">
        <v>1.7371399999999999E-2</v>
      </c>
      <c r="K434" s="3">
        <v>6.3525999999999999E-3</v>
      </c>
      <c r="L434" s="3">
        <v>-4.1208E-3</v>
      </c>
      <c r="M434" s="3">
        <v>-1.41774E-2</v>
      </c>
      <c r="N434" s="3">
        <v>-2.3952899999999999E-2</v>
      </c>
      <c r="O434" s="3">
        <v>-3.35745E-2</v>
      </c>
      <c r="P434" s="3">
        <v>-4.3093600000000003E-2</v>
      </c>
      <c r="Q434" s="3">
        <v>-5.2535100000000001E-2</v>
      </c>
      <c r="R434" s="3">
        <v>-6.1742699999999998E-2</v>
      </c>
      <c r="S434" s="3">
        <v>-7.0511599999999994E-2</v>
      </c>
      <c r="T434" s="3">
        <v>-7.8637100000000001E-2</v>
      </c>
      <c r="U434" s="3">
        <v>-8.5914699999999997E-2</v>
      </c>
      <c r="V434" s="3">
        <v>-9.2139600000000002E-2</v>
      </c>
      <c r="W434" s="3">
        <v>-9.71355E-2</v>
      </c>
      <c r="X434" s="3">
        <v>-0.1008873</v>
      </c>
      <c r="Y434" s="3">
        <v>-0.10343620000000001</v>
      </c>
      <c r="Z434" s="3">
        <v>-0.1048236</v>
      </c>
      <c r="AA434" s="3">
        <v>-0.1050909</v>
      </c>
      <c r="AB434" s="3">
        <v>-0.1042795</v>
      </c>
      <c r="AC434" s="3">
        <v>-0.1024371</v>
      </c>
      <c r="AD434" s="3">
        <v>-9.9635799999999997E-2</v>
      </c>
      <c r="AE434" s="3">
        <v>-9.5954300000000006E-2</v>
      </c>
      <c r="AF434" s="3">
        <v>-9.1470999999999997E-2</v>
      </c>
      <c r="AG434" s="3">
        <v>-8.6264499999999994E-2</v>
      </c>
      <c r="AH434" s="3">
        <v>-8.0413200000000004E-2</v>
      </c>
      <c r="AI434" s="3">
        <v>-7.3995599999999995E-2</v>
      </c>
      <c r="AJ434" s="3">
        <v>-6.7090300000000005E-2</v>
      </c>
      <c r="AK434" s="3">
        <v>-5.9775700000000001E-2</v>
      </c>
      <c r="AL434" s="3">
        <v>-5.21304E-2</v>
      </c>
      <c r="AM434" s="3">
        <v>-4.4232800000000003E-2</v>
      </c>
      <c r="AN434" s="3">
        <v>-3.6161499999999999E-2</v>
      </c>
      <c r="AO434" s="3">
        <v>-2.7986400000000002E-2</v>
      </c>
      <c r="AP434" s="3">
        <v>-1.9735200000000001E-2</v>
      </c>
      <c r="AQ434" s="3">
        <v>-1.14229E-2</v>
      </c>
      <c r="AR434" s="3">
        <v>-3.0644999999999999E-3</v>
      </c>
      <c r="AS434" s="3">
        <v>5.3248999999999996E-3</v>
      </c>
      <c r="AT434" s="3">
        <v>1.37304E-2</v>
      </c>
      <c r="AU434" s="3">
        <v>2.21371E-2</v>
      </c>
      <c r="AV434" s="3">
        <v>3.0529799999999999E-2</v>
      </c>
      <c r="AW434" s="3">
        <v>3.8893700000000003E-2</v>
      </c>
      <c r="AX434" s="3">
        <v>4.7213699999999997E-2</v>
      </c>
      <c r="AY434" s="3">
        <v>5.5474799999999998E-2</v>
      </c>
      <c r="AZ434" s="3">
        <v>6.3662099999999999E-2</v>
      </c>
      <c r="BA434" s="3">
        <v>7.1763099999999996E-2</v>
      </c>
      <c r="BB434" s="3">
        <v>7.9777000000000001E-2</v>
      </c>
      <c r="BC434" s="3">
        <v>8.7705699999999998E-2</v>
      </c>
      <c r="BD434" s="3">
        <v>9.5551700000000003E-2</v>
      </c>
      <c r="BE434" s="3">
        <v>0.10331700000000001</v>
      </c>
      <c r="BF434" s="3">
        <v>0.1110038</v>
      </c>
      <c r="BG434" s="3">
        <v>0.1186145</v>
      </c>
      <c r="BH434" s="3">
        <v>0.12615100000000001</v>
      </c>
      <c r="BI434" s="3">
        <v>0.1336157</v>
      </c>
      <c r="BJ434" s="3">
        <v>0.14101069999999999</v>
      </c>
      <c r="BK434" s="3">
        <v>0.1483382</v>
      </c>
      <c r="BL434" s="3">
        <v>0.1556005</v>
      </c>
      <c r="BM434" s="3" t="e">
        <v>#N/A</v>
      </c>
      <c r="BN434" s="3" t="e">
        <v>#N/A</v>
      </c>
    </row>
    <row r="435" spans="1:66" x14ac:dyDescent="0.35">
      <c r="A435" s="5">
        <f t="shared" si="6"/>
        <v>44063</v>
      </c>
      <c r="B435" t="s">
        <v>512</v>
      </c>
      <c r="C435" s="2">
        <v>0.1</v>
      </c>
      <c r="D435" s="2">
        <v>5.57E-2</v>
      </c>
      <c r="E435" s="3">
        <v>5.6355799999999998E-2</v>
      </c>
      <c r="F435" s="3">
        <v>5.6786700000000002E-2</v>
      </c>
      <c r="G435" s="3">
        <v>5.18751E-2</v>
      </c>
      <c r="H435" s="3">
        <v>4.3098600000000001E-2</v>
      </c>
      <c r="I435" s="3">
        <v>3.2331600000000002E-2</v>
      </c>
      <c r="J435" s="3">
        <v>2.0854299999999999E-2</v>
      </c>
      <c r="K435" s="3">
        <v>9.3484999999999992E-3</v>
      </c>
      <c r="L435" s="3">
        <v>-1.9377999999999999E-3</v>
      </c>
      <c r="M435" s="3">
        <v>-1.29862E-2</v>
      </c>
      <c r="N435" s="3">
        <v>-2.3803700000000001E-2</v>
      </c>
      <c r="O435" s="3">
        <v>-3.4397299999999999E-2</v>
      </c>
      <c r="P435" s="3">
        <v>-4.4742400000000002E-2</v>
      </c>
      <c r="Q435" s="3">
        <v>-5.48272E-2</v>
      </c>
      <c r="R435" s="3">
        <v>-6.4512E-2</v>
      </c>
      <c r="S435" s="3">
        <v>-7.3621000000000006E-2</v>
      </c>
      <c r="T435" s="3">
        <v>-8.1978700000000002E-2</v>
      </c>
      <c r="U435" s="3">
        <v>-8.9409500000000003E-2</v>
      </c>
      <c r="V435" s="3">
        <v>-9.5737900000000001E-2</v>
      </c>
      <c r="W435" s="3">
        <v>-0.1008184</v>
      </c>
      <c r="X435" s="3">
        <v>-0.10465919999999999</v>
      </c>
      <c r="Y435" s="3">
        <v>-0.107318</v>
      </c>
      <c r="Z435" s="3">
        <v>-0.1088524</v>
      </c>
      <c r="AA435" s="3">
        <v>-0.10931979999999999</v>
      </c>
      <c r="AB435" s="3">
        <v>-0.108778</v>
      </c>
      <c r="AC435" s="3">
        <v>-0.1072861</v>
      </c>
      <c r="AD435" s="3">
        <v>-0.1049118</v>
      </c>
      <c r="AE435" s="3">
        <v>-0.10172539999999999</v>
      </c>
      <c r="AF435" s="3">
        <v>-9.7796800000000003E-2</v>
      </c>
      <c r="AG435" s="3">
        <v>-9.3196500000000002E-2</v>
      </c>
      <c r="AH435" s="3">
        <v>-8.79944E-2</v>
      </c>
      <c r="AI435" s="3">
        <v>-8.2260899999999998E-2</v>
      </c>
      <c r="AJ435" s="3">
        <v>-7.6066099999999998E-2</v>
      </c>
      <c r="AK435" s="3">
        <v>-6.9480100000000003E-2</v>
      </c>
      <c r="AL435" s="3">
        <v>-6.2573199999999995E-2</v>
      </c>
      <c r="AM435" s="3">
        <v>-5.5415499999999999E-2</v>
      </c>
      <c r="AN435" s="3">
        <v>-4.80772E-2</v>
      </c>
      <c r="AO435" s="3">
        <v>-4.0620099999999999E-2</v>
      </c>
      <c r="AP435" s="3">
        <v>-3.3068599999999997E-2</v>
      </c>
      <c r="AQ435" s="3">
        <v>-2.5437000000000001E-2</v>
      </c>
      <c r="AR435" s="3">
        <v>-1.7739399999999999E-2</v>
      </c>
      <c r="AS435" s="3">
        <v>-9.9901E-3</v>
      </c>
      <c r="AT435" s="3">
        <v>-2.2033000000000001E-3</v>
      </c>
      <c r="AU435" s="3">
        <v>5.6068000000000003E-3</v>
      </c>
      <c r="AV435" s="3">
        <v>1.3426E-2</v>
      </c>
      <c r="AW435" s="3">
        <v>2.1240100000000001E-2</v>
      </c>
      <c r="AX435" s="3">
        <v>2.9034899999999999E-2</v>
      </c>
      <c r="AY435" s="3">
        <v>3.6796099999999998E-2</v>
      </c>
      <c r="AZ435" s="3">
        <v>4.4509600000000003E-2</v>
      </c>
      <c r="BA435" s="3">
        <v>5.2163300000000003E-2</v>
      </c>
      <c r="BB435" s="3">
        <v>5.9754799999999997E-2</v>
      </c>
      <c r="BC435" s="3">
        <v>6.7284399999999994E-2</v>
      </c>
      <c r="BD435" s="3">
        <v>7.4752399999999997E-2</v>
      </c>
      <c r="BE435" s="3">
        <v>8.2159099999999999E-2</v>
      </c>
      <c r="BF435" s="3">
        <v>8.9504700000000006E-2</v>
      </c>
      <c r="BG435" s="3">
        <v>9.6789500000000001E-2</v>
      </c>
      <c r="BH435" s="3">
        <v>0.1040137</v>
      </c>
      <c r="BI435" s="3">
        <v>0.1111777</v>
      </c>
      <c r="BJ435" s="3">
        <v>0.1182817</v>
      </c>
      <c r="BK435" s="3">
        <v>0.12532599999999999</v>
      </c>
      <c r="BL435" s="3">
        <v>0.13231080000000001</v>
      </c>
      <c r="BM435" s="3" t="e">
        <v>#N/A</v>
      </c>
      <c r="BN435" s="3" t="e">
        <v>#N/A</v>
      </c>
    </row>
    <row r="436" spans="1:66" x14ac:dyDescent="0.35">
      <c r="A436" s="5">
        <f t="shared" si="6"/>
        <v>44064</v>
      </c>
      <c r="B436" t="s">
        <v>513</v>
      </c>
      <c r="C436" s="2">
        <v>0.1</v>
      </c>
      <c r="D436" s="2">
        <v>5.5599999999999997E-2</v>
      </c>
      <c r="E436" s="3">
        <v>5.8697199999999998E-2</v>
      </c>
      <c r="F436" s="3">
        <v>5.5074699999999997E-2</v>
      </c>
      <c r="G436" s="3">
        <v>4.8986000000000002E-2</v>
      </c>
      <c r="H436" s="3">
        <v>4.0856000000000003E-2</v>
      </c>
      <c r="I436" s="3">
        <v>3.1495000000000002E-2</v>
      </c>
      <c r="J436" s="3">
        <v>2.15529E-2</v>
      </c>
      <c r="K436" s="3">
        <v>1.1350300000000001E-2</v>
      </c>
      <c r="L436" s="3">
        <v>8.6059999999999999E-4</v>
      </c>
      <c r="M436" s="3">
        <v>-1.00105E-2</v>
      </c>
      <c r="N436" s="3">
        <v>-2.12462E-2</v>
      </c>
      <c r="O436" s="3">
        <v>-3.2735899999999998E-2</v>
      </c>
      <c r="P436" s="3">
        <v>-4.4280100000000003E-2</v>
      </c>
      <c r="Q436" s="3">
        <v>-5.5586999999999998E-2</v>
      </c>
      <c r="R436" s="3">
        <v>-6.6433199999999998E-2</v>
      </c>
      <c r="S436" s="3">
        <v>-7.6623399999999994E-2</v>
      </c>
      <c r="T436" s="3">
        <v>-8.5962200000000002E-2</v>
      </c>
      <c r="U436" s="3">
        <v>-9.4254199999999996E-2</v>
      </c>
      <c r="V436" s="3">
        <v>-0.10130409999999999</v>
      </c>
      <c r="W436" s="3">
        <v>-0.1069558</v>
      </c>
      <c r="X436" s="3">
        <v>-0.1112363</v>
      </c>
      <c r="Y436" s="3">
        <v>-0.1142257</v>
      </c>
      <c r="Z436" s="3">
        <v>-0.1160037</v>
      </c>
      <c r="AA436" s="3">
        <v>-0.1166504</v>
      </c>
      <c r="AB436" s="3">
        <v>-0.11624569999999999</v>
      </c>
      <c r="AC436" s="3">
        <v>-0.11486879999999999</v>
      </c>
      <c r="AD436" s="3">
        <v>-0.1125954</v>
      </c>
      <c r="AE436" s="3">
        <v>-0.10950020000000001</v>
      </c>
      <c r="AF436" s="3">
        <v>-0.1056581</v>
      </c>
      <c r="AG436" s="3">
        <v>-0.10114389999999999</v>
      </c>
      <c r="AH436" s="3">
        <v>-9.6032300000000001E-2</v>
      </c>
      <c r="AI436" s="3">
        <v>-9.0398199999999998E-2</v>
      </c>
      <c r="AJ436" s="3">
        <v>-8.4316199999999994E-2</v>
      </c>
      <c r="AK436" s="3">
        <v>-7.7861200000000005E-2</v>
      </c>
      <c r="AL436" s="3">
        <v>-7.1108099999999994E-2</v>
      </c>
      <c r="AM436" s="3">
        <v>-6.4131499999999994E-2</v>
      </c>
      <c r="AN436" s="3">
        <v>-5.70062E-2</v>
      </c>
      <c r="AO436" s="3">
        <v>-4.9796600000000003E-2</v>
      </c>
      <c r="AP436" s="3">
        <v>-4.2525300000000002E-2</v>
      </c>
      <c r="AQ436" s="3">
        <v>-3.5204399999999997E-2</v>
      </c>
      <c r="AR436" s="3">
        <v>-2.7846099999999999E-2</v>
      </c>
      <c r="AS436" s="3">
        <v>-2.0462399999999999E-2</v>
      </c>
      <c r="AT436" s="3">
        <v>-1.3065500000000001E-2</v>
      </c>
      <c r="AU436" s="3">
        <v>-5.6676000000000001E-3</v>
      </c>
      <c r="AV436" s="3">
        <v>1.7191999999999999E-3</v>
      </c>
      <c r="AW436" s="3">
        <v>9.0828999999999997E-3</v>
      </c>
      <c r="AX436" s="3">
        <v>1.6411100000000001E-2</v>
      </c>
      <c r="AY436" s="3">
        <v>2.3691899999999998E-2</v>
      </c>
      <c r="AZ436" s="3">
        <v>3.0913099999999999E-2</v>
      </c>
      <c r="BA436" s="3">
        <v>3.8064899999999999E-2</v>
      </c>
      <c r="BB436" s="3">
        <v>4.5147800000000002E-2</v>
      </c>
      <c r="BC436" s="3">
        <v>5.2165200000000002E-2</v>
      </c>
      <c r="BD436" s="3">
        <v>5.9120699999999998E-2</v>
      </c>
      <c r="BE436" s="3">
        <v>6.6017500000000007E-2</v>
      </c>
      <c r="BF436" s="3">
        <v>7.2859099999999996E-2</v>
      </c>
      <c r="BG436" s="3">
        <v>7.9648899999999995E-2</v>
      </c>
      <c r="BH436" s="3">
        <v>8.63902E-2</v>
      </c>
      <c r="BI436" s="3">
        <v>9.3086699999999994E-2</v>
      </c>
      <c r="BJ436" s="3">
        <v>9.9741499999999997E-2</v>
      </c>
      <c r="BK436" s="3">
        <v>0.1063581</v>
      </c>
      <c r="BL436" s="3">
        <v>0.1129401</v>
      </c>
      <c r="BM436" s="3" t="e">
        <v>#N/A</v>
      </c>
      <c r="BN436" s="3" t="e">
        <v>#N/A</v>
      </c>
    </row>
    <row r="437" spans="1:66" x14ac:dyDescent="0.35">
      <c r="A437" s="5">
        <f t="shared" si="6"/>
        <v>44067</v>
      </c>
      <c r="B437" t="s">
        <v>514</v>
      </c>
      <c r="C437" s="2">
        <v>0.1</v>
      </c>
      <c r="D437" s="2">
        <v>5.45E-2</v>
      </c>
      <c r="E437" s="3">
        <v>6.1260599999999998E-2</v>
      </c>
      <c r="F437" s="3">
        <v>5.6469499999999999E-2</v>
      </c>
      <c r="G437" s="3">
        <v>4.6406099999999999E-2</v>
      </c>
      <c r="H437" s="3">
        <v>3.47996E-2</v>
      </c>
      <c r="I437" s="3">
        <v>2.3809799999999999E-2</v>
      </c>
      <c r="J437" s="3">
        <v>1.35385E-2</v>
      </c>
      <c r="K437" s="3">
        <v>3.9801000000000003E-3</v>
      </c>
      <c r="L437" s="3">
        <v>-5.1704999999999997E-3</v>
      </c>
      <c r="M437" s="3">
        <v>-1.4308299999999999E-2</v>
      </c>
      <c r="N437" s="3">
        <v>-2.3692700000000001E-2</v>
      </c>
      <c r="O437" s="3">
        <v>-3.3484100000000003E-2</v>
      </c>
      <c r="P437" s="3">
        <v>-4.3689600000000002E-2</v>
      </c>
      <c r="Q437" s="3">
        <v>-5.4029099999999997E-2</v>
      </c>
      <c r="R437" s="3">
        <v>-6.4218200000000003E-2</v>
      </c>
      <c r="S437" s="3">
        <v>-7.3992000000000002E-2</v>
      </c>
      <c r="T437" s="3">
        <v>-8.3085500000000007E-2</v>
      </c>
      <c r="U437" s="3">
        <v>-9.1233900000000007E-2</v>
      </c>
      <c r="V437" s="3">
        <v>-9.8172300000000004E-2</v>
      </c>
      <c r="W437" s="3">
        <v>-0.1036875</v>
      </c>
      <c r="X437" s="3">
        <v>-0.107807</v>
      </c>
      <c r="Y437" s="3">
        <v>-0.1106275</v>
      </c>
      <c r="Z437" s="3">
        <v>-0.1122461</v>
      </c>
      <c r="AA437" s="3">
        <v>-0.1127597</v>
      </c>
      <c r="AB437" s="3">
        <v>-0.1122652</v>
      </c>
      <c r="AC437" s="3">
        <v>-0.1108547</v>
      </c>
      <c r="AD437" s="3">
        <v>-0.10860019999999999</v>
      </c>
      <c r="AE437" s="3">
        <v>-0.1055691</v>
      </c>
      <c r="AF437" s="3">
        <v>-0.10182860000000001</v>
      </c>
      <c r="AG437" s="3">
        <v>-9.7446000000000005E-2</v>
      </c>
      <c r="AH437" s="3">
        <v>-9.2488399999999998E-2</v>
      </c>
      <c r="AI437" s="3">
        <v>-8.7023299999999998E-2</v>
      </c>
      <c r="AJ437" s="3">
        <v>-8.1117700000000001E-2</v>
      </c>
      <c r="AK437" s="3">
        <v>-7.48389E-2</v>
      </c>
      <c r="AL437" s="3">
        <v>-6.8254300000000004E-2</v>
      </c>
      <c r="AM437" s="3">
        <v>-6.1430999999999999E-2</v>
      </c>
      <c r="AN437" s="3">
        <v>-5.44363E-2</v>
      </c>
      <c r="AO437" s="3">
        <v>-4.7328200000000001E-2</v>
      </c>
      <c r="AP437" s="3">
        <v>-4.0128200000000003E-2</v>
      </c>
      <c r="AQ437" s="3">
        <v>-3.28484E-2</v>
      </c>
      <c r="AR437" s="3">
        <v>-2.5501099999999999E-2</v>
      </c>
      <c r="AS437" s="3">
        <v>-1.80985E-2</v>
      </c>
      <c r="AT437" s="3">
        <v>-1.06528E-2</v>
      </c>
      <c r="AU437" s="3">
        <v>-3.1762000000000001E-3</v>
      </c>
      <c r="AV437" s="3">
        <v>4.3191999999999996E-3</v>
      </c>
      <c r="AW437" s="3">
        <v>1.1821E-2</v>
      </c>
      <c r="AX437" s="3">
        <v>1.93171E-2</v>
      </c>
      <c r="AY437" s="3">
        <v>2.6795200000000002E-2</v>
      </c>
      <c r="AZ437" s="3">
        <v>3.4243200000000001E-2</v>
      </c>
      <c r="BA437" s="3">
        <v>4.165E-2</v>
      </c>
      <c r="BB437" s="3">
        <v>4.9011300000000001E-2</v>
      </c>
      <c r="BC437" s="3">
        <v>5.6325399999999998E-2</v>
      </c>
      <c r="BD437" s="3">
        <v>6.3590400000000005E-2</v>
      </c>
      <c r="BE437" s="3">
        <v>7.0804699999999998E-2</v>
      </c>
      <c r="BF437" s="3">
        <v>7.7966499999999994E-2</v>
      </c>
      <c r="BG437" s="3">
        <v>8.5073999999999997E-2</v>
      </c>
      <c r="BH437" s="3">
        <v>9.2125499999999999E-2</v>
      </c>
      <c r="BI437" s="3">
        <v>9.9119200000000005E-2</v>
      </c>
      <c r="BJ437" s="3">
        <v>0.10605340000000001</v>
      </c>
      <c r="BK437" s="3">
        <v>0.11292629999999999</v>
      </c>
      <c r="BL437" s="3">
        <v>0.1197362</v>
      </c>
      <c r="BM437" s="3" t="e">
        <v>#N/A</v>
      </c>
      <c r="BN437" s="3" t="e">
        <v>#N/A</v>
      </c>
    </row>
    <row r="438" spans="1:66" x14ac:dyDescent="0.35">
      <c r="A438" s="5">
        <f t="shared" si="6"/>
        <v>44068</v>
      </c>
      <c r="B438" t="s">
        <v>515</v>
      </c>
      <c r="C438" s="2">
        <v>0.1</v>
      </c>
      <c r="D438" s="2">
        <v>5.5300000000000002E-2</v>
      </c>
      <c r="E438" s="3">
        <v>5.9457999999999997E-2</v>
      </c>
      <c r="F438" s="3">
        <v>5.5356299999999997E-2</v>
      </c>
      <c r="G438" s="3">
        <v>4.5972600000000002E-2</v>
      </c>
      <c r="H438" s="3">
        <v>3.3801600000000001E-2</v>
      </c>
      <c r="I438" s="3">
        <v>2.3229099999999999E-2</v>
      </c>
      <c r="J438" s="3">
        <v>1.5548899999999999E-2</v>
      </c>
      <c r="K438" s="3">
        <v>9.5805999999999999E-3</v>
      </c>
      <c r="L438" s="3">
        <v>3.5203000000000001E-3</v>
      </c>
      <c r="M438" s="3">
        <v>-3.2393000000000001E-3</v>
      </c>
      <c r="N438" s="3">
        <v>-1.0654200000000001E-2</v>
      </c>
      <c r="O438" s="3">
        <v>-1.8525799999999999E-2</v>
      </c>
      <c r="P438" s="3">
        <v>-2.6611699999999999E-2</v>
      </c>
      <c r="Q438" s="3">
        <v>-3.4699399999999998E-2</v>
      </c>
      <c r="R438" s="3">
        <v>-4.2584400000000001E-2</v>
      </c>
      <c r="S438" s="3">
        <v>-5.0061399999999999E-2</v>
      </c>
      <c r="T438" s="3">
        <v>-5.6925299999999998E-2</v>
      </c>
      <c r="U438" s="3">
        <v>-6.2970700000000004E-2</v>
      </c>
      <c r="V438" s="3">
        <v>-6.7992399999999995E-2</v>
      </c>
      <c r="W438" s="3">
        <v>-7.1823200000000004E-2</v>
      </c>
      <c r="X438" s="3">
        <v>-7.4470800000000004E-2</v>
      </c>
      <c r="Y438" s="3">
        <v>-7.5994000000000006E-2</v>
      </c>
      <c r="Z438" s="3">
        <v>-7.64518E-2</v>
      </c>
      <c r="AA438" s="3">
        <v>-7.5902700000000003E-2</v>
      </c>
      <c r="AB438" s="3">
        <v>-7.4405600000000002E-2</v>
      </c>
      <c r="AC438" s="3">
        <v>-7.2020899999999999E-2</v>
      </c>
      <c r="AD438" s="3">
        <v>-6.8815699999999994E-2</v>
      </c>
      <c r="AE438" s="3">
        <v>-6.4858899999999997E-2</v>
      </c>
      <c r="AF438" s="3">
        <v>-6.0219300000000003E-2</v>
      </c>
      <c r="AG438" s="3">
        <v>-5.4965699999999999E-2</v>
      </c>
      <c r="AH438" s="3">
        <v>-4.9166899999999999E-2</v>
      </c>
      <c r="AI438" s="3">
        <v>-4.2891600000000002E-2</v>
      </c>
      <c r="AJ438" s="3">
        <v>-3.6208799999999999E-2</v>
      </c>
      <c r="AK438" s="3">
        <v>-2.91872E-2</v>
      </c>
      <c r="AL438" s="3">
        <v>-2.1895600000000001E-2</v>
      </c>
      <c r="AM438" s="3">
        <v>-1.44028E-2</v>
      </c>
      <c r="AN438" s="3">
        <v>-6.7777000000000002E-3</v>
      </c>
      <c r="AO438" s="3">
        <v>9.2069999999999999E-4</v>
      </c>
      <c r="AP438" s="3">
        <v>8.6729000000000007E-3</v>
      </c>
      <c r="AQ438" s="3">
        <v>1.6468699999999999E-2</v>
      </c>
      <c r="AR438" s="3">
        <v>2.4298500000000001E-2</v>
      </c>
      <c r="AS438" s="3">
        <v>3.2152199999999999E-2</v>
      </c>
      <c r="AT438" s="3">
        <v>4.002E-2</v>
      </c>
      <c r="AU438" s="3">
        <v>4.7891900000000001E-2</v>
      </c>
      <c r="AV438" s="3">
        <v>5.5758200000000001E-2</v>
      </c>
      <c r="AW438" s="3">
        <v>6.3608799999999993E-2</v>
      </c>
      <c r="AX438" s="3">
        <v>7.1433899999999995E-2</v>
      </c>
      <c r="AY438" s="3">
        <v>7.9223600000000005E-2</v>
      </c>
      <c r="AZ438" s="3">
        <v>8.6968000000000004E-2</v>
      </c>
      <c r="BA438" s="3">
        <v>9.4658400000000004E-2</v>
      </c>
      <c r="BB438" s="3">
        <v>0.1022923</v>
      </c>
      <c r="BC438" s="3">
        <v>0.1098693</v>
      </c>
      <c r="BD438" s="3">
        <v>0.1173892</v>
      </c>
      <c r="BE438" s="3">
        <v>0.1248515</v>
      </c>
      <c r="BF438" s="3">
        <v>0.13225590000000001</v>
      </c>
      <c r="BG438" s="3">
        <v>0.13960210000000001</v>
      </c>
      <c r="BH438" s="3">
        <v>0.14688960000000001</v>
      </c>
      <c r="BI438" s="3">
        <v>0.15411830000000001</v>
      </c>
      <c r="BJ438" s="3">
        <v>0.1612876</v>
      </c>
      <c r="BK438" s="3">
        <v>0.1683972</v>
      </c>
      <c r="BL438" s="3">
        <v>0.17544680000000001</v>
      </c>
      <c r="BM438" s="3" t="e">
        <v>#N/A</v>
      </c>
      <c r="BN438" s="3" t="e">
        <v>#N/A</v>
      </c>
    </row>
    <row r="439" spans="1:66" x14ac:dyDescent="0.35">
      <c r="A439" s="5">
        <f t="shared" si="6"/>
        <v>44069</v>
      </c>
      <c r="B439" t="s">
        <v>516</v>
      </c>
      <c r="C439" s="2">
        <v>0.1</v>
      </c>
      <c r="D439" s="2">
        <v>5.4699999999999999E-2</v>
      </c>
      <c r="E439" s="3">
        <v>5.7109100000000003E-2</v>
      </c>
      <c r="F439" s="3">
        <v>5.2049699999999997E-2</v>
      </c>
      <c r="G439" s="3">
        <v>4.5463099999999999E-2</v>
      </c>
      <c r="H439" s="3">
        <v>3.8854300000000001E-2</v>
      </c>
      <c r="I439" s="3">
        <v>3.3196999999999997E-2</v>
      </c>
      <c r="J439" s="3">
        <v>2.6846100000000001E-2</v>
      </c>
      <c r="K439" s="3">
        <v>1.9078000000000001E-2</v>
      </c>
      <c r="L439" s="3">
        <v>1.0086700000000001E-2</v>
      </c>
      <c r="M439" s="3">
        <v>1.0881E-3</v>
      </c>
      <c r="N439" s="3">
        <v>-7.2816000000000001E-3</v>
      </c>
      <c r="O439" s="3">
        <v>-1.55181E-2</v>
      </c>
      <c r="P439" s="3">
        <v>-2.4165300000000001E-2</v>
      </c>
      <c r="Q439" s="3">
        <v>-3.2679300000000001E-2</v>
      </c>
      <c r="R439" s="3">
        <v>-4.0742500000000001E-2</v>
      </c>
      <c r="S439" s="3">
        <v>-4.8168299999999997E-2</v>
      </c>
      <c r="T439" s="3">
        <v>-5.4770399999999997E-2</v>
      </c>
      <c r="U439" s="3">
        <v>-6.0362399999999997E-2</v>
      </c>
      <c r="V439" s="3">
        <v>-6.4757899999999993E-2</v>
      </c>
      <c r="W439" s="3">
        <v>-6.7803000000000002E-2</v>
      </c>
      <c r="X439" s="3">
        <v>-6.9528099999999995E-2</v>
      </c>
      <c r="Y439" s="3">
        <v>-7.0028400000000005E-2</v>
      </c>
      <c r="Z439" s="3">
        <v>-6.9399100000000005E-2</v>
      </c>
      <c r="AA439" s="3">
        <v>-6.7735500000000004E-2</v>
      </c>
      <c r="AB439" s="3">
        <v>-6.5132800000000005E-2</v>
      </c>
      <c r="AC439" s="3">
        <v>-6.1680800000000001E-2</v>
      </c>
      <c r="AD439" s="3">
        <v>-5.7447499999999999E-2</v>
      </c>
      <c r="AE439" s="3">
        <v>-5.2495300000000002E-2</v>
      </c>
      <c r="AF439" s="3">
        <v>-4.68866E-2</v>
      </c>
      <c r="AG439" s="3">
        <v>-4.0683799999999999E-2</v>
      </c>
      <c r="AH439" s="3">
        <v>-3.3949500000000001E-2</v>
      </c>
      <c r="AI439" s="3">
        <v>-2.6745999999999999E-2</v>
      </c>
      <c r="AJ439" s="3">
        <v>-1.9135900000000001E-2</v>
      </c>
      <c r="AK439" s="3">
        <v>-1.11815E-2</v>
      </c>
      <c r="AL439" s="3">
        <v>-2.9453000000000001E-3</v>
      </c>
      <c r="AM439" s="3">
        <v>5.5101999999999998E-3</v>
      </c>
      <c r="AN439" s="3">
        <v>1.4122600000000001E-2</v>
      </c>
      <c r="AO439" s="3">
        <v>2.2835299999999999E-2</v>
      </c>
      <c r="AP439" s="3">
        <v>3.16228E-2</v>
      </c>
      <c r="AQ439" s="3">
        <v>4.0470300000000001E-2</v>
      </c>
      <c r="AR439" s="3">
        <v>4.9362700000000002E-2</v>
      </c>
      <c r="AS439" s="3">
        <v>5.8285200000000002E-2</v>
      </c>
      <c r="AT439" s="3">
        <v>6.7222699999999996E-2</v>
      </c>
      <c r="AU439" s="3">
        <v>7.6160500000000006E-2</v>
      </c>
      <c r="AV439" s="3">
        <v>8.5083500000000006E-2</v>
      </c>
      <c r="AW439" s="3">
        <v>9.3976799999999999E-2</v>
      </c>
      <c r="AX439" s="3">
        <v>0.1028256</v>
      </c>
      <c r="AY439" s="3">
        <v>0.1116147</v>
      </c>
      <c r="AZ439" s="3">
        <v>0.1203294</v>
      </c>
      <c r="BA439" s="3">
        <v>0.12895680000000001</v>
      </c>
      <c r="BB439" s="3">
        <v>0.13749410000000001</v>
      </c>
      <c r="BC439" s="3">
        <v>0.1459415</v>
      </c>
      <c r="BD439" s="3">
        <v>0.1542994</v>
      </c>
      <c r="BE439" s="3">
        <v>0.16256809999999999</v>
      </c>
      <c r="BF439" s="3">
        <v>0.17074780000000001</v>
      </c>
      <c r="BG439" s="3">
        <v>0.1788389</v>
      </c>
      <c r="BH439" s="3">
        <v>0.1868417</v>
      </c>
      <c r="BI439" s="3">
        <v>0.1947564</v>
      </c>
      <c r="BJ439" s="3">
        <v>0.20258329999999999</v>
      </c>
      <c r="BK439" s="3">
        <v>0.2103228</v>
      </c>
      <c r="BL439" s="3">
        <v>0.2179751</v>
      </c>
      <c r="BM439" s="3" t="e">
        <v>#N/A</v>
      </c>
      <c r="BN439" s="3" t="e">
        <v>#N/A</v>
      </c>
    </row>
    <row r="440" spans="1:66" x14ac:dyDescent="0.35">
      <c r="A440" s="5">
        <f t="shared" si="6"/>
        <v>44070</v>
      </c>
      <c r="B440" t="s">
        <v>517</v>
      </c>
      <c r="C440" s="2">
        <v>0.1</v>
      </c>
      <c r="D440" s="2">
        <v>5.5899999999999998E-2</v>
      </c>
      <c r="E440" s="3">
        <v>5.8703400000000003E-2</v>
      </c>
      <c r="F440" s="3">
        <v>5.6667500000000003E-2</v>
      </c>
      <c r="G440" s="3">
        <v>4.8621600000000001E-2</v>
      </c>
      <c r="H440" s="3">
        <v>3.76101E-2</v>
      </c>
      <c r="I440" s="3">
        <v>2.7236199999999999E-2</v>
      </c>
      <c r="J440" s="3">
        <v>1.8094300000000001E-2</v>
      </c>
      <c r="K440" s="3">
        <v>9.9082000000000007E-3</v>
      </c>
      <c r="L440" s="3">
        <v>2.3032E-3</v>
      </c>
      <c r="M440" s="3">
        <v>-5.0556999999999998E-3</v>
      </c>
      <c r="N440" s="3">
        <v>-1.2281800000000001E-2</v>
      </c>
      <c r="O440" s="3">
        <v>-1.9407400000000002E-2</v>
      </c>
      <c r="P440" s="3">
        <v>-2.6401000000000001E-2</v>
      </c>
      <c r="Q440" s="3">
        <v>-3.3229799999999997E-2</v>
      </c>
      <c r="R440" s="3">
        <v>-3.9754999999999999E-2</v>
      </c>
      <c r="S440" s="3">
        <v>-4.5807800000000003E-2</v>
      </c>
      <c r="T440" s="3">
        <v>-5.1220000000000002E-2</v>
      </c>
      <c r="U440" s="3">
        <v>-5.5822999999999998E-2</v>
      </c>
      <c r="V440" s="3">
        <v>-5.9448300000000003E-2</v>
      </c>
      <c r="W440" s="3">
        <v>-6.1952300000000002E-2</v>
      </c>
      <c r="X440" s="3">
        <v>-6.3318600000000003E-2</v>
      </c>
      <c r="Y440" s="3">
        <v>-6.3571299999999997E-2</v>
      </c>
      <c r="Z440" s="3">
        <v>-6.2734600000000001E-2</v>
      </c>
      <c r="AA440" s="3">
        <v>-6.0832799999999999E-2</v>
      </c>
      <c r="AB440" s="3">
        <v>-5.78901E-2</v>
      </c>
      <c r="AC440" s="3">
        <v>-5.3937400000000003E-2</v>
      </c>
      <c r="AD440" s="3">
        <v>-4.9042099999999998E-2</v>
      </c>
      <c r="AE440" s="3">
        <v>-4.3283799999999997E-2</v>
      </c>
      <c r="AF440" s="3">
        <v>-3.6741999999999997E-2</v>
      </c>
      <c r="AG440" s="3">
        <v>-2.94963E-2</v>
      </c>
      <c r="AH440" s="3">
        <v>-2.1626200000000002E-2</v>
      </c>
      <c r="AI440" s="3">
        <v>-1.32113E-2</v>
      </c>
      <c r="AJ440" s="3">
        <v>-4.3312000000000003E-3</v>
      </c>
      <c r="AK440" s="3">
        <v>4.9345999999999999E-3</v>
      </c>
      <c r="AL440" s="3">
        <v>1.45065E-2</v>
      </c>
      <c r="AM440" s="3">
        <v>2.4304900000000001E-2</v>
      </c>
      <c r="AN440" s="3">
        <v>3.4250299999999997E-2</v>
      </c>
      <c r="AO440" s="3">
        <v>4.4271600000000001E-2</v>
      </c>
      <c r="AP440" s="3">
        <v>5.43388E-2</v>
      </c>
      <c r="AQ440" s="3">
        <v>6.4434400000000003E-2</v>
      </c>
      <c r="AR440" s="3">
        <v>7.4540999999999996E-2</v>
      </c>
      <c r="AS440" s="3">
        <v>8.4641099999999997E-2</v>
      </c>
      <c r="AT440" s="3">
        <v>9.4717200000000001E-2</v>
      </c>
      <c r="AU440" s="3">
        <v>0.104752</v>
      </c>
      <c r="AV440" s="3">
        <v>0.11472789999999999</v>
      </c>
      <c r="AW440" s="3">
        <v>0.1246274</v>
      </c>
      <c r="AX440" s="3">
        <v>0.1344332</v>
      </c>
      <c r="AY440" s="3">
        <v>0.1441278</v>
      </c>
      <c r="AZ440" s="3">
        <v>0.15369369999999999</v>
      </c>
      <c r="BA440" s="3">
        <v>0.1631166</v>
      </c>
      <c r="BB440" s="3">
        <v>0.17239640000000001</v>
      </c>
      <c r="BC440" s="3">
        <v>0.1815367</v>
      </c>
      <c r="BD440" s="3">
        <v>0.1905414</v>
      </c>
      <c r="BE440" s="3">
        <v>0.19941390000000001</v>
      </c>
      <c r="BF440" s="3">
        <v>0.20815819999999999</v>
      </c>
      <c r="BG440" s="3">
        <v>0.21677779999999999</v>
      </c>
      <c r="BH440" s="3">
        <v>0.22527649999999999</v>
      </c>
      <c r="BI440" s="3">
        <v>0.2336579</v>
      </c>
      <c r="BJ440" s="3">
        <v>0.2419258</v>
      </c>
      <c r="BK440" s="3">
        <v>0.25008390000000003</v>
      </c>
      <c r="BL440" s="3">
        <v>0.25813580000000003</v>
      </c>
      <c r="BM440" s="3" t="e">
        <v>#N/A</v>
      </c>
      <c r="BN440" s="3" t="e">
        <v>#N/A</v>
      </c>
    </row>
    <row r="441" spans="1:66" x14ac:dyDescent="0.35">
      <c r="A441" s="5">
        <f t="shared" si="6"/>
        <v>44071</v>
      </c>
      <c r="B441" t="s">
        <v>518</v>
      </c>
      <c r="C441" s="2">
        <v>0.1</v>
      </c>
      <c r="D441" s="2">
        <v>5.45E-2</v>
      </c>
      <c r="E441" s="3">
        <v>5.8064900000000003E-2</v>
      </c>
      <c r="F441" s="3">
        <v>5.1054799999999997E-2</v>
      </c>
      <c r="G441" s="3">
        <v>4.51253E-2</v>
      </c>
      <c r="H441" s="3">
        <v>4.0534500000000001E-2</v>
      </c>
      <c r="I441" s="3">
        <v>3.3808600000000001E-2</v>
      </c>
      <c r="J441" s="3">
        <v>2.3921700000000001E-2</v>
      </c>
      <c r="K441" s="3">
        <v>1.24834E-2</v>
      </c>
      <c r="L441" s="3">
        <v>1.5694999999999999E-3</v>
      </c>
      <c r="M441" s="3">
        <v>-7.9436999999999997E-3</v>
      </c>
      <c r="N441" s="3">
        <v>-1.6301900000000001E-2</v>
      </c>
      <c r="O441" s="3">
        <v>-2.4376100000000001E-2</v>
      </c>
      <c r="P441" s="3">
        <v>-3.2859600000000003E-2</v>
      </c>
      <c r="Q441" s="3">
        <v>-4.1597099999999998E-2</v>
      </c>
      <c r="R441" s="3">
        <v>-5.0286499999999998E-2</v>
      </c>
      <c r="S441" s="3">
        <v>-5.8643199999999999E-2</v>
      </c>
      <c r="T441" s="3">
        <v>-6.6382800000000006E-2</v>
      </c>
      <c r="U441" s="3">
        <v>-7.3220800000000003E-2</v>
      </c>
      <c r="V441" s="3">
        <v>-7.8872600000000001E-2</v>
      </c>
      <c r="W441" s="3">
        <v>-8.3104399999999995E-2</v>
      </c>
      <c r="X441" s="3">
        <v>-8.59177E-2</v>
      </c>
      <c r="Y441" s="3">
        <v>-8.7382000000000001E-2</v>
      </c>
      <c r="Z441" s="3">
        <v>-8.75668E-2</v>
      </c>
      <c r="AA441" s="3">
        <v>-8.6541599999999996E-2</v>
      </c>
      <c r="AB441" s="3">
        <v>-8.4376099999999996E-2</v>
      </c>
      <c r="AC441" s="3">
        <v>-8.1141400000000002E-2</v>
      </c>
      <c r="AD441" s="3">
        <v>-7.6916399999999996E-2</v>
      </c>
      <c r="AE441" s="3">
        <v>-7.1782399999999996E-2</v>
      </c>
      <c r="AF441" s="3">
        <v>-6.5820699999999996E-2</v>
      </c>
      <c r="AG441" s="3">
        <v>-5.9112699999999997E-2</v>
      </c>
      <c r="AH441" s="3">
        <v>-5.1739599999999997E-2</v>
      </c>
      <c r="AI441" s="3">
        <v>-4.3782799999999997E-2</v>
      </c>
      <c r="AJ441" s="3">
        <v>-3.5323500000000001E-2</v>
      </c>
      <c r="AK441" s="3">
        <v>-2.6443100000000001E-2</v>
      </c>
      <c r="AL441" s="3">
        <v>-1.7222899999999999E-2</v>
      </c>
      <c r="AM441" s="3">
        <v>-7.7441999999999997E-3</v>
      </c>
      <c r="AN441" s="3">
        <v>1.9118E-3</v>
      </c>
      <c r="AO441" s="3">
        <v>1.1673299999999999E-2</v>
      </c>
      <c r="AP441" s="3">
        <v>2.1510899999999999E-2</v>
      </c>
      <c r="AQ441" s="3">
        <v>3.14071E-2</v>
      </c>
      <c r="AR441" s="3">
        <v>4.1344100000000002E-2</v>
      </c>
      <c r="AS441" s="3">
        <v>5.1304500000000003E-2</v>
      </c>
      <c r="AT441" s="3">
        <v>6.1270400000000003E-2</v>
      </c>
      <c r="AU441" s="3">
        <v>7.1224300000000004E-2</v>
      </c>
      <c r="AV441" s="3">
        <v>8.1148600000000001E-2</v>
      </c>
      <c r="AW441" s="3">
        <v>9.1025599999999998E-2</v>
      </c>
      <c r="AX441" s="3">
        <v>0.1008376</v>
      </c>
      <c r="AY441" s="3">
        <v>0.1105671</v>
      </c>
      <c r="AZ441" s="3">
        <v>0.12019630000000001</v>
      </c>
      <c r="BA441" s="3">
        <v>0.12971050000000001</v>
      </c>
      <c r="BB441" s="3">
        <v>0.13910710000000001</v>
      </c>
      <c r="BC441" s="3">
        <v>0.14838680000000001</v>
      </c>
      <c r="BD441" s="3">
        <v>0.15755060000000001</v>
      </c>
      <c r="BE441" s="3">
        <v>0.1665992</v>
      </c>
      <c r="BF441" s="3">
        <v>0.17553350000000001</v>
      </c>
      <c r="BG441" s="3">
        <v>0.1843543</v>
      </c>
      <c r="BH441" s="3">
        <v>0.1930624</v>
      </c>
      <c r="BI441" s="3">
        <v>0.2016587</v>
      </c>
      <c r="BJ441" s="3">
        <v>0.21014389999999999</v>
      </c>
      <c r="BK441" s="3">
        <v>0.21851889999999999</v>
      </c>
      <c r="BL441" s="3">
        <v>0.2267845</v>
      </c>
      <c r="BM441" s="3" t="e">
        <v>#N/A</v>
      </c>
      <c r="BN441" s="3" t="e">
        <v>#N/A</v>
      </c>
    </row>
    <row r="442" spans="1:66" x14ac:dyDescent="0.35">
      <c r="A442" s="5">
        <f t="shared" si="6"/>
        <v>44074</v>
      </c>
      <c r="B442" t="s">
        <v>519</v>
      </c>
      <c r="C442" s="2">
        <v>0.1</v>
      </c>
      <c r="D442" s="2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  <c r="P442" s="3" t="e">
        <v>#N/A</v>
      </c>
      <c r="Q442" s="3" t="e">
        <v>#N/A</v>
      </c>
      <c r="R442" s="3" t="e">
        <v>#N/A</v>
      </c>
      <c r="S442" s="3" t="e">
        <v>#N/A</v>
      </c>
      <c r="T442" s="3" t="e">
        <v>#N/A</v>
      </c>
      <c r="U442" s="3" t="e">
        <v>#N/A</v>
      </c>
      <c r="V442" s="3" t="e">
        <v>#N/A</v>
      </c>
      <c r="W442" s="3" t="e">
        <v>#N/A</v>
      </c>
      <c r="X442" s="3" t="e">
        <v>#N/A</v>
      </c>
      <c r="Y442" s="3" t="e">
        <v>#N/A</v>
      </c>
      <c r="Z442" s="3" t="e">
        <v>#N/A</v>
      </c>
      <c r="AA442" s="3" t="e">
        <v>#N/A</v>
      </c>
      <c r="AB442" s="3" t="e">
        <v>#N/A</v>
      </c>
      <c r="AC442" s="3" t="e">
        <v>#N/A</v>
      </c>
      <c r="AD442" s="3" t="e">
        <v>#N/A</v>
      </c>
      <c r="AE442" s="3" t="e">
        <v>#N/A</v>
      </c>
      <c r="AF442" s="3" t="e">
        <v>#N/A</v>
      </c>
      <c r="AG442" s="3" t="e">
        <v>#N/A</v>
      </c>
      <c r="AH442" s="3" t="e">
        <v>#N/A</v>
      </c>
      <c r="AI442" s="3" t="e">
        <v>#N/A</v>
      </c>
      <c r="AJ442" s="3" t="e">
        <v>#N/A</v>
      </c>
      <c r="AK442" s="3" t="e">
        <v>#N/A</v>
      </c>
      <c r="AL442" s="3" t="e">
        <v>#N/A</v>
      </c>
      <c r="AM442" s="3" t="e">
        <v>#N/A</v>
      </c>
      <c r="AN442" s="3" t="e">
        <v>#N/A</v>
      </c>
      <c r="AO442" s="3" t="e">
        <v>#N/A</v>
      </c>
      <c r="AP442" s="3" t="e">
        <v>#N/A</v>
      </c>
      <c r="AQ442" s="3" t="e">
        <v>#N/A</v>
      </c>
      <c r="AR442" s="3" t="e">
        <v>#N/A</v>
      </c>
      <c r="AS442" s="3" t="e">
        <v>#N/A</v>
      </c>
      <c r="AT442" s="3" t="e">
        <v>#N/A</v>
      </c>
      <c r="AU442" s="3" t="e">
        <v>#N/A</v>
      </c>
      <c r="AV442" s="3" t="e">
        <v>#N/A</v>
      </c>
      <c r="AW442" s="3" t="e">
        <v>#N/A</v>
      </c>
      <c r="AX442" s="3" t="e">
        <v>#N/A</v>
      </c>
      <c r="AY442" s="3" t="e">
        <v>#N/A</v>
      </c>
      <c r="AZ442" s="3" t="e">
        <v>#N/A</v>
      </c>
      <c r="BA442" s="3" t="e">
        <v>#N/A</v>
      </c>
      <c r="BB442" s="3" t="e">
        <v>#N/A</v>
      </c>
      <c r="BC442" s="3" t="e">
        <v>#N/A</v>
      </c>
      <c r="BD442" s="3" t="e">
        <v>#N/A</v>
      </c>
      <c r="BE442" s="3" t="e">
        <v>#N/A</v>
      </c>
      <c r="BF442" s="3" t="e">
        <v>#N/A</v>
      </c>
      <c r="BG442" s="3" t="e">
        <v>#N/A</v>
      </c>
      <c r="BH442" s="3" t="e">
        <v>#N/A</v>
      </c>
      <c r="BI442" s="3" t="e">
        <v>#N/A</v>
      </c>
      <c r="BJ442" s="3" t="e">
        <v>#N/A</v>
      </c>
      <c r="BK442" s="3" t="e">
        <v>#N/A</v>
      </c>
      <c r="BL442" s="3" t="e">
        <v>#N/A</v>
      </c>
      <c r="BM442" s="3" t="e">
        <v>#N/A</v>
      </c>
      <c r="BN442" s="3" t="e">
        <v>#N/A</v>
      </c>
    </row>
    <row r="443" spans="1:66" x14ac:dyDescent="0.35">
      <c r="A443" s="5">
        <f t="shared" si="6"/>
        <v>44075</v>
      </c>
      <c r="B443" t="s">
        <v>520</v>
      </c>
      <c r="C443" s="2">
        <v>0.1</v>
      </c>
      <c r="D443" s="2">
        <v>5.5199999999999999E-2</v>
      </c>
      <c r="E443" s="3">
        <v>5.5795299999999999E-2</v>
      </c>
      <c r="F443" s="3">
        <v>4.9822100000000001E-2</v>
      </c>
      <c r="G443" s="3">
        <v>4.3439699999999998E-2</v>
      </c>
      <c r="H443" s="3">
        <v>3.41517E-2</v>
      </c>
      <c r="I443" s="3">
        <v>2.2663699999999998E-2</v>
      </c>
      <c r="J443" s="3">
        <v>1.13347E-2</v>
      </c>
      <c r="K443" s="3">
        <v>1.7639000000000001E-3</v>
      </c>
      <c r="L443" s="3">
        <v>-6.0752000000000002E-3</v>
      </c>
      <c r="M443" s="3">
        <v>-1.3341E-2</v>
      </c>
      <c r="N443" s="3">
        <v>-2.10943E-2</v>
      </c>
      <c r="O443" s="3">
        <v>-2.9727099999999999E-2</v>
      </c>
      <c r="P443" s="3">
        <v>-3.91467E-2</v>
      </c>
      <c r="Q443" s="3">
        <v>-4.90096E-2</v>
      </c>
      <c r="R443" s="3">
        <v>-5.8960100000000001E-2</v>
      </c>
      <c r="S443" s="3">
        <v>-6.8652099999999994E-2</v>
      </c>
      <c r="T443" s="3">
        <v>-7.77394E-2</v>
      </c>
      <c r="U443" s="3">
        <v>-8.5875800000000002E-2</v>
      </c>
      <c r="V443" s="3">
        <v>-9.2715199999999998E-2</v>
      </c>
      <c r="W443" s="3">
        <v>-9.7994600000000001E-2</v>
      </c>
      <c r="X443" s="3">
        <v>-0.10173840000000001</v>
      </c>
      <c r="Y443" s="3">
        <v>-0.10403270000000001</v>
      </c>
      <c r="Z443" s="3">
        <v>-0.1049639</v>
      </c>
      <c r="AA443" s="3">
        <v>-0.104618</v>
      </c>
      <c r="AB443" s="3">
        <v>-0.10308150000000001</v>
      </c>
      <c r="AC443" s="3">
        <v>-0.1004401</v>
      </c>
      <c r="AD443" s="3">
        <v>-9.6778500000000003E-2</v>
      </c>
      <c r="AE443" s="3">
        <v>-9.2180899999999996E-2</v>
      </c>
      <c r="AF443" s="3">
        <v>-8.6731600000000006E-2</v>
      </c>
      <c r="AG443" s="3">
        <v>-8.0515000000000003E-2</v>
      </c>
      <c r="AH443" s="3">
        <v>-7.3615200000000006E-2</v>
      </c>
      <c r="AI443" s="3">
        <v>-6.6116499999999995E-2</v>
      </c>
      <c r="AJ443" s="3">
        <v>-5.8103200000000001E-2</v>
      </c>
      <c r="AK443" s="3">
        <v>-4.9659599999999998E-2</v>
      </c>
      <c r="AL443" s="3">
        <v>-4.0869999999999997E-2</v>
      </c>
      <c r="AM443" s="3">
        <v>-3.18185E-2</v>
      </c>
      <c r="AN443" s="3">
        <v>-2.2589600000000001E-2</v>
      </c>
      <c r="AO443" s="3">
        <v>-1.32555E-2</v>
      </c>
      <c r="AP443" s="3">
        <v>-3.8411000000000001E-3</v>
      </c>
      <c r="AQ443" s="3">
        <v>5.6408999999999999E-3</v>
      </c>
      <c r="AR443" s="3">
        <v>1.5177400000000001E-2</v>
      </c>
      <c r="AS443" s="3">
        <v>2.4755599999999999E-2</v>
      </c>
      <c r="AT443" s="3">
        <v>3.43626E-2</v>
      </c>
      <c r="AU443" s="3">
        <v>4.39856E-2</v>
      </c>
      <c r="AV443" s="3">
        <v>5.3611699999999998E-2</v>
      </c>
      <c r="AW443" s="3">
        <v>6.3227900000000004E-2</v>
      </c>
      <c r="AX443" s="3">
        <v>7.2821499999999997E-2</v>
      </c>
      <c r="AY443" s="3">
        <v>8.2379499999999994E-2</v>
      </c>
      <c r="AZ443" s="3">
        <v>9.1888999999999998E-2</v>
      </c>
      <c r="BA443" s="3">
        <v>0.10133880000000001</v>
      </c>
      <c r="BB443" s="3">
        <v>0.11072559999999999</v>
      </c>
      <c r="BC443" s="3">
        <v>0.1200485</v>
      </c>
      <c r="BD443" s="3">
        <v>0.12930659999999999</v>
      </c>
      <c r="BE443" s="3">
        <v>0.13849910000000001</v>
      </c>
      <c r="BF443" s="3">
        <v>0.14762500000000001</v>
      </c>
      <c r="BG443" s="3">
        <v>0.1566835</v>
      </c>
      <c r="BH443" s="3">
        <v>0.16567370000000001</v>
      </c>
      <c r="BI443" s="3">
        <v>0.17459469999999999</v>
      </c>
      <c r="BJ443" s="3">
        <v>0.18344569999999999</v>
      </c>
      <c r="BK443" s="3">
        <v>0.1922256</v>
      </c>
      <c r="BL443" s="3">
        <v>0.2009338</v>
      </c>
      <c r="BM443" s="3" t="e">
        <v>#N/A</v>
      </c>
      <c r="BN443" s="3" t="e">
        <v>#N/A</v>
      </c>
    </row>
    <row r="444" spans="1:66" x14ac:dyDescent="0.35">
      <c r="A444" s="5">
        <f t="shared" si="6"/>
        <v>44076</v>
      </c>
      <c r="B444" t="s">
        <v>521</v>
      </c>
      <c r="C444" s="2">
        <v>0.1</v>
      </c>
      <c r="D444" s="2">
        <v>5.4699999999999999E-2</v>
      </c>
      <c r="E444" s="3">
        <v>5.6504899999999997E-2</v>
      </c>
      <c r="F444" s="3">
        <v>5.0073199999999998E-2</v>
      </c>
      <c r="G444" s="3">
        <v>4.3254399999999998E-2</v>
      </c>
      <c r="H444" s="3">
        <v>3.47248E-2</v>
      </c>
      <c r="I444" s="3">
        <v>2.4252699999999999E-2</v>
      </c>
      <c r="J444" s="3">
        <v>1.3155699999999999E-2</v>
      </c>
      <c r="K444" s="3">
        <v>2.6156999999999999E-3</v>
      </c>
      <c r="L444" s="3">
        <v>-7.2125999999999996E-3</v>
      </c>
      <c r="M444" s="3">
        <v>-1.66252E-2</v>
      </c>
      <c r="N444" s="3">
        <v>-2.5939299999999998E-2</v>
      </c>
      <c r="O444" s="3">
        <v>-3.5303000000000001E-2</v>
      </c>
      <c r="P444" s="3">
        <v>-4.46726E-2</v>
      </c>
      <c r="Q444" s="3">
        <v>-5.3829099999999998E-2</v>
      </c>
      <c r="R444" s="3">
        <v>-6.2602000000000005E-2</v>
      </c>
      <c r="S444" s="3">
        <v>-7.0843199999999995E-2</v>
      </c>
      <c r="T444" s="3">
        <v>-7.8404600000000005E-2</v>
      </c>
      <c r="U444" s="3">
        <v>-8.5138199999999997E-2</v>
      </c>
      <c r="V444" s="3">
        <v>-9.0895699999999996E-2</v>
      </c>
      <c r="W444" s="3">
        <v>-9.5563800000000004E-2</v>
      </c>
      <c r="X444" s="3">
        <v>-9.9149500000000002E-2</v>
      </c>
      <c r="Y444" s="3">
        <v>-0.1016855</v>
      </c>
      <c r="Z444" s="3">
        <v>-0.1032044</v>
      </c>
      <c r="AA444" s="3">
        <v>-0.103739</v>
      </c>
      <c r="AB444" s="3">
        <v>-0.103322</v>
      </c>
      <c r="AC444" s="3">
        <v>-0.1019916</v>
      </c>
      <c r="AD444" s="3">
        <v>-9.9806800000000001E-2</v>
      </c>
      <c r="AE444" s="3">
        <v>-9.6832299999999996E-2</v>
      </c>
      <c r="AF444" s="3">
        <v>-9.3132499999999993E-2</v>
      </c>
      <c r="AG444" s="3">
        <v>-8.8772100000000007E-2</v>
      </c>
      <c r="AH444" s="3">
        <v>-8.3815500000000001E-2</v>
      </c>
      <c r="AI444" s="3">
        <v>-7.8327400000000005E-2</v>
      </c>
      <c r="AJ444" s="3">
        <v>-7.2372099999999995E-2</v>
      </c>
      <c r="AK444" s="3">
        <v>-6.6014299999999998E-2</v>
      </c>
      <c r="AL444" s="3">
        <v>-5.9318500000000003E-2</v>
      </c>
      <c r="AM444" s="3">
        <v>-5.2349199999999999E-2</v>
      </c>
      <c r="AN444" s="3">
        <v>-4.5171000000000003E-2</v>
      </c>
      <c r="AO444" s="3">
        <v>-3.7841699999999999E-2</v>
      </c>
      <c r="AP444" s="3">
        <v>-3.0386400000000001E-2</v>
      </c>
      <c r="AQ444" s="3">
        <v>-2.2820300000000002E-2</v>
      </c>
      <c r="AR444" s="3">
        <v>-1.5158700000000001E-2</v>
      </c>
      <c r="AS444" s="3">
        <v>-7.4165999999999998E-3</v>
      </c>
      <c r="AT444" s="3">
        <v>3.9060000000000001E-4</v>
      </c>
      <c r="AU444" s="3">
        <v>8.2479000000000007E-3</v>
      </c>
      <c r="AV444" s="3">
        <v>1.6140000000000002E-2</v>
      </c>
      <c r="AW444" s="3">
        <v>2.4051800000000002E-2</v>
      </c>
      <c r="AX444" s="3">
        <v>3.1968000000000003E-2</v>
      </c>
      <c r="AY444" s="3">
        <v>3.9873400000000003E-2</v>
      </c>
      <c r="AZ444" s="3">
        <v>4.7752999999999997E-2</v>
      </c>
      <c r="BA444" s="3">
        <v>5.5593799999999999E-2</v>
      </c>
      <c r="BB444" s="3">
        <v>6.33938E-2</v>
      </c>
      <c r="BC444" s="3">
        <v>7.1153800000000003E-2</v>
      </c>
      <c r="BD444" s="3">
        <v>7.88745E-2</v>
      </c>
      <c r="BE444" s="3">
        <v>8.6556800000000003E-2</v>
      </c>
      <c r="BF444" s="3">
        <v>9.4201499999999994E-2</v>
      </c>
      <c r="BG444" s="3">
        <v>0.10180939999999999</v>
      </c>
      <c r="BH444" s="3">
        <v>0.1093812</v>
      </c>
      <c r="BI444" s="3">
        <v>0.11691790000000001</v>
      </c>
      <c r="BJ444" s="3">
        <v>0.12442010000000001</v>
      </c>
      <c r="BK444" s="3">
        <v>0.1318888</v>
      </c>
      <c r="BL444" s="3">
        <v>0.13932459999999999</v>
      </c>
      <c r="BM444" s="3" t="e">
        <v>#N/A</v>
      </c>
      <c r="BN444" s="3" t="e">
        <v>#N/A</v>
      </c>
    </row>
    <row r="445" spans="1:66" x14ac:dyDescent="0.35">
      <c r="A445" s="5">
        <f t="shared" si="6"/>
        <v>44077</v>
      </c>
      <c r="B445" t="s">
        <v>522</v>
      </c>
      <c r="C445" s="2">
        <v>0.1</v>
      </c>
      <c r="D445" s="2">
        <v>5.6099999999999997E-2</v>
      </c>
      <c r="E445" s="3">
        <v>5.8703600000000002E-2</v>
      </c>
      <c r="F445" s="3">
        <v>5.0027299999999997E-2</v>
      </c>
      <c r="G445" s="3">
        <v>4.7645199999999999E-2</v>
      </c>
      <c r="H445" s="3">
        <v>4.46854E-2</v>
      </c>
      <c r="I445" s="3">
        <v>3.5671899999999999E-2</v>
      </c>
      <c r="J445" s="3">
        <v>2.0116200000000001E-2</v>
      </c>
      <c r="K445" s="3">
        <v>2.0539999999999998E-3</v>
      </c>
      <c r="L445" s="3">
        <v>-1.3073E-2</v>
      </c>
      <c r="M445" s="3">
        <v>-2.4024500000000001E-2</v>
      </c>
      <c r="N445" s="3">
        <v>-3.2384900000000001E-2</v>
      </c>
      <c r="O445" s="3">
        <v>-3.97693E-2</v>
      </c>
      <c r="P445" s="3">
        <v>-4.7081999999999999E-2</v>
      </c>
      <c r="Q445" s="3">
        <v>-5.4701300000000001E-2</v>
      </c>
      <c r="R445" s="3">
        <v>-6.2491699999999997E-2</v>
      </c>
      <c r="S445" s="3">
        <v>-7.0204600000000006E-2</v>
      </c>
      <c r="T445" s="3">
        <v>-7.7590900000000004E-2</v>
      </c>
      <c r="U445" s="3">
        <v>-8.4402000000000005E-2</v>
      </c>
      <c r="V445" s="3">
        <v>-9.0388999999999997E-2</v>
      </c>
      <c r="W445" s="3">
        <v>-9.5352099999999995E-2</v>
      </c>
      <c r="X445" s="3">
        <v>-9.9261000000000002E-2</v>
      </c>
      <c r="Y445" s="3">
        <v>-0.10212160000000001</v>
      </c>
      <c r="Z445" s="3">
        <v>-0.1039402</v>
      </c>
      <c r="AA445" s="3">
        <v>-0.10472289999999999</v>
      </c>
      <c r="AB445" s="3">
        <v>-0.1044757</v>
      </c>
      <c r="AC445" s="3">
        <v>-0.10321420000000001</v>
      </c>
      <c r="AD445" s="3">
        <v>-0.1009998</v>
      </c>
      <c r="AE445" s="3">
        <v>-9.79077E-2</v>
      </c>
      <c r="AF445" s="3">
        <v>-9.4013399999999997E-2</v>
      </c>
      <c r="AG445" s="3">
        <v>-8.9392100000000002E-2</v>
      </c>
      <c r="AH445" s="3">
        <v>-8.4119299999999994E-2</v>
      </c>
      <c r="AI445" s="3">
        <v>-7.8270099999999995E-2</v>
      </c>
      <c r="AJ445" s="3">
        <v>-7.1920100000000001E-2</v>
      </c>
      <c r="AK445" s="3">
        <v>-6.5144400000000005E-2</v>
      </c>
      <c r="AL445" s="3">
        <v>-5.8018500000000001E-2</v>
      </c>
      <c r="AM445" s="3">
        <v>-5.0617700000000002E-2</v>
      </c>
      <c r="AN445" s="3">
        <v>-4.3017300000000001E-2</v>
      </c>
      <c r="AO445" s="3">
        <v>-3.5283599999999998E-2</v>
      </c>
      <c r="AP445" s="3">
        <v>-2.7443200000000001E-2</v>
      </c>
      <c r="AQ445" s="3">
        <v>-1.9511500000000001E-2</v>
      </c>
      <c r="AR445" s="3">
        <v>-1.1504199999999999E-2</v>
      </c>
      <c r="AS445" s="3">
        <v>-3.4367E-3</v>
      </c>
      <c r="AT445" s="3">
        <v>4.6755E-3</v>
      </c>
      <c r="AU445" s="3">
        <v>1.28168E-2</v>
      </c>
      <c r="AV445" s="3">
        <v>2.0971699999999999E-2</v>
      </c>
      <c r="AW445" s="3">
        <v>2.91247E-2</v>
      </c>
      <c r="AX445" s="3">
        <v>3.7260300000000003E-2</v>
      </c>
      <c r="AY445" s="3">
        <v>4.5362800000000002E-2</v>
      </c>
      <c r="AZ445" s="3">
        <v>5.3416900000000003E-2</v>
      </c>
      <c r="BA445" s="3">
        <v>6.1409499999999999E-2</v>
      </c>
      <c r="BB445" s="3">
        <v>6.9338999999999998E-2</v>
      </c>
      <c r="BC445" s="3">
        <v>7.7206899999999995E-2</v>
      </c>
      <c r="BD445" s="3">
        <v>8.5014699999999999E-2</v>
      </c>
      <c r="BE445" s="3">
        <v>9.2763799999999993E-2</v>
      </c>
      <c r="BF445" s="3">
        <v>0.10045569999999999</v>
      </c>
      <c r="BG445" s="3">
        <v>0.10809199999999999</v>
      </c>
      <c r="BH445" s="3">
        <v>0.115674</v>
      </c>
      <c r="BI445" s="3">
        <v>0.1232034</v>
      </c>
      <c r="BJ445" s="3">
        <v>0.13068150000000001</v>
      </c>
      <c r="BK445" s="3">
        <v>0.1381098</v>
      </c>
      <c r="BL445" s="3">
        <v>0.1454898</v>
      </c>
      <c r="BM445" s="3" t="e">
        <v>#N/A</v>
      </c>
      <c r="BN445" s="3" t="e">
        <v>#N/A</v>
      </c>
    </row>
    <row r="446" spans="1:66" x14ac:dyDescent="0.35">
      <c r="A446" s="5">
        <f t="shared" si="6"/>
        <v>44078</v>
      </c>
      <c r="B446" t="s">
        <v>523</v>
      </c>
      <c r="C446" s="2">
        <v>0.1</v>
      </c>
      <c r="D446" s="2">
        <v>5.6000000000000001E-2</v>
      </c>
      <c r="E446" s="3">
        <v>5.6939099999999999E-2</v>
      </c>
      <c r="F446" s="3">
        <v>4.9852300000000002E-2</v>
      </c>
      <c r="G446" s="3">
        <v>4.0905299999999999E-2</v>
      </c>
      <c r="H446" s="3">
        <v>2.9956900000000002E-2</v>
      </c>
      <c r="I446" s="3">
        <v>1.8870999999999999E-2</v>
      </c>
      <c r="J446" s="3">
        <v>9.6218999999999992E-3</v>
      </c>
      <c r="K446" s="3">
        <v>2.0845999999999998E-3</v>
      </c>
      <c r="L446" s="3">
        <v>-5.4276999999999997E-3</v>
      </c>
      <c r="M446" s="3">
        <v>-1.3434099999999999E-2</v>
      </c>
      <c r="N446" s="3">
        <v>-2.1610500000000001E-2</v>
      </c>
      <c r="O446" s="3">
        <v>-2.9748E-2</v>
      </c>
      <c r="P446" s="3">
        <v>-3.7862300000000002E-2</v>
      </c>
      <c r="Q446" s="3">
        <v>-4.5943100000000001E-2</v>
      </c>
      <c r="R446" s="3">
        <v>-5.3831499999999997E-2</v>
      </c>
      <c r="S446" s="3">
        <v>-6.1327E-2</v>
      </c>
      <c r="T446" s="3">
        <v>-6.8228700000000003E-2</v>
      </c>
      <c r="U446" s="3">
        <v>-7.4335899999999996E-2</v>
      </c>
      <c r="V446" s="3">
        <v>-7.9448000000000005E-2</v>
      </c>
      <c r="W446" s="3">
        <v>-8.3410100000000001E-2</v>
      </c>
      <c r="X446" s="3">
        <v>-8.62261E-2</v>
      </c>
      <c r="Y446" s="3">
        <v>-8.7934200000000004E-2</v>
      </c>
      <c r="Z446" s="3">
        <v>-8.8572499999999998E-2</v>
      </c>
      <c r="AA446" s="3">
        <v>-8.8179099999999996E-2</v>
      </c>
      <c r="AB446" s="3">
        <v>-8.6791999999999994E-2</v>
      </c>
      <c r="AC446" s="3">
        <v>-8.4454299999999996E-2</v>
      </c>
      <c r="AD446" s="3">
        <v>-8.12306E-2</v>
      </c>
      <c r="AE446" s="3">
        <v>-7.7191300000000004E-2</v>
      </c>
      <c r="AF446" s="3">
        <v>-7.2407100000000002E-2</v>
      </c>
      <c r="AG446" s="3">
        <v>-6.6948300000000002E-2</v>
      </c>
      <c r="AH446" s="3">
        <v>-6.0885700000000001E-2</v>
      </c>
      <c r="AI446" s="3">
        <v>-5.42896E-2</v>
      </c>
      <c r="AJ446" s="3">
        <v>-4.7230599999999998E-2</v>
      </c>
      <c r="AK446" s="3">
        <v>-3.9779200000000001E-2</v>
      </c>
      <c r="AL446" s="3">
        <v>-3.2006E-2</v>
      </c>
      <c r="AM446" s="3">
        <v>-2.3981499999999999E-2</v>
      </c>
      <c r="AN446" s="3">
        <v>-1.5776200000000001E-2</v>
      </c>
      <c r="AO446" s="3">
        <v>-7.4514999999999998E-3</v>
      </c>
      <c r="AP446" s="3">
        <v>9.6820000000000001E-4</v>
      </c>
      <c r="AQ446" s="3">
        <v>9.4675000000000002E-3</v>
      </c>
      <c r="AR446" s="3">
        <v>1.8031100000000001E-2</v>
      </c>
      <c r="AS446" s="3">
        <v>2.66436E-2</v>
      </c>
      <c r="AT446" s="3">
        <v>3.52897E-2</v>
      </c>
      <c r="AU446" s="3">
        <v>4.3954100000000003E-2</v>
      </c>
      <c r="AV446" s="3">
        <v>5.2621500000000002E-2</v>
      </c>
      <c r="AW446" s="3">
        <v>6.1276499999999998E-2</v>
      </c>
      <c r="AX446" s="3">
        <v>6.9903800000000002E-2</v>
      </c>
      <c r="AY446" s="3">
        <v>7.8488000000000002E-2</v>
      </c>
      <c r="AZ446" s="3">
        <v>8.7013900000000005E-2</v>
      </c>
      <c r="BA446" s="3">
        <v>9.5468600000000001E-2</v>
      </c>
      <c r="BB446" s="3">
        <v>0.1038501</v>
      </c>
      <c r="BC446" s="3">
        <v>0.1121595</v>
      </c>
      <c r="BD446" s="3">
        <v>0.1203979</v>
      </c>
      <c r="BE446" s="3">
        <v>0.12856629999999999</v>
      </c>
      <c r="BF446" s="3">
        <v>0.1366658</v>
      </c>
      <c r="BG446" s="3">
        <v>0.14469750000000001</v>
      </c>
      <c r="BH446" s="3">
        <v>0.1526624</v>
      </c>
      <c r="BI446" s="3">
        <v>0.1605616</v>
      </c>
      <c r="BJ446" s="3">
        <v>0.1683962</v>
      </c>
      <c r="BK446" s="3">
        <v>0.1761673</v>
      </c>
      <c r="BL446" s="3">
        <v>0.18387580000000001</v>
      </c>
      <c r="BM446" s="3" t="e">
        <v>#N/A</v>
      </c>
      <c r="BN446" s="3" t="e">
        <v>#N/A</v>
      </c>
    </row>
    <row r="447" spans="1:66" x14ac:dyDescent="0.35">
      <c r="A447" s="5">
        <f t="shared" si="6"/>
        <v>44081</v>
      </c>
      <c r="B447" t="s">
        <v>524</v>
      </c>
      <c r="C447" s="2">
        <v>0.1</v>
      </c>
      <c r="D447" s="2">
        <v>5.5599999999999997E-2</v>
      </c>
      <c r="E447" s="3">
        <v>5.6130300000000001E-2</v>
      </c>
      <c r="F447" s="3">
        <v>4.9280900000000002E-2</v>
      </c>
      <c r="G447" s="3">
        <v>3.9181599999999997E-2</v>
      </c>
      <c r="H447" s="3">
        <v>2.6741000000000001E-2</v>
      </c>
      <c r="I447" s="3">
        <v>1.33667E-2</v>
      </c>
      <c r="J447" s="3">
        <v>3.2449999999999997E-4</v>
      </c>
      <c r="K447" s="3">
        <v>-1.16419E-2</v>
      </c>
      <c r="L447" s="3">
        <v>-2.2558100000000001E-2</v>
      </c>
      <c r="M447" s="3">
        <v>-3.2642299999999999E-2</v>
      </c>
      <c r="N447" s="3">
        <v>-4.2088399999999998E-2</v>
      </c>
      <c r="O447" s="3">
        <v>-5.10515E-2</v>
      </c>
      <c r="P447" s="3">
        <v>-5.9592199999999998E-2</v>
      </c>
      <c r="Q447" s="3">
        <v>-6.7728700000000003E-2</v>
      </c>
      <c r="R447" s="3">
        <v>-7.5367100000000006E-2</v>
      </c>
      <c r="S447" s="3">
        <v>-8.2384799999999994E-2</v>
      </c>
      <c r="T447" s="3">
        <v>-8.8659399999999999E-2</v>
      </c>
      <c r="U447" s="3">
        <v>-9.4068399999999996E-2</v>
      </c>
      <c r="V447" s="3">
        <v>-9.8489199999999999E-2</v>
      </c>
      <c r="W447" s="3">
        <v>-0.1018324</v>
      </c>
      <c r="X447" s="3">
        <v>-0.1041228</v>
      </c>
      <c r="Y447" s="3">
        <v>-0.1054097</v>
      </c>
      <c r="Z447" s="3">
        <v>-0.10574260000000001</v>
      </c>
      <c r="AA447" s="3">
        <v>-0.10517079999999999</v>
      </c>
      <c r="AB447" s="3">
        <v>-0.10374360000000001</v>
      </c>
      <c r="AC447" s="3">
        <v>-0.1015112</v>
      </c>
      <c r="AD447" s="3">
        <v>-9.8526500000000003E-2</v>
      </c>
      <c r="AE447" s="3">
        <v>-9.48431E-2</v>
      </c>
      <c r="AF447" s="3">
        <v>-9.0514700000000003E-2</v>
      </c>
      <c r="AG447" s="3">
        <v>-8.5594900000000002E-2</v>
      </c>
      <c r="AH447" s="3">
        <v>-8.0137299999999995E-2</v>
      </c>
      <c r="AI447" s="3">
        <v>-7.4195700000000003E-2</v>
      </c>
      <c r="AJ447" s="3">
        <v>-6.7823599999999998E-2</v>
      </c>
      <c r="AK447" s="3">
        <v>-6.10746E-2</v>
      </c>
      <c r="AL447" s="3">
        <v>-5.4002599999999998E-2</v>
      </c>
      <c r="AM447" s="3">
        <v>-4.6661000000000001E-2</v>
      </c>
      <c r="AN447" s="3">
        <v>-3.9103499999999999E-2</v>
      </c>
      <c r="AO447" s="3">
        <v>-3.1377299999999997E-2</v>
      </c>
      <c r="AP447" s="3">
        <v>-2.3503699999999999E-2</v>
      </c>
      <c r="AQ447" s="3">
        <v>-1.5497500000000001E-2</v>
      </c>
      <c r="AR447" s="3">
        <v>-7.3734999999999998E-3</v>
      </c>
      <c r="AS447" s="3">
        <v>8.5340000000000004E-4</v>
      </c>
      <c r="AT447" s="3">
        <v>9.1686000000000007E-3</v>
      </c>
      <c r="AU447" s="3">
        <v>1.7557E-2</v>
      </c>
      <c r="AV447" s="3">
        <v>2.6003999999999999E-2</v>
      </c>
      <c r="AW447" s="3">
        <v>3.4494700000000003E-2</v>
      </c>
      <c r="AX447" s="3">
        <v>4.3014299999999998E-2</v>
      </c>
      <c r="AY447" s="3">
        <v>5.1547999999999997E-2</v>
      </c>
      <c r="AZ447" s="3">
        <v>6.0081000000000002E-2</v>
      </c>
      <c r="BA447" s="3">
        <v>6.8599800000000002E-2</v>
      </c>
      <c r="BB447" s="3">
        <v>7.7098200000000006E-2</v>
      </c>
      <c r="BC447" s="3">
        <v>8.5572599999999999E-2</v>
      </c>
      <c r="BD447" s="3">
        <v>9.4019099999999994E-2</v>
      </c>
      <c r="BE447" s="3">
        <v>0.1024342</v>
      </c>
      <c r="BF447" s="3">
        <v>0.1108141</v>
      </c>
      <c r="BG447" s="3">
        <v>0.1191551</v>
      </c>
      <c r="BH447" s="3">
        <v>0.12745339999999999</v>
      </c>
      <c r="BI447" s="3">
        <v>0.1357054</v>
      </c>
      <c r="BJ447" s="3">
        <v>0.14390729999999999</v>
      </c>
      <c r="BK447" s="3">
        <v>0.15205550000000001</v>
      </c>
      <c r="BL447" s="3">
        <v>0.16014610000000001</v>
      </c>
      <c r="BM447" s="3" t="e">
        <v>#N/A</v>
      </c>
      <c r="BN447" s="3" t="e">
        <v>#N/A</v>
      </c>
    </row>
    <row r="448" spans="1:66" x14ac:dyDescent="0.35">
      <c r="A448" s="5">
        <f t="shared" si="6"/>
        <v>44082</v>
      </c>
      <c r="B448" t="s">
        <v>525</v>
      </c>
      <c r="C448" s="2">
        <v>0.1</v>
      </c>
      <c r="D448" s="2">
        <v>5.57E-2</v>
      </c>
      <c r="E448" s="3">
        <v>5.6839300000000002E-2</v>
      </c>
      <c r="F448" s="3">
        <v>4.7691400000000002E-2</v>
      </c>
      <c r="G448" s="3">
        <v>3.4347500000000003E-2</v>
      </c>
      <c r="H448" s="3">
        <v>1.7526099999999999E-2</v>
      </c>
      <c r="I448" s="3">
        <v>-9.5770000000000002E-4</v>
      </c>
      <c r="J448" s="3">
        <v>-1.8915399999999999E-2</v>
      </c>
      <c r="K448" s="3">
        <v>-3.4824500000000001E-2</v>
      </c>
      <c r="L448" s="3">
        <v>-4.8547300000000002E-2</v>
      </c>
      <c r="M448" s="3">
        <v>-6.0408400000000001E-2</v>
      </c>
      <c r="N448" s="3">
        <v>-7.0894499999999999E-2</v>
      </c>
      <c r="O448" s="3">
        <v>-8.0406000000000005E-2</v>
      </c>
      <c r="P448" s="3">
        <v>-8.9213100000000004E-2</v>
      </c>
      <c r="Q448" s="3">
        <v>-9.7511600000000004E-2</v>
      </c>
      <c r="R448" s="3">
        <v>-0.1052638</v>
      </c>
      <c r="S448" s="3">
        <v>-0.1123736</v>
      </c>
      <c r="T448" s="3">
        <v>-0.11874469999999999</v>
      </c>
      <c r="U448" s="3">
        <v>-0.1242809</v>
      </c>
      <c r="V448" s="3">
        <v>-0.12888569999999999</v>
      </c>
      <c r="W448" s="3">
        <v>-0.1324873</v>
      </c>
      <c r="X448" s="3">
        <v>-0.1350973</v>
      </c>
      <c r="Y448" s="3">
        <v>-0.13674559999999999</v>
      </c>
      <c r="Z448" s="3">
        <v>-0.1374619</v>
      </c>
      <c r="AA448" s="3">
        <v>-0.13727590000000001</v>
      </c>
      <c r="AB448" s="3">
        <v>-0.13621759999999999</v>
      </c>
      <c r="AC448" s="3">
        <v>-0.1343211</v>
      </c>
      <c r="AD448" s="3">
        <v>-0.13163810000000001</v>
      </c>
      <c r="AE448" s="3">
        <v>-0.12822500000000001</v>
      </c>
      <c r="AF448" s="3">
        <v>-0.124138</v>
      </c>
      <c r="AG448" s="3">
        <v>-0.1194332</v>
      </c>
      <c r="AH448" s="3">
        <v>-0.114167</v>
      </c>
      <c r="AI448" s="3">
        <v>-0.10839559999999999</v>
      </c>
      <c r="AJ448" s="3">
        <v>-0.1021751</v>
      </c>
      <c r="AK448" s="3">
        <v>-9.5561900000000005E-2</v>
      </c>
      <c r="AL448" s="3">
        <v>-8.8612099999999999E-2</v>
      </c>
      <c r="AM448" s="3">
        <v>-8.1381999999999996E-2</v>
      </c>
      <c r="AN448" s="3">
        <v>-7.3927800000000002E-2</v>
      </c>
      <c r="AO448" s="3">
        <v>-6.62991E-2</v>
      </c>
      <c r="AP448" s="3">
        <v>-5.85187E-2</v>
      </c>
      <c r="AQ448" s="3">
        <v>-5.0602800000000003E-2</v>
      </c>
      <c r="AR448" s="3">
        <v>-4.2567599999999997E-2</v>
      </c>
      <c r="AS448" s="3">
        <v>-3.44292E-2</v>
      </c>
      <c r="AT448" s="3">
        <v>-2.6203899999999999E-2</v>
      </c>
      <c r="AU448" s="3">
        <v>-1.7907699999999999E-2</v>
      </c>
      <c r="AV448" s="3">
        <v>-9.5568000000000007E-3</v>
      </c>
      <c r="AW448" s="3">
        <v>-1.1676E-3</v>
      </c>
      <c r="AX448" s="3">
        <v>7.2439999999999996E-3</v>
      </c>
      <c r="AY448" s="3">
        <v>1.5661700000000001E-2</v>
      </c>
      <c r="AZ448" s="3">
        <v>2.4069400000000001E-2</v>
      </c>
      <c r="BA448" s="3">
        <v>3.2452599999999998E-2</v>
      </c>
      <c r="BB448" s="3">
        <v>4.08057E-2</v>
      </c>
      <c r="BC448" s="3">
        <v>4.9125500000000002E-2</v>
      </c>
      <c r="BD448" s="3">
        <v>5.7409099999999998E-2</v>
      </c>
      <c r="BE448" s="3">
        <v>6.5653400000000001E-2</v>
      </c>
      <c r="BF448" s="3">
        <v>7.3855199999999996E-2</v>
      </c>
      <c r="BG448" s="3">
        <v>8.2011600000000004E-2</v>
      </c>
      <c r="BH448" s="3">
        <v>9.0119400000000002E-2</v>
      </c>
      <c r="BI448" s="3">
        <v>9.8175700000000005E-2</v>
      </c>
      <c r="BJ448" s="3">
        <v>0.1061773</v>
      </c>
      <c r="BK448" s="3">
        <v>0.11412129999999999</v>
      </c>
      <c r="BL448" s="3">
        <v>0.1220044</v>
      </c>
      <c r="BM448" s="3" t="e">
        <v>#N/A</v>
      </c>
      <c r="BN448" s="3" t="e">
        <v>#N/A</v>
      </c>
    </row>
    <row r="449" spans="1:66" x14ac:dyDescent="0.35">
      <c r="A449" s="5">
        <f t="shared" si="6"/>
        <v>44083</v>
      </c>
      <c r="B449" t="s">
        <v>526</v>
      </c>
      <c r="C449" s="2">
        <v>0.1</v>
      </c>
      <c r="D449" s="2">
        <v>5.5E-2</v>
      </c>
      <c r="E449" s="3">
        <v>5.5388E-2</v>
      </c>
      <c r="F449" s="3">
        <v>4.6166199999999998E-2</v>
      </c>
      <c r="G449" s="3">
        <v>3.2051999999999997E-2</v>
      </c>
      <c r="H449" s="3">
        <v>1.47312E-2</v>
      </c>
      <c r="I449" s="3">
        <v>-3.0125E-3</v>
      </c>
      <c r="J449" s="3">
        <v>-1.9069099999999999E-2</v>
      </c>
      <c r="K449" s="3">
        <v>-3.2528099999999997E-2</v>
      </c>
      <c r="L449" s="3">
        <v>-4.38266E-2</v>
      </c>
      <c r="M449" s="3">
        <v>-5.36166E-2</v>
      </c>
      <c r="N449" s="3">
        <v>-6.2447099999999998E-2</v>
      </c>
      <c r="O449" s="3">
        <v>-7.0680699999999999E-2</v>
      </c>
      <c r="P449" s="3">
        <v>-7.8485600000000003E-2</v>
      </c>
      <c r="Q449" s="3">
        <v>-8.5921999999999998E-2</v>
      </c>
      <c r="R449" s="3">
        <v>-9.2908900000000003E-2</v>
      </c>
      <c r="S449" s="3">
        <v>-9.9332500000000004E-2</v>
      </c>
      <c r="T449" s="3">
        <v>-0.1050788</v>
      </c>
      <c r="U449" s="3">
        <v>-0.1100341</v>
      </c>
      <c r="V449" s="3">
        <v>-0.1140844</v>
      </c>
      <c r="W449" s="3">
        <v>-0.11714090000000001</v>
      </c>
      <c r="X449" s="3">
        <v>-0.1192008</v>
      </c>
      <c r="Y449" s="3">
        <v>-0.1202799</v>
      </c>
      <c r="Z449" s="3">
        <v>-0.1203938</v>
      </c>
      <c r="AA449" s="3">
        <v>-0.1195585</v>
      </c>
      <c r="AB449" s="3">
        <v>-0.11778959999999999</v>
      </c>
      <c r="AC449" s="3">
        <v>-0.1151108</v>
      </c>
      <c r="AD449" s="3">
        <v>-0.1115773</v>
      </c>
      <c r="AE449" s="3">
        <v>-0.107252</v>
      </c>
      <c r="AF449" s="3">
        <v>-0.1021981</v>
      </c>
      <c r="AG449" s="3">
        <v>-9.6478599999999998E-2</v>
      </c>
      <c r="AH449" s="3">
        <v>-9.0156500000000001E-2</v>
      </c>
      <c r="AI449" s="3">
        <v>-8.3294900000000005E-2</v>
      </c>
      <c r="AJ449" s="3">
        <v>-7.5956700000000002E-2</v>
      </c>
      <c r="AK449" s="3">
        <v>-6.8205100000000005E-2</v>
      </c>
      <c r="AL449" s="3">
        <v>-6.01031E-2</v>
      </c>
      <c r="AM449" s="3">
        <v>-5.1713700000000001E-2</v>
      </c>
      <c r="AN449" s="3">
        <v>-4.3099899999999997E-2</v>
      </c>
      <c r="AO449" s="3">
        <v>-3.4318899999999999E-2</v>
      </c>
      <c r="AP449" s="3">
        <v>-2.5398400000000002E-2</v>
      </c>
      <c r="AQ449" s="3">
        <v>-1.6357500000000001E-2</v>
      </c>
      <c r="AR449" s="3">
        <v>-7.2151000000000003E-3</v>
      </c>
      <c r="AS449" s="3">
        <v>2.0097000000000001E-3</v>
      </c>
      <c r="AT449" s="3">
        <v>1.1298000000000001E-2</v>
      </c>
      <c r="AU449" s="3">
        <v>2.0630800000000001E-2</v>
      </c>
      <c r="AV449" s="3">
        <v>2.9989100000000001E-2</v>
      </c>
      <c r="AW449" s="3">
        <v>3.9353899999999997E-2</v>
      </c>
      <c r="AX449" s="3">
        <v>4.8706199999999998E-2</v>
      </c>
      <c r="AY449" s="3">
        <v>5.8027099999999998E-2</v>
      </c>
      <c r="AZ449" s="3">
        <v>6.7297499999999996E-2</v>
      </c>
      <c r="BA449" s="3">
        <v>7.6501200000000005E-2</v>
      </c>
      <c r="BB449" s="3">
        <v>8.5633500000000001E-2</v>
      </c>
      <c r="BC449" s="3">
        <v>9.4693200000000005E-2</v>
      </c>
      <c r="BD449" s="3">
        <v>0.1036789</v>
      </c>
      <c r="BE449" s="3">
        <v>0.1125893</v>
      </c>
      <c r="BF449" s="3">
        <v>0.12142310000000001</v>
      </c>
      <c r="BG449" s="3">
        <v>0.13017899999999999</v>
      </c>
      <c r="BH449" s="3">
        <v>0.1388557</v>
      </c>
      <c r="BI449" s="3">
        <v>0.14745179999999999</v>
      </c>
      <c r="BJ449" s="3">
        <v>0.15596599999999999</v>
      </c>
      <c r="BK449" s="3">
        <v>0.16439699999999999</v>
      </c>
      <c r="BL449" s="3">
        <v>0.1727436</v>
      </c>
      <c r="BM449" s="3" t="e">
        <v>#N/A</v>
      </c>
      <c r="BN449" s="3" t="e">
        <v>#N/A</v>
      </c>
    </row>
    <row r="450" spans="1:66" x14ac:dyDescent="0.35">
      <c r="A450" s="5">
        <f t="shared" si="6"/>
        <v>44084</v>
      </c>
      <c r="B450" t="s">
        <v>527</v>
      </c>
      <c r="C450" s="2">
        <v>0.1</v>
      </c>
      <c r="D450" s="2">
        <v>5.5199999999999999E-2</v>
      </c>
      <c r="E450" s="3">
        <v>5.7174000000000003E-2</v>
      </c>
      <c r="F450" s="3">
        <v>4.5431300000000001E-2</v>
      </c>
      <c r="G450" s="3">
        <v>2.7200499999999999E-2</v>
      </c>
      <c r="H450" s="3">
        <v>4.7434E-3</v>
      </c>
      <c r="I450" s="3">
        <v>-1.8132300000000001E-2</v>
      </c>
      <c r="J450" s="3">
        <v>-3.8645800000000001E-2</v>
      </c>
      <c r="K450" s="3">
        <v>-5.5425000000000002E-2</v>
      </c>
      <c r="L450" s="3">
        <v>-6.8740099999999998E-2</v>
      </c>
      <c r="M450" s="3">
        <v>-7.9435900000000004E-2</v>
      </c>
      <c r="N450" s="3">
        <v>-8.8321200000000002E-2</v>
      </c>
      <c r="O450" s="3">
        <v>-9.6147800000000005E-2</v>
      </c>
      <c r="P450" s="3">
        <v>-0.103409</v>
      </c>
      <c r="Q450" s="3">
        <v>-0.1105898</v>
      </c>
      <c r="R450" s="3">
        <v>-0.1176422</v>
      </c>
      <c r="S450" s="3">
        <v>-0.1243715</v>
      </c>
      <c r="T450" s="3">
        <v>-0.13058310000000001</v>
      </c>
      <c r="U450" s="3">
        <v>-0.13608219999999999</v>
      </c>
      <c r="V450" s="3">
        <v>-0.1406742</v>
      </c>
      <c r="W450" s="3">
        <v>-0.1442042</v>
      </c>
      <c r="X450" s="3">
        <v>-0.14665449999999999</v>
      </c>
      <c r="Y450" s="3">
        <v>-0.1480371</v>
      </c>
      <c r="Z450" s="3">
        <v>-0.14836389999999999</v>
      </c>
      <c r="AA450" s="3">
        <v>-0.1476469</v>
      </c>
      <c r="AB450" s="3">
        <v>-0.1458979</v>
      </c>
      <c r="AC450" s="3">
        <v>-0.14313719999999999</v>
      </c>
      <c r="AD450" s="3">
        <v>-0.1394252</v>
      </c>
      <c r="AE450" s="3">
        <v>-0.13483419999999999</v>
      </c>
      <c r="AF450" s="3">
        <v>-0.1294371</v>
      </c>
      <c r="AG450" s="3">
        <v>-0.1233062</v>
      </c>
      <c r="AH450" s="3">
        <v>-0.1165142</v>
      </c>
      <c r="AI450" s="3">
        <v>-0.1091336</v>
      </c>
      <c r="AJ450" s="3">
        <v>-0.1012371</v>
      </c>
      <c r="AK450" s="3">
        <v>-9.2897099999999996E-2</v>
      </c>
      <c r="AL450" s="3">
        <v>-8.4186200000000003E-2</v>
      </c>
      <c r="AM450" s="3">
        <v>-7.5177099999999997E-2</v>
      </c>
      <c r="AN450" s="3">
        <v>-6.5942200000000006E-2</v>
      </c>
      <c r="AO450" s="3">
        <v>-5.6545999999999999E-2</v>
      </c>
      <c r="AP450" s="3">
        <v>-4.7017000000000003E-2</v>
      </c>
      <c r="AQ450" s="3">
        <v>-3.7373700000000003E-2</v>
      </c>
      <c r="AR450" s="3">
        <v>-2.7634700000000002E-2</v>
      </c>
      <c r="AS450" s="3">
        <v>-1.7818500000000001E-2</v>
      </c>
      <c r="AT450" s="3">
        <v>-7.9436999999999997E-3</v>
      </c>
      <c r="AU450" s="3">
        <v>1.9712000000000002E-3</v>
      </c>
      <c r="AV450" s="3">
        <v>1.19077E-2</v>
      </c>
      <c r="AW450" s="3">
        <v>2.1847100000000001E-2</v>
      </c>
      <c r="AX450" s="3">
        <v>3.1770899999999998E-2</v>
      </c>
      <c r="AY450" s="3">
        <v>4.1660599999999999E-2</v>
      </c>
      <c r="AZ450" s="3">
        <v>5.1497599999999998E-2</v>
      </c>
      <c r="BA450" s="3">
        <v>6.1265699999999999E-2</v>
      </c>
      <c r="BB450" s="3">
        <v>7.0959499999999995E-2</v>
      </c>
      <c r="BC450" s="3">
        <v>8.0575999999999995E-2</v>
      </c>
      <c r="BD450" s="3">
        <v>9.0112800000000007E-2</v>
      </c>
      <c r="BE450" s="3">
        <v>9.9567100000000006E-2</v>
      </c>
      <c r="BF450" s="3">
        <v>0.10893609999999999</v>
      </c>
      <c r="BG450" s="3">
        <v>0.1182173</v>
      </c>
      <c r="BH450" s="3">
        <v>0.12740789999999999</v>
      </c>
      <c r="BI450" s="3">
        <v>0.13650519999999999</v>
      </c>
      <c r="BJ450" s="3">
        <v>0.14550650000000001</v>
      </c>
      <c r="BK450" s="3">
        <v>0.1544093</v>
      </c>
      <c r="BL450" s="3">
        <v>0.16321069999999999</v>
      </c>
      <c r="BM450" s="3" t="e">
        <v>#N/A</v>
      </c>
      <c r="BN450" s="3" t="e">
        <v>#N/A</v>
      </c>
    </row>
    <row r="451" spans="1:66" x14ac:dyDescent="0.35">
      <c r="A451" s="5">
        <f t="shared" si="6"/>
        <v>44085</v>
      </c>
      <c r="B451" t="s">
        <v>528</v>
      </c>
      <c r="C451" s="2">
        <v>0.1</v>
      </c>
      <c r="D451" s="2">
        <v>5.6899999999999999E-2</v>
      </c>
      <c r="E451" s="3">
        <v>5.6108600000000002E-2</v>
      </c>
      <c r="F451" s="3">
        <v>4.1620799999999999E-2</v>
      </c>
      <c r="G451" s="3">
        <v>2.11557E-2</v>
      </c>
      <c r="H451" s="3">
        <v>-2.9632999999999999E-3</v>
      </c>
      <c r="I451" s="3">
        <v>-2.7030100000000001E-2</v>
      </c>
      <c r="J451" s="3">
        <v>-4.8199100000000002E-2</v>
      </c>
      <c r="K451" s="3">
        <v>-6.4986000000000002E-2</v>
      </c>
      <c r="L451" s="3">
        <v>-7.7812300000000001E-2</v>
      </c>
      <c r="M451" s="3">
        <v>-8.7830500000000006E-2</v>
      </c>
      <c r="N451" s="3">
        <v>-9.6081399999999997E-2</v>
      </c>
      <c r="O451" s="3">
        <v>-0.1033685</v>
      </c>
      <c r="P451" s="3">
        <v>-0.110163</v>
      </c>
      <c r="Q451" s="3">
        <v>-0.1168478</v>
      </c>
      <c r="R451" s="3">
        <v>-0.1233966</v>
      </c>
      <c r="S451" s="3">
        <v>-0.12965280000000001</v>
      </c>
      <c r="T451" s="3">
        <v>-0.13545950000000001</v>
      </c>
      <c r="U451" s="3">
        <v>-0.14066020000000001</v>
      </c>
      <c r="V451" s="3">
        <v>-0.145098</v>
      </c>
      <c r="W451" s="3">
        <v>-0.1486469</v>
      </c>
      <c r="X451" s="3">
        <v>-0.15128549999999999</v>
      </c>
      <c r="Y451" s="3">
        <v>-0.1530157</v>
      </c>
      <c r="Z451" s="3">
        <v>-0.153839</v>
      </c>
      <c r="AA451" s="3">
        <v>-0.1537569</v>
      </c>
      <c r="AB451" s="3">
        <v>-0.15277109999999999</v>
      </c>
      <c r="AC451" s="3">
        <v>-0.1508922</v>
      </c>
      <c r="AD451" s="3">
        <v>-0.14817040000000001</v>
      </c>
      <c r="AE451" s="3">
        <v>-0.1446672</v>
      </c>
      <c r="AF451" s="3">
        <v>-0.14044380000000001</v>
      </c>
      <c r="AG451" s="3">
        <v>-0.1355614</v>
      </c>
      <c r="AH451" s="3">
        <v>-0.13008140000000001</v>
      </c>
      <c r="AI451" s="3">
        <v>-0.12406499999999999</v>
      </c>
      <c r="AJ451" s="3">
        <v>-0.1175736</v>
      </c>
      <c r="AK451" s="3">
        <v>-0.1106684</v>
      </c>
      <c r="AL451" s="3">
        <v>-0.1034108</v>
      </c>
      <c r="AM451" s="3">
        <v>-9.58619E-2</v>
      </c>
      <c r="AN451" s="3">
        <v>-8.80832E-2</v>
      </c>
      <c r="AO451" s="3">
        <v>-8.0128400000000002E-2</v>
      </c>
      <c r="AP451" s="3">
        <v>-7.2021799999999997E-2</v>
      </c>
      <c r="AQ451" s="3">
        <v>-6.3780199999999995E-2</v>
      </c>
      <c r="AR451" s="3">
        <v>-5.5420299999999999E-2</v>
      </c>
      <c r="AS451" s="3">
        <v>-4.6959000000000001E-2</v>
      </c>
      <c r="AT451" s="3">
        <v>-3.84129E-2</v>
      </c>
      <c r="AU451" s="3">
        <v>-2.9798999999999999E-2</v>
      </c>
      <c r="AV451" s="3">
        <v>-2.1134E-2</v>
      </c>
      <c r="AW451" s="3">
        <v>-1.24347E-2</v>
      </c>
      <c r="AX451" s="3">
        <v>-3.7179000000000001E-3</v>
      </c>
      <c r="AY451" s="3">
        <v>4.9997000000000002E-3</v>
      </c>
      <c r="AZ451" s="3">
        <v>1.37013E-2</v>
      </c>
      <c r="BA451" s="3">
        <v>2.2372199999999998E-2</v>
      </c>
      <c r="BB451" s="3">
        <v>3.1007E-2</v>
      </c>
      <c r="BC451" s="3">
        <v>3.9602999999999999E-2</v>
      </c>
      <c r="BD451" s="3">
        <v>4.8157499999999999E-2</v>
      </c>
      <c r="BE451" s="3">
        <v>5.6667799999999997E-2</v>
      </c>
      <c r="BF451" s="3">
        <v>6.5131099999999997E-2</v>
      </c>
      <c r="BG451" s="3">
        <v>7.3544600000000002E-2</v>
      </c>
      <c r="BH451" s="3">
        <v>8.1905599999999995E-2</v>
      </c>
      <c r="BI451" s="3">
        <v>9.0211399999999997E-2</v>
      </c>
      <c r="BJ451" s="3">
        <v>9.84593E-2</v>
      </c>
      <c r="BK451" s="3">
        <v>0.1066464</v>
      </c>
      <c r="BL451" s="3">
        <v>0.1147701</v>
      </c>
      <c r="BM451" s="3" t="e">
        <v>#N/A</v>
      </c>
      <c r="BN451" s="3" t="e">
        <v>#N/A</v>
      </c>
    </row>
    <row r="452" spans="1:66" x14ac:dyDescent="0.35">
      <c r="A452" s="5">
        <f t="shared" si="6"/>
        <v>44088</v>
      </c>
      <c r="B452" t="s">
        <v>529</v>
      </c>
      <c r="C452" s="2">
        <v>0.1</v>
      </c>
      <c r="D452" s="2">
        <v>5.57E-2</v>
      </c>
      <c r="E452" s="3">
        <v>5.4200699999999997E-2</v>
      </c>
      <c r="F452" s="3">
        <v>3.9263300000000001E-2</v>
      </c>
      <c r="G452" s="3">
        <v>1.8698300000000001E-2</v>
      </c>
      <c r="H452" s="3">
        <v>-5.2957999999999998E-3</v>
      </c>
      <c r="I452" s="3">
        <v>-2.8707400000000001E-2</v>
      </c>
      <c r="J452" s="3">
        <v>-4.8901300000000002E-2</v>
      </c>
      <c r="K452" s="3">
        <v>-6.4942899999999998E-2</v>
      </c>
      <c r="L452" s="3">
        <v>-7.7456899999999995E-2</v>
      </c>
      <c r="M452" s="3">
        <v>-8.7401000000000006E-2</v>
      </c>
      <c r="N452" s="3">
        <v>-9.5600099999999993E-2</v>
      </c>
      <c r="O452" s="3">
        <v>-0.10269639999999999</v>
      </c>
      <c r="P452" s="3">
        <v>-0.10908619999999999</v>
      </c>
      <c r="Q452" s="3">
        <v>-0.1150915</v>
      </c>
      <c r="R452" s="3">
        <v>-0.1207173</v>
      </c>
      <c r="S452" s="3">
        <v>-0.12588479999999999</v>
      </c>
      <c r="T452" s="3">
        <v>-0.1305154</v>
      </c>
      <c r="U452" s="3">
        <v>-0.13453019999999999</v>
      </c>
      <c r="V452" s="3">
        <v>-0.1378508</v>
      </c>
      <c r="W452" s="3">
        <v>-0.14041490000000001</v>
      </c>
      <c r="X452" s="3">
        <v>-0.14221780000000001</v>
      </c>
      <c r="Y452" s="3">
        <v>-0.14326749999999999</v>
      </c>
      <c r="Z452" s="3">
        <v>-0.14357139999999999</v>
      </c>
      <c r="AA452" s="3">
        <v>-0.1431374</v>
      </c>
      <c r="AB452" s="3">
        <v>-0.14197319999999999</v>
      </c>
      <c r="AC452" s="3">
        <v>-0.1400921</v>
      </c>
      <c r="AD452" s="3">
        <v>-0.1375294</v>
      </c>
      <c r="AE452" s="3">
        <v>-0.13432630000000001</v>
      </c>
      <c r="AF452" s="3">
        <v>-0.1305238</v>
      </c>
      <c r="AG452" s="3">
        <v>-0.12616279999999999</v>
      </c>
      <c r="AH452" s="3">
        <v>-0.1212844</v>
      </c>
      <c r="AI452" s="3">
        <v>-0.1159297</v>
      </c>
      <c r="AJ452" s="3">
        <v>-0.11013969999999999</v>
      </c>
      <c r="AK452" s="3">
        <v>-0.1039553</v>
      </c>
      <c r="AL452" s="3">
        <v>-9.7417599999999993E-2</v>
      </c>
      <c r="AM452" s="3">
        <v>-9.0567700000000001E-2</v>
      </c>
      <c r="AN452" s="3">
        <v>-8.3446500000000007E-2</v>
      </c>
      <c r="AO452" s="3">
        <v>-7.6091500000000006E-2</v>
      </c>
      <c r="AP452" s="3">
        <v>-6.8525799999999998E-2</v>
      </c>
      <c r="AQ452" s="3">
        <v>-6.0768900000000001E-2</v>
      </c>
      <c r="AR452" s="3">
        <v>-5.2840400000000003E-2</v>
      </c>
      <c r="AS452" s="3">
        <v>-4.4759699999999999E-2</v>
      </c>
      <c r="AT452" s="3">
        <v>-3.6546299999999997E-2</v>
      </c>
      <c r="AU452" s="3">
        <v>-2.8219899999999999E-2</v>
      </c>
      <c r="AV452" s="3">
        <v>-1.9799799999999999E-2</v>
      </c>
      <c r="AW452" s="3">
        <v>-1.13057E-2</v>
      </c>
      <c r="AX452" s="3">
        <v>-2.7569999999999999E-3</v>
      </c>
      <c r="AY452" s="3">
        <v>5.8268E-3</v>
      </c>
      <c r="AZ452" s="3">
        <v>1.4426100000000001E-2</v>
      </c>
      <c r="BA452" s="3">
        <v>2.3023200000000001E-2</v>
      </c>
      <c r="BB452" s="3">
        <v>3.1610199999999998E-2</v>
      </c>
      <c r="BC452" s="3">
        <v>4.01824E-2</v>
      </c>
      <c r="BD452" s="3">
        <v>4.8735300000000002E-2</v>
      </c>
      <c r="BE452" s="3">
        <v>5.7264099999999998E-2</v>
      </c>
      <c r="BF452" s="3">
        <v>6.5764199999999995E-2</v>
      </c>
      <c r="BG452" s="3">
        <v>7.4231000000000005E-2</v>
      </c>
      <c r="BH452" s="3">
        <v>8.2659800000000005E-2</v>
      </c>
      <c r="BI452" s="3">
        <v>9.1046000000000002E-2</v>
      </c>
      <c r="BJ452" s="3">
        <v>9.9384899999999998E-2</v>
      </c>
      <c r="BK452" s="3">
        <v>0.1076719</v>
      </c>
      <c r="BL452" s="3">
        <v>0.1159023</v>
      </c>
      <c r="BM452" s="3" t="e">
        <v>#N/A</v>
      </c>
      <c r="BN452" s="3" t="e">
        <v>#N/A</v>
      </c>
    </row>
    <row r="453" spans="1:66" x14ac:dyDescent="0.35">
      <c r="A453" s="5">
        <f t="shared" si="6"/>
        <v>44089</v>
      </c>
      <c r="B453" t="s">
        <v>530</v>
      </c>
      <c r="C453" s="2">
        <v>0.1</v>
      </c>
      <c r="D453" s="2">
        <v>5.5599999999999997E-2</v>
      </c>
      <c r="E453" s="3">
        <v>5.57893E-2</v>
      </c>
      <c r="F453" s="3">
        <v>4.27651E-2</v>
      </c>
      <c r="G453" s="3">
        <v>2.38096E-2</v>
      </c>
      <c r="H453" s="3">
        <v>1.1876E-3</v>
      </c>
      <c r="I453" s="3">
        <v>-2.1453799999999999E-2</v>
      </c>
      <c r="J453" s="3">
        <v>-4.1497100000000002E-2</v>
      </c>
      <c r="K453" s="3">
        <v>-5.7425499999999997E-2</v>
      </c>
      <c r="L453" s="3">
        <v>-6.9372699999999995E-2</v>
      </c>
      <c r="M453" s="3">
        <v>-7.8075400000000003E-2</v>
      </c>
      <c r="N453" s="3">
        <v>-8.4493299999999993E-2</v>
      </c>
      <c r="O453" s="3">
        <v>-8.9425599999999994E-2</v>
      </c>
      <c r="P453" s="3">
        <v>-9.3532599999999994E-2</v>
      </c>
      <c r="Q453" s="3">
        <v>-9.74357E-2</v>
      </c>
      <c r="R453" s="3">
        <v>-0.1012083</v>
      </c>
      <c r="S453" s="3">
        <v>-0.1047777</v>
      </c>
      <c r="T453" s="3">
        <v>-0.1080715</v>
      </c>
      <c r="U453" s="3">
        <v>-0.1110172</v>
      </c>
      <c r="V453" s="3">
        <v>-0.1135422</v>
      </c>
      <c r="W453" s="3">
        <v>-0.11557870000000001</v>
      </c>
      <c r="X453" s="3">
        <v>-0.1170751</v>
      </c>
      <c r="Y453" s="3">
        <v>-0.1179834</v>
      </c>
      <c r="Z453" s="3">
        <v>-0.1182555</v>
      </c>
      <c r="AA453" s="3">
        <v>-0.1178432</v>
      </c>
      <c r="AB453" s="3">
        <v>-0.1166985</v>
      </c>
      <c r="AC453" s="3">
        <v>-0.11478969999999999</v>
      </c>
      <c r="AD453" s="3">
        <v>-0.1121505</v>
      </c>
      <c r="AE453" s="3">
        <v>-0.108831</v>
      </c>
      <c r="AF453" s="3">
        <v>-0.10488119999999999</v>
      </c>
      <c r="AG453" s="3">
        <v>-0.1003513</v>
      </c>
      <c r="AH453" s="3">
        <v>-9.5291399999999998E-2</v>
      </c>
      <c r="AI453" s="3">
        <v>-8.9751499999999998E-2</v>
      </c>
      <c r="AJ453" s="3">
        <v>-8.3781800000000003E-2</v>
      </c>
      <c r="AK453" s="3">
        <v>-7.7432299999999996E-2</v>
      </c>
      <c r="AL453" s="3">
        <v>-7.0753099999999999E-2</v>
      </c>
      <c r="AM453" s="3">
        <v>-6.3794400000000001E-2</v>
      </c>
      <c r="AN453" s="3">
        <v>-5.6606200000000002E-2</v>
      </c>
      <c r="AO453" s="3">
        <v>-4.9233100000000002E-2</v>
      </c>
      <c r="AP453" s="3">
        <v>-4.1697999999999999E-2</v>
      </c>
      <c r="AQ453" s="3">
        <v>-3.4018100000000003E-2</v>
      </c>
      <c r="AR453" s="3">
        <v>-2.6210899999999999E-2</v>
      </c>
      <c r="AS453" s="3">
        <v>-1.8293500000000001E-2</v>
      </c>
      <c r="AT453" s="3">
        <v>-1.02834E-2</v>
      </c>
      <c r="AU453" s="3">
        <v>-2.1979E-3</v>
      </c>
      <c r="AV453" s="3">
        <v>5.9456999999999999E-3</v>
      </c>
      <c r="AW453" s="3">
        <v>1.413E-2</v>
      </c>
      <c r="AX453" s="3">
        <v>2.2337800000000001E-2</v>
      </c>
      <c r="AY453" s="3">
        <v>3.0551700000000001E-2</v>
      </c>
      <c r="AZ453" s="3">
        <v>3.8754400000000001E-2</v>
      </c>
      <c r="BA453" s="3">
        <v>4.6930600000000003E-2</v>
      </c>
      <c r="BB453" s="3">
        <v>5.5075199999999998E-2</v>
      </c>
      <c r="BC453" s="3">
        <v>6.3186099999999995E-2</v>
      </c>
      <c r="BD453" s="3">
        <v>7.12613E-2</v>
      </c>
      <c r="BE453" s="3">
        <v>7.92987E-2</v>
      </c>
      <c r="BF453" s="3">
        <v>8.7296100000000001E-2</v>
      </c>
      <c r="BG453" s="3">
        <v>9.5251600000000006E-2</v>
      </c>
      <c r="BH453" s="3">
        <v>0.10316309999999999</v>
      </c>
      <c r="BI453" s="3">
        <v>0.1110285</v>
      </c>
      <c r="BJ453" s="3">
        <v>0.1188457</v>
      </c>
      <c r="BK453" s="3">
        <v>0.12661269999999999</v>
      </c>
      <c r="BL453" s="3">
        <v>0.13432749999999999</v>
      </c>
      <c r="BM453" s="3" t="e">
        <v>#N/A</v>
      </c>
      <c r="BN453" s="3" t="e">
        <v>#N/A</v>
      </c>
    </row>
    <row r="454" spans="1:66" x14ac:dyDescent="0.35">
      <c r="A454" s="5">
        <f t="shared" si="6"/>
        <v>44090</v>
      </c>
      <c r="B454" t="s">
        <v>531</v>
      </c>
      <c r="C454" s="2">
        <v>0.1</v>
      </c>
      <c r="D454" s="2">
        <v>5.5800000000000002E-2</v>
      </c>
      <c r="E454" s="3">
        <v>5.4809299999999998E-2</v>
      </c>
      <c r="F454" s="3">
        <v>4.3919100000000003E-2</v>
      </c>
      <c r="G454" s="3">
        <v>2.9460299999999998E-2</v>
      </c>
      <c r="H454" s="3">
        <v>1.26129E-2</v>
      </c>
      <c r="I454" s="3">
        <v>-4.4815999999999996E-3</v>
      </c>
      <c r="J454" s="3">
        <v>-2.0196800000000001E-2</v>
      </c>
      <c r="K454" s="3">
        <v>-3.3765700000000003E-2</v>
      </c>
      <c r="L454" s="3">
        <v>-4.53625E-2</v>
      </c>
      <c r="M454" s="3">
        <v>-5.5424000000000001E-2</v>
      </c>
      <c r="N454" s="3">
        <v>-6.4375000000000002E-2</v>
      </c>
      <c r="O454" s="3">
        <v>-7.2495900000000002E-2</v>
      </c>
      <c r="P454" s="3">
        <v>-7.9957700000000007E-2</v>
      </c>
      <c r="Q454" s="3">
        <v>-8.6905099999999999E-2</v>
      </c>
      <c r="R454" s="3">
        <v>-9.3321500000000002E-2</v>
      </c>
      <c r="S454" s="3">
        <v>-9.9147799999999994E-2</v>
      </c>
      <c r="T454" s="3">
        <v>-0.104325</v>
      </c>
      <c r="U454" s="3">
        <v>-0.108794</v>
      </c>
      <c r="V454" s="3">
        <v>-0.1124957</v>
      </c>
      <c r="W454" s="3">
        <v>-0.1153829</v>
      </c>
      <c r="X454" s="3">
        <v>-0.11745</v>
      </c>
      <c r="Y454" s="3">
        <v>-0.1187</v>
      </c>
      <c r="Z454" s="3">
        <v>-0.11913609999999999</v>
      </c>
      <c r="AA454" s="3">
        <v>-0.1187613</v>
      </c>
      <c r="AB454" s="3">
        <v>-0.1175788</v>
      </c>
      <c r="AC454" s="3">
        <v>-0.1156003</v>
      </c>
      <c r="AD454" s="3">
        <v>-0.11287179999999999</v>
      </c>
      <c r="AE454" s="3">
        <v>-0.109448</v>
      </c>
      <c r="AF454" s="3">
        <v>-0.10538359999999999</v>
      </c>
      <c r="AG454" s="3">
        <v>-0.100733</v>
      </c>
      <c r="AH454" s="3">
        <v>-9.55511E-2</v>
      </c>
      <c r="AI454" s="3">
        <v>-8.9892299999999994E-2</v>
      </c>
      <c r="AJ454" s="3">
        <v>-8.3811499999999997E-2</v>
      </c>
      <c r="AK454" s="3">
        <v>-7.7363100000000004E-2</v>
      </c>
      <c r="AL454" s="3">
        <v>-7.0601800000000006E-2</v>
      </c>
      <c r="AM454" s="3">
        <v>-6.3582299999999994E-2</v>
      </c>
      <c r="AN454" s="3">
        <v>-5.6359300000000001E-2</v>
      </c>
      <c r="AO454" s="3">
        <v>-4.8981999999999998E-2</v>
      </c>
      <c r="AP454" s="3">
        <v>-4.1474400000000002E-2</v>
      </c>
      <c r="AQ454" s="3">
        <v>-3.3852500000000001E-2</v>
      </c>
      <c r="AR454" s="3">
        <v>-2.61324E-2</v>
      </c>
      <c r="AS454" s="3">
        <v>-1.8330200000000001E-2</v>
      </c>
      <c r="AT454" s="3">
        <v>-1.04619E-2</v>
      </c>
      <c r="AU454" s="3">
        <v>-2.5436E-3</v>
      </c>
      <c r="AV454" s="3">
        <v>5.4085000000000001E-3</v>
      </c>
      <c r="AW454" s="3">
        <v>1.33785E-2</v>
      </c>
      <c r="AX454" s="3">
        <v>2.13502E-2</v>
      </c>
      <c r="AY454" s="3">
        <v>2.93076E-2</v>
      </c>
      <c r="AZ454" s="3">
        <v>3.72346E-2</v>
      </c>
      <c r="BA454" s="3">
        <v>4.5117499999999998E-2</v>
      </c>
      <c r="BB454" s="3">
        <v>5.2953E-2</v>
      </c>
      <c r="BC454" s="3">
        <v>6.0740599999999999E-2</v>
      </c>
      <c r="BD454" s="3">
        <v>6.8480100000000002E-2</v>
      </c>
      <c r="BE454" s="3">
        <v>7.6170799999999997E-2</v>
      </c>
      <c r="BF454" s="3">
        <v>8.3812499999999998E-2</v>
      </c>
      <c r="BG454" s="3">
        <v>9.1404700000000005E-2</v>
      </c>
      <c r="BH454" s="3">
        <v>9.8946900000000004E-2</v>
      </c>
      <c r="BI454" s="3">
        <v>0.1064388</v>
      </c>
      <c r="BJ454" s="3">
        <v>0.11388</v>
      </c>
      <c r="BK454" s="3">
        <v>0.12127</v>
      </c>
      <c r="BL454" s="3">
        <v>0.12860840000000001</v>
      </c>
      <c r="BM454" s="3" t="e">
        <v>#N/A</v>
      </c>
      <c r="BN454" s="3" t="e">
        <v>#N/A</v>
      </c>
    </row>
    <row r="455" spans="1:66" x14ac:dyDescent="0.35">
      <c r="A455" s="5">
        <f t="shared" si="6"/>
        <v>44091</v>
      </c>
      <c r="B455" t="s">
        <v>532</v>
      </c>
      <c r="C455" s="2">
        <v>0.1</v>
      </c>
      <c r="D455" s="2">
        <v>5.4600000000000003E-2</v>
      </c>
      <c r="E455" s="3">
        <v>5.5424099999999997E-2</v>
      </c>
      <c r="F455" s="3">
        <v>4.1882799999999998E-2</v>
      </c>
      <c r="G455" s="3">
        <v>2.3769100000000001E-2</v>
      </c>
      <c r="H455" s="3">
        <v>1.1615E-3</v>
      </c>
      <c r="I455" s="3">
        <v>-2.3482200000000002E-2</v>
      </c>
      <c r="J455" s="3">
        <v>-4.7648500000000003E-2</v>
      </c>
      <c r="K455" s="3">
        <v>-6.9736900000000004E-2</v>
      </c>
      <c r="L455" s="3">
        <v>-8.9073600000000003E-2</v>
      </c>
      <c r="M455" s="3">
        <v>-0.1055278</v>
      </c>
      <c r="N455" s="3">
        <v>-0.1193239</v>
      </c>
      <c r="O455" s="3">
        <v>-0.1309823</v>
      </c>
      <c r="P455" s="3">
        <v>-0.1409926</v>
      </c>
      <c r="Q455" s="3">
        <v>-0.14989169999999999</v>
      </c>
      <c r="R455" s="3">
        <v>-0.15779380000000001</v>
      </c>
      <c r="S455" s="3">
        <v>-0.16469520000000001</v>
      </c>
      <c r="T455" s="3">
        <v>-0.17059199999999999</v>
      </c>
      <c r="U455" s="3">
        <v>-0.17548059999999999</v>
      </c>
      <c r="V455" s="3">
        <v>-0.17935719999999999</v>
      </c>
      <c r="W455" s="3">
        <v>-0.18222389999999999</v>
      </c>
      <c r="X455" s="3">
        <v>-0.18410270000000001</v>
      </c>
      <c r="Y455" s="3">
        <v>-0.18501999999999999</v>
      </c>
      <c r="Z455" s="3">
        <v>-0.185002</v>
      </c>
      <c r="AA455" s="3">
        <v>-0.18407509999999999</v>
      </c>
      <c r="AB455" s="3">
        <v>-0.1822656</v>
      </c>
      <c r="AC455" s="3">
        <v>-0.1796046</v>
      </c>
      <c r="AD455" s="3">
        <v>-0.1761453</v>
      </c>
      <c r="AE455" s="3">
        <v>-0.17194809999999999</v>
      </c>
      <c r="AF455" s="3">
        <v>-0.16707320000000001</v>
      </c>
      <c r="AG455" s="3">
        <v>-0.16158069999999999</v>
      </c>
      <c r="AH455" s="3">
        <v>-0.15553110000000001</v>
      </c>
      <c r="AI455" s="3">
        <v>-0.14898439999999999</v>
      </c>
      <c r="AJ455" s="3">
        <v>-0.14200099999999999</v>
      </c>
      <c r="AK455" s="3">
        <v>-0.13464110000000001</v>
      </c>
      <c r="AL455" s="3">
        <v>-0.12696489999999999</v>
      </c>
      <c r="AM455" s="3">
        <v>-0.1190326</v>
      </c>
      <c r="AN455" s="3">
        <v>-0.11090460000000001</v>
      </c>
      <c r="AO455" s="3">
        <v>-0.10263410000000001</v>
      </c>
      <c r="AP455" s="3">
        <v>-9.4243800000000003E-2</v>
      </c>
      <c r="AQ455" s="3">
        <v>-8.5748000000000005E-2</v>
      </c>
      <c r="AR455" s="3">
        <v>-7.7160800000000002E-2</v>
      </c>
      <c r="AS455" s="3">
        <v>-6.8496699999999994E-2</v>
      </c>
      <c r="AT455" s="3">
        <v>-5.9769700000000002E-2</v>
      </c>
      <c r="AU455" s="3">
        <v>-5.0994200000000003E-2</v>
      </c>
      <c r="AV455" s="3">
        <v>-4.2184300000000001E-2</v>
      </c>
      <c r="AW455" s="3">
        <v>-3.3354500000000002E-2</v>
      </c>
      <c r="AX455" s="3">
        <v>-2.45188E-2</v>
      </c>
      <c r="AY455" s="3">
        <v>-1.5691500000000001E-2</v>
      </c>
      <c r="AZ455" s="3">
        <v>-6.8869999999999999E-3</v>
      </c>
      <c r="BA455" s="3">
        <v>1.8827E-3</v>
      </c>
      <c r="BB455" s="3">
        <v>1.06143E-2</v>
      </c>
      <c r="BC455" s="3">
        <v>1.9307299999999999E-2</v>
      </c>
      <c r="BD455" s="3">
        <v>2.79609E-2</v>
      </c>
      <c r="BE455" s="3">
        <v>3.6574500000000003E-2</v>
      </c>
      <c r="BF455" s="3">
        <v>4.51475E-2</v>
      </c>
      <c r="BG455" s="3">
        <v>5.3679200000000003E-2</v>
      </c>
      <c r="BH455" s="3">
        <v>6.2168899999999999E-2</v>
      </c>
      <c r="BI455" s="3">
        <v>7.0615999999999998E-2</v>
      </c>
      <c r="BJ455" s="3">
        <v>7.9019900000000004E-2</v>
      </c>
      <c r="BK455" s="3">
        <v>8.7379899999999996E-2</v>
      </c>
      <c r="BL455" s="3">
        <v>9.5695299999999997E-2</v>
      </c>
      <c r="BM455" s="3" t="e">
        <v>#N/A</v>
      </c>
      <c r="BN455" s="3" t="e">
        <v>#N/A</v>
      </c>
    </row>
    <row r="456" spans="1:66" x14ac:dyDescent="0.35">
      <c r="A456" s="5">
        <f t="shared" si="6"/>
        <v>44092</v>
      </c>
      <c r="B456" t="s">
        <v>533</v>
      </c>
      <c r="C456" s="2">
        <v>0.1</v>
      </c>
      <c r="D456" s="2">
        <v>5.3999999999999999E-2</v>
      </c>
      <c r="E456" s="3">
        <v>5.4100700000000002E-2</v>
      </c>
      <c r="F456" s="3">
        <v>3.9123699999999997E-2</v>
      </c>
      <c r="G456" s="3">
        <v>2.15734E-2</v>
      </c>
      <c r="H456" s="3">
        <v>-8.3980000000000003E-4</v>
      </c>
      <c r="I456" s="3">
        <v>-2.5878499999999999E-2</v>
      </c>
      <c r="J456" s="3">
        <v>-5.1424600000000001E-2</v>
      </c>
      <c r="K456" s="3">
        <v>-7.4723800000000007E-2</v>
      </c>
      <c r="L456" s="3">
        <v>-9.4126899999999999E-2</v>
      </c>
      <c r="M456" s="3">
        <v>-0.10979</v>
      </c>
      <c r="N456" s="3">
        <v>-0.12237969999999999</v>
      </c>
      <c r="O456" s="3">
        <v>-0.13267570000000001</v>
      </c>
      <c r="P456" s="3">
        <v>-0.14134749999999999</v>
      </c>
      <c r="Q456" s="3">
        <v>-0.14901</v>
      </c>
      <c r="R456" s="3">
        <v>-0.15581449999999999</v>
      </c>
      <c r="S456" s="3">
        <v>-0.16176560000000001</v>
      </c>
      <c r="T456" s="3">
        <v>-0.16686770000000001</v>
      </c>
      <c r="U456" s="3">
        <v>-0.17112530000000001</v>
      </c>
      <c r="V456" s="3">
        <v>-0.1745429</v>
      </c>
      <c r="W456" s="3">
        <v>-0.1771279</v>
      </c>
      <c r="X456" s="3">
        <v>-0.17889749999999999</v>
      </c>
      <c r="Y456" s="3">
        <v>-0.17987120000000001</v>
      </c>
      <c r="Z456" s="3">
        <v>-0.1800687</v>
      </c>
      <c r="AA456" s="3">
        <v>-0.17950930000000001</v>
      </c>
      <c r="AB456" s="3">
        <v>-0.1782125</v>
      </c>
      <c r="AC456" s="3">
        <v>-0.17620130000000001</v>
      </c>
      <c r="AD456" s="3">
        <v>-0.1735138</v>
      </c>
      <c r="AE456" s="3">
        <v>-0.17019239999999999</v>
      </c>
      <c r="AF456" s="3">
        <v>-0.16627939999999999</v>
      </c>
      <c r="AG456" s="3">
        <v>-0.16181709999999999</v>
      </c>
      <c r="AH456" s="3">
        <v>-0.15684790000000001</v>
      </c>
      <c r="AI456" s="3">
        <v>-0.15141399999999999</v>
      </c>
      <c r="AJ456" s="3">
        <v>-0.14555779999999999</v>
      </c>
      <c r="AK456" s="3">
        <v>-0.13932169999999999</v>
      </c>
      <c r="AL456" s="3">
        <v>-0.132748</v>
      </c>
      <c r="AM456" s="3">
        <v>-0.12587899999999999</v>
      </c>
      <c r="AN456" s="3">
        <v>-0.1187571</v>
      </c>
      <c r="AO456" s="3">
        <v>-0.11142009999999999</v>
      </c>
      <c r="AP456" s="3">
        <v>-0.10388799999999999</v>
      </c>
      <c r="AQ456" s="3">
        <v>-9.6176600000000001E-2</v>
      </c>
      <c r="AR456" s="3">
        <v>-8.8301400000000002E-2</v>
      </c>
      <c r="AS456" s="3">
        <v>-8.0278000000000002E-2</v>
      </c>
      <c r="AT456" s="3">
        <v>-7.2122000000000006E-2</v>
      </c>
      <c r="AU456" s="3">
        <v>-6.3849199999999995E-2</v>
      </c>
      <c r="AV456" s="3">
        <v>-5.5474900000000001E-2</v>
      </c>
      <c r="AW456" s="3">
        <v>-4.7015000000000001E-2</v>
      </c>
      <c r="AX456" s="3">
        <v>-3.8484900000000002E-2</v>
      </c>
      <c r="AY456" s="3">
        <v>-2.9900400000000001E-2</v>
      </c>
      <c r="AZ456" s="3">
        <v>-2.1277000000000001E-2</v>
      </c>
      <c r="BA456" s="3">
        <v>-1.2628800000000001E-2</v>
      </c>
      <c r="BB456" s="3">
        <v>-3.9638E-3</v>
      </c>
      <c r="BC456" s="3">
        <v>4.7121000000000003E-3</v>
      </c>
      <c r="BD456" s="3">
        <v>1.33927E-2</v>
      </c>
      <c r="BE456" s="3">
        <v>2.2072000000000001E-2</v>
      </c>
      <c r="BF456" s="3">
        <v>3.0744E-2</v>
      </c>
      <c r="BG456" s="3">
        <v>3.94025E-2</v>
      </c>
      <c r="BH456" s="3">
        <v>4.8041500000000001E-2</v>
      </c>
      <c r="BI456" s="3">
        <v>5.6654999999999997E-2</v>
      </c>
      <c r="BJ456" s="3">
        <v>6.52369E-2</v>
      </c>
      <c r="BK456" s="3">
        <v>7.3780999999999999E-2</v>
      </c>
      <c r="BL456" s="3">
        <v>8.2281400000000005E-2</v>
      </c>
      <c r="BM456" s="3" t="e">
        <v>#N/A</v>
      </c>
      <c r="BN456" s="3" t="e">
        <v>#N/A</v>
      </c>
    </row>
    <row r="457" spans="1:66" x14ac:dyDescent="0.35">
      <c r="A457" s="5">
        <f t="shared" si="6"/>
        <v>44095</v>
      </c>
      <c r="B457" t="s">
        <v>534</v>
      </c>
      <c r="C457" s="2">
        <v>0.1</v>
      </c>
      <c r="D457" s="2">
        <v>5.3800000000000001E-2</v>
      </c>
      <c r="E457" s="3">
        <v>5.4462999999999998E-2</v>
      </c>
      <c r="F457" s="3">
        <v>3.9765399999999999E-2</v>
      </c>
      <c r="G457" s="3">
        <v>2.0558699999999999E-2</v>
      </c>
      <c r="H457" s="3">
        <v>-1.9423999999999999E-3</v>
      </c>
      <c r="I457" s="3">
        <v>-2.4497600000000001E-2</v>
      </c>
      <c r="J457" s="3">
        <v>-4.4987600000000003E-2</v>
      </c>
      <c r="K457" s="3">
        <v>-6.2783199999999997E-2</v>
      </c>
      <c r="L457" s="3">
        <v>-7.8262600000000002E-2</v>
      </c>
      <c r="M457" s="3">
        <v>-9.1957200000000003E-2</v>
      </c>
      <c r="N457" s="3">
        <v>-0.1042781</v>
      </c>
      <c r="O457" s="3">
        <v>-0.11550920000000001</v>
      </c>
      <c r="P457" s="3">
        <v>-0.125863</v>
      </c>
      <c r="Q457" s="3">
        <v>-0.13558120000000001</v>
      </c>
      <c r="R457" s="3">
        <v>-0.1446211</v>
      </c>
      <c r="S457" s="3">
        <v>-0.15285989999999999</v>
      </c>
      <c r="T457" s="3">
        <v>-0.1601746</v>
      </c>
      <c r="U457" s="3">
        <v>-0.16644229999999999</v>
      </c>
      <c r="V457" s="3">
        <v>-0.17154030000000001</v>
      </c>
      <c r="W457" s="3">
        <v>-0.17538500000000001</v>
      </c>
      <c r="X457" s="3">
        <v>-0.1780291</v>
      </c>
      <c r="Y457" s="3">
        <v>-0.17955460000000001</v>
      </c>
      <c r="Z457" s="3">
        <v>-0.1800436</v>
      </c>
      <c r="AA457" s="3">
        <v>-0.17957799999999999</v>
      </c>
      <c r="AB457" s="3">
        <v>-0.1782398</v>
      </c>
      <c r="AC457" s="3">
        <v>-0.1761066</v>
      </c>
      <c r="AD457" s="3">
        <v>-0.17323749999999999</v>
      </c>
      <c r="AE457" s="3">
        <v>-0.16968730000000001</v>
      </c>
      <c r="AF457" s="3">
        <v>-0.16551070000000001</v>
      </c>
      <c r="AG457" s="3">
        <v>-0.1607625</v>
      </c>
      <c r="AH457" s="3">
        <v>-0.1554973</v>
      </c>
      <c r="AI457" s="3">
        <v>-0.14976999999999999</v>
      </c>
      <c r="AJ457" s="3">
        <v>-0.14363509999999999</v>
      </c>
      <c r="AK457" s="3">
        <v>-0.1371474</v>
      </c>
      <c r="AL457" s="3">
        <v>-0.1303617</v>
      </c>
      <c r="AM457" s="3">
        <v>-0.1233326</v>
      </c>
      <c r="AN457" s="3">
        <v>-0.116115</v>
      </c>
      <c r="AO457" s="3">
        <v>-0.1087562</v>
      </c>
      <c r="AP457" s="3">
        <v>-0.1012755</v>
      </c>
      <c r="AQ457" s="3">
        <v>-9.3684600000000007E-2</v>
      </c>
      <c r="AR457" s="3">
        <v>-8.59954E-2</v>
      </c>
      <c r="AS457" s="3">
        <v>-7.8219800000000006E-2</v>
      </c>
      <c r="AT457" s="3">
        <v>-7.0369500000000001E-2</v>
      </c>
      <c r="AU457" s="3">
        <v>-6.2456600000000001E-2</v>
      </c>
      <c r="AV457" s="3">
        <v>-5.4492899999999997E-2</v>
      </c>
      <c r="AW457" s="3">
        <v>-4.6490099999999999E-2</v>
      </c>
      <c r="AX457" s="3">
        <v>-3.8460300000000003E-2</v>
      </c>
      <c r="AY457" s="3">
        <v>-3.04152E-2</v>
      </c>
      <c r="AZ457" s="3">
        <v>-2.23667E-2</v>
      </c>
      <c r="BA457" s="3">
        <v>-1.4325600000000001E-2</v>
      </c>
      <c r="BB457" s="3">
        <v>-6.2962000000000001E-3</v>
      </c>
      <c r="BC457" s="3">
        <v>1.7187999999999999E-3</v>
      </c>
      <c r="BD457" s="3">
        <v>9.7172000000000005E-3</v>
      </c>
      <c r="BE457" s="3">
        <v>1.7696400000000001E-2</v>
      </c>
      <c r="BF457" s="3">
        <v>2.5654099999999999E-2</v>
      </c>
      <c r="BG457" s="3">
        <v>3.3587899999999997E-2</v>
      </c>
      <c r="BH457" s="3">
        <v>4.1495299999999999E-2</v>
      </c>
      <c r="BI457" s="3">
        <v>4.9373800000000002E-2</v>
      </c>
      <c r="BJ457" s="3">
        <v>5.7221099999999997E-2</v>
      </c>
      <c r="BK457" s="3">
        <v>6.5034800000000004E-2</v>
      </c>
      <c r="BL457" s="3">
        <v>7.2812399999999999E-2</v>
      </c>
      <c r="BM457" s="3" t="e">
        <v>#N/A</v>
      </c>
      <c r="BN457" s="3" t="e">
        <v>#N/A</v>
      </c>
    </row>
    <row r="458" spans="1:66" x14ac:dyDescent="0.35">
      <c r="A458" s="5">
        <f t="shared" si="6"/>
        <v>44096</v>
      </c>
      <c r="B458" t="s">
        <v>535</v>
      </c>
      <c r="C458" s="2">
        <v>0.1</v>
      </c>
      <c r="D458" s="2">
        <v>5.4100000000000002E-2</v>
      </c>
      <c r="E458" s="3">
        <v>5.5464800000000002E-2</v>
      </c>
      <c r="F458" s="3">
        <v>4.7724900000000001E-2</v>
      </c>
      <c r="G458" s="3">
        <v>3.7808899999999999E-2</v>
      </c>
      <c r="H458" s="3">
        <v>2.5302000000000002E-2</v>
      </c>
      <c r="I458" s="3">
        <v>1.1247500000000001E-2</v>
      </c>
      <c r="J458" s="3">
        <v>-3.4756000000000001E-3</v>
      </c>
      <c r="K458" s="3">
        <v>-1.8423999999999999E-2</v>
      </c>
      <c r="L458" s="3">
        <v>-3.3269800000000002E-2</v>
      </c>
      <c r="M458" s="3">
        <v>-4.7680899999999998E-2</v>
      </c>
      <c r="N458" s="3">
        <v>-6.14023E-2</v>
      </c>
      <c r="O458" s="3">
        <v>-7.4173100000000006E-2</v>
      </c>
      <c r="P458" s="3">
        <v>-8.5796999999999998E-2</v>
      </c>
      <c r="Q458" s="3">
        <v>-9.6190999999999999E-2</v>
      </c>
      <c r="R458" s="3">
        <v>-0.1053693</v>
      </c>
      <c r="S458" s="3">
        <v>-0.11336450000000001</v>
      </c>
      <c r="T458" s="3">
        <v>-0.1202096</v>
      </c>
      <c r="U458" s="3">
        <v>-0.1259373</v>
      </c>
      <c r="V458" s="3">
        <v>-0.13058059999999999</v>
      </c>
      <c r="W458" s="3">
        <v>-0.13417580000000001</v>
      </c>
      <c r="X458" s="3">
        <v>-0.1367707</v>
      </c>
      <c r="Y458" s="3">
        <v>-0.13841590000000001</v>
      </c>
      <c r="Z458" s="3">
        <v>-0.1391618</v>
      </c>
      <c r="AA458" s="3">
        <v>-0.13905909999999999</v>
      </c>
      <c r="AB458" s="3">
        <v>-0.138158</v>
      </c>
      <c r="AC458" s="3">
        <v>-0.13650880000000001</v>
      </c>
      <c r="AD458" s="3">
        <v>-0.13415949999999999</v>
      </c>
      <c r="AE458" s="3">
        <v>-0.13115789999999999</v>
      </c>
      <c r="AF458" s="3">
        <v>-0.12755159999999999</v>
      </c>
      <c r="AG458" s="3">
        <v>-0.1233884</v>
      </c>
      <c r="AH458" s="3">
        <v>-0.1187159</v>
      </c>
      <c r="AI458" s="3">
        <v>-0.1135818</v>
      </c>
      <c r="AJ458" s="3">
        <v>-0.1080338</v>
      </c>
      <c r="AK458" s="3">
        <v>-0.1021196</v>
      </c>
      <c r="AL458" s="3">
        <v>-9.5887E-2</v>
      </c>
      <c r="AM458" s="3">
        <v>-8.9383599999999994E-2</v>
      </c>
      <c r="AN458" s="3">
        <v>-8.2657099999999997E-2</v>
      </c>
      <c r="AO458" s="3">
        <v>-7.5749800000000006E-2</v>
      </c>
      <c r="AP458" s="3">
        <v>-6.8682800000000002E-2</v>
      </c>
      <c r="AQ458" s="3">
        <v>-6.1471600000000001E-2</v>
      </c>
      <c r="AR458" s="3">
        <v>-5.4132E-2</v>
      </c>
      <c r="AS458" s="3">
        <v>-4.6679600000000002E-2</v>
      </c>
      <c r="AT458" s="3">
        <v>-3.9129999999999998E-2</v>
      </c>
      <c r="AU458" s="3">
        <v>-3.14988E-2</v>
      </c>
      <c r="AV458" s="3">
        <v>-2.3801699999999999E-2</v>
      </c>
      <c r="AW458" s="3">
        <v>-1.60544E-2</v>
      </c>
      <c r="AX458" s="3">
        <v>-8.2725000000000003E-3</v>
      </c>
      <c r="AY458" s="3">
        <v>-4.7160000000000002E-4</v>
      </c>
      <c r="AZ458" s="3">
        <v>7.3325999999999999E-3</v>
      </c>
      <c r="BA458" s="3">
        <v>1.51264E-2</v>
      </c>
      <c r="BB458" s="3">
        <v>2.29047E-2</v>
      </c>
      <c r="BC458" s="3">
        <v>3.06652E-2</v>
      </c>
      <c r="BD458" s="3">
        <v>3.8405799999999997E-2</v>
      </c>
      <c r="BE458" s="3">
        <v>4.6124100000000001E-2</v>
      </c>
      <c r="BF458" s="3">
        <v>5.3817999999999998E-2</v>
      </c>
      <c r="BG458" s="3">
        <v>6.1484999999999998E-2</v>
      </c>
      <c r="BH458" s="3">
        <v>6.9123100000000007E-2</v>
      </c>
      <c r="BI458" s="3">
        <v>7.6729900000000004E-2</v>
      </c>
      <c r="BJ458" s="3">
        <v>8.4303100000000006E-2</v>
      </c>
      <c r="BK458" s="3">
        <v>9.1840599999999994E-2</v>
      </c>
      <c r="BL458" s="3">
        <v>9.9339999999999998E-2</v>
      </c>
      <c r="BM458" s="3" t="e">
        <v>#N/A</v>
      </c>
      <c r="BN458" s="3" t="e">
        <v>#N/A</v>
      </c>
    </row>
    <row r="459" spans="1:66" x14ac:dyDescent="0.35">
      <c r="A459" s="5">
        <f t="shared" si="6"/>
        <v>44097</v>
      </c>
      <c r="B459" t="s">
        <v>536</v>
      </c>
      <c r="C459" s="2">
        <v>0.1</v>
      </c>
      <c r="D459" s="2">
        <v>5.3900000000000003E-2</v>
      </c>
      <c r="E459" s="3">
        <v>5.5107299999999998E-2</v>
      </c>
      <c r="F459" s="3">
        <v>4.895E-2</v>
      </c>
      <c r="G459" s="3">
        <v>4.0986399999999999E-2</v>
      </c>
      <c r="H459" s="3">
        <v>2.98181E-2</v>
      </c>
      <c r="I459" s="3">
        <v>1.61075E-2</v>
      </c>
      <c r="J459" s="3">
        <v>1.1584E-3</v>
      </c>
      <c r="K459" s="3">
        <v>-1.4176299999999999E-2</v>
      </c>
      <c r="L459" s="3">
        <v>-2.92305E-2</v>
      </c>
      <c r="M459" s="3">
        <v>-4.3562400000000001E-2</v>
      </c>
      <c r="N459" s="3">
        <v>-5.6916000000000001E-2</v>
      </c>
      <c r="O459" s="3">
        <v>-6.9096699999999997E-2</v>
      </c>
      <c r="P459" s="3">
        <v>-8.0027100000000004E-2</v>
      </c>
      <c r="Q459" s="3">
        <v>-8.9709499999999998E-2</v>
      </c>
      <c r="R459" s="3">
        <v>-9.8177E-2</v>
      </c>
      <c r="S459" s="3">
        <v>-0.10546750000000001</v>
      </c>
      <c r="T459" s="3">
        <v>-0.111619</v>
      </c>
      <c r="U459" s="3">
        <v>-0.11666940000000001</v>
      </c>
      <c r="V459" s="3">
        <v>-0.1206566</v>
      </c>
      <c r="W459" s="3">
        <v>-0.12361900000000001</v>
      </c>
      <c r="X459" s="3">
        <v>-0.12559690000000001</v>
      </c>
      <c r="Y459" s="3">
        <v>-0.12663079999999999</v>
      </c>
      <c r="Z459" s="3">
        <v>-0.12676129999999999</v>
      </c>
      <c r="AA459" s="3">
        <v>-0.12602910000000001</v>
      </c>
      <c r="AB459" s="3">
        <v>-0.1244748</v>
      </c>
      <c r="AC459" s="3">
        <v>-0.1221415</v>
      </c>
      <c r="AD459" s="3">
        <v>-0.11908199999999999</v>
      </c>
      <c r="AE459" s="3">
        <v>-0.1153517</v>
      </c>
      <c r="AF459" s="3">
        <v>-0.1110061</v>
      </c>
      <c r="AG459" s="3">
        <v>-0.1061006</v>
      </c>
      <c r="AH459" s="3">
        <v>-0.1006904</v>
      </c>
      <c r="AI459" s="3">
        <v>-9.4831100000000002E-2</v>
      </c>
      <c r="AJ459" s="3">
        <v>-8.8577900000000001E-2</v>
      </c>
      <c r="AK459" s="3">
        <v>-8.1986299999999998E-2</v>
      </c>
      <c r="AL459" s="3">
        <v>-7.5111700000000003E-2</v>
      </c>
      <c r="AM459" s="3">
        <v>-6.8009500000000001E-2</v>
      </c>
      <c r="AN459" s="3">
        <v>-6.0734999999999997E-2</v>
      </c>
      <c r="AO459" s="3">
        <v>-5.3337799999999998E-2</v>
      </c>
      <c r="AP459" s="3">
        <v>-4.5839199999999997E-2</v>
      </c>
      <c r="AQ459" s="3">
        <v>-3.82517E-2</v>
      </c>
      <c r="AR459" s="3">
        <v>-3.0587799999999998E-2</v>
      </c>
      <c r="AS459" s="3">
        <v>-2.28603E-2</v>
      </c>
      <c r="AT459" s="3">
        <v>-1.5081600000000001E-2</v>
      </c>
      <c r="AU459" s="3">
        <v>-7.2643999999999999E-3</v>
      </c>
      <c r="AV459" s="3">
        <v>5.7870000000000003E-4</v>
      </c>
      <c r="AW459" s="3">
        <v>8.4352999999999997E-3</v>
      </c>
      <c r="AX459" s="3">
        <v>1.6292600000000001E-2</v>
      </c>
      <c r="AY459" s="3">
        <v>2.4138199999999999E-2</v>
      </c>
      <c r="AZ459" s="3">
        <v>3.1959399999999999E-2</v>
      </c>
      <c r="BA459" s="3">
        <v>3.9745700000000002E-2</v>
      </c>
      <c r="BB459" s="3">
        <v>4.7495999999999997E-2</v>
      </c>
      <c r="BC459" s="3">
        <v>5.5211700000000002E-2</v>
      </c>
      <c r="BD459" s="3">
        <v>6.28943E-2</v>
      </c>
      <c r="BE459" s="3">
        <v>7.0545099999999999E-2</v>
      </c>
      <c r="BF459" s="3">
        <v>7.8165499999999999E-2</v>
      </c>
      <c r="BG459" s="3">
        <v>8.5757E-2</v>
      </c>
      <c r="BH459" s="3">
        <v>9.3321000000000001E-2</v>
      </c>
      <c r="BI459" s="3">
        <v>0.1008589</v>
      </c>
      <c r="BJ459" s="3">
        <v>0.1083721</v>
      </c>
      <c r="BK459" s="3">
        <v>0.11586200000000001</v>
      </c>
      <c r="BL459" s="3">
        <v>0.12333</v>
      </c>
      <c r="BM459" s="3" t="e">
        <v>#N/A</v>
      </c>
      <c r="BN459" s="3" t="e">
        <v>#N/A</v>
      </c>
    </row>
    <row r="460" spans="1:66" x14ac:dyDescent="0.35">
      <c r="A460" s="5">
        <f t="shared" si="6"/>
        <v>44098</v>
      </c>
      <c r="B460" t="s">
        <v>537</v>
      </c>
      <c r="C460" s="2">
        <v>0.1</v>
      </c>
      <c r="D460" s="2">
        <v>5.3900000000000003E-2</v>
      </c>
      <c r="E460" s="3">
        <v>5.5246900000000002E-2</v>
      </c>
      <c r="F460" s="3">
        <v>4.7291E-2</v>
      </c>
      <c r="G460" s="3">
        <v>3.7169899999999999E-2</v>
      </c>
      <c r="H460" s="3">
        <v>2.3968099999999999E-2</v>
      </c>
      <c r="I460" s="3">
        <v>8.6034000000000006E-3</v>
      </c>
      <c r="J460" s="3">
        <v>-7.6609E-3</v>
      </c>
      <c r="K460" s="3">
        <v>-2.4025500000000002E-2</v>
      </c>
      <c r="L460" s="3">
        <v>-3.9821500000000003E-2</v>
      </c>
      <c r="M460" s="3">
        <v>-5.4546799999999999E-2</v>
      </c>
      <c r="N460" s="3">
        <v>-6.7836999999999995E-2</v>
      </c>
      <c r="O460" s="3">
        <v>-7.9501699999999995E-2</v>
      </c>
      <c r="P460" s="3">
        <v>-8.9491600000000004E-2</v>
      </c>
      <c r="Q460" s="3">
        <v>-9.7892400000000004E-2</v>
      </c>
      <c r="R460" s="3">
        <v>-0.1048336</v>
      </c>
      <c r="S460" s="3">
        <v>-0.1104496</v>
      </c>
      <c r="T460" s="3">
        <v>-0.11487459999999999</v>
      </c>
      <c r="U460" s="3">
        <v>-0.118243</v>
      </c>
      <c r="V460" s="3">
        <v>-0.1206889</v>
      </c>
      <c r="W460" s="3">
        <v>-0.1223291</v>
      </c>
      <c r="X460" s="3">
        <v>-0.1232193</v>
      </c>
      <c r="Y460" s="3">
        <v>-0.1234024</v>
      </c>
      <c r="Z460" s="3">
        <v>-0.122921</v>
      </c>
      <c r="AA460" s="3">
        <v>-0.121818</v>
      </c>
      <c r="AB460" s="3">
        <v>-0.1201361</v>
      </c>
      <c r="AC460" s="3">
        <v>-0.1179163</v>
      </c>
      <c r="AD460" s="3">
        <v>-0.11519119999999999</v>
      </c>
      <c r="AE460" s="3">
        <v>-0.1119907</v>
      </c>
      <c r="AF460" s="3">
        <v>-0.10834489999999999</v>
      </c>
      <c r="AG460" s="3">
        <v>-0.1042838</v>
      </c>
      <c r="AH460" s="3">
        <v>-9.9837300000000004E-2</v>
      </c>
      <c r="AI460" s="3">
        <v>-9.5035599999999998E-2</v>
      </c>
      <c r="AJ460" s="3">
        <v>-8.9908600000000005E-2</v>
      </c>
      <c r="AK460" s="3">
        <v>-8.4486199999999997E-2</v>
      </c>
      <c r="AL460" s="3">
        <v>-7.8798599999999996E-2</v>
      </c>
      <c r="AM460" s="3">
        <v>-7.2875700000000002E-2</v>
      </c>
      <c r="AN460" s="3">
        <v>-6.6747500000000001E-2</v>
      </c>
      <c r="AO460" s="3">
        <v>-6.0441399999999999E-2</v>
      </c>
      <c r="AP460" s="3">
        <v>-5.3974000000000001E-2</v>
      </c>
      <c r="AQ460" s="3">
        <v>-4.7358400000000002E-2</v>
      </c>
      <c r="AR460" s="3">
        <v>-4.0607900000000002E-2</v>
      </c>
      <c r="AS460" s="3">
        <v>-3.3735899999999999E-2</v>
      </c>
      <c r="AT460" s="3">
        <v>-2.6755600000000001E-2</v>
      </c>
      <c r="AU460" s="3">
        <v>-1.9680300000000001E-2</v>
      </c>
      <c r="AV460" s="3">
        <v>-1.2523400000000001E-2</v>
      </c>
      <c r="AW460" s="3">
        <v>-5.2979999999999998E-3</v>
      </c>
      <c r="AX460" s="3">
        <v>1.9824E-3</v>
      </c>
      <c r="AY460" s="3">
        <v>9.3047000000000008E-3</v>
      </c>
      <c r="AZ460" s="3">
        <v>1.6655400000000001E-2</v>
      </c>
      <c r="BA460" s="3">
        <v>2.4022999999999999E-2</v>
      </c>
      <c r="BB460" s="3">
        <v>3.14025E-2</v>
      </c>
      <c r="BC460" s="3">
        <v>3.8791100000000002E-2</v>
      </c>
      <c r="BD460" s="3">
        <v>4.6185900000000002E-2</v>
      </c>
      <c r="BE460" s="3">
        <v>5.3583899999999997E-2</v>
      </c>
      <c r="BF460" s="3">
        <v>6.0982300000000003E-2</v>
      </c>
      <c r="BG460" s="3">
        <v>6.83782E-2</v>
      </c>
      <c r="BH460" s="3">
        <v>7.5768600000000005E-2</v>
      </c>
      <c r="BI460" s="3">
        <v>8.3150699999999994E-2</v>
      </c>
      <c r="BJ460" s="3">
        <v>9.0521500000000005E-2</v>
      </c>
      <c r="BK460" s="3">
        <v>9.7878199999999999E-2</v>
      </c>
      <c r="BL460" s="3">
        <v>0.1052179</v>
      </c>
      <c r="BM460" s="3" t="e">
        <v>#N/A</v>
      </c>
      <c r="BN460" s="3" t="e">
        <v>#N/A</v>
      </c>
    </row>
    <row r="461" spans="1:66" x14ac:dyDescent="0.35">
      <c r="A461" s="5">
        <f t="shared" si="6"/>
        <v>44099</v>
      </c>
      <c r="B461" t="s">
        <v>538</v>
      </c>
      <c r="C461" s="2">
        <v>0.1</v>
      </c>
      <c r="D461" s="2">
        <v>5.4100000000000002E-2</v>
      </c>
      <c r="E461" s="3">
        <v>5.4866199999999997E-2</v>
      </c>
      <c r="F461" s="3">
        <v>4.7612099999999997E-2</v>
      </c>
      <c r="G461" s="3">
        <v>3.7207700000000003E-2</v>
      </c>
      <c r="H461" s="3">
        <v>2.3213999999999999E-2</v>
      </c>
      <c r="I461" s="3">
        <v>7.1551999999999996E-3</v>
      </c>
      <c r="J461" s="3">
        <v>-9.5203000000000006E-3</v>
      </c>
      <c r="K461" s="3">
        <v>-2.60413E-2</v>
      </c>
      <c r="L461" s="3">
        <v>-4.1829900000000003E-2</v>
      </c>
      <c r="M461" s="3">
        <v>-5.6455499999999999E-2</v>
      </c>
      <c r="N461" s="3">
        <v>-6.9662100000000005E-2</v>
      </c>
      <c r="O461" s="3">
        <v>-8.1339800000000004E-2</v>
      </c>
      <c r="P461" s="3">
        <v>-9.1524099999999997E-2</v>
      </c>
      <c r="Q461" s="3">
        <v>-0.100421</v>
      </c>
      <c r="R461" s="3">
        <v>-0.1081196</v>
      </c>
      <c r="S461" s="3">
        <v>-0.1146601</v>
      </c>
      <c r="T461" s="3">
        <v>-0.1200831</v>
      </c>
      <c r="U461" s="3">
        <v>-0.1244287</v>
      </c>
      <c r="V461" s="3">
        <v>-0.1277374</v>
      </c>
      <c r="W461" s="3">
        <v>-0.1300559</v>
      </c>
      <c r="X461" s="3">
        <v>-0.13145280000000001</v>
      </c>
      <c r="Y461" s="3">
        <v>-0.1320017</v>
      </c>
      <c r="Z461" s="3">
        <v>-0.1317759</v>
      </c>
      <c r="AA461" s="3">
        <v>-0.13084879999999999</v>
      </c>
      <c r="AB461" s="3">
        <v>-0.12929389999999999</v>
      </c>
      <c r="AC461" s="3">
        <v>-0.12717899999999999</v>
      </c>
      <c r="AD461" s="3">
        <v>-0.1245467</v>
      </c>
      <c r="AE461" s="3">
        <v>-0.1214327</v>
      </c>
      <c r="AF461" s="3">
        <v>-0.1178727</v>
      </c>
      <c r="AG461" s="3">
        <v>-0.1139024</v>
      </c>
      <c r="AH461" s="3">
        <v>-0.1095576</v>
      </c>
      <c r="AI461" s="3">
        <v>-0.10487390000000001</v>
      </c>
      <c r="AJ461" s="3">
        <v>-9.9887100000000006E-2</v>
      </c>
      <c r="AK461" s="3">
        <v>-9.4632900000000006E-2</v>
      </c>
      <c r="AL461" s="3">
        <v>-8.9147100000000007E-2</v>
      </c>
      <c r="AM461" s="3">
        <v>-8.3465200000000003E-2</v>
      </c>
      <c r="AN461" s="3">
        <v>-7.76231E-2</v>
      </c>
      <c r="AO461" s="3">
        <v>-7.1651699999999999E-2</v>
      </c>
      <c r="AP461" s="3">
        <v>-6.5563399999999994E-2</v>
      </c>
      <c r="AQ461" s="3">
        <v>-5.93657E-2</v>
      </c>
      <c r="AR461" s="3">
        <v>-5.3066200000000001E-2</v>
      </c>
      <c r="AS461" s="3">
        <v>-4.6672499999999999E-2</v>
      </c>
      <c r="AT461" s="3">
        <v>-4.0192199999999997E-2</v>
      </c>
      <c r="AU461" s="3">
        <v>-3.3632799999999997E-2</v>
      </c>
      <c r="AV461" s="3">
        <v>-2.7002000000000002E-2</v>
      </c>
      <c r="AW461" s="3">
        <v>-2.0307200000000001E-2</v>
      </c>
      <c r="AX461" s="3">
        <v>-1.3556199999999999E-2</v>
      </c>
      <c r="AY461" s="3">
        <v>-6.7564000000000001E-3</v>
      </c>
      <c r="AZ461" s="3">
        <v>8.4499999999999994E-5</v>
      </c>
      <c r="BA461" s="3">
        <v>6.9597000000000001E-3</v>
      </c>
      <c r="BB461" s="3">
        <v>1.38657E-2</v>
      </c>
      <c r="BC461" s="3">
        <v>2.07998E-2</v>
      </c>
      <c r="BD461" s="3">
        <v>2.7759499999999999E-2</v>
      </c>
      <c r="BE461" s="3">
        <v>3.4742099999999998E-2</v>
      </c>
      <c r="BF461" s="3">
        <v>4.1744999999999997E-2</v>
      </c>
      <c r="BG461" s="3">
        <v>4.8765599999999999E-2</v>
      </c>
      <c r="BH461" s="3">
        <v>5.5801299999999998E-2</v>
      </c>
      <c r="BI461" s="3">
        <v>6.28494E-2</v>
      </c>
      <c r="BJ461" s="3">
        <v>6.9907399999999995E-2</v>
      </c>
      <c r="BK461" s="3">
        <v>7.6972600000000002E-2</v>
      </c>
      <c r="BL461" s="3">
        <v>8.4042500000000006E-2</v>
      </c>
      <c r="BM461" s="3" t="e">
        <v>#N/A</v>
      </c>
      <c r="BN461" s="3" t="e">
        <v>#N/A</v>
      </c>
    </row>
    <row r="462" spans="1:66" x14ac:dyDescent="0.35">
      <c r="A462" s="5">
        <f t="shared" ref="A462:A525" si="7">+A457+7</f>
        <v>44102</v>
      </c>
      <c r="B462" t="s">
        <v>539</v>
      </c>
      <c r="C462" s="2">
        <v>0.1</v>
      </c>
      <c r="D462" s="2">
        <v>5.4100000000000002E-2</v>
      </c>
      <c r="E462" s="3">
        <v>4.8802100000000001E-2</v>
      </c>
      <c r="F462" s="3">
        <v>4.8466599999999999E-2</v>
      </c>
      <c r="G462" s="3">
        <v>3.8926099999999998E-2</v>
      </c>
      <c r="H462" s="3">
        <v>2.1460900000000002E-2</v>
      </c>
      <c r="I462" s="3">
        <v>1.8071000000000001E-3</v>
      </c>
      <c r="J462" s="3">
        <v>-1.64066E-2</v>
      </c>
      <c r="K462" s="3">
        <v>-3.2816400000000003E-2</v>
      </c>
      <c r="L462" s="3">
        <v>-4.8040100000000002E-2</v>
      </c>
      <c r="M462" s="3">
        <v>-6.2048399999999997E-2</v>
      </c>
      <c r="N462" s="3">
        <v>-7.4684600000000004E-2</v>
      </c>
      <c r="O462" s="3">
        <v>-8.5782999999999998E-2</v>
      </c>
      <c r="P462" s="3">
        <v>-9.53851E-2</v>
      </c>
      <c r="Q462" s="3">
        <v>-0.10376870000000001</v>
      </c>
      <c r="R462" s="3">
        <v>-0.11105139999999999</v>
      </c>
      <c r="S462" s="3">
        <v>-0.1172902</v>
      </c>
      <c r="T462" s="3">
        <v>-0.1225424</v>
      </c>
      <c r="U462" s="3">
        <v>-0.12686500000000001</v>
      </c>
      <c r="V462" s="3">
        <v>-0.13031519999999999</v>
      </c>
      <c r="W462" s="3">
        <v>-0.13294139999999999</v>
      </c>
      <c r="X462" s="3">
        <v>-0.13476199999999999</v>
      </c>
      <c r="Y462" s="3">
        <v>-0.13578899999999999</v>
      </c>
      <c r="Z462" s="3">
        <v>-0.13603419999999999</v>
      </c>
      <c r="AA462" s="3">
        <v>-0.13550960000000001</v>
      </c>
      <c r="AB462" s="3">
        <v>-0.13422709999999999</v>
      </c>
      <c r="AC462" s="3">
        <v>-0.13220499999999999</v>
      </c>
      <c r="AD462" s="3">
        <v>-0.1294872</v>
      </c>
      <c r="AE462" s="3">
        <v>-0.12612370000000001</v>
      </c>
      <c r="AF462" s="3">
        <v>-0.1221648</v>
      </c>
      <c r="AG462" s="3">
        <v>-0.11766069999999999</v>
      </c>
      <c r="AH462" s="3">
        <v>-0.1126615</v>
      </c>
      <c r="AI462" s="3">
        <v>-0.1072174</v>
      </c>
      <c r="AJ462" s="3">
        <v>-0.1013786</v>
      </c>
      <c r="AK462" s="3">
        <v>-9.5195299999999997E-2</v>
      </c>
      <c r="AL462" s="3">
        <v>-8.8717599999999994E-2</v>
      </c>
      <c r="AM462" s="3">
        <v>-8.1995700000000005E-2</v>
      </c>
      <c r="AN462" s="3">
        <v>-7.5079800000000002E-2</v>
      </c>
      <c r="AO462" s="3">
        <v>-6.8014400000000003E-2</v>
      </c>
      <c r="AP462" s="3">
        <v>-6.0820699999999998E-2</v>
      </c>
      <c r="AQ462" s="3">
        <v>-5.35145E-2</v>
      </c>
      <c r="AR462" s="3">
        <v>-4.6111300000000001E-2</v>
      </c>
      <c r="AS462" s="3">
        <v>-3.8626899999999999E-2</v>
      </c>
      <c r="AT462" s="3">
        <v>-3.1076800000000002E-2</v>
      </c>
      <c r="AU462" s="3">
        <v>-2.34767E-2</v>
      </c>
      <c r="AV462" s="3">
        <v>-1.5842200000000001E-2</v>
      </c>
      <c r="AW462" s="3">
        <v>-8.1890000000000001E-3</v>
      </c>
      <c r="AX462" s="3">
        <v>-5.3260000000000004E-4</v>
      </c>
      <c r="AY462" s="3">
        <v>7.1113000000000001E-3</v>
      </c>
      <c r="AZ462" s="3">
        <v>1.4727000000000001E-2</v>
      </c>
      <c r="BA462" s="3">
        <v>2.2301000000000001E-2</v>
      </c>
      <c r="BB462" s="3">
        <v>2.9830599999999999E-2</v>
      </c>
      <c r="BC462" s="3">
        <v>3.73169E-2</v>
      </c>
      <c r="BD462" s="3">
        <v>4.4760800000000003E-2</v>
      </c>
      <c r="BE462" s="3">
        <v>5.2163500000000002E-2</v>
      </c>
      <c r="BF462" s="3">
        <v>5.9526000000000003E-2</v>
      </c>
      <c r="BG462" s="3">
        <v>6.6849400000000003E-2</v>
      </c>
      <c r="BH462" s="3">
        <v>7.4134500000000006E-2</v>
      </c>
      <c r="BI462" s="3">
        <v>8.1382599999999999E-2</v>
      </c>
      <c r="BJ462" s="3">
        <v>8.8594599999999996E-2</v>
      </c>
      <c r="BK462" s="3">
        <v>9.5771700000000001E-2</v>
      </c>
      <c r="BL462" s="3">
        <v>0.1029147</v>
      </c>
      <c r="BM462" s="3" t="e">
        <v>#N/A</v>
      </c>
      <c r="BN462" s="3" t="e">
        <v>#N/A</v>
      </c>
    </row>
    <row r="463" spans="1:66" x14ac:dyDescent="0.35">
      <c r="A463" s="5">
        <f t="shared" si="7"/>
        <v>44103</v>
      </c>
      <c r="B463" t="s">
        <v>540</v>
      </c>
      <c r="C463" s="2">
        <v>0.1</v>
      </c>
      <c r="D463" s="2">
        <v>5.33E-2</v>
      </c>
      <c r="E463" s="3">
        <v>5.5128799999999999E-2</v>
      </c>
      <c r="F463" s="3">
        <v>4.9092999999999998E-2</v>
      </c>
      <c r="G463" s="3">
        <v>3.92225E-2</v>
      </c>
      <c r="H463" s="3">
        <v>2.44424E-2</v>
      </c>
      <c r="I463" s="3">
        <v>6.8773999999999997E-3</v>
      </c>
      <c r="J463" s="3">
        <v>-1.10133E-2</v>
      </c>
      <c r="K463" s="3">
        <v>-2.7902300000000001E-2</v>
      </c>
      <c r="L463" s="3">
        <v>-4.32757E-2</v>
      </c>
      <c r="M463" s="3">
        <v>-5.6835999999999998E-2</v>
      </c>
      <c r="N463" s="3">
        <v>-6.8633200000000005E-2</v>
      </c>
      <c r="O463" s="3">
        <v>-7.8767799999999999E-2</v>
      </c>
      <c r="P463" s="3">
        <v>-8.7453199999999995E-2</v>
      </c>
      <c r="Q463" s="3">
        <v>-9.5014699999999994E-2</v>
      </c>
      <c r="R463" s="3">
        <v>-0.1015659</v>
      </c>
      <c r="S463" s="3">
        <v>-0.1071569</v>
      </c>
      <c r="T463" s="3">
        <v>-0.1118374</v>
      </c>
      <c r="U463" s="3">
        <v>-0.1156575</v>
      </c>
      <c r="V463" s="3">
        <v>-0.11866699999999999</v>
      </c>
      <c r="W463" s="3">
        <v>-0.1209131</v>
      </c>
      <c r="X463" s="3">
        <v>-0.1224335</v>
      </c>
      <c r="Y463" s="3">
        <v>-0.123264</v>
      </c>
      <c r="Z463" s="3">
        <v>-0.1234403</v>
      </c>
      <c r="AA463" s="3">
        <v>-0.122998</v>
      </c>
      <c r="AB463" s="3">
        <v>-0.121973</v>
      </c>
      <c r="AC463" s="3">
        <v>-0.1204006</v>
      </c>
      <c r="AD463" s="3">
        <v>-0.1183149</v>
      </c>
      <c r="AE463" s="3">
        <v>-0.1157497</v>
      </c>
      <c r="AF463" s="3">
        <v>-0.1127387</v>
      </c>
      <c r="AG463" s="3">
        <v>-0.10931589999999999</v>
      </c>
      <c r="AH463" s="3">
        <v>-0.10551480000000001</v>
      </c>
      <c r="AI463" s="3">
        <v>-0.1013695</v>
      </c>
      <c r="AJ463" s="3">
        <v>-9.69135E-2</v>
      </c>
      <c r="AK463" s="3">
        <v>-9.2180700000000004E-2</v>
      </c>
      <c r="AL463" s="3">
        <v>-8.7204900000000002E-2</v>
      </c>
      <c r="AM463" s="3">
        <v>-8.2019900000000007E-2</v>
      </c>
      <c r="AN463" s="3">
        <v>-7.6659400000000003E-2</v>
      </c>
      <c r="AO463" s="3">
        <v>-7.1153300000000003E-2</v>
      </c>
      <c r="AP463" s="3">
        <v>-6.5515599999999993E-2</v>
      </c>
      <c r="AQ463" s="3">
        <v>-5.9756299999999998E-2</v>
      </c>
      <c r="AR463" s="3">
        <v>-5.38854E-2</v>
      </c>
      <c r="AS463" s="3">
        <v>-4.7912999999999997E-2</v>
      </c>
      <c r="AT463" s="3">
        <v>-4.18491E-2</v>
      </c>
      <c r="AU463" s="3">
        <v>-3.5703699999999998E-2</v>
      </c>
      <c r="AV463" s="3">
        <v>-2.94869E-2</v>
      </c>
      <c r="AW463" s="3">
        <v>-2.3208800000000002E-2</v>
      </c>
      <c r="AX463" s="3">
        <v>-1.68792E-2</v>
      </c>
      <c r="AY463" s="3">
        <v>-1.0508399999999999E-2</v>
      </c>
      <c r="AZ463" s="3">
        <v>-4.1063000000000002E-3</v>
      </c>
      <c r="BA463" s="3">
        <v>2.3181999999999999E-3</v>
      </c>
      <c r="BB463" s="3">
        <v>8.7615000000000002E-3</v>
      </c>
      <c r="BC463" s="3">
        <v>1.5221699999999999E-2</v>
      </c>
      <c r="BD463" s="3">
        <v>2.1697000000000001E-2</v>
      </c>
      <c r="BE463" s="3">
        <v>2.8185399999999999E-2</v>
      </c>
      <c r="BF463" s="3">
        <v>3.4685199999999999E-2</v>
      </c>
      <c r="BG463" s="3">
        <v>4.1194399999999999E-2</v>
      </c>
      <c r="BH463" s="3">
        <v>4.7711099999999999E-2</v>
      </c>
      <c r="BI463" s="3">
        <v>5.4233400000000001E-2</v>
      </c>
      <c r="BJ463" s="3">
        <v>6.0759500000000001E-2</v>
      </c>
      <c r="BK463" s="3">
        <v>6.7287399999999997E-2</v>
      </c>
      <c r="BL463" s="3">
        <v>7.3815400000000003E-2</v>
      </c>
      <c r="BM463" s="3" t="e">
        <v>#N/A</v>
      </c>
      <c r="BN463" s="3" t="e">
        <v>#N/A</v>
      </c>
    </row>
    <row r="464" spans="1:66" x14ac:dyDescent="0.35">
      <c r="A464" s="5">
        <f t="shared" si="7"/>
        <v>44104</v>
      </c>
      <c r="B464" t="s">
        <v>541</v>
      </c>
      <c r="C464" s="2">
        <v>0.1</v>
      </c>
      <c r="D464" s="2">
        <v>5.0900000000000001E-2</v>
      </c>
      <c r="E464" s="3">
        <v>5.5749800000000002E-2</v>
      </c>
      <c r="F464" s="3">
        <v>5.0686200000000001E-2</v>
      </c>
      <c r="G464" s="3">
        <v>4.1763799999999997E-2</v>
      </c>
      <c r="H464" s="3">
        <v>2.81467E-2</v>
      </c>
      <c r="I464" s="3">
        <v>1.17596E-2</v>
      </c>
      <c r="J464" s="3">
        <v>-5.0228E-3</v>
      </c>
      <c r="K464" s="3">
        <v>-2.0946300000000001E-2</v>
      </c>
      <c r="L464" s="3">
        <v>-3.5559100000000003E-2</v>
      </c>
      <c r="M464" s="3">
        <v>-4.8620200000000002E-2</v>
      </c>
      <c r="N464" s="3">
        <v>-6.0105100000000002E-2</v>
      </c>
      <c r="O464" s="3">
        <v>-7.0066100000000006E-2</v>
      </c>
      <c r="P464" s="3">
        <v>-7.8536099999999998E-2</v>
      </c>
      <c r="Q464" s="3">
        <v>-8.5764999999999994E-2</v>
      </c>
      <c r="R464" s="3">
        <v>-9.1875899999999996E-2</v>
      </c>
      <c r="S464" s="3">
        <v>-9.6940700000000005E-2</v>
      </c>
      <c r="T464" s="3">
        <v>-0.1010313</v>
      </c>
      <c r="U464" s="3">
        <v>-0.1042197</v>
      </c>
      <c r="V464" s="3">
        <v>-0.1065779</v>
      </c>
      <c r="W464" s="3">
        <v>-0.1081694</v>
      </c>
      <c r="X464" s="3">
        <v>-0.1090261</v>
      </c>
      <c r="Y464" s="3">
        <v>-0.1091723</v>
      </c>
      <c r="Z464" s="3">
        <v>-0.1086322</v>
      </c>
      <c r="AA464" s="3">
        <v>-0.10743</v>
      </c>
      <c r="AB464" s="3">
        <v>-0.1055902</v>
      </c>
      <c r="AC464" s="3">
        <v>-0.1031395</v>
      </c>
      <c r="AD464" s="3">
        <v>-0.1001156</v>
      </c>
      <c r="AE464" s="3">
        <v>-9.6558599999999994E-2</v>
      </c>
      <c r="AF464" s="3">
        <v>-9.2508699999999999E-2</v>
      </c>
      <c r="AG464" s="3">
        <v>-8.8006100000000004E-2</v>
      </c>
      <c r="AH464" s="3">
        <v>-8.3090999999999998E-2</v>
      </c>
      <c r="AI464" s="3">
        <v>-7.7803499999999998E-2</v>
      </c>
      <c r="AJ464" s="3">
        <v>-7.2183800000000006E-2</v>
      </c>
      <c r="AK464" s="3">
        <v>-6.62721E-2</v>
      </c>
      <c r="AL464" s="3">
        <v>-6.0108700000000001E-2</v>
      </c>
      <c r="AM464" s="3">
        <v>-5.3733599999999999E-2</v>
      </c>
      <c r="AN464" s="3">
        <v>-4.7187100000000003E-2</v>
      </c>
      <c r="AO464" s="3">
        <v>-4.0505600000000003E-2</v>
      </c>
      <c r="AP464" s="3">
        <v>-3.3707300000000003E-2</v>
      </c>
      <c r="AQ464" s="3">
        <v>-2.68049E-2</v>
      </c>
      <c r="AR464" s="3">
        <v>-1.9811100000000002E-2</v>
      </c>
      <c r="AS464" s="3">
        <v>-1.2738599999999999E-2</v>
      </c>
      <c r="AT464" s="3">
        <v>-5.6001000000000002E-3</v>
      </c>
      <c r="AU464" s="3">
        <v>1.5919E-3</v>
      </c>
      <c r="AV464" s="3">
        <v>8.8245000000000007E-3</v>
      </c>
      <c r="AW464" s="3">
        <v>1.6085100000000001E-2</v>
      </c>
      <c r="AX464" s="3">
        <v>2.3361099999999999E-2</v>
      </c>
      <c r="AY464" s="3">
        <v>3.0639699999999999E-2</v>
      </c>
      <c r="AZ464" s="3">
        <v>3.7908299999999999E-2</v>
      </c>
      <c r="BA464" s="3">
        <v>4.5156099999999998E-2</v>
      </c>
      <c r="BB464" s="3">
        <v>5.2380200000000002E-2</v>
      </c>
      <c r="BC464" s="3">
        <v>5.9580399999999999E-2</v>
      </c>
      <c r="BD464" s="3">
        <v>6.6755999999999996E-2</v>
      </c>
      <c r="BE464" s="3">
        <v>7.3906700000000006E-2</v>
      </c>
      <c r="BF464" s="3">
        <v>8.1031900000000004E-2</v>
      </c>
      <c r="BG464" s="3">
        <v>8.8131299999999996E-2</v>
      </c>
      <c r="BH464" s="3">
        <v>9.5204300000000006E-2</v>
      </c>
      <c r="BI464" s="3">
        <v>0.10225049999999999</v>
      </c>
      <c r="BJ464" s="3">
        <v>0.1092694</v>
      </c>
      <c r="BK464" s="3">
        <v>0.11626060000000001</v>
      </c>
      <c r="BL464" s="3">
        <v>0.1232236</v>
      </c>
      <c r="BM464" s="3" t="e">
        <v>#N/A</v>
      </c>
      <c r="BN464" s="3" t="e">
        <v>#N/A</v>
      </c>
    </row>
    <row r="465" spans="1:66" x14ac:dyDescent="0.35">
      <c r="A465" s="5">
        <f t="shared" si="7"/>
        <v>44105</v>
      </c>
      <c r="B465" t="s">
        <v>542</v>
      </c>
      <c r="C465" s="2">
        <v>0.1</v>
      </c>
      <c r="D465" s="2">
        <v>5.3800000000000001E-2</v>
      </c>
      <c r="E465" s="3">
        <v>4.7658100000000002E-2</v>
      </c>
      <c r="F465" s="3">
        <v>5.2548299999999999E-2</v>
      </c>
      <c r="G465" s="3">
        <v>4.9843199999999997E-2</v>
      </c>
      <c r="H465" s="3">
        <v>3.76306E-2</v>
      </c>
      <c r="I465" s="3">
        <v>1.97722E-2</v>
      </c>
      <c r="J465" s="3">
        <v>4.4129999999999999E-4</v>
      </c>
      <c r="K465" s="3">
        <v>-1.89889E-2</v>
      </c>
      <c r="L465" s="3">
        <v>-3.6898899999999998E-2</v>
      </c>
      <c r="M465" s="3">
        <v>-5.1776500000000003E-2</v>
      </c>
      <c r="N465" s="3">
        <v>-6.3403100000000004E-2</v>
      </c>
      <c r="O465" s="3">
        <v>-7.2182800000000005E-2</v>
      </c>
      <c r="P465" s="3">
        <v>-7.9001399999999999E-2</v>
      </c>
      <c r="Q465" s="3">
        <v>-8.48159E-2</v>
      </c>
      <c r="R465" s="3">
        <v>-8.9866100000000004E-2</v>
      </c>
      <c r="S465" s="3">
        <v>-9.4201900000000005E-2</v>
      </c>
      <c r="T465" s="3">
        <v>-9.7873600000000005E-2</v>
      </c>
      <c r="U465" s="3">
        <v>-0.1009312</v>
      </c>
      <c r="V465" s="3">
        <v>-0.1034249</v>
      </c>
      <c r="W465" s="3">
        <v>-0.105389</v>
      </c>
      <c r="X465" s="3">
        <v>-0.10679859999999999</v>
      </c>
      <c r="Y465" s="3">
        <v>-0.1076144</v>
      </c>
      <c r="Z465" s="3">
        <v>-0.10779710000000001</v>
      </c>
      <c r="AA465" s="3">
        <v>-0.1073076</v>
      </c>
      <c r="AB465" s="3">
        <v>-0.10610650000000001</v>
      </c>
      <c r="AC465" s="3">
        <v>-0.1041663</v>
      </c>
      <c r="AD465" s="3">
        <v>-0.1015168</v>
      </c>
      <c r="AE465" s="3">
        <v>-9.8204700000000006E-2</v>
      </c>
      <c r="AF465" s="3">
        <v>-9.4277200000000005E-2</v>
      </c>
      <c r="AG465" s="3">
        <v>-8.9781200000000005E-2</v>
      </c>
      <c r="AH465" s="3">
        <v>-8.4763699999999997E-2</v>
      </c>
      <c r="AI465" s="3">
        <v>-7.92717E-2</v>
      </c>
      <c r="AJ465" s="3">
        <v>-7.3352200000000006E-2</v>
      </c>
      <c r="AK465" s="3">
        <v>-6.7052100000000003E-2</v>
      </c>
      <c r="AL465" s="3">
        <v>-6.0418600000000003E-2</v>
      </c>
      <c r="AM465" s="3">
        <v>-5.3498400000000002E-2</v>
      </c>
      <c r="AN465" s="3">
        <v>-4.6338699999999997E-2</v>
      </c>
      <c r="AO465" s="3">
        <v>-3.8982000000000003E-2</v>
      </c>
      <c r="AP465" s="3">
        <v>-3.1451699999999999E-2</v>
      </c>
      <c r="AQ465" s="3">
        <v>-2.3765600000000001E-2</v>
      </c>
      <c r="AR465" s="3">
        <v>-1.59416E-2</v>
      </c>
      <c r="AS465" s="3">
        <v>-7.9977999999999994E-3</v>
      </c>
      <c r="AT465" s="3">
        <v>4.7899999999999999E-5</v>
      </c>
      <c r="AU465" s="3">
        <v>8.1776999999999996E-3</v>
      </c>
      <c r="AV465" s="3">
        <v>1.6373599999999999E-2</v>
      </c>
      <c r="AW465" s="3">
        <v>2.46176E-2</v>
      </c>
      <c r="AX465" s="3">
        <v>3.2891799999999999E-2</v>
      </c>
      <c r="AY465" s="3">
        <v>4.1178300000000001E-2</v>
      </c>
      <c r="AZ465" s="3">
        <v>4.9459200000000002E-2</v>
      </c>
      <c r="BA465" s="3">
        <v>5.7718800000000001E-2</v>
      </c>
      <c r="BB465" s="3">
        <v>6.5952399999999994E-2</v>
      </c>
      <c r="BC465" s="3">
        <v>7.4157799999999996E-2</v>
      </c>
      <c r="BD465" s="3">
        <v>8.2333000000000003E-2</v>
      </c>
      <c r="BE465" s="3">
        <v>9.0476000000000001E-2</v>
      </c>
      <c r="BF465" s="3">
        <v>9.8584900000000003E-2</v>
      </c>
      <c r="BG465" s="3">
        <v>0.10665760000000001</v>
      </c>
      <c r="BH465" s="3">
        <v>0.114692</v>
      </c>
      <c r="BI465" s="3">
        <v>0.1226862</v>
      </c>
      <c r="BJ465" s="3">
        <v>0.13063810000000001</v>
      </c>
      <c r="BK465" s="3">
        <v>0.1385458</v>
      </c>
      <c r="BL465" s="3">
        <v>0.14640719999999999</v>
      </c>
      <c r="BM465" s="3" t="e">
        <v>#N/A</v>
      </c>
      <c r="BN465" s="3" t="e">
        <v>#N/A</v>
      </c>
    </row>
    <row r="466" spans="1:66" x14ac:dyDescent="0.35">
      <c r="A466" s="5">
        <f t="shared" si="7"/>
        <v>44106</v>
      </c>
      <c r="B466" t="s">
        <v>543</v>
      </c>
      <c r="C466" s="2">
        <v>0.1</v>
      </c>
      <c r="D466" s="2">
        <v>5.3900000000000003E-2</v>
      </c>
      <c r="E466" s="3">
        <v>5.5222199999999999E-2</v>
      </c>
      <c r="F466" s="3">
        <v>5.1721799999999998E-2</v>
      </c>
      <c r="G466" s="3">
        <v>4.5600799999999997E-2</v>
      </c>
      <c r="H466" s="3">
        <v>3.5227599999999998E-2</v>
      </c>
      <c r="I466" s="3">
        <v>2.14174E-2</v>
      </c>
      <c r="J466" s="3">
        <v>5.9909999999999998E-3</v>
      </c>
      <c r="K466" s="3">
        <v>-9.6743999999999997E-3</v>
      </c>
      <c r="L466" s="3">
        <v>-2.4554599999999999E-2</v>
      </c>
      <c r="M466" s="3">
        <v>-3.7992499999999998E-2</v>
      </c>
      <c r="N466" s="3">
        <v>-4.9784000000000002E-2</v>
      </c>
      <c r="O466" s="3">
        <v>-5.9939199999999998E-2</v>
      </c>
      <c r="P466" s="3">
        <v>-6.8615899999999994E-2</v>
      </c>
      <c r="Q466" s="3">
        <v>-7.6211600000000004E-2</v>
      </c>
      <c r="R466" s="3">
        <v>-8.2855100000000001E-2</v>
      </c>
      <c r="S466" s="3">
        <v>-8.8569999999999996E-2</v>
      </c>
      <c r="T466" s="3">
        <v>-9.3380000000000005E-2</v>
      </c>
      <c r="U466" s="3">
        <v>-9.7308699999999998E-2</v>
      </c>
      <c r="V466" s="3">
        <v>-0.1003796</v>
      </c>
      <c r="W466" s="3">
        <v>-0.1026162</v>
      </c>
      <c r="X466" s="3">
        <v>-0.10404090000000001</v>
      </c>
      <c r="Y466" s="3">
        <v>-0.1046759</v>
      </c>
      <c r="Z466" s="3">
        <v>-0.10454339999999999</v>
      </c>
      <c r="AA466" s="3">
        <v>-0.1036656</v>
      </c>
      <c r="AB466" s="3">
        <v>-0.10206469999999999</v>
      </c>
      <c r="AC466" s="3">
        <v>-9.9766400000000005E-2</v>
      </c>
      <c r="AD466" s="3">
        <v>-9.6812099999999998E-2</v>
      </c>
      <c r="AE466" s="3">
        <v>-9.3247200000000002E-2</v>
      </c>
      <c r="AF466" s="3">
        <v>-8.9117299999999997E-2</v>
      </c>
      <c r="AG466" s="3">
        <v>-8.4468199999999993E-2</v>
      </c>
      <c r="AH466" s="3">
        <v>-7.9345200000000005E-2</v>
      </c>
      <c r="AI466" s="3">
        <v>-7.3794100000000001E-2</v>
      </c>
      <c r="AJ466" s="3">
        <v>-6.7860400000000001E-2</v>
      </c>
      <c r="AK466" s="3">
        <v>-6.1589699999999997E-2</v>
      </c>
      <c r="AL466" s="3">
        <v>-5.50275E-2</v>
      </c>
      <c r="AM466" s="3">
        <v>-4.8219499999999998E-2</v>
      </c>
      <c r="AN466" s="3">
        <v>-4.1211200000000003E-2</v>
      </c>
      <c r="AO466" s="3">
        <v>-3.4042799999999998E-2</v>
      </c>
      <c r="AP466" s="3">
        <v>-2.6732599999999999E-2</v>
      </c>
      <c r="AQ466" s="3">
        <v>-1.9293399999999999E-2</v>
      </c>
      <c r="AR466" s="3">
        <v>-1.1738200000000001E-2</v>
      </c>
      <c r="AS466" s="3">
        <v>-4.0799E-3</v>
      </c>
      <c r="AT466" s="3">
        <v>3.6687999999999998E-3</v>
      </c>
      <c r="AU466" s="3">
        <v>1.1494900000000001E-2</v>
      </c>
      <c r="AV466" s="3">
        <v>1.93855E-2</v>
      </c>
      <c r="AW466" s="3">
        <v>2.7327899999999999E-2</v>
      </c>
      <c r="AX466" s="3">
        <v>3.5309E-2</v>
      </c>
      <c r="AY466" s="3">
        <v>4.3316E-2</v>
      </c>
      <c r="AZ466" s="3">
        <v>5.1336100000000003E-2</v>
      </c>
      <c r="BA466" s="3">
        <v>5.9357800000000002E-2</v>
      </c>
      <c r="BB466" s="3">
        <v>6.7377000000000006E-2</v>
      </c>
      <c r="BC466" s="3">
        <v>7.5391E-2</v>
      </c>
      <c r="BD466" s="3">
        <v>8.3397299999999994E-2</v>
      </c>
      <c r="BE466" s="3">
        <v>9.1393500000000003E-2</v>
      </c>
      <c r="BF466" s="3">
        <v>9.9377199999999999E-2</v>
      </c>
      <c r="BG466" s="3">
        <v>0.1073457</v>
      </c>
      <c r="BH466" s="3">
        <v>0.1152966</v>
      </c>
      <c r="BI466" s="3">
        <v>0.1232275</v>
      </c>
      <c r="BJ466" s="3">
        <v>0.1311358</v>
      </c>
      <c r="BK466" s="3">
        <v>0.13901910000000001</v>
      </c>
      <c r="BL466" s="3">
        <v>0.1468748</v>
      </c>
      <c r="BM466" s="3" t="e">
        <v>#N/A</v>
      </c>
      <c r="BN466" s="3" t="e">
        <v>#N/A</v>
      </c>
    </row>
    <row r="467" spans="1:66" x14ac:dyDescent="0.35">
      <c r="A467" s="5">
        <f t="shared" si="7"/>
        <v>44109</v>
      </c>
      <c r="B467" t="s">
        <v>544</v>
      </c>
      <c r="C467" s="2">
        <v>0.1</v>
      </c>
      <c r="D467" s="2">
        <v>5.3900000000000003E-2</v>
      </c>
      <c r="E467" s="3">
        <v>5.43306E-2</v>
      </c>
      <c r="F467" s="3">
        <v>5.0210900000000003E-2</v>
      </c>
      <c r="G467" s="3">
        <v>4.3655199999999998E-2</v>
      </c>
      <c r="H467" s="3">
        <v>3.3467499999999997E-2</v>
      </c>
      <c r="I467" s="3">
        <v>2.06778E-2</v>
      </c>
      <c r="J467" s="3">
        <v>6.7257999999999997E-3</v>
      </c>
      <c r="K467" s="3">
        <v>-7.6956000000000004E-3</v>
      </c>
      <c r="L467" s="3">
        <v>-2.2040299999999999E-2</v>
      </c>
      <c r="M467" s="3">
        <v>-3.5645900000000001E-2</v>
      </c>
      <c r="N467" s="3">
        <v>-4.78337E-2</v>
      </c>
      <c r="O467" s="3">
        <v>-5.8178399999999998E-2</v>
      </c>
      <c r="P467" s="3">
        <v>-6.6799700000000004E-2</v>
      </c>
      <c r="Q467" s="3">
        <v>-7.4148800000000001E-2</v>
      </c>
      <c r="R467" s="3">
        <v>-8.0379599999999995E-2</v>
      </c>
      <c r="S467" s="3">
        <v>-8.55485E-2</v>
      </c>
      <c r="T467" s="3">
        <v>-8.9711600000000002E-2</v>
      </c>
      <c r="U467" s="3">
        <v>-9.2925400000000005E-2</v>
      </c>
      <c r="V467" s="3">
        <v>-9.52461E-2</v>
      </c>
      <c r="W467" s="3">
        <v>-9.6722000000000002E-2</v>
      </c>
      <c r="X467" s="3">
        <v>-9.7369399999999995E-2</v>
      </c>
      <c r="Y467" s="3">
        <v>-9.7197400000000003E-2</v>
      </c>
      <c r="Z467" s="3">
        <v>-9.6215099999999998E-2</v>
      </c>
      <c r="AA467" s="3">
        <v>-9.4431500000000002E-2</v>
      </c>
      <c r="AB467" s="3">
        <v>-9.1855599999999996E-2</v>
      </c>
      <c r="AC467" s="3">
        <v>-8.8504299999999994E-2</v>
      </c>
      <c r="AD467" s="3">
        <v>-8.4425700000000006E-2</v>
      </c>
      <c r="AE467" s="3">
        <v>-7.9675599999999999E-2</v>
      </c>
      <c r="AF467" s="3">
        <v>-7.4309899999999998E-2</v>
      </c>
      <c r="AG467" s="3">
        <v>-6.8384600000000004E-2</v>
      </c>
      <c r="AH467" s="3">
        <v>-6.1955400000000001E-2</v>
      </c>
      <c r="AI467" s="3">
        <v>-5.5078299999999997E-2</v>
      </c>
      <c r="AJ467" s="3">
        <v>-4.7809200000000003E-2</v>
      </c>
      <c r="AK467" s="3">
        <v>-4.0203900000000001E-2</v>
      </c>
      <c r="AL467" s="3">
        <v>-3.2318300000000001E-2</v>
      </c>
      <c r="AM467" s="3">
        <v>-2.4208400000000001E-2</v>
      </c>
      <c r="AN467" s="3">
        <v>-1.59299E-2</v>
      </c>
      <c r="AO467" s="3">
        <v>-7.5319999999999996E-3</v>
      </c>
      <c r="AP467" s="3">
        <v>9.634E-4</v>
      </c>
      <c r="AQ467" s="3">
        <v>9.5411999999999997E-3</v>
      </c>
      <c r="AR467" s="3">
        <v>1.8186399999999998E-2</v>
      </c>
      <c r="AS467" s="3">
        <v>2.6883899999999999E-2</v>
      </c>
      <c r="AT467" s="3">
        <v>3.5618499999999997E-2</v>
      </c>
      <c r="AU467" s="3">
        <v>4.4375100000000001E-2</v>
      </c>
      <c r="AV467" s="3">
        <v>5.3138699999999997E-2</v>
      </c>
      <c r="AW467" s="3">
        <v>6.1894200000000003E-2</v>
      </c>
      <c r="AX467" s="3">
        <v>7.0626499999999995E-2</v>
      </c>
      <c r="AY467" s="3">
        <v>7.9320399999999999E-2</v>
      </c>
      <c r="AZ467" s="3">
        <v>8.7960899999999995E-2</v>
      </c>
      <c r="BA467" s="3">
        <v>9.6534800000000004E-2</v>
      </c>
      <c r="BB467" s="3">
        <v>0.1050388</v>
      </c>
      <c r="BC467" s="3">
        <v>0.113473</v>
      </c>
      <c r="BD467" s="3">
        <v>0.12183769999999999</v>
      </c>
      <c r="BE467" s="3">
        <v>0.13013279999999999</v>
      </c>
      <c r="BF467" s="3">
        <v>0.1383585</v>
      </c>
      <c r="BG467" s="3">
        <v>0.14651500000000001</v>
      </c>
      <c r="BH467" s="3">
        <v>0.1546024</v>
      </c>
      <c r="BI467" s="3">
        <v>0.16262080000000001</v>
      </c>
      <c r="BJ467" s="3">
        <v>0.17057040000000001</v>
      </c>
      <c r="BK467" s="3">
        <v>0.1784512</v>
      </c>
      <c r="BL467" s="3">
        <v>0.1862634</v>
      </c>
      <c r="BM467" s="3" t="e">
        <v>#N/A</v>
      </c>
      <c r="BN467" s="3" t="e">
        <v>#N/A</v>
      </c>
    </row>
    <row r="468" spans="1:66" x14ac:dyDescent="0.35">
      <c r="A468" s="5">
        <f t="shared" si="7"/>
        <v>44110</v>
      </c>
      <c r="B468" t="s">
        <v>545</v>
      </c>
      <c r="C468" s="2">
        <v>0.1</v>
      </c>
      <c r="D468" s="2">
        <v>5.3699999999999998E-2</v>
      </c>
      <c r="E468" s="3">
        <v>5.4897500000000002E-2</v>
      </c>
      <c r="F468" s="3">
        <v>5.0315800000000001E-2</v>
      </c>
      <c r="G468" s="3">
        <v>4.3168400000000003E-2</v>
      </c>
      <c r="H468" s="3">
        <v>3.2782899999999997E-2</v>
      </c>
      <c r="I468" s="3">
        <v>1.98243E-2</v>
      </c>
      <c r="J468" s="3">
        <v>5.6309999999999997E-3</v>
      </c>
      <c r="K468" s="3">
        <v>-8.7979000000000009E-3</v>
      </c>
      <c r="L468" s="3">
        <v>-2.2504099999999999E-2</v>
      </c>
      <c r="M468" s="3">
        <v>-3.4862799999999999E-2</v>
      </c>
      <c r="N468" s="3">
        <v>-4.5738399999999999E-2</v>
      </c>
      <c r="O468" s="3">
        <v>-5.51409E-2</v>
      </c>
      <c r="P468" s="3">
        <v>-6.3205600000000001E-2</v>
      </c>
      <c r="Q468" s="3">
        <v>-7.0254700000000003E-2</v>
      </c>
      <c r="R468" s="3">
        <v>-7.6360800000000006E-2</v>
      </c>
      <c r="S468" s="3">
        <v>-8.1517599999999996E-2</v>
      </c>
      <c r="T468" s="3">
        <v>-8.5719000000000004E-2</v>
      </c>
      <c r="U468" s="3">
        <v>-8.8958700000000002E-2</v>
      </c>
      <c r="V468" s="3">
        <v>-9.1230599999999995E-2</v>
      </c>
      <c r="W468" s="3">
        <v>-9.2537900000000006E-2</v>
      </c>
      <c r="X468" s="3">
        <v>-9.2920199999999994E-2</v>
      </c>
      <c r="Y468" s="3">
        <v>-9.2425900000000005E-2</v>
      </c>
      <c r="Z468" s="3">
        <v>-9.1103199999999995E-2</v>
      </c>
      <c r="AA468" s="3">
        <v>-8.9000399999999993E-2</v>
      </c>
      <c r="AB468" s="3">
        <v>-8.6165800000000001E-2</v>
      </c>
      <c r="AC468" s="3">
        <v>-8.2647499999999999E-2</v>
      </c>
      <c r="AD468" s="3">
        <v>-7.8493999999999994E-2</v>
      </c>
      <c r="AE468" s="3">
        <v>-7.37535E-2</v>
      </c>
      <c r="AF468" s="3">
        <v>-6.8474099999999996E-2</v>
      </c>
      <c r="AG468" s="3">
        <v>-6.2704099999999999E-2</v>
      </c>
      <c r="AH468" s="3">
        <v>-5.6491899999999998E-2</v>
      </c>
      <c r="AI468" s="3">
        <v>-4.9885600000000002E-2</v>
      </c>
      <c r="AJ468" s="3">
        <v>-4.2933600000000002E-2</v>
      </c>
      <c r="AK468" s="3">
        <v>-3.5684E-2</v>
      </c>
      <c r="AL468" s="3">
        <v>-2.8185100000000001E-2</v>
      </c>
      <c r="AM468" s="3">
        <v>-2.0485099999999999E-2</v>
      </c>
      <c r="AN468" s="3">
        <v>-1.26324E-2</v>
      </c>
      <c r="AO468" s="3">
        <v>-4.6690000000000004E-3</v>
      </c>
      <c r="AP468" s="3">
        <v>3.388E-3</v>
      </c>
      <c r="AQ468" s="3">
        <v>1.15275E-2</v>
      </c>
      <c r="AR468" s="3">
        <v>1.97384E-2</v>
      </c>
      <c r="AS468" s="3">
        <v>2.8009900000000001E-2</v>
      </c>
      <c r="AT468" s="3">
        <v>3.6330899999999999E-2</v>
      </c>
      <c r="AU468" s="3">
        <v>4.4690399999999998E-2</v>
      </c>
      <c r="AV468" s="3">
        <v>5.3077300000000001E-2</v>
      </c>
      <c r="AW468" s="3">
        <v>6.1480699999999999E-2</v>
      </c>
      <c r="AX468" s="3">
        <v>6.9889499999999993E-2</v>
      </c>
      <c r="AY468" s="3">
        <v>7.8292899999999999E-2</v>
      </c>
      <c r="AZ468" s="3">
        <v>8.6679599999999996E-2</v>
      </c>
      <c r="BA468" s="3">
        <v>9.5040100000000002E-2</v>
      </c>
      <c r="BB468" s="3">
        <v>0.1033713</v>
      </c>
      <c r="BC468" s="3">
        <v>0.1116721</v>
      </c>
      <c r="BD468" s="3">
        <v>0.1199412</v>
      </c>
      <c r="BE468" s="3">
        <v>0.12817770000000001</v>
      </c>
      <c r="BF468" s="3">
        <v>0.13638030000000001</v>
      </c>
      <c r="BG468" s="3">
        <v>0.14454800000000001</v>
      </c>
      <c r="BH468" s="3">
        <v>0.1526796</v>
      </c>
      <c r="BI468" s="3">
        <v>0.1607741</v>
      </c>
      <c r="BJ468" s="3">
        <v>0.16883020000000001</v>
      </c>
      <c r="BK468" s="3">
        <v>0.1768469</v>
      </c>
      <c r="BL468" s="3">
        <v>0.18482309999999999</v>
      </c>
      <c r="BM468" s="3" t="e">
        <v>#N/A</v>
      </c>
      <c r="BN468" s="3" t="e">
        <v>#N/A</v>
      </c>
    </row>
    <row r="469" spans="1:66" x14ac:dyDescent="0.35">
      <c r="A469" s="5">
        <f t="shared" si="7"/>
        <v>44111</v>
      </c>
      <c r="B469" t="s">
        <v>546</v>
      </c>
      <c r="C469" s="2">
        <v>0.1</v>
      </c>
      <c r="D469" s="2">
        <v>5.3999999999999999E-2</v>
      </c>
      <c r="E469" s="3">
        <v>5.4240299999999998E-2</v>
      </c>
      <c r="F469" s="3">
        <v>4.9977000000000001E-2</v>
      </c>
      <c r="G469" s="3">
        <v>4.3394000000000002E-2</v>
      </c>
      <c r="H469" s="3">
        <v>3.3355299999999997E-2</v>
      </c>
      <c r="I469" s="3">
        <v>2.0682499999999999E-2</v>
      </c>
      <c r="J469" s="3">
        <v>6.9296999999999996E-3</v>
      </c>
      <c r="K469" s="3">
        <v>-6.7396000000000001E-3</v>
      </c>
      <c r="L469" s="3">
        <v>-1.94831E-2</v>
      </c>
      <c r="M469" s="3">
        <v>-3.0936499999999999E-2</v>
      </c>
      <c r="N469" s="3">
        <v>-4.1082199999999999E-2</v>
      </c>
      <c r="O469" s="3">
        <v>-4.9992000000000002E-2</v>
      </c>
      <c r="P469" s="3">
        <v>-5.7721799999999997E-2</v>
      </c>
      <c r="Q469" s="3">
        <v>-6.44927E-2</v>
      </c>
      <c r="R469" s="3">
        <v>-7.03598E-2</v>
      </c>
      <c r="S469" s="3">
        <v>-7.5320100000000001E-2</v>
      </c>
      <c r="T469" s="3">
        <v>-7.9370599999999999E-2</v>
      </c>
      <c r="U469" s="3">
        <v>-8.2508499999999999E-2</v>
      </c>
      <c r="V469" s="3">
        <v>-8.4730799999999995E-2</v>
      </c>
      <c r="W469" s="3">
        <v>-8.6040699999999998E-2</v>
      </c>
      <c r="X469" s="3">
        <v>-8.6464299999999994E-2</v>
      </c>
      <c r="Y469" s="3">
        <v>-8.6032999999999998E-2</v>
      </c>
      <c r="Z469" s="3">
        <v>-8.4778300000000001E-2</v>
      </c>
      <c r="AA469" s="3">
        <v>-8.2731899999999997E-2</v>
      </c>
      <c r="AB469" s="3">
        <v>-7.9925099999999999E-2</v>
      </c>
      <c r="AC469" s="3">
        <v>-7.6392699999999994E-2</v>
      </c>
      <c r="AD469" s="3">
        <v>-7.2182300000000005E-2</v>
      </c>
      <c r="AE469" s="3">
        <v>-6.7344600000000004E-2</v>
      </c>
      <c r="AF469" s="3">
        <v>-6.1930399999999997E-2</v>
      </c>
      <c r="AG469" s="3">
        <v>-5.59903E-2</v>
      </c>
      <c r="AH469" s="3">
        <v>-4.95752E-2</v>
      </c>
      <c r="AI469" s="3">
        <v>-4.2735799999999997E-2</v>
      </c>
      <c r="AJ469" s="3">
        <v>-3.55228E-2</v>
      </c>
      <c r="AK469" s="3">
        <v>-2.7987000000000001E-2</v>
      </c>
      <c r="AL469" s="3">
        <v>-2.0179200000000001E-2</v>
      </c>
      <c r="AM469" s="3">
        <v>-1.2149999999999999E-2</v>
      </c>
      <c r="AN469" s="3">
        <v>-3.9502000000000001E-3</v>
      </c>
      <c r="AO469" s="3">
        <v>4.3744999999999999E-3</v>
      </c>
      <c r="AP469" s="3">
        <v>1.2803E-2</v>
      </c>
      <c r="AQ469" s="3">
        <v>2.1321900000000001E-2</v>
      </c>
      <c r="AR469" s="3">
        <v>2.9917699999999998E-2</v>
      </c>
      <c r="AS469" s="3">
        <v>3.8576800000000001E-2</v>
      </c>
      <c r="AT469" s="3">
        <v>4.72857E-2</v>
      </c>
      <c r="AU469" s="3">
        <v>5.6030999999999997E-2</v>
      </c>
      <c r="AV469" s="3">
        <v>6.4799099999999998E-2</v>
      </c>
      <c r="AW469" s="3">
        <v>7.3576500000000003E-2</v>
      </c>
      <c r="AX469" s="3">
        <v>8.2349699999999998E-2</v>
      </c>
      <c r="AY469" s="3">
        <v>9.1105199999999997E-2</v>
      </c>
      <c r="AZ469" s="3">
        <v>9.9829500000000002E-2</v>
      </c>
      <c r="BA469" s="3">
        <v>0.108511</v>
      </c>
      <c r="BB469" s="3">
        <v>0.1171469</v>
      </c>
      <c r="BC469" s="3">
        <v>0.1257366</v>
      </c>
      <c r="BD469" s="3">
        <v>0.1342796</v>
      </c>
      <c r="BE469" s="3">
        <v>0.1427755</v>
      </c>
      <c r="BF469" s="3">
        <v>0.15122379999999999</v>
      </c>
      <c r="BG469" s="3">
        <v>0.15962380000000001</v>
      </c>
      <c r="BH469" s="3">
        <v>0.16797529999999999</v>
      </c>
      <c r="BI469" s="3">
        <v>0.1762775</v>
      </c>
      <c r="BJ469" s="3">
        <v>0.1845301</v>
      </c>
      <c r="BK469" s="3">
        <v>0.1927325</v>
      </c>
      <c r="BL469" s="3">
        <v>0.20088429999999999</v>
      </c>
      <c r="BM469" s="3" t="e">
        <v>#N/A</v>
      </c>
      <c r="BN469" s="3" t="e">
        <v>#N/A</v>
      </c>
    </row>
    <row r="470" spans="1:66" x14ac:dyDescent="0.35">
      <c r="A470" s="5">
        <f t="shared" si="7"/>
        <v>44112</v>
      </c>
      <c r="B470" t="s">
        <v>547</v>
      </c>
      <c r="C470" s="2">
        <v>0.1</v>
      </c>
      <c r="D470" s="2">
        <v>5.3900000000000003E-2</v>
      </c>
      <c r="E470" s="3">
        <v>4.9713300000000002E-2</v>
      </c>
      <c r="F470" s="3">
        <v>5.1441000000000001E-2</v>
      </c>
      <c r="G470" s="3">
        <v>4.5888499999999999E-2</v>
      </c>
      <c r="H470" s="3">
        <v>3.4855299999999999E-2</v>
      </c>
      <c r="I470" s="3">
        <v>2.1349900000000002E-2</v>
      </c>
      <c r="J470" s="3">
        <v>7.4682000000000004E-3</v>
      </c>
      <c r="K470" s="3">
        <v>-5.7368999999999996E-3</v>
      </c>
      <c r="L470" s="3">
        <v>-1.7707899999999999E-2</v>
      </c>
      <c r="M470" s="3">
        <v>-2.8252800000000002E-2</v>
      </c>
      <c r="N470" s="3">
        <v>-3.7450900000000002E-2</v>
      </c>
      <c r="O470" s="3">
        <v>-4.54624E-2</v>
      </c>
      <c r="P470" s="3">
        <v>-5.2451299999999999E-2</v>
      </c>
      <c r="Q470" s="3">
        <v>-5.8741599999999998E-2</v>
      </c>
      <c r="R470" s="3">
        <v>-6.4371600000000001E-2</v>
      </c>
      <c r="S470" s="3">
        <v>-6.9291000000000005E-2</v>
      </c>
      <c r="T470" s="3">
        <v>-7.3449299999999995E-2</v>
      </c>
      <c r="U470" s="3">
        <v>-7.6795799999999997E-2</v>
      </c>
      <c r="V470" s="3">
        <v>-7.9280199999999995E-2</v>
      </c>
      <c r="W470" s="3">
        <v>-8.0867700000000001E-2</v>
      </c>
      <c r="X470" s="3">
        <v>-8.1583299999999997E-2</v>
      </c>
      <c r="Y470" s="3">
        <v>-8.1466499999999997E-2</v>
      </c>
      <c r="Z470" s="3">
        <v>-8.05564E-2</v>
      </c>
      <c r="AA470" s="3">
        <v>-7.8892599999999993E-2</v>
      </c>
      <c r="AB470" s="3">
        <v>-7.6514299999999993E-2</v>
      </c>
      <c r="AC470" s="3">
        <v>-7.3461399999999996E-2</v>
      </c>
      <c r="AD470" s="3">
        <v>-6.9777199999999998E-2</v>
      </c>
      <c r="AE470" s="3">
        <v>-6.5505400000000005E-2</v>
      </c>
      <c r="AF470" s="3">
        <v>-6.06902E-2</v>
      </c>
      <c r="AG470" s="3">
        <v>-5.5375599999999997E-2</v>
      </c>
      <c r="AH470" s="3">
        <v>-4.96056E-2</v>
      </c>
      <c r="AI470" s="3">
        <v>-4.34241E-2</v>
      </c>
      <c r="AJ470" s="3">
        <v>-3.6875199999999997E-2</v>
      </c>
      <c r="AK470" s="3">
        <v>-3.0002899999999999E-2</v>
      </c>
      <c r="AL470" s="3">
        <v>-2.2851099999999999E-2</v>
      </c>
      <c r="AM470" s="3">
        <v>-1.5463899999999999E-2</v>
      </c>
      <c r="AN470" s="3">
        <v>-7.8854000000000007E-3</v>
      </c>
      <c r="AO470" s="3">
        <v>-1.5469999999999999E-4</v>
      </c>
      <c r="AP470" s="3">
        <v>7.7095999999999996E-3</v>
      </c>
      <c r="AQ470" s="3">
        <v>1.56946E-2</v>
      </c>
      <c r="AR470" s="3">
        <v>2.37875E-2</v>
      </c>
      <c r="AS470" s="3">
        <v>3.1975700000000003E-2</v>
      </c>
      <c r="AT470" s="3">
        <v>4.02461E-2</v>
      </c>
      <c r="AU470" s="3">
        <v>4.85861E-2</v>
      </c>
      <c r="AV470" s="3">
        <v>5.69828E-2</v>
      </c>
      <c r="AW470" s="3">
        <v>6.5423499999999996E-2</v>
      </c>
      <c r="AX470" s="3">
        <v>7.3895199999999994E-2</v>
      </c>
      <c r="AY470" s="3">
        <v>8.2385200000000006E-2</v>
      </c>
      <c r="AZ470" s="3">
        <v>9.0880799999999998E-2</v>
      </c>
      <c r="BA470" s="3">
        <v>9.9370399999999998E-2</v>
      </c>
      <c r="BB470" s="3">
        <v>0.10784879999999999</v>
      </c>
      <c r="BC470" s="3">
        <v>0.11631229999999999</v>
      </c>
      <c r="BD470" s="3">
        <v>0.1247574</v>
      </c>
      <c r="BE470" s="3">
        <v>0.1331804</v>
      </c>
      <c r="BF470" s="3">
        <v>0.1415777</v>
      </c>
      <c r="BG470" s="3">
        <v>0.14994569999999999</v>
      </c>
      <c r="BH470" s="3">
        <v>0.1582807</v>
      </c>
      <c r="BI470" s="3">
        <v>0.16657930000000001</v>
      </c>
      <c r="BJ470" s="3">
        <v>0.17483770000000001</v>
      </c>
      <c r="BK470" s="3">
        <v>0.1830523</v>
      </c>
      <c r="BL470" s="3">
        <v>0.19121949999999999</v>
      </c>
      <c r="BM470" s="3" t="e">
        <v>#N/A</v>
      </c>
      <c r="BN470" s="3" t="e">
        <v>#N/A</v>
      </c>
    </row>
    <row r="471" spans="1:66" x14ac:dyDescent="0.35">
      <c r="A471" s="5">
        <f t="shared" si="7"/>
        <v>44113</v>
      </c>
      <c r="B471" t="s">
        <v>548</v>
      </c>
      <c r="C471" s="2">
        <v>0.1</v>
      </c>
      <c r="D471" s="2">
        <v>5.3800000000000001E-2</v>
      </c>
      <c r="E471" s="3">
        <v>5.4505499999999998E-2</v>
      </c>
      <c r="F471" s="3">
        <v>5.0108E-2</v>
      </c>
      <c r="G471" s="3">
        <v>4.2508700000000003E-2</v>
      </c>
      <c r="H471" s="3">
        <v>3.0706299999999999E-2</v>
      </c>
      <c r="I471" s="3">
        <v>1.6169200000000002E-2</v>
      </c>
      <c r="J471" s="3">
        <v>8.2830000000000002E-4</v>
      </c>
      <c r="K471" s="3">
        <v>-1.4015400000000001E-2</v>
      </c>
      <c r="L471" s="3">
        <v>-2.7445399999999998E-2</v>
      </c>
      <c r="M471" s="3">
        <v>-3.9034399999999997E-2</v>
      </c>
      <c r="N471" s="3">
        <v>-4.8772900000000001E-2</v>
      </c>
      <c r="O471" s="3">
        <v>-5.6766400000000002E-2</v>
      </c>
      <c r="P471" s="3">
        <v>-6.3211500000000004E-2</v>
      </c>
      <c r="Q471" s="3">
        <v>-6.8543199999999999E-2</v>
      </c>
      <c r="R471" s="3">
        <v>-7.2917899999999994E-2</v>
      </c>
      <c r="S471" s="3">
        <v>-7.6382000000000005E-2</v>
      </c>
      <c r="T471" s="3">
        <v>-7.8981999999999997E-2</v>
      </c>
      <c r="U471" s="3">
        <v>-8.0764600000000006E-2</v>
      </c>
      <c r="V471" s="3">
        <v>-8.1776299999999996E-2</v>
      </c>
      <c r="W471" s="3">
        <v>-8.2061300000000004E-2</v>
      </c>
      <c r="X471" s="3">
        <v>-8.1653699999999996E-2</v>
      </c>
      <c r="Y471" s="3">
        <v>-8.0584199999999995E-2</v>
      </c>
      <c r="Z471" s="3">
        <v>-7.8883900000000007E-2</v>
      </c>
      <c r="AA471" s="3">
        <v>-7.6583600000000002E-2</v>
      </c>
      <c r="AB471" s="3">
        <v>-7.3714299999999996E-2</v>
      </c>
      <c r="AC471" s="3">
        <v>-7.0307300000000003E-2</v>
      </c>
      <c r="AD471" s="3">
        <v>-6.6395899999999994E-2</v>
      </c>
      <c r="AE471" s="3">
        <v>-6.2014100000000003E-2</v>
      </c>
      <c r="AF471" s="3">
        <v>-5.7195799999999998E-2</v>
      </c>
      <c r="AG471" s="3">
        <v>-5.1974699999999999E-2</v>
      </c>
      <c r="AH471" s="3">
        <v>-4.63849E-2</v>
      </c>
      <c r="AI471" s="3">
        <v>-4.0460200000000002E-2</v>
      </c>
      <c r="AJ471" s="3">
        <v>-3.4234500000000001E-2</v>
      </c>
      <c r="AK471" s="3">
        <v>-2.7741700000000001E-2</v>
      </c>
      <c r="AL471" s="3">
        <v>-2.1015599999999999E-2</v>
      </c>
      <c r="AM471" s="3">
        <v>-1.4090200000000001E-2</v>
      </c>
      <c r="AN471" s="3">
        <v>-6.9993E-3</v>
      </c>
      <c r="AO471" s="3">
        <v>2.2690000000000001E-4</v>
      </c>
      <c r="AP471" s="3">
        <v>7.5732999999999998E-3</v>
      </c>
      <c r="AQ471" s="3">
        <v>1.50285E-2</v>
      </c>
      <c r="AR471" s="3">
        <v>2.2581E-2</v>
      </c>
      <c r="AS471" s="3">
        <v>3.0219599999999999E-2</v>
      </c>
      <c r="AT471" s="3">
        <v>3.79327E-2</v>
      </c>
      <c r="AU471" s="3">
        <v>4.5709100000000003E-2</v>
      </c>
      <c r="AV471" s="3">
        <v>5.3537300000000003E-2</v>
      </c>
      <c r="AW471" s="3">
        <v>6.1405899999999999E-2</v>
      </c>
      <c r="AX471" s="3">
        <v>6.9303500000000004E-2</v>
      </c>
      <c r="AY471" s="3">
        <v>7.7218800000000004E-2</v>
      </c>
      <c r="AZ471" s="3">
        <v>8.5140300000000002E-2</v>
      </c>
      <c r="BA471" s="3">
        <v>9.3058000000000002E-2</v>
      </c>
      <c r="BB471" s="3">
        <v>0.1009679</v>
      </c>
      <c r="BC471" s="3">
        <v>0.1088677</v>
      </c>
      <c r="BD471" s="3">
        <v>0.11675480000000001</v>
      </c>
      <c r="BE471" s="3">
        <v>0.124627</v>
      </c>
      <c r="BF471" s="3">
        <v>0.13248199999999999</v>
      </c>
      <c r="BG471" s="3">
        <v>0.1403172</v>
      </c>
      <c r="BH471" s="3">
        <v>0.1481305</v>
      </c>
      <c r="BI471" s="3">
        <v>0.15591930000000001</v>
      </c>
      <c r="BJ471" s="3">
        <v>0.1636813</v>
      </c>
      <c r="BK471" s="3">
        <v>0.17141419999999999</v>
      </c>
      <c r="BL471" s="3">
        <v>0.17911560000000001</v>
      </c>
      <c r="BM471" s="3" t="e">
        <v>#N/A</v>
      </c>
      <c r="BN471" s="3" t="e">
        <v>#N/A</v>
      </c>
    </row>
    <row r="472" spans="1:66" x14ac:dyDescent="0.35">
      <c r="A472" s="5">
        <f t="shared" si="7"/>
        <v>44116</v>
      </c>
      <c r="B472" t="s">
        <v>549</v>
      </c>
      <c r="C472" s="2">
        <v>0.1</v>
      </c>
      <c r="D472" s="2">
        <v>5.4199999999999998E-2</v>
      </c>
      <c r="E472" s="3">
        <v>5.3100500000000002E-2</v>
      </c>
      <c r="F472" s="3">
        <v>4.8880199999999999E-2</v>
      </c>
      <c r="G472" s="3">
        <v>4.1513099999999997E-2</v>
      </c>
      <c r="H472" s="3">
        <v>2.9761900000000001E-2</v>
      </c>
      <c r="I472" s="3">
        <v>1.4951000000000001E-2</v>
      </c>
      <c r="J472" s="3">
        <v>-9.8090000000000004E-4</v>
      </c>
      <c r="K472" s="3">
        <v>-1.6638400000000001E-2</v>
      </c>
      <c r="L472" s="3">
        <v>-3.10373E-2</v>
      </c>
      <c r="M472" s="3">
        <v>-4.3679999999999997E-2</v>
      </c>
      <c r="N472" s="3">
        <v>-5.4595299999999999E-2</v>
      </c>
      <c r="O472" s="3">
        <v>-6.3861200000000007E-2</v>
      </c>
      <c r="P472" s="3">
        <v>-7.1632000000000001E-2</v>
      </c>
      <c r="Q472" s="3">
        <v>-7.8184400000000001E-2</v>
      </c>
      <c r="R472" s="3">
        <v>-8.3627599999999996E-2</v>
      </c>
      <c r="S472" s="3">
        <v>-8.8017799999999993E-2</v>
      </c>
      <c r="T472" s="3">
        <v>-9.1411000000000006E-2</v>
      </c>
      <c r="U472" s="3">
        <v>-9.3863299999999997E-2</v>
      </c>
      <c r="V472" s="3">
        <v>-9.5430799999999996E-2</v>
      </c>
      <c r="W472" s="3">
        <v>-9.6165600000000004E-2</v>
      </c>
      <c r="X472" s="3">
        <v>-9.6105300000000005E-2</v>
      </c>
      <c r="Y472" s="3">
        <v>-9.5283699999999999E-2</v>
      </c>
      <c r="Z472" s="3">
        <v>-9.3734700000000004E-2</v>
      </c>
      <c r="AA472" s="3">
        <v>-9.1492299999999999E-2</v>
      </c>
      <c r="AB472" s="3">
        <v>-8.8590299999999997E-2</v>
      </c>
      <c r="AC472" s="3">
        <v>-8.5063899999999998E-2</v>
      </c>
      <c r="AD472" s="3">
        <v>-8.0953200000000003E-2</v>
      </c>
      <c r="AE472" s="3">
        <v>-7.6299800000000001E-2</v>
      </c>
      <c r="AF472" s="3">
        <v>-7.1145100000000003E-2</v>
      </c>
      <c r="AG472" s="3">
        <v>-6.5530500000000005E-2</v>
      </c>
      <c r="AH472" s="3">
        <v>-5.9497500000000002E-2</v>
      </c>
      <c r="AI472" s="3">
        <v>-5.3087500000000003E-2</v>
      </c>
      <c r="AJ472" s="3">
        <v>-4.6341899999999998E-2</v>
      </c>
      <c r="AK472" s="3">
        <v>-3.9302200000000002E-2</v>
      </c>
      <c r="AL472" s="3">
        <v>-3.2009900000000001E-2</v>
      </c>
      <c r="AM472" s="3">
        <v>-2.4506300000000002E-2</v>
      </c>
      <c r="AN472" s="3">
        <v>-1.6833000000000001E-2</v>
      </c>
      <c r="AO472" s="3">
        <v>-9.0265999999999992E-3</v>
      </c>
      <c r="AP472" s="3">
        <v>-1.1053E-3</v>
      </c>
      <c r="AQ472" s="3">
        <v>6.9178E-3</v>
      </c>
      <c r="AR472" s="3">
        <v>1.50292E-2</v>
      </c>
      <c r="AS472" s="3">
        <v>2.3215800000000002E-2</v>
      </c>
      <c r="AT472" s="3">
        <v>3.1463999999999999E-2</v>
      </c>
      <c r="AU472" s="3">
        <v>3.9760799999999999E-2</v>
      </c>
      <c r="AV472" s="3">
        <v>4.8092599999999999E-2</v>
      </c>
      <c r="AW472" s="3">
        <v>5.6446299999999998E-2</v>
      </c>
      <c r="AX472" s="3">
        <v>6.4808400000000002E-2</v>
      </c>
      <c r="AY472" s="3">
        <v>7.31657E-2</v>
      </c>
      <c r="AZ472" s="3">
        <v>8.1504999999999994E-2</v>
      </c>
      <c r="BA472" s="3">
        <v>8.9814199999999997E-2</v>
      </c>
      <c r="BB472" s="3">
        <v>9.8089700000000002E-2</v>
      </c>
      <c r="BC472" s="3">
        <v>0.10633040000000001</v>
      </c>
      <c r="BD472" s="3">
        <v>0.1145351</v>
      </c>
      <c r="BE472" s="3">
        <v>0.1227028</v>
      </c>
      <c r="BF472" s="3">
        <v>0.13083230000000001</v>
      </c>
      <c r="BG472" s="3">
        <v>0.13892260000000001</v>
      </c>
      <c r="BH472" s="3">
        <v>0.14697260000000001</v>
      </c>
      <c r="BI472" s="3">
        <v>0.15498120000000001</v>
      </c>
      <c r="BJ472" s="3">
        <v>0.16294719999999999</v>
      </c>
      <c r="BK472" s="3">
        <v>0.17086960000000001</v>
      </c>
      <c r="BL472" s="3">
        <v>0.17874719999999999</v>
      </c>
      <c r="BM472" s="3" t="e">
        <v>#N/A</v>
      </c>
      <c r="BN472" s="3" t="e">
        <v>#N/A</v>
      </c>
    </row>
    <row r="473" spans="1:66" x14ac:dyDescent="0.35">
      <c r="A473" s="5">
        <f t="shared" si="7"/>
        <v>44117</v>
      </c>
      <c r="B473" t="s">
        <v>550</v>
      </c>
      <c r="C473" s="2">
        <v>0.1</v>
      </c>
      <c r="D473" s="2">
        <v>5.3100000000000001E-2</v>
      </c>
      <c r="E473" s="3">
        <v>5.2871399999999999E-2</v>
      </c>
      <c r="F473" s="3">
        <v>4.7132199999999999E-2</v>
      </c>
      <c r="G473" s="3">
        <v>3.8697099999999998E-2</v>
      </c>
      <c r="H473" s="3">
        <v>2.6784100000000002E-2</v>
      </c>
      <c r="I473" s="3">
        <v>1.2073199999999999E-2</v>
      </c>
      <c r="J473" s="3">
        <v>-3.9023999999999999E-3</v>
      </c>
      <c r="K473" s="3">
        <v>-1.9803600000000001E-2</v>
      </c>
      <c r="L473" s="3">
        <v>-3.4612200000000003E-2</v>
      </c>
      <c r="M473" s="3">
        <v>-4.7752200000000002E-2</v>
      </c>
      <c r="N473" s="3">
        <v>-5.9138099999999999E-2</v>
      </c>
      <c r="O473" s="3">
        <v>-6.8826100000000001E-2</v>
      </c>
      <c r="P473" s="3">
        <v>-7.6961000000000002E-2</v>
      </c>
      <c r="Q473" s="3">
        <v>-8.3808099999999996E-2</v>
      </c>
      <c r="R473" s="3">
        <v>-8.9481699999999997E-2</v>
      </c>
      <c r="S473" s="3">
        <v>-9.4048099999999996E-2</v>
      </c>
      <c r="T473" s="3">
        <v>-9.7573499999999994E-2</v>
      </c>
      <c r="U473" s="3">
        <v>-0.10012409999999999</v>
      </c>
      <c r="V473" s="3">
        <v>-0.1017663</v>
      </c>
      <c r="W473" s="3">
        <v>-0.102564</v>
      </c>
      <c r="X473" s="3">
        <v>-0.1025722</v>
      </c>
      <c r="Y473" s="3">
        <v>-0.10184360000000001</v>
      </c>
      <c r="Z473" s="3">
        <v>-0.1004312</v>
      </c>
      <c r="AA473" s="3">
        <v>-9.83879E-2</v>
      </c>
      <c r="AB473" s="3">
        <v>-9.5766500000000004E-2</v>
      </c>
      <c r="AC473" s="3">
        <v>-9.2616799999999999E-2</v>
      </c>
      <c r="AD473" s="3">
        <v>-8.8976600000000003E-2</v>
      </c>
      <c r="AE473" s="3">
        <v>-8.4880499999999998E-2</v>
      </c>
      <c r="AF473" s="3">
        <v>-8.0363299999999999E-2</v>
      </c>
      <c r="AG473" s="3">
        <v>-7.5459499999999999E-2</v>
      </c>
      <c r="AH473" s="3">
        <v>-7.02039E-2</v>
      </c>
      <c r="AI473" s="3">
        <v>-6.46312E-2</v>
      </c>
      <c r="AJ473" s="3">
        <v>-5.8776000000000002E-2</v>
      </c>
      <c r="AK473" s="3">
        <v>-5.26731E-2</v>
      </c>
      <c r="AL473" s="3">
        <v>-4.6357000000000002E-2</v>
      </c>
      <c r="AM473" s="3">
        <v>-3.9862500000000002E-2</v>
      </c>
      <c r="AN473" s="3">
        <v>-3.3224400000000001E-2</v>
      </c>
      <c r="AO473" s="3">
        <v>-2.6473E-2</v>
      </c>
      <c r="AP473" s="3">
        <v>-1.9622500000000001E-2</v>
      </c>
      <c r="AQ473" s="3">
        <v>-1.2682799999999999E-2</v>
      </c>
      <c r="AR473" s="3">
        <v>-5.6638000000000001E-3</v>
      </c>
      <c r="AS473" s="3">
        <v>1.4246E-3</v>
      </c>
      <c r="AT473" s="3">
        <v>8.5725000000000003E-3</v>
      </c>
      <c r="AU473" s="3">
        <v>1.57699E-2</v>
      </c>
      <c r="AV473" s="3">
        <v>2.3007E-2</v>
      </c>
      <c r="AW473" s="3">
        <v>3.02738E-2</v>
      </c>
      <c r="AX473" s="3">
        <v>3.7560400000000001E-2</v>
      </c>
      <c r="AY473" s="3">
        <v>4.4856800000000002E-2</v>
      </c>
      <c r="AZ473" s="3">
        <v>5.21533E-2</v>
      </c>
      <c r="BA473" s="3">
        <v>5.9441099999999997E-2</v>
      </c>
      <c r="BB473" s="3">
        <v>6.6717799999999994E-2</v>
      </c>
      <c r="BC473" s="3">
        <v>7.3983099999999996E-2</v>
      </c>
      <c r="BD473" s="3">
        <v>8.1236199999999995E-2</v>
      </c>
      <c r="BE473" s="3">
        <v>8.8476899999999997E-2</v>
      </c>
      <c r="BF473" s="3">
        <v>9.5704600000000001E-2</v>
      </c>
      <c r="BG473" s="3">
        <v>0.1029187</v>
      </c>
      <c r="BH473" s="3">
        <v>0.11011890000000001</v>
      </c>
      <c r="BI473" s="3">
        <v>0.11730459999999999</v>
      </c>
      <c r="BJ473" s="3">
        <v>0.1244754</v>
      </c>
      <c r="BK473" s="3">
        <v>0.13163059999999999</v>
      </c>
      <c r="BL473" s="3">
        <v>0.13877</v>
      </c>
      <c r="BM473" s="3" t="e">
        <v>#N/A</v>
      </c>
      <c r="BN473" s="3" t="e">
        <v>#N/A</v>
      </c>
    </row>
    <row r="474" spans="1:66" x14ac:dyDescent="0.35">
      <c r="A474" s="5">
        <f t="shared" si="7"/>
        <v>44118</v>
      </c>
      <c r="B474" t="s">
        <v>551</v>
      </c>
      <c r="C474" s="2">
        <v>0.1</v>
      </c>
      <c r="D474" s="2">
        <v>5.3800000000000001E-2</v>
      </c>
      <c r="E474" s="3">
        <v>5.29851E-2</v>
      </c>
      <c r="F474" s="3">
        <v>4.6749800000000001E-2</v>
      </c>
      <c r="G474" s="3">
        <v>3.7677000000000002E-2</v>
      </c>
      <c r="H474" s="3">
        <v>2.5266899999999998E-2</v>
      </c>
      <c r="I474" s="3">
        <v>1.05322E-2</v>
      </c>
      <c r="J474" s="3">
        <v>-5.1856999999999997E-3</v>
      </c>
      <c r="K474" s="3">
        <v>-2.0748300000000001E-2</v>
      </c>
      <c r="L474" s="3">
        <v>-3.51063E-2</v>
      </c>
      <c r="M474" s="3">
        <v>-4.76877E-2</v>
      </c>
      <c r="N474" s="3">
        <v>-5.83831E-2</v>
      </c>
      <c r="O474" s="3">
        <v>-6.7311599999999999E-2</v>
      </c>
      <c r="P474" s="3">
        <v>-7.4628200000000006E-2</v>
      </c>
      <c r="Q474" s="3">
        <v>-8.0641699999999997E-2</v>
      </c>
      <c r="R474" s="3">
        <v>-8.5500800000000002E-2</v>
      </c>
      <c r="S474" s="3">
        <v>-8.9299400000000001E-2</v>
      </c>
      <c r="T474" s="3">
        <v>-9.2131699999999997E-2</v>
      </c>
      <c r="U474" s="3">
        <v>-9.40917E-2</v>
      </c>
      <c r="V474" s="3">
        <v>-9.5273499999999997E-2</v>
      </c>
      <c r="W474" s="3">
        <v>-9.5760300000000007E-2</v>
      </c>
      <c r="X474" s="3">
        <v>-9.5595100000000002E-2</v>
      </c>
      <c r="Y474" s="3">
        <v>-9.4810800000000001E-2</v>
      </c>
      <c r="Z474" s="3">
        <v>-9.3440499999999996E-2</v>
      </c>
      <c r="AA474" s="3">
        <v>-9.1517299999999996E-2</v>
      </c>
      <c r="AB474" s="3">
        <v>-8.9074299999999995E-2</v>
      </c>
      <c r="AC474" s="3">
        <v>-8.6144200000000004E-2</v>
      </c>
      <c r="AD474" s="3">
        <v>-8.2758600000000002E-2</v>
      </c>
      <c r="AE474" s="3">
        <v>-7.89488E-2</v>
      </c>
      <c r="AF474" s="3">
        <v>-7.4746000000000007E-2</v>
      </c>
      <c r="AG474" s="3">
        <v>-7.0181400000000005E-2</v>
      </c>
      <c r="AH474" s="3">
        <v>-6.5286399999999994E-2</v>
      </c>
      <c r="AI474" s="3">
        <v>-6.0092300000000001E-2</v>
      </c>
      <c r="AJ474" s="3">
        <v>-5.4630199999999997E-2</v>
      </c>
      <c r="AK474" s="3">
        <v>-4.89314E-2</v>
      </c>
      <c r="AL474" s="3">
        <v>-4.3027200000000002E-2</v>
      </c>
      <c r="AM474" s="3">
        <v>-3.69489E-2</v>
      </c>
      <c r="AN474" s="3">
        <v>-3.07277E-2</v>
      </c>
      <c r="AO474" s="3">
        <v>-2.4392E-2</v>
      </c>
      <c r="AP474" s="3">
        <v>-1.7956E-2</v>
      </c>
      <c r="AQ474" s="3">
        <v>-1.14298E-2</v>
      </c>
      <c r="AR474" s="3">
        <v>-4.8233E-3</v>
      </c>
      <c r="AS474" s="3">
        <v>1.8536E-3</v>
      </c>
      <c r="AT474" s="3">
        <v>8.5908000000000009E-3</v>
      </c>
      <c r="AU474" s="3">
        <v>1.53784E-2</v>
      </c>
      <c r="AV474" s="3">
        <v>2.2206400000000001E-2</v>
      </c>
      <c r="AW474" s="3">
        <v>2.9064900000000001E-2</v>
      </c>
      <c r="AX474" s="3">
        <v>3.5943799999999998E-2</v>
      </c>
      <c r="AY474" s="3">
        <v>4.2833200000000002E-2</v>
      </c>
      <c r="AZ474" s="3">
        <v>4.9723099999999999E-2</v>
      </c>
      <c r="BA474" s="3">
        <v>5.6605000000000003E-2</v>
      </c>
      <c r="BB474" s="3">
        <v>6.3476500000000005E-2</v>
      </c>
      <c r="BC474" s="3">
        <v>7.03371E-2</v>
      </c>
      <c r="BD474" s="3">
        <v>7.7186199999999996E-2</v>
      </c>
      <c r="BE474" s="3">
        <v>8.4023200000000006E-2</v>
      </c>
      <c r="BF474" s="3">
        <v>9.0847399999999995E-2</v>
      </c>
      <c r="BG474" s="3">
        <v>9.7658300000000003E-2</v>
      </c>
      <c r="BH474" s="3">
        <v>0.1044553</v>
      </c>
      <c r="BI474" s="3">
        <v>0.1112379</v>
      </c>
      <c r="BJ474" s="3">
        <v>0.11800529999999999</v>
      </c>
      <c r="BK474" s="3">
        <v>0.1247571</v>
      </c>
      <c r="BL474" s="3">
        <v>0.13149259999999999</v>
      </c>
      <c r="BM474" s="3" t="e">
        <v>#N/A</v>
      </c>
      <c r="BN474" s="3" t="e">
        <v>#N/A</v>
      </c>
    </row>
    <row r="475" spans="1:66" x14ac:dyDescent="0.35">
      <c r="A475" s="5">
        <f t="shared" si="7"/>
        <v>44119</v>
      </c>
      <c r="B475" t="s">
        <v>552</v>
      </c>
      <c r="C475" s="2">
        <v>0.1</v>
      </c>
      <c r="D475" s="2">
        <v>5.3400000000000003E-2</v>
      </c>
      <c r="E475" s="3">
        <v>5.3538299999999997E-2</v>
      </c>
      <c r="F475" s="3">
        <v>4.7311400000000003E-2</v>
      </c>
      <c r="G475" s="3">
        <v>3.6760399999999999E-2</v>
      </c>
      <c r="H475" s="3">
        <v>2.1825399999999998E-2</v>
      </c>
      <c r="I475" s="3">
        <v>4.6533E-3</v>
      </c>
      <c r="J475" s="3">
        <v>-1.2949799999999999E-2</v>
      </c>
      <c r="K475" s="3">
        <v>-2.9880500000000001E-2</v>
      </c>
      <c r="L475" s="3">
        <v>-4.5327699999999999E-2</v>
      </c>
      <c r="M475" s="3">
        <v>-5.8832500000000003E-2</v>
      </c>
      <c r="N475" s="3">
        <v>-7.0291300000000001E-2</v>
      </c>
      <c r="O475" s="3">
        <v>-7.9806199999999994E-2</v>
      </c>
      <c r="P475" s="3">
        <v>-8.7594199999999997E-2</v>
      </c>
      <c r="Q475" s="3">
        <v>-9.4120099999999998E-2</v>
      </c>
      <c r="R475" s="3">
        <v>-9.9546399999999993E-2</v>
      </c>
      <c r="S475" s="3">
        <v>-0.1039375</v>
      </c>
      <c r="T475" s="3">
        <v>-0.10735749999999999</v>
      </c>
      <c r="U475" s="3">
        <v>-0.1098708</v>
      </c>
      <c r="V475" s="3">
        <v>-0.1115418</v>
      </c>
      <c r="W475" s="3">
        <v>-0.1124332</v>
      </c>
      <c r="X475" s="3">
        <v>-0.1125993</v>
      </c>
      <c r="Y475" s="3">
        <v>-0.1120915</v>
      </c>
      <c r="Z475" s="3">
        <v>-0.11096109999999999</v>
      </c>
      <c r="AA475" s="3">
        <v>-0.10925940000000001</v>
      </c>
      <c r="AB475" s="3">
        <v>-0.1070378</v>
      </c>
      <c r="AC475" s="3">
        <v>-0.10434499999999999</v>
      </c>
      <c r="AD475" s="3">
        <v>-0.1012164</v>
      </c>
      <c r="AE475" s="3">
        <v>-9.7683800000000001E-2</v>
      </c>
      <c r="AF475" s="3">
        <v>-9.3778799999999995E-2</v>
      </c>
      <c r="AG475" s="3">
        <v>-8.9533000000000001E-2</v>
      </c>
      <c r="AH475" s="3">
        <v>-8.4977899999999995E-2</v>
      </c>
      <c r="AI475" s="3">
        <v>-8.0145300000000003E-2</v>
      </c>
      <c r="AJ475" s="3">
        <v>-7.50667E-2</v>
      </c>
      <c r="AK475" s="3">
        <v>-6.9773799999999997E-2</v>
      </c>
      <c r="AL475" s="3">
        <v>-6.42982E-2</v>
      </c>
      <c r="AM475" s="3">
        <v>-5.8671500000000001E-2</v>
      </c>
      <c r="AN475" s="3">
        <v>-5.2925399999999997E-2</v>
      </c>
      <c r="AO475" s="3">
        <v>-4.7087499999999997E-2</v>
      </c>
      <c r="AP475" s="3">
        <v>-4.1168700000000003E-2</v>
      </c>
      <c r="AQ475" s="3">
        <v>-3.5175100000000001E-2</v>
      </c>
      <c r="AR475" s="3">
        <v>-2.9112599999999999E-2</v>
      </c>
      <c r="AS475" s="3">
        <v>-2.2987500000000001E-2</v>
      </c>
      <c r="AT475" s="3">
        <v>-1.6805799999999999E-2</v>
      </c>
      <c r="AU475" s="3">
        <v>-1.05735E-2</v>
      </c>
      <c r="AV475" s="3">
        <v>-4.2967999999999999E-3</v>
      </c>
      <c r="AW475" s="3">
        <v>2.0184000000000001E-3</v>
      </c>
      <c r="AX475" s="3">
        <v>8.3657999999999996E-3</v>
      </c>
      <c r="AY475" s="3">
        <v>1.4739500000000001E-2</v>
      </c>
      <c r="AZ475" s="3">
        <v>2.1133300000000001E-2</v>
      </c>
      <c r="BA475" s="3">
        <v>2.7541900000000001E-2</v>
      </c>
      <c r="BB475" s="3">
        <v>3.3962899999999997E-2</v>
      </c>
      <c r="BC475" s="3">
        <v>4.0394800000000002E-2</v>
      </c>
      <c r="BD475" s="3">
        <v>4.68359E-2</v>
      </c>
      <c r="BE475" s="3">
        <v>5.3284900000000003E-2</v>
      </c>
      <c r="BF475" s="3">
        <v>5.9740099999999997E-2</v>
      </c>
      <c r="BG475" s="3">
        <v>6.6200099999999998E-2</v>
      </c>
      <c r="BH475" s="3">
        <v>7.2663199999999997E-2</v>
      </c>
      <c r="BI475" s="3">
        <v>7.9128000000000004E-2</v>
      </c>
      <c r="BJ475" s="3">
        <v>8.55929E-2</v>
      </c>
      <c r="BK475" s="3">
        <v>9.2056399999999997E-2</v>
      </c>
      <c r="BL475" s="3">
        <v>9.8516900000000004E-2</v>
      </c>
      <c r="BM475" s="3" t="e">
        <v>#N/A</v>
      </c>
      <c r="BN475" s="3" t="e">
        <v>#N/A</v>
      </c>
    </row>
    <row r="476" spans="1:66" x14ac:dyDescent="0.35">
      <c r="A476" s="5">
        <f t="shared" si="7"/>
        <v>44120</v>
      </c>
      <c r="B476" t="s">
        <v>553</v>
      </c>
      <c r="C476" s="2">
        <v>0.1</v>
      </c>
      <c r="D476" s="2">
        <v>5.33E-2</v>
      </c>
      <c r="E476" s="3">
        <v>5.0094600000000003E-2</v>
      </c>
      <c r="F476" s="3">
        <v>4.7360600000000003E-2</v>
      </c>
      <c r="G476" s="3">
        <v>3.7305199999999997E-2</v>
      </c>
      <c r="H476" s="3">
        <v>2.0699599999999999E-2</v>
      </c>
      <c r="I476" s="3">
        <v>1.4633999999999999E-3</v>
      </c>
      <c r="J476" s="3">
        <v>-1.77421E-2</v>
      </c>
      <c r="K476" s="3">
        <v>-3.5627800000000001E-2</v>
      </c>
      <c r="L476" s="3">
        <v>-5.1496899999999998E-2</v>
      </c>
      <c r="M476" s="3">
        <v>-6.5025200000000005E-2</v>
      </c>
      <c r="N476" s="3">
        <v>-7.6159299999999999E-2</v>
      </c>
      <c r="O476" s="3">
        <v>-8.4960800000000003E-2</v>
      </c>
      <c r="P476" s="3">
        <v>-9.1689599999999996E-2</v>
      </c>
      <c r="Q476" s="3">
        <v>-9.6821000000000004E-2</v>
      </c>
      <c r="R476" s="3">
        <v>-0.1006131</v>
      </c>
      <c r="S476" s="3">
        <v>-0.1032385</v>
      </c>
      <c r="T476" s="3">
        <v>-0.1048697</v>
      </c>
      <c r="U476" s="3">
        <v>-0.1056797</v>
      </c>
      <c r="V476" s="3">
        <v>-0.1058409</v>
      </c>
      <c r="W476" s="3">
        <v>-0.1055072</v>
      </c>
      <c r="X476" s="3">
        <v>-0.1047358</v>
      </c>
      <c r="Y476" s="3">
        <v>-0.1035534</v>
      </c>
      <c r="Z476" s="3">
        <v>-0.1019861</v>
      </c>
      <c r="AA476" s="3">
        <v>-0.1000606</v>
      </c>
      <c r="AB476" s="3">
        <v>-9.7803299999999996E-2</v>
      </c>
      <c r="AC476" s="3">
        <v>-9.5238699999999996E-2</v>
      </c>
      <c r="AD476" s="3">
        <v>-9.2383000000000007E-2</v>
      </c>
      <c r="AE476" s="3">
        <v>-8.9250300000000005E-2</v>
      </c>
      <c r="AF476" s="3">
        <v>-8.58545E-2</v>
      </c>
      <c r="AG476" s="3">
        <v>-8.2209699999999997E-2</v>
      </c>
      <c r="AH476" s="3">
        <v>-7.8329800000000005E-2</v>
      </c>
      <c r="AI476" s="3">
        <v>-7.4228799999999998E-2</v>
      </c>
      <c r="AJ476" s="3">
        <v>-6.9920700000000002E-2</v>
      </c>
      <c r="AK476" s="3">
        <v>-6.5419400000000003E-2</v>
      </c>
      <c r="AL476" s="3">
        <v>-6.0739000000000001E-2</v>
      </c>
      <c r="AM476" s="3">
        <v>-5.5893499999999999E-2</v>
      </c>
      <c r="AN476" s="3">
        <v>-5.0896799999999999E-2</v>
      </c>
      <c r="AO476" s="3">
        <v>-4.5761900000000001E-2</v>
      </c>
      <c r="AP476" s="3">
        <v>-4.0497900000000003E-2</v>
      </c>
      <c r="AQ476" s="3">
        <v>-3.5112900000000002E-2</v>
      </c>
      <c r="AR476" s="3">
        <v>-2.9614999999999999E-2</v>
      </c>
      <c r="AS476" s="3">
        <v>-2.40123E-2</v>
      </c>
      <c r="AT476" s="3">
        <v>-1.83129E-2</v>
      </c>
      <c r="AU476" s="3">
        <v>-1.25247E-2</v>
      </c>
      <c r="AV476" s="3">
        <v>-6.6560999999999999E-3</v>
      </c>
      <c r="AW476" s="3">
        <v>-7.1489999999999998E-4</v>
      </c>
      <c r="AX476" s="3">
        <v>5.2906000000000003E-3</v>
      </c>
      <c r="AY476" s="3">
        <v>1.13524E-2</v>
      </c>
      <c r="AZ476" s="3">
        <v>1.7462399999999999E-2</v>
      </c>
      <c r="BA476" s="3">
        <v>2.36134E-2</v>
      </c>
      <c r="BB476" s="3">
        <v>2.9801399999999999E-2</v>
      </c>
      <c r="BC476" s="3">
        <v>3.6023800000000002E-2</v>
      </c>
      <c r="BD476" s="3">
        <v>4.2277700000000001E-2</v>
      </c>
      <c r="BE476" s="3">
        <v>4.8560399999999997E-2</v>
      </c>
      <c r="BF476" s="3">
        <v>5.4868899999999998E-2</v>
      </c>
      <c r="BG476" s="3">
        <v>6.1200600000000001E-2</v>
      </c>
      <c r="BH476" s="3">
        <v>6.7552500000000001E-2</v>
      </c>
      <c r="BI476" s="3">
        <v>7.3922000000000002E-2</v>
      </c>
      <c r="BJ476" s="3">
        <v>8.0306199999999994E-2</v>
      </c>
      <c r="BK476" s="3">
        <v>8.6702199999999993E-2</v>
      </c>
      <c r="BL476" s="3">
        <v>9.3107400000000007E-2</v>
      </c>
      <c r="BM476" s="3" t="e">
        <v>#N/A</v>
      </c>
      <c r="BN476" s="3" t="e">
        <v>#N/A</v>
      </c>
    </row>
    <row r="477" spans="1:66" x14ac:dyDescent="0.35">
      <c r="A477" s="5">
        <f t="shared" si="7"/>
        <v>44123</v>
      </c>
      <c r="B477" t="s">
        <v>554</v>
      </c>
      <c r="C477" s="2">
        <v>0.1</v>
      </c>
      <c r="D477" s="2">
        <v>5.3499999999999999E-2</v>
      </c>
      <c r="E477" s="3">
        <v>5.4226499999999997E-2</v>
      </c>
      <c r="F477" s="3">
        <v>4.6098399999999998E-2</v>
      </c>
      <c r="G477" s="3">
        <v>3.3718499999999998E-2</v>
      </c>
      <c r="H477" s="3">
        <v>1.7958999999999999E-2</v>
      </c>
      <c r="I477" s="3">
        <v>5.9310000000000005E-4</v>
      </c>
      <c r="J477" s="3">
        <v>-1.7118600000000001E-2</v>
      </c>
      <c r="K477" s="3">
        <v>-3.4212399999999997E-2</v>
      </c>
      <c r="L477" s="3">
        <v>-4.9809399999999997E-2</v>
      </c>
      <c r="M477" s="3">
        <v>-6.3279299999999997E-2</v>
      </c>
      <c r="N477" s="3">
        <v>-7.4502299999999994E-2</v>
      </c>
      <c r="O477" s="3">
        <v>-8.3542900000000003E-2</v>
      </c>
      <c r="P477" s="3">
        <v>-9.0683399999999997E-2</v>
      </c>
      <c r="Q477" s="3">
        <v>-9.6381999999999995E-2</v>
      </c>
      <c r="R477" s="3">
        <v>-0.1008534</v>
      </c>
      <c r="S477" s="3">
        <v>-0.1042365</v>
      </c>
      <c r="T477" s="3">
        <v>-0.10667020000000001</v>
      </c>
      <c r="U477" s="3">
        <v>-0.1082931</v>
      </c>
      <c r="V477" s="3">
        <v>-0.1092441</v>
      </c>
      <c r="W477" s="3">
        <v>-0.1096435</v>
      </c>
      <c r="X477" s="3">
        <v>-0.1095404</v>
      </c>
      <c r="Y477" s="3">
        <v>-0.1089673</v>
      </c>
      <c r="Z477" s="3">
        <v>-0.10795639999999999</v>
      </c>
      <c r="AA477" s="3">
        <v>-0.1065402</v>
      </c>
      <c r="AB477" s="3">
        <v>-0.104751</v>
      </c>
      <c r="AC477" s="3">
        <v>-0.1026184</v>
      </c>
      <c r="AD477" s="3">
        <v>-0.10016070000000001</v>
      </c>
      <c r="AE477" s="3">
        <v>-9.7393599999999997E-2</v>
      </c>
      <c r="AF477" s="3">
        <v>-9.4332600000000003E-2</v>
      </c>
      <c r="AG477" s="3">
        <v>-9.0993500000000005E-2</v>
      </c>
      <c r="AH477" s="3">
        <v>-8.73916E-2</v>
      </c>
      <c r="AI477" s="3">
        <v>-8.35428E-2</v>
      </c>
      <c r="AJ477" s="3">
        <v>-7.9462500000000005E-2</v>
      </c>
      <c r="AK477" s="3">
        <v>-7.5166300000000005E-2</v>
      </c>
      <c r="AL477" s="3">
        <v>-7.0669999999999997E-2</v>
      </c>
      <c r="AM477" s="3">
        <v>-6.5988900000000003E-2</v>
      </c>
      <c r="AN477" s="3">
        <v>-6.1138900000000003E-2</v>
      </c>
      <c r="AO477" s="3">
        <v>-5.6134099999999999E-2</v>
      </c>
      <c r="AP477" s="3">
        <v>-5.0983599999999997E-2</v>
      </c>
      <c r="AQ477" s="3">
        <v>-4.5695300000000001E-2</v>
      </c>
      <c r="AR477" s="3">
        <v>-4.0276800000000001E-2</v>
      </c>
      <c r="AS477" s="3">
        <v>-3.4736000000000003E-2</v>
      </c>
      <c r="AT477" s="3">
        <v>-2.9080700000000001E-2</v>
      </c>
      <c r="AU477" s="3">
        <v>-2.3318499999999999E-2</v>
      </c>
      <c r="AV477" s="3">
        <v>-1.7457400000000001E-2</v>
      </c>
      <c r="AW477" s="3">
        <v>-1.1505100000000001E-2</v>
      </c>
      <c r="AX477" s="3">
        <v>-5.4692999999999999E-3</v>
      </c>
      <c r="AY477" s="3">
        <v>6.4210000000000005E-4</v>
      </c>
      <c r="AZ477" s="3">
        <v>6.8215000000000003E-3</v>
      </c>
      <c r="BA477" s="3">
        <v>1.30613E-2</v>
      </c>
      <c r="BB477" s="3">
        <v>1.9355899999999999E-2</v>
      </c>
      <c r="BC477" s="3">
        <v>2.5700299999999999E-2</v>
      </c>
      <c r="BD477" s="3">
        <v>3.2089600000000003E-2</v>
      </c>
      <c r="BE477" s="3">
        <v>3.8518700000000003E-2</v>
      </c>
      <c r="BF477" s="3">
        <v>4.4982599999999998E-2</v>
      </c>
      <c r="BG477" s="3">
        <v>5.1476399999999999E-2</v>
      </c>
      <c r="BH477" s="3">
        <v>5.7994900000000002E-2</v>
      </c>
      <c r="BI477" s="3">
        <v>6.4533300000000002E-2</v>
      </c>
      <c r="BJ477" s="3">
        <v>7.1086499999999997E-2</v>
      </c>
      <c r="BK477" s="3">
        <v>7.7649499999999996E-2</v>
      </c>
      <c r="BL477" s="3">
        <v>8.4217399999999998E-2</v>
      </c>
      <c r="BM477" s="3" t="e">
        <v>#N/A</v>
      </c>
      <c r="BN477" s="3" t="e">
        <v>#N/A</v>
      </c>
    </row>
    <row r="478" spans="1:66" x14ac:dyDescent="0.35">
      <c r="A478" s="5">
        <f t="shared" si="7"/>
        <v>44124</v>
      </c>
      <c r="B478" t="s">
        <v>555</v>
      </c>
      <c r="C478" s="2">
        <v>0.1</v>
      </c>
      <c r="D478" s="2">
        <v>5.33E-2</v>
      </c>
      <c r="E478" s="3">
        <v>5.15983E-2</v>
      </c>
      <c r="F478" s="3">
        <v>4.4202100000000001E-2</v>
      </c>
      <c r="G478" s="3">
        <v>3.1440200000000001E-2</v>
      </c>
      <c r="H478" s="3">
        <v>1.4376099999999999E-2</v>
      </c>
      <c r="I478" s="3">
        <v>-4.2337E-3</v>
      </c>
      <c r="J478" s="3">
        <v>-2.2578299999999999E-2</v>
      </c>
      <c r="K478" s="3">
        <v>-3.9622600000000001E-2</v>
      </c>
      <c r="L478" s="3">
        <v>-5.4740499999999997E-2</v>
      </c>
      <c r="M478" s="3">
        <v>-6.7691500000000002E-2</v>
      </c>
      <c r="N478" s="3">
        <v>-7.8603400000000004E-2</v>
      </c>
      <c r="O478" s="3">
        <v>-8.76696E-2</v>
      </c>
      <c r="P478" s="3">
        <v>-9.5176300000000005E-2</v>
      </c>
      <c r="Q478" s="3">
        <v>-0.10149320000000001</v>
      </c>
      <c r="R478" s="3">
        <v>-0.10675419999999999</v>
      </c>
      <c r="S478" s="3">
        <v>-0.1110255</v>
      </c>
      <c r="T478" s="3">
        <v>-0.11437360000000001</v>
      </c>
      <c r="U478" s="3">
        <v>-0.1168646</v>
      </c>
      <c r="V478" s="3">
        <v>-0.118565</v>
      </c>
      <c r="W478" s="3">
        <v>-0.1195345</v>
      </c>
      <c r="X478" s="3">
        <v>-0.1198084</v>
      </c>
      <c r="Y478" s="3">
        <v>-0.1194158</v>
      </c>
      <c r="Z478" s="3">
        <v>-0.11838609999999999</v>
      </c>
      <c r="AA478" s="3">
        <v>-0.11674850000000001</v>
      </c>
      <c r="AB478" s="3">
        <v>-0.1145322</v>
      </c>
      <c r="AC478" s="3">
        <v>-0.11176759999999999</v>
      </c>
      <c r="AD478" s="3">
        <v>-0.10849010000000001</v>
      </c>
      <c r="AE478" s="3">
        <v>-0.10473590000000001</v>
      </c>
      <c r="AF478" s="3">
        <v>-0.1005414</v>
      </c>
      <c r="AG478" s="3">
        <v>-9.5942899999999998E-2</v>
      </c>
      <c r="AH478" s="3">
        <v>-9.0976899999999999E-2</v>
      </c>
      <c r="AI478" s="3">
        <v>-8.56798E-2</v>
      </c>
      <c r="AJ478" s="3">
        <v>-8.0087800000000001E-2</v>
      </c>
      <c r="AK478" s="3">
        <v>-7.4237399999999995E-2</v>
      </c>
      <c r="AL478" s="3">
        <v>-6.81649E-2</v>
      </c>
      <c r="AM478" s="3">
        <v>-6.1906700000000002E-2</v>
      </c>
      <c r="AN478" s="3">
        <v>-5.5499100000000003E-2</v>
      </c>
      <c r="AO478" s="3">
        <v>-4.8974200000000002E-2</v>
      </c>
      <c r="AP478" s="3">
        <v>-4.2346399999999999E-2</v>
      </c>
      <c r="AQ478" s="3">
        <v>-3.5625499999999997E-2</v>
      </c>
      <c r="AR478" s="3">
        <v>-2.8821599999999999E-2</v>
      </c>
      <c r="AS478" s="3">
        <v>-2.1944600000000002E-2</v>
      </c>
      <c r="AT478" s="3">
        <v>-1.50046E-2</v>
      </c>
      <c r="AU478" s="3">
        <v>-8.0116000000000007E-3</v>
      </c>
      <c r="AV478" s="3">
        <v>-9.7539999999999996E-4</v>
      </c>
      <c r="AW478" s="3">
        <v>6.0939000000000002E-3</v>
      </c>
      <c r="AX478" s="3">
        <v>1.3186399999999999E-2</v>
      </c>
      <c r="AY478" s="3">
        <v>2.0292000000000001E-2</v>
      </c>
      <c r="AZ478" s="3">
        <v>2.7400799999999999E-2</v>
      </c>
      <c r="BA478" s="3">
        <v>3.4503899999999997E-2</v>
      </c>
      <c r="BB478" s="3">
        <v>4.1598299999999998E-2</v>
      </c>
      <c r="BC478" s="3">
        <v>4.8682700000000002E-2</v>
      </c>
      <c r="BD478" s="3">
        <v>5.57555E-2</v>
      </c>
      <c r="BE478" s="3">
        <v>6.2815499999999996E-2</v>
      </c>
      <c r="BF478" s="3">
        <v>6.9861199999999998E-2</v>
      </c>
      <c r="BG478" s="3">
        <v>7.6891399999999999E-2</v>
      </c>
      <c r="BH478" s="3">
        <v>8.3904599999999996E-2</v>
      </c>
      <c r="BI478" s="3">
        <v>9.0899499999999994E-2</v>
      </c>
      <c r="BJ478" s="3">
        <v>9.7874600000000006E-2</v>
      </c>
      <c r="BK478" s="3">
        <v>0.1048287</v>
      </c>
      <c r="BL478" s="3">
        <v>0.1117604</v>
      </c>
      <c r="BM478" s="3" t="e">
        <v>#N/A</v>
      </c>
      <c r="BN478" s="3" t="e">
        <v>#N/A</v>
      </c>
    </row>
    <row r="479" spans="1:66" x14ac:dyDescent="0.35">
      <c r="A479" s="5">
        <f t="shared" si="7"/>
        <v>44125</v>
      </c>
      <c r="B479" t="s">
        <v>556</v>
      </c>
      <c r="C479" s="2">
        <v>0.1</v>
      </c>
      <c r="D479" s="2">
        <v>5.3600000000000002E-2</v>
      </c>
      <c r="E479" s="3">
        <v>5.1258199999999997E-2</v>
      </c>
      <c r="F479" s="3">
        <v>4.6108099999999999E-2</v>
      </c>
      <c r="G479" s="3">
        <v>3.61362E-2</v>
      </c>
      <c r="H479" s="3">
        <v>2.2103000000000001E-2</v>
      </c>
      <c r="I479" s="3">
        <v>6.1501999999999998E-3</v>
      </c>
      <c r="J479" s="3">
        <v>-1.01846E-2</v>
      </c>
      <c r="K479" s="3">
        <v>-2.5756600000000001E-2</v>
      </c>
      <c r="L479" s="3">
        <v>-3.9665199999999998E-2</v>
      </c>
      <c r="M479" s="3">
        <v>-5.1474100000000002E-2</v>
      </c>
      <c r="N479" s="3">
        <v>-6.1141500000000001E-2</v>
      </c>
      <c r="O479" s="3">
        <v>-6.8887699999999996E-2</v>
      </c>
      <c r="P479" s="3">
        <v>-7.4971800000000005E-2</v>
      </c>
      <c r="Q479" s="3">
        <v>-7.9818700000000006E-2</v>
      </c>
      <c r="R479" s="3">
        <v>-8.3605299999999994E-2</v>
      </c>
      <c r="S479" s="3">
        <v>-8.6429300000000001E-2</v>
      </c>
      <c r="T479" s="3">
        <v>-8.8388300000000003E-2</v>
      </c>
      <c r="U479" s="3">
        <v>-8.9579900000000004E-2</v>
      </c>
      <c r="V479" s="3">
        <v>-9.0101700000000007E-2</v>
      </c>
      <c r="W479" s="3">
        <v>-9.0035900000000002E-2</v>
      </c>
      <c r="X479" s="3">
        <v>-8.9406100000000002E-2</v>
      </c>
      <c r="Y479" s="3">
        <v>-8.8221800000000003E-2</v>
      </c>
      <c r="Z479" s="3">
        <v>-8.6492799999999995E-2</v>
      </c>
      <c r="AA479" s="3">
        <v>-8.4228499999999998E-2</v>
      </c>
      <c r="AB479" s="3">
        <v>-8.1438700000000003E-2</v>
      </c>
      <c r="AC479" s="3">
        <v>-7.8136499999999998E-2</v>
      </c>
      <c r="AD479" s="3">
        <v>-7.4349600000000002E-2</v>
      </c>
      <c r="AE479" s="3">
        <v>-7.0109299999999999E-2</v>
      </c>
      <c r="AF479" s="3">
        <v>-6.5446799999999999E-2</v>
      </c>
      <c r="AG479" s="3">
        <v>-6.0393500000000003E-2</v>
      </c>
      <c r="AH479" s="3">
        <v>-5.4980599999999998E-2</v>
      </c>
      <c r="AI479" s="3">
        <v>-4.9239400000000003E-2</v>
      </c>
      <c r="AJ479" s="3">
        <v>-4.3201200000000002E-2</v>
      </c>
      <c r="AK479" s="3">
        <v>-3.6897199999999998E-2</v>
      </c>
      <c r="AL479" s="3">
        <v>-3.0358799999999998E-2</v>
      </c>
      <c r="AM479" s="3">
        <v>-2.3617099999999999E-2</v>
      </c>
      <c r="AN479" s="3">
        <v>-1.6703599999999999E-2</v>
      </c>
      <c r="AO479" s="3">
        <v>-9.6466999999999994E-3</v>
      </c>
      <c r="AP479" s="3">
        <v>-2.4616999999999998E-3</v>
      </c>
      <c r="AQ479" s="3">
        <v>4.8399000000000003E-3</v>
      </c>
      <c r="AR479" s="3">
        <v>1.22468E-2</v>
      </c>
      <c r="AS479" s="3">
        <v>1.9747799999999999E-2</v>
      </c>
      <c r="AT479" s="3">
        <v>2.7331600000000001E-2</v>
      </c>
      <c r="AU479" s="3">
        <v>3.4986700000000003E-2</v>
      </c>
      <c r="AV479" s="3">
        <v>4.2701999999999997E-2</v>
      </c>
      <c r="AW479" s="3">
        <v>5.0465999999999997E-2</v>
      </c>
      <c r="AX479" s="3">
        <v>5.82675E-2</v>
      </c>
      <c r="AY479" s="3">
        <v>6.6095000000000001E-2</v>
      </c>
      <c r="AZ479" s="3">
        <v>7.39374E-2</v>
      </c>
      <c r="BA479" s="3">
        <v>8.1784599999999999E-2</v>
      </c>
      <c r="BB479" s="3">
        <v>8.9632199999999995E-2</v>
      </c>
      <c r="BC479" s="3">
        <v>9.7477499999999995E-2</v>
      </c>
      <c r="BD479" s="3">
        <v>0.1053176</v>
      </c>
      <c r="BE479" s="3">
        <v>0.1131499</v>
      </c>
      <c r="BF479" s="3">
        <v>0.1209715</v>
      </c>
      <c r="BG479" s="3">
        <v>0.12877959999999999</v>
      </c>
      <c r="BH479" s="3">
        <v>0.13657150000000001</v>
      </c>
      <c r="BI479" s="3">
        <v>0.14434440000000001</v>
      </c>
      <c r="BJ479" s="3">
        <v>0.1520956</v>
      </c>
      <c r="BK479" s="3">
        <v>0.15982209999999999</v>
      </c>
      <c r="BL479" s="3">
        <v>0.16752139999999999</v>
      </c>
      <c r="BM479" s="3" t="e">
        <v>#N/A</v>
      </c>
      <c r="BN479" s="3" t="e">
        <v>#N/A</v>
      </c>
    </row>
    <row r="480" spans="1:66" x14ac:dyDescent="0.35">
      <c r="A480" s="5">
        <f t="shared" si="7"/>
        <v>44126</v>
      </c>
      <c r="B480" t="s">
        <v>557</v>
      </c>
      <c r="C480" s="2">
        <v>0.1</v>
      </c>
      <c r="D480" s="2">
        <v>5.4300000000000001E-2</v>
      </c>
      <c r="E480" s="3">
        <v>5.2858500000000003E-2</v>
      </c>
      <c r="F480" s="3">
        <v>4.7216599999999997E-2</v>
      </c>
      <c r="G480" s="3">
        <v>3.6677000000000001E-2</v>
      </c>
      <c r="H480" s="3">
        <v>2.2627600000000001E-2</v>
      </c>
      <c r="I480" s="3">
        <v>7.4460000000000004E-3</v>
      </c>
      <c r="J480" s="3">
        <v>-7.5442E-3</v>
      </c>
      <c r="K480" s="3">
        <v>-2.1637400000000001E-2</v>
      </c>
      <c r="L480" s="3">
        <v>-3.43399E-2</v>
      </c>
      <c r="M480" s="3">
        <v>-4.53485E-2</v>
      </c>
      <c r="N480" s="3">
        <v>-5.4553200000000003E-2</v>
      </c>
      <c r="O480" s="3">
        <v>-6.2036800000000003E-2</v>
      </c>
      <c r="P480" s="3">
        <v>-6.8004300000000004E-2</v>
      </c>
      <c r="Q480" s="3">
        <v>-7.2863800000000006E-2</v>
      </c>
      <c r="R480" s="3">
        <v>-7.6749499999999998E-2</v>
      </c>
      <c r="S480" s="3">
        <v>-7.9708100000000004E-2</v>
      </c>
      <c r="T480" s="3">
        <v>-8.1786499999999998E-2</v>
      </c>
      <c r="U480" s="3">
        <v>-8.3031499999999994E-2</v>
      </c>
      <c r="V480" s="3">
        <v>-8.3489999999999995E-2</v>
      </c>
      <c r="W480" s="3">
        <v>-8.3204899999999998E-2</v>
      </c>
      <c r="X480" s="3">
        <v>-8.2203200000000004E-2</v>
      </c>
      <c r="Y480" s="3">
        <v>-8.0508399999999994E-2</v>
      </c>
      <c r="Z480" s="3">
        <v>-7.8144099999999994E-2</v>
      </c>
      <c r="AA480" s="3">
        <v>-7.5133800000000001E-2</v>
      </c>
      <c r="AB480" s="3">
        <v>-7.1500999999999995E-2</v>
      </c>
      <c r="AC480" s="3">
        <v>-6.7271700000000004E-2</v>
      </c>
      <c r="AD480" s="3">
        <v>-6.2485499999999999E-2</v>
      </c>
      <c r="AE480" s="3">
        <v>-5.7185600000000003E-2</v>
      </c>
      <c r="AF480" s="3">
        <v>-5.14154E-2</v>
      </c>
      <c r="AG480" s="3">
        <v>-4.52182E-2</v>
      </c>
      <c r="AH480" s="3">
        <v>-3.8637299999999999E-2</v>
      </c>
      <c r="AI480" s="3">
        <v>-3.1716099999999997E-2</v>
      </c>
      <c r="AJ480" s="3">
        <v>-2.4497999999999999E-2</v>
      </c>
      <c r="AK480" s="3">
        <v>-1.7026199999999998E-2</v>
      </c>
      <c r="AL480" s="3">
        <v>-9.3442000000000004E-3</v>
      </c>
      <c r="AM480" s="3">
        <v>-1.4951999999999999E-3</v>
      </c>
      <c r="AN480" s="3">
        <v>6.4773000000000001E-3</v>
      </c>
      <c r="AO480" s="3">
        <v>1.45352E-2</v>
      </c>
      <c r="AP480" s="3">
        <v>2.26622E-2</v>
      </c>
      <c r="AQ480" s="3">
        <v>3.0848400000000002E-2</v>
      </c>
      <c r="AR480" s="3">
        <v>3.9083899999999998E-2</v>
      </c>
      <c r="AS480" s="3">
        <v>4.7358699999999997E-2</v>
      </c>
      <c r="AT480" s="3">
        <v>5.5662799999999998E-2</v>
      </c>
      <c r="AU480" s="3">
        <v>6.3986199999999993E-2</v>
      </c>
      <c r="AV480" s="3">
        <v>7.2318999999999994E-2</v>
      </c>
      <c r="AW480" s="3">
        <v>8.0651200000000006E-2</v>
      </c>
      <c r="AX480" s="3">
        <v>8.8972800000000005E-2</v>
      </c>
      <c r="AY480" s="3">
        <v>9.7273899999999996E-2</v>
      </c>
      <c r="AZ480" s="3">
        <v>0.1055445</v>
      </c>
      <c r="BA480" s="3">
        <v>0.11377619999999999</v>
      </c>
      <c r="BB480" s="3">
        <v>0.1219677</v>
      </c>
      <c r="BC480" s="3">
        <v>0.1301195</v>
      </c>
      <c r="BD480" s="3">
        <v>0.1382323</v>
      </c>
      <c r="BE480" s="3">
        <v>0.14630670000000001</v>
      </c>
      <c r="BF480" s="3">
        <v>0.15434320000000001</v>
      </c>
      <c r="BG480" s="3">
        <v>0.1623424</v>
      </c>
      <c r="BH480" s="3">
        <v>0.17030500000000001</v>
      </c>
      <c r="BI480" s="3">
        <v>0.17823149999999999</v>
      </c>
      <c r="BJ480" s="3">
        <v>0.1861225</v>
      </c>
      <c r="BK480" s="3">
        <v>0.1939787</v>
      </c>
      <c r="BL480" s="3">
        <v>0.2018006</v>
      </c>
      <c r="BM480" s="3" t="e">
        <v>#N/A</v>
      </c>
      <c r="BN480" s="3" t="e">
        <v>#N/A</v>
      </c>
    </row>
    <row r="481" spans="1:66" x14ac:dyDescent="0.35">
      <c r="A481" s="5">
        <f t="shared" si="7"/>
        <v>44127</v>
      </c>
      <c r="B481" t="s">
        <v>558</v>
      </c>
      <c r="C481" s="2">
        <v>0.1</v>
      </c>
      <c r="D481" s="2">
        <v>5.3800000000000001E-2</v>
      </c>
      <c r="E481" s="3">
        <v>4.2995100000000001E-2</v>
      </c>
      <c r="F481" s="3">
        <v>4.7035199999999999E-2</v>
      </c>
      <c r="G481" s="3">
        <v>4.6972899999999998E-2</v>
      </c>
      <c r="H481" s="3">
        <v>3.7168100000000003E-2</v>
      </c>
      <c r="I481" s="3">
        <v>2.12099E-2</v>
      </c>
      <c r="J481" s="3">
        <v>2.7020999999999998E-3</v>
      </c>
      <c r="K481" s="3">
        <v>-1.6156299999999998E-2</v>
      </c>
      <c r="L481" s="3">
        <v>-3.3467499999999997E-2</v>
      </c>
      <c r="M481" s="3">
        <v>-4.7989700000000003E-2</v>
      </c>
      <c r="N481" s="3">
        <v>-5.9010199999999999E-2</v>
      </c>
      <c r="O481" s="3">
        <v>-6.6547400000000007E-2</v>
      </c>
      <c r="P481" s="3">
        <v>-7.1288099999999993E-2</v>
      </c>
      <c r="Q481" s="3">
        <v>-7.4498499999999995E-2</v>
      </c>
      <c r="R481" s="3">
        <v>-7.6622999999999997E-2</v>
      </c>
      <c r="S481" s="3">
        <v>-7.7800800000000003E-2</v>
      </c>
      <c r="T481" s="3">
        <v>-7.8171199999999996E-2</v>
      </c>
      <c r="U481" s="3">
        <v>-7.7873100000000001E-2</v>
      </c>
      <c r="V481" s="3">
        <v>-7.7045699999999995E-2</v>
      </c>
      <c r="W481" s="3">
        <v>-7.5805899999999996E-2</v>
      </c>
      <c r="X481" s="3">
        <v>-7.4167300000000005E-2</v>
      </c>
      <c r="Y481" s="3">
        <v>-7.2113800000000006E-2</v>
      </c>
      <c r="Z481" s="3">
        <v>-6.9628899999999994E-2</v>
      </c>
      <c r="AA481" s="3">
        <v>-6.6696599999999995E-2</v>
      </c>
      <c r="AB481" s="3">
        <v>-6.3300499999999996E-2</v>
      </c>
      <c r="AC481" s="3">
        <v>-5.9431299999999999E-2</v>
      </c>
      <c r="AD481" s="3">
        <v>-5.5110600000000003E-2</v>
      </c>
      <c r="AE481" s="3">
        <v>-5.0368299999999998E-2</v>
      </c>
      <c r="AF481" s="3">
        <v>-4.5234499999999997E-2</v>
      </c>
      <c r="AG481" s="3">
        <v>-3.9738999999999997E-2</v>
      </c>
      <c r="AH481" s="3">
        <v>-3.3911900000000002E-2</v>
      </c>
      <c r="AI481" s="3">
        <v>-2.7783200000000001E-2</v>
      </c>
      <c r="AJ481" s="3">
        <v>-2.13828E-2</v>
      </c>
      <c r="AK481" s="3">
        <v>-1.47408E-2</v>
      </c>
      <c r="AL481" s="3">
        <v>-7.8869999999999999E-3</v>
      </c>
      <c r="AM481" s="3">
        <v>-8.5150000000000004E-4</v>
      </c>
      <c r="AN481" s="3">
        <v>6.3356999999999997E-3</v>
      </c>
      <c r="AO481" s="3">
        <v>1.3648199999999999E-2</v>
      </c>
      <c r="AP481" s="3">
        <v>2.1073100000000001E-2</v>
      </c>
      <c r="AQ481" s="3">
        <v>2.86012E-2</v>
      </c>
      <c r="AR481" s="3">
        <v>3.62233E-2</v>
      </c>
      <c r="AS481" s="3">
        <v>4.39301E-2</v>
      </c>
      <c r="AT481" s="3">
        <v>5.1712300000000003E-2</v>
      </c>
      <c r="AU481" s="3">
        <v>5.9560700000000001E-2</v>
      </c>
      <c r="AV481" s="3">
        <v>6.7465899999999995E-2</v>
      </c>
      <c r="AW481" s="3">
        <v>7.5418799999999994E-2</v>
      </c>
      <c r="AX481" s="3">
        <v>8.3409999999999998E-2</v>
      </c>
      <c r="AY481" s="3">
        <v>9.1430300000000006E-2</v>
      </c>
      <c r="AZ481" s="3">
        <v>9.94704E-2</v>
      </c>
      <c r="BA481" s="3">
        <v>0.10752200000000001</v>
      </c>
      <c r="BB481" s="3">
        <v>0.115581</v>
      </c>
      <c r="BC481" s="3">
        <v>0.1236447</v>
      </c>
      <c r="BD481" s="3">
        <v>0.1317101</v>
      </c>
      <c r="BE481" s="3">
        <v>0.13977439999999999</v>
      </c>
      <c r="BF481" s="3">
        <v>0.14783470000000001</v>
      </c>
      <c r="BG481" s="3">
        <v>0.1558881</v>
      </c>
      <c r="BH481" s="3">
        <v>0.16393179999999999</v>
      </c>
      <c r="BI481" s="3">
        <v>0.1719628</v>
      </c>
      <c r="BJ481" s="3">
        <v>0.17997840000000001</v>
      </c>
      <c r="BK481" s="3">
        <v>0.1879757</v>
      </c>
      <c r="BL481" s="3">
        <v>0.19595180000000001</v>
      </c>
      <c r="BM481" s="3" t="e">
        <v>#N/A</v>
      </c>
      <c r="BN481" s="3" t="e">
        <v>#N/A</v>
      </c>
    </row>
    <row r="482" spans="1:66" x14ac:dyDescent="0.35">
      <c r="A482" s="5">
        <f t="shared" si="7"/>
        <v>44130</v>
      </c>
      <c r="B482" t="s">
        <v>559</v>
      </c>
      <c r="C482" s="2">
        <v>0.1</v>
      </c>
      <c r="D482" s="2">
        <v>5.4100000000000002E-2</v>
      </c>
      <c r="E482" s="3">
        <v>5.2327800000000001E-2</v>
      </c>
      <c r="F482" s="3">
        <v>4.7965500000000001E-2</v>
      </c>
      <c r="G482" s="3">
        <v>3.8956699999999997E-2</v>
      </c>
      <c r="H482" s="3">
        <v>2.5823499999999999E-2</v>
      </c>
      <c r="I482" s="3">
        <v>1.0824200000000001E-2</v>
      </c>
      <c r="J482" s="3">
        <v>-4.4355000000000002E-3</v>
      </c>
      <c r="K482" s="3">
        <v>-1.8916800000000001E-2</v>
      </c>
      <c r="L482" s="3">
        <v>-3.2004999999999999E-2</v>
      </c>
      <c r="M482" s="3">
        <v>-4.3371600000000003E-2</v>
      </c>
      <c r="N482" s="3">
        <v>-5.2994300000000001E-2</v>
      </c>
      <c r="O482" s="3">
        <v>-6.0937100000000001E-2</v>
      </c>
      <c r="P482" s="3">
        <v>-6.74038E-2</v>
      </c>
      <c r="Q482" s="3">
        <v>-7.2747199999999998E-2</v>
      </c>
      <c r="R482" s="3">
        <v>-7.7082100000000001E-2</v>
      </c>
      <c r="S482" s="3">
        <v>-8.0449599999999996E-2</v>
      </c>
      <c r="T482" s="3">
        <v>-8.2890599999999995E-2</v>
      </c>
      <c r="U482" s="3">
        <v>-8.4446300000000002E-2</v>
      </c>
      <c r="V482" s="3">
        <v>-8.5157800000000006E-2</v>
      </c>
      <c r="W482" s="3">
        <v>-8.5065500000000002E-2</v>
      </c>
      <c r="X482" s="3">
        <v>-8.4208500000000006E-2</v>
      </c>
      <c r="Y482" s="3">
        <v>-8.2625199999999996E-2</v>
      </c>
      <c r="Z482" s="3">
        <v>-8.0353900000000006E-2</v>
      </c>
      <c r="AA482" s="3">
        <v>-7.7433299999999997E-2</v>
      </c>
      <c r="AB482" s="3">
        <v>-7.3901700000000001E-2</v>
      </c>
      <c r="AC482" s="3">
        <v>-6.9797899999999996E-2</v>
      </c>
      <c r="AD482" s="3">
        <v>-6.5161200000000002E-2</v>
      </c>
      <c r="AE482" s="3">
        <v>-6.0031300000000003E-2</v>
      </c>
      <c r="AF482" s="3">
        <v>-5.4447799999999998E-2</v>
      </c>
      <c r="AG482" s="3">
        <v>-4.8450500000000001E-2</v>
      </c>
      <c r="AH482" s="3">
        <v>-4.20788E-2</v>
      </c>
      <c r="AI482" s="3">
        <v>-3.5372599999999997E-2</v>
      </c>
      <c r="AJ482" s="3">
        <v>-2.8371400000000001E-2</v>
      </c>
      <c r="AK482" s="3">
        <v>-2.1114899999999999E-2</v>
      </c>
      <c r="AL482" s="3">
        <v>-1.3642700000000001E-2</v>
      </c>
      <c r="AM482" s="3">
        <v>-5.9944999999999998E-3</v>
      </c>
      <c r="AN482" s="3">
        <v>1.7901E-3</v>
      </c>
      <c r="AO482" s="3">
        <v>9.6763999999999999E-3</v>
      </c>
      <c r="AP482" s="3">
        <v>1.7649399999999999E-2</v>
      </c>
      <c r="AQ482" s="3">
        <v>2.5699099999999999E-2</v>
      </c>
      <c r="AR482" s="3">
        <v>3.3815499999999998E-2</v>
      </c>
      <c r="AS482" s="3">
        <v>4.1988600000000001E-2</v>
      </c>
      <c r="AT482" s="3">
        <v>5.0208299999999997E-2</v>
      </c>
      <c r="AU482" s="3">
        <v>5.8464700000000001E-2</v>
      </c>
      <c r="AV482" s="3">
        <v>6.6747699999999993E-2</v>
      </c>
      <c r="AW482" s="3">
        <v>7.5047299999999997E-2</v>
      </c>
      <c r="AX482" s="3">
        <v>8.3353399999999994E-2</v>
      </c>
      <c r="AY482" s="3">
        <v>9.1656199999999993E-2</v>
      </c>
      <c r="AZ482" s="3">
        <v>9.9945500000000007E-2</v>
      </c>
      <c r="BA482" s="3">
        <v>0.1082124</v>
      </c>
      <c r="BB482" s="3">
        <v>0.116453</v>
      </c>
      <c r="BC482" s="3">
        <v>0.1246656</v>
      </c>
      <c r="BD482" s="3">
        <v>0.1328481</v>
      </c>
      <c r="BE482" s="3">
        <v>0.1409986</v>
      </c>
      <c r="BF482" s="3">
        <v>0.14911530000000001</v>
      </c>
      <c r="BG482" s="3">
        <v>0.15719620000000001</v>
      </c>
      <c r="BH482" s="3">
        <v>0.16523940000000001</v>
      </c>
      <c r="BI482" s="3">
        <v>0.17324290000000001</v>
      </c>
      <c r="BJ482" s="3">
        <v>0.1812049</v>
      </c>
      <c r="BK482" s="3">
        <v>0.18912329999999999</v>
      </c>
      <c r="BL482" s="3">
        <v>0.19699639999999999</v>
      </c>
      <c r="BM482" s="3" t="e">
        <v>#N/A</v>
      </c>
      <c r="BN482" s="3" t="e">
        <v>#N/A</v>
      </c>
    </row>
    <row r="483" spans="1:66" x14ac:dyDescent="0.35">
      <c r="A483" s="5">
        <f t="shared" si="7"/>
        <v>44131</v>
      </c>
      <c r="B483" t="s">
        <v>560</v>
      </c>
      <c r="C483" s="2">
        <v>0.1</v>
      </c>
      <c r="D483" s="2">
        <v>5.4199999999999998E-2</v>
      </c>
      <c r="E483" s="3">
        <v>5.1017800000000002E-2</v>
      </c>
      <c r="F483" s="3">
        <v>4.6213600000000001E-2</v>
      </c>
      <c r="G483" s="3">
        <v>3.63705E-2</v>
      </c>
      <c r="H483" s="3">
        <v>2.2550000000000001E-2</v>
      </c>
      <c r="I483" s="3">
        <v>7.3387000000000001E-3</v>
      </c>
      <c r="J483" s="3">
        <v>-7.8645E-3</v>
      </c>
      <c r="K483" s="3">
        <v>-2.2280899999999999E-2</v>
      </c>
      <c r="L483" s="3">
        <v>-3.5263500000000003E-2</v>
      </c>
      <c r="M483" s="3">
        <v>-4.64911E-2</v>
      </c>
      <c r="N483" s="3">
        <v>-5.5946799999999998E-2</v>
      </c>
      <c r="O483" s="3">
        <v>-6.3728699999999999E-2</v>
      </c>
      <c r="P483" s="3">
        <v>-7.0102399999999995E-2</v>
      </c>
      <c r="Q483" s="3">
        <v>-7.5540800000000005E-2</v>
      </c>
      <c r="R483" s="3">
        <v>-8.0179399999999998E-2</v>
      </c>
      <c r="S483" s="3">
        <v>-8.4051100000000004E-2</v>
      </c>
      <c r="T483" s="3">
        <v>-8.7188699999999994E-2</v>
      </c>
      <c r="U483" s="3">
        <v>-8.9624800000000004E-2</v>
      </c>
      <c r="V483" s="3">
        <v>-9.1392200000000007E-2</v>
      </c>
      <c r="W483" s="3">
        <v>-9.25203E-2</v>
      </c>
      <c r="X483" s="3">
        <v>-9.30256E-2</v>
      </c>
      <c r="Y483" s="3">
        <v>-9.2921799999999999E-2</v>
      </c>
      <c r="Z483" s="3">
        <v>-9.2222299999999993E-2</v>
      </c>
      <c r="AA483" s="3">
        <v>-9.0940599999999996E-2</v>
      </c>
      <c r="AB483" s="3">
        <v>-8.90904E-2</v>
      </c>
      <c r="AC483" s="3">
        <v>-8.6688100000000004E-2</v>
      </c>
      <c r="AD483" s="3">
        <v>-8.3762799999999998E-2</v>
      </c>
      <c r="AE483" s="3">
        <v>-8.0346500000000001E-2</v>
      </c>
      <c r="AF483" s="3">
        <v>-7.6471200000000003E-2</v>
      </c>
      <c r="AG483" s="3">
        <v>-7.2168899999999994E-2</v>
      </c>
      <c r="AH483" s="3">
        <v>-6.7471600000000007E-2</v>
      </c>
      <c r="AI483" s="3">
        <v>-6.2411399999999999E-2</v>
      </c>
      <c r="AJ483" s="3">
        <v>-5.70202E-2</v>
      </c>
      <c r="AK483" s="3">
        <v>-5.1330099999999997E-2</v>
      </c>
      <c r="AL483" s="3">
        <v>-4.53731E-2</v>
      </c>
      <c r="AM483" s="3">
        <v>-3.9181300000000002E-2</v>
      </c>
      <c r="AN483" s="3">
        <v>-3.2786599999999999E-2</v>
      </c>
      <c r="AO483" s="3">
        <v>-2.6217500000000001E-2</v>
      </c>
      <c r="AP483" s="3">
        <v>-1.9488700000000001E-2</v>
      </c>
      <c r="AQ483" s="3">
        <v>-1.26111E-2</v>
      </c>
      <c r="AR483" s="3">
        <v>-5.5959E-3</v>
      </c>
      <c r="AS483" s="3">
        <v>1.5460000000000001E-3</v>
      </c>
      <c r="AT483" s="3">
        <v>8.8035000000000006E-3</v>
      </c>
      <c r="AU483" s="3">
        <v>1.6165499999999999E-2</v>
      </c>
      <c r="AV483" s="3">
        <v>2.3621099999999999E-2</v>
      </c>
      <c r="AW483" s="3">
        <v>3.1159099999999999E-2</v>
      </c>
      <c r="AX483" s="3">
        <v>3.8768499999999997E-2</v>
      </c>
      <c r="AY483" s="3">
        <v>4.6438300000000002E-2</v>
      </c>
      <c r="AZ483" s="3">
        <v>5.4157299999999998E-2</v>
      </c>
      <c r="BA483" s="3">
        <v>6.1915600000000001E-2</v>
      </c>
      <c r="BB483" s="3">
        <v>6.9707400000000003E-2</v>
      </c>
      <c r="BC483" s="3">
        <v>7.75285E-2</v>
      </c>
      <c r="BD483" s="3">
        <v>8.5374699999999998E-2</v>
      </c>
      <c r="BE483" s="3">
        <v>9.3241599999999994E-2</v>
      </c>
      <c r="BF483" s="3">
        <v>0.1011251</v>
      </c>
      <c r="BG483" s="3">
        <v>0.1090209</v>
      </c>
      <c r="BH483" s="3">
        <v>0.11692470000000001</v>
      </c>
      <c r="BI483" s="3">
        <v>0.12483229999999999</v>
      </c>
      <c r="BJ483" s="3">
        <v>0.13273940000000001</v>
      </c>
      <c r="BK483" s="3">
        <v>0.14064170000000001</v>
      </c>
      <c r="BL483" s="3">
        <v>0.1485351</v>
      </c>
      <c r="BM483" s="3" t="e">
        <v>#N/A</v>
      </c>
      <c r="BN483" s="3" t="e">
        <v>#N/A</v>
      </c>
    </row>
    <row r="484" spans="1:66" x14ac:dyDescent="0.35">
      <c r="A484" s="5">
        <f t="shared" si="7"/>
        <v>44132</v>
      </c>
      <c r="B484" t="s">
        <v>561</v>
      </c>
      <c r="C484" s="2">
        <v>0.1</v>
      </c>
      <c r="D484" s="2">
        <v>5.3999999999999999E-2</v>
      </c>
      <c r="E484" s="3">
        <v>5.2628899999999999E-2</v>
      </c>
      <c r="F484" s="3">
        <v>4.5416600000000001E-2</v>
      </c>
      <c r="G484" s="3">
        <v>3.3370700000000003E-2</v>
      </c>
      <c r="H484" s="3">
        <v>1.80635E-2</v>
      </c>
      <c r="I484" s="3">
        <v>2.343E-3</v>
      </c>
      <c r="J484" s="3">
        <v>-1.24382E-2</v>
      </c>
      <c r="K484" s="3">
        <v>-2.5840100000000001E-2</v>
      </c>
      <c r="L484" s="3">
        <v>-3.7761700000000002E-2</v>
      </c>
      <c r="M484" s="3">
        <v>-4.8228300000000002E-2</v>
      </c>
      <c r="N484" s="3">
        <v>-5.7318800000000003E-2</v>
      </c>
      <c r="O484" s="3">
        <v>-6.5198599999999995E-2</v>
      </c>
      <c r="P484" s="3">
        <v>-7.2000300000000003E-2</v>
      </c>
      <c r="Q484" s="3">
        <v>-7.8000899999999998E-2</v>
      </c>
      <c r="R484" s="3">
        <v>-8.3276000000000003E-2</v>
      </c>
      <c r="S484" s="3">
        <v>-8.7834499999999996E-2</v>
      </c>
      <c r="T484" s="3">
        <v>-9.1685299999999997E-2</v>
      </c>
      <c r="U484" s="3">
        <v>-9.4837400000000002E-2</v>
      </c>
      <c r="V484" s="3">
        <v>-9.7299800000000006E-2</v>
      </c>
      <c r="W484" s="3">
        <v>-9.9083400000000002E-2</v>
      </c>
      <c r="X484" s="3">
        <v>-0.100207</v>
      </c>
      <c r="Y484" s="3">
        <v>-0.1006913</v>
      </c>
      <c r="Z484" s="3">
        <v>-0.1005567</v>
      </c>
      <c r="AA484" s="3">
        <v>-9.9823999999999996E-2</v>
      </c>
      <c r="AB484" s="3">
        <v>-9.8513699999999996E-2</v>
      </c>
      <c r="AC484" s="3">
        <v>-9.6648499999999998E-2</v>
      </c>
      <c r="AD484" s="3">
        <v>-9.4259300000000004E-2</v>
      </c>
      <c r="AE484" s="3">
        <v>-9.1378799999999996E-2</v>
      </c>
      <c r="AF484" s="3">
        <v>-8.8039900000000004E-2</v>
      </c>
      <c r="AG484" s="3">
        <v>-8.4275600000000006E-2</v>
      </c>
      <c r="AH484" s="3">
        <v>-8.0118700000000001E-2</v>
      </c>
      <c r="AI484" s="3">
        <v>-7.5602000000000003E-2</v>
      </c>
      <c r="AJ484" s="3">
        <v>-7.0758399999999999E-2</v>
      </c>
      <c r="AK484" s="3">
        <v>-6.5620700000000004E-2</v>
      </c>
      <c r="AL484" s="3">
        <v>-6.0221900000000002E-2</v>
      </c>
      <c r="AM484" s="3">
        <v>-5.4594799999999999E-2</v>
      </c>
      <c r="AN484" s="3">
        <v>-4.8772299999999998E-2</v>
      </c>
      <c r="AO484" s="3">
        <v>-4.2784099999999999E-2</v>
      </c>
      <c r="AP484" s="3">
        <v>-3.6645200000000003E-2</v>
      </c>
      <c r="AQ484" s="3">
        <v>-3.0366000000000001E-2</v>
      </c>
      <c r="AR484" s="3">
        <v>-2.39568E-2</v>
      </c>
      <c r="AS484" s="3">
        <v>-1.7427999999999999E-2</v>
      </c>
      <c r="AT484" s="3">
        <v>-1.0789999999999999E-2</v>
      </c>
      <c r="AU484" s="3">
        <v>-4.0530999999999996E-3</v>
      </c>
      <c r="AV484" s="3">
        <v>2.7723000000000001E-3</v>
      </c>
      <c r="AW484" s="3">
        <v>9.6758E-3</v>
      </c>
      <c r="AX484" s="3">
        <v>1.6647100000000001E-2</v>
      </c>
      <c r="AY484" s="3">
        <v>2.3675700000000001E-2</v>
      </c>
      <c r="AZ484" s="3">
        <v>3.0751299999999999E-2</v>
      </c>
      <c r="BA484" s="3">
        <v>3.7864599999999998E-2</v>
      </c>
      <c r="BB484" s="3">
        <v>4.5011099999999998E-2</v>
      </c>
      <c r="BC484" s="3">
        <v>5.2187499999999998E-2</v>
      </c>
      <c r="BD484" s="3">
        <v>5.9390600000000002E-2</v>
      </c>
      <c r="BE484" s="3">
        <v>6.6617200000000001E-2</v>
      </c>
      <c r="BF484" s="3">
        <v>7.3863999999999999E-2</v>
      </c>
      <c r="BG484" s="3">
        <v>8.1127900000000003E-2</v>
      </c>
      <c r="BH484" s="3">
        <v>8.8405499999999998E-2</v>
      </c>
      <c r="BI484" s="3">
        <v>9.5693600000000004E-2</v>
      </c>
      <c r="BJ484" s="3">
        <v>0.1029891</v>
      </c>
      <c r="BK484" s="3">
        <v>0.1102886</v>
      </c>
      <c r="BL484" s="3">
        <v>0.117589</v>
      </c>
      <c r="BM484" s="3" t="e">
        <v>#N/A</v>
      </c>
      <c r="BN484" s="3" t="e">
        <v>#N/A</v>
      </c>
    </row>
    <row r="485" spans="1:66" x14ac:dyDescent="0.35">
      <c r="A485" s="5">
        <f t="shared" si="7"/>
        <v>44133</v>
      </c>
      <c r="B485" t="s">
        <v>562</v>
      </c>
      <c r="C485" s="2">
        <v>0.1</v>
      </c>
      <c r="D485" s="2">
        <v>5.4300000000000001E-2</v>
      </c>
      <c r="E485" s="3">
        <v>4.9456800000000002E-2</v>
      </c>
      <c r="F485" s="3">
        <v>4.2472099999999999E-2</v>
      </c>
      <c r="G485" s="3">
        <v>3.1962699999999997E-2</v>
      </c>
      <c r="H485" s="3">
        <v>1.8436000000000001E-2</v>
      </c>
      <c r="I485" s="3">
        <v>3.5282E-3</v>
      </c>
      <c r="J485" s="3">
        <v>-1.1992900000000001E-2</v>
      </c>
      <c r="K485" s="3">
        <v>-2.7463600000000001E-2</v>
      </c>
      <c r="L485" s="3">
        <v>-4.1468499999999998E-2</v>
      </c>
      <c r="M485" s="3">
        <v>-5.30032E-2</v>
      </c>
      <c r="N485" s="3">
        <v>-6.2085500000000002E-2</v>
      </c>
      <c r="O485" s="3">
        <v>-6.9222599999999995E-2</v>
      </c>
      <c r="P485" s="3">
        <v>-7.49388E-2</v>
      </c>
      <c r="Q485" s="3">
        <v>-7.9885499999999998E-2</v>
      </c>
      <c r="R485" s="3">
        <v>-8.4209400000000004E-2</v>
      </c>
      <c r="S485" s="3">
        <v>-8.7910600000000005E-2</v>
      </c>
      <c r="T485" s="3">
        <v>-9.0989299999999995E-2</v>
      </c>
      <c r="U485" s="3">
        <v>-9.3445500000000001E-2</v>
      </c>
      <c r="V485" s="3">
        <v>-9.5279299999999997E-2</v>
      </c>
      <c r="W485" s="3">
        <v>-9.6491599999999997E-2</v>
      </c>
      <c r="X485" s="3">
        <v>-9.7085299999999999E-2</v>
      </c>
      <c r="Y485" s="3">
        <v>-9.70641E-2</v>
      </c>
      <c r="Z485" s="3">
        <v>-9.6431799999999998E-2</v>
      </c>
      <c r="AA485" s="3">
        <v>-9.5191799999999993E-2</v>
      </c>
      <c r="AB485" s="3">
        <v>-9.3347899999999998E-2</v>
      </c>
      <c r="AC485" s="3">
        <v>-9.0908199999999995E-2</v>
      </c>
      <c r="AD485" s="3">
        <v>-8.7903200000000001E-2</v>
      </c>
      <c r="AE485" s="3">
        <v>-8.4369899999999998E-2</v>
      </c>
      <c r="AF485" s="3">
        <v>-8.03455E-2</v>
      </c>
      <c r="AG485" s="3">
        <v>-7.5867000000000004E-2</v>
      </c>
      <c r="AH485" s="3">
        <v>-7.0971599999999996E-2</v>
      </c>
      <c r="AI485" s="3">
        <v>-6.5696500000000005E-2</v>
      </c>
      <c r="AJ485" s="3">
        <v>-6.0078699999999999E-2</v>
      </c>
      <c r="AK485" s="3">
        <v>-5.4155399999999999E-2</v>
      </c>
      <c r="AL485" s="3">
        <v>-4.7963600000000002E-2</v>
      </c>
      <c r="AM485" s="3">
        <v>-4.1540500000000001E-2</v>
      </c>
      <c r="AN485" s="3">
        <v>-3.4923299999999997E-2</v>
      </c>
      <c r="AO485" s="3">
        <v>-2.8145099999999999E-2</v>
      </c>
      <c r="AP485" s="3">
        <v>-2.1222000000000001E-2</v>
      </c>
      <c r="AQ485" s="3">
        <v>-1.4165199999999999E-2</v>
      </c>
      <c r="AR485" s="3">
        <v>-6.9861000000000003E-3</v>
      </c>
      <c r="AS485" s="3">
        <v>3.0410000000000002E-4</v>
      </c>
      <c r="AT485" s="3">
        <v>7.6940999999999997E-3</v>
      </c>
      <c r="AU485" s="3">
        <v>1.51726E-2</v>
      </c>
      <c r="AV485" s="3">
        <v>2.27283E-2</v>
      </c>
      <c r="AW485" s="3">
        <v>3.0349999999999999E-2</v>
      </c>
      <c r="AX485" s="3">
        <v>3.8026299999999999E-2</v>
      </c>
      <c r="AY485" s="3">
        <v>4.5746099999999998E-2</v>
      </c>
      <c r="AZ485" s="3">
        <v>5.3497900000000001E-2</v>
      </c>
      <c r="BA485" s="3">
        <v>6.1271699999999998E-2</v>
      </c>
      <c r="BB485" s="3">
        <v>6.9062700000000005E-2</v>
      </c>
      <c r="BC485" s="3">
        <v>7.6867500000000005E-2</v>
      </c>
      <c r="BD485" s="3">
        <v>8.4682599999999997E-2</v>
      </c>
      <c r="BE485" s="3">
        <v>9.2504699999999995E-2</v>
      </c>
      <c r="BF485" s="3">
        <v>0.1003304</v>
      </c>
      <c r="BG485" s="3">
        <v>0.10815619999999999</v>
      </c>
      <c r="BH485" s="3">
        <v>0.1159789</v>
      </c>
      <c r="BI485" s="3">
        <v>0.1237949</v>
      </c>
      <c r="BJ485" s="3">
        <v>0.131601</v>
      </c>
      <c r="BK485" s="3">
        <v>0.13939360000000001</v>
      </c>
      <c r="BL485" s="3">
        <v>0.14716950000000001</v>
      </c>
      <c r="BM485" s="3" t="e">
        <v>#N/A</v>
      </c>
      <c r="BN485" s="3" t="e">
        <v>#N/A</v>
      </c>
    </row>
    <row r="486" spans="1:66" x14ac:dyDescent="0.35">
      <c r="A486" s="5">
        <f t="shared" si="7"/>
        <v>44134</v>
      </c>
      <c r="B486" t="s">
        <v>563</v>
      </c>
      <c r="C486" s="2">
        <v>0.1</v>
      </c>
      <c r="D486" s="2">
        <v>5.4699999999999999E-2</v>
      </c>
      <c r="E486" s="3">
        <v>5.1597200000000003E-2</v>
      </c>
      <c r="F486" s="3">
        <v>4.4443999999999997E-2</v>
      </c>
      <c r="G486" s="3">
        <v>3.2517900000000002E-2</v>
      </c>
      <c r="H486" s="3">
        <v>1.7585099999999999E-2</v>
      </c>
      <c r="I486" s="3">
        <v>2.542E-3</v>
      </c>
      <c r="J486" s="3">
        <v>-1.1376000000000001E-2</v>
      </c>
      <c r="K486" s="3">
        <v>-2.3660199999999999E-2</v>
      </c>
      <c r="L486" s="3">
        <v>-3.39818E-2</v>
      </c>
      <c r="M486" s="3">
        <v>-4.2410000000000003E-2</v>
      </c>
      <c r="N486" s="3">
        <v>-4.92364E-2</v>
      </c>
      <c r="O486" s="3">
        <v>-5.4841800000000003E-2</v>
      </c>
      <c r="P486" s="3">
        <v>-5.9602000000000002E-2</v>
      </c>
      <c r="Q486" s="3">
        <v>-6.3938700000000001E-2</v>
      </c>
      <c r="R486" s="3">
        <v>-6.7895999999999998E-2</v>
      </c>
      <c r="S486" s="3">
        <v>-7.13916E-2</v>
      </c>
      <c r="T486" s="3">
        <v>-7.4343400000000004E-2</v>
      </c>
      <c r="U486" s="3">
        <v>-7.6669000000000001E-2</v>
      </c>
      <c r="V486" s="3">
        <v>-7.8286400000000006E-2</v>
      </c>
      <c r="W486" s="3">
        <v>-7.9128400000000002E-2</v>
      </c>
      <c r="X486" s="3">
        <v>-7.9206600000000002E-2</v>
      </c>
      <c r="Y486" s="3">
        <v>-7.8557500000000002E-2</v>
      </c>
      <c r="Z486" s="3">
        <v>-7.72177E-2</v>
      </c>
      <c r="AA486" s="3">
        <v>-7.5223799999999993E-2</v>
      </c>
      <c r="AB486" s="3">
        <v>-7.2612300000000005E-2</v>
      </c>
      <c r="AC486" s="3">
        <v>-6.9420399999999993E-2</v>
      </c>
      <c r="AD486" s="3">
        <v>-6.5687300000000004E-2</v>
      </c>
      <c r="AE486" s="3">
        <v>-6.1453300000000002E-2</v>
      </c>
      <c r="AF486" s="3">
        <v>-5.6758599999999999E-2</v>
      </c>
      <c r="AG486" s="3">
        <v>-5.1643000000000001E-2</v>
      </c>
      <c r="AH486" s="3">
        <v>-4.6146899999999998E-2</v>
      </c>
      <c r="AI486" s="3">
        <v>-4.03103E-2</v>
      </c>
      <c r="AJ486" s="3">
        <v>-3.4173299999999997E-2</v>
      </c>
      <c r="AK486" s="3">
        <v>-2.7775999999999999E-2</v>
      </c>
      <c r="AL486" s="3">
        <v>-2.11586E-2</v>
      </c>
      <c r="AM486" s="3">
        <v>-1.4361000000000001E-2</v>
      </c>
      <c r="AN486" s="3">
        <v>-7.4235999999999998E-3</v>
      </c>
      <c r="AO486" s="3">
        <v>-3.8059999999999998E-4</v>
      </c>
      <c r="AP486" s="3">
        <v>6.7561000000000001E-3</v>
      </c>
      <c r="AQ486" s="3">
        <v>1.39804E-2</v>
      </c>
      <c r="AR486" s="3">
        <v>2.1286099999999999E-2</v>
      </c>
      <c r="AS486" s="3">
        <v>2.8667100000000001E-2</v>
      </c>
      <c r="AT486" s="3">
        <v>3.6117299999999998E-2</v>
      </c>
      <c r="AU486" s="3">
        <v>4.36304E-2</v>
      </c>
      <c r="AV486" s="3">
        <v>5.1200500000000003E-2</v>
      </c>
      <c r="AW486" s="3">
        <v>5.8821400000000003E-2</v>
      </c>
      <c r="AX486" s="3">
        <v>6.6486799999999999E-2</v>
      </c>
      <c r="AY486" s="3">
        <v>7.4190699999999998E-2</v>
      </c>
      <c r="AZ486" s="3">
        <v>8.1927E-2</v>
      </c>
      <c r="BA486" s="3">
        <v>8.9689900000000003E-2</v>
      </c>
      <c r="BB486" s="3">
        <v>9.7475300000000001E-2</v>
      </c>
      <c r="BC486" s="3">
        <v>0.1052797</v>
      </c>
      <c r="BD486" s="3">
        <v>0.11309959999999999</v>
      </c>
      <c r="BE486" s="3">
        <v>0.12093130000000001</v>
      </c>
      <c r="BF486" s="3">
        <v>0.12877140000000001</v>
      </c>
      <c r="BG486" s="3">
        <v>0.1366163</v>
      </c>
      <c r="BH486" s="3">
        <v>0.14446229999999999</v>
      </c>
      <c r="BI486" s="3">
        <v>0.152306</v>
      </c>
      <c r="BJ486" s="3">
        <v>0.1601438</v>
      </c>
      <c r="BK486" s="3">
        <v>0.16797210000000001</v>
      </c>
      <c r="BL486" s="3">
        <v>0.17578740000000001</v>
      </c>
      <c r="BM486" s="3" t="e">
        <v>#N/A</v>
      </c>
      <c r="BN486" s="3" t="e">
        <v>#N/A</v>
      </c>
    </row>
    <row r="487" spans="1:66" x14ac:dyDescent="0.35">
      <c r="A487" s="5">
        <f t="shared" si="7"/>
        <v>44137</v>
      </c>
      <c r="B487" t="s">
        <v>564</v>
      </c>
      <c r="C487" s="2">
        <v>0.1</v>
      </c>
      <c r="D487" s="2">
        <v>5.3900000000000003E-2</v>
      </c>
      <c r="E487" s="3">
        <v>4.9527300000000003E-2</v>
      </c>
      <c r="F487" s="3">
        <v>3.6838599999999999E-2</v>
      </c>
      <c r="G487" s="3">
        <v>2.10078E-2</v>
      </c>
      <c r="H487" s="3">
        <v>3.8159000000000001E-3</v>
      </c>
      <c r="I487" s="3">
        <v>-1.26185E-2</v>
      </c>
      <c r="J487" s="3">
        <v>-2.74247E-2</v>
      </c>
      <c r="K487" s="3">
        <v>-4.0245000000000003E-2</v>
      </c>
      <c r="L487" s="3">
        <v>-5.1070299999999999E-2</v>
      </c>
      <c r="M487" s="3">
        <v>-6.019E-2</v>
      </c>
      <c r="N487" s="3">
        <v>-6.7860500000000004E-2</v>
      </c>
      <c r="O487" s="3">
        <v>-7.4326900000000001E-2</v>
      </c>
      <c r="P487" s="3">
        <v>-7.9854400000000006E-2</v>
      </c>
      <c r="Q487" s="3">
        <v>-8.4792699999999999E-2</v>
      </c>
      <c r="R487" s="3">
        <v>-8.9201500000000003E-2</v>
      </c>
      <c r="S487" s="3">
        <v>-9.3055299999999994E-2</v>
      </c>
      <c r="T487" s="3">
        <v>-9.6329100000000001E-2</v>
      </c>
      <c r="U487" s="3">
        <v>-9.8997399999999999E-2</v>
      </c>
      <c r="V487" s="3">
        <v>-0.10103520000000001</v>
      </c>
      <c r="W487" s="3">
        <v>-0.10242229999999999</v>
      </c>
      <c r="X487" s="3">
        <v>-0.1031591</v>
      </c>
      <c r="Y487" s="3">
        <v>-0.10325040000000001</v>
      </c>
      <c r="Z487" s="3">
        <v>-0.1027014</v>
      </c>
      <c r="AA487" s="3">
        <v>-0.101517</v>
      </c>
      <c r="AB487" s="3">
        <v>-9.9702200000000005E-2</v>
      </c>
      <c r="AC487" s="3">
        <v>-9.7267699999999999E-2</v>
      </c>
      <c r="AD487" s="3">
        <v>-9.42471E-2</v>
      </c>
      <c r="AE487" s="3">
        <v>-9.0679700000000002E-2</v>
      </c>
      <c r="AF487" s="3">
        <v>-8.6604799999999996E-2</v>
      </c>
      <c r="AG487" s="3">
        <v>-8.2061800000000004E-2</v>
      </c>
      <c r="AH487" s="3">
        <v>-7.7089900000000003E-2</v>
      </c>
      <c r="AI487" s="3">
        <v>-7.1728399999999998E-2</v>
      </c>
      <c r="AJ487" s="3">
        <v>-6.6016599999999995E-2</v>
      </c>
      <c r="AK487" s="3">
        <v>-5.9993900000000003E-2</v>
      </c>
      <c r="AL487" s="3">
        <v>-5.36996E-2</v>
      </c>
      <c r="AM487" s="3">
        <v>-4.7172899999999997E-2</v>
      </c>
      <c r="AN487" s="3">
        <v>-4.0453099999999999E-2</v>
      </c>
      <c r="AO487" s="3">
        <v>-3.3575199999999999E-2</v>
      </c>
      <c r="AP487" s="3">
        <v>-2.6556099999999999E-2</v>
      </c>
      <c r="AQ487" s="3">
        <v>-1.9408399999999999E-2</v>
      </c>
      <c r="AR487" s="3">
        <v>-1.2144800000000001E-2</v>
      </c>
      <c r="AS487" s="3">
        <v>-4.7777000000000002E-3</v>
      </c>
      <c r="AT487" s="3">
        <v>2.6802000000000002E-3</v>
      </c>
      <c r="AU487" s="3">
        <v>1.0216299999999999E-2</v>
      </c>
      <c r="AV487" s="3">
        <v>1.78181E-2</v>
      </c>
      <c r="AW487" s="3">
        <v>2.5472999999999999E-2</v>
      </c>
      <c r="AX487" s="3">
        <v>3.3168299999999998E-2</v>
      </c>
      <c r="AY487" s="3">
        <v>4.08916E-2</v>
      </c>
      <c r="AZ487" s="3">
        <v>4.8630199999999998E-2</v>
      </c>
      <c r="BA487" s="3">
        <v>5.6372899999999997E-2</v>
      </c>
      <c r="BB487" s="3">
        <v>6.41148E-2</v>
      </c>
      <c r="BC487" s="3">
        <v>7.1853700000000006E-2</v>
      </c>
      <c r="BD487" s="3">
        <v>7.9587099999999994E-2</v>
      </c>
      <c r="BE487" s="3">
        <v>8.7312699999999993E-2</v>
      </c>
      <c r="BF487" s="3">
        <v>9.5027899999999998E-2</v>
      </c>
      <c r="BG487" s="3">
        <v>0.10273060000000001</v>
      </c>
      <c r="BH487" s="3">
        <v>0.11041810000000001</v>
      </c>
      <c r="BI487" s="3">
        <v>0.1180881</v>
      </c>
      <c r="BJ487" s="3">
        <v>0.1257383</v>
      </c>
      <c r="BK487" s="3">
        <v>0.13336619999999999</v>
      </c>
      <c r="BL487" s="3">
        <v>0.14096939999999999</v>
      </c>
      <c r="BM487" s="3" t="e">
        <v>#N/A</v>
      </c>
      <c r="BN487" s="3" t="e">
        <v>#N/A</v>
      </c>
    </row>
    <row r="488" spans="1:66" x14ac:dyDescent="0.35">
      <c r="A488" s="5">
        <f t="shared" si="7"/>
        <v>44138</v>
      </c>
      <c r="B488" t="s">
        <v>565</v>
      </c>
      <c r="C488" s="2">
        <v>0.1</v>
      </c>
      <c r="D488" s="2">
        <v>5.33E-2</v>
      </c>
      <c r="E488" s="3">
        <v>5.1526299999999997E-2</v>
      </c>
      <c r="F488" s="3">
        <v>3.8524000000000003E-2</v>
      </c>
      <c r="G488" s="3">
        <v>2.2730500000000001E-2</v>
      </c>
      <c r="H488" s="3">
        <v>6.1196999999999996E-3</v>
      </c>
      <c r="I488" s="3">
        <v>-9.4815000000000003E-3</v>
      </c>
      <c r="J488" s="3">
        <v>-2.3667000000000001E-2</v>
      </c>
      <c r="K488" s="3">
        <v>-3.6098199999999997E-2</v>
      </c>
      <c r="L488" s="3">
        <v>-4.6440099999999998E-2</v>
      </c>
      <c r="M488" s="3">
        <v>-5.4611300000000002E-2</v>
      </c>
      <c r="N488" s="3">
        <v>-6.0803599999999999E-2</v>
      </c>
      <c r="O488" s="3">
        <v>-6.5294199999999997E-2</v>
      </c>
      <c r="P488" s="3">
        <v>-6.8465499999999999E-2</v>
      </c>
      <c r="Q488" s="3">
        <v>-7.0844500000000005E-2</v>
      </c>
      <c r="R488" s="3">
        <v>-7.2589500000000001E-2</v>
      </c>
      <c r="S488" s="3">
        <v>-7.3750499999999997E-2</v>
      </c>
      <c r="T488" s="3">
        <v>-7.4377700000000005E-2</v>
      </c>
      <c r="U488" s="3">
        <v>-7.4521199999999996E-2</v>
      </c>
      <c r="V488" s="3">
        <v>-7.4231000000000005E-2</v>
      </c>
      <c r="W488" s="3">
        <v>-7.3543499999999998E-2</v>
      </c>
      <c r="X488" s="3">
        <v>-7.2447300000000006E-2</v>
      </c>
      <c r="Y488" s="3">
        <v>-7.09206E-2</v>
      </c>
      <c r="Z488" s="3">
        <v>-6.8941799999999998E-2</v>
      </c>
      <c r="AA488" s="3">
        <v>-6.6489199999999998E-2</v>
      </c>
      <c r="AB488" s="3">
        <v>-6.3541E-2</v>
      </c>
      <c r="AC488" s="3">
        <v>-6.0083900000000003E-2</v>
      </c>
      <c r="AD488" s="3">
        <v>-5.61375E-2</v>
      </c>
      <c r="AE488" s="3">
        <v>-5.1729499999999998E-2</v>
      </c>
      <c r="AF488" s="3">
        <v>-4.6887999999999999E-2</v>
      </c>
      <c r="AG488" s="3">
        <v>-4.1640799999999999E-2</v>
      </c>
      <c r="AH488" s="3">
        <v>-3.6015699999999998E-2</v>
      </c>
      <c r="AI488" s="3">
        <v>-3.00407E-2</v>
      </c>
      <c r="AJ488" s="3">
        <v>-2.37436E-2</v>
      </c>
      <c r="AK488" s="3">
        <v>-1.7152199999999999E-2</v>
      </c>
      <c r="AL488" s="3">
        <v>-1.02945E-2</v>
      </c>
      <c r="AM488" s="3">
        <v>-3.1982999999999998E-3</v>
      </c>
      <c r="AN488" s="3">
        <v>4.1085000000000002E-3</v>
      </c>
      <c r="AO488" s="3">
        <v>1.16002E-2</v>
      </c>
      <c r="AP488" s="3">
        <v>1.92599E-2</v>
      </c>
      <c r="AQ488" s="3">
        <v>2.70729E-2</v>
      </c>
      <c r="AR488" s="3">
        <v>3.5024399999999997E-2</v>
      </c>
      <c r="AS488" s="3">
        <v>4.3099600000000002E-2</v>
      </c>
      <c r="AT488" s="3">
        <v>5.12839E-2</v>
      </c>
      <c r="AU488" s="3">
        <v>5.9562499999999997E-2</v>
      </c>
      <c r="AV488" s="3">
        <v>6.7920700000000001E-2</v>
      </c>
      <c r="AW488" s="3">
        <v>7.63437E-2</v>
      </c>
      <c r="AX488" s="3">
        <v>8.4816799999999998E-2</v>
      </c>
      <c r="AY488" s="3">
        <v>9.33253E-2</v>
      </c>
      <c r="AZ488" s="3">
        <v>0.1018544</v>
      </c>
      <c r="BA488" s="3">
        <v>0.1103909</v>
      </c>
      <c r="BB488" s="3">
        <v>0.11892850000000001</v>
      </c>
      <c r="BC488" s="3">
        <v>0.1274632</v>
      </c>
      <c r="BD488" s="3">
        <v>0.1359911</v>
      </c>
      <c r="BE488" s="3">
        <v>0.1445081</v>
      </c>
      <c r="BF488" s="3">
        <v>0.15301029999999999</v>
      </c>
      <c r="BG488" s="3">
        <v>0.16149350000000001</v>
      </c>
      <c r="BH488" s="3">
        <v>0.16995379999999999</v>
      </c>
      <c r="BI488" s="3">
        <v>0.17838709999999999</v>
      </c>
      <c r="BJ488" s="3">
        <v>0.1867895</v>
      </c>
      <c r="BK488" s="3">
        <v>0.19515689999999999</v>
      </c>
      <c r="BL488" s="3">
        <v>0.20348540000000001</v>
      </c>
      <c r="BM488" s="3" t="e">
        <v>#N/A</v>
      </c>
      <c r="BN488" s="3" t="e">
        <v>#N/A</v>
      </c>
    </row>
    <row r="489" spans="1:66" x14ac:dyDescent="0.35">
      <c r="A489" s="5">
        <f t="shared" si="7"/>
        <v>44139</v>
      </c>
      <c r="B489" t="s">
        <v>566</v>
      </c>
      <c r="C489" s="2">
        <v>0.1</v>
      </c>
      <c r="D489" s="2">
        <v>5.3699999999999998E-2</v>
      </c>
      <c r="E489" s="3">
        <v>4.9455399999999997E-2</v>
      </c>
      <c r="F489" s="3">
        <v>3.7703100000000003E-2</v>
      </c>
      <c r="G489" s="3">
        <v>2.31693E-2</v>
      </c>
      <c r="H489" s="3">
        <v>7.5705E-3</v>
      </c>
      <c r="I489" s="3">
        <v>-7.2351999999999998E-3</v>
      </c>
      <c r="J489" s="3">
        <v>-2.10054E-2</v>
      </c>
      <c r="K489" s="3">
        <v>-3.37738E-2</v>
      </c>
      <c r="L489" s="3">
        <v>-4.5469099999999998E-2</v>
      </c>
      <c r="M489" s="3">
        <v>-5.5938000000000002E-2</v>
      </c>
      <c r="N489" s="3">
        <v>-6.5018500000000007E-2</v>
      </c>
      <c r="O489" s="3">
        <v>-7.2729600000000005E-2</v>
      </c>
      <c r="P489" s="3">
        <v>-7.9189399999999993E-2</v>
      </c>
      <c r="Q489" s="3">
        <v>-8.4721400000000002E-2</v>
      </c>
      <c r="R489" s="3">
        <v>-8.9432499999999998E-2</v>
      </c>
      <c r="S489" s="3">
        <v>-9.3358899999999995E-2</v>
      </c>
      <c r="T489" s="3">
        <v>-9.65366E-2</v>
      </c>
      <c r="U489" s="3">
        <v>-9.9001900000000004E-2</v>
      </c>
      <c r="V489" s="3">
        <v>-0.1007908</v>
      </c>
      <c r="W489" s="3">
        <v>-0.10193439999999999</v>
      </c>
      <c r="X489" s="3">
        <v>-0.1024467</v>
      </c>
      <c r="Y489" s="3">
        <v>-0.1023377</v>
      </c>
      <c r="Z489" s="3">
        <v>-0.10161770000000001</v>
      </c>
      <c r="AA489" s="3">
        <v>-0.1002966</v>
      </c>
      <c r="AB489" s="3">
        <v>-9.8384799999999994E-2</v>
      </c>
      <c r="AC489" s="3">
        <v>-9.5896499999999996E-2</v>
      </c>
      <c r="AD489" s="3">
        <v>-9.2863299999999996E-2</v>
      </c>
      <c r="AE489" s="3">
        <v>-8.9320999999999998E-2</v>
      </c>
      <c r="AF489" s="3">
        <v>-8.5305500000000006E-2</v>
      </c>
      <c r="AG489" s="3">
        <v>-8.0852400000000005E-2</v>
      </c>
      <c r="AH489" s="3">
        <v>-7.5997599999999998E-2</v>
      </c>
      <c r="AI489" s="3">
        <v>-7.0777000000000007E-2</v>
      </c>
      <c r="AJ489" s="3">
        <v>-6.5226199999999998E-2</v>
      </c>
      <c r="AK489" s="3">
        <v>-5.9381099999999999E-2</v>
      </c>
      <c r="AL489" s="3">
        <v>-5.3277499999999998E-2</v>
      </c>
      <c r="AM489" s="3">
        <v>-4.6951199999999998E-2</v>
      </c>
      <c r="AN489" s="3">
        <v>-4.0438000000000002E-2</v>
      </c>
      <c r="AO489" s="3">
        <v>-3.3770399999999999E-2</v>
      </c>
      <c r="AP489" s="3">
        <v>-2.6964499999999999E-2</v>
      </c>
      <c r="AQ489" s="3">
        <v>-2.00317E-2</v>
      </c>
      <c r="AR489" s="3">
        <v>-1.29832E-2</v>
      </c>
      <c r="AS489" s="3">
        <v>-5.8303000000000001E-3</v>
      </c>
      <c r="AT489" s="3">
        <v>1.4158E-3</v>
      </c>
      <c r="AU489" s="3">
        <v>8.7437000000000001E-3</v>
      </c>
      <c r="AV489" s="3">
        <v>1.61421E-2</v>
      </c>
      <c r="AW489" s="3">
        <v>2.35999E-2</v>
      </c>
      <c r="AX489" s="3">
        <v>3.11057E-2</v>
      </c>
      <c r="AY489" s="3">
        <v>3.8648200000000001E-2</v>
      </c>
      <c r="AZ489" s="3">
        <v>4.6216199999999999E-2</v>
      </c>
      <c r="BA489" s="3">
        <v>5.3799699999999999E-2</v>
      </c>
      <c r="BB489" s="3">
        <v>6.13941E-2</v>
      </c>
      <c r="BC489" s="3">
        <v>6.8996199999999994E-2</v>
      </c>
      <c r="BD489" s="3">
        <v>7.6603199999999996E-2</v>
      </c>
      <c r="BE489" s="3">
        <v>8.4211800000000003E-2</v>
      </c>
      <c r="BF489" s="3">
        <v>9.1819100000000001E-2</v>
      </c>
      <c r="BG489" s="3">
        <v>9.9421999999999996E-2</v>
      </c>
      <c r="BH489" s="3">
        <v>0.1070174</v>
      </c>
      <c r="BI489" s="3">
        <v>0.1146023</v>
      </c>
      <c r="BJ489" s="3">
        <v>0.12217359999999999</v>
      </c>
      <c r="BK489" s="3">
        <v>0.12972829999999999</v>
      </c>
      <c r="BL489" s="3">
        <v>0.1372633</v>
      </c>
      <c r="BM489" s="3" t="e">
        <v>#N/A</v>
      </c>
      <c r="BN489" s="3" t="e">
        <v>#N/A</v>
      </c>
    </row>
    <row r="490" spans="1:66" x14ac:dyDescent="0.35">
      <c r="A490" s="5">
        <f t="shared" si="7"/>
        <v>44140</v>
      </c>
      <c r="B490" t="s">
        <v>567</v>
      </c>
      <c r="C490" s="2">
        <v>0.1</v>
      </c>
      <c r="D490" s="2">
        <v>5.33E-2</v>
      </c>
      <c r="E490" s="3">
        <v>5.2888699999999997E-2</v>
      </c>
      <c r="F490" s="3">
        <v>4.3783299999999997E-2</v>
      </c>
      <c r="G490" s="3">
        <v>3.0895499999999999E-2</v>
      </c>
      <c r="H490" s="3">
        <v>1.6184299999999999E-2</v>
      </c>
      <c r="I490" s="3">
        <v>1.6615E-3</v>
      </c>
      <c r="J490" s="3">
        <v>-1.2140400000000001E-2</v>
      </c>
      <c r="K490" s="3">
        <v>-2.4793800000000001E-2</v>
      </c>
      <c r="L490" s="3">
        <v>-3.59516E-2</v>
      </c>
      <c r="M490" s="3">
        <v>-4.5603499999999998E-2</v>
      </c>
      <c r="N490" s="3">
        <v>-5.3862E-2</v>
      </c>
      <c r="O490" s="3">
        <v>-6.0965900000000003E-2</v>
      </c>
      <c r="P490" s="3">
        <v>-6.7167599999999994E-2</v>
      </c>
      <c r="Q490" s="3">
        <v>-7.2792899999999994E-2</v>
      </c>
      <c r="R490" s="3">
        <v>-7.7873200000000004E-2</v>
      </c>
      <c r="S490" s="3">
        <v>-8.2355499999999998E-2</v>
      </c>
      <c r="T490" s="3">
        <v>-8.6186899999999997E-2</v>
      </c>
      <c r="U490" s="3">
        <v>-8.9314500000000005E-2</v>
      </c>
      <c r="V490" s="3">
        <v>-9.1685299999999997E-2</v>
      </c>
      <c r="W490" s="3">
        <v>-9.3260800000000005E-2</v>
      </c>
      <c r="X490" s="3">
        <v>-9.4052499999999997E-2</v>
      </c>
      <c r="Y490" s="3">
        <v>-9.4082700000000005E-2</v>
      </c>
      <c r="Z490" s="3">
        <v>-9.3373300000000006E-2</v>
      </c>
      <c r="AA490" s="3">
        <v>-9.1946700000000006E-2</v>
      </c>
      <c r="AB490" s="3">
        <v>-8.9825000000000002E-2</v>
      </c>
      <c r="AC490" s="3">
        <v>-8.7033700000000006E-2</v>
      </c>
      <c r="AD490" s="3">
        <v>-8.3614499999999994E-2</v>
      </c>
      <c r="AE490" s="3">
        <v>-7.9614199999999996E-2</v>
      </c>
      <c r="AF490" s="3">
        <v>-7.5079300000000002E-2</v>
      </c>
      <c r="AG490" s="3">
        <v>-7.00567E-2</v>
      </c>
      <c r="AH490" s="3">
        <v>-6.4592999999999998E-2</v>
      </c>
      <c r="AI490" s="3">
        <v>-5.8734799999999997E-2</v>
      </c>
      <c r="AJ490" s="3">
        <v>-5.2528900000000003E-2</v>
      </c>
      <c r="AK490" s="3">
        <v>-4.6021899999999998E-2</v>
      </c>
      <c r="AL490" s="3">
        <v>-3.9260499999999997E-2</v>
      </c>
      <c r="AM490" s="3">
        <v>-3.2291399999999998E-2</v>
      </c>
      <c r="AN490" s="3">
        <v>-2.5161300000000001E-2</v>
      </c>
      <c r="AO490" s="3">
        <v>-1.7911400000000001E-2</v>
      </c>
      <c r="AP490" s="3">
        <v>-1.05589E-2</v>
      </c>
      <c r="AQ490" s="3">
        <v>-3.1143999999999998E-3</v>
      </c>
      <c r="AR490" s="3">
        <v>4.4117999999999996E-3</v>
      </c>
      <c r="AS490" s="3">
        <v>1.2009000000000001E-2</v>
      </c>
      <c r="AT490" s="3">
        <v>1.9666800000000002E-2</v>
      </c>
      <c r="AU490" s="3">
        <v>2.7374599999999999E-2</v>
      </c>
      <c r="AV490" s="3">
        <v>3.5121800000000002E-2</v>
      </c>
      <c r="AW490" s="3">
        <v>4.2898100000000002E-2</v>
      </c>
      <c r="AX490" s="3">
        <v>5.0692800000000003E-2</v>
      </c>
      <c r="AY490" s="3">
        <v>5.8495400000000003E-2</v>
      </c>
      <c r="AZ490" s="3">
        <v>6.6295400000000004E-2</v>
      </c>
      <c r="BA490" s="3">
        <v>7.4083599999999999E-2</v>
      </c>
      <c r="BB490" s="3">
        <v>8.1857200000000005E-2</v>
      </c>
      <c r="BC490" s="3">
        <v>8.9614700000000005E-2</v>
      </c>
      <c r="BD490" s="3">
        <v>9.7354899999999994E-2</v>
      </c>
      <c r="BE490" s="3">
        <v>0.1050765</v>
      </c>
      <c r="BF490" s="3">
        <v>0.1127782</v>
      </c>
      <c r="BG490" s="3">
        <v>0.1204587</v>
      </c>
      <c r="BH490" s="3">
        <v>0.1281166</v>
      </c>
      <c r="BI490" s="3">
        <v>0.1357508</v>
      </c>
      <c r="BJ490" s="3">
        <v>0.14335980000000001</v>
      </c>
      <c r="BK490" s="3">
        <v>0.1509424</v>
      </c>
      <c r="BL490" s="3">
        <v>0.15849730000000001</v>
      </c>
      <c r="BM490" s="3" t="e">
        <v>#N/A</v>
      </c>
      <c r="BN490" s="3" t="e">
        <v>#N/A</v>
      </c>
    </row>
    <row r="491" spans="1:66" x14ac:dyDescent="0.35">
      <c r="A491" s="5">
        <f t="shared" si="7"/>
        <v>44141</v>
      </c>
      <c r="B491" t="s">
        <v>568</v>
      </c>
      <c r="C491" s="2">
        <v>0.1</v>
      </c>
      <c r="D491" s="2">
        <v>5.3400000000000003E-2</v>
      </c>
      <c r="E491" s="3">
        <v>5.2682399999999997E-2</v>
      </c>
      <c r="F491" s="3">
        <v>4.3073E-2</v>
      </c>
      <c r="G491" s="3">
        <v>3.0476199999999998E-2</v>
      </c>
      <c r="H491" s="3">
        <v>1.63442E-2</v>
      </c>
      <c r="I491" s="3">
        <v>2.2821E-3</v>
      </c>
      <c r="J491" s="3">
        <v>-1.10814E-2</v>
      </c>
      <c r="K491" s="3">
        <v>-2.3302900000000001E-2</v>
      </c>
      <c r="L491" s="3">
        <v>-3.41213E-2</v>
      </c>
      <c r="M491" s="3">
        <v>-4.3584199999999997E-2</v>
      </c>
      <c r="N491" s="3">
        <v>-5.1735999999999997E-2</v>
      </c>
      <c r="O491" s="3">
        <v>-5.8661600000000001E-2</v>
      </c>
      <c r="P491" s="3">
        <v>-6.4516500000000004E-2</v>
      </c>
      <c r="Q491" s="3">
        <v>-6.9540000000000005E-2</v>
      </c>
      <c r="R491" s="3">
        <v>-7.3789999999999994E-2</v>
      </c>
      <c r="S491" s="3">
        <v>-7.7260700000000002E-2</v>
      </c>
      <c r="T491" s="3">
        <v>-7.9946000000000003E-2</v>
      </c>
      <c r="U491" s="3">
        <v>-8.1840099999999999E-2</v>
      </c>
      <c r="V491" s="3">
        <v>-8.2937200000000003E-2</v>
      </c>
      <c r="W491" s="3">
        <v>-8.3239300000000002E-2</v>
      </c>
      <c r="X491" s="3">
        <v>-8.2776100000000005E-2</v>
      </c>
      <c r="Y491" s="3">
        <v>-8.1583500000000003E-2</v>
      </c>
      <c r="Z491" s="3">
        <v>-7.9697000000000004E-2</v>
      </c>
      <c r="AA491" s="3">
        <v>-7.7152499999999999E-2</v>
      </c>
      <c r="AB491" s="3">
        <v>-7.3985700000000001E-2</v>
      </c>
      <c r="AC491" s="3">
        <v>-7.0232500000000003E-2</v>
      </c>
      <c r="AD491" s="3">
        <v>-6.5930600000000006E-2</v>
      </c>
      <c r="AE491" s="3">
        <v>-6.1117999999999999E-2</v>
      </c>
      <c r="AF491" s="3">
        <v>-5.5832600000000003E-2</v>
      </c>
      <c r="AG491" s="3">
        <v>-5.0112299999999999E-2</v>
      </c>
      <c r="AH491" s="3">
        <v>-4.3995199999999998E-2</v>
      </c>
      <c r="AI491" s="3">
        <v>-3.7519200000000003E-2</v>
      </c>
      <c r="AJ491" s="3">
        <v>-3.0722300000000001E-2</v>
      </c>
      <c r="AK491" s="3">
        <v>-2.3642400000000001E-2</v>
      </c>
      <c r="AL491" s="3">
        <v>-1.6317499999999999E-2</v>
      </c>
      <c r="AM491" s="3">
        <v>-8.7857000000000005E-3</v>
      </c>
      <c r="AN491" s="3">
        <v>-1.0847000000000001E-3</v>
      </c>
      <c r="AO491" s="3">
        <v>6.7518999999999999E-3</v>
      </c>
      <c r="AP491" s="3">
        <v>1.47098E-2</v>
      </c>
      <c r="AQ491" s="3">
        <v>2.2778900000000001E-2</v>
      </c>
      <c r="AR491" s="3">
        <v>3.0949399999999998E-2</v>
      </c>
      <c r="AS491" s="3">
        <v>3.92114E-2</v>
      </c>
      <c r="AT491" s="3">
        <v>4.7554899999999997E-2</v>
      </c>
      <c r="AU491" s="3">
        <v>5.5970100000000002E-2</v>
      </c>
      <c r="AV491" s="3">
        <v>6.4447099999999993E-2</v>
      </c>
      <c r="AW491" s="3">
        <v>7.2975899999999996E-2</v>
      </c>
      <c r="AX491" s="3">
        <v>8.15467E-2</v>
      </c>
      <c r="AY491" s="3">
        <v>9.0149499999999994E-2</v>
      </c>
      <c r="AZ491" s="3">
        <v>9.8774500000000001E-2</v>
      </c>
      <c r="BA491" s="3">
        <v>0.10741249999999999</v>
      </c>
      <c r="BB491" s="3">
        <v>0.1160578</v>
      </c>
      <c r="BC491" s="3">
        <v>0.12470539999999999</v>
      </c>
      <c r="BD491" s="3">
        <v>0.13335069999999999</v>
      </c>
      <c r="BE491" s="3">
        <v>0.14198859999999999</v>
      </c>
      <c r="BF491" s="3">
        <v>0.15061450000000001</v>
      </c>
      <c r="BG491" s="3">
        <v>0.15922339999999999</v>
      </c>
      <c r="BH491" s="3">
        <v>0.1678106</v>
      </c>
      <c r="BI491" s="3">
        <v>0.17637120000000001</v>
      </c>
      <c r="BJ491" s="3">
        <v>0.18490029999999999</v>
      </c>
      <c r="BK491" s="3">
        <v>0.19339310000000001</v>
      </c>
      <c r="BL491" s="3">
        <v>0.20184479999999999</v>
      </c>
      <c r="BM491" s="3" t="e">
        <v>#N/A</v>
      </c>
      <c r="BN491" s="3" t="e">
        <v>#N/A</v>
      </c>
    </row>
    <row r="492" spans="1:66" x14ac:dyDescent="0.35">
      <c r="A492" s="5">
        <f t="shared" si="7"/>
        <v>44144</v>
      </c>
      <c r="B492" t="s">
        <v>569</v>
      </c>
      <c r="C492" s="2">
        <v>0.1</v>
      </c>
      <c r="D492" s="2">
        <v>5.3199999999999997E-2</v>
      </c>
      <c r="E492" s="3">
        <v>4.8300700000000002E-2</v>
      </c>
      <c r="F492" s="3">
        <v>4.7185100000000001E-2</v>
      </c>
      <c r="G492" s="3">
        <v>3.9531200000000002E-2</v>
      </c>
      <c r="H492" s="3">
        <v>2.8710599999999999E-2</v>
      </c>
      <c r="I492" s="3">
        <v>1.8178400000000001E-2</v>
      </c>
      <c r="J492" s="3">
        <v>8.6618000000000007E-3</v>
      </c>
      <c r="K492" s="3">
        <v>1.7499999999999998E-5</v>
      </c>
      <c r="L492" s="3">
        <v>-7.8025000000000004E-3</v>
      </c>
      <c r="M492" s="3">
        <v>-1.48311E-2</v>
      </c>
      <c r="N492" s="3">
        <v>-2.1063499999999999E-2</v>
      </c>
      <c r="O492" s="3">
        <v>-2.6538699999999998E-2</v>
      </c>
      <c r="P492" s="3">
        <v>-3.1340699999999999E-2</v>
      </c>
      <c r="Q492" s="3">
        <v>-3.5580500000000001E-2</v>
      </c>
      <c r="R492" s="3">
        <v>-3.92155E-2</v>
      </c>
      <c r="S492" s="3">
        <v>-4.2160099999999999E-2</v>
      </c>
      <c r="T492" s="3">
        <v>-4.4328600000000003E-2</v>
      </c>
      <c r="U492" s="3">
        <v>-4.5635200000000001E-2</v>
      </c>
      <c r="V492" s="3">
        <v>-4.5994500000000001E-2</v>
      </c>
      <c r="W492" s="3">
        <v>-4.5347600000000002E-2</v>
      </c>
      <c r="X492" s="3">
        <v>-4.3728499999999997E-2</v>
      </c>
      <c r="Y492" s="3">
        <v>-4.1191400000000003E-2</v>
      </c>
      <c r="Z492" s="3">
        <v>-3.7790299999999999E-2</v>
      </c>
      <c r="AA492" s="3">
        <v>-3.3579299999999999E-2</v>
      </c>
      <c r="AB492" s="3">
        <v>-2.8612499999999999E-2</v>
      </c>
      <c r="AC492" s="3">
        <v>-2.2943700000000001E-2</v>
      </c>
      <c r="AD492" s="3">
        <v>-1.6624799999999999E-2</v>
      </c>
      <c r="AE492" s="3">
        <v>-9.7079000000000002E-3</v>
      </c>
      <c r="AF492" s="3">
        <v>-2.2445999999999998E-3</v>
      </c>
      <c r="AG492" s="3">
        <v>5.7130999999999996E-3</v>
      </c>
      <c r="AH492" s="3">
        <v>1.41136E-2</v>
      </c>
      <c r="AI492" s="3">
        <v>2.2904899999999999E-2</v>
      </c>
      <c r="AJ492" s="3">
        <v>3.2035399999999999E-2</v>
      </c>
      <c r="AK492" s="3">
        <v>4.14531E-2</v>
      </c>
      <c r="AL492" s="3">
        <v>5.11063E-2</v>
      </c>
      <c r="AM492" s="3">
        <v>6.09431E-2</v>
      </c>
      <c r="AN492" s="3">
        <v>7.09119E-2</v>
      </c>
      <c r="AO492" s="3">
        <v>8.0967399999999995E-2</v>
      </c>
      <c r="AP492" s="3">
        <v>9.1091699999999998E-2</v>
      </c>
      <c r="AQ492" s="3">
        <v>0.10127369999999999</v>
      </c>
      <c r="AR492" s="3">
        <v>0.1115019</v>
      </c>
      <c r="AS492" s="3">
        <v>0.1217652</v>
      </c>
      <c r="AT492" s="3">
        <v>0.13205230000000001</v>
      </c>
      <c r="AU492" s="3">
        <v>0.14235200000000001</v>
      </c>
      <c r="AV492" s="3">
        <v>0.15265310000000001</v>
      </c>
      <c r="AW492" s="3">
        <v>0.16294420000000001</v>
      </c>
      <c r="AX492" s="3">
        <v>0.17321420000000001</v>
      </c>
      <c r="AY492" s="3">
        <v>0.1834518</v>
      </c>
      <c r="AZ492" s="3">
        <v>0.1936457</v>
      </c>
      <c r="BA492" s="3">
        <v>0.20378589999999999</v>
      </c>
      <c r="BB492" s="3">
        <v>0.2138688</v>
      </c>
      <c r="BC492" s="3">
        <v>0.2238926</v>
      </c>
      <c r="BD492" s="3">
        <v>0.23385590000000001</v>
      </c>
      <c r="BE492" s="3">
        <v>0.243757</v>
      </c>
      <c r="BF492" s="3">
        <v>0.2535945</v>
      </c>
      <c r="BG492" s="3">
        <v>0.26336660000000001</v>
      </c>
      <c r="BH492" s="3">
        <v>0.27307189999999998</v>
      </c>
      <c r="BI492" s="3">
        <v>0.28270879999999998</v>
      </c>
      <c r="BJ492" s="3">
        <v>0.29227570000000003</v>
      </c>
      <c r="BK492" s="3">
        <v>0.30177100000000001</v>
      </c>
      <c r="BL492" s="3">
        <v>0.3111932</v>
      </c>
      <c r="BM492" s="3" t="e">
        <v>#N/A</v>
      </c>
      <c r="BN492" s="3" t="e">
        <v>#N/A</v>
      </c>
    </row>
    <row r="493" spans="1:66" x14ac:dyDescent="0.35">
      <c r="A493" s="5">
        <f t="shared" si="7"/>
        <v>44145</v>
      </c>
      <c r="B493" t="s">
        <v>570</v>
      </c>
      <c r="C493" s="2">
        <v>0.1</v>
      </c>
      <c r="D493" s="2">
        <v>5.33E-2</v>
      </c>
      <c r="E493" s="3">
        <v>4.7866499999999999E-2</v>
      </c>
      <c r="F493" s="3">
        <v>4.7350900000000001E-2</v>
      </c>
      <c r="G493" s="3">
        <v>4.0547899999999998E-2</v>
      </c>
      <c r="H493" s="3">
        <v>3.0485399999999999E-2</v>
      </c>
      <c r="I493" s="3">
        <v>2.0420899999999999E-2</v>
      </c>
      <c r="J493" s="3">
        <v>1.14758E-2</v>
      </c>
      <c r="K493" s="3">
        <v>3.9505E-3</v>
      </c>
      <c r="L493" s="3">
        <v>-2.4074999999999999E-3</v>
      </c>
      <c r="M493" s="3">
        <v>-7.9690999999999998E-3</v>
      </c>
      <c r="N493" s="3">
        <v>-1.2990099999999999E-2</v>
      </c>
      <c r="O493" s="3">
        <v>-1.75646E-2</v>
      </c>
      <c r="P493" s="3">
        <v>-2.1689699999999999E-2</v>
      </c>
      <c r="Q493" s="3">
        <v>-2.52947E-2</v>
      </c>
      <c r="R493" s="3">
        <v>-2.8298E-2</v>
      </c>
      <c r="S493" s="3">
        <v>-3.06191E-2</v>
      </c>
      <c r="T493" s="3">
        <v>-3.2177299999999999E-2</v>
      </c>
      <c r="U493" s="3">
        <v>-3.2891999999999998E-2</v>
      </c>
      <c r="V493" s="3">
        <v>-3.2682700000000002E-2</v>
      </c>
      <c r="W493" s="3">
        <v>-3.1494899999999999E-2</v>
      </c>
      <c r="X493" s="3">
        <v>-2.9365200000000001E-2</v>
      </c>
      <c r="Y493" s="3">
        <v>-2.6349299999999999E-2</v>
      </c>
      <c r="Z493" s="3">
        <v>-2.2503200000000001E-2</v>
      </c>
      <c r="AA493" s="3">
        <v>-1.78829E-2</v>
      </c>
      <c r="AB493" s="3">
        <v>-1.2544400000000001E-2</v>
      </c>
      <c r="AC493" s="3">
        <v>-6.5424000000000003E-3</v>
      </c>
      <c r="AD493" s="3">
        <v>7.1699999999999995E-5</v>
      </c>
      <c r="AE493" s="3">
        <v>7.2480000000000001E-3</v>
      </c>
      <c r="AF493" s="3">
        <v>1.49363E-2</v>
      </c>
      <c r="AG493" s="3">
        <v>2.30864E-2</v>
      </c>
      <c r="AH493" s="3">
        <v>3.1648299999999997E-2</v>
      </c>
      <c r="AI493" s="3">
        <v>4.0571799999999998E-2</v>
      </c>
      <c r="AJ493" s="3">
        <v>4.9806700000000002E-2</v>
      </c>
      <c r="AK493" s="3">
        <v>5.9303099999999997E-2</v>
      </c>
      <c r="AL493" s="3">
        <v>6.9010600000000005E-2</v>
      </c>
      <c r="AM493" s="3">
        <v>7.8879199999999997E-2</v>
      </c>
      <c r="AN493" s="3">
        <v>8.8858800000000002E-2</v>
      </c>
      <c r="AO493" s="3">
        <v>9.8905800000000002E-2</v>
      </c>
      <c r="AP493" s="3">
        <v>0.1090024</v>
      </c>
      <c r="AQ493" s="3">
        <v>0.1191376</v>
      </c>
      <c r="AR493" s="3">
        <v>0.1293001</v>
      </c>
      <c r="AS493" s="3">
        <v>0.13947879999999999</v>
      </c>
      <c r="AT493" s="3">
        <v>0.1496625</v>
      </c>
      <c r="AU493" s="3">
        <v>0.15984010000000001</v>
      </c>
      <c r="AV493" s="3">
        <v>0.1700005</v>
      </c>
      <c r="AW493" s="3">
        <v>0.1801323</v>
      </c>
      <c r="AX493" s="3">
        <v>0.19022459999999999</v>
      </c>
      <c r="AY493" s="3">
        <v>0.2002661</v>
      </c>
      <c r="AZ493" s="3">
        <v>0.2102456</v>
      </c>
      <c r="BA493" s="3">
        <v>0.2201535</v>
      </c>
      <c r="BB493" s="3">
        <v>0.22998740000000001</v>
      </c>
      <c r="BC493" s="3">
        <v>0.23974690000000001</v>
      </c>
      <c r="BD493" s="3">
        <v>0.24943180000000001</v>
      </c>
      <c r="BE493" s="3">
        <v>0.25904189999999999</v>
      </c>
      <c r="BF493" s="3">
        <v>0.2685768</v>
      </c>
      <c r="BG493" s="3">
        <v>0.27803640000000002</v>
      </c>
      <c r="BH493" s="3">
        <v>0.28742030000000002</v>
      </c>
      <c r="BI493" s="3">
        <v>0.2967284</v>
      </c>
      <c r="BJ493" s="3">
        <v>0.30596030000000002</v>
      </c>
      <c r="BK493" s="3">
        <v>0.3151158</v>
      </c>
      <c r="BL493" s="3">
        <v>0.3241946</v>
      </c>
      <c r="BM493" s="3" t="e">
        <v>#N/A</v>
      </c>
      <c r="BN493" s="3" t="e">
        <v>#N/A</v>
      </c>
    </row>
    <row r="494" spans="1:66" x14ac:dyDescent="0.35">
      <c r="A494" s="5">
        <f t="shared" si="7"/>
        <v>44146</v>
      </c>
      <c r="B494" t="s">
        <v>571</v>
      </c>
      <c r="C494" s="2">
        <v>0.1</v>
      </c>
      <c r="D494" s="2">
        <v>5.3499999999999999E-2</v>
      </c>
      <c r="E494" s="3">
        <v>4.8273299999999998E-2</v>
      </c>
      <c r="F494" s="3">
        <v>4.8228500000000001E-2</v>
      </c>
      <c r="G494" s="3">
        <v>4.2874099999999998E-2</v>
      </c>
      <c r="H494" s="3">
        <v>3.4870999999999999E-2</v>
      </c>
      <c r="I494" s="3">
        <v>2.6314799999999999E-2</v>
      </c>
      <c r="J494" s="3">
        <v>1.8048100000000001E-2</v>
      </c>
      <c r="K494" s="3">
        <v>1.04858E-2</v>
      </c>
      <c r="L494" s="3">
        <v>3.8208999999999999E-3</v>
      </c>
      <c r="M494" s="3">
        <v>-1.9691999999999999E-3</v>
      </c>
      <c r="N494" s="3">
        <v>-6.9810999999999996E-3</v>
      </c>
      <c r="O494" s="3">
        <v>-1.1325200000000001E-2</v>
      </c>
      <c r="P494" s="3">
        <v>-1.50711E-2</v>
      </c>
      <c r="Q494" s="3">
        <v>-1.8312200000000001E-2</v>
      </c>
      <c r="R494" s="3">
        <v>-2.0997600000000002E-2</v>
      </c>
      <c r="S494" s="3">
        <v>-2.3035300000000002E-2</v>
      </c>
      <c r="T494" s="3">
        <v>-2.4333199999999999E-2</v>
      </c>
      <c r="U494" s="3">
        <v>-2.4799100000000001E-2</v>
      </c>
      <c r="V494" s="3">
        <v>-2.43412E-2</v>
      </c>
      <c r="W494" s="3">
        <v>-2.2897600000000001E-2</v>
      </c>
      <c r="X494" s="3">
        <v>-2.0512200000000001E-2</v>
      </c>
      <c r="Y494" s="3">
        <v>-1.7251099999999998E-2</v>
      </c>
      <c r="Z494" s="3">
        <v>-1.31807E-2</v>
      </c>
      <c r="AA494" s="3">
        <v>-8.3671000000000006E-3</v>
      </c>
      <c r="AB494" s="3">
        <v>-2.8768000000000001E-3</v>
      </c>
      <c r="AC494" s="3">
        <v>3.2274000000000001E-3</v>
      </c>
      <c r="AD494" s="3">
        <v>9.8965000000000008E-3</v>
      </c>
      <c r="AE494" s="3">
        <v>1.7084800000000001E-2</v>
      </c>
      <c r="AF494" s="3">
        <v>2.4746600000000001E-2</v>
      </c>
      <c r="AG494" s="3">
        <v>3.2836200000000003E-2</v>
      </c>
      <c r="AH494" s="3">
        <v>4.13081E-2</v>
      </c>
      <c r="AI494" s="3">
        <v>5.0116399999999998E-2</v>
      </c>
      <c r="AJ494" s="3">
        <v>5.92156E-2</v>
      </c>
      <c r="AK494" s="3">
        <v>6.8559999999999996E-2</v>
      </c>
      <c r="AL494" s="3">
        <v>7.8104000000000007E-2</v>
      </c>
      <c r="AM494" s="3">
        <v>8.7801799999999999E-2</v>
      </c>
      <c r="AN494" s="3">
        <v>9.7607899999999997E-2</v>
      </c>
      <c r="AO494" s="3">
        <v>0.1074814</v>
      </c>
      <c r="AP494" s="3">
        <v>0.11740589999999999</v>
      </c>
      <c r="AQ494" s="3">
        <v>0.12737200000000001</v>
      </c>
      <c r="AR494" s="3">
        <v>0.13737050000000001</v>
      </c>
      <c r="AS494" s="3">
        <v>0.1473923</v>
      </c>
      <c r="AT494" s="3">
        <v>0.15742790000000001</v>
      </c>
      <c r="AU494" s="3">
        <v>0.16746820000000001</v>
      </c>
      <c r="AV494" s="3">
        <v>0.177504</v>
      </c>
      <c r="AW494" s="3">
        <v>0.187526</v>
      </c>
      <c r="AX494" s="3">
        <v>0.1975249</v>
      </c>
      <c r="AY494" s="3">
        <v>0.2074916</v>
      </c>
      <c r="AZ494" s="3">
        <v>0.21741659999999999</v>
      </c>
      <c r="BA494" s="3">
        <v>0.2272921</v>
      </c>
      <c r="BB494" s="3">
        <v>0.23711450000000001</v>
      </c>
      <c r="BC494" s="3">
        <v>0.24688209999999999</v>
      </c>
      <c r="BD494" s="3">
        <v>0.25659280000000001</v>
      </c>
      <c r="BE494" s="3">
        <v>0.2662447</v>
      </c>
      <c r="BF494" s="3">
        <v>0.27583590000000002</v>
      </c>
      <c r="BG494" s="3">
        <v>0.28536450000000002</v>
      </c>
      <c r="BH494" s="3">
        <v>0.29482849999999999</v>
      </c>
      <c r="BI494" s="3">
        <v>0.304226</v>
      </c>
      <c r="BJ494" s="3">
        <v>0.31355499999999997</v>
      </c>
      <c r="BK494" s="3">
        <v>0.32281359999999998</v>
      </c>
      <c r="BL494" s="3">
        <v>0.33199980000000001</v>
      </c>
      <c r="BM494" s="3" t="e">
        <v>#N/A</v>
      </c>
      <c r="BN494" s="3" t="e">
        <v>#N/A</v>
      </c>
    </row>
    <row r="495" spans="1:66" x14ac:dyDescent="0.35">
      <c r="A495" s="5">
        <f t="shared" si="7"/>
        <v>44147</v>
      </c>
      <c r="B495" t="s">
        <v>572</v>
      </c>
      <c r="C495" s="2">
        <v>0.1</v>
      </c>
      <c r="D495" s="2">
        <v>5.4199999999999998E-2</v>
      </c>
      <c r="E495" s="3">
        <v>4.7640500000000002E-2</v>
      </c>
      <c r="F495" s="3">
        <v>4.7207899999999997E-2</v>
      </c>
      <c r="G495" s="3">
        <v>4.0992000000000001E-2</v>
      </c>
      <c r="H495" s="3">
        <v>3.1716099999999997E-2</v>
      </c>
      <c r="I495" s="3">
        <v>2.1969200000000001E-2</v>
      </c>
      <c r="J495" s="3">
        <v>1.23094E-2</v>
      </c>
      <c r="K495" s="3">
        <v>2.9350000000000001E-3</v>
      </c>
      <c r="L495" s="3">
        <v>-5.633E-3</v>
      </c>
      <c r="M495" s="3">
        <v>-1.3133000000000001E-2</v>
      </c>
      <c r="N495" s="3">
        <v>-1.9685999999999999E-2</v>
      </c>
      <c r="O495" s="3">
        <v>-2.55103E-2</v>
      </c>
      <c r="P495" s="3">
        <v>-3.0760200000000001E-2</v>
      </c>
      <c r="Q495" s="3">
        <v>-3.5576499999999997E-2</v>
      </c>
      <c r="R495" s="3">
        <v>-3.98967E-2</v>
      </c>
      <c r="S495" s="3">
        <v>-4.3603000000000003E-2</v>
      </c>
      <c r="T495" s="3">
        <v>-4.6577899999999998E-2</v>
      </c>
      <c r="U495" s="3">
        <v>-4.8703700000000003E-2</v>
      </c>
      <c r="V495" s="3">
        <v>-4.9862900000000002E-2</v>
      </c>
      <c r="W495" s="3">
        <v>-4.99719E-2</v>
      </c>
      <c r="X495" s="3">
        <v>-4.9064900000000002E-2</v>
      </c>
      <c r="Y495" s="3">
        <v>-4.7201300000000002E-2</v>
      </c>
      <c r="Z495" s="3">
        <v>-4.4440599999999997E-2</v>
      </c>
      <c r="AA495" s="3">
        <v>-4.0842400000000001E-2</v>
      </c>
      <c r="AB495" s="3">
        <v>-3.6466100000000001E-2</v>
      </c>
      <c r="AC495" s="3">
        <v>-3.1371000000000003E-2</v>
      </c>
      <c r="AD495" s="3">
        <v>-2.56154E-2</v>
      </c>
      <c r="AE495" s="3">
        <v>-1.92576E-2</v>
      </c>
      <c r="AF495" s="3">
        <v>-1.23556E-2</v>
      </c>
      <c r="AG495" s="3">
        <v>-4.9674000000000003E-3</v>
      </c>
      <c r="AH495" s="3">
        <v>2.8487999999999999E-3</v>
      </c>
      <c r="AI495" s="3">
        <v>1.1034800000000001E-2</v>
      </c>
      <c r="AJ495" s="3">
        <v>1.95327E-2</v>
      </c>
      <c r="AK495" s="3">
        <v>2.8284400000000001E-2</v>
      </c>
      <c r="AL495" s="3">
        <v>3.7231599999999997E-2</v>
      </c>
      <c r="AM495" s="3">
        <v>4.6316400000000001E-2</v>
      </c>
      <c r="AN495" s="3">
        <v>5.5480599999999998E-2</v>
      </c>
      <c r="AO495" s="3">
        <v>6.4673900000000006E-2</v>
      </c>
      <c r="AP495" s="3">
        <v>7.3880000000000001E-2</v>
      </c>
      <c r="AQ495" s="3">
        <v>8.3091899999999996E-2</v>
      </c>
      <c r="AR495" s="3">
        <v>9.2302899999999993E-2</v>
      </c>
      <c r="AS495" s="3">
        <v>0.1015059</v>
      </c>
      <c r="AT495" s="3">
        <v>0.1106943</v>
      </c>
      <c r="AU495" s="3">
        <v>0.119861</v>
      </c>
      <c r="AV495" s="3">
        <v>0.12899920000000001</v>
      </c>
      <c r="AW495" s="3">
        <v>0.13810210000000001</v>
      </c>
      <c r="AX495" s="3">
        <v>0.1471626</v>
      </c>
      <c r="AY495" s="3">
        <v>0.15617410000000001</v>
      </c>
      <c r="AZ495" s="3">
        <v>0.16512950000000001</v>
      </c>
      <c r="BA495" s="3">
        <v>0.17402329999999999</v>
      </c>
      <c r="BB495" s="3">
        <v>0.18285489999999999</v>
      </c>
      <c r="BC495" s="3">
        <v>0.1916254</v>
      </c>
      <c r="BD495" s="3">
        <v>0.20033599999999999</v>
      </c>
      <c r="BE495" s="3">
        <v>0.2089876</v>
      </c>
      <c r="BF495" s="3">
        <v>0.2175812</v>
      </c>
      <c r="BG495" s="3">
        <v>0.22611800000000001</v>
      </c>
      <c r="BH495" s="3">
        <v>0.234599</v>
      </c>
      <c r="BI495" s="3">
        <v>0.24302509999999999</v>
      </c>
      <c r="BJ495" s="3">
        <v>0.2513976</v>
      </c>
      <c r="BK495" s="3">
        <v>0.25971729999999998</v>
      </c>
      <c r="BL495" s="3">
        <v>0.26798539999999998</v>
      </c>
      <c r="BM495" s="3" t="e">
        <v>#N/A</v>
      </c>
      <c r="BN495" s="3" t="e">
        <v>#N/A</v>
      </c>
    </row>
    <row r="496" spans="1:66" x14ac:dyDescent="0.35">
      <c r="A496" s="5">
        <f t="shared" si="7"/>
        <v>44148</v>
      </c>
      <c r="B496" t="s">
        <v>573</v>
      </c>
      <c r="C496" s="2">
        <v>0.1</v>
      </c>
      <c r="D496" s="2">
        <v>5.3600000000000002E-2</v>
      </c>
      <c r="E496" s="3">
        <v>5.2061799999999998E-2</v>
      </c>
      <c r="F496" s="3">
        <v>4.5170599999999998E-2</v>
      </c>
      <c r="G496" s="3">
        <v>3.7912300000000003E-2</v>
      </c>
      <c r="H496" s="3">
        <v>3.0127299999999999E-2</v>
      </c>
      <c r="I496" s="3">
        <v>2.1862699999999999E-2</v>
      </c>
      <c r="J496" s="3">
        <v>1.33483E-2</v>
      </c>
      <c r="K496" s="3">
        <v>5.1517999999999998E-3</v>
      </c>
      <c r="L496" s="3">
        <v>-2.2774000000000002E-3</v>
      </c>
      <c r="M496" s="3">
        <v>-8.8725000000000002E-3</v>
      </c>
      <c r="N496" s="3">
        <v>-1.47195E-2</v>
      </c>
      <c r="O496" s="3">
        <v>-1.9928600000000001E-2</v>
      </c>
      <c r="P496" s="3">
        <v>-2.4549499999999998E-2</v>
      </c>
      <c r="Q496" s="3">
        <v>-2.8495800000000002E-2</v>
      </c>
      <c r="R496" s="3">
        <v>-3.1726400000000002E-2</v>
      </c>
      <c r="S496" s="3">
        <v>-3.4224699999999997E-2</v>
      </c>
      <c r="T496" s="3">
        <v>-3.5974100000000002E-2</v>
      </c>
      <c r="U496" s="3">
        <v>-3.6957900000000002E-2</v>
      </c>
      <c r="V496" s="3">
        <v>-3.7159600000000001E-2</v>
      </c>
      <c r="W496" s="3">
        <v>-3.6574500000000003E-2</v>
      </c>
      <c r="X496" s="3">
        <v>-3.5238899999999997E-2</v>
      </c>
      <c r="Y496" s="3">
        <v>-3.3197999999999998E-2</v>
      </c>
      <c r="Z496" s="3">
        <v>-3.0497199999999999E-2</v>
      </c>
      <c r="AA496" s="3">
        <v>-2.7181500000000001E-2</v>
      </c>
      <c r="AB496" s="3">
        <v>-2.3296299999999999E-2</v>
      </c>
      <c r="AC496" s="3">
        <v>-1.8885200000000001E-2</v>
      </c>
      <c r="AD496" s="3">
        <v>-1.39846E-2</v>
      </c>
      <c r="AE496" s="3">
        <v>-8.6289000000000001E-3</v>
      </c>
      <c r="AF496" s="3">
        <v>-2.8525E-3</v>
      </c>
      <c r="AG496" s="3">
        <v>3.3100999999999998E-3</v>
      </c>
      <c r="AH496" s="3">
        <v>9.8244999999999999E-3</v>
      </c>
      <c r="AI496" s="3">
        <v>1.6656299999999999E-2</v>
      </c>
      <c r="AJ496" s="3">
        <v>2.3771E-2</v>
      </c>
      <c r="AK496" s="3">
        <v>3.1134200000000001E-2</v>
      </c>
      <c r="AL496" s="3">
        <v>3.8711500000000003E-2</v>
      </c>
      <c r="AM496" s="3">
        <v>4.64684E-2</v>
      </c>
      <c r="AN496" s="3">
        <v>5.4370599999999998E-2</v>
      </c>
      <c r="AO496" s="3">
        <v>6.23873E-2</v>
      </c>
      <c r="AP496" s="3">
        <v>7.0503499999999997E-2</v>
      </c>
      <c r="AQ496" s="3">
        <v>7.87075E-2</v>
      </c>
      <c r="AR496" s="3">
        <v>8.6987999999999996E-2</v>
      </c>
      <c r="AS496" s="3">
        <v>9.5333500000000002E-2</v>
      </c>
      <c r="AT496" s="3">
        <v>0.10373259999999999</v>
      </c>
      <c r="AU496" s="3">
        <v>0.11217390000000001</v>
      </c>
      <c r="AV496" s="3">
        <v>0.1206459</v>
      </c>
      <c r="AW496" s="3">
        <v>0.12913720000000001</v>
      </c>
      <c r="AX496" s="3">
        <v>0.13763629999999999</v>
      </c>
      <c r="AY496" s="3">
        <v>0.14613180000000001</v>
      </c>
      <c r="AZ496" s="3">
        <v>0.15461230000000001</v>
      </c>
      <c r="BA496" s="3">
        <v>0.16306789999999999</v>
      </c>
      <c r="BB496" s="3">
        <v>0.17149590000000001</v>
      </c>
      <c r="BC496" s="3">
        <v>0.17989550000000001</v>
      </c>
      <c r="BD496" s="3">
        <v>0.18826570000000001</v>
      </c>
      <c r="BE496" s="3">
        <v>0.1966059</v>
      </c>
      <c r="BF496" s="3">
        <v>0.20491519999999999</v>
      </c>
      <c r="BG496" s="3">
        <v>0.21319279999999999</v>
      </c>
      <c r="BH496" s="3">
        <v>0.22143789999999999</v>
      </c>
      <c r="BI496" s="3">
        <v>0.22964960000000001</v>
      </c>
      <c r="BJ496" s="3">
        <v>0.23782719999999999</v>
      </c>
      <c r="BK496" s="3">
        <v>0.24596979999999999</v>
      </c>
      <c r="BL496" s="3">
        <v>0.25407669999999999</v>
      </c>
      <c r="BM496" s="3" t="e">
        <v>#N/A</v>
      </c>
      <c r="BN496" s="3" t="e">
        <v>#N/A</v>
      </c>
    </row>
    <row r="497" spans="1:66" x14ac:dyDescent="0.35">
      <c r="A497" s="5">
        <f t="shared" si="7"/>
        <v>44151</v>
      </c>
      <c r="B497" t="s">
        <v>574</v>
      </c>
      <c r="C497" s="2">
        <v>0.1</v>
      </c>
      <c r="D497" s="2">
        <v>5.3900000000000003E-2</v>
      </c>
      <c r="E497" s="3">
        <v>4.7068600000000002E-2</v>
      </c>
      <c r="F497" s="3">
        <v>4.86288E-2</v>
      </c>
      <c r="G497" s="3">
        <v>4.4645700000000003E-2</v>
      </c>
      <c r="H497" s="3">
        <v>3.5453699999999998E-2</v>
      </c>
      <c r="I497" s="3">
        <v>2.4048799999999999E-2</v>
      </c>
      <c r="J497" s="3">
        <v>1.28913E-2</v>
      </c>
      <c r="K497" s="3">
        <v>3.0079999999999998E-3</v>
      </c>
      <c r="L497" s="3">
        <v>-5.2820999999999996E-3</v>
      </c>
      <c r="M497" s="3">
        <v>-1.21989E-2</v>
      </c>
      <c r="N497" s="3">
        <v>-1.80477E-2</v>
      </c>
      <c r="O497" s="3">
        <v>-2.3150400000000002E-2</v>
      </c>
      <c r="P497" s="3">
        <v>-2.7700099999999998E-2</v>
      </c>
      <c r="Q497" s="3">
        <v>-3.1657499999999998E-2</v>
      </c>
      <c r="R497" s="3">
        <v>-3.4960900000000003E-2</v>
      </c>
      <c r="S497" s="3">
        <v>-3.7559000000000002E-2</v>
      </c>
      <c r="T497" s="3">
        <v>-3.9400400000000002E-2</v>
      </c>
      <c r="U497" s="3">
        <v>-4.0433799999999999E-2</v>
      </c>
      <c r="V497" s="3">
        <v>-4.0607799999999999E-2</v>
      </c>
      <c r="W497" s="3">
        <v>-3.98914E-2</v>
      </c>
      <c r="X497" s="3">
        <v>-3.8323200000000002E-2</v>
      </c>
      <c r="Y497" s="3">
        <v>-3.5957000000000003E-2</v>
      </c>
      <c r="Z497" s="3">
        <v>-3.2846300000000002E-2</v>
      </c>
      <c r="AA497" s="3">
        <v>-2.9045100000000001E-2</v>
      </c>
      <c r="AB497" s="3">
        <v>-2.4606900000000001E-2</v>
      </c>
      <c r="AC497" s="3">
        <v>-1.9583799999999998E-2</v>
      </c>
      <c r="AD497" s="3">
        <v>-1.4021199999999999E-2</v>
      </c>
      <c r="AE497" s="3">
        <v>-7.9626000000000002E-3</v>
      </c>
      <c r="AF497" s="3">
        <v>-1.4515999999999999E-3</v>
      </c>
      <c r="AG497" s="3">
        <v>5.4681E-3</v>
      </c>
      <c r="AH497" s="3">
        <v>1.2752899999999999E-2</v>
      </c>
      <c r="AI497" s="3">
        <v>2.03593E-2</v>
      </c>
      <c r="AJ497" s="3">
        <v>2.8243500000000001E-2</v>
      </c>
      <c r="AK497" s="3">
        <v>3.6361999999999998E-2</v>
      </c>
      <c r="AL497" s="3">
        <v>4.4671200000000001E-2</v>
      </c>
      <c r="AM497" s="3">
        <v>5.3127399999999998E-2</v>
      </c>
      <c r="AN497" s="3">
        <v>6.1687100000000002E-2</v>
      </c>
      <c r="AO497" s="3">
        <v>7.03125E-2</v>
      </c>
      <c r="AP497" s="3">
        <v>7.8989699999999996E-2</v>
      </c>
      <c r="AQ497" s="3">
        <v>8.7710499999999997E-2</v>
      </c>
      <c r="AR497" s="3">
        <v>9.6466999999999997E-2</v>
      </c>
      <c r="AS497" s="3">
        <v>0.105251</v>
      </c>
      <c r="AT497" s="3">
        <v>0.1140545</v>
      </c>
      <c r="AU497" s="3">
        <v>0.1228694</v>
      </c>
      <c r="AV497" s="3">
        <v>0.13168769999999999</v>
      </c>
      <c r="AW497" s="3">
        <v>0.1405013</v>
      </c>
      <c r="AX497" s="3">
        <v>0.14930209999999999</v>
      </c>
      <c r="AY497" s="3">
        <v>0.1580821</v>
      </c>
      <c r="AZ497" s="3">
        <v>0.16683319999999999</v>
      </c>
      <c r="BA497" s="3">
        <v>0.17554829999999999</v>
      </c>
      <c r="BB497" s="3">
        <v>0.18422559999999999</v>
      </c>
      <c r="BC497" s="3">
        <v>0.19286490000000001</v>
      </c>
      <c r="BD497" s="3">
        <v>0.20146629999999999</v>
      </c>
      <c r="BE497" s="3">
        <v>0.21002950000000001</v>
      </c>
      <c r="BF497" s="3">
        <v>0.21855459999999999</v>
      </c>
      <c r="BG497" s="3">
        <v>0.2270414</v>
      </c>
      <c r="BH497" s="3">
        <v>0.2354898</v>
      </c>
      <c r="BI497" s="3">
        <v>0.2438998</v>
      </c>
      <c r="BJ497" s="3">
        <v>0.25227129999999998</v>
      </c>
      <c r="BK497" s="3">
        <v>0.26060410000000001</v>
      </c>
      <c r="BL497" s="3">
        <v>0.26889829999999998</v>
      </c>
      <c r="BM497" s="3" t="e">
        <v>#N/A</v>
      </c>
      <c r="BN497" s="3" t="e">
        <v>#N/A</v>
      </c>
    </row>
    <row r="498" spans="1:66" x14ac:dyDescent="0.35">
      <c r="A498" s="5">
        <f t="shared" si="7"/>
        <v>44152</v>
      </c>
      <c r="B498" t="s">
        <v>575</v>
      </c>
      <c r="C498" s="2">
        <v>0.1</v>
      </c>
      <c r="D498" s="2">
        <v>5.33E-2</v>
      </c>
      <c r="E498" s="3">
        <v>4.77145E-2</v>
      </c>
      <c r="F498" s="3">
        <v>4.8859E-2</v>
      </c>
      <c r="G498" s="3">
        <v>4.3512099999999998E-2</v>
      </c>
      <c r="H498" s="3">
        <v>3.2489999999999998E-2</v>
      </c>
      <c r="I498" s="3">
        <v>1.98085E-2</v>
      </c>
      <c r="J498" s="3">
        <v>8.2733000000000008E-3</v>
      </c>
      <c r="K498" s="3">
        <v>-1.0613E-3</v>
      </c>
      <c r="L498" s="3">
        <v>-8.3499999999999998E-3</v>
      </c>
      <c r="M498" s="3">
        <v>-1.4257300000000001E-2</v>
      </c>
      <c r="N498" s="3">
        <v>-1.9309400000000001E-2</v>
      </c>
      <c r="O498" s="3">
        <v>-2.40165E-2</v>
      </c>
      <c r="P498" s="3">
        <v>-2.8638199999999999E-2</v>
      </c>
      <c r="Q498" s="3">
        <v>-3.2998699999999999E-2</v>
      </c>
      <c r="R498" s="3">
        <v>-3.6946800000000002E-2</v>
      </c>
      <c r="S498" s="3">
        <v>-4.0365100000000001E-2</v>
      </c>
      <c r="T498" s="3">
        <v>-4.3136399999999998E-2</v>
      </c>
      <c r="U498" s="3">
        <v>-4.5143299999999997E-2</v>
      </c>
      <c r="V498" s="3">
        <v>-4.6268499999999997E-2</v>
      </c>
      <c r="W498" s="3">
        <v>-4.64298E-2</v>
      </c>
      <c r="X498" s="3">
        <v>-4.5665499999999998E-2</v>
      </c>
      <c r="Y498" s="3">
        <v>-4.40399E-2</v>
      </c>
      <c r="Z498" s="3">
        <v>-4.1617599999999998E-2</v>
      </c>
      <c r="AA498" s="3">
        <v>-3.8462799999999998E-2</v>
      </c>
      <c r="AB498" s="3">
        <v>-3.46401E-2</v>
      </c>
      <c r="AC498" s="3">
        <v>-3.0210600000000001E-2</v>
      </c>
      <c r="AD498" s="3">
        <v>-2.5222999999999999E-2</v>
      </c>
      <c r="AE498" s="3">
        <v>-1.9722900000000002E-2</v>
      </c>
      <c r="AF498" s="3">
        <v>-1.37555E-2</v>
      </c>
      <c r="AG498" s="3">
        <v>-7.3664999999999998E-3</v>
      </c>
      <c r="AH498" s="3">
        <v>-6.0139999999999998E-4</v>
      </c>
      <c r="AI498" s="3">
        <v>6.4944E-3</v>
      </c>
      <c r="AJ498" s="3">
        <v>1.3875500000000001E-2</v>
      </c>
      <c r="AK498" s="3">
        <v>2.1496299999999999E-2</v>
      </c>
      <c r="AL498" s="3">
        <v>2.9311299999999998E-2</v>
      </c>
      <c r="AM498" s="3">
        <v>3.7275000000000003E-2</v>
      </c>
      <c r="AN498" s="3">
        <v>4.5342100000000003E-2</v>
      </c>
      <c r="AO498" s="3">
        <v>5.3473300000000001E-2</v>
      </c>
      <c r="AP498" s="3">
        <v>6.1655500000000002E-2</v>
      </c>
      <c r="AQ498" s="3">
        <v>6.9881499999999999E-2</v>
      </c>
      <c r="AR498" s="3">
        <v>7.8144699999999997E-2</v>
      </c>
      <c r="AS498" s="3">
        <v>8.6437899999999998E-2</v>
      </c>
      <c r="AT498" s="3">
        <v>9.47543E-2</v>
      </c>
      <c r="AU498" s="3">
        <v>0.103087</v>
      </c>
      <c r="AV498" s="3">
        <v>0.1114291</v>
      </c>
      <c r="AW498" s="3">
        <v>0.11977359999999999</v>
      </c>
      <c r="AX498" s="3">
        <v>0.12811359999999999</v>
      </c>
      <c r="AY498" s="3">
        <v>0.13644220000000001</v>
      </c>
      <c r="AZ498" s="3">
        <v>0.14475260000000001</v>
      </c>
      <c r="BA498" s="3">
        <v>0.15303849999999999</v>
      </c>
      <c r="BB498" s="3">
        <v>0.16129840000000001</v>
      </c>
      <c r="BC498" s="3">
        <v>0.16953180000000001</v>
      </c>
      <c r="BD498" s="3">
        <v>0.17773839999999999</v>
      </c>
      <c r="BE498" s="3">
        <v>0.18591759999999999</v>
      </c>
      <c r="BF498" s="3">
        <v>0.1940692</v>
      </c>
      <c r="BG498" s="3">
        <v>0.2021927</v>
      </c>
      <c r="BH498" s="3">
        <v>0.21028769999999999</v>
      </c>
      <c r="BI498" s="3">
        <v>0.21835379999999999</v>
      </c>
      <c r="BJ498" s="3">
        <v>0.2263906</v>
      </c>
      <c r="BK498" s="3">
        <v>0.23439760000000001</v>
      </c>
      <c r="BL498" s="3">
        <v>0.2423746</v>
      </c>
      <c r="BM498" s="3" t="e">
        <v>#N/A</v>
      </c>
      <c r="BN498" s="3" t="e">
        <v>#N/A</v>
      </c>
    </row>
    <row r="499" spans="1:66" x14ac:dyDescent="0.35">
      <c r="A499" s="5">
        <f t="shared" si="7"/>
        <v>44153</v>
      </c>
      <c r="B499" t="s">
        <v>576</v>
      </c>
      <c r="C499" s="2">
        <v>0.1</v>
      </c>
      <c r="D499" s="2">
        <v>5.3800000000000001E-2</v>
      </c>
      <c r="E499" s="3">
        <v>4.7295900000000002E-2</v>
      </c>
      <c r="F499" s="3">
        <v>4.8528599999999998E-2</v>
      </c>
      <c r="G499" s="3">
        <v>4.46497E-2</v>
      </c>
      <c r="H499" s="3">
        <v>3.6832700000000003E-2</v>
      </c>
      <c r="I499" s="3">
        <v>2.8274400000000002E-2</v>
      </c>
      <c r="J499" s="3">
        <v>2.0830999999999999E-2</v>
      </c>
      <c r="K499" s="3">
        <v>1.43564E-2</v>
      </c>
      <c r="L499" s="3">
        <v>8.1747999999999994E-3</v>
      </c>
      <c r="M499" s="3">
        <v>2.1538999999999998E-3</v>
      </c>
      <c r="N499" s="3">
        <v>-4.0331999999999998E-3</v>
      </c>
      <c r="O499" s="3">
        <v>-1.1042700000000001E-2</v>
      </c>
      <c r="P499" s="3">
        <v>-1.88317E-2</v>
      </c>
      <c r="Q499" s="3">
        <v>-2.5952599999999999E-2</v>
      </c>
      <c r="R499" s="3">
        <v>-3.1978600000000003E-2</v>
      </c>
      <c r="S499" s="3">
        <v>-3.68355E-2</v>
      </c>
      <c r="T499" s="3">
        <v>-4.0449400000000003E-2</v>
      </c>
      <c r="U499" s="3">
        <v>-4.2745900000000003E-2</v>
      </c>
      <c r="V499" s="3">
        <v>-4.3651200000000001E-2</v>
      </c>
      <c r="W499" s="3">
        <v>-4.3136500000000001E-2</v>
      </c>
      <c r="X499" s="3">
        <v>-4.1330699999999998E-2</v>
      </c>
      <c r="Y499" s="3">
        <v>-3.8396399999999997E-2</v>
      </c>
      <c r="Z499" s="3">
        <v>-3.4496199999999998E-2</v>
      </c>
      <c r="AA499" s="3">
        <v>-2.9792599999999999E-2</v>
      </c>
      <c r="AB499" s="3">
        <v>-2.4448500000000001E-2</v>
      </c>
      <c r="AC499" s="3">
        <v>-1.8605500000000001E-2</v>
      </c>
      <c r="AD499" s="3">
        <v>-1.2322100000000001E-2</v>
      </c>
      <c r="AE499" s="3">
        <v>-5.6360000000000004E-3</v>
      </c>
      <c r="AF499" s="3">
        <v>1.4151999999999999E-3</v>
      </c>
      <c r="AG499" s="3">
        <v>8.7937999999999992E-3</v>
      </c>
      <c r="AH499" s="3">
        <v>1.64622E-2</v>
      </c>
      <c r="AI499" s="3">
        <v>2.43827E-2</v>
      </c>
      <c r="AJ499" s="3">
        <v>3.2517799999999999E-2</v>
      </c>
      <c r="AK499" s="3">
        <v>4.0829600000000001E-2</v>
      </c>
      <c r="AL499" s="3">
        <v>4.9280699999999997E-2</v>
      </c>
      <c r="AM499" s="3">
        <v>5.7833299999999997E-2</v>
      </c>
      <c r="AN499" s="3">
        <v>6.64497E-2</v>
      </c>
      <c r="AO499" s="3">
        <v>7.5096999999999997E-2</v>
      </c>
      <c r="AP499" s="3">
        <v>8.3763799999999999E-2</v>
      </c>
      <c r="AQ499" s="3">
        <v>9.2445700000000006E-2</v>
      </c>
      <c r="AR499" s="3">
        <v>0.1011382</v>
      </c>
      <c r="AS499" s="3">
        <v>0.1098369</v>
      </c>
      <c r="AT499" s="3">
        <v>0.11853710000000001</v>
      </c>
      <c r="AU499" s="3">
        <v>0.1272346</v>
      </c>
      <c r="AV499" s="3">
        <v>0.13592460000000001</v>
      </c>
      <c r="AW499" s="3">
        <v>0.14460290000000001</v>
      </c>
      <c r="AX499" s="3">
        <v>0.15326490000000001</v>
      </c>
      <c r="AY499" s="3">
        <v>0.16190599999999999</v>
      </c>
      <c r="AZ499" s="3">
        <v>0.1705219</v>
      </c>
      <c r="BA499" s="3">
        <v>0.17910870000000001</v>
      </c>
      <c r="BB499" s="3">
        <v>0.18766540000000001</v>
      </c>
      <c r="BC499" s="3">
        <v>0.1961917</v>
      </c>
      <c r="BD499" s="3">
        <v>0.20468749999999999</v>
      </c>
      <c r="BE499" s="3">
        <v>0.2131526</v>
      </c>
      <c r="BF499" s="3">
        <v>0.2215868</v>
      </c>
      <c r="BG499" s="3">
        <v>0.22998979999999999</v>
      </c>
      <c r="BH499" s="3">
        <v>0.2383615</v>
      </c>
      <c r="BI499" s="3">
        <v>0.24670159999999999</v>
      </c>
      <c r="BJ499" s="3">
        <v>0.25500990000000001</v>
      </c>
      <c r="BK499" s="3">
        <v>0.26328629999999997</v>
      </c>
      <c r="BL499" s="3">
        <v>0.27153050000000001</v>
      </c>
      <c r="BM499" s="3" t="e">
        <v>#N/A</v>
      </c>
      <c r="BN499" s="3" t="e">
        <v>#N/A</v>
      </c>
    </row>
    <row r="500" spans="1:66" x14ac:dyDescent="0.35">
      <c r="A500" s="5">
        <f t="shared" si="7"/>
        <v>44154</v>
      </c>
      <c r="B500" t="s">
        <v>577</v>
      </c>
      <c r="C500" s="2">
        <v>0.1</v>
      </c>
      <c r="D500" s="2">
        <v>5.3600000000000002E-2</v>
      </c>
      <c r="E500" s="3">
        <v>5.1360000000000003E-2</v>
      </c>
      <c r="F500" s="3">
        <v>4.4998700000000003E-2</v>
      </c>
      <c r="G500" s="3">
        <v>3.8094700000000002E-2</v>
      </c>
      <c r="H500" s="3">
        <v>3.0917699999999999E-2</v>
      </c>
      <c r="I500" s="3">
        <v>2.3433800000000001E-2</v>
      </c>
      <c r="J500" s="3">
        <v>1.55487E-2</v>
      </c>
      <c r="K500" s="3">
        <v>7.5427000000000003E-3</v>
      </c>
      <c r="L500" s="3">
        <v>-1.6980000000000001E-4</v>
      </c>
      <c r="M500" s="3">
        <v>-7.3632000000000003E-3</v>
      </c>
      <c r="N500" s="3">
        <v>-1.3975100000000001E-2</v>
      </c>
      <c r="O500" s="3">
        <v>-2.0001999999999999E-2</v>
      </c>
      <c r="P500" s="3">
        <v>-2.53952E-2</v>
      </c>
      <c r="Q500" s="3">
        <v>-3.0010499999999999E-2</v>
      </c>
      <c r="R500" s="3">
        <v>-3.3793200000000002E-2</v>
      </c>
      <c r="S500" s="3">
        <v>-3.6718000000000001E-2</v>
      </c>
      <c r="T500" s="3">
        <v>-3.8759599999999998E-2</v>
      </c>
      <c r="U500" s="3">
        <v>-3.9892900000000002E-2</v>
      </c>
      <c r="V500" s="3">
        <v>-4.0092500000000003E-2</v>
      </c>
      <c r="W500" s="3">
        <v>-3.9352199999999997E-2</v>
      </c>
      <c r="X500" s="3">
        <v>-3.7731399999999998E-2</v>
      </c>
      <c r="Y500" s="3">
        <v>-3.53037E-2</v>
      </c>
      <c r="Z500" s="3">
        <v>-3.2142799999999999E-2</v>
      </c>
      <c r="AA500" s="3">
        <v>-2.8322099999999999E-2</v>
      </c>
      <c r="AB500" s="3">
        <v>-2.3915200000000001E-2</v>
      </c>
      <c r="AC500" s="3">
        <v>-1.8991000000000001E-2</v>
      </c>
      <c r="AD500" s="3">
        <v>-1.35946E-2</v>
      </c>
      <c r="AE500" s="3">
        <v>-7.7641000000000003E-3</v>
      </c>
      <c r="AF500" s="3">
        <v>-1.5376999999999999E-3</v>
      </c>
      <c r="AG500" s="3">
        <v>5.0466E-3</v>
      </c>
      <c r="AH500" s="3">
        <v>1.19507E-2</v>
      </c>
      <c r="AI500" s="3">
        <v>1.9136500000000001E-2</v>
      </c>
      <c r="AJ500" s="3">
        <v>2.6565999999999999E-2</v>
      </c>
      <c r="AK500" s="3">
        <v>3.4200899999999999E-2</v>
      </c>
      <c r="AL500" s="3">
        <v>4.2003400000000003E-2</v>
      </c>
      <c r="AM500" s="3">
        <v>4.9935199999999999E-2</v>
      </c>
      <c r="AN500" s="3">
        <v>5.7958299999999997E-2</v>
      </c>
      <c r="AO500" s="3">
        <v>6.6039299999999995E-2</v>
      </c>
      <c r="AP500" s="3">
        <v>7.4165300000000003E-2</v>
      </c>
      <c r="AQ500" s="3">
        <v>8.2329299999999994E-2</v>
      </c>
      <c r="AR500" s="3">
        <v>9.0524300000000002E-2</v>
      </c>
      <c r="AS500" s="3">
        <v>9.8742999999999997E-2</v>
      </c>
      <c r="AT500" s="3">
        <v>0.1069783</v>
      </c>
      <c r="AU500" s="3">
        <v>0.1152233</v>
      </c>
      <c r="AV500" s="3">
        <v>0.12347080000000001</v>
      </c>
      <c r="AW500" s="3">
        <v>0.13171359999999999</v>
      </c>
      <c r="AX500" s="3">
        <v>0.13994480000000001</v>
      </c>
      <c r="AY500" s="3">
        <v>0.14815710000000001</v>
      </c>
      <c r="AZ500" s="3">
        <v>0.1563436</v>
      </c>
      <c r="BA500" s="3">
        <v>0.16449810000000001</v>
      </c>
      <c r="BB500" s="3">
        <v>0.17261899999999999</v>
      </c>
      <c r="BC500" s="3">
        <v>0.18070610000000001</v>
      </c>
      <c r="BD500" s="3">
        <v>0.18875900000000001</v>
      </c>
      <c r="BE500" s="3">
        <v>0.19677749999999999</v>
      </c>
      <c r="BF500" s="3">
        <v>0.2047611</v>
      </c>
      <c r="BG500" s="3">
        <v>0.2127097</v>
      </c>
      <c r="BH500" s="3">
        <v>0.22062280000000001</v>
      </c>
      <c r="BI500" s="3">
        <v>0.22850029999999999</v>
      </c>
      <c r="BJ500" s="3">
        <v>0.23634160000000001</v>
      </c>
      <c r="BK500" s="3">
        <v>0.24414669999999999</v>
      </c>
      <c r="BL500" s="3">
        <v>0.251915</v>
      </c>
      <c r="BM500" s="3" t="e">
        <v>#N/A</v>
      </c>
      <c r="BN500" s="3" t="e">
        <v>#N/A</v>
      </c>
    </row>
    <row r="501" spans="1:66" x14ac:dyDescent="0.35">
      <c r="A501" s="5">
        <f t="shared" si="7"/>
        <v>44155</v>
      </c>
      <c r="B501" t="s">
        <v>578</v>
      </c>
      <c r="C501" s="2">
        <v>0.1</v>
      </c>
      <c r="D501" s="2">
        <v>5.4300000000000001E-2</v>
      </c>
      <c r="E501" s="3">
        <v>5.2795799999999997E-2</v>
      </c>
      <c r="F501" s="3">
        <v>4.54834E-2</v>
      </c>
      <c r="G501" s="3">
        <v>3.74233E-2</v>
      </c>
      <c r="H501" s="3">
        <v>2.8983499999999999E-2</v>
      </c>
      <c r="I501" s="3">
        <v>2.0300200000000001E-2</v>
      </c>
      <c r="J501" s="3">
        <v>1.15952E-2</v>
      </c>
      <c r="K501" s="3">
        <v>3.2883999999999999E-3</v>
      </c>
      <c r="L501" s="3">
        <v>-4.3298E-3</v>
      </c>
      <c r="M501" s="3">
        <v>-1.11486E-2</v>
      </c>
      <c r="N501" s="3">
        <v>-1.7189200000000002E-2</v>
      </c>
      <c r="O501" s="3">
        <v>-2.2595500000000001E-2</v>
      </c>
      <c r="P501" s="3">
        <v>-2.7481200000000001E-2</v>
      </c>
      <c r="Q501" s="3">
        <v>-3.1916199999999999E-2</v>
      </c>
      <c r="R501" s="3">
        <v>-3.5866099999999998E-2</v>
      </c>
      <c r="S501" s="3">
        <v>-3.92652E-2</v>
      </c>
      <c r="T501" s="3">
        <v>-4.2048099999999998E-2</v>
      </c>
      <c r="U501" s="3">
        <v>-4.4149099999999997E-2</v>
      </c>
      <c r="V501" s="3">
        <v>-4.5502599999999997E-2</v>
      </c>
      <c r="W501" s="3">
        <v>-4.6060999999999998E-2</v>
      </c>
      <c r="X501" s="3">
        <v>-4.5838700000000003E-2</v>
      </c>
      <c r="Y501" s="3">
        <v>-4.4863300000000002E-2</v>
      </c>
      <c r="Z501" s="3">
        <v>-4.3162399999999997E-2</v>
      </c>
      <c r="AA501" s="3">
        <v>-4.0763599999999997E-2</v>
      </c>
      <c r="AB501" s="3">
        <v>-3.7694600000000002E-2</v>
      </c>
      <c r="AC501" s="3">
        <v>-3.3986200000000001E-2</v>
      </c>
      <c r="AD501" s="3">
        <v>-2.96831E-2</v>
      </c>
      <c r="AE501" s="3">
        <v>-2.4833899999999999E-2</v>
      </c>
      <c r="AF501" s="3">
        <v>-1.94871E-2</v>
      </c>
      <c r="AG501" s="3">
        <v>-1.36913E-2</v>
      </c>
      <c r="AH501" s="3">
        <v>-7.4951000000000002E-3</v>
      </c>
      <c r="AI501" s="3">
        <v>-9.4689999999999998E-4</v>
      </c>
      <c r="AJ501" s="3">
        <v>5.9046000000000003E-3</v>
      </c>
      <c r="AK501" s="3">
        <v>1.3011E-2</v>
      </c>
      <c r="AL501" s="3">
        <v>2.0323500000000001E-2</v>
      </c>
      <c r="AM501" s="3">
        <v>2.77938E-2</v>
      </c>
      <c r="AN501" s="3">
        <v>3.53732E-2</v>
      </c>
      <c r="AO501" s="3">
        <v>4.30199E-2</v>
      </c>
      <c r="AP501" s="3">
        <v>5.0719300000000002E-2</v>
      </c>
      <c r="AQ501" s="3">
        <v>5.84632E-2</v>
      </c>
      <c r="AR501" s="3">
        <v>6.6243899999999994E-2</v>
      </c>
      <c r="AS501" s="3">
        <v>7.40532E-2</v>
      </c>
      <c r="AT501" s="3">
        <v>8.1883200000000003E-2</v>
      </c>
      <c r="AU501" s="3">
        <v>8.9725899999999997E-2</v>
      </c>
      <c r="AV501" s="3">
        <v>9.7573499999999994E-2</v>
      </c>
      <c r="AW501" s="3">
        <v>0.10541780000000001</v>
      </c>
      <c r="AX501" s="3">
        <v>0.113251</v>
      </c>
      <c r="AY501" s="3">
        <v>0.12106500000000001</v>
      </c>
      <c r="AZ501" s="3">
        <v>0.12885179999999999</v>
      </c>
      <c r="BA501" s="3">
        <v>0.136605</v>
      </c>
      <c r="BB501" s="3">
        <v>0.14432410000000001</v>
      </c>
      <c r="BC501" s="3">
        <v>0.1520106</v>
      </c>
      <c r="BD501" s="3">
        <v>0.15966559999999999</v>
      </c>
      <c r="BE501" s="3">
        <v>0.16729069999999999</v>
      </c>
      <c r="BF501" s="3">
        <v>0.17488709999999999</v>
      </c>
      <c r="BG501" s="3">
        <v>0.18245610000000001</v>
      </c>
      <c r="BH501" s="3">
        <v>0.18999920000000001</v>
      </c>
      <c r="BI501" s="3">
        <v>0.19751769999999999</v>
      </c>
      <c r="BJ501" s="3">
        <v>0.2050129</v>
      </c>
      <c r="BK501" s="3">
        <v>0.21248619999999999</v>
      </c>
      <c r="BL501" s="3">
        <v>0.21993889999999999</v>
      </c>
      <c r="BM501" s="3" t="e">
        <v>#N/A</v>
      </c>
      <c r="BN501" s="3" t="e">
        <v>#N/A</v>
      </c>
    </row>
    <row r="502" spans="1:66" x14ac:dyDescent="0.35">
      <c r="A502" s="5">
        <f t="shared" si="7"/>
        <v>44158</v>
      </c>
      <c r="B502" t="s">
        <v>579</v>
      </c>
      <c r="C502" s="2">
        <v>0.1</v>
      </c>
      <c r="D502" s="2">
        <v>5.3600000000000002E-2</v>
      </c>
      <c r="E502" s="3">
        <v>5.2973600000000003E-2</v>
      </c>
      <c r="F502" s="3">
        <v>4.6234999999999998E-2</v>
      </c>
      <c r="G502" s="3">
        <v>3.8684000000000003E-2</v>
      </c>
      <c r="H502" s="3">
        <v>3.0901399999999999E-2</v>
      </c>
      <c r="I502" s="3">
        <v>2.3154999999999999E-2</v>
      </c>
      <c r="J502" s="3">
        <v>1.55295E-2</v>
      </c>
      <c r="K502" s="3">
        <v>8.1595999999999995E-3</v>
      </c>
      <c r="L502" s="3">
        <v>1.1255E-3</v>
      </c>
      <c r="M502" s="3">
        <v>-5.4841999999999998E-3</v>
      </c>
      <c r="N502" s="3">
        <v>-1.15765E-2</v>
      </c>
      <c r="O502" s="3">
        <v>-1.7102800000000001E-2</v>
      </c>
      <c r="P502" s="3">
        <v>-2.20355E-2</v>
      </c>
      <c r="Q502" s="3">
        <v>-2.6303699999999999E-2</v>
      </c>
      <c r="R502" s="3">
        <v>-2.9851599999999999E-2</v>
      </c>
      <c r="S502" s="3">
        <v>-3.2631199999999999E-2</v>
      </c>
      <c r="T502" s="3">
        <v>-3.4594399999999997E-2</v>
      </c>
      <c r="U502" s="3">
        <v>-3.5693500000000003E-2</v>
      </c>
      <c r="V502" s="3">
        <v>-3.5880299999999997E-2</v>
      </c>
      <c r="W502" s="3">
        <v>-3.51326E-2</v>
      </c>
      <c r="X502" s="3">
        <v>-3.3517100000000001E-2</v>
      </c>
      <c r="Y502" s="3">
        <v>-3.1119299999999999E-2</v>
      </c>
      <c r="Z502" s="3">
        <v>-2.8025000000000001E-2</v>
      </c>
      <c r="AA502" s="3">
        <v>-2.4319799999999999E-2</v>
      </c>
      <c r="AB502" s="3">
        <v>-2.00895E-2</v>
      </c>
      <c r="AC502" s="3">
        <v>-1.54106E-2</v>
      </c>
      <c r="AD502" s="3">
        <v>-1.03234E-2</v>
      </c>
      <c r="AE502" s="3">
        <v>-4.8589999999999996E-3</v>
      </c>
      <c r="AF502" s="3">
        <v>9.5140000000000003E-4</v>
      </c>
      <c r="AG502" s="3">
        <v>7.0767E-3</v>
      </c>
      <c r="AH502" s="3">
        <v>1.3485799999999999E-2</v>
      </c>
      <c r="AI502" s="3">
        <v>2.0147399999999999E-2</v>
      </c>
      <c r="AJ502" s="3">
        <v>2.70304E-2</v>
      </c>
      <c r="AK502" s="3">
        <v>3.4103599999999998E-2</v>
      </c>
      <c r="AL502" s="3">
        <v>4.1335999999999998E-2</v>
      </c>
      <c r="AM502" s="3">
        <v>4.8696400000000001E-2</v>
      </c>
      <c r="AN502" s="3">
        <v>5.6153599999999998E-2</v>
      </c>
      <c r="AO502" s="3">
        <v>6.3680899999999999E-2</v>
      </c>
      <c r="AP502" s="3">
        <v>7.1269600000000002E-2</v>
      </c>
      <c r="AQ502" s="3">
        <v>7.89155E-2</v>
      </c>
      <c r="AR502" s="3">
        <v>8.6614300000000005E-2</v>
      </c>
      <c r="AS502" s="3">
        <v>9.4361700000000007E-2</v>
      </c>
      <c r="AT502" s="3">
        <v>0.10215349999999999</v>
      </c>
      <c r="AU502" s="3">
        <v>0.1099854</v>
      </c>
      <c r="AV502" s="3">
        <v>0.11785320000000001</v>
      </c>
      <c r="AW502" s="3">
        <v>0.12575259999999999</v>
      </c>
      <c r="AX502" s="3">
        <v>0.1336793</v>
      </c>
      <c r="AY502" s="3">
        <v>0.14162920000000001</v>
      </c>
      <c r="AZ502" s="3">
        <v>0.1495978</v>
      </c>
      <c r="BA502" s="3">
        <v>0.15758130000000001</v>
      </c>
      <c r="BB502" s="3">
        <v>0.16557630000000001</v>
      </c>
      <c r="BC502" s="3">
        <v>0.17358000000000001</v>
      </c>
      <c r="BD502" s="3">
        <v>0.18158940000000001</v>
      </c>
      <c r="BE502" s="3">
        <v>0.18960179999999999</v>
      </c>
      <c r="BF502" s="3">
        <v>0.19761419999999999</v>
      </c>
      <c r="BG502" s="3">
        <v>0.20562369999999999</v>
      </c>
      <c r="BH502" s="3">
        <v>0.2136274</v>
      </c>
      <c r="BI502" s="3">
        <v>0.2216225</v>
      </c>
      <c r="BJ502" s="3">
        <v>0.22960610000000001</v>
      </c>
      <c r="BK502" s="3">
        <v>0.23757519999999999</v>
      </c>
      <c r="BL502" s="3">
        <v>0.245527</v>
      </c>
      <c r="BM502" s="3" t="e">
        <v>#N/A</v>
      </c>
      <c r="BN502" s="3" t="e">
        <v>#N/A</v>
      </c>
    </row>
    <row r="503" spans="1:66" x14ac:dyDescent="0.35">
      <c r="A503" s="5">
        <f t="shared" si="7"/>
        <v>44159</v>
      </c>
      <c r="B503" t="s">
        <v>580</v>
      </c>
      <c r="C503" s="2">
        <v>0.1</v>
      </c>
      <c r="D503" s="2">
        <v>5.3600000000000002E-2</v>
      </c>
      <c r="E503" s="3">
        <v>5.1290099999999998E-2</v>
      </c>
      <c r="F503" s="3">
        <v>4.5611899999999997E-2</v>
      </c>
      <c r="G503" s="3">
        <v>3.9364900000000001E-2</v>
      </c>
      <c r="H503" s="3">
        <v>3.2599599999999999E-2</v>
      </c>
      <c r="I503" s="3">
        <v>2.5385899999999999E-2</v>
      </c>
      <c r="J503" s="3">
        <v>1.7962800000000001E-2</v>
      </c>
      <c r="K503" s="3">
        <v>1.0714599999999999E-2</v>
      </c>
      <c r="L503" s="3">
        <v>3.8947999999999999E-3</v>
      </c>
      <c r="M503" s="3">
        <v>-2.3971999999999999E-3</v>
      </c>
      <c r="N503" s="3">
        <v>-8.1446000000000001E-3</v>
      </c>
      <c r="O503" s="3">
        <v>-1.3317900000000001E-2</v>
      </c>
      <c r="P503" s="3">
        <v>-1.7891299999999999E-2</v>
      </c>
      <c r="Q503" s="3">
        <v>-2.17889E-2</v>
      </c>
      <c r="R503" s="3">
        <v>-2.4974300000000001E-2</v>
      </c>
      <c r="S503" s="3">
        <v>-2.74259E-2</v>
      </c>
      <c r="T503" s="3">
        <v>-2.9122200000000001E-2</v>
      </c>
      <c r="U503" s="3">
        <v>-3.0041600000000002E-2</v>
      </c>
      <c r="V503" s="3">
        <v>-3.0162700000000001E-2</v>
      </c>
      <c r="W503" s="3">
        <v>-2.9478299999999999E-2</v>
      </c>
      <c r="X503" s="3">
        <v>-2.80316E-2</v>
      </c>
      <c r="Y503" s="3">
        <v>-2.58765E-2</v>
      </c>
      <c r="Z503" s="3">
        <v>-2.3066900000000001E-2</v>
      </c>
      <c r="AA503" s="3">
        <v>-1.96566E-2</v>
      </c>
      <c r="AB503" s="3">
        <v>-1.5699600000000001E-2</v>
      </c>
      <c r="AC503" s="3">
        <v>-1.12467E-2</v>
      </c>
      <c r="AD503" s="3">
        <v>-6.3359999999999996E-3</v>
      </c>
      <c r="AE503" s="3">
        <v>-1.0026E-3</v>
      </c>
      <c r="AF503" s="3">
        <v>4.7184000000000002E-3</v>
      </c>
      <c r="AG503" s="3">
        <v>1.07919E-2</v>
      </c>
      <c r="AH503" s="3">
        <v>1.7182900000000001E-2</v>
      </c>
      <c r="AI503" s="3">
        <v>2.38563E-2</v>
      </c>
      <c r="AJ503" s="3">
        <v>3.0776999999999999E-2</v>
      </c>
      <c r="AK503" s="3">
        <v>3.7909900000000003E-2</v>
      </c>
      <c r="AL503" s="3">
        <v>4.5220000000000003E-2</v>
      </c>
      <c r="AM503" s="3">
        <v>5.2672299999999998E-2</v>
      </c>
      <c r="AN503" s="3">
        <v>6.02315E-2</v>
      </c>
      <c r="AO503" s="3">
        <v>6.7867499999999997E-2</v>
      </c>
      <c r="AP503" s="3">
        <v>7.5568499999999997E-2</v>
      </c>
      <c r="AQ503" s="3">
        <v>8.3327600000000002E-2</v>
      </c>
      <c r="AR503" s="3">
        <v>9.1137999999999997E-2</v>
      </c>
      <c r="AS503" s="3">
        <v>9.8992800000000006E-2</v>
      </c>
      <c r="AT503" s="3">
        <v>0.1068851</v>
      </c>
      <c r="AU503" s="3">
        <v>0.1148079</v>
      </c>
      <c r="AV503" s="3">
        <v>0.1227544</v>
      </c>
      <c r="AW503" s="3">
        <v>0.13071759999999999</v>
      </c>
      <c r="AX503" s="3">
        <v>0.1386907</v>
      </c>
      <c r="AY503" s="3">
        <v>0.14666680000000001</v>
      </c>
      <c r="AZ503" s="3">
        <v>0.1546389</v>
      </c>
      <c r="BA503" s="3">
        <v>0.162601</v>
      </c>
      <c r="BB503" s="3">
        <v>0.17055129999999999</v>
      </c>
      <c r="BC503" s="3">
        <v>0.17848919999999999</v>
      </c>
      <c r="BD503" s="3">
        <v>0.1864141</v>
      </c>
      <c r="BE503" s="3">
        <v>0.19432540000000001</v>
      </c>
      <c r="BF503" s="3">
        <v>0.2022226</v>
      </c>
      <c r="BG503" s="3">
        <v>0.21010499999999999</v>
      </c>
      <c r="BH503" s="3">
        <v>0.2179721</v>
      </c>
      <c r="BI503" s="3">
        <v>0.2258233</v>
      </c>
      <c r="BJ503" s="3">
        <v>0.233658</v>
      </c>
      <c r="BK503" s="3">
        <v>0.24147569999999999</v>
      </c>
      <c r="BL503" s="3">
        <v>0.24927579999999999</v>
      </c>
      <c r="BM503" s="3" t="e">
        <v>#N/A</v>
      </c>
      <c r="BN503" s="3" t="e">
        <v>#N/A</v>
      </c>
    </row>
    <row r="504" spans="1:66" x14ac:dyDescent="0.35">
      <c r="A504" s="5">
        <f t="shared" si="7"/>
        <v>44160</v>
      </c>
      <c r="B504" t="s">
        <v>581</v>
      </c>
      <c r="C504" s="2">
        <v>0.1</v>
      </c>
      <c r="D504" s="2">
        <v>5.3499999999999999E-2</v>
      </c>
      <c r="E504" s="3">
        <v>4.6440700000000001E-2</v>
      </c>
      <c r="F504" s="3">
        <v>4.56803E-2</v>
      </c>
      <c r="G504" s="3">
        <v>4.1506099999999997E-2</v>
      </c>
      <c r="H504" s="3">
        <v>3.5740300000000003E-2</v>
      </c>
      <c r="I504" s="3">
        <v>2.8239299999999998E-2</v>
      </c>
      <c r="J504" s="3">
        <v>1.88481E-2</v>
      </c>
      <c r="K504" s="3">
        <v>9.0819000000000004E-3</v>
      </c>
      <c r="L504" s="3">
        <v>3.9300000000000001E-4</v>
      </c>
      <c r="M504" s="3">
        <v>-6.3489000000000002E-3</v>
      </c>
      <c r="N504" s="3">
        <v>-1.0981299999999999E-2</v>
      </c>
      <c r="O504" s="3">
        <v>-1.40631E-2</v>
      </c>
      <c r="P504" s="3">
        <v>-1.6298099999999999E-2</v>
      </c>
      <c r="Q504" s="3">
        <v>-1.8245600000000001E-2</v>
      </c>
      <c r="R504" s="3">
        <v>-1.99762E-2</v>
      </c>
      <c r="S504" s="3">
        <v>-2.1439799999999998E-2</v>
      </c>
      <c r="T504" s="3">
        <v>-2.25863E-2</v>
      </c>
      <c r="U504" s="3">
        <v>-2.33656E-2</v>
      </c>
      <c r="V504" s="3">
        <v>-2.3727600000000001E-2</v>
      </c>
      <c r="W504" s="3">
        <v>-2.3628699999999999E-2</v>
      </c>
      <c r="X504" s="3">
        <v>-2.30467E-2</v>
      </c>
      <c r="Y504" s="3">
        <v>-2.1964600000000001E-2</v>
      </c>
      <c r="Z504" s="3">
        <v>-2.0364899999999998E-2</v>
      </c>
      <c r="AA504" s="3">
        <v>-1.8230400000000001E-2</v>
      </c>
      <c r="AB504" s="3">
        <v>-1.5544000000000001E-2</v>
      </c>
      <c r="AC504" s="3">
        <v>-1.2297000000000001E-2</v>
      </c>
      <c r="AD504" s="3">
        <v>-8.5164000000000004E-3</v>
      </c>
      <c r="AE504" s="3">
        <v>-4.2379999999999996E-3</v>
      </c>
      <c r="AF504" s="3">
        <v>5.0270000000000002E-4</v>
      </c>
      <c r="AG504" s="3">
        <v>5.6699000000000003E-3</v>
      </c>
      <c r="AH504" s="3">
        <v>1.1227900000000001E-2</v>
      </c>
      <c r="AI504" s="3">
        <v>1.7141099999999999E-2</v>
      </c>
      <c r="AJ504" s="3">
        <v>2.3373700000000001E-2</v>
      </c>
      <c r="AK504" s="3">
        <v>2.989E-2</v>
      </c>
      <c r="AL504" s="3">
        <v>3.6654399999999997E-2</v>
      </c>
      <c r="AM504" s="3">
        <v>4.3631200000000002E-2</v>
      </c>
      <c r="AN504" s="3">
        <v>5.0784599999999999E-2</v>
      </c>
      <c r="AO504" s="3">
        <v>5.8082300000000003E-2</v>
      </c>
      <c r="AP504" s="3">
        <v>6.5507800000000005E-2</v>
      </c>
      <c r="AQ504" s="3">
        <v>7.3049699999999995E-2</v>
      </c>
      <c r="AR504" s="3">
        <v>8.0696500000000004E-2</v>
      </c>
      <c r="AS504" s="3">
        <v>8.8436699999999993E-2</v>
      </c>
      <c r="AT504" s="3">
        <v>9.6258700000000003E-2</v>
      </c>
      <c r="AU504" s="3">
        <v>0.1041511</v>
      </c>
      <c r="AV504" s="3">
        <v>0.1121023</v>
      </c>
      <c r="AW504" s="3">
        <v>0.1201009</v>
      </c>
      <c r="AX504" s="3">
        <v>0.12813530000000001</v>
      </c>
      <c r="AY504" s="3">
        <v>0.13619400000000001</v>
      </c>
      <c r="AZ504" s="3">
        <v>0.14426559999999999</v>
      </c>
      <c r="BA504" s="3">
        <v>0.15234</v>
      </c>
      <c r="BB504" s="3">
        <v>0.16041330000000001</v>
      </c>
      <c r="BC504" s="3">
        <v>0.16848369999999999</v>
      </c>
      <c r="BD504" s="3">
        <v>0.17654890000000001</v>
      </c>
      <c r="BE504" s="3">
        <v>0.1846072</v>
      </c>
      <c r="BF504" s="3">
        <v>0.1926563</v>
      </c>
      <c r="BG504" s="3">
        <v>0.20069429999999999</v>
      </c>
      <c r="BH504" s="3">
        <v>0.20871909999999999</v>
      </c>
      <c r="BI504" s="3">
        <v>0.2167288</v>
      </c>
      <c r="BJ504" s="3">
        <v>0.22472139999999999</v>
      </c>
      <c r="BK504" s="3">
        <v>0.2326947</v>
      </c>
      <c r="BL504" s="3">
        <v>0.24064669999999999</v>
      </c>
      <c r="BM504" s="3" t="e">
        <v>#N/A</v>
      </c>
      <c r="BN504" s="3" t="e">
        <v>#N/A</v>
      </c>
    </row>
    <row r="505" spans="1:66" x14ac:dyDescent="0.35">
      <c r="A505" s="5">
        <f t="shared" si="7"/>
        <v>44161</v>
      </c>
      <c r="B505" t="s">
        <v>582</v>
      </c>
      <c r="C505" s="2">
        <v>0.1</v>
      </c>
      <c r="D505" s="2">
        <v>5.3499999999999999E-2</v>
      </c>
      <c r="E505" s="3">
        <v>5.3459699999999999E-2</v>
      </c>
      <c r="F505" s="3">
        <v>4.7003099999999999E-2</v>
      </c>
      <c r="G505" s="3">
        <v>3.9769400000000003E-2</v>
      </c>
      <c r="H505" s="3">
        <v>3.2282699999999998E-2</v>
      </c>
      <c r="I505" s="3">
        <v>2.4626200000000001E-2</v>
      </c>
      <c r="J505" s="3">
        <v>1.6968500000000001E-2</v>
      </c>
      <c r="K505" s="3">
        <v>9.5376999999999997E-3</v>
      </c>
      <c r="L505" s="3">
        <v>2.4694999999999999E-3</v>
      </c>
      <c r="M505" s="3">
        <v>-4.1485000000000003E-3</v>
      </c>
      <c r="N505" s="3">
        <v>-1.02662E-2</v>
      </c>
      <c r="O505" s="3">
        <v>-1.5893299999999999E-2</v>
      </c>
      <c r="P505" s="3">
        <v>-2.1030900000000002E-2</v>
      </c>
      <c r="Q505" s="3">
        <v>-2.5635399999999999E-2</v>
      </c>
      <c r="R505" s="3">
        <v>-2.96715E-2</v>
      </c>
      <c r="S505" s="3">
        <v>-3.3109100000000002E-2</v>
      </c>
      <c r="T505" s="3">
        <v>-3.5917999999999999E-2</v>
      </c>
      <c r="U505" s="3">
        <v>-3.8067900000000002E-2</v>
      </c>
      <c r="V505" s="3">
        <v>-3.95287E-2</v>
      </c>
      <c r="W505" s="3">
        <v>-4.0279799999999998E-2</v>
      </c>
      <c r="X505" s="3">
        <v>-4.0334099999999998E-2</v>
      </c>
      <c r="Y505" s="3">
        <v>-3.9711400000000001E-2</v>
      </c>
      <c r="Z505" s="3">
        <v>-3.8431800000000002E-2</v>
      </c>
      <c r="AA505" s="3">
        <v>-3.6515100000000002E-2</v>
      </c>
      <c r="AB505" s="3">
        <v>-3.3981499999999998E-2</v>
      </c>
      <c r="AC505" s="3">
        <v>-3.0853800000000001E-2</v>
      </c>
      <c r="AD505" s="3">
        <v>-2.7169700000000001E-2</v>
      </c>
      <c r="AE505" s="3">
        <v>-2.29713E-2</v>
      </c>
      <c r="AF505" s="3">
        <v>-1.8300799999999999E-2</v>
      </c>
      <c r="AG505" s="3">
        <v>-1.32002E-2</v>
      </c>
      <c r="AH505" s="3">
        <v>-7.7117000000000002E-3</v>
      </c>
      <c r="AI505" s="3">
        <v>-1.8774E-3</v>
      </c>
      <c r="AJ505" s="3">
        <v>4.2607000000000001E-3</v>
      </c>
      <c r="AK505" s="3">
        <v>1.06604E-2</v>
      </c>
      <c r="AL505" s="3">
        <v>1.72795E-2</v>
      </c>
      <c r="AM505" s="3">
        <v>2.40761E-2</v>
      </c>
      <c r="AN505" s="3">
        <v>3.1007900000000001E-2</v>
      </c>
      <c r="AO505" s="3">
        <v>3.8037599999999998E-2</v>
      </c>
      <c r="AP505" s="3">
        <v>4.5149099999999998E-2</v>
      </c>
      <c r="AQ505" s="3">
        <v>5.2331999999999997E-2</v>
      </c>
      <c r="AR505" s="3">
        <v>5.9575999999999997E-2</v>
      </c>
      <c r="AS505" s="3">
        <v>6.6870799999999994E-2</v>
      </c>
      <c r="AT505" s="3">
        <v>7.4205900000000005E-2</v>
      </c>
      <c r="AU505" s="3">
        <v>8.1571199999999996E-2</v>
      </c>
      <c r="AV505" s="3">
        <v>8.8956099999999996E-2</v>
      </c>
      <c r="AW505" s="3">
        <v>9.6350500000000006E-2</v>
      </c>
      <c r="AX505" s="3">
        <v>0.1037439</v>
      </c>
      <c r="AY505" s="3">
        <v>0.111126</v>
      </c>
      <c r="AZ505" s="3">
        <v>0.1184866</v>
      </c>
      <c r="BA505" s="3">
        <v>0.12581690000000001</v>
      </c>
      <c r="BB505" s="3">
        <v>0.13311619999999999</v>
      </c>
      <c r="BC505" s="3">
        <v>0.14038590000000001</v>
      </c>
      <c r="BD505" s="3">
        <v>0.14762729999999999</v>
      </c>
      <c r="BE505" s="3">
        <v>0.1548417</v>
      </c>
      <c r="BF505" s="3">
        <v>0.1620307</v>
      </c>
      <c r="BG505" s="3">
        <v>0.16919529999999999</v>
      </c>
      <c r="BH505" s="3">
        <v>0.1763372</v>
      </c>
      <c r="BI505" s="3">
        <v>0.1834575</v>
      </c>
      <c r="BJ505" s="3">
        <v>0.1905577</v>
      </c>
      <c r="BK505" s="3">
        <v>0.19763900000000001</v>
      </c>
      <c r="BL505" s="3">
        <v>0.204703</v>
      </c>
      <c r="BM505" s="3" t="e">
        <v>#N/A</v>
      </c>
      <c r="BN505" s="3" t="e">
        <v>#N/A</v>
      </c>
    </row>
    <row r="506" spans="1:66" x14ac:dyDescent="0.35">
      <c r="A506" s="5">
        <f t="shared" si="7"/>
        <v>44162</v>
      </c>
      <c r="B506" t="s">
        <v>583</v>
      </c>
      <c r="C506" s="2">
        <v>0.1</v>
      </c>
      <c r="D506" s="2">
        <v>5.4199999999999998E-2</v>
      </c>
      <c r="E506" s="3">
        <v>5.2088200000000001E-2</v>
      </c>
      <c r="F506" s="3">
        <v>4.6127399999999999E-2</v>
      </c>
      <c r="G506" s="3">
        <v>3.9067200000000003E-2</v>
      </c>
      <c r="H506" s="3">
        <v>3.12949E-2</v>
      </c>
      <c r="I506" s="3">
        <v>2.3035099999999999E-2</v>
      </c>
      <c r="J506" s="3">
        <v>1.46015E-2</v>
      </c>
      <c r="K506" s="3">
        <v>6.3610000000000003E-3</v>
      </c>
      <c r="L506" s="3">
        <v>-1.4311E-3</v>
      </c>
      <c r="M506" s="3">
        <v>-8.6636999999999999E-3</v>
      </c>
      <c r="N506" s="3">
        <v>-1.5291300000000001E-2</v>
      </c>
      <c r="O506" s="3">
        <v>-2.1272099999999999E-2</v>
      </c>
      <c r="P506" s="3">
        <v>-2.6538699999999998E-2</v>
      </c>
      <c r="Q506" s="3">
        <v>-3.0954700000000002E-2</v>
      </c>
      <c r="R506" s="3">
        <v>-3.4504800000000002E-2</v>
      </c>
      <c r="S506" s="3">
        <v>-3.7217699999999999E-2</v>
      </c>
      <c r="T506" s="3">
        <v>-3.9121900000000001E-2</v>
      </c>
      <c r="U506" s="3">
        <v>-4.02461E-2</v>
      </c>
      <c r="V506" s="3">
        <v>-4.0619000000000002E-2</v>
      </c>
      <c r="W506" s="3">
        <v>-4.02729E-2</v>
      </c>
      <c r="X506" s="3">
        <v>-3.9252500000000003E-2</v>
      </c>
      <c r="Y506" s="3">
        <v>-3.76055E-2</v>
      </c>
      <c r="Z506" s="3">
        <v>-3.5379500000000001E-2</v>
      </c>
      <c r="AA506" s="3">
        <v>-3.2621999999999998E-2</v>
      </c>
      <c r="AB506" s="3">
        <v>-2.93806E-2</v>
      </c>
      <c r="AC506" s="3">
        <v>-2.5700299999999999E-2</v>
      </c>
      <c r="AD506" s="3">
        <v>-2.16142E-2</v>
      </c>
      <c r="AE506" s="3">
        <v>-1.7152199999999999E-2</v>
      </c>
      <c r="AF506" s="3">
        <v>-1.23445E-2</v>
      </c>
      <c r="AG506" s="3">
        <v>-7.2208999999999997E-3</v>
      </c>
      <c r="AH506" s="3">
        <v>-1.8113999999999999E-3</v>
      </c>
      <c r="AI506" s="3">
        <v>3.8539999999999998E-3</v>
      </c>
      <c r="AJ506" s="3">
        <v>9.7453999999999995E-3</v>
      </c>
      <c r="AK506" s="3">
        <v>1.5832800000000001E-2</v>
      </c>
      <c r="AL506" s="3">
        <v>2.20862E-2</v>
      </c>
      <c r="AM506" s="3">
        <v>2.84756E-2</v>
      </c>
      <c r="AN506" s="3">
        <v>3.4971200000000001E-2</v>
      </c>
      <c r="AO506" s="3">
        <v>4.1546899999999998E-2</v>
      </c>
      <c r="AP506" s="3">
        <v>4.8193E-2</v>
      </c>
      <c r="AQ506" s="3">
        <v>5.4903599999999997E-2</v>
      </c>
      <c r="AR506" s="3">
        <v>6.1672999999999999E-2</v>
      </c>
      <c r="AS506" s="3">
        <v>6.8495500000000001E-2</v>
      </c>
      <c r="AT506" s="3">
        <v>7.5365199999999993E-2</v>
      </c>
      <c r="AU506" s="3">
        <v>8.22764E-2</v>
      </c>
      <c r="AV506" s="3">
        <v>8.9223300000000005E-2</v>
      </c>
      <c r="AW506" s="3">
        <v>9.62002E-2</v>
      </c>
      <c r="AX506" s="3">
        <v>0.10320120000000001</v>
      </c>
      <c r="AY506" s="3">
        <v>0.1102205</v>
      </c>
      <c r="AZ506" s="3">
        <v>0.1172525</v>
      </c>
      <c r="BA506" s="3">
        <v>0.12429220000000001</v>
      </c>
      <c r="BB506" s="3">
        <v>0.13133819999999999</v>
      </c>
      <c r="BC506" s="3">
        <v>0.1383904</v>
      </c>
      <c r="BD506" s="3">
        <v>0.14544860000000001</v>
      </c>
      <c r="BE506" s="3">
        <v>0.15251229999999999</v>
      </c>
      <c r="BF506" s="3">
        <v>0.15958149999999999</v>
      </c>
      <c r="BG506" s="3">
        <v>0.1666559</v>
      </c>
      <c r="BH506" s="3">
        <v>0.1737351</v>
      </c>
      <c r="BI506" s="3">
        <v>0.18081900000000001</v>
      </c>
      <c r="BJ506" s="3">
        <v>0.1879073</v>
      </c>
      <c r="BK506" s="3">
        <v>0.1949998</v>
      </c>
      <c r="BL506" s="3">
        <v>0.2020961</v>
      </c>
      <c r="BM506" s="3" t="e">
        <v>#N/A</v>
      </c>
      <c r="BN506" s="3" t="e">
        <v>#N/A</v>
      </c>
    </row>
    <row r="507" spans="1:66" x14ac:dyDescent="0.35">
      <c r="A507" s="5">
        <f t="shared" si="7"/>
        <v>44165</v>
      </c>
      <c r="B507" t="s">
        <v>584</v>
      </c>
      <c r="C507" s="2">
        <v>0.1</v>
      </c>
      <c r="D507" s="2">
        <v>5.3999999999999999E-2</v>
      </c>
      <c r="E507" s="3">
        <v>5.1797599999999999E-2</v>
      </c>
      <c r="F507" s="3">
        <v>4.6230399999999998E-2</v>
      </c>
      <c r="G507" s="3">
        <v>3.9703799999999997E-2</v>
      </c>
      <c r="H507" s="3">
        <v>3.2877900000000002E-2</v>
      </c>
      <c r="I507" s="3">
        <v>2.5715600000000002E-2</v>
      </c>
      <c r="J507" s="3">
        <v>1.8393799999999998E-2</v>
      </c>
      <c r="K507" s="3">
        <v>1.1253600000000001E-2</v>
      </c>
      <c r="L507" s="3">
        <v>4.3872E-3</v>
      </c>
      <c r="M507" s="3">
        <v>-2.2093E-3</v>
      </c>
      <c r="N507" s="3">
        <v>-8.5451999999999993E-3</v>
      </c>
      <c r="O507" s="3">
        <v>-1.45655E-2</v>
      </c>
      <c r="P507" s="3">
        <v>-2.0139299999999999E-2</v>
      </c>
      <c r="Q507" s="3">
        <v>-2.49967E-2</v>
      </c>
      <c r="R507" s="3">
        <v>-2.9061300000000002E-2</v>
      </c>
      <c r="S507" s="3">
        <v>-3.2319000000000001E-2</v>
      </c>
      <c r="T507" s="3">
        <v>-3.4755500000000002E-2</v>
      </c>
      <c r="U507" s="3">
        <v>-3.6356899999999998E-2</v>
      </c>
      <c r="V507" s="3">
        <v>-3.7108799999999997E-2</v>
      </c>
      <c r="W507" s="3">
        <v>-3.7009E-2</v>
      </c>
      <c r="X507" s="3">
        <v>-3.6099300000000001E-2</v>
      </c>
      <c r="Y507" s="3">
        <v>-3.4432499999999998E-2</v>
      </c>
      <c r="Z507" s="3">
        <v>-3.2061100000000002E-2</v>
      </c>
      <c r="AA507" s="3">
        <v>-2.90377E-2</v>
      </c>
      <c r="AB507" s="3">
        <v>-2.5414900000000001E-2</v>
      </c>
      <c r="AC507" s="3">
        <v>-2.1243100000000001E-2</v>
      </c>
      <c r="AD507" s="3">
        <v>-1.65638E-2</v>
      </c>
      <c r="AE507" s="3">
        <v>-1.14161E-2</v>
      </c>
      <c r="AF507" s="3">
        <v>-5.8392000000000001E-3</v>
      </c>
      <c r="AG507" s="3">
        <v>1.2779999999999999E-4</v>
      </c>
      <c r="AH507" s="3">
        <v>6.4454999999999998E-3</v>
      </c>
      <c r="AI507" s="3">
        <v>1.3074799999999999E-2</v>
      </c>
      <c r="AJ507" s="3">
        <v>1.9976600000000001E-2</v>
      </c>
      <c r="AK507" s="3">
        <v>2.71116E-2</v>
      </c>
      <c r="AL507" s="3">
        <v>3.4440699999999998E-2</v>
      </c>
      <c r="AM507" s="3">
        <v>4.1924599999999999E-2</v>
      </c>
      <c r="AN507" s="3">
        <v>4.9524199999999997E-2</v>
      </c>
      <c r="AO507" s="3">
        <v>5.7205300000000001E-2</v>
      </c>
      <c r="AP507" s="3">
        <v>6.4954300000000006E-2</v>
      </c>
      <c r="AQ507" s="3">
        <v>7.2762400000000005E-2</v>
      </c>
      <c r="AR507" s="3">
        <v>8.0620999999999998E-2</v>
      </c>
      <c r="AS507" s="3">
        <v>8.85214E-2</v>
      </c>
      <c r="AT507" s="3">
        <v>9.6454999999999999E-2</v>
      </c>
      <c r="AU507" s="3">
        <v>0.10441309999999999</v>
      </c>
      <c r="AV507" s="3">
        <v>0.112387</v>
      </c>
      <c r="AW507" s="3">
        <v>0.12036810000000001</v>
      </c>
      <c r="AX507" s="3">
        <v>0.12834780000000001</v>
      </c>
      <c r="AY507" s="3">
        <v>0.1363173</v>
      </c>
      <c r="AZ507" s="3">
        <v>0.1442679</v>
      </c>
      <c r="BA507" s="3">
        <v>0.1521922</v>
      </c>
      <c r="BB507" s="3">
        <v>0.16008829999999999</v>
      </c>
      <c r="BC507" s="3">
        <v>0.1679561</v>
      </c>
      <c r="BD507" s="3">
        <v>0.1757959</v>
      </c>
      <c r="BE507" s="3">
        <v>0.18360770000000001</v>
      </c>
      <c r="BF507" s="3">
        <v>0.1913916</v>
      </c>
      <c r="BG507" s="3">
        <v>0.19914760000000001</v>
      </c>
      <c r="BH507" s="3">
        <v>0.2068759</v>
      </c>
      <c r="BI507" s="3">
        <v>0.2145764</v>
      </c>
      <c r="BJ507" s="3">
        <v>0.22224940000000001</v>
      </c>
      <c r="BK507" s="3">
        <v>0.22989490000000001</v>
      </c>
      <c r="BL507" s="3">
        <v>0.2375129</v>
      </c>
      <c r="BM507" s="3" t="e">
        <v>#N/A</v>
      </c>
      <c r="BN507" s="3" t="e">
        <v>#N/A</v>
      </c>
    </row>
    <row r="508" spans="1:66" x14ac:dyDescent="0.35">
      <c r="A508" s="5">
        <f t="shared" si="7"/>
        <v>44166</v>
      </c>
      <c r="B508" t="s">
        <v>585</v>
      </c>
      <c r="C508" s="2">
        <v>0.1</v>
      </c>
      <c r="D508" s="2">
        <v>5.28E-2</v>
      </c>
      <c r="E508" s="3">
        <v>5.1773699999999999E-2</v>
      </c>
      <c r="F508" s="3">
        <v>4.7626500000000002E-2</v>
      </c>
      <c r="G508" s="3">
        <v>4.28645E-2</v>
      </c>
      <c r="H508" s="3">
        <v>3.7667100000000002E-2</v>
      </c>
      <c r="I508" s="3">
        <v>3.1891000000000003E-2</v>
      </c>
      <c r="J508" s="3">
        <v>2.5707600000000001E-2</v>
      </c>
      <c r="K508" s="3">
        <v>1.94048E-2</v>
      </c>
      <c r="L508" s="3">
        <v>1.31597E-2</v>
      </c>
      <c r="M508" s="3">
        <v>7.1438999999999999E-3</v>
      </c>
      <c r="N508" s="3">
        <v>1.4519999999999999E-3</v>
      </c>
      <c r="O508" s="3">
        <v>-3.8763000000000001E-3</v>
      </c>
      <c r="P508" s="3">
        <v>-8.7694999999999995E-3</v>
      </c>
      <c r="Q508" s="3">
        <v>-1.3079E-2</v>
      </c>
      <c r="R508" s="3">
        <v>-1.6725299999999999E-2</v>
      </c>
      <c r="S508" s="3">
        <v>-1.96524E-2</v>
      </c>
      <c r="T508" s="3">
        <v>-2.1804400000000002E-2</v>
      </c>
      <c r="U508" s="3">
        <v>-2.3125300000000001E-2</v>
      </c>
      <c r="V508" s="3">
        <v>-2.3559199999999999E-2</v>
      </c>
      <c r="W508" s="3">
        <v>-2.3069599999999999E-2</v>
      </c>
      <c r="X508" s="3">
        <v>-2.16954E-2</v>
      </c>
      <c r="Y508" s="3">
        <v>-1.9492800000000001E-2</v>
      </c>
      <c r="Z508" s="3">
        <v>-1.6518499999999998E-2</v>
      </c>
      <c r="AA508" s="3">
        <v>-1.2829E-2</v>
      </c>
      <c r="AB508" s="3">
        <v>-8.4805999999999996E-3</v>
      </c>
      <c r="AC508" s="3">
        <v>-3.5282E-3</v>
      </c>
      <c r="AD508" s="3">
        <v>1.98E-3</v>
      </c>
      <c r="AE508" s="3">
        <v>7.9974999999999994E-3</v>
      </c>
      <c r="AF508" s="3">
        <v>1.44776E-2</v>
      </c>
      <c r="AG508" s="3">
        <v>2.1373900000000001E-2</v>
      </c>
      <c r="AH508" s="3">
        <v>2.8639700000000001E-2</v>
      </c>
      <c r="AI508" s="3">
        <v>3.62286E-2</v>
      </c>
      <c r="AJ508" s="3">
        <v>4.4094000000000001E-2</v>
      </c>
      <c r="AK508" s="3">
        <v>5.2189300000000001E-2</v>
      </c>
      <c r="AL508" s="3">
        <v>6.0468000000000001E-2</v>
      </c>
      <c r="AM508" s="3">
        <v>6.88835E-2</v>
      </c>
      <c r="AN508" s="3">
        <v>7.7389399999999997E-2</v>
      </c>
      <c r="AO508" s="3">
        <v>8.5945300000000002E-2</v>
      </c>
      <c r="AP508" s="3">
        <v>9.4536800000000004E-2</v>
      </c>
      <c r="AQ508" s="3">
        <v>0.1031557</v>
      </c>
      <c r="AR508" s="3">
        <v>0.1117937</v>
      </c>
      <c r="AS508" s="3">
        <v>0.1204426</v>
      </c>
      <c r="AT508" s="3">
        <v>0.1290944</v>
      </c>
      <c r="AU508" s="3">
        <v>0.13774069999999999</v>
      </c>
      <c r="AV508" s="3">
        <v>0.14637330000000001</v>
      </c>
      <c r="AW508" s="3">
        <v>0.15498419999999999</v>
      </c>
      <c r="AX508" s="3">
        <v>0.16356509999999999</v>
      </c>
      <c r="AY508" s="3">
        <v>0.1721077</v>
      </c>
      <c r="AZ508" s="3">
        <v>0.18060399999999999</v>
      </c>
      <c r="BA508" s="3">
        <v>0.18904689999999999</v>
      </c>
      <c r="BB508" s="3">
        <v>0.197436</v>
      </c>
      <c r="BC508" s="3">
        <v>0.2057725</v>
      </c>
      <c r="BD508" s="3">
        <v>0.21405769999999999</v>
      </c>
      <c r="BE508" s="3">
        <v>0.22229299999999999</v>
      </c>
      <c r="BF508" s="3">
        <v>0.23047970000000001</v>
      </c>
      <c r="BG508" s="3">
        <v>0.2386191</v>
      </c>
      <c r="BH508" s="3">
        <v>0.2467125</v>
      </c>
      <c r="BI508" s="3">
        <v>0.25476130000000002</v>
      </c>
      <c r="BJ508" s="3">
        <v>0.26276680000000002</v>
      </c>
      <c r="BK508" s="3">
        <v>0.27073019999999998</v>
      </c>
      <c r="BL508" s="3">
        <v>0.27865289999999998</v>
      </c>
      <c r="BM508" s="3" t="e">
        <v>#N/A</v>
      </c>
      <c r="BN508" s="3" t="e">
        <v>#N/A</v>
      </c>
    </row>
    <row r="509" spans="1:66" x14ac:dyDescent="0.35">
      <c r="A509" s="5">
        <f t="shared" si="7"/>
        <v>44167</v>
      </c>
      <c r="B509" t="s">
        <v>586</v>
      </c>
      <c r="C509" s="2">
        <v>0.1</v>
      </c>
      <c r="D509" s="2">
        <v>5.2299999999999999E-2</v>
      </c>
      <c r="E509" s="3">
        <v>5.1831000000000002E-2</v>
      </c>
      <c r="F509" s="3">
        <v>4.6309099999999999E-2</v>
      </c>
      <c r="G509" s="3">
        <v>3.97963E-2</v>
      </c>
      <c r="H509" s="3">
        <v>3.28226E-2</v>
      </c>
      <c r="I509" s="3">
        <v>2.5568E-2</v>
      </c>
      <c r="J509" s="3">
        <v>1.8539799999999999E-2</v>
      </c>
      <c r="K509" s="3">
        <v>1.21703E-2</v>
      </c>
      <c r="L509" s="3">
        <v>6.3991999999999999E-3</v>
      </c>
      <c r="M509" s="3">
        <v>9.9379999999999998E-4</v>
      </c>
      <c r="N509" s="3">
        <v>-4.2006999999999999E-3</v>
      </c>
      <c r="O509" s="3">
        <v>-9.2335999999999998E-3</v>
      </c>
      <c r="P509" s="3">
        <v>-1.4057699999999999E-2</v>
      </c>
      <c r="Q509" s="3">
        <v>-1.85249E-2</v>
      </c>
      <c r="R509" s="3">
        <v>-2.25156E-2</v>
      </c>
      <c r="S509" s="3">
        <v>-2.5924300000000001E-2</v>
      </c>
      <c r="T509" s="3">
        <v>-2.8645299999999999E-2</v>
      </c>
      <c r="U509" s="3">
        <v>-3.0572700000000001E-2</v>
      </c>
      <c r="V509" s="3">
        <v>-3.1600999999999997E-2</v>
      </c>
      <c r="W509" s="3">
        <v>-3.1650400000000002E-2</v>
      </c>
      <c r="X509" s="3">
        <v>-3.0739800000000001E-2</v>
      </c>
      <c r="Y509" s="3">
        <v>-2.8911599999999999E-2</v>
      </c>
      <c r="Z509" s="3">
        <v>-2.6208100000000002E-2</v>
      </c>
      <c r="AA509" s="3">
        <v>-2.2671899999999998E-2</v>
      </c>
      <c r="AB509" s="3">
        <v>-1.8345299999999998E-2</v>
      </c>
      <c r="AC509" s="3">
        <v>-1.3273800000000001E-2</v>
      </c>
      <c r="AD509" s="3">
        <v>-7.5154000000000002E-3</v>
      </c>
      <c r="AE509" s="3">
        <v>-1.1313E-3</v>
      </c>
      <c r="AF509" s="3">
        <v>5.8174000000000003E-3</v>
      </c>
      <c r="AG509" s="3">
        <v>1.3269599999999999E-2</v>
      </c>
      <c r="AH509" s="3">
        <v>2.1164100000000002E-2</v>
      </c>
      <c r="AI509" s="3">
        <v>2.9439799999999999E-2</v>
      </c>
      <c r="AJ509" s="3">
        <v>3.8035600000000003E-2</v>
      </c>
      <c r="AK509" s="3">
        <v>4.6890399999999999E-2</v>
      </c>
      <c r="AL509" s="3">
        <v>5.5943E-2</v>
      </c>
      <c r="AM509" s="3">
        <v>6.5132399999999993E-2</v>
      </c>
      <c r="AN509" s="3">
        <v>7.4397199999999997E-2</v>
      </c>
      <c r="AO509" s="3">
        <v>8.3683800000000003E-2</v>
      </c>
      <c r="AP509" s="3">
        <v>9.2973200000000006E-2</v>
      </c>
      <c r="AQ509" s="3">
        <v>0.1022574</v>
      </c>
      <c r="AR509" s="3">
        <v>0.11152819999999999</v>
      </c>
      <c r="AS509" s="3">
        <v>0.1207776</v>
      </c>
      <c r="AT509" s="3">
        <v>0.12999749999999999</v>
      </c>
      <c r="AU509" s="3">
        <v>0.13917969999999999</v>
      </c>
      <c r="AV509" s="3">
        <v>0.14831620000000001</v>
      </c>
      <c r="AW509" s="3">
        <v>0.15739890000000001</v>
      </c>
      <c r="AX509" s="3">
        <v>0.1664197</v>
      </c>
      <c r="AY509" s="3">
        <v>0.17537040000000001</v>
      </c>
      <c r="AZ509" s="3">
        <v>0.18424309999999999</v>
      </c>
      <c r="BA509" s="3">
        <v>0.19303110000000001</v>
      </c>
      <c r="BB509" s="3">
        <v>0.2017352</v>
      </c>
      <c r="BC509" s="3">
        <v>0.21035780000000001</v>
      </c>
      <c r="BD509" s="3">
        <v>0.2189016</v>
      </c>
      <c r="BE509" s="3">
        <v>0.22736919999999999</v>
      </c>
      <c r="BF509" s="3">
        <v>0.2357631</v>
      </c>
      <c r="BG509" s="3">
        <v>0.24408589999999999</v>
      </c>
      <c r="BH509" s="3">
        <v>0.25234020000000001</v>
      </c>
      <c r="BI509" s="3">
        <v>0.2605286</v>
      </c>
      <c r="BJ509" s="3">
        <v>0.26865359999999999</v>
      </c>
      <c r="BK509" s="3">
        <v>0.27671790000000002</v>
      </c>
      <c r="BL509" s="3">
        <v>0.28472389999999997</v>
      </c>
      <c r="BM509" s="3" t="e">
        <v>#N/A</v>
      </c>
      <c r="BN509" s="3" t="e">
        <v>#N/A</v>
      </c>
    </row>
    <row r="510" spans="1:66" x14ac:dyDescent="0.35">
      <c r="A510" s="5">
        <f t="shared" si="7"/>
        <v>44168</v>
      </c>
      <c r="B510" t="s">
        <v>587</v>
      </c>
      <c r="C510" s="2">
        <v>0.1</v>
      </c>
      <c r="D510" s="2">
        <v>5.1900000000000002E-2</v>
      </c>
      <c r="E510" s="3">
        <v>5.0188700000000003E-2</v>
      </c>
      <c r="F510" s="3">
        <v>4.3881200000000002E-2</v>
      </c>
      <c r="G510" s="3">
        <v>3.6975899999999999E-2</v>
      </c>
      <c r="H510" s="3">
        <v>3.0196899999999999E-2</v>
      </c>
      <c r="I510" s="3">
        <v>2.34988E-2</v>
      </c>
      <c r="J510" s="3">
        <v>1.7114799999999999E-2</v>
      </c>
      <c r="K510" s="3">
        <v>1.12353E-2</v>
      </c>
      <c r="L510" s="3">
        <v>5.7629999999999999E-3</v>
      </c>
      <c r="M510" s="3">
        <v>6.2239999999999995E-4</v>
      </c>
      <c r="N510" s="3">
        <v>-4.2331000000000001E-3</v>
      </c>
      <c r="O510" s="3">
        <v>-8.8357000000000002E-3</v>
      </c>
      <c r="P510" s="3">
        <v>-1.31447E-2</v>
      </c>
      <c r="Q510" s="3">
        <v>-1.7063700000000001E-2</v>
      </c>
      <c r="R510" s="3">
        <v>-2.05054E-2</v>
      </c>
      <c r="S510" s="3">
        <v>-2.3388300000000001E-2</v>
      </c>
      <c r="T510" s="3">
        <v>-2.56306E-2</v>
      </c>
      <c r="U510" s="3">
        <v>-2.71506E-2</v>
      </c>
      <c r="V510" s="3">
        <v>-2.7866599999999998E-2</v>
      </c>
      <c r="W510" s="3">
        <v>-2.77197E-2</v>
      </c>
      <c r="X510" s="3">
        <v>-2.67377E-2</v>
      </c>
      <c r="Y510" s="3">
        <v>-2.4969000000000002E-2</v>
      </c>
      <c r="Z510" s="3">
        <v>-2.24619E-2</v>
      </c>
      <c r="AA510" s="3">
        <v>-1.9265000000000001E-2</v>
      </c>
      <c r="AB510" s="3">
        <v>-1.54266E-2</v>
      </c>
      <c r="AC510" s="3">
        <v>-1.09947E-2</v>
      </c>
      <c r="AD510" s="3">
        <v>-6.0150000000000004E-3</v>
      </c>
      <c r="AE510" s="3">
        <v>-5.3269999999999999E-4</v>
      </c>
      <c r="AF510" s="3">
        <v>5.4072E-3</v>
      </c>
      <c r="AG510" s="3">
        <v>1.17597E-2</v>
      </c>
      <c r="AH510" s="3">
        <v>1.8479700000000002E-2</v>
      </c>
      <c r="AI510" s="3">
        <v>2.5522099999999999E-2</v>
      </c>
      <c r="AJ510" s="3">
        <v>3.2841799999999997E-2</v>
      </c>
      <c r="AK510" s="3">
        <v>4.0393800000000001E-2</v>
      </c>
      <c r="AL510" s="3">
        <v>4.8133000000000002E-2</v>
      </c>
      <c r="AM510" s="3">
        <v>5.6014399999999999E-2</v>
      </c>
      <c r="AN510" s="3">
        <v>6.3992800000000002E-2</v>
      </c>
      <c r="AO510" s="3">
        <v>7.2028700000000001E-2</v>
      </c>
      <c r="AP510" s="3">
        <v>8.0107499999999998E-2</v>
      </c>
      <c r="AQ510" s="3">
        <v>8.82212E-2</v>
      </c>
      <c r="AR510" s="3">
        <v>9.6361699999999995E-2</v>
      </c>
      <c r="AS510" s="3">
        <v>0.10452110000000001</v>
      </c>
      <c r="AT510" s="3">
        <v>0.1126914</v>
      </c>
      <c r="AU510" s="3">
        <v>0.12086470000000001</v>
      </c>
      <c r="AV510" s="3">
        <v>0.12903300000000001</v>
      </c>
      <c r="AW510" s="3">
        <v>0.13718830000000001</v>
      </c>
      <c r="AX510" s="3">
        <v>0.1453227</v>
      </c>
      <c r="AY510" s="3">
        <v>0.15342810000000001</v>
      </c>
      <c r="AZ510" s="3">
        <v>0.16149669999999999</v>
      </c>
      <c r="BA510" s="3">
        <v>0.1695218</v>
      </c>
      <c r="BB510" s="3">
        <v>0.17750260000000001</v>
      </c>
      <c r="BC510" s="3">
        <v>0.18543989999999999</v>
      </c>
      <c r="BD510" s="3">
        <v>0.19333449999999999</v>
      </c>
      <c r="BE510" s="3">
        <v>0.20118730000000001</v>
      </c>
      <c r="BF510" s="3">
        <v>0.20899909999999999</v>
      </c>
      <c r="BG510" s="3">
        <v>0.21677070000000001</v>
      </c>
      <c r="BH510" s="3">
        <v>0.22450300000000001</v>
      </c>
      <c r="BI510" s="3">
        <v>0.23219680000000001</v>
      </c>
      <c r="BJ510" s="3">
        <v>0.2398528</v>
      </c>
      <c r="BK510" s="3">
        <v>0.247472</v>
      </c>
      <c r="BL510" s="3">
        <v>0.25505519999999998</v>
      </c>
      <c r="BM510" s="3" t="e">
        <v>#N/A</v>
      </c>
      <c r="BN510" s="3" t="e">
        <v>#N/A</v>
      </c>
    </row>
    <row r="511" spans="1:66" x14ac:dyDescent="0.35">
      <c r="A511" s="5">
        <f t="shared" si="7"/>
        <v>44169</v>
      </c>
      <c r="B511" t="s">
        <v>588</v>
      </c>
      <c r="C511" s="2">
        <v>0.1</v>
      </c>
      <c r="D511" s="2">
        <v>5.1299999999999998E-2</v>
      </c>
      <c r="E511" s="3">
        <v>4.9889799999999998E-2</v>
      </c>
      <c r="F511" s="3">
        <v>4.1973700000000003E-2</v>
      </c>
      <c r="G511" s="3">
        <v>3.07389E-2</v>
      </c>
      <c r="H511" s="3">
        <v>2.2806400000000001E-2</v>
      </c>
      <c r="I511" s="3">
        <v>1.8327E-2</v>
      </c>
      <c r="J511" s="3">
        <v>1.4350699999999999E-2</v>
      </c>
      <c r="K511" s="3">
        <v>1.05167E-2</v>
      </c>
      <c r="L511" s="3">
        <v>6.9021999999999998E-3</v>
      </c>
      <c r="M511" s="3">
        <v>3.2577000000000001E-3</v>
      </c>
      <c r="N511" s="3">
        <v>-8.8940000000000004E-4</v>
      </c>
      <c r="O511" s="3">
        <v>-5.9138000000000003E-3</v>
      </c>
      <c r="P511" s="3">
        <v>-1.18507E-2</v>
      </c>
      <c r="Q511" s="3">
        <v>-1.77527E-2</v>
      </c>
      <c r="R511" s="3">
        <v>-2.32044E-2</v>
      </c>
      <c r="S511" s="3">
        <v>-2.80427E-2</v>
      </c>
      <c r="T511" s="3">
        <v>-3.2105099999999998E-2</v>
      </c>
      <c r="U511" s="3">
        <v>-3.5228700000000002E-2</v>
      </c>
      <c r="V511" s="3">
        <v>-3.7250699999999998E-2</v>
      </c>
      <c r="W511" s="3">
        <v>-3.8045599999999999E-2</v>
      </c>
      <c r="X511" s="3">
        <v>-3.7661E-2</v>
      </c>
      <c r="Y511" s="3">
        <v>-3.6194499999999998E-2</v>
      </c>
      <c r="Z511" s="3">
        <v>-3.3743799999999997E-2</v>
      </c>
      <c r="AA511" s="3">
        <v>-3.04065E-2</v>
      </c>
      <c r="AB511" s="3">
        <v>-2.6280299999999999E-2</v>
      </c>
      <c r="AC511" s="3">
        <v>-2.1455800000000001E-2</v>
      </c>
      <c r="AD511" s="3">
        <v>-1.5992900000000001E-2</v>
      </c>
      <c r="AE511" s="3">
        <v>-9.9427999999999999E-3</v>
      </c>
      <c r="AF511" s="3">
        <v>-3.3568000000000001E-3</v>
      </c>
      <c r="AG511" s="3">
        <v>3.7138000000000002E-3</v>
      </c>
      <c r="AH511" s="3">
        <v>1.1217700000000001E-2</v>
      </c>
      <c r="AI511" s="3">
        <v>1.9103599999999998E-2</v>
      </c>
      <c r="AJ511" s="3">
        <v>2.7320299999999999E-2</v>
      </c>
      <c r="AK511" s="3">
        <v>3.5816399999999998E-2</v>
      </c>
      <c r="AL511" s="3">
        <v>4.4540799999999998E-2</v>
      </c>
      <c r="AM511" s="3">
        <v>5.3442000000000003E-2</v>
      </c>
      <c r="AN511" s="3">
        <v>6.2468799999999998E-2</v>
      </c>
      <c r="AO511" s="3">
        <v>7.1576699999999993E-2</v>
      </c>
      <c r="AP511" s="3">
        <v>8.0748200000000006E-2</v>
      </c>
      <c r="AQ511" s="3">
        <v>8.9972499999999997E-2</v>
      </c>
      <c r="AR511" s="3">
        <v>9.9238900000000005E-2</v>
      </c>
      <c r="AS511" s="3">
        <v>0.10853649999999999</v>
      </c>
      <c r="AT511" s="3">
        <v>0.11785470000000001</v>
      </c>
      <c r="AU511" s="3">
        <v>0.12718260000000001</v>
      </c>
      <c r="AV511" s="3">
        <v>0.13650960000000001</v>
      </c>
      <c r="AW511" s="3">
        <v>0.1458248</v>
      </c>
      <c r="AX511" s="3">
        <v>0.15511749999999999</v>
      </c>
      <c r="AY511" s="3">
        <v>0.164377</v>
      </c>
      <c r="AZ511" s="3">
        <v>0.17359240000000001</v>
      </c>
      <c r="BA511" s="3">
        <v>0.1827548</v>
      </c>
      <c r="BB511" s="3">
        <v>0.1918627</v>
      </c>
      <c r="BC511" s="3">
        <v>0.20091690000000001</v>
      </c>
      <c r="BD511" s="3">
        <v>0.2099182</v>
      </c>
      <c r="BE511" s="3">
        <v>0.21886720000000001</v>
      </c>
      <c r="BF511" s="3">
        <v>0.22776460000000001</v>
      </c>
      <c r="BG511" s="3">
        <v>0.23661119999999999</v>
      </c>
      <c r="BH511" s="3">
        <v>0.24540770000000001</v>
      </c>
      <c r="BI511" s="3">
        <v>0.25415480000000001</v>
      </c>
      <c r="BJ511" s="3">
        <v>0.26285320000000001</v>
      </c>
      <c r="BK511" s="3">
        <v>0.27150370000000001</v>
      </c>
      <c r="BL511" s="3">
        <v>0.28010699999999999</v>
      </c>
      <c r="BM511" s="3" t="e">
        <v>#N/A</v>
      </c>
      <c r="BN511" s="3" t="e">
        <v>#N/A</v>
      </c>
    </row>
    <row r="512" spans="1:66" x14ac:dyDescent="0.35">
      <c r="A512" s="5">
        <f t="shared" si="7"/>
        <v>44172</v>
      </c>
      <c r="B512" t="s">
        <v>589</v>
      </c>
      <c r="C512" s="2">
        <v>0.1</v>
      </c>
      <c r="D512" s="2">
        <v>5.0999999999999997E-2</v>
      </c>
      <c r="E512" s="3">
        <v>4.3522499999999999E-2</v>
      </c>
      <c r="F512" s="3">
        <v>3.3805599999999998E-2</v>
      </c>
      <c r="G512" s="3">
        <v>2.2926200000000001E-2</v>
      </c>
      <c r="H512" s="3">
        <v>1.2727E-2</v>
      </c>
      <c r="I512" s="3">
        <v>3.4822999999999998E-3</v>
      </c>
      <c r="J512" s="3">
        <v>-4.8989000000000003E-3</v>
      </c>
      <c r="K512" s="3">
        <v>-1.2709E-2</v>
      </c>
      <c r="L512" s="3">
        <v>-2.0379100000000001E-2</v>
      </c>
      <c r="M512" s="3">
        <v>-2.81473E-2</v>
      </c>
      <c r="N512" s="3">
        <v>-3.59943E-2</v>
      </c>
      <c r="O512" s="3">
        <v>-4.3731199999999998E-2</v>
      </c>
      <c r="P512" s="3">
        <v>-5.1076700000000003E-2</v>
      </c>
      <c r="Q512" s="3">
        <v>-5.76266E-2</v>
      </c>
      <c r="R512" s="3">
        <v>-6.3255599999999995E-2</v>
      </c>
      <c r="S512" s="3">
        <v>-6.7921899999999993E-2</v>
      </c>
      <c r="T512" s="3">
        <v>-7.1584099999999998E-2</v>
      </c>
      <c r="U512" s="3">
        <v>-7.4200500000000003E-2</v>
      </c>
      <c r="V512" s="3">
        <v>-7.57298E-2</v>
      </c>
      <c r="W512" s="3">
        <v>-7.6151800000000006E-2</v>
      </c>
      <c r="X512" s="3">
        <v>-7.5528600000000001E-2</v>
      </c>
      <c r="Y512" s="3">
        <v>-7.3941800000000002E-2</v>
      </c>
      <c r="Z512" s="3">
        <v>-7.1473099999999998E-2</v>
      </c>
      <c r="AA512" s="3">
        <v>-6.8203799999999995E-2</v>
      </c>
      <c r="AB512" s="3">
        <v>-6.4215800000000003E-2</v>
      </c>
      <c r="AC512" s="3">
        <v>-5.9585100000000002E-2</v>
      </c>
      <c r="AD512" s="3">
        <v>-5.43668E-2</v>
      </c>
      <c r="AE512" s="3">
        <v>-4.8610599999999997E-2</v>
      </c>
      <c r="AF512" s="3">
        <v>-4.23662E-2</v>
      </c>
      <c r="AG512" s="3">
        <v>-3.5683300000000001E-2</v>
      </c>
      <c r="AH512" s="3">
        <v>-2.8611600000000001E-2</v>
      </c>
      <c r="AI512" s="3">
        <v>-2.1200699999999999E-2</v>
      </c>
      <c r="AJ512" s="3">
        <v>-1.35003E-2</v>
      </c>
      <c r="AK512" s="3">
        <v>-5.5602000000000004E-3</v>
      </c>
      <c r="AL512" s="3">
        <v>2.5701000000000001E-3</v>
      </c>
      <c r="AM512" s="3">
        <v>1.08407E-2</v>
      </c>
      <c r="AN512" s="3">
        <v>1.9202E-2</v>
      </c>
      <c r="AO512" s="3">
        <v>2.7611500000000001E-2</v>
      </c>
      <c r="AP512" s="3">
        <v>3.6054900000000001E-2</v>
      </c>
      <c r="AQ512" s="3">
        <v>4.4525000000000002E-2</v>
      </c>
      <c r="AR512" s="3">
        <v>5.3014899999999997E-2</v>
      </c>
      <c r="AS512" s="3">
        <v>6.1517299999999997E-2</v>
      </c>
      <c r="AT512" s="3">
        <v>7.0025100000000007E-2</v>
      </c>
      <c r="AU512" s="3">
        <v>7.8531299999999998E-2</v>
      </c>
      <c r="AV512" s="3">
        <v>8.7028700000000001E-2</v>
      </c>
      <c r="AW512" s="3">
        <v>9.5510100000000001E-2</v>
      </c>
      <c r="AX512" s="3">
        <v>0.10396859999999999</v>
      </c>
      <c r="AY512" s="3">
        <v>0.11239689999999999</v>
      </c>
      <c r="AZ512" s="3">
        <v>0.12078800000000001</v>
      </c>
      <c r="BA512" s="3">
        <v>0.12913559999999999</v>
      </c>
      <c r="BB512" s="3">
        <v>0.13743849999999999</v>
      </c>
      <c r="BC512" s="3">
        <v>0.14569699999999999</v>
      </c>
      <c r="BD512" s="3">
        <v>0.15391160000000001</v>
      </c>
      <c r="BE512" s="3">
        <v>0.16208249999999999</v>
      </c>
      <c r="BF512" s="3">
        <v>0.17021030000000001</v>
      </c>
      <c r="BG512" s="3">
        <v>0.17829510000000001</v>
      </c>
      <c r="BH512" s="3">
        <v>0.18633749999999999</v>
      </c>
      <c r="BI512" s="3">
        <v>0.19433790000000001</v>
      </c>
      <c r="BJ512" s="3">
        <v>0.20229649999999999</v>
      </c>
      <c r="BK512" s="3">
        <v>0.2102137</v>
      </c>
      <c r="BL512" s="3">
        <v>0.21809000000000001</v>
      </c>
      <c r="BM512" s="3" t="e">
        <v>#N/A</v>
      </c>
      <c r="BN512" s="3" t="e">
        <v>#N/A</v>
      </c>
    </row>
    <row r="513" spans="1:66" x14ac:dyDescent="0.35">
      <c r="A513" s="5">
        <f t="shared" si="7"/>
        <v>44173</v>
      </c>
      <c r="B513" t="s">
        <v>590</v>
      </c>
      <c r="C513" s="2">
        <v>0.1</v>
      </c>
      <c r="D513" s="2">
        <v>5.0999999999999997E-2</v>
      </c>
      <c r="E513" s="3">
        <v>4.2690699999999998E-2</v>
      </c>
      <c r="F513" s="3">
        <v>3.2578599999999999E-2</v>
      </c>
      <c r="G513" s="3">
        <v>2.1104100000000001E-2</v>
      </c>
      <c r="H513" s="3">
        <v>1.0137E-2</v>
      </c>
      <c r="I513" s="3">
        <v>8.2000000000000001E-5</v>
      </c>
      <c r="J513" s="3">
        <v>-9.0107E-3</v>
      </c>
      <c r="K513" s="3">
        <v>-1.7233499999999999E-2</v>
      </c>
      <c r="L513" s="3">
        <v>-2.49634E-2</v>
      </c>
      <c r="M513" s="3">
        <v>-3.2459200000000001E-2</v>
      </c>
      <c r="N513" s="3">
        <v>-3.9781799999999999E-2</v>
      </c>
      <c r="O513" s="3">
        <v>-4.6823999999999998E-2</v>
      </c>
      <c r="P513" s="3">
        <v>-5.3388100000000001E-2</v>
      </c>
      <c r="Q513" s="3">
        <v>-5.9156E-2</v>
      </c>
      <c r="R513" s="3">
        <v>-6.4052399999999995E-2</v>
      </c>
      <c r="S513" s="3">
        <v>-6.8075300000000005E-2</v>
      </c>
      <c r="T513" s="3">
        <v>-7.1222599999999997E-2</v>
      </c>
      <c r="U513" s="3">
        <v>-7.3492000000000002E-2</v>
      </c>
      <c r="V513" s="3">
        <v>-7.4881500000000004E-2</v>
      </c>
      <c r="W513" s="3">
        <v>-7.5398800000000002E-2</v>
      </c>
      <c r="X513" s="3">
        <v>-7.5089400000000001E-2</v>
      </c>
      <c r="Y513" s="3">
        <v>-7.4007600000000007E-2</v>
      </c>
      <c r="Z513" s="3">
        <v>-7.2207800000000003E-2</v>
      </c>
      <c r="AA513" s="3">
        <v>-6.9744399999999998E-2</v>
      </c>
      <c r="AB513" s="3">
        <v>-6.66717E-2</v>
      </c>
      <c r="AC513" s="3">
        <v>-6.3041600000000003E-2</v>
      </c>
      <c r="AD513" s="3">
        <v>-5.8895900000000001E-2</v>
      </c>
      <c r="AE513" s="3">
        <v>-5.4274200000000002E-2</v>
      </c>
      <c r="AF513" s="3">
        <v>-4.9215700000000001E-2</v>
      </c>
      <c r="AG513" s="3">
        <v>-4.3759800000000001E-2</v>
      </c>
      <c r="AH513" s="3">
        <v>-3.7945899999999998E-2</v>
      </c>
      <c r="AI513" s="3">
        <v>-3.1813500000000001E-2</v>
      </c>
      <c r="AJ513" s="3">
        <v>-2.5401799999999999E-2</v>
      </c>
      <c r="AK513" s="3">
        <v>-1.8750300000000001E-2</v>
      </c>
      <c r="AL513" s="3">
        <v>-1.18984E-2</v>
      </c>
      <c r="AM513" s="3">
        <v>-4.8853999999999998E-3</v>
      </c>
      <c r="AN513" s="3">
        <v>2.2493000000000001E-3</v>
      </c>
      <c r="AO513" s="3">
        <v>9.4713999999999996E-3</v>
      </c>
      <c r="AP513" s="3">
        <v>1.6767000000000001E-2</v>
      </c>
      <c r="AQ513" s="3">
        <v>2.41274E-2</v>
      </c>
      <c r="AR513" s="3">
        <v>3.1544000000000003E-2</v>
      </c>
      <c r="AS513" s="3">
        <v>3.9007899999999998E-2</v>
      </c>
      <c r="AT513" s="3">
        <v>4.6510299999999997E-2</v>
      </c>
      <c r="AU513" s="3">
        <v>5.4042699999999999E-2</v>
      </c>
      <c r="AV513" s="3">
        <v>6.1596100000000001E-2</v>
      </c>
      <c r="AW513" s="3">
        <v>6.9162000000000001E-2</v>
      </c>
      <c r="AX513" s="3">
        <v>7.6731499999999994E-2</v>
      </c>
      <c r="AY513" s="3">
        <v>8.4295900000000007E-2</v>
      </c>
      <c r="AZ513" s="3">
        <v>9.1846499999999998E-2</v>
      </c>
      <c r="BA513" s="3">
        <v>9.9375699999999997E-2</v>
      </c>
      <c r="BB513" s="3">
        <v>0.10688159999999999</v>
      </c>
      <c r="BC513" s="3">
        <v>0.1143641</v>
      </c>
      <c r="BD513" s="3">
        <v>0.1218231</v>
      </c>
      <c r="BE513" s="3">
        <v>0.12925829999999999</v>
      </c>
      <c r="BF513" s="3">
        <v>0.13666980000000001</v>
      </c>
      <c r="BG513" s="3">
        <v>0.1440573</v>
      </c>
      <c r="BH513" s="3">
        <v>0.15142069999999999</v>
      </c>
      <c r="BI513" s="3">
        <v>0.15875990000000001</v>
      </c>
      <c r="BJ513" s="3">
        <v>0.16607469999999999</v>
      </c>
      <c r="BK513" s="3">
        <v>0.17336499999999999</v>
      </c>
      <c r="BL513" s="3">
        <v>0.18063070000000001</v>
      </c>
      <c r="BM513" s="3" t="e">
        <v>#N/A</v>
      </c>
      <c r="BN513" s="3" t="e">
        <v>#N/A</v>
      </c>
    </row>
    <row r="514" spans="1:66" x14ac:dyDescent="0.35">
      <c r="A514" s="5">
        <f t="shared" si="7"/>
        <v>44174</v>
      </c>
      <c r="B514" t="s">
        <v>591</v>
      </c>
      <c r="C514" s="2">
        <v>0.1</v>
      </c>
      <c r="D514" s="2">
        <v>5.1400000000000001E-2</v>
      </c>
      <c r="E514" s="3">
        <v>4.1771000000000003E-2</v>
      </c>
      <c r="F514" s="3">
        <v>3.1941700000000003E-2</v>
      </c>
      <c r="G514" s="3">
        <v>2.2064400000000001E-2</v>
      </c>
      <c r="H514" s="3">
        <v>1.30131E-2</v>
      </c>
      <c r="I514" s="3">
        <v>4.5814999999999996E-3</v>
      </c>
      <c r="J514" s="3">
        <v>-3.4102999999999998E-3</v>
      </c>
      <c r="K514" s="3">
        <v>-1.1084999999999999E-2</v>
      </c>
      <c r="L514" s="3">
        <v>-1.8671699999999999E-2</v>
      </c>
      <c r="M514" s="3">
        <v>-2.63041E-2</v>
      </c>
      <c r="N514" s="3">
        <v>-3.40209E-2</v>
      </c>
      <c r="O514" s="3">
        <v>-4.1731499999999998E-2</v>
      </c>
      <c r="P514" s="3">
        <v>-4.9196200000000002E-2</v>
      </c>
      <c r="Q514" s="3">
        <v>-5.5987200000000001E-2</v>
      </c>
      <c r="R514" s="3">
        <v>-6.1947599999999998E-2</v>
      </c>
      <c r="S514" s="3">
        <v>-6.7004800000000003E-2</v>
      </c>
      <c r="T514" s="3">
        <v>-7.1086099999999999E-2</v>
      </c>
      <c r="U514" s="3">
        <v>-7.4118900000000001E-2</v>
      </c>
      <c r="V514" s="3">
        <v>-7.6030399999999998E-2</v>
      </c>
      <c r="W514" s="3">
        <v>-7.6780000000000001E-2</v>
      </c>
      <c r="X514" s="3">
        <v>-7.6447799999999996E-2</v>
      </c>
      <c r="Y514" s="3">
        <v>-7.5142799999999996E-2</v>
      </c>
      <c r="Z514" s="3">
        <v>-7.2974200000000003E-2</v>
      </c>
      <c r="AA514" s="3">
        <v>-7.0050799999999996E-2</v>
      </c>
      <c r="AB514" s="3">
        <v>-6.6481899999999997E-2</v>
      </c>
      <c r="AC514" s="3">
        <v>-6.2365200000000003E-2</v>
      </c>
      <c r="AD514" s="3">
        <v>-5.7753899999999997E-2</v>
      </c>
      <c r="AE514" s="3">
        <v>-5.2690000000000001E-2</v>
      </c>
      <c r="AF514" s="3">
        <v>-4.7215399999999998E-2</v>
      </c>
      <c r="AG514" s="3">
        <v>-4.1372199999999998E-2</v>
      </c>
      <c r="AH514" s="3">
        <v>-3.5202200000000003E-2</v>
      </c>
      <c r="AI514" s="3">
        <v>-2.8747499999999999E-2</v>
      </c>
      <c r="AJ514" s="3">
        <v>-2.205E-2</v>
      </c>
      <c r="AK514" s="3">
        <v>-1.51518E-2</v>
      </c>
      <c r="AL514" s="3">
        <v>-8.0946999999999998E-3</v>
      </c>
      <c r="AM514" s="3">
        <v>-9.2080000000000005E-4</v>
      </c>
      <c r="AN514" s="3">
        <v>6.3280000000000003E-3</v>
      </c>
      <c r="AO514" s="3">
        <v>1.36148E-2</v>
      </c>
      <c r="AP514" s="3">
        <v>2.09283E-2</v>
      </c>
      <c r="AQ514" s="3">
        <v>2.8264500000000001E-2</v>
      </c>
      <c r="AR514" s="3">
        <v>3.5619600000000001E-2</v>
      </c>
      <c r="AS514" s="3">
        <v>4.299E-2</v>
      </c>
      <c r="AT514" s="3">
        <v>5.0371600000000002E-2</v>
      </c>
      <c r="AU514" s="3">
        <v>5.7760800000000001E-2</v>
      </c>
      <c r="AV514" s="3">
        <v>6.5153799999999998E-2</v>
      </c>
      <c r="AW514" s="3">
        <v>7.2546700000000006E-2</v>
      </c>
      <c r="AX514" s="3">
        <v>7.9935599999999996E-2</v>
      </c>
      <c r="AY514" s="3">
        <v>8.7316900000000003E-2</v>
      </c>
      <c r="AZ514" s="3">
        <v>9.4686699999999999E-2</v>
      </c>
      <c r="BA514" s="3">
        <v>0.1020418</v>
      </c>
      <c r="BB514" s="3">
        <v>0.1093813</v>
      </c>
      <c r="BC514" s="3">
        <v>0.11670510000000001</v>
      </c>
      <c r="BD514" s="3">
        <v>0.1240131</v>
      </c>
      <c r="BE514" s="3">
        <v>0.13130530000000001</v>
      </c>
      <c r="BF514" s="3">
        <v>0.13858139999999999</v>
      </c>
      <c r="BG514" s="3">
        <v>0.14584140000000001</v>
      </c>
      <c r="BH514" s="3">
        <v>0.1530852</v>
      </c>
      <c r="BI514" s="3">
        <v>0.1603125</v>
      </c>
      <c r="BJ514" s="3">
        <v>0.16752339999999999</v>
      </c>
      <c r="BK514" s="3">
        <v>0.1747177</v>
      </c>
      <c r="BL514" s="3">
        <v>0.18189520000000001</v>
      </c>
      <c r="BM514" s="3" t="e">
        <v>#N/A</v>
      </c>
      <c r="BN514" s="3" t="e">
        <v>#N/A</v>
      </c>
    </row>
    <row r="515" spans="1:66" x14ac:dyDescent="0.35">
      <c r="A515" s="5">
        <f t="shared" si="7"/>
        <v>44175</v>
      </c>
      <c r="B515" t="s">
        <v>592</v>
      </c>
      <c r="C515" s="2">
        <v>0.1</v>
      </c>
      <c r="D515" s="2">
        <v>5.0799999999999998E-2</v>
      </c>
      <c r="E515" s="3">
        <v>3.6279899999999997E-2</v>
      </c>
      <c r="F515" s="3">
        <v>2.3935999999999999E-2</v>
      </c>
      <c r="G515" s="3">
        <v>1.1343300000000001E-2</v>
      </c>
      <c r="H515" s="3">
        <v>-3.8190000000000001E-4</v>
      </c>
      <c r="I515" s="3">
        <v>-1.1702000000000001E-2</v>
      </c>
      <c r="J515" s="3">
        <v>-2.2674300000000001E-2</v>
      </c>
      <c r="K515" s="3">
        <v>-3.3073400000000003E-2</v>
      </c>
      <c r="L515" s="3">
        <v>-4.28341E-2</v>
      </c>
      <c r="M515" s="3">
        <v>-5.1962800000000003E-2</v>
      </c>
      <c r="N515" s="3">
        <v>-6.0509300000000002E-2</v>
      </c>
      <c r="O515" s="3">
        <v>-6.8494700000000006E-2</v>
      </c>
      <c r="P515" s="3">
        <v>-7.5887999999999997E-2</v>
      </c>
      <c r="Q515" s="3">
        <v>-8.2576700000000003E-2</v>
      </c>
      <c r="R515" s="3">
        <v>-8.8488999999999998E-2</v>
      </c>
      <c r="S515" s="3">
        <v>-9.35695E-2</v>
      </c>
      <c r="T515" s="3">
        <v>-9.7762600000000005E-2</v>
      </c>
      <c r="U515" s="3">
        <v>-0.10101259999999999</v>
      </c>
      <c r="V515" s="3">
        <v>-0.1032641</v>
      </c>
      <c r="W515" s="3">
        <v>-0.1044838</v>
      </c>
      <c r="X515" s="3">
        <v>-0.10472389999999999</v>
      </c>
      <c r="Y515" s="3">
        <v>-0.1040566</v>
      </c>
      <c r="Z515" s="3">
        <v>-0.1025544</v>
      </c>
      <c r="AA515" s="3">
        <v>-0.1002895</v>
      </c>
      <c r="AB515" s="3">
        <v>-9.7334400000000001E-2</v>
      </c>
      <c r="AC515" s="3">
        <v>-9.3758099999999997E-2</v>
      </c>
      <c r="AD515" s="3">
        <v>-8.9614100000000002E-2</v>
      </c>
      <c r="AE515" s="3">
        <v>-8.4950999999999999E-2</v>
      </c>
      <c r="AF515" s="3">
        <v>-7.9817600000000002E-2</v>
      </c>
      <c r="AG515" s="3">
        <v>-7.4262499999999995E-2</v>
      </c>
      <c r="AH515" s="3">
        <v>-6.8334400000000003E-2</v>
      </c>
      <c r="AI515" s="3">
        <v>-6.2081900000000002E-2</v>
      </c>
      <c r="AJ515" s="3">
        <v>-5.5553699999999998E-2</v>
      </c>
      <c r="AK515" s="3">
        <v>-4.8798500000000002E-2</v>
      </c>
      <c r="AL515" s="3">
        <v>-4.1864899999999997E-2</v>
      </c>
      <c r="AM515" s="3">
        <v>-3.4801600000000002E-2</v>
      </c>
      <c r="AN515" s="3">
        <v>-2.7657299999999999E-2</v>
      </c>
      <c r="AO515" s="3">
        <v>-2.0474300000000001E-2</v>
      </c>
      <c r="AP515" s="3">
        <v>-1.3266099999999999E-2</v>
      </c>
      <c r="AQ515" s="3">
        <v>-6.0388999999999998E-3</v>
      </c>
      <c r="AR515" s="3">
        <v>1.2015000000000001E-3</v>
      </c>
      <c r="AS515" s="3">
        <v>8.4490999999999993E-3</v>
      </c>
      <c r="AT515" s="3">
        <v>1.56981E-2</v>
      </c>
      <c r="AU515" s="3">
        <v>2.2942400000000002E-2</v>
      </c>
      <c r="AV515" s="3">
        <v>3.01763E-2</v>
      </c>
      <c r="AW515" s="3">
        <v>3.7393700000000002E-2</v>
      </c>
      <c r="AX515" s="3">
        <v>4.4588799999999998E-2</v>
      </c>
      <c r="AY515" s="3">
        <v>5.1755599999999999E-2</v>
      </c>
      <c r="AZ515" s="3">
        <v>5.8888200000000002E-2</v>
      </c>
      <c r="BA515" s="3">
        <v>6.5981799999999993E-2</v>
      </c>
      <c r="BB515" s="3">
        <v>7.3037099999999994E-2</v>
      </c>
      <c r="BC515" s="3">
        <v>8.0056100000000005E-2</v>
      </c>
      <c r="BD515" s="3">
        <v>8.7040800000000002E-2</v>
      </c>
      <c r="BE515" s="3">
        <v>9.3993300000000002E-2</v>
      </c>
      <c r="BF515" s="3">
        <v>0.10091559999999999</v>
      </c>
      <c r="BG515" s="3">
        <v>0.1078098</v>
      </c>
      <c r="BH515" s="3">
        <v>0.1146779</v>
      </c>
      <c r="BI515" s="3">
        <v>0.1215219</v>
      </c>
      <c r="BJ515" s="3">
        <v>0.12834390000000001</v>
      </c>
      <c r="BK515" s="3">
        <v>0.13514599999999999</v>
      </c>
      <c r="BL515" s="3">
        <v>0.1419301</v>
      </c>
      <c r="BM515" s="3" t="e">
        <v>#N/A</v>
      </c>
      <c r="BN515" s="3" t="e">
        <v>#N/A</v>
      </c>
    </row>
    <row r="516" spans="1:66" x14ac:dyDescent="0.35">
      <c r="A516" s="5">
        <f t="shared" si="7"/>
        <v>44176</v>
      </c>
      <c r="B516" t="s">
        <v>593</v>
      </c>
      <c r="C516" s="2">
        <v>0.1</v>
      </c>
      <c r="D516" s="2">
        <v>5.0200000000000002E-2</v>
      </c>
      <c r="E516" s="3">
        <v>3.5372099999999997E-2</v>
      </c>
      <c r="F516" s="3">
        <v>1.6496799999999999E-2</v>
      </c>
      <c r="G516" s="3">
        <v>-7.5129999999999999E-4</v>
      </c>
      <c r="H516" s="3">
        <v>-1.44651E-2</v>
      </c>
      <c r="I516" s="3">
        <v>-2.5684599999999998E-2</v>
      </c>
      <c r="J516" s="3">
        <v>-3.5300100000000001E-2</v>
      </c>
      <c r="K516" s="3">
        <v>-4.3921700000000001E-2</v>
      </c>
      <c r="L516" s="3">
        <v>-5.2097499999999998E-2</v>
      </c>
      <c r="M516" s="3">
        <v>-6.0106199999999999E-2</v>
      </c>
      <c r="N516" s="3">
        <v>-6.7995100000000003E-2</v>
      </c>
      <c r="O516" s="3">
        <v>-7.5669500000000001E-2</v>
      </c>
      <c r="P516" s="3">
        <v>-8.2963800000000004E-2</v>
      </c>
      <c r="Q516" s="3">
        <v>-8.9681800000000006E-2</v>
      </c>
      <c r="R516" s="3">
        <v>-9.5727699999999999E-2</v>
      </c>
      <c r="S516" s="3">
        <v>-0.1010402</v>
      </c>
      <c r="T516" s="3">
        <v>-0.1055579</v>
      </c>
      <c r="U516" s="3">
        <v>-0.1092195</v>
      </c>
      <c r="V516" s="3">
        <v>-0.1119638</v>
      </c>
      <c r="W516" s="3">
        <v>-0.1137461</v>
      </c>
      <c r="X516" s="3">
        <v>-0.1146006</v>
      </c>
      <c r="Y516" s="3">
        <v>-0.11458400000000001</v>
      </c>
      <c r="Z516" s="3">
        <v>-0.1137529</v>
      </c>
      <c r="AA516" s="3">
        <v>-0.1121641</v>
      </c>
      <c r="AB516" s="3">
        <v>-0.10987420000000001</v>
      </c>
      <c r="AC516" s="3">
        <v>-0.1069394</v>
      </c>
      <c r="AD516" s="3">
        <v>-0.10341259999999999</v>
      </c>
      <c r="AE516" s="3">
        <v>-9.9345900000000001E-2</v>
      </c>
      <c r="AF516" s="3">
        <v>-9.4791700000000007E-2</v>
      </c>
      <c r="AG516" s="3">
        <v>-8.9802000000000007E-2</v>
      </c>
      <c r="AH516" s="3">
        <v>-8.4429100000000007E-2</v>
      </c>
      <c r="AI516" s="3">
        <v>-7.8725100000000006E-2</v>
      </c>
      <c r="AJ516" s="3">
        <v>-7.2742299999999996E-2</v>
      </c>
      <c r="AK516" s="3">
        <v>-6.65327E-2</v>
      </c>
      <c r="AL516" s="3">
        <v>-6.0148699999999999E-2</v>
      </c>
      <c r="AM516" s="3">
        <v>-5.3642299999999997E-2</v>
      </c>
      <c r="AN516" s="3">
        <v>-4.7065799999999998E-2</v>
      </c>
      <c r="AO516" s="3">
        <v>-4.0463600000000002E-2</v>
      </c>
      <c r="AP516" s="3">
        <v>-3.3849799999999999E-2</v>
      </c>
      <c r="AQ516" s="3">
        <v>-2.7230600000000001E-2</v>
      </c>
      <c r="AR516" s="3">
        <v>-2.0612200000000001E-2</v>
      </c>
      <c r="AS516" s="3">
        <v>-1.4001E-2</v>
      </c>
      <c r="AT516" s="3">
        <v>-7.4032000000000004E-3</v>
      </c>
      <c r="AU516" s="3">
        <v>-8.2510000000000005E-4</v>
      </c>
      <c r="AV516" s="3">
        <v>5.7270000000000003E-3</v>
      </c>
      <c r="AW516" s="3">
        <v>1.22469E-2</v>
      </c>
      <c r="AX516" s="3">
        <v>1.87282E-2</v>
      </c>
      <c r="AY516" s="3">
        <v>2.5164800000000001E-2</v>
      </c>
      <c r="AZ516" s="3">
        <v>3.1550300000000003E-2</v>
      </c>
      <c r="BA516" s="3">
        <v>3.7879999999999997E-2</v>
      </c>
      <c r="BB516" s="3">
        <v>4.41562E-2</v>
      </c>
      <c r="BC516" s="3">
        <v>5.0382900000000001E-2</v>
      </c>
      <c r="BD516" s="3">
        <v>5.6564499999999997E-2</v>
      </c>
      <c r="BE516" s="3">
        <v>6.2704899999999994E-2</v>
      </c>
      <c r="BF516" s="3">
        <v>6.8808499999999995E-2</v>
      </c>
      <c r="BG516" s="3">
        <v>7.4879200000000007E-2</v>
      </c>
      <c r="BH516" s="3">
        <v>8.0921300000000002E-2</v>
      </c>
      <c r="BI516" s="3">
        <v>8.6939000000000002E-2</v>
      </c>
      <c r="BJ516" s="3">
        <v>9.2936299999999999E-2</v>
      </c>
      <c r="BK516" s="3">
        <v>9.8917500000000005E-2</v>
      </c>
      <c r="BL516" s="3">
        <v>0.1048866</v>
      </c>
      <c r="BM516" s="3" t="e">
        <v>#N/A</v>
      </c>
      <c r="BN516" s="3" t="e">
        <v>#N/A</v>
      </c>
    </row>
    <row r="517" spans="1:66" x14ac:dyDescent="0.35">
      <c r="A517" s="5">
        <f t="shared" si="7"/>
        <v>44179</v>
      </c>
      <c r="B517" t="s">
        <v>594</v>
      </c>
      <c r="C517" s="2">
        <v>0.1</v>
      </c>
      <c r="D517" s="2">
        <v>4.9399999999999999E-2</v>
      </c>
      <c r="E517" s="3">
        <v>4.0953000000000003E-2</v>
      </c>
      <c r="F517" s="3">
        <v>2.8336099999999999E-2</v>
      </c>
      <c r="G517" s="3">
        <v>1.5810999999999999E-2</v>
      </c>
      <c r="H517" s="3">
        <v>4.7399E-3</v>
      </c>
      <c r="I517" s="3">
        <v>-5.0225000000000001E-3</v>
      </c>
      <c r="J517" s="3">
        <v>-1.35858E-2</v>
      </c>
      <c r="K517" s="3">
        <v>-2.1146399999999999E-2</v>
      </c>
      <c r="L517" s="3">
        <v>-2.8073399999999998E-2</v>
      </c>
      <c r="M517" s="3">
        <v>-3.4700000000000002E-2</v>
      </c>
      <c r="N517" s="3">
        <v>-4.12212E-2</v>
      </c>
      <c r="O517" s="3">
        <v>-4.76619E-2</v>
      </c>
      <c r="P517" s="3">
        <v>-5.3918899999999999E-2</v>
      </c>
      <c r="Q517" s="3">
        <v>-5.9730699999999998E-2</v>
      </c>
      <c r="R517" s="3">
        <v>-6.4970200000000006E-2</v>
      </c>
      <c r="S517" s="3">
        <v>-6.9557999999999995E-2</v>
      </c>
      <c r="T517" s="3">
        <v>-7.3414300000000002E-2</v>
      </c>
      <c r="U517" s="3">
        <v>-7.6459700000000005E-2</v>
      </c>
      <c r="V517" s="3">
        <v>-7.8614400000000001E-2</v>
      </c>
      <c r="W517" s="3">
        <v>-7.9825699999999999E-2</v>
      </c>
      <c r="X517" s="3">
        <v>-8.0142699999999997E-2</v>
      </c>
      <c r="Y517" s="3">
        <v>-7.9638899999999999E-2</v>
      </c>
      <c r="Z517" s="3">
        <v>-7.8387700000000005E-2</v>
      </c>
      <c r="AA517" s="3">
        <v>-7.6462600000000006E-2</v>
      </c>
      <c r="AB517" s="3">
        <v>-7.39369E-2</v>
      </c>
      <c r="AC517" s="3">
        <v>-7.0878300000000005E-2</v>
      </c>
      <c r="AD517" s="3">
        <v>-6.7331199999999994E-2</v>
      </c>
      <c r="AE517" s="3">
        <v>-6.3333899999999999E-2</v>
      </c>
      <c r="AF517" s="3">
        <v>-5.8925100000000001E-2</v>
      </c>
      <c r="AG517" s="3">
        <v>-5.4143200000000002E-2</v>
      </c>
      <c r="AH517" s="3">
        <v>-4.9026800000000002E-2</v>
      </c>
      <c r="AI517" s="3">
        <v>-4.3614199999999999E-2</v>
      </c>
      <c r="AJ517" s="3">
        <v>-3.7944100000000001E-2</v>
      </c>
      <c r="AK517" s="3">
        <v>-3.2054899999999997E-2</v>
      </c>
      <c r="AL517" s="3">
        <v>-2.5985100000000001E-2</v>
      </c>
      <c r="AM517" s="3">
        <v>-1.9773300000000001E-2</v>
      </c>
      <c r="AN517" s="3">
        <v>-1.34579E-2</v>
      </c>
      <c r="AO517" s="3">
        <v>-7.0718999999999999E-3</v>
      </c>
      <c r="AP517" s="3">
        <v>-6.2660000000000005E-4</v>
      </c>
      <c r="AQ517" s="3">
        <v>5.8722999999999996E-3</v>
      </c>
      <c r="AR517" s="3">
        <v>1.2418999999999999E-2</v>
      </c>
      <c r="AS517" s="3">
        <v>1.9007900000000001E-2</v>
      </c>
      <c r="AT517" s="3">
        <v>2.5633099999999999E-2</v>
      </c>
      <c r="AU517" s="3">
        <v>3.2288999999999998E-2</v>
      </c>
      <c r="AV517" s="3">
        <v>3.8969799999999999E-2</v>
      </c>
      <c r="AW517" s="3">
        <v>4.5669700000000001E-2</v>
      </c>
      <c r="AX517" s="3">
        <v>5.2382999999999999E-2</v>
      </c>
      <c r="AY517" s="3">
        <v>5.9103999999999997E-2</v>
      </c>
      <c r="AZ517" s="3">
        <v>6.5826999999999997E-2</v>
      </c>
      <c r="BA517" s="3">
        <v>7.2546799999999995E-2</v>
      </c>
      <c r="BB517" s="3">
        <v>7.9262299999999994E-2</v>
      </c>
      <c r="BC517" s="3">
        <v>8.5973499999999994E-2</v>
      </c>
      <c r="BD517" s="3">
        <v>9.2680600000000002E-2</v>
      </c>
      <c r="BE517" s="3">
        <v>9.93835E-2</v>
      </c>
      <c r="BF517" s="3">
        <v>0.1060823</v>
      </c>
      <c r="BG517" s="3">
        <v>0.112777</v>
      </c>
      <c r="BH517" s="3">
        <v>0.1194678</v>
      </c>
      <c r="BI517" s="3">
        <v>0.12615470000000001</v>
      </c>
      <c r="BJ517" s="3">
        <v>0.1328377</v>
      </c>
      <c r="BK517" s="3">
        <v>0.1395169</v>
      </c>
      <c r="BL517" s="3">
        <v>0.1461924</v>
      </c>
      <c r="BM517" s="3" t="e">
        <v>#N/A</v>
      </c>
      <c r="BN517" s="3" t="e">
        <v>#N/A</v>
      </c>
    </row>
    <row r="518" spans="1:66" x14ac:dyDescent="0.35">
      <c r="A518" s="5">
        <f t="shared" si="7"/>
        <v>44180</v>
      </c>
      <c r="B518" t="s">
        <v>595</v>
      </c>
      <c r="C518" s="2">
        <v>0.1</v>
      </c>
      <c r="D518" s="2">
        <v>4.9099999999999998E-2</v>
      </c>
      <c r="E518" s="3">
        <v>4.33208E-2</v>
      </c>
      <c r="F518" s="3">
        <v>3.6018000000000001E-2</v>
      </c>
      <c r="G518" s="3">
        <v>2.8251100000000001E-2</v>
      </c>
      <c r="H518" s="3">
        <v>2.1168800000000002E-2</v>
      </c>
      <c r="I518" s="3">
        <v>1.4694499999999999E-2</v>
      </c>
      <c r="J518" s="3">
        <v>8.5681000000000004E-3</v>
      </c>
      <c r="K518" s="3">
        <v>2.6272999999999999E-3</v>
      </c>
      <c r="L518" s="3">
        <v>-3.2953000000000001E-3</v>
      </c>
      <c r="M518" s="3">
        <v>-9.2967999999999992E-3</v>
      </c>
      <c r="N518" s="3">
        <v>-1.53145E-2</v>
      </c>
      <c r="O518" s="3">
        <v>-2.11807E-2</v>
      </c>
      <c r="P518" s="3">
        <v>-2.6681699999999999E-2</v>
      </c>
      <c r="Q518" s="3">
        <v>-3.15304E-2</v>
      </c>
      <c r="R518" s="3">
        <v>-3.5644299999999997E-2</v>
      </c>
      <c r="S518" s="3">
        <v>-3.9000699999999999E-2</v>
      </c>
      <c r="T518" s="3">
        <v>-4.15769E-2</v>
      </c>
      <c r="U518" s="3">
        <v>-4.3350100000000003E-2</v>
      </c>
      <c r="V518" s="3">
        <v>-4.4297499999999997E-2</v>
      </c>
      <c r="W518" s="3">
        <v>-4.44115E-2</v>
      </c>
      <c r="X518" s="3">
        <v>-4.3741200000000001E-2</v>
      </c>
      <c r="Y518" s="3">
        <v>-4.2349299999999999E-2</v>
      </c>
      <c r="Z518" s="3">
        <v>-4.0298599999999997E-2</v>
      </c>
      <c r="AA518" s="3">
        <v>-3.7651700000000003E-2</v>
      </c>
      <c r="AB518" s="3">
        <v>-3.4471599999999998E-2</v>
      </c>
      <c r="AC518" s="3">
        <v>-3.0816099999999999E-2</v>
      </c>
      <c r="AD518" s="3">
        <v>-2.6724299999999999E-2</v>
      </c>
      <c r="AE518" s="3">
        <v>-2.22306E-2</v>
      </c>
      <c r="AF518" s="3">
        <v>-1.7369300000000001E-2</v>
      </c>
      <c r="AG518" s="3">
        <v>-1.21748E-2</v>
      </c>
      <c r="AH518" s="3">
        <v>-6.6813000000000003E-3</v>
      </c>
      <c r="AI518" s="3">
        <v>-9.232E-4</v>
      </c>
      <c r="AJ518" s="3">
        <v>5.0651000000000003E-3</v>
      </c>
      <c r="AK518" s="3">
        <v>1.12494E-2</v>
      </c>
      <c r="AL518" s="3">
        <v>1.7595199999999998E-2</v>
      </c>
      <c r="AM518" s="3">
        <v>2.4068200000000001E-2</v>
      </c>
      <c r="AN518" s="3">
        <v>3.06342E-2</v>
      </c>
      <c r="AO518" s="3">
        <v>3.7263299999999999E-2</v>
      </c>
      <c r="AP518" s="3">
        <v>4.3943900000000001E-2</v>
      </c>
      <c r="AQ518" s="3">
        <v>5.0669100000000002E-2</v>
      </c>
      <c r="AR518" s="3">
        <v>5.7431799999999998E-2</v>
      </c>
      <c r="AS518" s="3">
        <v>6.4225099999999993E-2</v>
      </c>
      <c r="AT518" s="3">
        <v>7.1041999999999994E-2</v>
      </c>
      <c r="AU518" s="3">
        <v>7.7875299999999995E-2</v>
      </c>
      <c r="AV518" s="3">
        <v>8.4718199999999994E-2</v>
      </c>
      <c r="AW518" s="3">
        <v>9.1563599999999995E-2</v>
      </c>
      <c r="AX518" s="3">
        <v>9.8404500000000006E-2</v>
      </c>
      <c r="AY518" s="3">
        <v>0.10523390000000001</v>
      </c>
      <c r="AZ518" s="3">
        <v>0.1120448</v>
      </c>
      <c r="BA518" s="3">
        <v>0.1188313</v>
      </c>
      <c r="BB518" s="3">
        <v>0.12559300000000001</v>
      </c>
      <c r="BC518" s="3">
        <v>0.13233110000000001</v>
      </c>
      <c r="BD518" s="3">
        <v>0.1390468</v>
      </c>
      <c r="BE518" s="3">
        <v>0.1457415</v>
      </c>
      <c r="BF518" s="3">
        <v>0.1524162</v>
      </c>
      <c r="BG518" s="3">
        <v>0.1590722</v>
      </c>
      <c r="BH518" s="3">
        <v>0.16571089999999999</v>
      </c>
      <c r="BI518" s="3">
        <v>0.17233329999999999</v>
      </c>
      <c r="BJ518" s="3">
        <v>0.17894070000000001</v>
      </c>
      <c r="BK518" s="3">
        <v>0.18553430000000001</v>
      </c>
      <c r="BL518" s="3">
        <v>0.19211549999999999</v>
      </c>
      <c r="BM518" s="3" t="e">
        <v>#N/A</v>
      </c>
      <c r="BN518" s="3" t="e">
        <v>#N/A</v>
      </c>
    </row>
    <row r="519" spans="1:66" x14ac:dyDescent="0.35">
      <c r="A519" s="5">
        <f t="shared" si="7"/>
        <v>44181</v>
      </c>
      <c r="B519" t="s">
        <v>596</v>
      </c>
      <c r="C519" s="2">
        <v>0.1</v>
      </c>
      <c r="D519" s="2">
        <v>4.7800000000000002E-2</v>
      </c>
      <c r="E519" s="3">
        <v>4.6157700000000003E-2</v>
      </c>
      <c r="F519" s="3">
        <v>4.0590300000000003E-2</v>
      </c>
      <c r="G519" s="3">
        <v>3.3834299999999998E-2</v>
      </c>
      <c r="H519" s="3">
        <v>2.6969300000000002E-2</v>
      </c>
      <c r="I519" s="3">
        <v>2.0731099999999999E-2</v>
      </c>
      <c r="J519" s="3">
        <v>1.5415699999999999E-2</v>
      </c>
      <c r="K519" s="3">
        <v>1.0766700000000001E-2</v>
      </c>
      <c r="L519" s="3">
        <v>6.1777000000000004E-3</v>
      </c>
      <c r="M519" s="3">
        <v>1.2122999999999999E-3</v>
      </c>
      <c r="N519" s="3">
        <v>-4.2348000000000004E-3</v>
      </c>
      <c r="O519" s="3">
        <v>-1.0022E-2</v>
      </c>
      <c r="P519" s="3">
        <v>-1.5831600000000001E-2</v>
      </c>
      <c r="Q519" s="3">
        <v>-2.1071099999999999E-2</v>
      </c>
      <c r="R519" s="3">
        <v>-2.55611E-2</v>
      </c>
      <c r="S519" s="3">
        <v>-2.92508E-2</v>
      </c>
      <c r="T519" s="3">
        <v>-3.2089600000000003E-2</v>
      </c>
      <c r="U519" s="3">
        <v>-3.4026899999999999E-2</v>
      </c>
      <c r="V519" s="3">
        <v>-3.5012000000000001E-2</v>
      </c>
      <c r="W519" s="3">
        <v>-3.5021700000000003E-2</v>
      </c>
      <c r="X519" s="3">
        <v>-3.4137300000000002E-2</v>
      </c>
      <c r="Y519" s="3">
        <v>-3.24652E-2</v>
      </c>
      <c r="Z519" s="3">
        <v>-3.01114E-2</v>
      </c>
      <c r="AA519" s="3">
        <v>-2.71823E-2</v>
      </c>
      <c r="AB519" s="3">
        <v>-2.3784099999999999E-2</v>
      </c>
      <c r="AC519" s="3">
        <v>-2.00094E-2</v>
      </c>
      <c r="AD519" s="3">
        <v>-1.5896799999999999E-2</v>
      </c>
      <c r="AE519" s="3">
        <v>-1.14714E-2</v>
      </c>
      <c r="AF519" s="3">
        <v>-6.7581999999999998E-3</v>
      </c>
      <c r="AG519" s="3">
        <v>-1.7822000000000001E-3</v>
      </c>
      <c r="AH519" s="3">
        <v>3.4315999999999999E-3</v>
      </c>
      <c r="AI519" s="3">
        <v>8.8581000000000007E-3</v>
      </c>
      <c r="AJ519" s="3">
        <v>1.44723E-2</v>
      </c>
      <c r="AK519" s="3">
        <v>2.0249199999999998E-2</v>
      </c>
      <c r="AL519" s="3">
        <v>2.6163700000000002E-2</v>
      </c>
      <c r="AM519" s="3">
        <v>3.2190900000000001E-2</v>
      </c>
      <c r="AN519" s="3">
        <v>3.8305699999999998E-2</v>
      </c>
      <c r="AO519" s="3">
        <v>4.4485999999999998E-2</v>
      </c>
      <c r="AP519" s="3">
        <v>5.0724199999999997E-2</v>
      </c>
      <c r="AQ519" s="3">
        <v>5.7016900000000002E-2</v>
      </c>
      <c r="AR519" s="3">
        <v>6.3361000000000001E-2</v>
      </c>
      <c r="AS519" s="3">
        <v>6.9753200000000001E-2</v>
      </c>
      <c r="AT519" s="3">
        <v>7.61902E-2</v>
      </c>
      <c r="AU519" s="3">
        <v>8.2668599999999995E-2</v>
      </c>
      <c r="AV519" s="3">
        <v>8.9185399999999998E-2</v>
      </c>
      <c r="AW519" s="3">
        <v>9.5737100000000006E-2</v>
      </c>
      <c r="AX519" s="3">
        <v>0.10232049999999999</v>
      </c>
      <c r="AY519" s="3">
        <v>0.1089324</v>
      </c>
      <c r="AZ519" s="3">
        <v>0.11556950000000001</v>
      </c>
      <c r="BA519" s="3">
        <v>0.1222287</v>
      </c>
      <c r="BB519" s="3">
        <v>0.12890799999999999</v>
      </c>
      <c r="BC519" s="3">
        <v>0.13560559999999999</v>
      </c>
      <c r="BD519" s="3">
        <v>0.14231959999999999</v>
      </c>
      <c r="BE519" s="3">
        <v>0.1490485</v>
      </c>
      <c r="BF519" s="3">
        <v>0.15579019999999999</v>
      </c>
      <c r="BG519" s="3">
        <v>0.1625431</v>
      </c>
      <c r="BH519" s="3">
        <v>0.16930539999999999</v>
      </c>
      <c r="BI519" s="3">
        <v>0.17607519999999999</v>
      </c>
      <c r="BJ519" s="3">
        <v>0.18285090000000001</v>
      </c>
      <c r="BK519" s="3">
        <v>0.18963050000000001</v>
      </c>
      <c r="BL519" s="3">
        <v>0.19641239999999999</v>
      </c>
      <c r="BM519" s="3" t="e">
        <v>#N/A</v>
      </c>
      <c r="BN519" s="3" t="e">
        <v>#N/A</v>
      </c>
    </row>
    <row r="520" spans="1:66" x14ac:dyDescent="0.35">
      <c r="A520" s="5">
        <f t="shared" si="7"/>
        <v>44182</v>
      </c>
      <c r="B520" t="s">
        <v>597</v>
      </c>
      <c r="C520" s="2">
        <v>0.1</v>
      </c>
      <c r="D520" s="2">
        <v>4.87E-2</v>
      </c>
      <c r="E520" s="3">
        <v>4.1751400000000001E-2</v>
      </c>
      <c r="F520" s="3">
        <v>3.92828E-2</v>
      </c>
      <c r="G520" s="3">
        <v>3.4705E-2</v>
      </c>
      <c r="H520" s="3">
        <v>2.8894699999999999E-2</v>
      </c>
      <c r="I520" s="3">
        <v>2.2796500000000001E-2</v>
      </c>
      <c r="J520" s="3">
        <v>1.68313E-2</v>
      </c>
      <c r="K520" s="3">
        <v>1.10639E-2</v>
      </c>
      <c r="L520" s="3">
        <v>5.3376999999999999E-3</v>
      </c>
      <c r="M520" s="3">
        <v>-5.1150000000000002E-4</v>
      </c>
      <c r="N520" s="3">
        <v>-6.4719E-3</v>
      </c>
      <c r="O520" s="3">
        <v>-1.2378E-2</v>
      </c>
      <c r="P520" s="3">
        <v>-1.8001099999999999E-2</v>
      </c>
      <c r="Q520" s="3">
        <v>-2.2968100000000002E-2</v>
      </c>
      <c r="R520" s="3">
        <v>-2.7168999999999999E-2</v>
      </c>
      <c r="S520" s="3">
        <v>-3.05746E-2</v>
      </c>
      <c r="T520" s="3">
        <v>-3.3155999999999998E-2</v>
      </c>
      <c r="U520" s="3">
        <v>-3.4884100000000001E-2</v>
      </c>
      <c r="V520" s="3">
        <v>-3.5729900000000002E-2</v>
      </c>
      <c r="W520" s="3">
        <v>-3.5679900000000001E-2</v>
      </c>
      <c r="X520" s="3">
        <v>-3.4780199999999997E-2</v>
      </c>
      <c r="Y520" s="3">
        <v>-3.3091000000000002E-2</v>
      </c>
      <c r="Z520" s="3">
        <v>-3.0672700000000001E-2</v>
      </c>
      <c r="AA520" s="3">
        <v>-2.75854E-2</v>
      </c>
      <c r="AB520" s="3">
        <v>-2.3889400000000002E-2</v>
      </c>
      <c r="AC520" s="3">
        <v>-1.9642400000000001E-2</v>
      </c>
      <c r="AD520" s="3">
        <v>-1.48901E-2</v>
      </c>
      <c r="AE520" s="3">
        <v>-9.6746000000000002E-3</v>
      </c>
      <c r="AF520" s="3">
        <v>-4.0378999999999996E-3</v>
      </c>
      <c r="AG520" s="3">
        <v>1.9780000000000002E-3</v>
      </c>
      <c r="AH520" s="3">
        <v>8.3309000000000005E-3</v>
      </c>
      <c r="AI520" s="3">
        <v>1.49789E-2</v>
      </c>
      <c r="AJ520" s="3">
        <v>2.188E-2</v>
      </c>
      <c r="AK520" s="3">
        <v>2.89921E-2</v>
      </c>
      <c r="AL520" s="3">
        <v>3.6273100000000003E-2</v>
      </c>
      <c r="AM520" s="3">
        <v>4.3680999999999998E-2</v>
      </c>
      <c r="AN520" s="3">
        <v>5.1173799999999998E-2</v>
      </c>
      <c r="AO520" s="3">
        <v>5.8714599999999999E-2</v>
      </c>
      <c r="AP520" s="3">
        <v>6.6289200000000006E-2</v>
      </c>
      <c r="AQ520" s="3">
        <v>7.3889899999999994E-2</v>
      </c>
      <c r="AR520" s="3">
        <v>8.1508700000000003E-2</v>
      </c>
      <c r="AS520" s="3">
        <v>8.9137800000000003E-2</v>
      </c>
      <c r="AT520" s="3">
        <v>9.6769400000000005E-2</v>
      </c>
      <c r="AU520" s="3">
        <v>0.1043955</v>
      </c>
      <c r="AV520" s="3">
        <v>0.1120085</v>
      </c>
      <c r="AW520" s="3">
        <v>0.11960030000000001</v>
      </c>
      <c r="AX520" s="3">
        <v>0.1271631</v>
      </c>
      <c r="AY520" s="3">
        <v>0.13468920000000001</v>
      </c>
      <c r="AZ520" s="3">
        <v>0.14217050000000001</v>
      </c>
      <c r="BA520" s="3">
        <v>0.14960080000000001</v>
      </c>
      <c r="BB520" s="3">
        <v>0.15698000000000001</v>
      </c>
      <c r="BC520" s="3">
        <v>0.1643096</v>
      </c>
      <c r="BD520" s="3">
        <v>0.17159150000000001</v>
      </c>
      <c r="BE520" s="3">
        <v>0.17882719999999999</v>
      </c>
      <c r="BF520" s="3">
        <v>0.1860184</v>
      </c>
      <c r="BG520" s="3">
        <v>0.1931668</v>
      </c>
      <c r="BH520" s="3">
        <v>0.20027410000000001</v>
      </c>
      <c r="BI520" s="3">
        <v>0.2073419</v>
      </c>
      <c r="BJ520" s="3">
        <v>0.2143719</v>
      </c>
      <c r="BK520" s="3">
        <v>0.2213657</v>
      </c>
      <c r="BL520" s="3">
        <v>0.22832520000000001</v>
      </c>
      <c r="BM520" s="3" t="e">
        <v>#N/A</v>
      </c>
      <c r="BN520" s="3" t="e">
        <v>#N/A</v>
      </c>
    </row>
    <row r="521" spans="1:66" x14ac:dyDescent="0.35">
      <c r="A521" s="5">
        <f t="shared" si="7"/>
        <v>44183</v>
      </c>
      <c r="B521" t="s">
        <v>598</v>
      </c>
      <c r="C521" s="2">
        <v>0.1</v>
      </c>
      <c r="D521" s="2">
        <v>4.8300000000000003E-2</v>
      </c>
      <c r="E521" s="3">
        <v>4.0042700000000001E-2</v>
      </c>
      <c r="F521" s="3">
        <v>3.3636699999999999E-2</v>
      </c>
      <c r="G521" s="3">
        <v>2.6971499999999999E-2</v>
      </c>
      <c r="H521" s="3">
        <v>2.0003400000000001E-2</v>
      </c>
      <c r="I521" s="3">
        <v>1.2778100000000001E-2</v>
      </c>
      <c r="J521" s="3">
        <v>5.4865000000000001E-3</v>
      </c>
      <c r="K521" s="3">
        <v>-1.7526E-3</v>
      </c>
      <c r="L521" s="3">
        <v>-8.8905000000000008E-3</v>
      </c>
      <c r="M521" s="3">
        <v>-1.5911100000000001E-2</v>
      </c>
      <c r="N521" s="3">
        <v>-2.2813199999999999E-2</v>
      </c>
      <c r="O521" s="3">
        <v>-2.9514100000000001E-2</v>
      </c>
      <c r="P521" s="3">
        <v>-3.58225E-2</v>
      </c>
      <c r="Q521" s="3">
        <v>-4.1308699999999997E-2</v>
      </c>
      <c r="R521" s="3">
        <v>-4.5855399999999998E-2</v>
      </c>
      <c r="S521" s="3">
        <v>-4.9466000000000003E-2</v>
      </c>
      <c r="T521" s="3">
        <v>-5.21439E-2</v>
      </c>
      <c r="U521" s="3">
        <v>-5.38924E-2</v>
      </c>
      <c r="V521" s="3">
        <v>-5.4715E-2</v>
      </c>
      <c r="W521" s="3">
        <v>-5.4625300000000002E-2</v>
      </c>
      <c r="X521" s="3">
        <v>-5.3684299999999997E-2</v>
      </c>
      <c r="Y521" s="3">
        <v>-5.1966999999999999E-2</v>
      </c>
      <c r="Z521" s="3">
        <v>-4.9548000000000002E-2</v>
      </c>
      <c r="AA521" s="3">
        <v>-4.6502399999999999E-2</v>
      </c>
      <c r="AB521" s="3">
        <v>-4.29048E-2</v>
      </c>
      <c r="AC521" s="3">
        <v>-3.8824400000000002E-2</v>
      </c>
      <c r="AD521" s="3">
        <v>-3.4304500000000002E-2</v>
      </c>
      <c r="AE521" s="3">
        <v>-2.9381500000000001E-2</v>
      </c>
      <c r="AF521" s="3">
        <v>-2.4091600000000001E-2</v>
      </c>
      <c r="AG521" s="3">
        <v>-1.84712E-2</v>
      </c>
      <c r="AH521" s="3">
        <v>-1.25565E-2</v>
      </c>
      <c r="AI521" s="3">
        <v>-6.3839999999999999E-3</v>
      </c>
      <c r="AJ521" s="3">
        <v>1.0200000000000001E-5</v>
      </c>
      <c r="AK521" s="3">
        <v>6.5897000000000004E-3</v>
      </c>
      <c r="AL521" s="3">
        <v>1.3318099999999999E-2</v>
      </c>
      <c r="AM521" s="3">
        <v>2.0159199999999999E-2</v>
      </c>
      <c r="AN521" s="3">
        <v>2.7076699999999999E-2</v>
      </c>
      <c r="AO521" s="3">
        <v>3.4039399999999997E-2</v>
      </c>
      <c r="AP521" s="3">
        <v>4.10376E-2</v>
      </c>
      <c r="AQ521" s="3">
        <v>4.8066400000000002E-2</v>
      </c>
      <c r="AR521" s="3">
        <v>5.5121299999999998E-2</v>
      </c>
      <c r="AS521" s="3">
        <v>6.2197599999999999E-2</v>
      </c>
      <c r="AT521" s="3">
        <v>6.9290599999999994E-2</v>
      </c>
      <c r="AU521" s="3">
        <v>7.6395599999999994E-2</v>
      </c>
      <c r="AV521" s="3">
        <v>8.3507899999999996E-2</v>
      </c>
      <c r="AW521" s="3">
        <v>9.0622999999999995E-2</v>
      </c>
      <c r="AX521" s="3">
        <v>9.7736100000000006E-2</v>
      </c>
      <c r="AY521" s="3">
        <v>0.10484250000000001</v>
      </c>
      <c r="AZ521" s="3">
        <v>0.1119377</v>
      </c>
      <c r="BA521" s="3">
        <v>0.1190176</v>
      </c>
      <c r="BB521" s="3">
        <v>0.126082</v>
      </c>
      <c r="BC521" s="3">
        <v>0.13313130000000001</v>
      </c>
      <c r="BD521" s="3">
        <v>0.14016600000000001</v>
      </c>
      <c r="BE521" s="3">
        <v>0.1471867</v>
      </c>
      <c r="BF521" s="3">
        <v>0.15419389999999999</v>
      </c>
      <c r="BG521" s="3">
        <v>0.1611882</v>
      </c>
      <c r="BH521" s="3">
        <v>0.16816999999999999</v>
      </c>
      <c r="BI521" s="3">
        <v>0.17513999999999999</v>
      </c>
      <c r="BJ521" s="3">
        <v>0.1820986</v>
      </c>
      <c r="BK521" s="3">
        <v>0.1890464</v>
      </c>
      <c r="BL521" s="3">
        <v>0.19598389999999999</v>
      </c>
      <c r="BM521" s="3" t="e">
        <v>#N/A</v>
      </c>
      <c r="BN521" s="3" t="e">
        <v>#N/A</v>
      </c>
    </row>
    <row r="522" spans="1:66" x14ac:dyDescent="0.35">
      <c r="A522" s="5">
        <f t="shared" si="7"/>
        <v>44186</v>
      </c>
      <c r="B522" t="s">
        <v>599</v>
      </c>
      <c r="C522" s="2">
        <v>0.1</v>
      </c>
      <c r="D522" s="2">
        <v>4.7699999999999999E-2</v>
      </c>
      <c r="E522" s="3">
        <v>3.55293E-2</v>
      </c>
      <c r="F522" s="3">
        <v>2.6203299999999999E-2</v>
      </c>
      <c r="G522" s="3">
        <v>1.7983300000000001E-2</v>
      </c>
      <c r="H522" s="3">
        <v>7.3609000000000001E-3</v>
      </c>
      <c r="I522" s="3">
        <v>-5.9471000000000003E-3</v>
      </c>
      <c r="J522" s="3">
        <v>-2.0131900000000001E-2</v>
      </c>
      <c r="K522" s="3">
        <v>-3.3190999999999998E-2</v>
      </c>
      <c r="L522" s="3">
        <v>-4.4025000000000002E-2</v>
      </c>
      <c r="M522" s="3">
        <v>-5.2860200000000003E-2</v>
      </c>
      <c r="N522" s="3">
        <v>-6.03285E-2</v>
      </c>
      <c r="O522" s="3">
        <v>-6.6826800000000006E-2</v>
      </c>
      <c r="P522" s="3">
        <v>-7.2578400000000001E-2</v>
      </c>
      <c r="Q522" s="3">
        <v>-7.7653399999999997E-2</v>
      </c>
      <c r="R522" s="3">
        <v>-8.2024200000000005E-2</v>
      </c>
      <c r="S522" s="3">
        <v>-8.5647500000000001E-2</v>
      </c>
      <c r="T522" s="3">
        <v>-8.8480100000000006E-2</v>
      </c>
      <c r="U522" s="3">
        <v>-9.0478699999999995E-2</v>
      </c>
      <c r="V522" s="3">
        <v>-9.1600000000000001E-2</v>
      </c>
      <c r="W522" s="3">
        <v>-9.1818399999999994E-2</v>
      </c>
      <c r="X522" s="3">
        <v>-9.1176300000000002E-2</v>
      </c>
      <c r="Y522" s="3">
        <v>-8.9732199999999998E-2</v>
      </c>
      <c r="Z522" s="3">
        <v>-8.7544499999999997E-2</v>
      </c>
      <c r="AA522" s="3">
        <v>-8.4671700000000003E-2</v>
      </c>
      <c r="AB522" s="3">
        <v>-8.1172400000000006E-2</v>
      </c>
      <c r="AC522" s="3">
        <v>-7.7102400000000001E-2</v>
      </c>
      <c r="AD522" s="3">
        <v>-7.2507799999999997E-2</v>
      </c>
      <c r="AE522" s="3">
        <v>-6.74318E-2</v>
      </c>
      <c r="AF522" s="3">
        <v>-6.1918000000000001E-2</v>
      </c>
      <c r="AG522" s="3">
        <v>-5.6009700000000003E-2</v>
      </c>
      <c r="AH522" s="3">
        <v>-4.9750299999999997E-2</v>
      </c>
      <c r="AI522" s="3">
        <v>-4.3183300000000001E-2</v>
      </c>
      <c r="AJ522" s="3">
        <v>-3.6352200000000001E-2</v>
      </c>
      <c r="AK522" s="3">
        <v>-2.9300199999999998E-2</v>
      </c>
      <c r="AL522" s="3">
        <v>-2.2070900000000001E-2</v>
      </c>
      <c r="AM522" s="3">
        <v>-1.47075E-2</v>
      </c>
      <c r="AN522" s="3">
        <v>-7.2537000000000001E-3</v>
      </c>
      <c r="AO522" s="3">
        <v>2.5339999999999998E-4</v>
      </c>
      <c r="AP522" s="3">
        <v>7.8003999999999999E-3</v>
      </c>
      <c r="AQ522" s="3">
        <v>1.53803E-2</v>
      </c>
      <c r="AR522" s="3">
        <v>2.29859E-2</v>
      </c>
      <c r="AS522" s="3">
        <v>3.0610100000000001E-2</v>
      </c>
      <c r="AT522" s="3">
        <v>3.8245800000000003E-2</v>
      </c>
      <c r="AU522" s="3">
        <v>4.5885799999999997E-2</v>
      </c>
      <c r="AV522" s="3">
        <v>5.3523000000000001E-2</v>
      </c>
      <c r="AW522" s="3">
        <v>6.1150200000000002E-2</v>
      </c>
      <c r="AX522" s="3">
        <v>6.8760399999999999E-2</v>
      </c>
      <c r="AY522" s="3">
        <v>7.6346300000000006E-2</v>
      </c>
      <c r="AZ522" s="3">
        <v>8.39009E-2</v>
      </c>
      <c r="BA522" s="3">
        <v>9.1417999999999999E-2</v>
      </c>
      <c r="BB522" s="3">
        <v>9.8896300000000006E-2</v>
      </c>
      <c r="BC522" s="3">
        <v>0.1063366</v>
      </c>
      <c r="BD522" s="3">
        <v>0.1137393</v>
      </c>
      <c r="BE522" s="3">
        <v>0.121105</v>
      </c>
      <c r="BF522" s="3">
        <v>0.1284343</v>
      </c>
      <c r="BG522" s="3">
        <v>0.13572780000000001</v>
      </c>
      <c r="BH522" s="3">
        <v>0.142986</v>
      </c>
      <c r="BI522" s="3">
        <v>0.1502095</v>
      </c>
      <c r="BJ522" s="3">
        <v>0.15739880000000001</v>
      </c>
      <c r="BK522" s="3">
        <v>0.16455449999999999</v>
      </c>
      <c r="BL522" s="3">
        <v>0.1716772</v>
      </c>
      <c r="BM522" s="3" t="e">
        <v>#N/A</v>
      </c>
      <c r="BN522" s="3" t="e">
        <v>#N/A</v>
      </c>
    </row>
    <row r="523" spans="1:66" x14ac:dyDescent="0.35">
      <c r="A523" s="5">
        <f t="shared" si="7"/>
        <v>44187</v>
      </c>
      <c r="B523" t="s">
        <v>600</v>
      </c>
      <c r="C523" s="2">
        <v>0.1</v>
      </c>
      <c r="D523" s="2">
        <v>4.8000000000000001E-2</v>
      </c>
      <c r="E523" s="3">
        <v>3.7909100000000001E-2</v>
      </c>
      <c r="F523" s="3">
        <v>2.7660500000000001E-2</v>
      </c>
      <c r="G523" s="3">
        <v>1.8157199999999998E-2</v>
      </c>
      <c r="H523" s="3">
        <v>8.5613000000000009E-3</v>
      </c>
      <c r="I523" s="3">
        <v>-1.1574000000000001E-3</v>
      </c>
      <c r="J523" s="3">
        <v>-1.1114799999999999E-2</v>
      </c>
      <c r="K523" s="3">
        <v>-2.1471199999999999E-2</v>
      </c>
      <c r="L523" s="3">
        <v>-3.2076800000000003E-2</v>
      </c>
      <c r="M523" s="3">
        <v>-4.2615199999999999E-2</v>
      </c>
      <c r="N523" s="3">
        <v>-5.2741700000000002E-2</v>
      </c>
      <c r="O523" s="3">
        <v>-6.2119599999999997E-2</v>
      </c>
      <c r="P523" s="3">
        <v>-7.04925E-2</v>
      </c>
      <c r="Q523" s="3">
        <v>-7.7607499999999996E-2</v>
      </c>
      <c r="R523" s="3">
        <v>-8.3457100000000006E-2</v>
      </c>
      <c r="S523" s="3">
        <v>-8.8101399999999996E-2</v>
      </c>
      <c r="T523" s="3">
        <v>-9.1600500000000001E-2</v>
      </c>
      <c r="U523" s="3">
        <v>-9.4014299999999995E-2</v>
      </c>
      <c r="V523" s="3">
        <v>-9.5403000000000002E-2</v>
      </c>
      <c r="W523" s="3">
        <v>-9.5833799999999997E-2</v>
      </c>
      <c r="X523" s="3">
        <v>-9.5401700000000006E-2</v>
      </c>
      <c r="Y523" s="3">
        <v>-9.4208100000000003E-2</v>
      </c>
      <c r="Z523" s="3">
        <v>-9.2354699999999998E-2</v>
      </c>
      <c r="AA523" s="3">
        <v>-8.9942800000000003E-2</v>
      </c>
      <c r="AB523" s="3">
        <v>-8.7073999999999999E-2</v>
      </c>
      <c r="AC523" s="3">
        <v>-8.38362E-2</v>
      </c>
      <c r="AD523" s="3">
        <v>-8.0263500000000002E-2</v>
      </c>
      <c r="AE523" s="3">
        <v>-7.6375999999999999E-2</v>
      </c>
      <c r="AF523" s="3">
        <v>-7.2194300000000003E-2</v>
      </c>
      <c r="AG523" s="3">
        <v>-6.7738499999999993E-2</v>
      </c>
      <c r="AH523" s="3">
        <v>-6.3029199999999994E-2</v>
      </c>
      <c r="AI523" s="3">
        <v>-5.8086600000000002E-2</v>
      </c>
      <c r="AJ523" s="3">
        <v>-5.2931100000000002E-2</v>
      </c>
      <c r="AK523" s="3">
        <v>-4.7583100000000003E-2</v>
      </c>
      <c r="AL523" s="3">
        <v>-4.2063000000000003E-2</v>
      </c>
      <c r="AM523" s="3">
        <v>-3.6391E-2</v>
      </c>
      <c r="AN523" s="3">
        <v>-3.05876E-2</v>
      </c>
      <c r="AO523" s="3">
        <v>-2.4670299999999999E-2</v>
      </c>
      <c r="AP523" s="3">
        <v>-1.8645499999999999E-2</v>
      </c>
      <c r="AQ523" s="3">
        <v>-1.25168E-2</v>
      </c>
      <c r="AR523" s="3">
        <v>-6.2878999999999999E-3</v>
      </c>
      <c r="AS523" s="3">
        <v>3.7599999999999999E-5</v>
      </c>
      <c r="AT523" s="3">
        <v>6.4561000000000002E-3</v>
      </c>
      <c r="AU523" s="3">
        <v>1.29639E-2</v>
      </c>
      <c r="AV523" s="3">
        <v>1.9557600000000001E-2</v>
      </c>
      <c r="AW523" s="3">
        <v>2.62334E-2</v>
      </c>
      <c r="AX523" s="3">
        <v>3.2987700000000002E-2</v>
      </c>
      <c r="AY523" s="3">
        <v>3.9816999999999998E-2</v>
      </c>
      <c r="AZ523" s="3">
        <v>4.6717500000000002E-2</v>
      </c>
      <c r="BA523" s="3">
        <v>5.3685499999999997E-2</v>
      </c>
      <c r="BB523" s="3">
        <v>6.0715900000000003E-2</v>
      </c>
      <c r="BC523" s="3">
        <v>6.7803199999999994E-2</v>
      </c>
      <c r="BD523" s="3">
        <v>7.49422E-2</v>
      </c>
      <c r="BE523" s="3">
        <v>8.2127400000000003E-2</v>
      </c>
      <c r="BF523" s="3">
        <v>8.9353399999999999E-2</v>
      </c>
      <c r="BG523" s="3">
        <v>9.6614900000000004E-2</v>
      </c>
      <c r="BH523" s="3">
        <v>0.1039064</v>
      </c>
      <c r="BI523" s="3">
        <v>0.1112225</v>
      </c>
      <c r="BJ523" s="3">
        <v>0.11855789999999999</v>
      </c>
      <c r="BK523" s="3">
        <v>0.12590709999999999</v>
      </c>
      <c r="BL523" s="3">
        <v>0.13326479999999999</v>
      </c>
      <c r="BM523" s="3" t="e">
        <v>#N/A</v>
      </c>
      <c r="BN523" s="3" t="e">
        <v>#N/A</v>
      </c>
    </row>
    <row r="524" spans="1:66" x14ac:dyDescent="0.35">
      <c r="A524" s="5">
        <f t="shared" si="7"/>
        <v>44188</v>
      </c>
      <c r="B524" t="s">
        <v>601</v>
      </c>
      <c r="C524" s="2">
        <v>0.1</v>
      </c>
      <c r="D524" s="2">
        <v>4.7800000000000002E-2</v>
      </c>
      <c r="E524" s="3">
        <v>4.3499999999999997E-2</v>
      </c>
      <c r="F524" s="3">
        <v>3.2423500000000001E-2</v>
      </c>
      <c r="G524" s="3">
        <v>2.5186900000000002E-2</v>
      </c>
      <c r="H524" s="3">
        <v>1.90665E-2</v>
      </c>
      <c r="I524" s="3">
        <v>1.2943100000000001E-2</v>
      </c>
      <c r="J524" s="3">
        <v>6.5148999999999997E-3</v>
      </c>
      <c r="K524" s="3">
        <v>-2.8479999999999998E-4</v>
      </c>
      <c r="L524" s="3">
        <v>-7.4032999999999998E-3</v>
      </c>
      <c r="M524" s="3">
        <v>-1.4781000000000001E-2</v>
      </c>
      <c r="N524" s="3">
        <v>-2.2253700000000001E-2</v>
      </c>
      <c r="O524" s="3">
        <v>-2.95301E-2</v>
      </c>
      <c r="P524" s="3">
        <v>-3.6234099999999998E-2</v>
      </c>
      <c r="Q524" s="3">
        <v>-4.1925299999999999E-2</v>
      </c>
      <c r="R524" s="3">
        <v>-4.6501800000000003E-2</v>
      </c>
      <c r="S524" s="3">
        <v>-4.9956199999999999E-2</v>
      </c>
      <c r="T524" s="3">
        <v>-5.2281300000000003E-2</v>
      </c>
      <c r="U524" s="3">
        <v>-5.3469799999999998E-2</v>
      </c>
      <c r="V524" s="3">
        <v>-5.35145E-2</v>
      </c>
      <c r="W524" s="3">
        <v>-5.24313E-2</v>
      </c>
      <c r="X524" s="3">
        <v>-5.0324000000000001E-2</v>
      </c>
      <c r="Y524" s="3">
        <v>-4.7317600000000001E-2</v>
      </c>
      <c r="Z524" s="3">
        <v>-4.3537100000000002E-2</v>
      </c>
      <c r="AA524" s="3">
        <v>-3.9107500000000003E-2</v>
      </c>
      <c r="AB524" s="3">
        <v>-3.4153599999999999E-2</v>
      </c>
      <c r="AC524" s="3">
        <v>-2.8784899999999999E-2</v>
      </c>
      <c r="AD524" s="3">
        <v>-2.3049400000000001E-2</v>
      </c>
      <c r="AE524" s="3">
        <v>-1.6979299999999999E-2</v>
      </c>
      <c r="AF524" s="3">
        <v>-1.0607200000000001E-2</v>
      </c>
      <c r="AG524" s="3">
        <v>-3.9652999999999997E-3</v>
      </c>
      <c r="AH524" s="3">
        <v>2.9137999999999998E-3</v>
      </c>
      <c r="AI524" s="3">
        <v>9.9979000000000005E-3</v>
      </c>
      <c r="AJ524" s="3">
        <v>1.72544E-2</v>
      </c>
      <c r="AK524" s="3">
        <v>2.4651099999999999E-2</v>
      </c>
      <c r="AL524" s="3">
        <v>3.2155499999999997E-2</v>
      </c>
      <c r="AM524" s="3">
        <v>3.9735100000000002E-2</v>
      </c>
      <c r="AN524" s="3">
        <v>4.7357700000000003E-2</v>
      </c>
      <c r="AO524" s="3">
        <v>5.4994399999999999E-2</v>
      </c>
      <c r="AP524" s="3">
        <v>6.2637999999999999E-2</v>
      </c>
      <c r="AQ524" s="3">
        <v>7.0289400000000002E-2</v>
      </c>
      <c r="AR524" s="3">
        <v>7.7949299999999999E-2</v>
      </c>
      <c r="AS524" s="3">
        <v>8.56185E-2</v>
      </c>
      <c r="AT524" s="3">
        <v>9.3297900000000003E-2</v>
      </c>
      <c r="AU524" s="3">
        <v>0.1009882</v>
      </c>
      <c r="AV524" s="3">
        <v>0.1086903</v>
      </c>
      <c r="AW524" s="3">
        <v>0.11640490000000001</v>
      </c>
      <c r="AX524" s="3">
        <v>0.1241328</v>
      </c>
      <c r="AY524" s="3">
        <v>0.13187489999999999</v>
      </c>
      <c r="AZ524" s="3">
        <v>0.1396319</v>
      </c>
      <c r="BA524" s="3">
        <v>0.14740429999999999</v>
      </c>
      <c r="BB524" s="3">
        <v>0.1551903</v>
      </c>
      <c r="BC524" s="3">
        <v>0.16298799999999999</v>
      </c>
      <c r="BD524" s="3">
        <v>0.17079530000000001</v>
      </c>
      <c r="BE524" s="3">
        <v>0.17860989999999999</v>
      </c>
      <c r="BF524" s="3">
        <v>0.18642990000000001</v>
      </c>
      <c r="BG524" s="3">
        <v>0.19425310000000001</v>
      </c>
      <c r="BH524" s="3">
        <v>0.20207739999999999</v>
      </c>
      <c r="BI524" s="3">
        <v>0.20990059999999999</v>
      </c>
      <c r="BJ524" s="3">
        <v>0.21772079999999999</v>
      </c>
      <c r="BK524" s="3">
        <v>0.22553580000000001</v>
      </c>
      <c r="BL524" s="3">
        <v>0.23334340000000001</v>
      </c>
      <c r="BM524" s="3" t="e">
        <v>#N/A</v>
      </c>
      <c r="BN524" s="3" t="e">
        <v>#N/A</v>
      </c>
    </row>
    <row r="525" spans="1:66" x14ac:dyDescent="0.35">
      <c r="A525" s="5">
        <f t="shared" si="7"/>
        <v>44189</v>
      </c>
      <c r="B525" t="s">
        <v>602</v>
      </c>
      <c r="C525" s="2">
        <v>0.1</v>
      </c>
      <c r="D525" s="2">
        <v>4.7399999999999998E-2</v>
      </c>
      <c r="E525" s="3">
        <v>4.2630800000000003E-2</v>
      </c>
      <c r="F525" s="3">
        <v>3.4902299999999997E-2</v>
      </c>
      <c r="G525" s="3">
        <v>2.9535700000000002E-2</v>
      </c>
      <c r="H525" s="3">
        <v>2.3276100000000001E-2</v>
      </c>
      <c r="I525" s="3">
        <v>1.6162800000000001E-2</v>
      </c>
      <c r="J525" s="3">
        <v>8.8053000000000003E-3</v>
      </c>
      <c r="K525" s="3">
        <v>7.1810000000000005E-4</v>
      </c>
      <c r="L525" s="3">
        <v>-7.5983999999999999E-3</v>
      </c>
      <c r="M525" s="3">
        <v>-1.54682E-2</v>
      </c>
      <c r="N525" s="3">
        <v>-2.2807399999999999E-2</v>
      </c>
      <c r="O525" s="3">
        <v>-2.95739E-2</v>
      </c>
      <c r="P525" s="3">
        <v>-3.5630700000000001E-2</v>
      </c>
      <c r="Q525" s="3">
        <v>-4.0650499999999999E-2</v>
      </c>
      <c r="R525" s="3">
        <v>-4.4588500000000003E-2</v>
      </c>
      <c r="S525" s="3">
        <v>-4.7488700000000002E-2</v>
      </c>
      <c r="T525" s="3">
        <v>-4.9395300000000003E-2</v>
      </c>
      <c r="U525" s="3">
        <v>-5.0352099999999997E-2</v>
      </c>
      <c r="V525" s="3">
        <v>-5.0403200000000002E-2</v>
      </c>
      <c r="W525" s="3">
        <v>-4.9598299999999998E-2</v>
      </c>
      <c r="X525" s="3">
        <v>-4.8008700000000001E-2</v>
      </c>
      <c r="Y525" s="3">
        <v>-4.5710599999999997E-2</v>
      </c>
      <c r="Z525" s="3">
        <v>-4.2780499999999999E-2</v>
      </c>
      <c r="AA525" s="3">
        <v>-3.9294599999999999E-2</v>
      </c>
      <c r="AB525" s="3">
        <v>-3.5329300000000001E-2</v>
      </c>
      <c r="AC525" s="3">
        <v>-3.09556E-2</v>
      </c>
      <c r="AD525" s="3">
        <v>-2.6213E-2</v>
      </c>
      <c r="AE525" s="3">
        <v>-2.1129100000000001E-2</v>
      </c>
      <c r="AF525" s="3">
        <v>-1.5731499999999999E-2</v>
      </c>
      <c r="AG525" s="3">
        <v>-1.0048100000000001E-2</v>
      </c>
      <c r="AH525" s="3">
        <v>-4.1064999999999999E-3</v>
      </c>
      <c r="AI525" s="3">
        <v>2.0657000000000002E-3</v>
      </c>
      <c r="AJ525" s="3">
        <v>8.4408E-3</v>
      </c>
      <c r="AK525" s="3">
        <v>1.4991000000000001E-2</v>
      </c>
      <c r="AL525" s="3">
        <v>2.1688700000000002E-2</v>
      </c>
      <c r="AM525" s="3">
        <v>2.8506299999999998E-2</v>
      </c>
      <c r="AN525" s="3">
        <v>3.54159E-2</v>
      </c>
      <c r="AO525" s="3">
        <v>4.2392600000000003E-2</v>
      </c>
      <c r="AP525" s="3">
        <v>4.9424999999999997E-2</v>
      </c>
      <c r="AQ525" s="3">
        <v>5.6506399999999998E-2</v>
      </c>
      <c r="AR525" s="3">
        <v>6.3630300000000001E-2</v>
      </c>
      <c r="AS525" s="3">
        <v>7.0790000000000006E-2</v>
      </c>
      <c r="AT525" s="3">
        <v>7.7978900000000004E-2</v>
      </c>
      <c r="AU525" s="3">
        <v>8.5190299999999997E-2</v>
      </c>
      <c r="AV525" s="3">
        <v>9.2417600000000003E-2</v>
      </c>
      <c r="AW525" s="3">
        <v>9.9654099999999995E-2</v>
      </c>
      <c r="AX525" s="3">
        <v>0.1068933</v>
      </c>
      <c r="AY525" s="3">
        <v>0.1141284</v>
      </c>
      <c r="AZ525" s="3">
        <v>0.1213528</v>
      </c>
      <c r="BA525" s="3">
        <v>0.12856090000000001</v>
      </c>
      <c r="BB525" s="3">
        <v>0.13575090000000001</v>
      </c>
      <c r="BC525" s="3">
        <v>0.1429222</v>
      </c>
      <c r="BD525" s="3">
        <v>0.1500744</v>
      </c>
      <c r="BE525" s="3">
        <v>0.15720680000000001</v>
      </c>
      <c r="BF525" s="3">
        <v>0.16431899999999999</v>
      </c>
      <c r="BG525" s="3">
        <v>0.17141020000000001</v>
      </c>
      <c r="BH525" s="3">
        <v>0.1784801</v>
      </c>
      <c r="BI525" s="3">
        <v>0.185528</v>
      </c>
      <c r="BJ525" s="3">
        <v>0.19255330000000001</v>
      </c>
      <c r="BK525" s="3">
        <v>0.1995556</v>
      </c>
      <c r="BL525" s="3">
        <v>0.2065342</v>
      </c>
      <c r="BM525" s="3" t="e">
        <v>#N/A</v>
      </c>
      <c r="BN525" s="3" t="e">
        <v>#N/A</v>
      </c>
    </row>
    <row r="526" spans="1:66" x14ac:dyDescent="0.35">
      <c r="A526" s="5">
        <f t="shared" ref="A526:A589" si="8">+A521+7</f>
        <v>44190</v>
      </c>
      <c r="B526" t="s">
        <v>603</v>
      </c>
      <c r="C526" s="2">
        <v>0.1</v>
      </c>
      <c r="D526" s="2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  <c r="P526" s="3" t="e">
        <v>#N/A</v>
      </c>
      <c r="Q526" s="3" t="e">
        <v>#N/A</v>
      </c>
      <c r="R526" s="3" t="e">
        <v>#N/A</v>
      </c>
      <c r="S526" s="3" t="e">
        <v>#N/A</v>
      </c>
      <c r="T526" s="3" t="e">
        <v>#N/A</v>
      </c>
      <c r="U526" s="3" t="e">
        <v>#N/A</v>
      </c>
      <c r="V526" s="3" t="e">
        <v>#N/A</v>
      </c>
      <c r="W526" s="3" t="e">
        <v>#N/A</v>
      </c>
      <c r="X526" s="3" t="e">
        <v>#N/A</v>
      </c>
      <c r="Y526" s="3" t="e">
        <v>#N/A</v>
      </c>
      <c r="Z526" s="3" t="e">
        <v>#N/A</v>
      </c>
      <c r="AA526" s="3" t="e">
        <v>#N/A</v>
      </c>
      <c r="AB526" s="3" t="e">
        <v>#N/A</v>
      </c>
      <c r="AC526" s="3" t="e">
        <v>#N/A</v>
      </c>
      <c r="AD526" s="3" t="e">
        <v>#N/A</v>
      </c>
      <c r="AE526" s="3" t="e">
        <v>#N/A</v>
      </c>
      <c r="AF526" s="3" t="e">
        <v>#N/A</v>
      </c>
      <c r="AG526" s="3" t="e">
        <v>#N/A</v>
      </c>
      <c r="AH526" s="3" t="e">
        <v>#N/A</v>
      </c>
      <c r="AI526" s="3" t="e">
        <v>#N/A</v>
      </c>
      <c r="AJ526" s="3" t="e">
        <v>#N/A</v>
      </c>
      <c r="AK526" s="3" t="e">
        <v>#N/A</v>
      </c>
      <c r="AL526" s="3" t="e">
        <v>#N/A</v>
      </c>
      <c r="AM526" s="3" t="e">
        <v>#N/A</v>
      </c>
      <c r="AN526" s="3" t="e">
        <v>#N/A</v>
      </c>
      <c r="AO526" s="3" t="e">
        <v>#N/A</v>
      </c>
      <c r="AP526" s="3" t="e">
        <v>#N/A</v>
      </c>
      <c r="AQ526" s="3" t="e">
        <v>#N/A</v>
      </c>
      <c r="AR526" s="3" t="e">
        <v>#N/A</v>
      </c>
      <c r="AS526" s="3" t="e">
        <v>#N/A</v>
      </c>
      <c r="AT526" s="3" t="e">
        <v>#N/A</v>
      </c>
      <c r="AU526" s="3" t="e">
        <v>#N/A</v>
      </c>
      <c r="AV526" s="3" t="e">
        <v>#N/A</v>
      </c>
      <c r="AW526" s="3" t="e">
        <v>#N/A</v>
      </c>
      <c r="AX526" s="3" t="e">
        <v>#N/A</v>
      </c>
      <c r="AY526" s="3" t="e">
        <v>#N/A</v>
      </c>
      <c r="AZ526" s="3" t="e">
        <v>#N/A</v>
      </c>
      <c r="BA526" s="3" t="e">
        <v>#N/A</v>
      </c>
      <c r="BB526" s="3" t="e">
        <v>#N/A</v>
      </c>
      <c r="BC526" s="3" t="e">
        <v>#N/A</v>
      </c>
      <c r="BD526" s="3" t="e">
        <v>#N/A</v>
      </c>
      <c r="BE526" s="3" t="e">
        <v>#N/A</v>
      </c>
      <c r="BF526" s="3" t="e">
        <v>#N/A</v>
      </c>
      <c r="BG526" s="3" t="e">
        <v>#N/A</v>
      </c>
      <c r="BH526" s="3" t="e">
        <v>#N/A</v>
      </c>
      <c r="BI526" s="3" t="e">
        <v>#N/A</v>
      </c>
      <c r="BJ526" s="3" t="e">
        <v>#N/A</v>
      </c>
      <c r="BK526" s="3" t="e">
        <v>#N/A</v>
      </c>
      <c r="BL526" s="3" t="e">
        <v>#N/A</v>
      </c>
      <c r="BM526" s="3" t="e">
        <v>#N/A</v>
      </c>
      <c r="BN526" s="3" t="e">
        <v>#N/A</v>
      </c>
    </row>
    <row r="527" spans="1:66" x14ac:dyDescent="0.35">
      <c r="A527" s="5">
        <f t="shared" si="8"/>
        <v>44193</v>
      </c>
      <c r="B527" t="s">
        <v>604</v>
      </c>
      <c r="C527" s="2">
        <v>0.1</v>
      </c>
      <c r="D527" s="2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  <c r="P527" s="3" t="e">
        <v>#N/A</v>
      </c>
      <c r="Q527" s="3" t="e">
        <v>#N/A</v>
      </c>
      <c r="R527" s="3" t="e">
        <v>#N/A</v>
      </c>
      <c r="S527" s="3" t="e">
        <v>#N/A</v>
      </c>
      <c r="T527" s="3" t="e">
        <v>#N/A</v>
      </c>
      <c r="U527" s="3" t="e">
        <v>#N/A</v>
      </c>
      <c r="V527" s="3" t="e">
        <v>#N/A</v>
      </c>
      <c r="W527" s="3" t="e">
        <v>#N/A</v>
      </c>
      <c r="X527" s="3" t="e">
        <v>#N/A</v>
      </c>
      <c r="Y527" s="3" t="e">
        <v>#N/A</v>
      </c>
      <c r="Z527" s="3" t="e">
        <v>#N/A</v>
      </c>
      <c r="AA527" s="3" t="e">
        <v>#N/A</v>
      </c>
      <c r="AB527" s="3" t="e">
        <v>#N/A</v>
      </c>
      <c r="AC527" s="3" t="e">
        <v>#N/A</v>
      </c>
      <c r="AD527" s="3" t="e">
        <v>#N/A</v>
      </c>
      <c r="AE527" s="3" t="e">
        <v>#N/A</v>
      </c>
      <c r="AF527" s="3" t="e">
        <v>#N/A</v>
      </c>
      <c r="AG527" s="3" t="e">
        <v>#N/A</v>
      </c>
      <c r="AH527" s="3" t="e">
        <v>#N/A</v>
      </c>
      <c r="AI527" s="3" t="e">
        <v>#N/A</v>
      </c>
      <c r="AJ527" s="3" t="e">
        <v>#N/A</v>
      </c>
      <c r="AK527" s="3" t="e">
        <v>#N/A</v>
      </c>
      <c r="AL527" s="3" t="e">
        <v>#N/A</v>
      </c>
      <c r="AM527" s="3" t="e">
        <v>#N/A</v>
      </c>
      <c r="AN527" s="3" t="e">
        <v>#N/A</v>
      </c>
      <c r="AO527" s="3" t="e">
        <v>#N/A</v>
      </c>
      <c r="AP527" s="3" t="e">
        <v>#N/A</v>
      </c>
      <c r="AQ527" s="3" t="e">
        <v>#N/A</v>
      </c>
      <c r="AR527" s="3" t="e">
        <v>#N/A</v>
      </c>
      <c r="AS527" s="3" t="e">
        <v>#N/A</v>
      </c>
      <c r="AT527" s="3" t="e">
        <v>#N/A</v>
      </c>
      <c r="AU527" s="3" t="e">
        <v>#N/A</v>
      </c>
      <c r="AV527" s="3" t="e">
        <v>#N/A</v>
      </c>
      <c r="AW527" s="3" t="e">
        <v>#N/A</v>
      </c>
      <c r="AX527" s="3" t="e">
        <v>#N/A</v>
      </c>
      <c r="AY527" s="3" t="e">
        <v>#N/A</v>
      </c>
      <c r="AZ527" s="3" t="e">
        <v>#N/A</v>
      </c>
      <c r="BA527" s="3" t="e">
        <v>#N/A</v>
      </c>
      <c r="BB527" s="3" t="e">
        <v>#N/A</v>
      </c>
      <c r="BC527" s="3" t="e">
        <v>#N/A</v>
      </c>
      <c r="BD527" s="3" t="e">
        <v>#N/A</v>
      </c>
      <c r="BE527" s="3" t="e">
        <v>#N/A</v>
      </c>
      <c r="BF527" s="3" t="e">
        <v>#N/A</v>
      </c>
      <c r="BG527" s="3" t="e">
        <v>#N/A</v>
      </c>
      <c r="BH527" s="3" t="e">
        <v>#N/A</v>
      </c>
      <c r="BI527" s="3" t="e">
        <v>#N/A</v>
      </c>
      <c r="BJ527" s="3" t="e">
        <v>#N/A</v>
      </c>
      <c r="BK527" s="3" t="e">
        <v>#N/A</v>
      </c>
      <c r="BL527" s="3" t="e">
        <v>#N/A</v>
      </c>
      <c r="BM527" s="3" t="e">
        <v>#N/A</v>
      </c>
      <c r="BN527" s="3" t="e">
        <v>#N/A</v>
      </c>
    </row>
    <row r="528" spans="1:66" x14ac:dyDescent="0.35">
      <c r="A528" s="5">
        <f t="shared" si="8"/>
        <v>44194</v>
      </c>
      <c r="B528" t="s">
        <v>605</v>
      </c>
      <c r="C528" s="2">
        <v>0.1</v>
      </c>
      <c r="D528" s="2">
        <v>4.8300000000000003E-2</v>
      </c>
      <c r="E528" s="3">
        <v>4.0082199999999998E-2</v>
      </c>
      <c r="F528" s="3">
        <v>2.8882600000000001E-2</v>
      </c>
      <c r="G528" s="3">
        <v>2.0507600000000001E-2</v>
      </c>
      <c r="H528" s="3">
        <v>1.3304E-2</v>
      </c>
      <c r="I528" s="3">
        <v>6.0724999999999998E-3</v>
      </c>
      <c r="J528" s="3">
        <v>-1.5238000000000001E-3</v>
      </c>
      <c r="K528" s="3">
        <v>-9.4874E-3</v>
      </c>
      <c r="L528" s="3">
        <v>-1.7765699999999999E-2</v>
      </c>
      <c r="M528" s="3">
        <v>-2.62785E-2</v>
      </c>
      <c r="N528" s="3">
        <v>-3.4838000000000001E-2</v>
      </c>
      <c r="O528" s="3">
        <v>-4.3158099999999998E-2</v>
      </c>
      <c r="P528" s="3">
        <v>-5.0899899999999998E-2</v>
      </c>
      <c r="Q528" s="3">
        <v>-5.7494099999999999E-2</v>
      </c>
      <c r="R528" s="3">
        <v>-6.2845300000000007E-2</v>
      </c>
      <c r="S528" s="3">
        <v>-6.7002199999999998E-2</v>
      </c>
      <c r="T528" s="3">
        <v>-7.0013500000000006E-2</v>
      </c>
      <c r="U528" s="3">
        <v>-7.1928000000000006E-2</v>
      </c>
      <c r="V528" s="3">
        <v>-7.2794300000000006E-2</v>
      </c>
      <c r="W528" s="3">
        <v>-7.2670200000000004E-2</v>
      </c>
      <c r="X528" s="3">
        <v>-7.1648699999999996E-2</v>
      </c>
      <c r="Y528" s="3">
        <v>-6.9830900000000001E-2</v>
      </c>
      <c r="Z528" s="3">
        <v>-6.73179E-2</v>
      </c>
      <c r="AA528" s="3">
        <v>-6.4210900000000001E-2</v>
      </c>
      <c r="AB528" s="3">
        <v>-6.0611100000000001E-2</v>
      </c>
      <c r="AC528" s="3">
        <v>-5.6607299999999999E-2</v>
      </c>
      <c r="AD528" s="3">
        <v>-5.2239399999999998E-2</v>
      </c>
      <c r="AE528" s="3">
        <v>-4.75352E-2</v>
      </c>
      <c r="AF528" s="3">
        <v>-4.25221E-2</v>
      </c>
      <c r="AG528" s="3">
        <v>-3.7227999999999997E-2</v>
      </c>
      <c r="AH528" s="3">
        <v>-3.1680399999999997E-2</v>
      </c>
      <c r="AI528" s="3">
        <v>-2.59069E-2</v>
      </c>
      <c r="AJ528" s="3">
        <v>-1.99353E-2</v>
      </c>
      <c r="AK528" s="3">
        <v>-1.37932E-2</v>
      </c>
      <c r="AL528" s="3">
        <v>-7.5081999999999996E-3</v>
      </c>
      <c r="AM528" s="3">
        <v>-1.1079E-3</v>
      </c>
      <c r="AN528" s="3">
        <v>5.3799E-3</v>
      </c>
      <c r="AO528" s="3">
        <v>1.1931300000000001E-2</v>
      </c>
      <c r="AP528" s="3">
        <v>1.8536899999999999E-2</v>
      </c>
      <c r="AQ528" s="3">
        <v>2.5190799999999999E-2</v>
      </c>
      <c r="AR528" s="3">
        <v>3.18873E-2</v>
      </c>
      <c r="AS528" s="3">
        <v>3.8620500000000002E-2</v>
      </c>
      <c r="AT528" s="3">
        <v>4.53847E-2</v>
      </c>
      <c r="AU528" s="3">
        <v>5.2174100000000001E-2</v>
      </c>
      <c r="AV528" s="3">
        <v>5.8982899999999998E-2</v>
      </c>
      <c r="AW528" s="3">
        <v>6.5805299999999997E-2</v>
      </c>
      <c r="AX528" s="3">
        <v>7.2635500000000006E-2</v>
      </c>
      <c r="AY528" s="3">
        <v>7.9467700000000002E-2</v>
      </c>
      <c r="AZ528" s="3">
        <v>8.6296200000000003E-2</v>
      </c>
      <c r="BA528" s="3">
        <v>9.3115799999999999E-2</v>
      </c>
      <c r="BB528" s="3">
        <v>9.9924899999999997E-2</v>
      </c>
      <c r="BC528" s="3">
        <v>0.1067232</v>
      </c>
      <c r="BD528" s="3">
        <v>0.11351</v>
      </c>
      <c r="BE528" s="3">
        <v>0.1202849</v>
      </c>
      <c r="BF528" s="3">
        <v>0.1270473</v>
      </c>
      <c r="BG528" s="3">
        <v>0.13379669999999999</v>
      </c>
      <c r="BH528" s="3">
        <v>0.14053270000000001</v>
      </c>
      <c r="BI528" s="3">
        <v>0.14725469999999999</v>
      </c>
      <c r="BJ528" s="3">
        <v>0.15396219999999999</v>
      </c>
      <c r="BK528" s="3">
        <v>0.16065470000000001</v>
      </c>
      <c r="BL528" s="3">
        <v>0.1673317</v>
      </c>
      <c r="BM528" s="3" t="e">
        <v>#N/A</v>
      </c>
      <c r="BN528" s="3" t="e">
        <v>#N/A</v>
      </c>
    </row>
    <row r="529" spans="1:66" x14ac:dyDescent="0.35">
      <c r="A529" s="5">
        <f t="shared" si="8"/>
        <v>44195</v>
      </c>
      <c r="B529" t="s">
        <v>606</v>
      </c>
      <c r="C529" s="2">
        <v>0.1</v>
      </c>
      <c r="D529" s="2">
        <v>4.8000000000000001E-2</v>
      </c>
      <c r="E529" s="3">
        <v>4.2268399999999998E-2</v>
      </c>
      <c r="F529" s="3">
        <v>3.4229900000000001E-2</v>
      </c>
      <c r="G529" s="3">
        <v>2.6696999999999999E-2</v>
      </c>
      <c r="H529" s="3">
        <v>1.8317099999999999E-2</v>
      </c>
      <c r="I529" s="3">
        <v>8.8987000000000007E-3</v>
      </c>
      <c r="J529" s="3">
        <v>-1.1927000000000001E-3</v>
      </c>
      <c r="K529" s="3">
        <v>-1.16696E-2</v>
      </c>
      <c r="L529" s="3">
        <v>-2.23579E-2</v>
      </c>
      <c r="M529" s="3">
        <v>-3.3138800000000003E-2</v>
      </c>
      <c r="N529" s="3">
        <v>-4.3812400000000001E-2</v>
      </c>
      <c r="O529" s="3">
        <v>-5.4054100000000001E-2</v>
      </c>
      <c r="P529" s="3">
        <v>-6.3477099999999995E-2</v>
      </c>
      <c r="Q529" s="3">
        <v>-7.16112E-2</v>
      </c>
      <c r="R529" s="3">
        <v>-7.8382999999999994E-2</v>
      </c>
      <c r="S529" s="3">
        <v>-8.3831100000000006E-2</v>
      </c>
      <c r="T529" s="3">
        <v>-8.79939E-2</v>
      </c>
      <c r="U529" s="3">
        <v>-9.0910299999999999E-2</v>
      </c>
      <c r="V529" s="3">
        <v>-9.2618599999999995E-2</v>
      </c>
      <c r="W529" s="3">
        <v>-9.3170299999999998E-2</v>
      </c>
      <c r="X529" s="3">
        <v>-9.2664300000000005E-2</v>
      </c>
      <c r="Y529" s="3">
        <v>-9.1211399999999998E-2</v>
      </c>
      <c r="Z529" s="3">
        <v>-8.8921899999999998E-2</v>
      </c>
      <c r="AA529" s="3">
        <v>-8.5906499999999997E-2</v>
      </c>
      <c r="AB529" s="3">
        <v>-8.2275799999999996E-2</v>
      </c>
      <c r="AC529" s="3">
        <v>-7.8128500000000004E-2</v>
      </c>
      <c r="AD529" s="3">
        <v>-7.3516499999999999E-2</v>
      </c>
      <c r="AE529" s="3">
        <v>-6.8479999999999999E-2</v>
      </c>
      <c r="AF529" s="3">
        <v>-6.3059000000000004E-2</v>
      </c>
      <c r="AG529" s="3">
        <v>-5.7293799999999999E-2</v>
      </c>
      <c r="AH529" s="3">
        <v>-5.1224400000000003E-2</v>
      </c>
      <c r="AI529" s="3">
        <v>-4.4890899999999997E-2</v>
      </c>
      <c r="AJ529" s="3">
        <v>-3.8333600000000002E-2</v>
      </c>
      <c r="AK529" s="3">
        <v>-3.15924E-2</v>
      </c>
      <c r="AL529" s="3">
        <v>-2.47076E-2</v>
      </c>
      <c r="AM529" s="3">
        <v>-1.77193E-2</v>
      </c>
      <c r="AN529" s="3">
        <v>-1.0667599999999999E-2</v>
      </c>
      <c r="AO529" s="3">
        <v>-3.5883999999999998E-3</v>
      </c>
      <c r="AP529" s="3">
        <v>3.5054000000000001E-3</v>
      </c>
      <c r="AQ529" s="3">
        <v>1.06087E-2</v>
      </c>
      <c r="AR529" s="3">
        <v>1.7716200000000001E-2</v>
      </c>
      <c r="AS529" s="3">
        <v>2.4822799999999999E-2</v>
      </c>
      <c r="AT529" s="3">
        <v>3.1923199999999999E-2</v>
      </c>
      <c r="AU529" s="3">
        <v>3.9012199999999997E-2</v>
      </c>
      <c r="AV529" s="3">
        <v>4.6084600000000003E-2</v>
      </c>
      <c r="AW529" s="3">
        <v>5.3135300000000003E-2</v>
      </c>
      <c r="AX529" s="3">
        <v>6.01591E-2</v>
      </c>
      <c r="AY529" s="3">
        <v>6.7150699999999994E-2</v>
      </c>
      <c r="AZ529" s="3">
        <v>7.4104900000000001E-2</v>
      </c>
      <c r="BA529" s="3">
        <v>8.1017699999999998E-2</v>
      </c>
      <c r="BB529" s="3">
        <v>8.7889400000000006E-2</v>
      </c>
      <c r="BC529" s="3">
        <v>9.4721799999999995E-2</v>
      </c>
      <c r="BD529" s="3">
        <v>0.1015166</v>
      </c>
      <c r="BE529" s="3">
        <v>0.1082756</v>
      </c>
      <c r="BF529" s="3">
        <v>0.1150004</v>
      </c>
      <c r="BG529" s="3">
        <v>0.12169290000000001</v>
      </c>
      <c r="BH529" s="3">
        <v>0.12835469999999999</v>
      </c>
      <c r="BI529" s="3">
        <v>0.13498760000000001</v>
      </c>
      <c r="BJ529" s="3">
        <v>0.14159330000000001</v>
      </c>
      <c r="BK529" s="3">
        <v>0.14817359999999999</v>
      </c>
      <c r="BL529" s="3">
        <v>0.15473010000000001</v>
      </c>
      <c r="BM529" s="3" t="e">
        <v>#N/A</v>
      </c>
      <c r="BN529" s="3" t="e">
        <v>#N/A</v>
      </c>
    </row>
    <row r="530" spans="1:66" x14ac:dyDescent="0.35">
      <c r="A530" s="5">
        <f t="shared" si="8"/>
        <v>44196</v>
      </c>
      <c r="B530" t="s">
        <v>607</v>
      </c>
      <c r="C530" s="2">
        <v>0.1</v>
      </c>
      <c r="D530" s="2">
        <v>3.9399999999999998E-2</v>
      </c>
      <c r="E530" s="3">
        <v>4.24748E-2</v>
      </c>
      <c r="F530" s="3">
        <v>3.31329E-2</v>
      </c>
      <c r="G530" s="3">
        <v>2.4155099999999999E-2</v>
      </c>
      <c r="H530" s="3">
        <v>1.4435E-2</v>
      </c>
      <c r="I530" s="3">
        <v>4.0346000000000002E-3</v>
      </c>
      <c r="J530" s="3">
        <v>-6.5864000000000001E-3</v>
      </c>
      <c r="K530" s="3">
        <v>-1.73946E-2</v>
      </c>
      <c r="L530" s="3">
        <v>-2.8325199999999998E-2</v>
      </c>
      <c r="M530" s="3">
        <v>-3.9126800000000003E-2</v>
      </c>
      <c r="N530" s="3">
        <v>-4.9614100000000001E-2</v>
      </c>
      <c r="O530" s="3">
        <v>-5.9529400000000003E-2</v>
      </c>
      <c r="P530" s="3">
        <v>-6.8518700000000002E-2</v>
      </c>
      <c r="Q530" s="3">
        <v>-7.6092900000000005E-2</v>
      </c>
      <c r="R530" s="3">
        <v>-8.2205799999999996E-2</v>
      </c>
      <c r="S530" s="3">
        <v>-8.6937399999999998E-2</v>
      </c>
      <c r="T530" s="3">
        <v>-9.0367600000000006E-2</v>
      </c>
      <c r="U530" s="3">
        <v>-9.2576400000000003E-2</v>
      </c>
      <c r="V530" s="3">
        <v>-9.3643599999999994E-2</v>
      </c>
      <c r="W530" s="3">
        <v>-9.3657000000000004E-2</v>
      </c>
      <c r="X530" s="3">
        <v>-9.2730400000000004E-2</v>
      </c>
      <c r="Y530" s="3">
        <v>-9.0983800000000004E-2</v>
      </c>
      <c r="Z530" s="3">
        <v>-8.8536799999999999E-2</v>
      </c>
      <c r="AA530" s="3">
        <v>-8.5509199999999994E-2</v>
      </c>
      <c r="AB530" s="3">
        <v>-8.2020899999999994E-2</v>
      </c>
      <c r="AC530" s="3">
        <v>-7.8179700000000005E-2</v>
      </c>
      <c r="AD530" s="3">
        <v>-7.4030700000000005E-2</v>
      </c>
      <c r="AE530" s="3">
        <v>-6.9597800000000001E-2</v>
      </c>
      <c r="AF530" s="3">
        <v>-6.4904500000000004E-2</v>
      </c>
      <c r="AG530" s="3">
        <v>-5.9974899999999998E-2</v>
      </c>
      <c r="AH530" s="3">
        <v>-5.4832499999999999E-2</v>
      </c>
      <c r="AI530" s="3">
        <v>-4.9501299999999998E-2</v>
      </c>
      <c r="AJ530" s="3">
        <v>-4.40049E-2</v>
      </c>
      <c r="AK530" s="3">
        <v>-3.83673E-2</v>
      </c>
      <c r="AL530" s="3">
        <v>-3.2612099999999998E-2</v>
      </c>
      <c r="AM530" s="3">
        <v>-2.6763100000000001E-2</v>
      </c>
      <c r="AN530" s="3">
        <v>-2.08442E-2</v>
      </c>
      <c r="AO530" s="3">
        <v>-1.4875899999999999E-2</v>
      </c>
      <c r="AP530" s="3">
        <v>-8.8634999999999999E-3</v>
      </c>
      <c r="AQ530" s="3">
        <v>-2.8075999999999999E-3</v>
      </c>
      <c r="AR530" s="3">
        <v>3.2913E-3</v>
      </c>
      <c r="AS530" s="3">
        <v>9.4325999999999993E-3</v>
      </c>
      <c r="AT530" s="3">
        <v>1.56159E-2</v>
      </c>
      <c r="AU530" s="3">
        <v>2.1840399999999999E-2</v>
      </c>
      <c r="AV530" s="3">
        <v>2.8105700000000001E-2</v>
      </c>
      <c r="AW530" s="3">
        <v>3.44111E-2</v>
      </c>
      <c r="AX530" s="3">
        <v>4.0756199999999999E-2</v>
      </c>
      <c r="AY530" s="3">
        <v>4.7140399999999999E-2</v>
      </c>
      <c r="AZ530" s="3">
        <v>5.3563100000000002E-2</v>
      </c>
      <c r="BA530" s="3">
        <v>6.0023600000000003E-2</v>
      </c>
      <c r="BB530" s="3">
        <v>6.6520099999999999E-2</v>
      </c>
      <c r="BC530" s="3">
        <v>7.3051000000000005E-2</v>
      </c>
      <c r="BD530" s="3">
        <v>7.9614099999999993E-2</v>
      </c>
      <c r="BE530" s="3">
        <v>8.6207699999999998E-2</v>
      </c>
      <c r="BF530" s="3">
        <v>9.2829900000000007E-2</v>
      </c>
      <c r="BG530" s="3">
        <v>9.9478700000000003E-2</v>
      </c>
      <c r="BH530" s="3">
        <v>0.10615239999999999</v>
      </c>
      <c r="BI530" s="3">
        <v>0.1128489</v>
      </c>
      <c r="BJ530" s="3">
        <v>0.11956650000000001</v>
      </c>
      <c r="BK530" s="3">
        <v>0.1263031</v>
      </c>
      <c r="BL530" s="3">
        <v>0.13305710000000001</v>
      </c>
      <c r="BM530" s="3" t="e">
        <v>#N/A</v>
      </c>
      <c r="BN530" s="3" t="e">
        <v>#N/A</v>
      </c>
    </row>
    <row r="531" spans="1:66" x14ac:dyDescent="0.35">
      <c r="A531" s="5">
        <f t="shared" si="8"/>
        <v>44197</v>
      </c>
      <c r="B531" t="s">
        <v>608</v>
      </c>
      <c r="C531" s="2">
        <v>0.1</v>
      </c>
      <c r="D531" s="2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  <c r="P531" s="3" t="e">
        <v>#N/A</v>
      </c>
      <c r="Q531" s="3" t="e">
        <v>#N/A</v>
      </c>
      <c r="R531" s="3" t="e">
        <v>#N/A</v>
      </c>
      <c r="S531" s="3" t="e">
        <v>#N/A</v>
      </c>
      <c r="T531" s="3" t="e">
        <v>#N/A</v>
      </c>
      <c r="U531" s="3" t="e">
        <v>#N/A</v>
      </c>
      <c r="V531" s="3" t="e">
        <v>#N/A</v>
      </c>
      <c r="W531" s="3" t="e">
        <v>#N/A</v>
      </c>
      <c r="X531" s="3" t="e">
        <v>#N/A</v>
      </c>
      <c r="Y531" s="3" t="e">
        <v>#N/A</v>
      </c>
      <c r="Z531" s="3" t="e">
        <v>#N/A</v>
      </c>
      <c r="AA531" s="3" t="e">
        <v>#N/A</v>
      </c>
      <c r="AB531" s="3" t="e">
        <v>#N/A</v>
      </c>
      <c r="AC531" s="3" t="e">
        <v>#N/A</v>
      </c>
      <c r="AD531" s="3" t="e">
        <v>#N/A</v>
      </c>
      <c r="AE531" s="3" t="e">
        <v>#N/A</v>
      </c>
      <c r="AF531" s="3" t="e">
        <v>#N/A</v>
      </c>
      <c r="AG531" s="3" t="e">
        <v>#N/A</v>
      </c>
      <c r="AH531" s="3" t="e">
        <v>#N/A</v>
      </c>
      <c r="AI531" s="3" t="e">
        <v>#N/A</v>
      </c>
      <c r="AJ531" s="3" t="e">
        <v>#N/A</v>
      </c>
      <c r="AK531" s="3" t="e">
        <v>#N/A</v>
      </c>
      <c r="AL531" s="3" t="e">
        <v>#N/A</v>
      </c>
      <c r="AM531" s="3" t="e">
        <v>#N/A</v>
      </c>
      <c r="AN531" s="3" t="e">
        <v>#N/A</v>
      </c>
      <c r="AO531" s="3" t="e">
        <v>#N/A</v>
      </c>
      <c r="AP531" s="3" t="e">
        <v>#N/A</v>
      </c>
      <c r="AQ531" s="3" t="e">
        <v>#N/A</v>
      </c>
      <c r="AR531" s="3" t="e">
        <v>#N/A</v>
      </c>
      <c r="AS531" s="3" t="e">
        <v>#N/A</v>
      </c>
      <c r="AT531" s="3" t="e">
        <v>#N/A</v>
      </c>
      <c r="AU531" s="3" t="e">
        <v>#N/A</v>
      </c>
      <c r="AV531" s="3" t="e">
        <v>#N/A</v>
      </c>
      <c r="AW531" s="3" t="e">
        <v>#N/A</v>
      </c>
      <c r="AX531" s="3" t="e">
        <v>#N/A</v>
      </c>
      <c r="AY531" s="3" t="e">
        <v>#N/A</v>
      </c>
      <c r="AZ531" s="3" t="e">
        <v>#N/A</v>
      </c>
      <c r="BA531" s="3" t="e">
        <v>#N/A</v>
      </c>
      <c r="BB531" s="3" t="e">
        <v>#N/A</v>
      </c>
      <c r="BC531" s="3" t="e">
        <v>#N/A</v>
      </c>
      <c r="BD531" s="3" t="e">
        <v>#N/A</v>
      </c>
      <c r="BE531" s="3" t="e">
        <v>#N/A</v>
      </c>
      <c r="BF531" s="3" t="e">
        <v>#N/A</v>
      </c>
      <c r="BG531" s="3" t="e">
        <v>#N/A</v>
      </c>
      <c r="BH531" s="3" t="e">
        <v>#N/A</v>
      </c>
      <c r="BI531" s="3" t="e">
        <v>#N/A</v>
      </c>
      <c r="BJ531" s="3" t="e">
        <v>#N/A</v>
      </c>
      <c r="BK531" s="3" t="e">
        <v>#N/A</v>
      </c>
      <c r="BL531" s="3" t="e">
        <v>#N/A</v>
      </c>
      <c r="BM531" s="3" t="e">
        <v>#N/A</v>
      </c>
      <c r="BN531" s="3" t="e">
        <v>#N/A</v>
      </c>
    </row>
    <row r="532" spans="1:66" x14ac:dyDescent="0.35">
      <c r="A532" s="5">
        <f t="shared" si="8"/>
        <v>44200</v>
      </c>
      <c r="B532" t="s">
        <v>609</v>
      </c>
      <c r="C532" s="2">
        <v>0.1</v>
      </c>
      <c r="D532" s="2">
        <v>4.7899999999999998E-2</v>
      </c>
      <c r="E532" s="3">
        <v>3.5749099999999999E-2</v>
      </c>
      <c r="F532" s="3">
        <v>1.6747600000000001E-2</v>
      </c>
      <c r="G532" s="3">
        <v>7.6840000000000003E-4</v>
      </c>
      <c r="H532" s="3">
        <v>-1.40786E-2</v>
      </c>
      <c r="I532" s="3">
        <v>-2.8173E-2</v>
      </c>
      <c r="J532" s="3">
        <v>-4.14823E-2</v>
      </c>
      <c r="K532" s="3">
        <v>-5.4531200000000002E-2</v>
      </c>
      <c r="L532" s="3">
        <v>-6.7601700000000001E-2</v>
      </c>
      <c r="M532" s="3">
        <v>-8.0669699999999997E-2</v>
      </c>
      <c r="N532" s="3">
        <v>-9.3532000000000004E-2</v>
      </c>
      <c r="O532" s="3">
        <v>-0.1057565</v>
      </c>
      <c r="P532" s="3">
        <v>-0.1168419</v>
      </c>
      <c r="Q532" s="3">
        <v>-0.12613389999999999</v>
      </c>
      <c r="R532" s="3">
        <v>-0.13355810000000001</v>
      </c>
      <c r="S532" s="3">
        <v>-0.1392089</v>
      </c>
      <c r="T532" s="3">
        <v>-0.14318059999999999</v>
      </c>
      <c r="U532" s="3">
        <v>-0.14556769999999999</v>
      </c>
      <c r="V532" s="3">
        <v>-0.1464646</v>
      </c>
      <c r="W532" s="3">
        <v>-0.145984</v>
      </c>
      <c r="X532" s="3">
        <v>-0.1443017</v>
      </c>
      <c r="Y532" s="3">
        <v>-0.14160739999999999</v>
      </c>
      <c r="Z532" s="3">
        <v>-0.1380903</v>
      </c>
      <c r="AA532" s="3">
        <v>-0.13394010000000001</v>
      </c>
      <c r="AB532" s="3">
        <v>-0.12934619999999999</v>
      </c>
      <c r="AC532" s="3">
        <v>-0.1244697</v>
      </c>
      <c r="AD532" s="3">
        <v>-0.1193587</v>
      </c>
      <c r="AE532" s="3">
        <v>-0.1140328</v>
      </c>
      <c r="AF532" s="3">
        <v>-0.10851180000000001</v>
      </c>
      <c r="AG532" s="3">
        <v>-0.1028152</v>
      </c>
      <c r="AH532" s="3">
        <v>-9.6962900000000005E-2</v>
      </c>
      <c r="AI532" s="3">
        <v>-9.0974399999999997E-2</v>
      </c>
      <c r="AJ532" s="3">
        <v>-8.48695E-2</v>
      </c>
      <c r="AK532" s="3">
        <v>-7.8667899999999999E-2</v>
      </c>
      <c r="AL532" s="3">
        <v>-7.2389200000000001E-2</v>
      </c>
      <c r="AM532" s="3">
        <v>-6.6053100000000003E-2</v>
      </c>
      <c r="AN532" s="3">
        <v>-5.9679299999999998E-2</v>
      </c>
      <c r="AO532" s="3">
        <v>-5.3283799999999999E-2</v>
      </c>
      <c r="AP532" s="3">
        <v>-4.6867899999999997E-2</v>
      </c>
      <c r="AQ532" s="3">
        <v>-4.0429199999999998E-2</v>
      </c>
      <c r="AR532" s="3">
        <v>-3.3965200000000001E-2</v>
      </c>
      <c r="AS532" s="3">
        <v>-2.7473500000000001E-2</v>
      </c>
      <c r="AT532" s="3">
        <v>-2.09518E-2</v>
      </c>
      <c r="AU532" s="3">
        <v>-1.4397699999999999E-2</v>
      </c>
      <c r="AV532" s="3">
        <v>-7.8085999999999997E-3</v>
      </c>
      <c r="AW532" s="3">
        <v>-1.1822E-3</v>
      </c>
      <c r="AX532" s="3">
        <v>5.4837999999999996E-3</v>
      </c>
      <c r="AY532" s="3">
        <v>1.2192E-2</v>
      </c>
      <c r="AZ532" s="3">
        <v>1.8944699999999998E-2</v>
      </c>
      <c r="BA532" s="3">
        <v>2.5743700000000001E-2</v>
      </c>
      <c r="BB532" s="3">
        <v>3.2586700000000003E-2</v>
      </c>
      <c r="BC532" s="3">
        <v>3.9470400000000003E-2</v>
      </c>
      <c r="BD532" s="3">
        <v>4.6391300000000003E-2</v>
      </c>
      <c r="BE532" s="3">
        <v>5.3345900000000002E-2</v>
      </c>
      <c r="BF532" s="3">
        <v>6.03309E-2</v>
      </c>
      <c r="BG532" s="3">
        <v>6.7342799999999994E-2</v>
      </c>
      <c r="BH532" s="3">
        <v>7.4378100000000003E-2</v>
      </c>
      <c r="BI532" s="3">
        <v>8.1433400000000003E-2</v>
      </c>
      <c r="BJ532" s="3">
        <v>8.8505299999999995E-2</v>
      </c>
      <c r="BK532" s="3">
        <v>9.5590400000000006E-2</v>
      </c>
      <c r="BL532" s="3">
        <v>0.1026851</v>
      </c>
      <c r="BM532" s="3" t="e">
        <v>#N/A</v>
      </c>
      <c r="BN532" s="3" t="e">
        <v>#N/A</v>
      </c>
    </row>
    <row r="533" spans="1:66" x14ac:dyDescent="0.35">
      <c r="A533" s="5">
        <f t="shared" si="8"/>
        <v>44201</v>
      </c>
      <c r="B533" t="s">
        <v>610</v>
      </c>
      <c r="C533" s="2">
        <v>0.1</v>
      </c>
      <c r="D533" s="2">
        <v>4.8500000000000001E-2</v>
      </c>
      <c r="E533" s="3">
        <v>3.0686999999999999E-2</v>
      </c>
      <c r="F533" s="3">
        <v>1.83065E-2</v>
      </c>
      <c r="G533" s="3">
        <v>4.3921999999999998E-3</v>
      </c>
      <c r="H533" s="3">
        <v>-1.06458E-2</v>
      </c>
      <c r="I533" s="3">
        <v>-2.50073E-2</v>
      </c>
      <c r="J533" s="3">
        <v>-3.7684099999999998E-2</v>
      </c>
      <c r="K533" s="3">
        <v>-4.8987099999999999E-2</v>
      </c>
      <c r="L533" s="3">
        <v>-5.9477799999999997E-2</v>
      </c>
      <c r="M533" s="3">
        <v>-6.9483600000000006E-2</v>
      </c>
      <c r="N533" s="3">
        <v>-7.9195799999999997E-2</v>
      </c>
      <c r="O533" s="3">
        <v>-8.8529099999999999E-2</v>
      </c>
      <c r="P533" s="3">
        <v>-9.7187700000000002E-2</v>
      </c>
      <c r="Q533" s="3">
        <v>-0.1046854</v>
      </c>
      <c r="R533" s="3">
        <v>-0.1109333</v>
      </c>
      <c r="S533" s="3">
        <v>-0.11596040000000001</v>
      </c>
      <c r="T533" s="3">
        <v>-0.11979620000000001</v>
      </c>
      <c r="U533" s="3">
        <v>-0.12246990000000001</v>
      </c>
      <c r="V533" s="3">
        <v>-0.1240106</v>
      </c>
      <c r="W533" s="3">
        <v>-0.1244599</v>
      </c>
      <c r="X533" s="3">
        <v>-0.12390139999999999</v>
      </c>
      <c r="Y533" s="3">
        <v>-0.1224281</v>
      </c>
      <c r="Z533" s="3">
        <v>-0.1201327</v>
      </c>
      <c r="AA533" s="3">
        <v>-0.117108</v>
      </c>
      <c r="AB533" s="3">
        <v>-0.1134469</v>
      </c>
      <c r="AC533" s="3">
        <v>-0.1092336</v>
      </c>
      <c r="AD533" s="3">
        <v>-0.10451770000000001</v>
      </c>
      <c r="AE533" s="3">
        <v>-9.9340200000000003E-2</v>
      </c>
      <c r="AF533" s="3">
        <v>-9.3742099999999995E-2</v>
      </c>
      <c r="AG533" s="3">
        <v>-8.7764499999999995E-2</v>
      </c>
      <c r="AH533" s="3">
        <v>-8.1448400000000004E-2</v>
      </c>
      <c r="AI533" s="3">
        <v>-7.4834800000000007E-2</v>
      </c>
      <c r="AJ533" s="3">
        <v>-6.7964800000000006E-2</v>
      </c>
      <c r="AK533" s="3">
        <v>-6.0879299999999997E-2</v>
      </c>
      <c r="AL533" s="3">
        <v>-5.3619399999999998E-2</v>
      </c>
      <c r="AM533" s="3">
        <v>-4.6226099999999999E-2</v>
      </c>
      <c r="AN533" s="3">
        <v>-3.8740499999999997E-2</v>
      </c>
      <c r="AO533" s="3">
        <v>-3.11975E-2</v>
      </c>
      <c r="AP533" s="3">
        <v>-2.3608500000000001E-2</v>
      </c>
      <c r="AQ533" s="3">
        <v>-1.5978800000000001E-2</v>
      </c>
      <c r="AR533" s="3">
        <v>-8.3137999999999997E-3</v>
      </c>
      <c r="AS533" s="3">
        <v>-6.1879999999999997E-4</v>
      </c>
      <c r="AT533" s="3">
        <v>7.1009000000000003E-3</v>
      </c>
      <c r="AU533" s="3">
        <v>1.48398E-2</v>
      </c>
      <c r="AV533" s="3">
        <v>2.25928E-2</v>
      </c>
      <c r="AW533" s="3">
        <v>3.03544E-2</v>
      </c>
      <c r="AX533" s="3">
        <v>3.8119300000000002E-2</v>
      </c>
      <c r="AY533" s="3">
        <v>4.5882199999999998E-2</v>
      </c>
      <c r="AZ533" s="3">
        <v>5.3637700000000003E-2</v>
      </c>
      <c r="BA533" s="3">
        <v>6.1381199999999997E-2</v>
      </c>
      <c r="BB533" s="3">
        <v>6.9111599999999995E-2</v>
      </c>
      <c r="BC533" s="3">
        <v>7.6828999999999995E-2</v>
      </c>
      <c r="BD533" s="3">
        <v>8.4533300000000006E-2</v>
      </c>
      <c r="BE533" s="3">
        <v>9.2224700000000007E-2</v>
      </c>
      <c r="BF533" s="3">
        <v>9.9902900000000003E-2</v>
      </c>
      <c r="BG533" s="3">
        <v>0.1075682</v>
      </c>
      <c r="BH533" s="3">
        <v>0.1152204</v>
      </c>
      <c r="BI533" s="3">
        <v>0.1228596</v>
      </c>
      <c r="BJ533" s="3">
        <v>0.13048589999999999</v>
      </c>
      <c r="BK533" s="3">
        <v>0.1380991</v>
      </c>
      <c r="BL533" s="3">
        <v>0.1456993</v>
      </c>
      <c r="BM533" s="3" t="e">
        <v>#N/A</v>
      </c>
      <c r="BN533" s="3" t="e">
        <v>#N/A</v>
      </c>
    </row>
    <row r="534" spans="1:66" x14ac:dyDescent="0.35">
      <c r="A534" s="5">
        <f t="shared" si="8"/>
        <v>44202</v>
      </c>
      <c r="B534" t="s">
        <v>611</v>
      </c>
      <c r="C534" s="2">
        <v>0.1</v>
      </c>
      <c r="D534" s="2">
        <v>4.8800000000000003E-2</v>
      </c>
      <c r="E534" s="3">
        <v>4.2555000000000003E-2</v>
      </c>
      <c r="F534" s="3">
        <v>2.8860799999999999E-2</v>
      </c>
      <c r="G534" s="3">
        <v>1.30612E-2</v>
      </c>
      <c r="H534" s="3">
        <v>-3.7867E-3</v>
      </c>
      <c r="I534" s="3">
        <v>-1.9377100000000001E-2</v>
      </c>
      <c r="J534" s="3">
        <v>-3.2723500000000003E-2</v>
      </c>
      <c r="K534" s="3">
        <v>-4.4463299999999997E-2</v>
      </c>
      <c r="L534" s="3">
        <v>-5.5382500000000001E-2</v>
      </c>
      <c r="M534" s="3">
        <v>-6.5932900000000003E-2</v>
      </c>
      <c r="N534" s="3">
        <v>-7.6242900000000002E-2</v>
      </c>
      <c r="O534" s="3">
        <v>-8.6104399999999998E-2</v>
      </c>
      <c r="P534" s="3">
        <v>-9.5122999999999999E-2</v>
      </c>
      <c r="Q534" s="3">
        <v>-0.1027431</v>
      </c>
      <c r="R534" s="3">
        <v>-0.1088828</v>
      </c>
      <c r="S534" s="3">
        <v>-0.113596</v>
      </c>
      <c r="T534" s="3">
        <v>-0.11693630000000001</v>
      </c>
      <c r="U534" s="3">
        <v>-0.1189573</v>
      </c>
      <c r="V534" s="3">
        <v>-0.11971279999999999</v>
      </c>
      <c r="W534" s="3">
        <v>-0.11927</v>
      </c>
      <c r="X534" s="3">
        <v>-0.1177431</v>
      </c>
      <c r="Y534" s="3">
        <v>-0.1152566</v>
      </c>
      <c r="Z534" s="3">
        <v>-0.1119349</v>
      </c>
      <c r="AA534" s="3">
        <v>-0.1079022</v>
      </c>
      <c r="AB534" s="3">
        <v>-0.1032831</v>
      </c>
      <c r="AC534" s="3">
        <v>-9.8187099999999999E-2</v>
      </c>
      <c r="AD534" s="3">
        <v>-9.26646E-2</v>
      </c>
      <c r="AE534" s="3">
        <v>-8.6751499999999995E-2</v>
      </c>
      <c r="AF534" s="3">
        <v>-8.0483499999999999E-2</v>
      </c>
      <c r="AG534" s="3">
        <v>-7.3896199999999995E-2</v>
      </c>
      <c r="AH534" s="3">
        <v>-6.7025399999999999E-2</v>
      </c>
      <c r="AI534" s="3">
        <v>-5.9906800000000003E-2</v>
      </c>
      <c r="AJ534" s="3">
        <v>-5.2576199999999997E-2</v>
      </c>
      <c r="AK534" s="3">
        <v>-4.5069199999999997E-2</v>
      </c>
      <c r="AL534" s="3">
        <v>-3.7421599999999999E-2</v>
      </c>
      <c r="AM534" s="3">
        <v>-2.96692E-2</v>
      </c>
      <c r="AN534" s="3">
        <v>-2.1847599999999998E-2</v>
      </c>
      <c r="AO534" s="3">
        <v>-1.39881E-2</v>
      </c>
      <c r="AP534" s="3">
        <v>-6.1006000000000003E-3</v>
      </c>
      <c r="AQ534" s="3">
        <v>1.8117999999999999E-3</v>
      </c>
      <c r="AR534" s="3">
        <v>9.7456999999999995E-3</v>
      </c>
      <c r="AS534" s="3">
        <v>1.7698100000000001E-2</v>
      </c>
      <c r="AT534" s="3">
        <v>2.5665500000000001E-2</v>
      </c>
      <c r="AU534" s="3">
        <v>3.3644800000000002E-2</v>
      </c>
      <c r="AV534" s="3">
        <v>4.1632700000000002E-2</v>
      </c>
      <c r="AW534" s="3">
        <v>4.9626099999999999E-2</v>
      </c>
      <c r="AX534" s="3">
        <v>5.7621699999999998E-2</v>
      </c>
      <c r="AY534" s="3">
        <v>6.5616099999999997E-2</v>
      </c>
      <c r="AZ534" s="3">
        <v>7.36063E-2</v>
      </c>
      <c r="BA534" s="3">
        <v>8.1589400000000006E-2</v>
      </c>
      <c r="BB534" s="3">
        <v>8.9564500000000005E-2</v>
      </c>
      <c r="BC534" s="3">
        <v>9.7531300000000001E-2</v>
      </c>
      <c r="BD534" s="3">
        <v>0.1054894</v>
      </c>
      <c r="BE534" s="3">
        <v>0.1134385</v>
      </c>
      <c r="BF534" s="3">
        <v>0.12137820000000001</v>
      </c>
      <c r="BG534" s="3">
        <v>0.12930820000000001</v>
      </c>
      <c r="BH534" s="3">
        <v>0.13722819999999999</v>
      </c>
      <c r="BI534" s="3">
        <v>0.14513770000000001</v>
      </c>
      <c r="BJ534" s="3">
        <v>0.15303649999999999</v>
      </c>
      <c r="BK534" s="3">
        <v>0.16092419999999999</v>
      </c>
      <c r="BL534" s="3">
        <v>0.16880049999999999</v>
      </c>
      <c r="BM534" s="3" t="e">
        <v>#N/A</v>
      </c>
      <c r="BN534" s="3" t="e">
        <v>#N/A</v>
      </c>
    </row>
    <row r="535" spans="1:66" x14ac:dyDescent="0.35">
      <c r="A535" s="5">
        <f t="shared" si="8"/>
        <v>44203</v>
      </c>
      <c r="B535" t="s">
        <v>612</v>
      </c>
      <c r="C535" s="2">
        <v>0.1</v>
      </c>
      <c r="D535" s="2">
        <v>4.9099999999999998E-2</v>
      </c>
      <c r="E535" s="3">
        <v>4.0295999999999998E-2</v>
      </c>
      <c r="F535" s="3">
        <v>2.48448E-2</v>
      </c>
      <c r="G535" s="3">
        <v>8.8009000000000004E-3</v>
      </c>
      <c r="H535" s="3">
        <v>-7.1894999999999997E-3</v>
      </c>
      <c r="I535" s="3">
        <v>-2.16767E-2</v>
      </c>
      <c r="J535" s="3">
        <v>-3.3961199999999997E-2</v>
      </c>
      <c r="K535" s="3">
        <v>-4.4591499999999999E-2</v>
      </c>
      <c r="L535" s="3">
        <v>-5.42324E-2</v>
      </c>
      <c r="M535" s="3">
        <v>-6.32635E-2</v>
      </c>
      <c r="N535" s="3">
        <v>-7.1793499999999996E-2</v>
      </c>
      <c r="O535" s="3">
        <v>-7.9675399999999993E-2</v>
      </c>
      <c r="P535" s="3">
        <v>-8.6621799999999999E-2</v>
      </c>
      <c r="Q535" s="3">
        <v>-9.2177200000000001E-2</v>
      </c>
      <c r="R535" s="3">
        <v>-9.6303799999999995E-2</v>
      </c>
      <c r="S535" s="3">
        <v>-9.9085000000000006E-2</v>
      </c>
      <c r="T535" s="3">
        <v>-0.1006045</v>
      </c>
      <c r="U535" s="3">
        <v>-0.10094590000000001</v>
      </c>
      <c r="V535" s="3">
        <v>-0.10019260000000001</v>
      </c>
      <c r="W535" s="3">
        <v>-9.8429000000000003E-2</v>
      </c>
      <c r="X535" s="3">
        <v>-9.5741800000000002E-2</v>
      </c>
      <c r="Y535" s="3">
        <v>-9.2218400000000006E-2</v>
      </c>
      <c r="Z535" s="3">
        <v>-8.7945999999999996E-2</v>
      </c>
      <c r="AA535" s="3">
        <v>-8.3012100000000005E-2</v>
      </c>
      <c r="AB535" s="3">
        <v>-7.7503900000000001E-2</v>
      </c>
      <c r="AC535" s="3">
        <v>-7.1501599999999998E-2</v>
      </c>
      <c r="AD535" s="3">
        <v>-6.5050999999999998E-2</v>
      </c>
      <c r="AE535" s="3">
        <v>-5.81874E-2</v>
      </c>
      <c r="AF535" s="3">
        <v>-5.0946100000000001E-2</v>
      </c>
      <c r="AG535" s="3">
        <v>-4.3362199999999997E-2</v>
      </c>
      <c r="AH535" s="3">
        <v>-3.5471000000000003E-2</v>
      </c>
      <c r="AI535" s="3">
        <v>-2.73078E-2</v>
      </c>
      <c r="AJ535" s="3">
        <v>-1.8907899999999998E-2</v>
      </c>
      <c r="AK535" s="3">
        <v>-1.03065E-2</v>
      </c>
      <c r="AL535" s="3">
        <v>-1.5388999999999999E-3</v>
      </c>
      <c r="AM535" s="3">
        <v>7.3597999999999997E-3</v>
      </c>
      <c r="AN535" s="3">
        <v>1.63541E-2</v>
      </c>
      <c r="AO535" s="3">
        <v>2.54126E-2</v>
      </c>
      <c r="AP535" s="3">
        <v>3.4520099999999998E-2</v>
      </c>
      <c r="AQ535" s="3">
        <v>4.3665599999999999E-2</v>
      </c>
      <c r="AR535" s="3">
        <v>5.2838499999999997E-2</v>
      </c>
      <c r="AS535" s="3">
        <v>6.2027899999999997E-2</v>
      </c>
      <c r="AT535" s="3">
        <v>7.12232E-2</v>
      </c>
      <c r="AU535" s="3">
        <v>8.0413499999999999E-2</v>
      </c>
      <c r="AV535" s="3">
        <v>8.9588100000000004E-2</v>
      </c>
      <c r="AW535" s="3">
        <v>9.8736099999999993E-2</v>
      </c>
      <c r="AX535" s="3">
        <v>0.1078469</v>
      </c>
      <c r="AY535" s="3">
        <v>0.1169096</v>
      </c>
      <c r="AZ535" s="3">
        <v>0.12591340000000001</v>
      </c>
      <c r="BA535" s="3">
        <v>0.13484959999999999</v>
      </c>
      <c r="BB535" s="3">
        <v>0.1437174</v>
      </c>
      <c r="BC535" s="3">
        <v>0.1525186</v>
      </c>
      <c r="BD535" s="3">
        <v>0.16125500000000001</v>
      </c>
      <c r="BE535" s="3">
        <v>0.1699282</v>
      </c>
      <c r="BF535" s="3">
        <v>0.17854</v>
      </c>
      <c r="BG535" s="3">
        <v>0.18709200000000001</v>
      </c>
      <c r="BH535" s="3">
        <v>0.19558600000000001</v>
      </c>
      <c r="BI535" s="3">
        <v>0.2040236</v>
      </c>
      <c r="BJ535" s="3">
        <v>0.2124067</v>
      </c>
      <c r="BK535" s="3">
        <v>0.22073680000000001</v>
      </c>
      <c r="BL535" s="3">
        <v>0.22901579999999999</v>
      </c>
      <c r="BM535" s="3" t="e">
        <v>#N/A</v>
      </c>
      <c r="BN535" s="3" t="e">
        <v>#N/A</v>
      </c>
    </row>
    <row r="536" spans="1:66" x14ac:dyDescent="0.35">
      <c r="A536" s="5">
        <f t="shared" si="8"/>
        <v>44204</v>
      </c>
      <c r="B536" t="s">
        <v>613</v>
      </c>
      <c r="C536" s="2">
        <v>0.1</v>
      </c>
      <c r="D536" s="2">
        <v>4.9700000000000001E-2</v>
      </c>
      <c r="E536" s="3">
        <v>3.8729899999999998E-2</v>
      </c>
      <c r="F536" s="3">
        <v>2.1947600000000001E-2</v>
      </c>
      <c r="G536" s="3">
        <v>6.2288999999999999E-3</v>
      </c>
      <c r="H536" s="3">
        <v>-8.2191E-3</v>
      </c>
      <c r="I536" s="3">
        <v>-2.11398E-2</v>
      </c>
      <c r="J536" s="3">
        <v>-3.2805599999999997E-2</v>
      </c>
      <c r="K536" s="3">
        <v>-4.39091E-2</v>
      </c>
      <c r="L536" s="3">
        <v>-5.43364E-2</v>
      </c>
      <c r="M536" s="3">
        <v>-6.3834600000000005E-2</v>
      </c>
      <c r="N536" s="3">
        <v>-7.2489600000000001E-2</v>
      </c>
      <c r="O536" s="3">
        <v>-8.02316E-2</v>
      </c>
      <c r="P536" s="3">
        <v>-8.6872099999999994E-2</v>
      </c>
      <c r="Q536" s="3">
        <v>-9.2075599999999994E-2</v>
      </c>
      <c r="R536" s="3">
        <v>-9.5824199999999998E-2</v>
      </c>
      <c r="S536" s="3">
        <v>-9.8213400000000006E-2</v>
      </c>
      <c r="T536" s="3">
        <v>-9.9338599999999999E-2</v>
      </c>
      <c r="U536" s="3">
        <v>-9.9294999999999994E-2</v>
      </c>
      <c r="V536" s="3">
        <v>-9.8178199999999993E-2</v>
      </c>
      <c r="W536" s="3">
        <v>-9.6081200000000005E-2</v>
      </c>
      <c r="X536" s="3">
        <v>-9.30893E-2</v>
      </c>
      <c r="Y536" s="3">
        <v>-8.9286400000000002E-2</v>
      </c>
      <c r="Z536" s="3">
        <v>-8.4755999999999998E-2</v>
      </c>
      <c r="AA536" s="3">
        <v>-7.9582E-2</v>
      </c>
      <c r="AB536" s="3">
        <v>-7.3847899999999994E-2</v>
      </c>
      <c r="AC536" s="3">
        <v>-6.7630599999999999E-2</v>
      </c>
      <c r="AD536" s="3">
        <v>-6.0976500000000003E-2</v>
      </c>
      <c r="AE536" s="3">
        <v>-5.3923699999999998E-2</v>
      </c>
      <c r="AF536" s="3">
        <v>-4.6510000000000003E-2</v>
      </c>
      <c r="AG536" s="3">
        <v>-3.8773599999999998E-2</v>
      </c>
      <c r="AH536" s="3">
        <v>-3.0752499999999999E-2</v>
      </c>
      <c r="AI536" s="3">
        <v>-2.24846E-2</v>
      </c>
      <c r="AJ536" s="3">
        <v>-1.40079E-2</v>
      </c>
      <c r="AK536" s="3">
        <v>-5.3606000000000001E-3</v>
      </c>
      <c r="AL536" s="3">
        <v>3.4194999999999998E-3</v>
      </c>
      <c r="AM536" s="3">
        <v>1.2294299999999999E-2</v>
      </c>
      <c r="AN536" s="3">
        <v>2.12258E-2</v>
      </c>
      <c r="AO536" s="3">
        <v>3.0181400000000001E-2</v>
      </c>
      <c r="AP536" s="3">
        <v>3.9149799999999998E-2</v>
      </c>
      <c r="AQ536" s="3">
        <v>4.81252E-2</v>
      </c>
      <c r="AR536" s="3">
        <v>5.7101800000000001E-2</v>
      </c>
      <c r="AS536" s="3">
        <v>6.6073800000000002E-2</v>
      </c>
      <c r="AT536" s="3">
        <v>7.5035400000000002E-2</v>
      </c>
      <c r="AU536" s="3">
        <v>8.3980600000000002E-2</v>
      </c>
      <c r="AV536" s="3">
        <v>9.2903700000000006E-2</v>
      </c>
      <c r="AW536" s="3">
        <v>0.10179879999999999</v>
      </c>
      <c r="AX536" s="3">
        <v>0.1106601</v>
      </c>
      <c r="AY536" s="3">
        <v>0.1194818</v>
      </c>
      <c r="AZ536" s="3">
        <v>0.12825810000000001</v>
      </c>
      <c r="BA536" s="3">
        <v>0.1369842</v>
      </c>
      <c r="BB536" s="3">
        <v>0.1456607</v>
      </c>
      <c r="BC536" s="3">
        <v>0.1542896</v>
      </c>
      <c r="BD536" s="3">
        <v>0.16287289999999999</v>
      </c>
      <c r="BE536" s="3">
        <v>0.1714125</v>
      </c>
      <c r="BF536" s="3">
        <v>0.1799103</v>
      </c>
      <c r="BG536" s="3">
        <v>0.18836839999999999</v>
      </c>
      <c r="BH536" s="3">
        <v>0.19678860000000001</v>
      </c>
      <c r="BI536" s="3">
        <v>0.2051731</v>
      </c>
      <c r="BJ536" s="3">
        <v>0.21352360000000001</v>
      </c>
      <c r="BK536" s="3">
        <v>0.22184229999999999</v>
      </c>
      <c r="BL536" s="3">
        <v>0.230131</v>
      </c>
      <c r="BM536" s="3" t="e">
        <v>#N/A</v>
      </c>
      <c r="BN536" s="3" t="e">
        <v>#N/A</v>
      </c>
    </row>
    <row r="537" spans="1:66" x14ac:dyDescent="0.35">
      <c r="A537" s="5">
        <f t="shared" si="8"/>
        <v>44207</v>
      </c>
      <c r="B537" t="s">
        <v>614</v>
      </c>
      <c r="C537" s="2">
        <v>0.1</v>
      </c>
      <c r="D537" s="2">
        <v>4.8800000000000003E-2</v>
      </c>
      <c r="E537" s="3">
        <v>4.0474099999999999E-2</v>
      </c>
      <c r="F537" s="3">
        <v>2.7860200000000002E-2</v>
      </c>
      <c r="G537" s="3">
        <v>1.39077E-2</v>
      </c>
      <c r="H537" s="3">
        <v>-8.3540000000000003E-4</v>
      </c>
      <c r="I537" s="3">
        <v>-1.46727E-2</v>
      </c>
      <c r="J537" s="3">
        <v>-2.6799900000000001E-2</v>
      </c>
      <c r="K537" s="3">
        <v>-3.7499200000000003E-2</v>
      </c>
      <c r="L537" s="3">
        <v>-4.7162599999999999E-2</v>
      </c>
      <c r="M537" s="3">
        <v>-5.6114999999999998E-2</v>
      </c>
      <c r="N537" s="3">
        <v>-6.44874E-2</v>
      </c>
      <c r="O537" s="3">
        <v>-7.2095699999999999E-2</v>
      </c>
      <c r="P537" s="3">
        <v>-7.8683000000000003E-2</v>
      </c>
      <c r="Q537" s="3">
        <v>-8.3884600000000004E-2</v>
      </c>
      <c r="R537" s="3">
        <v>-8.7677099999999994E-2</v>
      </c>
      <c r="S537" s="3">
        <v>-9.0137900000000007E-2</v>
      </c>
      <c r="T537" s="3">
        <v>-9.1344800000000004E-2</v>
      </c>
      <c r="U537" s="3">
        <v>-9.1375300000000007E-2</v>
      </c>
      <c r="V537" s="3">
        <v>-9.0306999999999998E-2</v>
      </c>
      <c r="W537" s="3">
        <v>-8.8217599999999993E-2</v>
      </c>
      <c r="X537" s="3">
        <v>-8.5186100000000001E-2</v>
      </c>
      <c r="Y537" s="3">
        <v>-8.12914E-2</v>
      </c>
      <c r="Z537" s="3">
        <v>-7.6612600000000003E-2</v>
      </c>
      <c r="AA537" s="3">
        <v>-7.1228700000000006E-2</v>
      </c>
      <c r="AB537" s="3">
        <v>-6.5218700000000004E-2</v>
      </c>
      <c r="AC537" s="3">
        <v>-5.86565E-2</v>
      </c>
      <c r="AD537" s="3">
        <v>-5.1595000000000002E-2</v>
      </c>
      <c r="AE537" s="3">
        <v>-4.4082200000000002E-2</v>
      </c>
      <c r="AF537" s="3">
        <v>-3.6165799999999998E-2</v>
      </c>
      <c r="AG537" s="3">
        <v>-2.78937E-2</v>
      </c>
      <c r="AH537" s="3">
        <v>-1.93137E-2</v>
      </c>
      <c r="AI537" s="3">
        <v>-1.0473700000000001E-2</v>
      </c>
      <c r="AJ537" s="3">
        <v>-1.4215E-3</v>
      </c>
      <c r="AK537" s="3">
        <v>7.7951000000000001E-3</v>
      </c>
      <c r="AL537" s="3">
        <v>1.71282E-2</v>
      </c>
      <c r="AM537" s="3">
        <v>2.6530000000000001E-2</v>
      </c>
      <c r="AN537" s="3">
        <v>3.5952699999999997E-2</v>
      </c>
      <c r="AO537" s="3">
        <v>4.5355800000000002E-2</v>
      </c>
      <c r="AP537" s="3">
        <v>5.4728699999999998E-2</v>
      </c>
      <c r="AQ537" s="3">
        <v>6.4067899999999997E-2</v>
      </c>
      <c r="AR537" s="3">
        <v>7.3370299999999999E-2</v>
      </c>
      <c r="AS537" s="3">
        <v>8.2632499999999998E-2</v>
      </c>
      <c r="AT537" s="3">
        <v>9.1851299999999997E-2</v>
      </c>
      <c r="AU537" s="3">
        <v>0.1010233</v>
      </c>
      <c r="AV537" s="3">
        <v>0.1101452</v>
      </c>
      <c r="AW537" s="3">
        <v>0.11921379999999999</v>
      </c>
      <c r="AX537" s="3">
        <v>0.1282257</v>
      </c>
      <c r="AY537" s="3">
        <v>0.13717760000000001</v>
      </c>
      <c r="AZ537" s="3">
        <v>0.14606630000000001</v>
      </c>
      <c r="BA537" s="3">
        <v>0.15488930000000001</v>
      </c>
      <c r="BB537" s="3">
        <v>0.16364870000000001</v>
      </c>
      <c r="BC537" s="3">
        <v>0.17234840000000001</v>
      </c>
      <c r="BD537" s="3">
        <v>0.18099199999999999</v>
      </c>
      <c r="BE537" s="3">
        <v>0.18958320000000001</v>
      </c>
      <c r="BF537" s="3">
        <v>0.19812579999999999</v>
      </c>
      <c r="BG537" s="3">
        <v>0.20662349999999999</v>
      </c>
      <c r="BH537" s="3">
        <v>0.2150801</v>
      </c>
      <c r="BI537" s="3">
        <v>0.22349920000000001</v>
      </c>
      <c r="BJ537" s="3">
        <v>0.2318846</v>
      </c>
      <c r="BK537" s="3">
        <v>0.24024010000000001</v>
      </c>
      <c r="BL537" s="3">
        <v>0.24856919999999999</v>
      </c>
      <c r="BM537" s="3" t="e">
        <v>#N/A</v>
      </c>
      <c r="BN537" s="3" t="e">
        <v>#N/A</v>
      </c>
    </row>
    <row r="538" spans="1:66" x14ac:dyDescent="0.35">
      <c r="A538" s="5">
        <f t="shared" si="8"/>
        <v>44208</v>
      </c>
      <c r="B538" t="s">
        <v>615</v>
      </c>
      <c r="C538" s="2">
        <v>0.1</v>
      </c>
      <c r="D538" s="2">
        <v>4.87E-2</v>
      </c>
      <c r="E538" s="3">
        <v>4.4274599999999997E-2</v>
      </c>
      <c r="F538" s="3">
        <v>3.4425699999999997E-2</v>
      </c>
      <c r="G538" s="3">
        <v>2.33002E-2</v>
      </c>
      <c r="H538" s="3">
        <v>1.16893E-2</v>
      </c>
      <c r="I538" s="3">
        <v>8.5570000000000004E-4</v>
      </c>
      <c r="J538" s="3">
        <v>-8.7822000000000004E-3</v>
      </c>
      <c r="K538" s="3">
        <v>-1.7618700000000001E-2</v>
      </c>
      <c r="L538" s="3">
        <v>-2.6005199999999999E-2</v>
      </c>
      <c r="M538" s="3">
        <v>-3.3975900000000003E-2</v>
      </c>
      <c r="N538" s="3">
        <v>-4.1386199999999998E-2</v>
      </c>
      <c r="O538" s="3">
        <v>-4.7912200000000002E-2</v>
      </c>
      <c r="P538" s="3">
        <v>-5.3226999999999997E-2</v>
      </c>
      <c r="Q538" s="3">
        <v>-5.6905799999999999E-2</v>
      </c>
      <c r="R538" s="3">
        <v>-5.8956500000000002E-2</v>
      </c>
      <c r="S538" s="3">
        <v>-5.95112E-2</v>
      </c>
      <c r="T538" s="3">
        <v>-5.87021E-2</v>
      </c>
      <c r="U538" s="3">
        <v>-5.6661299999999998E-2</v>
      </c>
      <c r="V538" s="3">
        <v>-5.35208E-2</v>
      </c>
      <c r="W538" s="3">
        <v>-4.9410900000000001E-2</v>
      </c>
      <c r="X538" s="3">
        <v>-4.44547E-2</v>
      </c>
      <c r="Y538" s="3">
        <v>-3.8773799999999997E-2</v>
      </c>
      <c r="Z538" s="3">
        <v>-3.2489900000000002E-2</v>
      </c>
      <c r="AA538" s="3">
        <v>-2.57247E-2</v>
      </c>
      <c r="AB538" s="3">
        <v>-1.8599899999999999E-2</v>
      </c>
      <c r="AC538" s="3">
        <v>-1.12199E-2</v>
      </c>
      <c r="AD538" s="3">
        <v>-3.6207000000000001E-3</v>
      </c>
      <c r="AE538" s="3">
        <v>4.1790999999999998E-3</v>
      </c>
      <c r="AF538" s="3">
        <v>1.2160600000000001E-2</v>
      </c>
      <c r="AG538" s="3">
        <v>2.0305199999999999E-2</v>
      </c>
      <c r="AH538" s="3">
        <v>2.8594100000000001E-2</v>
      </c>
      <c r="AI538" s="3">
        <v>3.7008600000000003E-2</v>
      </c>
      <c r="AJ538" s="3">
        <v>4.5530000000000001E-2</v>
      </c>
      <c r="AK538" s="3">
        <v>5.41395E-2</v>
      </c>
      <c r="AL538" s="3">
        <v>6.2818399999999996E-2</v>
      </c>
      <c r="AM538" s="3">
        <v>7.1547899999999998E-2</v>
      </c>
      <c r="AN538" s="3">
        <v>8.03093E-2</v>
      </c>
      <c r="AO538" s="3">
        <v>8.9087200000000005E-2</v>
      </c>
      <c r="AP538" s="3">
        <v>9.7878800000000002E-2</v>
      </c>
      <c r="AQ538" s="3">
        <v>0.1066846</v>
      </c>
      <c r="AR538" s="3">
        <v>0.1155051</v>
      </c>
      <c r="AS538" s="3">
        <v>0.12434099999999999</v>
      </c>
      <c r="AT538" s="3">
        <v>0.13319259999999999</v>
      </c>
      <c r="AU538" s="3">
        <v>0.14206050000000001</v>
      </c>
      <c r="AV538" s="3">
        <v>0.1509453</v>
      </c>
      <c r="AW538" s="3">
        <v>0.1598474</v>
      </c>
      <c r="AX538" s="3">
        <v>0.16876740000000001</v>
      </c>
      <c r="AY538" s="3">
        <v>0.1777058</v>
      </c>
      <c r="AZ538" s="3">
        <v>0.1866631</v>
      </c>
      <c r="BA538" s="3">
        <v>0.19563939999999999</v>
      </c>
      <c r="BB538" s="3">
        <v>0.20463219999999999</v>
      </c>
      <c r="BC538" s="3">
        <v>0.21363840000000001</v>
      </c>
      <c r="BD538" s="3">
        <v>0.22265489999999999</v>
      </c>
      <c r="BE538" s="3">
        <v>0.23167860000000001</v>
      </c>
      <c r="BF538" s="3">
        <v>0.24070630000000001</v>
      </c>
      <c r="BG538" s="3">
        <v>0.24973490000000001</v>
      </c>
      <c r="BH538" s="3">
        <v>0.25876139999999997</v>
      </c>
      <c r="BI538" s="3">
        <v>0.26778239999999998</v>
      </c>
      <c r="BJ538" s="3">
        <v>0.27679500000000001</v>
      </c>
      <c r="BK538" s="3">
        <v>0.2857961</v>
      </c>
      <c r="BL538" s="3">
        <v>0.2947824</v>
      </c>
      <c r="BM538" s="3" t="e">
        <v>#N/A</v>
      </c>
      <c r="BN538" s="3" t="e">
        <v>#N/A</v>
      </c>
    </row>
    <row r="539" spans="1:66" x14ac:dyDescent="0.35">
      <c r="A539" s="5">
        <f t="shared" si="8"/>
        <v>44209</v>
      </c>
      <c r="B539" t="s">
        <v>616</v>
      </c>
      <c r="C539" s="2">
        <v>0.1</v>
      </c>
      <c r="D539" s="2">
        <v>4.9599999999999998E-2</v>
      </c>
      <c r="E539" s="3">
        <v>4.4139499999999998E-2</v>
      </c>
      <c r="F539" s="3">
        <v>3.4315699999999998E-2</v>
      </c>
      <c r="G539" s="3">
        <v>2.2108699999999998E-2</v>
      </c>
      <c r="H539" s="3">
        <v>8.8801999999999996E-3</v>
      </c>
      <c r="I539" s="3">
        <v>-3.7120999999999999E-3</v>
      </c>
      <c r="J539" s="3">
        <v>-1.49774E-2</v>
      </c>
      <c r="K539" s="3">
        <v>-2.5048500000000001E-2</v>
      </c>
      <c r="L539" s="3">
        <v>-3.4171300000000002E-2</v>
      </c>
      <c r="M539" s="3">
        <v>-4.2452700000000003E-2</v>
      </c>
      <c r="N539" s="3">
        <v>-4.9851600000000003E-2</v>
      </c>
      <c r="O539" s="3">
        <v>-5.6200699999999999E-2</v>
      </c>
      <c r="P539" s="3">
        <v>-6.1235499999999998E-2</v>
      </c>
      <c r="Q539" s="3">
        <v>-6.46761E-2</v>
      </c>
      <c r="R539" s="3">
        <v>-6.6561700000000001E-2</v>
      </c>
      <c r="S539" s="3">
        <v>-6.7016099999999995E-2</v>
      </c>
      <c r="T539" s="3">
        <v>-6.6163200000000005E-2</v>
      </c>
      <c r="U539" s="3">
        <v>-6.4126600000000006E-2</v>
      </c>
      <c r="V539" s="3">
        <v>-6.1030300000000003E-2</v>
      </c>
      <c r="W539" s="3">
        <v>-5.6996900000000003E-2</v>
      </c>
      <c r="X539" s="3">
        <v>-5.2144599999999999E-2</v>
      </c>
      <c r="Y539" s="3">
        <v>-4.6590800000000002E-2</v>
      </c>
      <c r="Z539" s="3">
        <v>-4.04529E-2</v>
      </c>
      <c r="AA539" s="3">
        <v>-3.3848400000000001E-2</v>
      </c>
      <c r="AB539" s="3">
        <v>-2.6894499999999998E-2</v>
      </c>
      <c r="AC539" s="3">
        <v>-1.9692500000000002E-2</v>
      </c>
      <c r="AD539" s="3">
        <v>-1.2278900000000001E-2</v>
      </c>
      <c r="AE539" s="3">
        <v>-4.6740000000000002E-3</v>
      </c>
      <c r="AF539" s="3">
        <v>3.1018E-3</v>
      </c>
      <c r="AG539" s="3">
        <v>1.1028100000000001E-2</v>
      </c>
      <c r="AH539" s="3">
        <v>1.90847E-2</v>
      </c>
      <c r="AI539" s="3">
        <v>2.72512E-2</v>
      </c>
      <c r="AJ539" s="3">
        <v>3.5507299999999999E-2</v>
      </c>
      <c r="AK539" s="3">
        <v>4.3832500000000003E-2</v>
      </c>
      <c r="AL539" s="3">
        <v>5.2206599999999999E-2</v>
      </c>
      <c r="AM539" s="3">
        <v>6.0609200000000002E-2</v>
      </c>
      <c r="AN539" s="3">
        <v>6.9020100000000001E-2</v>
      </c>
      <c r="AO539" s="3">
        <v>7.7421000000000004E-2</v>
      </c>
      <c r="AP539" s="3">
        <v>8.5805599999999996E-2</v>
      </c>
      <c r="AQ539" s="3">
        <v>9.4170599999999993E-2</v>
      </c>
      <c r="AR539" s="3">
        <v>0.1025128</v>
      </c>
      <c r="AS539" s="3">
        <v>0.1108292</v>
      </c>
      <c r="AT539" s="3">
        <v>0.1191166</v>
      </c>
      <c r="AU539" s="3">
        <v>0.12737180000000001</v>
      </c>
      <c r="AV539" s="3">
        <v>0.13559180000000001</v>
      </c>
      <c r="AW539" s="3">
        <v>0.14377329999999999</v>
      </c>
      <c r="AX539" s="3">
        <v>0.1519132</v>
      </c>
      <c r="AY539" s="3">
        <v>0.1600084</v>
      </c>
      <c r="AZ539" s="3">
        <v>0.1680557</v>
      </c>
      <c r="BA539" s="3">
        <v>0.1760525</v>
      </c>
      <c r="BB539" s="3">
        <v>0.1839981</v>
      </c>
      <c r="BC539" s="3">
        <v>0.19189220000000001</v>
      </c>
      <c r="BD539" s="3">
        <v>0.19973489999999999</v>
      </c>
      <c r="BE539" s="3">
        <v>0.20752599999999999</v>
      </c>
      <c r="BF539" s="3">
        <v>0.21526529999999999</v>
      </c>
      <c r="BG539" s="3">
        <v>0.2229527</v>
      </c>
      <c r="BH539" s="3">
        <v>0.23058819999999999</v>
      </c>
      <c r="BI539" s="3">
        <v>0.23817150000000001</v>
      </c>
      <c r="BJ539" s="3">
        <v>0.24570259999999999</v>
      </c>
      <c r="BK539" s="3">
        <v>0.2531812</v>
      </c>
      <c r="BL539" s="3">
        <v>0.26060739999999999</v>
      </c>
      <c r="BM539" s="3" t="e">
        <v>#N/A</v>
      </c>
      <c r="BN539" s="3" t="e">
        <v>#N/A</v>
      </c>
    </row>
    <row r="540" spans="1:66" x14ac:dyDescent="0.35">
      <c r="A540" s="5">
        <f t="shared" si="8"/>
        <v>44210</v>
      </c>
      <c r="B540" t="s">
        <v>617</v>
      </c>
      <c r="C540" s="2">
        <v>0.1</v>
      </c>
      <c r="D540" s="2">
        <v>0.05</v>
      </c>
      <c r="E540" s="3">
        <v>3.7599199999999999E-2</v>
      </c>
      <c r="F540" s="3">
        <v>2.84347E-2</v>
      </c>
      <c r="G540" s="3">
        <v>1.8121000000000002E-2</v>
      </c>
      <c r="H540" s="3">
        <v>5.3226999999999997E-3</v>
      </c>
      <c r="I540" s="3">
        <v>-9.4935999999999996E-3</v>
      </c>
      <c r="J540" s="3">
        <v>-2.40153E-2</v>
      </c>
      <c r="K540" s="3">
        <v>-3.6578699999999999E-2</v>
      </c>
      <c r="L540" s="3">
        <v>-4.7281200000000002E-2</v>
      </c>
      <c r="M540" s="3">
        <v>-5.6550400000000001E-2</v>
      </c>
      <c r="N540" s="3">
        <v>-6.46032E-2</v>
      </c>
      <c r="O540" s="3">
        <v>-7.1428099999999994E-2</v>
      </c>
      <c r="P540" s="3">
        <v>-7.6908500000000005E-2</v>
      </c>
      <c r="Q540" s="3">
        <v>-8.0853400000000006E-2</v>
      </c>
      <c r="R540" s="3">
        <v>-8.3313100000000001E-2</v>
      </c>
      <c r="S540" s="3">
        <v>-8.4406300000000004E-2</v>
      </c>
      <c r="T540" s="3">
        <v>-8.4251699999999999E-2</v>
      </c>
      <c r="U540" s="3">
        <v>-8.2968E-2</v>
      </c>
      <c r="V540" s="3">
        <v>-8.0673999999999996E-2</v>
      </c>
      <c r="W540" s="3">
        <v>-7.7482099999999998E-2</v>
      </c>
      <c r="X540" s="3">
        <v>-7.3483099999999996E-2</v>
      </c>
      <c r="Y540" s="3">
        <v>-6.8763199999999997E-2</v>
      </c>
      <c r="Z540" s="3">
        <v>-6.3408400000000004E-2</v>
      </c>
      <c r="AA540" s="3">
        <v>-5.7505000000000001E-2</v>
      </c>
      <c r="AB540" s="3">
        <v>-5.11391E-2</v>
      </c>
      <c r="AC540" s="3">
        <v>-4.4389400000000002E-2</v>
      </c>
      <c r="AD540" s="3">
        <v>-3.72983E-2</v>
      </c>
      <c r="AE540" s="3">
        <v>-2.9897199999999999E-2</v>
      </c>
      <c r="AF540" s="3">
        <v>-2.2217299999999999E-2</v>
      </c>
      <c r="AG540" s="3">
        <v>-1.42901E-2</v>
      </c>
      <c r="AH540" s="3">
        <v>-6.1468E-3</v>
      </c>
      <c r="AI540" s="3">
        <v>2.1810000000000002E-3</v>
      </c>
      <c r="AJ540" s="3">
        <v>1.06622E-2</v>
      </c>
      <c r="AK540" s="3">
        <v>1.9265399999999998E-2</v>
      </c>
      <c r="AL540" s="3">
        <v>2.7959100000000001E-2</v>
      </c>
      <c r="AM540" s="3">
        <v>3.67122E-2</v>
      </c>
      <c r="AN540" s="3">
        <v>4.5493100000000002E-2</v>
      </c>
      <c r="AO540" s="3">
        <v>5.4274700000000002E-2</v>
      </c>
      <c r="AP540" s="3">
        <v>6.3048199999999999E-2</v>
      </c>
      <c r="AQ540" s="3">
        <v>7.1809499999999998E-2</v>
      </c>
      <c r="AR540" s="3">
        <v>8.0554899999999999E-2</v>
      </c>
      <c r="AS540" s="3">
        <v>8.9280399999999996E-2</v>
      </c>
      <c r="AT540" s="3">
        <v>9.7982200000000005E-2</v>
      </c>
      <c r="AU540" s="3">
        <v>0.1066565</v>
      </c>
      <c r="AV540" s="3">
        <v>0.11529929999999999</v>
      </c>
      <c r="AW540" s="3">
        <v>0.1239068</v>
      </c>
      <c r="AX540" s="3">
        <v>0.13247510000000001</v>
      </c>
      <c r="AY540" s="3">
        <v>0.1410003</v>
      </c>
      <c r="AZ540" s="3">
        <v>0.14947859999999999</v>
      </c>
      <c r="BA540" s="3">
        <v>0.15790680000000001</v>
      </c>
      <c r="BB540" s="3">
        <v>0.16628480000000001</v>
      </c>
      <c r="BC540" s="3">
        <v>0.1746135</v>
      </c>
      <c r="BD540" s="3">
        <v>0.1828938</v>
      </c>
      <c r="BE540" s="3">
        <v>0.1911264</v>
      </c>
      <c r="BF540" s="3">
        <v>0.19931209999999999</v>
      </c>
      <c r="BG540" s="3">
        <v>0.20745189999999999</v>
      </c>
      <c r="BH540" s="3">
        <v>0.2155465</v>
      </c>
      <c r="BI540" s="3">
        <v>0.22359670000000001</v>
      </c>
      <c r="BJ540" s="3">
        <v>0.23160339999999999</v>
      </c>
      <c r="BK540" s="3">
        <v>0.23956740000000001</v>
      </c>
      <c r="BL540" s="3">
        <v>0.2474895</v>
      </c>
      <c r="BM540" s="3" t="e">
        <v>#N/A</v>
      </c>
      <c r="BN540" s="3" t="e">
        <v>#N/A</v>
      </c>
    </row>
    <row r="541" spans="1:66" x14ac:dyDescent="0.35">
      <c r="A541" s="5">
        <f t="shared" si="8"/>
        <v>44211</v>
      </c>
      <c r="B541" t="s">
        <v>618</v>
      </c>
      <c r="C541" s="2">
        <v>0.1</v>
      </c>
      <c r="D541" s="2">
        <v>4.9799999999999997E-2</v>
      </c>
      <c r="E541" s="3">
        <v>4.0340399999999998E-2</v>
      </c>
      <c r="F541" s="3">
        <v>2.7306299999999999E-2</v>
      </c>
      <c r="G541" s="3">
        <v>1.30756E-2</v>
      </c>
      <c r="H541" s="3">
        <v>-9.9249999999999989E-4</v>
      </c>
      <c r="I541" s="3">
        <v>-1.3980299999999999E-2</v>
      </c>
      <c r="J541" s="3">
        <v>-2.59064E-2</v>
      </c>
      <c r="K541" s="3">
        <v>-3.7197000000000001E-2</v>
      </c>
      <c r="L541" s="3">
        <v>-4.7962699999999997E-2</v>
      </c>
      <c r="M541" s="3">
        <v>-5.8050999999999998E-2</v>
      </c>
      <c r="N541" s="3">
        <v>-6.7219699999999993E-2</v>
      </c>
      <c r="O541" s="3">
        <v>-7.5181399999999995E-2</v>
      </c>
      <c r="P541" s="3">
        <v>-8.1710599999999994E-2</v>
      </c>
      <c r="Q541" s="3">
        <v>-8.6562100000000003E-2</v>
      </c>
      <c r="R541" s="3">
        <v>-8.9778200000000002E-2</v>
      </c>
      <c r="S541" s="3">
        <v>-9.1497200000000001E-2</v>
      </c>
      <c r="T541" s="3">
        <v>-9.1857099999999997E-2</v>
      </c>
      <c r="U541" s="3">
        <v>-9.0995900000000005E-2</v>
      </c>
      <c r="V541" s="3">
        <v>-8.90518E-2</v>
      </c>
      <c r="W541" s="3">
        <v>-8.6152599999999996E-2</v>
      </c>
      <c r="X541" s="3">
        <v>-8.2390599999999994E-2</v>
      </c>
      <c r="Y541" s="3">
        <v>-7.7850500000000003E-2</v>
      </c>
      <c r="Z541" s="3">
        <v>-7.2617100000000004E-2</v>
      </c>
      <c r="AA541" s="3">
        <v>-6.6775100000000004E-2</v>
      </c>
      <c r="AB541" s="3">
        <v>-6.04091E-2</v>
      </c>
      <c r="AC541" s="3">
        <v>-5.3596699999999997E-2</v>
      </c>
      <c r="AD541" s="3">
        <v>-4.6383800000000003E-2</v>
      </c>
      <c r="AE541" s="3">
        <v>-3.8807599999999998E-2</v>
      </c>
      <c r="AF541" s="3">
        <v>-3.0905100000000001E-2</v>
      </c>
      <c r="AG541" s="3">
        <v>-2.27136E-2</v>
      </c>
      <c r="AH541" s="3">
        <v>-1.42702E-2</v>
      </c>
      <c r="AI541" s="3">
        <v>-5.6119999999999998E-3</v>
      </c>
      <c r="AJ541" s="3">
        <v>3.2236999999999999E-3</v>
      </c>
      <c r="AK541" s="3">
        <v>1.21999E-2</v>
      </c>
      <c r="AL541" s="3">
        <v>2.12795E-2</v>
      </c>
      <c r="AM541" s="3">
        <v>3.04251E-2</v>
      </c>
      <c r="AN541" s="3">
        <v>3.9599799999999998E-2</v>
      </c>
      <c r="AO541" s="3">
        <v>4.8771500000000002E-2</v>
      </c>
      <c r="AP541" s="3">
        <v>5.79292E-2</v>
      </c>
      <c r="AQ541" s="3">
        <v>6.7066899999999999E-2</v>
      </c>
      <c r="AR541" s="3">
        <v>7.6178800000000005E-2</v>
      </c>
      <c r="AS541" s="3">
        <v>8.5259000000000001E-2</v>
      </c>
      <c r="AT541" s="3">
        <v>9.4301499999999996E-2</v>
      </c>
      <c r="AU541" s="3">
        <v>0.1033005</v>
      </c>
      <c r="AV541" s="3">
        <v>0.11225010000000001</v>
      </c>
      <c r="AW541" s="3">
        <v>0.1211443</v>
      </c>
      <c r="AX541" s="3">
        <v>0.12997739999999999</v>
      </c>
      <c r="AY541" s="3">
        <v>0.13874330000000001</v>
      </c>
      <c r="AZ541" s="3">
        <v>0.14743619999999999</v>
      </c>
      <c r="BA541" s="3">
        <v>0.15605150000000001</v>
      </c>
      <c r="BB541" s="3">
        <v>0.16459019999999999</v>
      </c>
      <c r="BC541" s="3">
        <v>0.17305490000000001</v>
      </c>
      <c r="BD541" s="3">
        <v>0.18144830000000001</v>
      </c>
      <c r="BE541" s="3">
        <v>0.18977289999999999</v>
      </c>
      <c r="BF541" s="3">
        <v>0.1980314</v>
      </c>
      <c r="BG541" s="3">
        <v>0.2062264</v>
      </c>
      <c r="BH541" s="3">
        <v>0.21436040000000001</v>
      </c>
      <c r="BI541" s="3">
        <v>0.2224361</v>
      </c>
      <c r="BJ541" s="3">
        <v>0.2304561</v>
      </c>
      <c r="BK541" s="3">
        <v>0.238423</v>
      </c>
      <c r="BL541" s="3">
        <v>0.24633939999999999</v>
      </c>
      <c r="BM541" s="3" t="e">
        <v>#N/A</v>
      </c>
      <c r="BN541" s="3" t="e">
        <v>#N/A</v>
      </c>
    </row>
    <row r="542" spans="1:66" x14ac:dyDescent="0.35">
      <c r="A542" s="5">
        <f t="shared" si="8"/>
        <v>44214</v>
      </c>
      <c r="B542" t="s">
        <v>619</v>
      </c>
      <c r="C542" s="2">
        <v>0.1</v>
      </c>
      <c r="D542" s="2">
        <v>4.9500000000000002E-2</v>
      </c>
      <c r="E542" s="3">
        <v>3.4296E-2</v>
      </c>
      <c r="F542" s="3">
        <v>2.7573299999999999E-2</v>
      </c>
      <c r="G542" s="3">
        <v>1.43798E-2</v>
      </c>
      <c r="H542" s="3">
        <v>-1.371E-4</v>
      </c>
      <c r="I542" s="3">
        <v>-1.33247E-2</v>
      </c>
      <c r="J542" s="3">
        <v>-2.51094E-2</v>
      </c>
      <c r="K542" s="3">
        <v>-3.6319400000000002E-2</v>
      </c>
      <c r="L542" s="3">
        <v>-4.7371499999999997E-2</v>
      </c>
      <c r="M542" s="3">
        <v>-5.80151E-2</v>
      </c>
      <c r="N542" s="3">
        <v>-6.7827700000000005E-2</v>
      </c>
      <c r="O542" s="3">
        <v>-7.6393799999999998E-2</v>
      </c>
      <c r="P542" s="3">
        <v>-8.3455399999999999E-2</v>
      </c>
      <c r="Q542" s="3">
        <v>-8.8783100000000004E-2</v>
      </c>
      <c r="R542" s="3">
        <v>-9.2427800000000004E-2</v>
      </c>
      <c r="S542" s="3">
        <v>-9.4517100000000007E-2</v>
      </c>
      <c r="T542" s="3">
        <v>-9.5178499999999999E-2</v>
      </c>
      <c r="U542" s="3">
        <v>-9.4539700000000004E-2</v>
      </c>
      <c r="V542" s="3">
        <v>-9.2728000000000005E-2</v>
      </c>
      <c r="W542" s="3">
        <v>-8.9868699999999996E-2</v>
      </c>
      <c r="X542" s="3">
        <v>-8.6078399999999999E-2</v>
      </c>
      <c r="Y542" s="3">
        <v>-8.1472100000000006E-2</v>
      </c>
      <c r="Z542" s="3">
        <v>-7.6164599999999999E-2</v>
      </c>
      <c r="AA542" s="3">
        <v>-7.0270899999999997E-2</v>
      </c>
      <c r="AB542" s="3">
        <v>-6.3905799999999999E-2</v>
      </c>
      <c r="AC542" s="3">
        <v>-5.7169299999999999E-2</v>
      </c>
      <c r="AD542" s="3">
        <v>-5.01022E-2</v>
      </c>
      <c r="AE542" s="3">
        <v>-4.2730499999999998E-2</v>
      </c>
      <c r="AF542" s="3">
        <v>-3.5079899999999997E-2</v>
      </c>
      <c r="AG542" s="3">
        <v>-2.7176499999999999E-2</v>
      </c>
      <c r="AH542" s="3">
        <v>-1.9046E-2</v>
      </c>
      <c r="AI542" s="3">
        <v>-1.07145E-2</v>
      </c>
      <c r="AJ542" s="3">
        <v>-2.2076999999999999E-3</v>
      </c>
      <c r="AK542" s="3">
        <v>6.4482999999999997E-3</v>
      </c>
      <c r="AL542" s="3">
        <v>1.52277E-2</v>
      </c>
      <c r="AM542" s="3">
        <v>2.41046E-2</v>
      </c>
      <c r="AN542" s="3">
        <v>3.3053199999999998E-2</v>
      </c>
      <c r="AO542" s="3">
        <v>4.2050499999999998E-2</v>
      </c>
      <c r="AP542" s="3">
        <v>5.1086100000000002E-2</v>
      </c>
      <c r="AQ542" s="3">
        <v>6.0152600000000001E-2</v>
      </c>
      <c r="AR542" s="3">
        <v>6.9242799999999993E-2</v>
      </c>
      <c r="AS542" s="3">
        <v>7.8349100000000005E-2</v>
      </c>
      <c r="AT542" s="3">
        <v>8.7464200000000006E-2</v>
      </c>
      <c r="AU542" s="3">
        <v>9.6580799999999994E-2</v>
      </c>
      <c r="AV542" s="3">
        <v>0.1056914</v>
      </c>
      <c r="AW542" s="3">
        <v>0.1147888</v>
      </c>
      <c r="AX542" s="3">
        <v>0.1238654</v>
      </c>
      <c r="AY542" s="3">
        <v>0.132914</v>
      </c>
      <c r="AZ542" s="3">
        <v>0.1419272</v>
      </c>
      <c r="BA542" s="3">
        <v>0.15089820000000001</v>
      </c>
      <c r="BB542" s="3">
        <v>0.1598242</v>
      </c>
      <c r="BC542" s="3">
        <v>0.16870350000000001</v>
      </c>
      <c r="BD542" s="3">
        <v>0.17753440000000001</v>
      </c>
      <c r="BE542" s="3">
        <v>0.18631529999999999</v>
      </c>
      <c r="BF542" s="3">
        <v>0.19504440000000001</v>
      </c>
      <c r="BG542" s="3">
        <v>0.20372009999999999</v>
      </c>
      <c r="BH542" s="3">
        <v>0.2123408</v>
      </c>
      <c r="BI542" s="3">
        <v>0.22090470000000001</v>
      </c>
      <c r="BJ542" s="3">
        <v>0.22941010000000001</v>
      </c>
      <c r="BK542" s="3">
        <v>0.2378555</v>
      </c>
      <c r="BL542" s="3">
        <v>0.24623919999999999</v>
      </c>
      <c r="BM542" s="3" t="e">
        <v>#N/A</v>
      </c>
      <c r="BN542" s="3" t="e">
        <v>#N/A</v>
      </c>
    </row>
    <row r="543" spans="1:66" x14ac:dyDescent="0.35">
      <c r="A543" s="5">
        <f t="shared" si="8"/>
        <v>44215</v>
      </c>
      <c r="B543" t="s">
        <v>620</v>
      </c>
      <c r="C543" s="2">
        <v>0.1</v>
      </c>
      <c r="D543" s="2">
        <v>0.05</v>
      </c>
      <c r="E543" s="3">
        <v>3.9111600000000003E-2</v>
      </c>
      <c r="F543" s="3">
        <v>2.7453499999999999E-2</v>
      </c>
      <c r="G543" s="3">
        <v>1.3336000000000001E-2</v>
      </c>
      <c r="H543" s="3">
        <v>-1.1333999999999999E-3</v>
      </c>
      <c r="I543" s="3">
        <v>-1.4547900000000001E-2</v>
      </c>
      <c r="J543" s="3">
        <v>-2.6663900000000001E-2</v>
      </c>
      <c r="K543" s="3">
        <v>-3.7819400000000003E-2</v>
      </c>
      <c r="L543" s="3">
        <v>-4.8323900000000003E-2</v>
      </c>
      <c r="M543" s="3">
        <v>-5.82207E-2</v>
      </c>
      <c r="N543" s="3">
        <v>-6.7365400000000006E-2</v>
      </c>
      <c r="O543" s="3">
        <v>-7.5439000000000006E-2</v>
      </c>
      <c r="P543" s="3">
        <v>-8.21326E-2</v>
      </c>
      <c r="Q543" s="3">
        <v>-8.7107699999999996E-2</v>
      </c>
      <c r="R543" s="3">
        <v>-9.0398199999999998E-2</v>
      </c>
      <c r="S543" s="3">
        <v>-9.2141500000000001E-2</v>
      </c>
      <c r="T543" s="3">
        <v>-9.2474700000000007E-2</v>
      </c>
      <c r="U543" s="3">
        <v>-9.1535199999999997E-2</v>
      </c>
      <c r="V543" s="3">
        <v>-8.9460200000000004E-2</v>
      </c>
      <c r="W543" s="3">
        <v>-8.6380799999999994E-2</v>
      </c>
      <c r="X543" s="3">
        <v>-8.2406999999999994E-2</v>
      </c>
      <c r="Y543" s="3">
        <v>-7.7644199999999997E-2</v>
      </c>
      <c r="Z543" s="3">
        <v>-7.2197700000000004E-2</v>
      </c>
      <c r="AA543" s="3">
        <v>-6.6172900000000007E-2</v>
      </c>
      <c r="AB543" s="3">
        <v>-5.9675100000000002E-2</v>
      </c>
      <c r="AC543" s="3">
        <v>-5.2797400000000001E-2</v>
      </c>
      <c r="AD543" s="3">
        <v>-4.5582299999999999E-2</v>
      </c>
      <c r="AE543" s="3">
        <v>-3.8060299999999998E-2</v>
      </c>
      <c r="AF543" s="3">
        <v>-3.02615E-2</v>
      </c>
      <c r="AG543" s="3">
        <v>-2.2216400000000001E-2</v>
      </c>
      <c r="AH543" s="3">
        <v>-1.3955E-2</v>
      </c>
      <c r="AI543" s="3">
        <v>-5.5078000000000002E-3</v>
      </c>
      <c r="AJ543" s="3">
        <v>3.0950999999999999E-3</v>
      </c>
      <c r="AK543" s="3">
        <v>1.18234E-2</v>
      </c>
      <c r="AL543" s="3">
        <v>2.06467E-2</v>
      </c>
      <c r="AM543" s="3">
        <v>2.95348E-2</v>
      </c>
      <c r="AN543" s="3">
        <v>3.8457400000000003E-2</v>
      </c>
      <c r="AO543" s="3">
        <v>4.7389100000000003E-2</v>
      </c>
      <c r="AP543" s="3">
        <v>5.6323699999999997E-2</v>
      </c>
      <c r="AQ543" s="3">
        <v>6.5259499999999998E-2</v>
      </c>
      <c r="AR543" s="3">
        <v>7.4195200000000003E-2</v>
      </c>
      <c r="AS543" s="3">
        <v>8.31292E-2</v>
      </c>
      <c r="AT543" s="3">
        <v>9.2060199999999995E-2</v>
      </c>
      <c r="AU543" s="3">
        <v>0.10098650000000001</v>
      </c>
      <c r="AV543" s="3">
        <v>0.1099069</v>
      </c>
      <c r="AW543" s="3">
        <v>0.1188197</v>
      </c>
      <c r="AX543" s="3">
        <v>0.12772359999999999</v>
      </c>
      <c r="AY543" s="3">
        <v>0.13661699999999999</v>
      </c>
      <c r="AZ543" s="3">
        <v>0.1454985</v>
      </c>
      <c r="BA543" s="3">
        <v>0.15436649999999999</v>
      </c>
      <c r="BB543" s="3">
        <v>0.16321939999999999</v>
      </c>
      <c r="BC543" s="3">
        <v>0.1720554</v>
      </c>
      <c r="BD543" s="3">
        <v>0.18087259999999999</v>
      </c>
      <c r="BE543" s="3">
        <v>0.18966939999999999</v>
      </c>
      <c r="BF543" s="3">
        <v>0.19844390000000001</v>
      </c>
      <c r="BG543" s="3">
        <v>0.2071944</v>
      </c>
      <c r="BH543" s="3">
        <v>0.2159191</v>
      </c>
      <c r="BI543" s="3">
        <v>0.22461619999999999</v>
      </c>
      <c r="BJ543" s="3">
        <v>0.23328399999999999</v>
      </c>
      <c r="BK543" s="3">
        <v>0.24192060000000001</v>
      </c>
      <c r="BL543" s="3">
        <v>0.25052429999999998</v>
      </c>
      <c r="BM543" s="3" t="e">
        <v>#N/A</v>
      </c>
      <c r="BN543" s="3" t="e">
        <v>#N/A</v>
      </c>
    </row>
    <row r="544" spans="1:66" x14ac:dyDescent="0.35">
      <c r="A544" s="5">
        <f t="shared" si="8"/>
        <v>44216</v>
      </c>
      <c r="B544" t="s">
        <v>621</v>
      </c>
      <c r="C544" s="2">
        <v>0.1</v>
      </c>
      <c r="D544" s="2">
        <v>4.9200000000000001E-2</v>
      </c>
      <c r="E544" s="3">
        <v>3.5921599999999998E-2</v>
      </c>
      <c r="F544" s="3">
        <v>3.4437700000000002E-2</v>
      </c>
      <c r="G544" s="3">
        <v>2.4076299999999998E-2</v>
      </c>
      <c r="H544" s="3">
        <v>9.7823000000000007E-3</v>
      </c>
      <c r="I544" s="3">
        <v>-3.9278999999999998E-3</v>
      </c>
      <c r="J544" s="3">
        <v>-1.6087500000000001E-2</v>
      </c>
      <c r="K544" s="3">
        <v>-2.7028400000000001E-2</v>
      </c>
      <c r="L544" s="3">
        <v>-3.7244300000000001E-2</v>
      </c>
      <c r="M544" s="3">
        <v>-4.7011799999999999E-2</v>
      </c>
      <c r="N544" s="3">
        <v>-5.63064E-2</v>
      </c>
      <c r="O544" s="3">
        <v>-6.4865099999999995E-2</v>
      </c>
      <c r="P544" s="3">
        <v>-7.2287500000000005E-2</v>
      </c>
      <c r="Q544" s="3">
        <v>-7.8020999999999993E-2</v>
      </c>
      <c r="R544" s="3">
        <v>-8.2025799999999996E-2</v>
      </c>
      <c r="S544" s="3">
        <v>-8.4406900000000007E-2</v>
      </c>
      <c r="T544" s="3">
        <v>-8.5269700000000004E-2</v>
      </c>
      <c r="U544" s="3">
        <v>-8.4719500000000003E-2</v>
      </c>
      <c r="V544" s="3">
        <v>-8.2861400000000002E-2</v>
      </c>
      <c r="W544" s="3">
        <v>-7.9806799999999997E-2</v>
      </c>
      <c r="X544" s="3">
        <v>-7.5687000000000004E-2</v>
      </c>
      <c r="Y544" s="3">
        <v>-7.0637699999999998E-2</v>
      </c>
      <c r="Z544" s="3">
        <v>-6.4795000000000005E-2</v>
      </c>
      <c r="AA544" s="3">
        <v>-5.8294400000000003E-2</v>
      </c>
      <c r="AB544" s="3">
        <v>-5.1271900000000002E-2</v>
      </c>
      <c r="AC544" s="3">
        <v>-4.3846700000000002E-2</v>
      </c>
      <c r="AD544" s="3">
        <v>-3.6071600000000002E-2</v>
      </c>
      <c r="AE544" s="3">
        <v>-2.79831E-2</v>
      </c>
      <c r="AF544" s="3">
        <v>-1.96174E-2</v>
      </c>
      <c r="AG544" s="3">
        <v>-1.1010799999999999E-2</v>
      </c>
      <c r="AH544" s="3">
        <v>-2.1995999999999999E-3</v>
      </c>
      <c r="AI544" s="3">
        <v>6.7796999999999996E-3</v>
      </c>
      <c r="AJ544" s="3">
        <v>1.5890999999999999E-2</v>
      </c>
      <c r="AK544" s="3">
        <v>2.50978E-2</v>
      </c>
      <c r="AL544" s="3">
        <v>3.4363900000000003E-2</v>
      </c>
      <c r="AM544" s="3">
        <v>4.3652900000000001E-2</v>
      </c>
      <c r="AN544" s="3">
        <v>5.2928599999999999E-2</v>
      </c>
      <c r="AO544" s="3">
        <v>6.2159499999999999E-2</v>
      </c>
      <c r="AP544" s="3">
        <v>7.1338299999999993E-2</v>
      </c>
      <c r="AQ544" s="3">
        <v>8.0465099999999998E-2</v>
      </c>
      <c r="AR544" s="3">
        <v>8.9539900000000006E-2</v>
      </c>
      <c r="AS544" s="3">
        <v>9.8562700000000003E-2</v>
      </c>
      <c r="AT544" s="3">
        <v>0.10753359999999999</v>
      </c>
      <c r="AU544" s="3">
        <v>0.1164525</v>
      </c>
      <c r="AV544" s="3">
        <v>0.1253194</v>
      </c>
      <c r="AW544" s="3">
        <v>0.13413449999999999</v>
      </c>
      <c r="AX544" s="3">
        <v>0.14289769999999999</v>
      </c>
      <c r="AY544" s="3">
        <v>0.1516091</v>
      </c>
      <c r="AZ544" s="3">
        <v>0.16026869999999999</v>
      </c>
      <c r="BA544" s="3">
        <v>0.16887669999999999</v>
      </c>
      <c r="BB544" s="3">
        <v>0.17743439999999999</v>
      </c>
      <c r="BC544" s="3">
        <v>0.18594350000000001</v>
      </c>
      <c r="BD544" s="3">
        <v>0.19440550000000001</v>
      </c>
      <c r="BE544" s="3">
        <v>0.20282210000000001</v>
      </c>
      <c r="BF544" s="3">
        <v>0.21119479999999999</v>
      </c>
      <c r="BG544" s="3">
        <v>0.2195252</v>
      </c>
      <c r="BH544" s="3">
        <v>0.22781499999999999</v>
      </c>
      <c r="BI544" s="3">
        <v>0.23606559999999999</v>
      </c>
      <c r="BJ544" s="3">
        <v>0.24427879999999999</v>
      </c>
      <c r="BK544" s="3">
        <v>0.25245610000000002</v>
      </c>
      <c r="BL544" s="3">
        <v>0.26059909999999997</v>
      </c>
      <c r="BM544" s="3" t="e">
        <v>#N/A</v>
      </c>
      <c r="BN544" s="3" t="e">
        <v>#N/A</v>
      </c>
    </row>
    <row r="545" spans="1:66" x14ac:dyDescent="0.35">
      <c r="A545" s="5">
        <f t="shared" si="8"/>
        <v>44217</v>
      </c>
      <c r="B545" t="s">
        <v>622</v>
      </c>
      <c r="C545" s="2">
        <v>0.1</v>
      </c>
      <c r="D545" s="2">
        <v>4.9399999999999999E-2</v>
      </c>
      <c r="E545" s="3">
        <v>4.1116E-2</v>
      </c>
      <c r="F545" s="3">
        <v>3.37007E-2</v>
      </c>
      <c r="G545" s="3">
        <v>2.1807400000000001E-2</v>
      </c>
      <c r="H545" s="3">
        <v>8.0879000000000003E-3</v>
      </c>
      <c r="I545" s="3">
        <v>-4.6439999999999997E-3</v>
      </c>
      <c r="J545" s="3">
        <v>-1.5672499999999999E-2</v>
      </c>
      <c r="K545" s="3">
        <v>-2.5503899999999999E-2</v>
      </c>
      <c r="L545" s="3">
        <v>-3.4674799999999999E-2</v>
      </c>
      <c r="M545" s="3">
        <v>-4.3521700000000003E-2</v>
      </c>
      <c r="N545" s="3">
        <v>-5.2056699999999997E-2</v>
      </c>
      <c r="O545" s="3">
        <v>-6.0019999999999997E-2</v>
      </c>
      <c r="P545" s="3">
        <v>-6.7036700000000005E-2</v>
      </c>
      <c r="Q545" s="3">
        <v>-7.2508000000000003E-2</v>
      </c>
      <c r="R545" s="3">
        <v>-7.6355800000000001E-2</v>
      </c>
      <c r="S545" s="3">
        <v>-7.8655299999999997E-2</v>
      </c>
      <c r="T545" s="3">
        <v>-7.9481800000000005E-2</v>
      </c>
      <c r="U545" s="3">
        <v>-7.8910300000000003E-2</v>
      </c>
      <c r="V545" s="3">
        <v>-7.7016100000000004E-2</v>
      </c>
      <c r="W545" s="3">
        <v>-7.3884199999999997E-2</v>
      </c>
      <c r="X545" s="3">
        <v>-6.9633500000000001E-2</v>
      </c>
      <c r="Y545" s="3">
        <v>-6.43904E-2</v>
      </c>
      <c r="Z545" s="3">
        <v>-5.8281100000000002E-2</v>
      </c>
      <c r="AA545" s="3">
        <v>-5.1431900000000003E-2</v>
      </c>
      <c r="AB545" s="3">
        <v>-4.3969000000000001E-2</v>
      </c>
      <c r="AC545" s="3">
        <v>-3.6007400000000002E-2</v>
      </c>
      <c r="AD545" s="3">
        <v>-2.7606499999999999E-2</v>
      </c>
      <c r="AE545" s="3">
        <v>-1.8808800000000001E-2</v>
      </c>
      <c r="AF545" s="3">
        <v>-9.6568999999999995E-3</v>
      </c>
      <c r="AG545" s="3">
        <v>-1.9320000000000001E-4</v>
      </c>
      <c r="AH545" s="3">
        <v>9.5396000000000005E-3</v>
      </c>
      <c r="AI545" s="3">
        <v>1.9499099999999998E-2</v>
      </c>
      <c r="AJ545" s="3">
        <v>2.9642700000000001E-2</v>
      </c>
      <c r="AK545" s="3">
        <v>3.9927900000000002E-2</v>
      </c>
      <c r="AL545" s="3">
        <v>5.0312200000000001E-2</v>
      </c>
      <c r="AM545" s="3">
        <v>6.0753000000000001E-2</v>
      </c>
      <c r="AN545" s="3">
        <v>7.1207699999999999E-2</v>
      </c>
      <c r="AO545" s="3">
        <v>8.1639500000000004E-2</v>
      </c>
      <c r="AP545" s="3">
        <v>9.20353E-2</v>
      </c>
      <c r="AQ545" s="3">
        <v>0.10238899999999999</v>
      </c>
      <c r="AR545" s="3">
        <v>0.1126944</v>
      </c>
      <c r="AS545" s="3">
        <v>0.1229454</v>
      </c>
      <c r="AT545" s="3">
        <v>0.1331358</v>
      </c>
      <c r="AU545" s="3">
        <v>0.14325940000000001</v>
      </c>
      <c r="AV545" s="3">
        <v>0.1533099</v>
      </c>
      <c r="AW545" s="3">
        <v>0.16328139999999999</v>
      </c>
      <c r="AX545" s="3">
        <v>0.1731674</v>
      </c>
      <c r="AY545" s="3">
        <v>0.18296200000000001</v>
      </c>
      <c r="AZ545" s="3">
        <v>0.19265879999999999</v>
      </c>
      <c r="BA545" s="3">
        <v>0.20225299999999999</v>
      </c>
      <c r="BB545" s="3">
        <v>0.21174519999999999</v>
      </c>
      <c r="BC545" s="3">
        <v>0.22113740000000001</v>
      </c>
      <c r="BD545" s="3">
        <v>0.23043179999999999</v>
      </c>
      <c r="BE545" s="3">
        <v>0.23963039999999999</v>
      </c>
      <c r="BF545" s="3">
        <v>0.24873529999999999</v>
      </c>
      <c r="BG545" s="3">
        <v>0.2577487</v>
      </c>
      <c r="BH545" s="3">
        <v>0.26667259999999998</v>
      </c>
      <c r="BI545" s="3">
        <v>0.27550910000000001</v>
      </c>
      <c r="BJ545" s="3">
        <v>0.28426040000000002</v>
      </c>
      <c r="BK545" s="3">
        <v>0.29292849999999998</v>
      </c>
      <c r="BL545" s="3">
        <v>0.30151559999999999</v>
      </c>
      <c r="BM545" s="3" t="e">
        <v>#N/A</v>
      </c>
      <c r="BN545" s="3" t="e">
        <v>#N/A</v>
      </c>
    </row>
    <row r="546" spans="1:66" x14ac:dyDescent="0.35">
      <c r="A546" s="5">
        <f t="shared" si="8"/>
        <v>44218</v>
      </c>
      <c r="B546" t="s">
        <v>623</v>
      </c>
      <c r="C546" s="2">
        <v>0.1</v>
      </c>
      <c r="D546" s="2">
        <v>4.9599999999999998E-2</v>
      </c>
      <c r="E546" s="3">
        <v>4.0203599999999999E-2</v>
      </c>
      <c r="F546" s="3">
        <v>3.3119999999999997E-2</v>
      </c>
      <c r="G546" s="3">
        <v>2.10949E-2</v>
      </c>
      <c r="H546" s="3">
        <v>6.8766000000000001E-3</v>
      </c>
      <c r="I546" s="3">
        <v>-6.1957000000000002E-3</v>
      </c>
      <c r="J546" s="3">
        <v>-1.7593999999999999E-2</v>
      </c>
      <c r="K546" s="3">
        <v>-2.78861E-2</v>
      </c>
      <c r="L546" s="3">
        <v>-3.7522199999999999E-2</v>
      </c>
      <c r="M546" s="3">
        <v>-4.6681800000000002E-2</v>
      </c>
      <c r="N546" s="3">
        <v>-5.5345699999999998E-2</v>
      </c>
      <c r="O546" s="3">
        <v>-6.3347799999999996E-2</v>
      </c>
      <c r="P546" s="3">
        <v>-7.0465299999999995E-2</v>
      </c>
      <c r="Q546" s="3">
        <v>-7.6392100000000004E-2</v>
      </c>
      <c r="R546" s="3">
        <v>-8.10414E-2</v>
      </c>
      <c r="S546" s="3">
        <v>-8.4402900000000003E-2</v>
      </c>
      <c r="T546" s="3">
        <v>-8.6466299999999996E-2</v>
      </c>
      <c r="U546" s="3">
        <v>-8.7221300000000002E-2</v>
      </c>
      <c r="V546" s="3">
        <v>-8.6657600000000001E-2</v>
      </c>
      <c r="W546" s="3">
        <v>-8.4792000000000006E-2</v>
      </c>
      <c r="X546" s="3">
        <v>-8.17359E-2</v>
      </c>
      <c r="Y546" s="3">
        <v>-7.7620800000000004E-2</v>
      </c>
      <c r="Z546" s="3">
        <v>-7.2578000000000004E-2</v>
      </c>
      <c r="AA546" s="3">
        <v>-6.6739300000000001E-2</v>
      </c>
      <c r="AB546" s="3">
        <v>-6.0235999999999998E-2</v>
      </c>
      <c r="AC546" s="3">
        <v>-5.3186600000000001E-2</v>
      </c>
      <c r="AD546" s="3">
        <v>-4.56523E-2</v>
      </c>
      <c r="AE546" s="3">
        <v>-3.7678299999999998E-2</v>
      </c>
      <c r="AF546" s="3">
        <v>-2.93098E-2</v>
      </c>
      <c r="AG546" s="3">
        <v>-2.0592099999999999E-2</v>
      </c>
      <c r="AH546" s="3">
        <v>-1.1570499999999999E-2</v>
      </c>
      <c r="AI546" s="3">
        <v>-2.2902E-3</v>
      </c>
      <c r="AJ546" s="3">
        <v>7.2034999999999998E-3</v>
      </c>
      <c r="AK546" s="3">
        <v>1.6865499999999999E-2</v>
      </c>
      <c r="AL546" s="3">
        <v>2.6650400000000001E-2</v>
      </c>
      <c r="AM546" s="3">
        <v>3.6512999999999997E-2</v>
      </c>
      <c r="AN546" s="3">
        <v>4.6407999999999998E-2</v>
      </c>
      <c r="AO546" s="3">
        <v>5.6296899999999997E-2</v>
      </c>
      <c r="AP546" s="3">
        <v>6.6168400000000002E-2</v>
      </c>
      <c r="AQ546" s="3">
        <v>7.6017699999999994E-2</v>
      </c>
      <c r="AR546" s="3">
        <v>8.5840100000000003E-2</v>
      </c>
      <c r="AS546" s="3">
        <v>9.5630999999999994E-2</v>
      </c>
      <c r="AT546" s="3">
        <v>0.1053857</v>
      </c>
      <c r="AU546" s="3">
        <v>0.1150994</v>
      </c>
      <c r="AV546" s="3">
        <v>0.12476760000000001</v>
      </c>
      <c r="AW546" s="3">
        <v>0.13438549999999999</v>
      </c>
      <c r="AX546" s="3">
        <v>0.14394850000000001</v>
      </c>
      <c r="AY546" s="3">
        <v>0.1534519</v>
      </c>
      <c r="AZ546" s="3">
        <v>0.16289090000000001</v>
      </c>
      <c r="BA546" s="3">
        <v>0.17226179999999999</v>
      </c>
      <c r="BB546" s="3">
        <v>0.1815639</v>
      </c>
      <c r="BC546" s="3">
        <v>0.19079779999999999</v>
      </c>
      <c r="BD546" s="3">
        <v>0.1999639</v>
      </c>
      <c r="BE546" s="3">
        <v>0.20906259999999999</v>
      </c>
      <c r="BF546" s="3">
        <v>0.21809439999999999</v>
      </c>
      <c r="BG546" s="3">
        <v>0.2270597</v>
      </c>
      <c r="BH546" s="3">
        <v>0.235959</v>
      </c>
      <c r="BI546" s="3">
        <v>0.2447927</v>
      </c>
      <c r="BJ546" s="3">
        <v>0.25356129999999999</v>
      </c>
      <c r="BK546" s="3">
        <v>0.26226529999999998</v>
      </c>
      <c r="BL546" s="3">
        <v>0.27090500000000001</v>
      </c>
      <c r="BM546" s="3" t="e">
        <v>#N/A</v>
      </c>
      <c r="BN546" s="3" t="e">
        <v>#N/A</v>
      </c>
    </row>
    <row r="547" spans="1:66" x14ac:dyDescent="0.35">
      <c r="A547" s="5">
        <f t="shared" si="8"/>
        <v>44221</v>
      </c>
      <c r="B547" t="s">
        <v>624</v>
      </c>
      <c r="C547" s="2">
        <v>0.1</v>
      </c>
      <c r="D547" s="2">
        <v>4.9299999999999997E-2</v>
      </c>
      <c r="E547" s="3">
        <v>4.3763799999999999E-2</v>
      </c>
      <c r="F547" s="3">
        <v>2.83828E-2</v>
      </c>
      <c r="G547" s="3">
        <v>1.4685999999999999E-2</v>
      </c>
      <c r="H547" s="3">
        <v>1.7779E-3</v>
      </c>
      <c r="I547" s="3">
        <v>-1.02589E-2</v>
      </c>
      <c r="J547" s="3">
        <v>-2.1596299999999999E-2</v>
      </c>
      <c r="K547" s="3">
        <v>-3.2401100000000002E-2</v>
      </c>
      <c r="L547" s="3">
        <v>-4.2746199999999998E-2</v>
      </c>
      <c r="M547" s="3">
        <v>-5.2688600000000002E-2</v>
      </c>
      <c r="N547" s="3">
        <v>-6.2222899999999998E-2</v>
      </c>
      <c r="O547" s="3">
        <v>-7.1149599999999993E-2</v>
      </c>
      <c r="P547" s="3">
        <v>-7.9205800000000007E-2</v>
      </c>
      <c r="Q547" s="3">
        <v>-8.5924899999999999E-2</v>
      </c>
      <c r="R547" s="3">
        <v>-9.1219599999999998E-2</v>
      </c>
      <c r="S547" s="3">
        <v>-9.5127100000000006E-2</v>
      </c>
      <c r="T547" s="3">
        <v>-9.7684800000000002E-2</v>
      </c>
      <c r="U547" s="3">
        <v>-9.8929799999999998E-2</v>
      </c>
      <c r="V547" s="3">
        <v>-9.8899399999999998E-2</v>
      </c>
      <c r="W547" s="3">
        <v>-9.7647600000000001E-2</v>
      </c>
      <c r="X547" s="3">
        <v>-9.5285499999999995E-2</v>
      </c>
      <c r="Y547" s="3">
        <v>-9.1936799999999999E-2</v>
      </c>
      <c r="Z547" s="3">
        <v>-8.7725200000000003E-2</v>
      </c>
      <c r="AA547" s="3">
        <v>-8.2774299999999995E-2</v>
      </c>
      <c r="AB547" s="3">
        <v>-7.7207799999999993E-2</v>
      </c>
      <c r="AC547" s="3">
        <v>-7.1135400000000001E-2</v>
      </c>
      <c r="AD547" s="3">
        <v>-6.4611299999999997E-2</v>
      </c>
      <c r="AE547" s="3">
        <v>-5.76756E-2</v>
      </c>
      <c r="AF547" s="3">
        <v>-5.0368499999999997E-2</v>
      </c>
      <c r="AG547" s="3">
        <v>-4.2730400000000002E-2</v>
      </c>
      <c r="AH547" s="3">
        <v>-3.48013E-2</v>
      </c>
      <c r="AI547" s="3">
        <v>-2.66214E-2</v>
      </c>
      <c r="AJ547" s="3">
        <v>-1.82311E-2</v>
      </c>
      <c r="AK547" s="3">
        <v>-9.6703999999999991E-3</v>
      </c>
      <c r="AL547" s="3">
        <v>-9.7970000000000002E-4</v>
      </c>
      <c r="AM547" s="3">
        <v>7.8009999999999998E-3</v>
      </c>
      <c r="AN547" s="3">
        <v>1.6631400000000001E-2</v>
      </c>
      <c r="AO547" s="3">
        <v>2.5477199999999998E-2</v>
      </c>
      <c r="AP547" s="3">
        <v>3.4328299999999999E-2</v>
      </c>
      <c r="AQ547" s="3">
        <v>4.3180299999999998E-2</v>
      </c>
      <c r="AR547" s="3">
        <v>5.2028999999999999E-2</v>
      </c>
      <c r="AS547" s="3">
        <v>6.0870100000000003E-2</v>
      </c>
      <c r="AT547" s="3">
        <v>6.9699300000000006E-2</v>
      </c>
      <c r="AU547" s="3">
        <v>7.8512299999999993E-2</v>
      </c>
      <c r="AV547" s="3">
        <v>8.7304900000000005E-2</v>
      </c>
      <c r="AW547" s="3">
        <v>9.60728E-2</v>
      </c>
      <c r="AX547" s="3">
        <v>0.1048118</v>
      </c>
      <c r="AY547" s="3">
        <v>0.11351749999999999</v>
      </c>
      <c r="AZ547" s="3">
        <v>0.12218560000000001</v>
      </c>
      <c r="BA547" s="3">
        <v>0.1308125</v>
      </c>
      <c r="BB547" s="3">
        <v>0.13939670000000001</v>
      </c>
      <c r="BC547" s="3">
        <v>0.14793790000000001</v>
      </c>
      <c r="BD547" s="3">
        <v>0.15643580000000001</v>
      </c>
      <c r="BE547" s="3">
        <v>0.1648897</v>
      </c>
      <c r="BF547" s="3">
        <v>0.17329939999999999</v>
      </c>
      <c r="BG547" s="3">
        <v>0.1816644</v>
      </c>
      <c r="BH547" s="3">
        <v>0.18998429999999999</v>
      </c>
      <c r="BI547" s="3">
        <v>0.19825870000000001</v>
      </c>
      <c r="BJ547" s="3">
        <v>0.20648720000000001</v>
      </c>
      <c r="BK547" s="3">
        <v>0.21466930000000001</v>
      </c>
      <c r="BL547" s="3">
        <v>0.22280459999999999</v>
      </c>
      <c r="BM547" s="3" t="e">
        <v>#N/A</v>
      </c>
      <c r="BN547" s="3" t="e">
        <v>#N/A</v>
      </c>
    </row>
    <row r="548" spans="1:66" x14ac:dyDescent="0.35">
      <c r="A548" s="5">
        <f t="shared" si="8"/>
        <v>44222</v>
      </c>
      <c r="B548" t="s">
        <v>625</v>
      </c>
      <c r="C548" s="2">
        <v>0.1</v>
      </c>
      <c r="D548" s="2">
        <v>4.8899999999999999E-2</v>
      </c>
      <c r="E548" s="3">
        <v>4.2384400000000003E-2</v>
      </c>
      <c r="F548" s="3">
        <v>3.29015E-2</v>
      </c>
      <c r="G548" s="3">
        <v>2.0450599999999999E-2</v>
      </c>
      <c r="H548" s="3">
        <v>6.8950000000000001E-3</v>
      </c>
      <c r="I548" s="3">
        <v>-5.679E-3</v>
      </c>
      <c r="J548" s="3">
        <v>-1.6867699999999999E-2</v>
      </c>
      <c r="K548" s="3">
        <v>-2.6979900000000001E-2</v>
      </c>
      <c r="L548" s="3">
        <v>-3.6472900000000003E-2</v>
      </c>
      <c r="M548" s="3">
        <v>-4.5702699999999999E-2</v>
      </c>
      <c r="N548" s="3">
        <v>-5.4720400000000002E-2</v>
      </c>
      <c r="O548" s="3">
        <v>-6.3315300000000005E-2</v>
      </c>
      <c r="P548" s="3">
        <v>-7.1211999999999998E-2</v>
      </c>
      <c r="Q548" s="3">
        <v>-7.7965099999999996E-2</v>
      </c>
      <c r="R548" s="3">
        <v>-8.3473099999999995E-2</v>
      </c>
      <c r="S548" s="3">
        <v>-8.7743600000000005E-2</v>
      </c>
      <c r="T548" s="3">
        <v>-9.0783900000000001E-2</v>
      </c>
      <c r="U548" s="3">
        <v>-9.2601299999999998E-2</v>
      </c>
      <c r="V548" s="3">
        <v>-9.3203300000000003E-2</v>
      </c>
      <c r="W548" s="3">
        <v>-9.2613500000000001E-2</v>
      </c>
      <c r="X548" s="3">
        <v>-9.0912099999999996E-2</v>
      </c>
      <c r="Y548" s="3">
        <v>-8.8191199999999997E-2</v>
      </c>
      <c r="Z548" s="3">
        <v>-8.4543099999999996E-2</v>
      </c>
      <c r="AA548" s="3">
        <v>-8.00598E-2</v>
      </c>
      <c r="AB548" s="3">
        <v>-7.4833700000000003E-2</v>
      </c>
      <c r="AC548" s="3">
        <v>-6.8951200000000004E-2</v>
      </c>
      <c r="AD548" s="3">
        <v>-6.2476299999999999E-2</v>
      </c>
      <c r="AE548" s="3">
        <v>-5.5467200000000001E-2</v>
      </c>
      <c r="AF548" s="3">
        <v>-4.7982299999999999E-2</v>
      </c>
      <c r="AG548" s="3">
        <v>-4.00796E-2</v>
      </c>
      <c r="AH548" s="3">
        <v>-3.1817499999999999E-2</v>
      </c>
      <c r="AI548" s="3">
        <v>-2.3254299999999999E-2</v>
      </c>
      <c r="AJ548" s="3">
        <v>-1.44481E-2</v>
      </c>
      <c r="AK548" s="3">
        <v>-5.4573E-3</v>
      </c>
      <c r="AL548" s="3">
        <v>3.6600000000000001E-3</v>
      </c>
      <c r="AM548" s="3">
        <v>1.28454E-2</v>
      </c>
      <c r="AN548" s="3">
        <v>2.20407E-2</v>
      </c>
      <c r="AO548" s="3">
        <v>3.1196999999999999E-2</v>
      </c>
      <c r="AP548" s="3">
        <v>4.0303199999999997E-2</v>
      </c>
      <c r="AQ548" s="3">
        <v>4.9357600000000001E-2</v>
      </c>
      <c r="AR548" s="3">
        <v>5.8358199999999999E-2</v>
      </c>
      <c r="AS548" s="3">
        <v>6.7303299999999996E-2</v>
      </c>
      <c r="AT548" s="3">
        <v>7.6191200000000001E-2</v>
      </c>
      <c r="AU548" s="3">
        <v>8.5020100000000001E-2</v>
      </c>
      <c r="AV548" s="3">
        <v>9.3788099999999999E-2</v>
      </c>
      <c r="AW548" s="3">
        <v>0.1024936</v>
      </c>
      <c r="AX548" s="3">
        <v>0.1111346</v>
      </c>
      <c r="AY548" s="3">
        <v>0.1197095</v>
      </c>
      <c r="AZ548" s="3">
        <v>0.12821650000000001</v>
      </c>
      <c r="BA548" s="3">
        <v>0.13665450000000001</v>
      </c>
      <c r="BB548" s="3">
        <v>0.14502699999999999</v>
      </c>
      <c r="BC548" s="3">
        <v>0.15333830000000001</v>
      </c>
      <c r="BD548" s="3">
        <v>0.16159299999999999</v>
      </c>
      <c r="BE548" s="3">
        <v>0.16979559999999999</v>
      </c>
      <c r="BF548" s="3">
        <v>0.17795059999999999</v>
      </c>
      <c r="BG548" s="3">
        <v>0.18606249999999999</v>
      </c>
      <c r="BH548" s="3">
        <v>0.1941358</v>
      </c>
      <c r="BI548" s="3">
        <v>0.2021751</v>
      </c>
      <c r="BJ548" s="3">
        <v>0.2101848</v>
      </c>
      <c r="BK548" s="3">
        <v>0.21816940000000001</v>
      </c>
      <c r="BL548" s="3">
        <v>0.22613359999999999</v>
      </c>
      <c r="BM548" s="3" t="e">
        <v>#N/A</v>
      </c>
      <c r="BN548" s="3" t="e">
        <v>#N/A</v>
      </c>
    </row>
    <row r="549" spans="1:66" x14ac:dyDescent="0.35">
      <c r="A549" s="5">
        <f t="shared" si="8"/>
        <v>44223</v>
      </c>
      <c r="B549" t="s">
        <v>626</v>
      </c>
      <c r="C549" s="2">
        <v>0.1</v>
      </c>
      <c r="D549" s="2">
        <v>4.8899999999999999E-2</v>
      </c>
      <c r="E549" s="3">
        <v>4.11522E-2</v>
      </c>
      <c r="F549" s="3">
        <v>3.1350200000000002E-2</v>
      </c>
      <c r="G549" s="3">
        <v>1.8532099999999999E-2</v>
      </c>
      <c r="H549" s="3">
        <v>5.1450000000000003E-3</v>
      </c>
      <c r="I549" s="3">
        <v>-6.8095999999999999E-3</v>
      </c>
      <c r="J549" s="3">
        <v>-1.7243700000000001E-2</v>
      </c>
      <c r="K549" s="3">
        <v>-2.6764E-2</v>
      </c>
      <c r="L549" s="3">
        <v>-3.5897600000000002E-2</v>
      </c>
      <c r="M549" s="3">
        <v>-4.4847400000000003E-2</v>
      </c>
      <c r="N549" s="3">
        <v>-5.3541900000000003E-2</v>
      </c>
      <c r="O549" s="3">
        <v>-6.17773E-2</v>
      </c>
      <c r="P549" s="3">
        <v>-6.9264099999999995E-2</v>
      </c>
      <c r="Q549" s="3">
        <v>-7.5502399999999997E-2</v>
      </c>
      <c r="R549" s="3">
        <v>-8.0392500000000006E-2</v>
      </c>
      <c r="S549" s="3">
        <v>-8.3959099999999995E-2</v>
      </c>
      <c r="T549" s="3">
        <v>-8.6226899999999995E-2</v>
      </c>
      <c r="U549" s="3">
        <v>-8.7220400000000003E-2</v>
      </c>
      <c r="V549" s="3">
        <v>-8.69645E-2</v>
      </c>
      <c r="W549" s="3">
        <v>-8.5502300000000003E-2</v>
      </c>
      <c r="X549" s="3">
        <v>-8.2941500000000001E-2</v>
      </c>
      <c r="Y549" s="3">
        <v>-7.9403500000000002E-2</v>
      </c>
      <c r="Z549" s="3">
        <v>-7.5009800000000001E-2</v>
      </c>
      <c r="AA549" s="3">
        <v>-6.9881799999999994E-2</v>
      </c>
      <c r="AB549" s="3">
        <v>-6.4140900000000001E-2</v>
      </c>
      <c r="AC549" s="3">
        <v>-5.7895299999999997E-2</v>
      </c>
      <c r="AD549" s="3">
        <v>-5.1200299999999997E-2</v>
      </c>
      <c r="AE549" s="3">
        <v>-4.4097900000000002E-2</v>
      </c>
      <c r="AF549" s="3">
        <v>-3.66299E-2</v>
      </c>
      <c r="AG549" s="3">
        <v>-2.8838300000000001E-2</v>
      </c>
      <c r="AH549" s="3">
        <v>-2.0765100000000002E-2</v>
      </c>
      <c r="AI549" s="3">
        <v>-1.2452299999999999E-2</v>
      </c>
      <c r="AJ549" s="3">
        <v>-3.9418999999999999E-3</v>
      </c>
      <c r="AK549" s="3">
        <v>4.7242999999999999E-3</v>
      </c>
      <c r="AL549" s="3">
        <v>1.3504199999999999E-2</v>
      </c>
      <c r="AM549" s="3">
        <v>2.2355900000000001E-2</v>
      </c>
      <c r="AN549" s="3">
        <v>3.1237399999999999E-2</v>
      </c>
      <c r="AO549" s="3">
        <v>4.0112200000000001E-2</v>
      </c>
      <c r="AP549" s="3">
        <v>4.8969499999999999E-2</v>
      </c>
      <c r="AQ549" s="3">
        <v>5.78066E-2</v>
      </c>
      <c r="AR549" s="3">
        <v>6.6620899999999997E-2</v>
      </c>
      <c r="AS549" s="3">
        <v>7.5409599999999993E-2</v>
      </c>
      <c r="AT549" s="3">
        <v>8.4169999999999995E-2</v>
      </c>
      <c r="AU549" s="3">
        <v>9.2899300000000004E-2</v>
      </c>
      <c r="AV549" s="3">
        <v>0.101595</v>
      </c>
      <c r="AW549" s="3">
        <v>0.1102542</v>
      </c>
      <c r="AX549" s="3">
        <v>0.1188742</v>
      </c>
      <c r="AY549" s="3">
        <v>0.12745239999999999</v>
      </c>
      <c r="AZ549" s="3">
        <v>0.135986</v>
      </c>
      <c r="BA549" s="3">
        <v>0.14447280000000001</v>
      </c>
      <c r="BB549" s="3">
        <v>0.1529133</v>
      </c>
      <c r="BC549" s="3">
        <v>0.1613086</v>
      </c>
      <c r="BD549" s="3">
        <v>0.16965959999999999</v>
      </c>
      <c r="BE549" s="3">
        <v>0.1779675</v>
      </c>
      <c r="BF549" s="3">
        <v>0.18623329999999999</v>
      </c>
      <c r="BG549" s="3">
        <v>0.1944582</v>
      </c>
      <c r="BH549" s="3">
        <v>0.2026432</v>
      </c>
      <c r="BI549" s="3">
        <v>0.21078930000000001</v>
      </c>
      <c r="BJ549" s="3">
        <v>0.2188978</v>
      </c>
      <c r="BK549" s="3">
        <v>0.22696949999999999</v>
      </c>
      <c r="BL549" s="3">
        <v>0.23500570000000001</v>
      </c>
      <c r="BM549" s="3" t="e">
        <v>#N/A</v>
      </c>
      <c r="BN549" s="3" t="e">
        <v>#N/A</v>
      </c>
    </row>
    <row r="550" spans="1:66" x14ac:dyDescent="0.35">
      <c r="A550" s="5">
        <f t="shared" si="8"/>
        <v>44224</v>
      </c>
      <c r="B550" t="s">
        <v>627</v>
      </c>
      <c r="C550" s="2">
        <v>0.1</v>
      </c>
      <c r="D550" s="2">
        <v>4.87E-2</v>
      </c>
      <c r="E550" s="3">
        <v>4.3328999999999999E-2</v>
      </c>
      <c r="F550" s="3">
        <v>2.4899299999999999E-2</v>
      </c>
      <c r="G550" s="3">
        <v>1.07945E-2</v>
      </c>
      <c r="H550" s="3">
        <v>-3.2430000000000002E-4</v>
      </c>
      <c r="I550" s="3">
        <v>-9.8268999999999995E-3</v>
      </c>
      <c r="J550" s="3">
        <v>-1.86932E-2</v>
      </c>
      <c r="K550" s="3">
        <v>-2.741E-2</v>
      </c>
      <c r="L550" s="3">
        <v>-3.61946E-2</v>
      </c>
      <c r="M550" s="3">
        <v>-4.5060299999999998E-2</v>
      </c>
      <c r="N550" s="3">
        <v>-5.3769400000000002E-2</v>
      </c>
      <c r="O550" s="3">
        <v>-6.1962400000000001E-2</v>
      </c>
      <c r="P550" s="3">
        <v>-6.9244399999999998E-2</v>
      </c>
      <c r="Q550" s="3">
        <v>-7.5033699999999995E-2</v>
      </c>
      <c r="R550" s="3">
        <v>-7.9251199999999994E-2</v>
      </c>
      <c r="S550" s="3">
        <v>-8.1966999999999998E-2</v>
      </c>
      <c r="T550" s="3">
        <v>-8.3251199999999997E-2</v>
      </c>
      <c r="U550" s="3">
        <v>-8.31736E-2</v>
      </c>
      <c r="V550" s="3">
        <v>-8.1804500000000002E-2</v>
      </c>
      <c r="W550" s="3">
        <v>-7.9227199999999998E-2</v>
      </c>
      <c r="X550" s="3">
        <v>-7.5571799999999995E-2</v>
      </c>
      <c r="Y550" s="3">
        <v>-7.0978399999999997E-2</v>
      </c>
      <c r="Z550" s="3">
        <v>-6.5587000000000006E-2</v>
      </c>
      <c r="AA550" s="3">
        <v>-5.9537899999999998E-2</v>
      </c>
      <c r="AB550" s="3">
        <v>-5.2970900000000001E-2</v>
      </c>
      <c r="AC550" s="3">
        <v>-4.6011200000000002E-2</v>
      </c>
      <c r="AD550" s="3">
        <v>-3.87097E-2</v>
      </c>
      <c r="AE550" s="3">
        <v>-3.1095100000000001E-2</v>
      </c>
      <c r="AF550" s="3">
        <v>-2.3196100000000001E-2</v>
      </c>
      <c r="AG550" s="3">
        <v>-1.5041199999999999E-2</v>
      </c>
      <c r="AH550" s="3">
        <v>-6.6591999999999997E-3</v>
      </c>
      <c r="AI550" s="3">
        <v>1.9214E-3</v>
      </c>
      <c r="AJ550" s="3">
        <v>1.06719E-2</v>
      </c>
      <c r="AK550" s="3">
        <v>1.95637E-2</v>
      </c>
      <c r="AL550" s="3">
        <v>2.8568099999999999E-2</v>
      </c>
      <c r="AM550" s="3">
        <v>3.7656500000000002E-2</v>
      </c>
      <c r="AN550" s="3">
        <v>4.6800300000000003E-2</v>
      </c>
      <c r="AO550" s="3">
        <v>5.59739E-2</v>
      </c>
      <c r="AP550" s="3">
        <v>6.5165299999999995E-2</v>
      </c>
      <c r="AQ550" s="3">
        <v>7.4366299999999996E-2</v>
      </c>
      <c r="AR550" s="3">
        <v>8.3568699999999996E-2</v>
      </c>
      <c r="AS550" s="3">
        <v>9.2764299999999994E-2</v>
      </c>
      <c r="AT550" s="3">
        <v>0.1019447</v>
      </c>
      <c r="AU550" s="3">
        <v>0.1111017</v>
      </c>
      <c r="AV550" s="3">
        <v>0.12022720000000001</v>
      </c>
      <c r="AW550" s="3">
        <v>0.12931290000000001</v>
      </c>
      <c r="AX550" s="3">
        <v>0.13835049999999999</v>
      </c>
      <c r="AY550" s="3">
        <v>0.14733180000000001</v>
      </c>
      <c r="AZ550" s="3">
        <v>0.15624859999999999</v>
      </c>
      <c r="BA550" s="3">
        <v>0.16509399999999999</v>
      </c>
      <c r="BB550" s="3">
        <v>0.17386750000000001</v>
      </c>
      <c r="BC550" s="3">
        <v>0.18257000000000001</v>
      </c>
      <c r="BD550" s="3">
        <v>0.1912026</v>
      </c>
      <c r="BE550" s="3">
        <v>0.19976650000000001</v>
      </c>
      <c r="BF550" s="3">
        <v>0.2082627</v>
      </c>
      <c r="BG550" s="3">
        <v>0.2166922</v>
      </c>
      <c r="BH550" s="3">
        <v>0.22505610000000001</v>
      </c>
      <c r="BI550" s="3">
        <v>0.23335549999999999</v>
      </c>
      <c r="BJ550" s="3">
        <v>0.24159149999999999</v>
      </c>
      <c r="BK550" s="3">
        <v>0.24976509999999999</v>
      </c>
      <c r="BL550" s="3">
        <v>0.25787749999999998</v>
      </c>
      <c r="BM550" s="3" t="e">
        <v>#N/A</v>
      </c>
      <c r="BN550" s="3" t="e">
        <v>#N/A</v>
      </c>
    </row>
    <row r="551" spans="1:66" x14ac:dyDescent="0.35">
      <c r="A551" s="5">
        <f t="shared" si="8"/>
        <v>44225</v>
      </c>
      <c r="B551" t="s">
        <v>628</v>
      </c>
      <c r="C551" s="2">
        <v>0.1</v>
      </c>
      <c r="D551" s="2">
        <v>5.2900000000000003E-2</v>
      </c>
      <c r="E551" s="3">
        <v>4.4590200000000003E-2</v>
      </c>
      <c r="F551" s="3">
        <v>2.7066699999999999E-2</v>
      </c>
      <c r="G551" s="3">
        <v>1.24276E-2</v>
      </c>
      <c r="H551" s="3">
        <v>3.0850000000000002E-4</v>
      </c>
      <c r="I551" s="3">
        <v>-9.3381000000000002E-3</v>
      </c>
      <c r="J551" s="3">
        <v>-1.73157E-2</v>
      </c>
      <c r="K551" s="3">
        <v>-2.4596699999999999E-2</v>
      </c>
      <c r="L551" s="3">
        <v>-3.1724799999999997E-2</v>
      </c>
      <c r="M551" s="3">
        <v>-3.8906900000000001E-2</v>
      </c>
      <c r="N551" s="3">
        <v>-4.6002899999999999E-2</v>
      </c>
      <c r="O551" s="3">
        <v>-5.2672499999999997E-2</v>
      </c>
      <c r="P551" s="3">
        <v>-5.8573800000000002E-2</v>
      </c>
      <c r="Q551" s="3">
        <v>-6.3255599999999995E-2</v>
      </c>
      <c r="R551" s="3">
        <v>-6.6628900000000005E-2</v>
      </c>
      <c r="S551" s="3">
        <v>-6.8729999999999999E-2</v>
      </c>
      <c r="T551" s="3">
        <v>-6.9595699999999996E-2</v>
      </c>
      <c r="U551" s="3">
        <v>-6.9262500000000005E-2</v>
      </c>
      <c r="V551" s="3">
        <v>-6.7766900000000005E-2</v>
      </c>
      <c r="W551" s="3">
        <v>-6.5157400000000004E-2</v>
      </c>
      <c r="X551" s="3">
        <v>-6.1523099999999997E-2</v>
      </c>
      <c r="Y551" s="3">
        <v>-5.6962199999999998E-2</v>
      </c>
      <c r="Z551" s="3">
        <v>-5.1572600000000003E-2</v>
      </c>
      <c r="AA551" s="3">
        <v>-4.5452300000000001E-2</v>
      </c>
      <c r="AB551" s="3">
        <v>-3.8699400000000002E-2</v>
      </c>
      <c r="AC551" s="3">
        <v>-3.1403199999999999E-2</v>
      </c>
      <c r="AD551" s="3">
        <v>-2.36151E-2</v>
      </c>
      <c r="AE551" s="3">
        <v>-1.5375700000000001E-2</v>
      </c>
      <c r="AF551" s="3">
        <v>-6.7258999999999999E-3</v>
      </c>
      <c r="AG551" s="3">
        <v>2.2935E-3</v>
      </c>
      <c r="AH551" s="3">
        <v>1.16419E-2</v>
      </c>
      <c r="AI551" s="3">
        <v>2.1278499999999999E-2</v>
      </c>
      <c r="AJ551" s="3">
        <v>3.1162499999999999E-2</v>
      </c>
      <c r="AK551" s="3">
        <v>4.1252999999999998E-2</v>
      </c>
      <c r="AL551" s="3">
        <v>5.15095E-2</v>
      </c>
      <c r="AM551" s="3">
        <v>6.1891099999999998E-2</v>
      </c>
      <c r="AN551" s="3">
        <v>7.2357000000000005E-2</v>
      </c>
      <c r="AO551" s="3">
        <v>8.2870799999999994E-2</v>
      </c>
      <c r="AP551" s="3">
        <v>9.3413700000000002E-2</v>
      </c>
      <c r="AQ551" s="3">
        <v>0.1039711</v>
      </c>
      <c r="AR551" s="3">
        <v>0.11452850000000001</v>
      </c>
      <c r="AS551" s="3">
        <v>0.1250713</v>
      </c>
      <c r="AT551" s="3">
        <v>0.13558500000000001</v>
      </c>
      <c r="AU551" s="3">
        <v>0.14605509999999999</v>
      </c>
      <c r="AV551" s="3">
        <v>0.15646689999999999</v>
      </c>
      <c r="AW551" s="3">
        <v>0.16680610000000001</v>
      </c>
      <c r="AX551" s="3">
        <v>0.17705799999999999</v>
      </c>
      <c r="AY551" s="3">
        <v>0.18720809999999999</v>
      </c>
      <c r="AZ551" s="3">
        <v>0.19724179999999999</v>
      </c>
      <c r="BA551" s="3">
        <v>0.2071472</v>
      </c>
      <c r="BB551" s="3">
        <v>0.21692259999999999</v>
      </c>
      <c r="BC551" s="3">
        <v>0.22656970000000001</v>
      </c>
      <c r="BD551" s="3">
        <v>0.23608989999999999</v>
      </c>
      <c r="BE551" s="3">
        <v>0.24548490000000001</v>
      </c>
      <c r="BF551" s="3">
        <v>0.25475599999999998</v>
      </c>
      <c r="BG551" s="3">
        <v>0.2639049</v>
      </c>
      <c r="BH551" s="3">
        <v>0.27293309999999998</v>
      </c>
      <c r="BI551" s="3">
        <v>0.28184199999999998</v>
      </c>
      <c r="BJ551" s="3">
        <v>0.29063319999999998</v>
      </c>
      <c r="BK551" s="3">
        <v>0.29930830000000003</v>
      </c>
      <c r="BL551" s="3">
        <v>0.30786859999999999</v>
      </c>
      <c r="BM551" s="3" t="e">
        <v>#N/A</v>
      </c>
      <c r="BN551" s="3" t="e">
        <v>#N/A</v>
      </c>
    </row>
    <row r="552" spans="1:66" x14ac:dyDescent="0.35">
      <c r="A552" s="5">
        <f t="shared" si="8"/>
        <v>44228</v>
      </c>
      <c r="B552" t="s">
        <v>629</v>
      </c>
      <c r="C552" s="2">
        <v>0.1</v>
      </c>
      <c r="D552" s="2">
        <v>4.8000000000000001E-2</v>
      </c>
      <c r="E552" s="3">
        <v>4.1279200000000002E-2</v>
      </c>
      <c r="F552" s="3">
        <v>3.2460799999999998E-2</v>
      </c>
      <c r="G552" s="3">
        <v>1.99854E-2</v>
      </c>
      <c r="H552" s="3">
        <v>7.4434000000000002E-3</v>
      </c>
      <c r="I552" s="3">
        <v>-3.0650999999999999E-3</v>
      </c>
      <c r="J552" s="3">
        <v>-1.16065E-2</v>
      </c>
      <c r="K552" s="3">
        <v>-1.8914500000000001E-2</v>
      </c>
      <c r="L552" s="3">
        <v>-2.56727E-2</v>
      </c>
      <c r="M552" s="3">
        <v>-3.2339399999999997E-2</v>
      </c>
      <c r="N552" s="3">
        <v>-3.8988000000000002E-2</v>
      </c>
      <c r="O552" s="3">
        <v>-4.5405000000000001E-2</v>
      </c>
      <c r="P552" s="3">
        <v>-5.1251100000000001E-2</v>
      </c>
      <c r="Q552" s="3">
        <v>-5.5942199999999997E-2</v>
      </c>
      <c r="R552" s="3">
        <v>-5.93488E-2</v>
      </c>
      <c r="S552" s="3">
        <v>-6.1485900000000003E-2</v>
      </c>
      <c r="T552" s="3">
        <v>-6.2368899999999998E-2</v>
      </c>
      <c r="U552" s="3">
        <v>-6.2012699999999997E-2</v>
      </c>
      <c r="V552" s="3">
        <v>-6.04325E-2</v>
      </c>
      <c r="W552" s="3">
        <v>-5.7665399999999999E-2</v>
      </c>
      <c r="X552" s="3">
        <v>-5.3824200000000003E-2</v>
      </c>
      <c r="Y552" s="3">
        <v>-4.9037600000000001E-2</v>
      </c>
      <c r="Z552" s="3">
        <v>-4.3434800000000003E-2</v>
      </c>
      <c r="AA552" s="3">
        <v>-3.7144700000000003E-2</v>
      </c>
      <c r="AB552" s="3">
        <v>-3.0296400000000001E-2</v>
      </c>
      <c r="AC552" s="3">
        <v>-2.3003699999999998E-2</v>
      </c>
      <c r="AD552" s="3">
        <v>-1.53204E-2</v>
      </c>
      <c r="AE552" s="3">
        <v>-7.2855000000000003E-3</v>
      </c>
      <c r="AF552" s="3">
        <v>1.0624E-3</v>
      </c>
      <c r="AG552" s="3">
        <v>9.6845999999999998E-3</v>
      </c>
      <c r="AH552" s="3">
        <v>1.8542099999999999E-2</v>
      </c>
      <c r="AI552" s="3">
        <v>2.7596200000000001E-2</v>
      </c>
      <c r="AJ552" s="3">
        <v>3.6808100000000003E-2</v>
      </c>
      <c r="AK552" s="3">
        <v>4.6139100000000002E-2</v>
      </c>
      <c r="AL552" s="3">
        <v>5.55504E-2</v>
      </c>
      <c r="AM552" s="3">
        <v>6.5003199999999997E-2</v>
      </c>
      <c r="AN552" s="3">
        <v>7.4458700000000003E-2</v>
      </c>
      <c r="AO552" s="3">
        <v>8.3884299999999995E-2</v>
      </c>
      <c r="AP552" s="3">
        <v>9.3272400000000005E-2</v>
      </c>
      <c r="AQ552" s="3">
        <v>0.1026214</v>
      </c>
      <c r="AR552" s="3">
        <v>0.1119299</v>
      </c>
      <c r="AS552" s="3">
        <v>0.1211964</v>
      </c>
      <c r="AT552" s="3">
        <v>0.13041929999999999</v>
      </c>
      <c r="AU552" s="3">
        <v>0.13959730000000001</v>
      </c>
      <c r="AV552" s="3">
        <v>0.14872869999999999</v>
      </c>
      <c r="AW552" s="3">
        <v>0.15781220000000001</v>
      </c>
      <c r="AX552" s="3">
        <v>0.1668462</v>
      </c>
      <c r="AY552" s="3">
        <v>0.17582929999999999</v>
      </c>
      <c r="AZ552" s="3">
        <v>0.1847599</v>
      </c>
      <c r="BA552" s="3">
        <v>0.1936369</v>
      </c>
      <c r="BB552" s="3">
        <v>0.20246120000000001</v>
      </c>
      <c r="BC552" s="3">
        <v>0.21123400000000001</v>
      </c>
      <c r="BD552" s="3">
        <v>0.21995690000000001</v>
      </c>
      <c r="BE552" s="3">
        <v>0.2286311</v>
      </c>
      <c r="BF552" s="3">
        <v>0.23725830000000001</v>
      </c>
      <c r="BG552" s="3">
        <v>0.24583959999999999</v>
      </c>
      <c r="BH552" s="3">
        <v>0.25437660000000001</v>
      </c>
      <c r="BI552" s="3">
        <v>0.26287070000000001</v>
      </c>
      <c r="BJ552" s="3">
        <v>0.27132329999999999</v>
      </c>
      <c r="BK552" s="3">
        <v>0.27973579999999998</v>
      </c>
      <c r="BL552" s="3">
        <v>0.28810950000000002</v>
      </c>
      <c r="BM552" s="3" t="e">
        <v>#N/A</v>
      </c>
      <c r="BN552" s="3" t="e">
        <v>#N/A</v>
      </c>
    </row>
    <row r="553" spans="1:66" x14ac:dyDescent="0.35">
      <c r="A553" s="5">
        <f t="shared" si="8"/>
        <v>44229</v>
      </c>
      <c r="B553" t="s">
        <v>630</v>
      </c>
      <c r="C553" s="2">
        <v>0.1</v>
      </c>
      <c r="D553" s="2">
        <v>4.8500000000000001E-2</v>
      </c>
      <c r="E553" s="3">
        <v>4.41965E-2</v>
      </c>
      <c r="F553" s="3">
        <v>2.92854E-2</v>
      </c>
      <c r="G553" s="3">
        <v>1.72759E-2</v>
      </c>
      <c r="H553" s="3">
        <v>7.4338E-3</v>
      </c>
      <c r="I553" s="3">
        <v>-8.5890000000000001E-4</v>
      </c>
      <c r="J553" s="3">
        <v>-8.2606999999999993E-3</v>
      </c>
      <c r="K553" s="3">
        <v>-1.5274599999999999E-2</v>
      </c>
      <c r="L553" s="3">
        <v>-2.2214000000000001E-2</v>
      </c>
      <c r="M553" s="3">
        <v>-2.9162799999999999E-2</v>
      </c>
      <c r="N553" s="3">
        <v>-3.5915700000000002E-2</v>
      </c>
      <c r="O553" s="3">
        <v>-4.2132299999999998E-2</v>
      </c>
      <c r="P553" s="3">
        <v>-4.7510499999999997E-2</v>
      </c>
      <c r="Q553" s="3">
        <v>-5.1625499999999998E-2</v>
      </c>
      <c r="R553" s="3">
        <v>-5.4416399999999997E-2</v>
      </c>
      <c r="S553" s="3">
        <v>-5.59319E-2</v>
      </c>
      <c r="T553" s="3">
        <v>-5.6220399999999997E-2</v>
      </c>
      <c r="U553" s="3">
        <v>-5.5330600000000001E-2</v>
      </c>
      <c r="V553" s="3">
        <v>-5.33111E-2</v>
      </c>
      <c r="W553" s="3">
        <v>-5.0219300000000001E-2</v>
      </c>
      <c r="X553" s="3">
        <v>-4.6142700000000002E-2</v>
      </c>
      <c r="Y553" s="3">
        <v>-4.11756E-2</v>
      </c>
      <c r="Z553" s="3">
        <v>-3.5412100000000002E-2</v>
      </c>
      <c r="AA553" s="3">
        <v>-2.8946300000000001E-2</v>
      </c>
      <c r="AB553" s="3">
        <v>-2.18724E-2</v>
      </c>
      <c r="AC553" s="3">
        <v>-1.4276499999999999E-2</v>
      </c>
      <c r="AD553" s="3">
        <v>-6.2123999999999999E-3</v>
      </c>
      <c r="AE553" s="3">
        <v>2.274E-3</v>
      </c>
      <c r="AF553" s="3">
        <v>1.1136999999999999E-2</v>
      </c>
      <c r="AG553" s="3">
        <v>2.03307E-2</v>
      </c>
      <c r="AH553" s="3">
        <v>2.9809499999999999E-2</v>
      </c>
      <c r="AI553" s="3">
        <v>3.9527399999999997E-2</v>
      </c>
      <c r="AJ553" s="3">
        <v>4.9438700000000002E-2</v>
      </c>
      <c r="AK553" s="3">
        <v>5.9497599999999998E-2</v>
      </c>
      <c r="AL553" s="3">
        <v>6.9658200000000003E-2</v>
      </c>
      <c r="AM553" s="3">
        <v>7.9874899999999999E-2</v>
      </c>
      <c r="AN553" s="3">
        <v>9.0101700000000007E-2</v>
      </c>
      <c r="AO553" s="3">
        <v>0.1003</v>
      </c>
      <c r="AP553" s="3">
        <v>0.1104588</v>
      </c>
      <c r="AQ553" s="3">
        <v>0.1205744</v>
      </c>
      <c r="AR553" s="3">
        <v>0.13064300000000001</v>
      </c>
      <c r="AS553" s="3">
        <v>0.1406608</v>
      </c>
      <c r="AT553" s="3">
        <v>0.15062390000000001</v>
      </c>
      <c r="AU553" s="3">
        <v>0.16052859999999999</v>
      </c>
      <c r="AV553" s="3">
        <v>0.17037099999999999</v>
      </c>
      <c r="AW553" s="3">
        <v>0.18014730000000001</v>
      </c>
      <c r="AX553" s="3">
        <v>0.18985369999999999</v>
      </c>
      <c r="AY553" s="3">
        <v>0.19948650000000001</v>
      </c>
      <c r="AZ553" s="3">
        <v>0.2090417</v>
      </c>
      <c r="BA553" s="3">
        <v>0.21851660000000001</v>
      </c>
      <c r="BB553" s="3">
        <v>0.227913</v>
      </c>
      <c r="BC553" s="3">
        <v>0.23723420000000001</v>
      </c>
      <c r="BD553" s="3">
        <v>0.24648349999999999</v>
      </c>
      <c r="BE553" s="3">
        <v>0.25566410000000001</v>
      </c>
      <c r="BF553" s="3">
        <v>0.2647794</v>
      </c>
      <c r="BG553" s="3">
        <v>0.27383259999999998</v>
      </c>
      <c r="BH553" s="3">
        <v>0.282827</v>
      </c>
      <c r="BI553" s="3">
        <v>0.29176590000000002</v>
      </c>
      <c r="BJ553" s="3">
        <v>0.30065269999999999</v>
      </c>
      <c r="BK553" s="3">
        <v>0.3094904</v>
      </c>
      <c r="BL553" s="3">
        <v>0.31828260000000003</v>
      </c>
      <c r="BM553" s="3" t="e">
        <v>#N/A</v>
      </c>
      <c r="BN553" s="3" t="e">
        <v>#N/A</v>
      </c>
    </row>
    <row r="554" spans="1:66" x14ac:dyDescent="0.35">
      <c r="A554" s="5">
        <f t="shared" si="8"/>
        <v>44230</v>
      </c>
      <c r="B554" t="s">
        <v>631</v>
      </c>
      <c r="C554" s="2">
        <v>0.1</v>
      </c>
      <c r="D554" s="2">
        <v>4.8599999999999997E-2</v>
      </c>
      <c r="E554" s="3">
        <v>4.1386100000000002E-2</v>
      </c>
      <c r="F554" s="3">
        <v>3.2150900000000003E-2</v>
      </c>
      <c r="G554" s="3">
        <v>2.2042200000000001E-2</v>
      </c>
      <c r="H554" s="3">
        <v>1.2545000000000001E-2</v>
      </c>
      <c r="I554" s="3">
        <v>4.6213000000000001E-3</v>
      </c>
      <c r="J554" s="3">
        <v>-2.1364000000000001E-3</v>
      </c>
      <c r="K554" s="3">
        <v>-8.3499999999999998E-3</v>
      </c>
      <c r="L554" s="3">
        <v>-1.44551E-2</v>
      </c>
      <c r="M554" s="3">
        <v>-2.0616900000000001E-2</v>
      </c>
      <c r="N554" s="3">
        <v>-2.6675000000000001E-2</v>
      </c>
      <c r="O554" s="3">
        <v>-3.23115E-2</v>
      </c>
      <c r="P554" s="3">
        <v>-3.7237699999999999E-2</v>
      </c>
      <c r="Q554" s="3">
        <v>-4.1025300000000001E-2</v>
      </c>
      <c r="R554" s="3">
        <v>-4.3593600000000003E-2</v>
      </c>
      <c r="S554" s="3">
        <v>-4.4966899999999997E-2</v>
      </c>
      <c r="T554" s="3">
        <v>-4.5169300000000003E-2</v>
      </c>
      <c r="U554" s="3">
        <v>-4.4225E-2</v>
      </c>
      <c r="V554" s="3">
        <v>-4.2158300000000003E-2</v>
      </c>
      <c r="W554" s="3">
        <v>-3.90058E-2</v>
      </c>
      <c r="X554" s="3">
        <v>-3.4846799999999997E-2</v>
      </c>
      <c r="Y554" s="3">
        <v>-2.9770100000000001E-2</v>
      </c>
      <c r="Z554" s="3">
        <v>-2.3864199999999999E-2</v>
      </c>
      <c r="AA554" s="3">
        <v>-1.7217799999999998E-2</v>
      </c>
      <c r="AB554" s="3">
        <v>-9.9194999999999995E-3</v>
      </c>
      <c r="AC554" s="3">
        <v>-2.0514999999999999E-3</v>
      </c>
      <c r="AD554" s="3">
        <v>6.3305999999999996E-3</v>
      </c>
      <c r="AE554" s="3">
        <v>1.5177400000000001E-2</v>
      </c>
      <c r="AF554" s="3">
        <v>2.4439700000000002E-2</v>
      </c>
      <c r="AG554" s="3">
        <v>3.4068399999999999E-2</v>
      </c>
      <c r="AH554" s="3">
        <v>4.4014200000000003E-2</v>
      </c>
      <c r="AI554" s="3">
        <v>5.4227900000000002E-2</v>
      </c>
      <c r="AJ554" s="3">
        <v>6.4660200000000001E-2</v>
      </c>
      <c r="AK554" s="3">
        <v>7.5261900000000007E-2</v>
      </c>
      <c r="AL554" s="3">
        <v>8.5983900000000002E-2</v>
      </c>
      <c r="AM554" s="3">
        <v>9.6776799999999996E-2</v>
      </c>
      <c r="AN554" s="3">
        <v>0.10759150000000001</v>
      </c>
      <c r="AO554" s="3">
        <v>0.1183845</v>
      </c>
      <c r="AP554" s="3">
        <v>0.1291409</v>
      </c>
      <c r="AQ554" s="3">
        <v>0.13985420000000001</v>
      </c>
      <c r="AR554" s="3">
        <v>0.15051829999999999</v>
      </c>
      <c r="AS554" s="3">
        <v>0.16112660000000001</v>
      </c>
      <c r="AT554" s="3">
        <v>0.17167279999999999</v>
      </c>
      <c r="AU554" s="3">
        <v>0.1821506</v>
      </c>
      <c r="AV554" s="3">
        <v>0.19255369999999999</v>
      </c>
      <c r="AW554" s="3">
        <v>0.20287559999999999</v>
      </c>
      <c r="AX554" s="3">
        <v>0.2131101</v>
      </c>
      <c r="AY554" s="3">
        <v>0.2232507</v>
      </c>
      <c r="AZ554" s="3">
        <v>0.2332911</v>
      </c>
      <c r="BA554" s="3">
        <v>0.24322640000000001</v>
      </c>
      <c r="BB554" s="3">
        <v>0.25305820000000001</v>
      </c>
      <c r="BC554" s="3">
        <v>0.26278990000000002</v>
      </c>
      <c r="BD554" s="3">
        <v>0.27242480000000002</v>
      </c>
      <c r="BE554" s="3">
        <v>0.2819663</v>
      </c>
      <c r="BF554" s="3">
        <v>0.2914177</v>
      </c>
      <c r="BG554" s="3">
        <v>0.30078250000000001</v>
      </c>
      <c r="BH554" s="3">
        <v>0.31006400000000001</v>
      </c>
      <c r="BI554" s="3">
        <v>0.31926559999999998</v>
      </c>
      <c r="BJ554" s="3">
        <v>0.32839059999999998</v>
      </c>
      <c r="BK554" s="3">
        <v>0.33744239999999998</v>
      </c>
      <c r="BL554" s="3">
        <v>0.34642440000000002</v>
      </c>
      <c r="BM554" s="3" t="e">
        <v>#N/A</v>
      </c>
      <c r="BN554" s="3" t="e">
        <v>#N/A</v>
      </c>
    </row>
    <row r="555" spans="1:66" x14ac:dyDescent="0.35">
      <c r="A555" s="5">
        <f t="shared" si="8"/>
        <v>44231</v>
      </c>
      <c r="B555" t="s">
        <v>632</v>
      </c>
      <c r="C555" s="2">
        <v>0.1</v>
      </c>
      <c r="D555" s="2">
        <v>4.8399999999999999E-2</v>
      </c>
      <c r="E555" s="3">
        <v>4.8528300000000003E-2</v>
      </c>
      <c r="F555" s="3">
        <v>4.6577199999999999E-2</v>
      </c>
      <c r="G555" s="3">
        <v>4.4090900000000002E-2</v>
      </c>
      <c r="H555" s="3">
        <v>4.1159899999999999E-2</v>
      </c>
      <c r="I555" s="3">
        <v>3.7847100000000002E-2</v>
      </c>
      <c r="J555" s="3">
        <v>3.3858300000000001E-2</v>
      </c>
      <c r="K555" s="3">
        <v>2.89885E-2</v>
      </c>
      <c r="L555" s="3">
        <v>2.32564E-2</v>
      </c>
      <c r="M555" s="3">
        <v>1.6962100000000001E-2</v>
      </c>
      <c r="N555" s="3">
        <v>1.05802E-2</v>
      </c>
      <c r="O555" s="3">
        <v>4.6211000000000004E-3</v>
      </c>
      <c r="P555" s="3">
        <v>-4.4630000000000001E-4</v>
      </c>
      <c r="Q555" s="3">
        <v>-4.0147999999999998E-3</v>
      </c>
      <c r="R555" s="3">
        <v>-6.0004000000000004E-3</v>
      </c>
      <c r="S555" s="3">
        <v>-6.4691999999999996E-3</v>
      </c>
      <c r="T555" s="3">
        <v>-5.4875999999999996E-3</v>
      </c>
      <c r="U555" s="3">
        <v>-3.1216999999999998E-3</v>
      </c>
      <c r="V555" s="3">
        <v>5.6229999999999995E-4</v>
      </c>
      <c r="W555" s="3">
        <v>5.4844000000000004E-3</v>
      </c>
      <c r="X555" s="3">
        <v>1.1517400000000001E-2</v>
      </c>
      <c r="Y555" s="3">
        <v>1.85238E-2</v>
      </c>
      <c r="Z555" s="3">
        <v>2.63661E-2</v>
      </c>
      <c r="AA555" s="3">
        <v>3.4906899999999998E-2</v>
      </c>
      <c r="AB555" s="3">
        <v>4.4008699999999998E-2</v>
      </c>
      <c r="AC555" s="3">
        <v>5.3547600000000001E-2</v>
      </c>
      <c r="AD555" s="3">
        <v>6.3465599999999997E-2</v>
      </c>
      <c r="AE555" s="3">
        <v>7.3724899999999996E-2</v>
      </c>
      <c r="AF555" s="3">
        <v>8.4287799999999996E-2</v>
      </c>
      <c r="AG555" s="3">
        <v>9.5116300000000001E-2</v>
      </c>
      <c r="AH555" s="3">
        <v>0.10617269999999999</v>
      </c>
      <c r="AI555" s="3">
        <v>0.1174191</v>
      </c>
      <c r="AJ555" s="3">
        <v>0.1288176</v>
      </c>
      <c r="AK555" s="3">
        <v>0.1403306</v>
      </c>
      <c r="AL555" s="3">
        <v>0.15192</v>
      </c>
      <c r="AM555" s="3">
        <v>0.1635482</v>
      </c>
      <c r="AN555" s="3">
        <v>0.17517730000000001</v>
      </c>
      <c r="AO555" s="3">
        <v>0.1867741</v>
      </c>
      <c r="AP555" s="3">
        <v>0.19832630000000001</v>
      </c>
      <c r="AQ555" s="3">
        <v>0.20982709999999999</v>
      </c>
      <c r="AR555" s="3">
        <v>0.22126999999999999</v>
      </c>
      <c r="AS555" s="3">
        <v>0.2326482</v>
      </c>
      <c r="AT555" s="3">
        <v>0.24395510000000001</v>
      </c>
      <c r="AU555" s="3">
        <v>0.25518400000000002</v>
      </c>
      <c r="AV555" s="3">
        <v>0.26632820000000001</v>
      </c>
      <c r="AW555" s="3">
        <v>0.27738099999999999</v>
      </c>
      <c r="AX555" s="3">
        <v>0.28833589999999998</v>
      </c>
      <c r="AY555" s="3">
        <v>0.29918600000000001</v>
      </c>
      <c r="AZ555" s="3">
        <v>0.3099248</v>
      </c>
      <c r="BA555" s="3">
        <v>0.32054680000000002</v>
      </c>
      <c r="BB555" s="3">
        <v>0.33105200000000001</v>
      </c>
      <c r="BC555" s="3">
        <v>0.34144200000000002</v>
      </c>
      <c r="BD555" s="3">
        <v>0.35171819999999998</v>
      </c>
      <c r="BE555" s="3">
        <v>0.36188229999999999</v>
      </c>
      <c r="BF555" s="3">
        <v>0.37193569999999998</v>
      </c>
      <c r="BG555" s="3">
        <v>0.38187989999999999</v>
      </c>
      <c r="BH555" s="3">
        <v>0.39171660000000003</v>
      </c>
      <c r="BI555" s="3">
        <v>0.4014472</v>
      </c>
      <c r="BJ555" s="3">
        <v>0.41107329999999997</v>
      </c>
      <c r="BK555" s="3">
        <v>0.42059629999999998</v>
      </c>
      <c r="BL555" s="3">
        <v>0.43001790000000001</v>
      </c>
      <c r="BM555" s="3" t="e">
        <v>#N/A</v>
      </c>
      <c r="BN555" s="3" t="e">
        <v>#N/A</v>
      </c>
    </row>
    <row r="556" spans="1:66" x14ac:dyDescent="0.35">
      <c r="A556" s="5">
        <f t="shared" si="8"/>
        <v>44232</v>
      </c>
      <c r="B556" t="s">
        <v>633</v>
      </c>
      <c r="C556" s="2">
        <v>0.1</v>
      </c>
      <c r="D556" s="2">
        <v>4.82E-2</v>
      </c>
      <c r="E556" s="3">
        <v>4.9445500000000003E-2</v>
      </c>
      <c r="F556" s="3">
        <v>4.9332800000000003E-2</v>
      </c>
      <c r="G556" s="3">
        <v>4.8183700000000003E-2</v>
      </c>
      <c r="H556" s="3">
        <v>4.62114E-2</v>
      </c>
      <c r="I556" s="3">
        <v>4.3613300000000001E-2</v>
      </c>
      <c r="J556" s="3">
        <v>4.0305100000000003E-2</v>
      </c>
      <c r="K556" s="3">
        <v>3.6434399999999999E-2</v>
      </c>
      <c r="L556" s="3">
        <v>3.2304199999999998E-2</v>
      </c>
      <c r="M556" s="3">
        <v>2.82314E-2</v>
      </c>
      <c r="N556" s="3">
        <v>2.452E-2</v>
      </c>
      <c r="O556" s="3">
        <v>2.1489000000000001E-2</v>
      </c>
      <c r="P556" s="3">
        <v>1.9424299999999999E-2</v>
      </c>
      <c r="Q556" s="3">
        <v>1.8652100000000001E-2</v>
      </c>
      <c r="R556" s="3">
        <v>1.92255E-2</v>
      </c>
      <c r="S556" s="3">
        <v>2.1106E-2</v>
      </c>
      <c r="T556" s="3">
        <v>2.4254899999999999E-2</v>
      </c>
      <c r="U556" s="3">
        <v>2.8633499999999999E-2</v>
      </c>
      <c r="V556" s="3">
        <v>3.42031E-2</v>
      </c>
      <c r="W556" s="3">
        <v>4.0907399999999997E-2</v>
      </c>
      <c r="X556" s="3">
        <v>4.8628200000000003E-2</v>
      </c>
      <c r="Y556" s="3">
        <v>5.7234399999999998E-2</v>
      </c>
      <c r="Z556" s="3">
        <v>6.6594799999999996E-2</v>
      </c>
      <c r="AA556" s="3">
        <v>7.6577999999999993E-2</v>
      </c>
      <c r="AB556" s="3">
        <v>8.70528E-2</v>
      </c>
      <c r="AC556" s="3">
        <v>9.7902199999999995E-2</v>
      </c>
      <c r="AD556" s="3">
        <v>0.109072</v>
      </c>
      <c r="AE556" s="3">
        <v>0.1205256</v>
      </c>
      <c r="AF556" s="3">
        <v>0.13222600000000001</v>
      </c>
      <c r="AG556" s="3">
        <v>0.1441366</v>
      </c>
      <c r="AH556" s="3">
        <v>0.15622050000000001</v>
      </c>
      <c r="AI556" s="3">
        <v>0.1684409</v>
      </c>
      <c r="AJ556" s="3">
        <v>0.18076110000000001</v>
      </c>
      <c r="AK556" s="3">
        <v>0.19314419999999999</v>
      </c>
      <c r="AL556" s="3">
        <v>0.2055535</v>
      </c>
      <c r="AM556" s="3">
        <v>0.21795220000000001</v>
      </c>
      <c r="AN556" s="3">
        <v>0.23030349999999999</v>
      </c>
      <c r="AO556" s="3">
        <v>0.24257529999999999</v>
      </c>
      <c r="AP556" s="3">
        <v>0.25475409999999998</v>
      </c>
      <c r="AQ556" s="3">
        <v>0.26683089999999998</v>
      </c>
      <c r="AR556" s="3">
        <v>0.27879690000000001</v>
      </c>
      <c r="AS556" s="3">
        <v>0.29064329999999999</v>
      </c>
      <c r="AT556" s="3">
        <v>0.3023612</v>
      </c>
      <c r="AU556" s="3">
        <v>0.31394169999999999</v>
      </c>
      <c r="AV556" s="3">
        <v>0.3253759</v>
      </c>
      <c r="AW556" s="3">
        <v>0.33665509999999998</v>
      </c>
      <c r="AX556" s="3">
        <v>0.34777019999999997</v>
      </c>
      <c r="AY556" s="3">
        <v>0.35871259999999999</v>
      </c>
      <c r="AZ556" s="3">
        <v>0.3694732</v>
      </c>
      <c r="BA556" s="3">
        <v>0.38004529999999997</v>
      </c>
      <c r="BB556" s="3">
        <v>0.3904319</v>
      </c>
      <c r="BC556" s="3">
        <v>0.4006382</v>
      </c>
      <c r="BD556" s="3">
        <v>0.41066970000000003</v>
      </c>
      <c r="BE556" s="3">
        <v>0.42053180000000001</v>
      </c>
      <c r="BF556" s="3">
        <v>0.4302299</v>
      </c>
      <c r="BG556" s="3">
        <v>0.43976939999999998</v>
      </c>
      <c r="BH556" s="3">
        <v>0.44915569999999999</v>
      </c>
      <c r="BI556" s="3">
        <v>0.45839419999999997</v>
      </c>
      <c r="BJ556" s="3">
        <v>0.46749039999999997</v>
      </c>
      <c r="BK556" s="3">
        <v>0.47644959999999997</v>
      </c>
      <c r="BL556" s="3">
        <v>0.48527730000000002</v>
      </c>
      <c r="BM556" s="3" t="e">
        <v>#N/A</v>
      </c>
      <c r="BN556" s="3" t="e">
        <v>#N/A</v>
      </c>
    </row>
    <row r="557" spans="1:66" x14ac:dyDescent="0.35">
      <c r="A557" s="5">
        <f t="shared" si="8"/>
        <v>44235</v>
      </c>
      <c r="B557" t="s">
        <v>634</v>
      </c>
      <c r="C557" s="2">
        <v>0.1</v>
      </c>
      <c r="D557" s="2">
        <v>4.8000000000000001E-2</v>
      </c>
      <c r="E557" s="3">
        <v>4.8974499999999997E-2</v>
      </c>
      <c r="F557" s="3">
        <v>4.7790199999999998E-2</v>
      </c>
      <c r="G557" s="3">
        <v>4.6162099999999998E-2</v>
      </c>
      <c r="H557" s="3">
        <v>4.37093E-2</v>
      </c>
      <c r="I557" s="3">
        <v>3.9967000000000003E-2</v>
      </c>
      <c r="J557" s="3">
        <v>3.4821499999999998E-2</v>
      </c>
      <c r="K557" s="3">
        <v>2.86958E-2</v>
      </c>
      <c r="L557" s="3">
        <v>2.2182E-2</v>
      </c>
      <c r="M557" s="3">
        <v>1.5895900000000001E-2</v>
      </c>
      <c r="N557" s="3">
        <v>1.0385999999999999E-2</v>
      </c>
      <c r="O557" s="3">
        <v>6.0882000000000002E-3</v>
      </c>
      <c r="P557" s="3">
        <v>3.2141000000000001E-3</v>
      </c>
      <c r="Q557" s="3">
        <v>1.9139000000000001E-3</v>
      </c>
      <c r="R557" s="3">
        <v>2.1638999999999999E-3</v>
      </c>
      <c r="S557" s="3">
        <v>3.8945E-3</v>
      </c>
      <c r="T557" s="3">
        <v>7.0362999999999997E-3</v>
      </c>
      <c r="U557" s="3">
        <v>1.15196E-2</v>
      </c>
      <c r="V557" s="3">
        <v>1.72748E-2</v>
      </c>
      <c r="W557" s="3">
        <v>2.4218900000000002E-2</v>
      </c>
      <c r="X557" s="3">
        <v>3.2221300000000001E-2</v>
      </c>
      <c r="Y557" s="3">
        <v>4.11416E-2</v>
      </c>
      <c r="Z557" s="3">
        <v>5.0839299999999997E-2</v>
      </c>
      <c r="AA557" s="3">
        <v>6.1173900000000003E-2</v>
      </c>
      <c r="AB557" s="3">
        <v>7.2004899999999997E-2</v>
      </c>
      <c r="AC557" s="3">
        <v>8.3207900000000001E-2</v>
      </c>
      <c r="AD557" s="3">
        <v>9.47239E-2</v>
      </c>
      <c r="AE557" s="3">
        <v>0.10650999999999999</v>
      </c>
      <c r="AF557" s="3">
        <v>0.1185232</v>
      </c>
      <c r="AG557" s="3">
        <v>0.1307207</v>
      </c>
      <c r="AH557" s="3">
        <v>0.14305960000000001</v>
      </c>
      <c r="AI557" s="3">
        <v>0.155497</v>
      </c>
      <c r="AJ557" s="3">
        <v>0.16799</v>
      </c>
      <c r="AK557" s="3">
        <v>0.18049570000000001</v>
      </c>
      <c r="AL557" s="3">
        <v>0.19297120000000001</v>
      </c>
      <c r="AM557" s="3">
        <v>0.20537369999999999</v>
      </c>
      <c r="AN557" s="3">
        <v>0.2176602</v>
      </c>
      <c r="AO557" s="3">
        <v>0.22979540000000001</v>
      </c>
      <c r="AP557" s="3">
        <v>0.24177380000000001</v>
      </c>
      <c r="AQ557" s="3">
        <v>0.25359749999999998</v>
      </c>
      <c r="AR557" s="3">
        <v>0.26526850000000002</v>
      </c>
      <c r="AS557" s="3">
        <v>0.2767888</v>
      </c>
      <c r="AT557" s="3">
        <v>0.28816059999999999</v>
      </c>
      <c r="AU557" s="3">
        <v>0.29938589999999998</v>
      </c>
      <c r="AV557" s="3">
        <v>0.31046679999999999</v>
      </c>
      <c r="AW557" s="3">
        <v>0.3214052</v>
      </c>
      <c r="AX557" s="3">
        <v>0.33220329999999998</v>
      </c>
      <c r="AY557" s="3">
        <v>0.34286309999999998</v>
      </c>
      <c r="AZ557" s="3">
        <v>0.3533867</v>
      </c>
      <c r="BA557" s="3">
        <v>0.3637765</v>
      </c>
      <c r="BB557" s="3">
        <v>0.37403720000000001</v>
      </c>
      <c r="BC557" s="3">
        <v>0.38417410000000002</v>
      </c>
      <c r="BD557" s="3">
        <v>0.3941926</v>
      </c>
      <c r="BE557" s="3">
        <v>0.40409800000000001</v>
      </c>
      <c r="BF557" s="3">
        <v>0.41389569999999998</v>
      </c>
      <c r="BG557" s="3">
        <v>0.4235912</v>
      </c>
      <c r="BH557" s="3">
        <v>0.43318960000000001</v>
      </c>
      <c r="BI557" s="3">
        <v>0.44269649999999999</v>
      </c>
      <c r="BJ557" s="3">
        <v>0.45211709999999999</v>
      </c>
      <c r="BK557" s="3">
        <v>0.4614568</v>
      </c>
      <c r="BL557" s="3">
        <v>0.470721</v>
      </c>
      <c r="BM557" s="3" t="e">
        <v>#N/A</v>
      </c>
      <c r="BN557" s="3" t="e">
        <v>#N/A</v>
      </c>
    </row>
    <row r="558" spans="1:66" x14ac:dyDescent="0.35">
      <c r="A558" s="5">
        <f t="shared" si="8"/>
        <v>44236</v>
      </c>
      <c r="B558" t="s">
        <v>635</v>
      </c>
      <c r="C558" s="2">
        <v>0.1</v>
      </c>
      <c r="D558" s="2">
        <v>4.82E-2</v>
      </c>
      <c r="E558" s="3">
        <v>4.7847099999999997E-2</v>
      </c>
      <c r="F558" s="3">
        <v>4.8387300000000001E-2</v>
      </c>
      <c r="G558" s="3">
        <v>4.8152899999999998E-2</v>
      </c>
      <c r="H558" s="3">
        <v>4.6283400000000002E-2</v>
      </c>
      <c r="I558" s="3">
        <v>4.2463099999999997E-2</v>
      </c>
      <c r="J558" s="3">
        <v>3.6819499999999998E-2</v>
      </c>
      <c r="K558" s="3">
        <v>3.0046400000000001E-2</v>
      </c>
      <c r="L558" s="3">
        <v>2.29222E-2</v>
      </c>
      <c r="M558" s="3">
        <v>1.6069799999999999E-2</v>
      </c>
      <c r="N558" s="3">
        <v>9.9924000000000002E-3</v>
      </c>
      <c r="O558" s="3">
        <v>5.1051999999999998E-3</v>
      </c>
      <c r="P558" s="3">
        <v>1.6414000000000001E-3</v>
      </c>
      <c r="Q558" s="3">
        <v>-1.6229999999999999E-4</v>
      </c>
      <c r="R558" s="3">
        <v>-3.2860000000000002E-4</v>
      </c>
      <c r="S558" s="3">
        <v>1.047E-3</v>
      </c>
      <c r="T558" s="3">
        <v>3.8690999999999999E-3</v>
      </c>
      <c r="U558" s="3">
        <v>8.0420999999999999E-3</v>
      </c>
      <c r="V558" s="3">
        <v>1.34707E-2</v>
      </c>
      <c r="W558" s="3">
        <v>2.0053399999999999E-2</v>
      </c>
      <c r="X558" s="3">
        <v>2.76683E-2</v>
      </c>
      <c r="Y558" s="3">
        <v>3.6188999999999999E-2</v>
      </c>
      <c r="Z558" s="3">
        <v>4.54892E-2</v>
      </c>
      <c r="AA558" s="3">
        <v>5.5442400000000003E-2</v>
      </c>
      <c r="AB558" s="3">
        <v>6.5922499999999995E-2</v>
      </c>
      <c r="AC558" s="3">
        <v>7.6816300000000004E-2</v>
      </c>
      <c r="AD558" s="3">
        <v>8.8064000000000003E-2</v>
      </c>
      <c r="AE558" s="3">
        <v>9.9619399999999997E-2</v>
      </c>
      <c r="AF558" s="3">
        <v>0.1114361</v>
      </c>
      <c r="AG558" s="3">
        <v>0.12346749999999999</v>
      </c>
      <c r="AH558" s="3">
        <v>0.13566739999999999</v>
      </c>
      <c r="AI558" s="3">
        <v>0.14798929999999999</v>
      </c>
      <c r="AJ558" s="3">
        <v>0.1603868</v>
      </c>
      <c r="AK558" s="3">
        <v>0.17281360000000001</v>
      </c>
      <c r="AL558" s="3">
        <v>0.1852232</v>
      </c>
      <c r="AM558" s="3">
        <v>0.1975692</v>
      </c>
      <c r="AN558" s="3">
        <v>0.2098054</v>
      </c>
      <c r="AO558" s="3">
        <v>0.2218928</v>
      </c>
      <c r="AP558" s="3">
        <v>0.23382349999999999</v>
      </c>
      <c r="AQ558" s="3">
        <v>0.24559700000000001</v>
      </c>
      <c r="AR558" s="3">
        <v>0.25721290000000002</v>
      </c>
      <c r="AS558" s="3">
        <v>0.26867079999999999</v>
      </c>
      <c r="AT558" s="3">
        <v>0.27997030000000001</v>
      </c>
      <c r="AU558" s="3">
        <v>0.29111090000000001</v>
      </c>
      <c r="AV558" s="3">
        <v>0.30209229999999998</v>
      </c>
      <c r="AW558" s="3">
        <v>0.31291400000000003</v>
      </c>
      <c r="AX558" s="3">
        <v>0.32357560000000002</v>
      </c>
      <c r="AY558" s="3">
        <v>0.3340767</v>
      </c>
      <c r="AZ558" s="3">
        <v>0.34441690000000003</v>
      </c>
      <c r="BA558" s="3">
        <v>0.35459679999999999</v>
      </c>
      <c r="BB558" s="3">
        <v>0.36462159999999999</v>
      </c>
      <c r="BC558" s="3">
        <v>0.3744982</v>
      </c>
      <c r="BD558" s="3">
        <v>0.38423350000000001</v>
      </c>
      <c r="BE558" s="3">
        <v>0.39383410000000002</v>
      </c>
      <c r="BF558" s="3">
        <v>0.40330700000000003</v>
      </c>
      <c r="BG558" s="3">
        <v>0.4126589</v>
      </c>
      <c r="BH558" s="3">
        <v>0.42189660000000001</v>
      </c>
      <c r="BI558" s="3">
        <v>0.43102689999999999</v>
      </c>
      <c r="BJ558" s="3">
        <v>0.44005670000000002</v>
      </c>
      <c r="BK558" s="3">
        <v>0.44899270000000002</v>
      </c>
      <c r="BL558" s="3">
        <v>0.45784170000000002</v>
      </c>
      <c r="BM558" s="3" t="e">
        <v>#N/A</v>
      </c>
      <c r="BN558" s="3" t="e">
        <v>#N/A</v>
      </c>
    </row>
    <row r="559" spans="1:66" x14ac:dyDescent="0.35">
      <c r="A559" s="5">
        <f t="shared" si="8"/>
        <v>44237</v>
      </c>
      <c r="B559" t="s">
        <v>636</v>
      </c>
      <c r="C559" s="2">
        <v>0.1</v>
      </c>
      <c r="D559" s="2">
        <v>4.8300000000000003E-2</v>
      </c>
      <c r="E559" s="3">
        <v>4.8094400000000002E-2</v>
      </c>
      <c r="F559" s="3">
        <v>4.96768E-2</v>
      </c>
      <c r="G559" s="3">
        <v>4.9502999999999998E-2</v>
      </c>
      <c r="H559" s="3">
        <v>4.68434E-2</v>
      </c>
      <c r="I559" s="3">
        <v>4.2044600000000001E-2</v>
      </c>
      <c r="J559" s="3">
        <v>3.5843800000000002E-2</v>
      </c>
      <c r="K559" s="3">
        <v>2.9005699999999999E-2</v>
      </c>
      <c r="L559" s="3">
        <v>2.21055E-2</v>
      </c>
      <c r="M559" s="3">
        <v>1.5548299999999999E-2</v>
      </c>
      <c r="N559" s="3">
        <v>9.7166000000000006E-3</v>
      </c>
      <c r="O559" s="3">
        <v>4.9709999999999997E-3</v>
      </c>
      <c r="P559" s="3">
        <v>1.5407999999999999E-3</v>
      </c>
      <c r="Q559" s="3">
        <v>-3.3E-4</v>
      </c>
      <c r="R559" s="3">
        <v>-6.4099999999999997E-4</v>
      </c>
      <c r="S559" s="3">
        <v>5.398E-4</v>
      </c>
      <c r="T559" s="3">
        <v>3.1446E-3</v>
      </c>
      <c r="U559" s="3">
        <v>7.1051999999999999E-3</v>
      </c>
      <c r="V559" s="3">
        <v>1.2354E-2</v>
      </c>
      <c r="W559" s="3">
        <v>1.8809300000000001E-2</v>
      </c>
      <c r="X559" s="3">
        <v>2.6342899999999999E-2</v>
      </c>
      <c r="Y559" s="3">
        <v>3.4816300000000001E-2</v>
      </c>
      <c r="Z559" s="3">
        <v>4.4090900000000002E-2</v>
      </c>
      <c r="AA559" s="3">
        <v>5.4028399999999997E-2</v>
      </c>
      <c r="AB559" s="3">
        <v>6.4490400000000003E-2</v>
      </c>
      <c r="AC559" s="3">
        <v>7.5354699999999997E-2</v>
      </c>
      <c r="AD559" s="3">
        <v>8.6565100000000006E-2</v>
      </c>
      <c r="AE559" s="3">
        <v>9.8081600000000005E-2</v>
      </c>
      <c r="AF559" s="3">
        <v>0.1098644</v>
      </c>
      <c r="AG559" s="3">
        <v>0.1218735</v>
      </c>
      <c r="AH559" s="3">
        <v>0.13406899999999999</v>
      </c>
      <c r="AI559" s="3">
        <v>0.14641100000000001</v>
      </c>
      <c r="AJ559" s="3">
        <v>0.15885969999999999</v>
      </c>
      <c r="AK559" s="3">
        <v>0.171375</v>
      </c>
      <c r="AL559" s="3">
        <v>0.1839171</v>
      </c>
      <c r="AM559" s="3">
        <v>0.19644600000000001</v>
      </c>
      <c r="AN559" s="3">
        <v>0.208922</v>
      </c>
      <c r="AO559" s="3">
        <v>0.22131029999999999</v>
      </c>
      <c r="AP559" s="3">
        <v>0.2336028</v>
      </c>
      <c r="AQ559" s="3">
        <v>0.2457992</v>
      </c>
      <c r="AR559" s="3">
        <v>0.25789899999999999</v>
      </c>
      <c r="AS559" s="3">
        <v>0.26990209999999998</v>
      </c>
      <c r="AT559" s="3">
        <v>0.28180810000000001</v>
      </c>
      <c r="AU559" s="3">
        <v>0.29361680000000001</v>
      </c>
      <c r="AV559" s="3">
        <v>0.30532769999999998</v>
      </c>
      <c r="AW559" s="3">
        <v>0.31694060000000002</v>
      </c>
      <c r="AX559" s="3">
        <v>0.3284552</v>
      </c>
      <c r="AY559" s="3">
        <v>0.33987109999999998</v>
      </c>
      <c r="AZ559" s="3">
        <v>0.3511881</v>
      </c>
      <c r="BA559" s="3">
        <v>0.36240620000000001</v>
      </c>
      <c r="BB559" s="3">
        <v>0.37352669999999999</v>
      </c>
      <c r="BC559" s="3">
        <v>0.38455129999999998</v>
      </c>
      <c r="BD559" s="3">
        <v>0.39548169999999999</v>
      </c>
      <c r="BE559" s="3">
        <v>0.40631970000000001</v>
      </c>
      <c r="BF559" s="3">
        <v>0.41706680000000002</v>
      </c>
      <c r="BG559" s="3">
        <v>0.42772490000000002</v>
      </c>
      <c r="BH559" s="3">
        <v>0.4382955</v>
      </c>
      <c r="BI559" s="3">
        <v>0.44878059999999997</v>
      </c>
      <c r="BJ559" s="3">
        <v>0.45918160000000002</v>
      </c>
      <c r="BK559" s="3">
        <v>0.46950039999999998</v>
      </c>
      <c r="BL559" s="3">
        <v>0.47973870000000002</v>
      </c>
      <c r="BM559" s="3" t="e">
        <v>#N/A</v>
      </c>
      <c r="BN559" s="3" t="e">
        <v>#N/A</v>
      </c>
    </row>
    <row r="560" spans="1:66" x14ac:dyDescent="0.35">
      <c r="A560" s="5">
        <f t="shared" si="8"/>
        <v>44238</v>
      </c>
      <c r="B560" t="s">
        <v>637</v>
      </c>
      <c r="C560" s="2">
        <v>0.1</v>
      </c>
      <c r="D560" s="2">
        <v>4.8399999999999999E-2</v>
      </c>
      <c r="E560" s="3">
        <v>4.7882399999999999E-2</v>
      </c>
      <c r="F560" s="3">
        <v>4.8702200000000001E-2</v>
      </c>
      <c r="G560" s="3">
        <v>4.9075800000000003E-2</v>
      </c>
      <c r="H560" s="3">
        <v>4.7778300000000003E-2</v>
      </c>
      <c r="I560" s="3">
        <v>4.3974399999999997E-2</v>
      </c>
      <c r="J560" s="3">
        <v>3.7697899999999999E-2</v>
      </c>
      <c r="K560" s="3">
        <v>2.9840200000000001E-2</v>
      </c>
      <c r="L560" s="3">
        <v>2.15243E-2</v>
      </c>
      <c r="M560" s="3">
        <v>1.3693200000000001E-2</v>
      </c>
      <c r="N560" s="3">
        <v>7.0289000000000003E-3</v>
      </c>
      <c r="O560" s="3">
        <v>1.9574000000000002E-3</v>
      </c>
      <c r="P560" s="3">
        <v>-1.2978E-3</v>
      </c>
      <c r="Q560" s="3">
        <v>-2.5883999999999998E-3</v>
      </c>
      <c r="R560" s="3">
        <v>-2.0977000000000001E-3</v>
      </c>
      <c r="S560" s="3">
        <v>-9.5400000000000001E-5</v>
      </c>
      <c r="T560" s="3">
        <v>3.1489E-3</v>
      </c>
      <c r="U560" s="3">
        <v>7.3655999999999999E-3</v>
      </c>
      <c r="V560" s="3">
        <v>1.22851E-2</v>
      </c>
      <c r="W560" s="3">
        <v>1.7693400000000001E-2</v>
      </c>
      <c r="X560" s="3">
        <v>2.3569099999999999E-2</v>
      </c>
      <c r="Y560" s="3">
        <v>2.9932299999999998E-2</v>
      </c>
      <c r="Z560" s="3">
        <v>3.6803099999999998E-2</v>
      </c>
      <c r="AA560" s="3">
        <v>4.4201499999999998E-2</v>
      </c>
      <c r="AB560" s="3">
        <v>5.2147699999999998E-2</v>
      </c>
      <c r="AC560" s="3">
        <v>6.0653499999999999E-2</v>
      </c>
      <c r="AD560" s="3">
        <v>6.9692500000000004E-2</v>
      </c>
      <c r="AE560" s="3">
        <v>7.9225900000000002E-2</v>
      </c>
      <c r="AF560" s="3">
        <v>8.9215199999999995E-2</v>
      </c>
      <c r="AG560" s="3">
        <v>9.9621799999999996E-2</v>
      </c>
      <c r="AH560" s="3">
        <v>0.1104072</v>
      </c>
      <c r="AI560" s="3">
        <v>0.1215328</v>
      </c>
      <c r="AJ560" s="3">
        <v>0.1329601</v>
      </c>
      <c r="AK560" s="3">
        <v>0.14465049999999999</v>
      </c>
      <c r="AL560" s="3">
        <v>0.15656529999999999</v>
      </c>
      <c r="AM560" s="3">
        <v>0.16866619999999999</v>
      </c>
      <c r="AN560" s="3">
        <v>0.1809144</v>
      </c>
      <c r="AO560" s="3">
        <v>0.19327369999999999</v>
      </c>
      <c r="AP560" s="3">
        <v>0.20571829999999999</v>
      </c>
      <c r="AQ560" s="3">
        <v>0.21822510000000001</v>
      </c>
      <c r="AR560" s="3">
        <v>0.230771</v>
      </c>
      <c r="AS560" s="3">
        <v>0.24333289999999999</v>
      </c>
      <c r="AT560" s="3">
        <v>0.2558877</v>
      </c>
      <c r="AU560" s="3">
        <v>0.2684124</v>
      </c>
      <c r="AV560" s="3">
        <v>0.28088400000000002</v>
      </c>
      <c r="AW560" s="3">
        <v>0.29327920000000002</v>
      </c>
      <c r="AX560" s="3">
        <v>0.30557519999999999</v>
      </c>
      <c r="AY560" s="3">
        <v>0.3177487</v>
      </c>
      <c r="AZ560" s="3">
        <v>0.32977669999999998</v>
      </c>
      <c r="BA560" s="3">
        <v>0.3416402</v>
      </c>
      <c r="BB560" s="3">
        <v>0.35333730000000002</v>
      </c>
      <c r="BC560" s="3">
        <v>0.3648711</v>
      </c>
      <c r="BD560" s="3">
        <v>0.37624479999999999</v>
      </c>
      <c r="BE560" s="3">
        <v>0.38746140000000001</v>
      </c>
      <c r="BF560" s="3">
        <v>0.39852389999999999</v>
      </c>
      <c r="BG560" s="3">
        <v>0.40943560000000001</v>
      </c>
      <c r="BH560" s="3">
        <v>0.4201994</v>
      </c>
      <c r="BI560" s="3">
        <v>0.43081839999999999</v>
      </c>
      <c r="BJ560" s="3">
        <v>0.44129570000000001</v>
      </c>
      <c r="BK560" s="3">
        <v>0.45163439999999999</v>
      </c>
      <c r="BL560" s="3">
        <v>0.46183760000000001</v>
      </c>
      <c r="BM560" s="3" t="e">
        <v>#N/A</v>
      </c>
      <c r="BN560" s="3" t="e">
        <v>#N/A</v>
      </c>
    </row>
    <row r="561" spans="1:66" x14ac:dyDescent="0.35">
      <c r="A561" s="5">
        <f t="shared" si="8"/>
        <v>44239</v>
      </c>
      <c r="B561" t="s">
        <v>638</v>
      </c>
      <c r="C561" s="2">
        <v>0.1</v>
      </c>
      <c r="D561" s="2">
        <v>4.8099999999999997E-2</v>
      </c>
      <c r="E561" s="3">
        <v>4.8994900000000001E-2</v>
      </c>
      <c r="F561" s="3">
        <v>4.9326099999999998E-2</v>
      </c>
      <c r="G561" s="3">
        <v>4.9183699999999997E-2</v>
      </c>
      <c r="H561" s="3">
        <v>4.78453E-2</v>
      </c>
      <c r="I561" s="3">
        <v>4.4781000000000001E-2</v>
      </c>
      <c r="J561" s="3">
        <v>3.9788900000000002E-2</v>
      </c>
      <c r="K561" s="3">
        <v>3.3210700000000003E-2</v>
      </c>
      <c r="L561" s="3">
        <v>2.5744900000000001E-2</v>
      </c>
      <c r="M561" s="3">
        <v>1.81347E-2</v>
      </c>
      <c r="N561" s="3">
        <v>1.10399E-2</v>
      </c>
      <c r="O561" s="3">
        <v>5.0067000000000002E-3</v>
      </c>
      <c r="P561" s="3">
        <v>3.8539999999999999E-4</v>
      </c>
      <c r="Q561" s="3">
        <v>-2.5509999999999999E-3</v>
      </c>
      <c r="R561" s="3">
        <v>-3.7853000000000001E-3</v>
      </c>
      <c r="S561" s="3">
        <v>-3.3801E-3</v>
      </c>
      <c r="T561" s="3">
        <v>-1.3978E-3</v>
      </c>
      <c r="U561" s="3">
        <v>2.0990000000000002E-3</v>
      </c>
      <c r="V561" s="3">
        <v>7.0476999999999996E-3</v>
      </c>
      <c r="W561" s="3">
        <v>1.3370999999999999E-2</v>
      </c>
      <c r="X561" s="3">
        <v>2.0940299999999998E-2</v>
      </c>
      <c r="Y561" s="3">
        <v>2.9616199999999999E-2</v>
      </c>
      <c r="Z561" s="3">
        <v>3.9259099999999998E-2</v>
      </c>
      <c r="AA561" s="3">
        <v>4.9729299999999997E-2</v>
      </c>
      <c r="AB561" s="3">
        <v>6.0887299999999998E-2</v>
      </c>
      <c r="AC561" s="3">
        <v>7.2606199999999996E-2</v>
      </c>
      <c r="AD561" s="3">
        <v>8.4814600000000004E-2</v>
      </c>
      <c r="AE561" s="3">
        <v>9.7456600000000004E-2</v>
      </c>
      <c r="AF561" s="3">
        <v>0.1104762</v>
      </c>
      <c r="AG561" s="3">
        <v>0.12381739999999999</v>
      </c>
      <c r="AH561" s="3">
        <v>0.1374243</v>
      </c>
      <c r="AI561" s="3">
        <v>0.15124090000000001</v>
      </c>
      <c r="AJ561" s="3">
        <v>0.1652112</v>
      </c>
      <c r="AK561" s="3">
        <v>0.1792792</v>
      </c>
      <c r="AL561" s="3">
        <v>0.19338900000000001</v>
      </c>
      <c r="AM561" s="3">
        <v>0.20748469999999999</v>
      </c>
      <c r="AN561" s="3">
        <v>0.22151009999999999</v>
      </c>
      <c r="AO561" s="3">
        <v>0.2354184</v>
      </c>
      <c r="AP561" s="3">
        <v>0.24919820000000001</v>
      </c>
      <c r="AQ561" s="3">
        <v>0.26284730000000001</v>
      </c>
      <c r="AR561" s="3">
        <v>0.27636329999999998</v>
      </c>
      <c r="AS561" s="3">
        <v>0.289744</v>
      </c>
      <c r="AT561" s="3">
        <v>0.30298700000000001</v>
      </c>
      <c r="AU561" s="3">
        <v>0.31609009999999998</v>
      </c>
      <c r="AV561" s="3">
        <v>0.32905089999999998</v>
      </c>
      <c r="AW561" s="3">
        <v>0.34186699999999998</v>
      </c>
      <c r="AX561" s="3">
        <v>0.35453630000000003</v>
      </c>
      <c r="AY561" s="3">
        <v>0.36705650000000001</v>
      </c>
      <c r="AZ561" s="3">
        <v>0.37942510000000002</v>
      </c>
      <c r="BA561" s="3">
        <v>0.39164080000000001</v>
      </c>
      <c r="BB561" s="3">
        <v>0.40370689999999998</v>
      </c>
      <c r="BC561" s="3">
        <v>0.41562739999999998</v>
      </c>
      <c r="BD561" s="3">
        <v>0.42740660000000003</v>
      </c>
      <c r="BE561" s="3">
        <v>0.43904880000000002</v>
      </c>
      <c r="BF561" s="3">
        <v>0.45055820000000002</v>
      </c>
      <c r="BG561" s="3">
        <v>0.46193909999999999</v>
      </c>
      <c r="BH561" s="3">
        <v>0.4731958</v>
      </c>
      <c r="BI561" s="3">
        <v>0.4843324</v>
      </c>
      <c r="BJ561" s="3">
        <v>0.4953533</v>
      </c>
      <c r="BK561" s="3">
        <v>0.50626269999999995</v>
      </c>
      <c r="BL561" s="3">
        <v>0.51706470000000004</v>
      </c>
      <c r="BM561" s="3" t="e">
        <v>#N/A</v>
      </c>
      <c r="BN561" s="3" t="e">
        <v>#N/A</v>
      </c>
    </row>
    <row r="562" spans="1:66" x14ac:dyDescent="0.35">
      <c r="A562" s="5">
        <f t="shared" si="8"/>
        <v>44242</v>
      </c>
      <c r="B562" t="s">
        <v>639</v>
      </c>
      <c r="C562" s="2">
        <v>0.1</v>
      </c>
      <c r="D562" s="2">
        <v>4.8000000000000001E-2</v>
      </c>
      <c r="E562" s="3">
        <v>7.2094800000000001E-2</v>
      </c>
      <c r="F562" s="3">
        <v>6.05348E-2</v>
      </c>
      <c r="G562" s="3">
        <v>4.9903299999999998E-2</v>
      </c>
      <c r="H562" s="3">
        <v>4.3367799999999998E-2</v>
      </c>
      <c r="I562" s="3">
        <v>3.9751599999999998E-2</v>
      </c>
      <c r="J562" s="3">
        <v>3.8762100000000001E-2</v>
      </c>
      <c r="K562" s="3">
        <v>4.00043E-2</v>
      </c>
      <c r="L562" s="3">
        <v>4.0144100000000002E-2</v>
      </c>
      <c r="M562" s="3">
        <v>3.6654100000000002E-2</v>
      </c>
      <c r="N562" s="3">
        <v>2.9062999999999999E-2</v>
      </c>
      <c r="O562" s="3">
        <v>1.9115900000000002E-2</v>
      </c>
      <c r="P562" s="3">
        <v>9.5717000000000007E-3</v>
      </c>
      <c r="Q562" s="3">
        <v>2.689E-3</v>
      </c>
      <c r="R562" s="3">
        <v>-1.2407E-3</v>
      </c>
      <c r="S562" s="3">
        <v>-2.4058999999999999E-3</v>
      </c>
      <c r="T562" s="3">
        <v>-9.9510000000000006E-4</v>
      </c>
      <c r="U562" s="3">
        <v>2.8031000000000002E-3</v>
      </c>
      <c r="V562" s="3">
        <v>8.8001999999999993E-3</v>
      </c>
      <c r="W562" s="3">
        <v>1.67905E-2</v>
      </c>
      <c r="X562" s="3">
        <v>2.6508299999999999E-2</v>
      </c>
      <c r="Y562" s="3">
        <v>3.7675599999999997E-2</v>
      </c>
      <c r="Z562" s="3">
        <v>5.0013799999999997E-2</v>
      </c>
      <c r="AA562" s="3">
        <v>6.3244599999999998E-2</v>
      </c>
      <c r="AB562" s="3">
        <v>7.7089900000000003E-2</v>
      </c>
      <c r="AC562" s="3">
        <v>9.1310299999999997E-2</v>
      </c>
      <c r="AD562" s="3">
        <v>0.1058235</v>
      </c>
      <c r="AE562" s="3">
        <v>0.120586</v>
      </c>
      <c r="AF562" s="3">
        <v>0.1355546</v>
      </c>
      <c r="AG562" s="3">
        <v>0.15068609999999999</v>
      </c>
      <c r="AH562" s="3">
        <v>0.165937</v>
      </c>
      <c r="AI562" s="3">
        <v>0.18126400000000001</v>
      </c>
      <c r="AJ562" s="3">
        <v>0.19662389999999999</v>
      </c>
      <c r="AK562" s="3">
        <v>0.2119733</v>
      </c>
      <c r="AL562" s="3">
        <v>0.227269</v>
      </c>
      <c r="AM562" s="3">
        <v>0.24246760000000001</v>
      </c>
      <c r="AN562" s="3">
        <v>0.25752570000000002</v>
      </c>
      <c r="AO562" s="3">
        <v>0.27240809999999999</v>
      </c>
      <c r="AP562" s="3">
        <v>0.28711100000000001</v>
      </c>
      <c r="AQ562" s="3">
        <v>0.30163869999999998</v>
      </c>
      <c r="AR562" s="3">
        <v>0.31599529999999998</v>
      </c>
      <c r="AS562" s="3">
        <v>0.33018510000000001</v>
      </c>
      <c r="AT562" s="3">
        <v>0.34421239999999997</v>
      </c>
      <c r="AU562" s="3">
        <v>0.35808129999999999</v>
      </c>
      <c r="AV562" s="3">
        <v>0.37179610000000002</v>
      </c>
      <c r="AW562" s="3">
        <v>0.38536100000000001</v>
      </c>
      <c r="AX562" s="3">
        <v>0.39878019999999997</v>
      </c>
      <c r="AY562" s="3">
        <v>0.41205799999999998</v>
      </c>
      <c r="AZ562" s="3">
        <v>0.42519859999999998</v>
      </c>
      <c r="BA562" s="3">
        <v>0.43820599999999998</v>
      </c>
      <c r="BB562" s="3">
        <v>0.45108320000000002</v>
      </c>
      <c r="BC562" s="3">
        <v>0.46383249999999998</v>
      </c>
      <c r="BD562" s="3">
        <v>0.47645670000000001</v>
      </c>
      <c r="BE562" s="3">
        <v>0.48895820000000001</v>
      </c>
      <c r="BF562" s="3">
        <v>0.50133950000000005</v>
      </c>
      <c r="BG562" s="3">
        <v>0.51360320000000004</v>
      </c>
      <c r="BH562" s="3">
        <v>0.52575179999999999</v>
      </c>
      <c r="BI562" s="3">
        <v>0.53778789999999999</v>
      </c>
      <c r="BJ562" s="3">
        <v>0.54971389999999998</v>
      </c>
      <c r="BK562" s="3">
        <v>0.56153249999999999</v>
      </c>
      <c r="BL562" s="3">
        <v>0.57324609999999998</v>
      </c>
      <c r="BM562" s="3" t="e">
        <v>#N/A</v>
      </c>
      <c r="BN562" s="3" t="e">
        <v>#N/A</v>
      </c>
    </row>
    <row r="563" spans="1:66" x14ac:dyDescent="0.35">
      <c r="A563" s="5">
        <f t="shared" si="8"/>
        <v>44243</v>
      </c>
      <c r="B563" t="s">
        <v>640</v>
      </c>
      <c r="C563" s="2">
        <v>0.1</v>
      </c>
      <c r="D563" s="2">
        <v>4.8300000000000003E-2</v>
      </c>
      <c r="E563" s="3">
        <v>7.2604299999999997E-2</v>
      </c>
      <c r="F563" s="3">
        <v>6.50868E-2</v>
      </c>
      <c r="G563" s="3">
        <v>5.6305800000000003E-2</v>
      </c>
      <c r="H563" s="3">
        <v>4.7551999999999997E-2</v>
      </c>
      <c r="I563" s="3">
        <v>4.0124800000000002E-2</v>
      </c>
      <c r="J563" s="3">
        <v>3.3137100000000003E-2</v>
      </c>
      <c r="K563" s="3">
        <v>2.6675399999999998E-2</v>
      </c>
      <c r="L563" s="3">
        <v>2.1726499999999999E-2</v>
      </c>
      <c r="M563" s="3">
        <v>1.7880500000000001E-2</v>
      </c>
      <c r="N563" s="3">
        <v>1.4733599999999999E-2</v>
      </c>
      <c r="O563" s="3">
        <v>1.223E-2</v>
      </c>
      <c r="P563" s="3">
        <v>1.05421E-2</v>
      </c>
      <c r="Q563" s="3">
        <v>1.0178899999999999E-2</v>
      </c>
      <c r="R563" s="3">
        <v>1.12829E-2</v>
      </c>
      <c r="S563" s="3">
        <v>1.38762E-2</v>
      </c>
      <c r="T563" s="3">
        <v>1.79811E-2</v>
      </c>
      <c r="U563" s="3">
        <v>2.3619500000000002E-2</v>
      </c>
      <c r="V563" s="3">
        <v>3.0813799999999999E-2</v>
      </c>
      <c r="W563" s="3">
        <v>3.9547499999999999E-2</v>
      </c>
      <c r="X563" s="3">
        <v>4.9671699999999999E-2</v>
      </c>
      <c r="Y563" s="3">
        <v>6.1008800000000002E-2</v>
      </c>
      <c r="Z563" s="3">
        <v>7.3381199999999994E-2</v>
      </c>
      <c r="AA563" s="3">
        <v>8.6611300000000002E-2</v>
      </c>
      <c r="AB563" s="3">
        <v>0.10052170000000001</v>
      </c>
      <c r="AC563" s="3">
        <v>0.1149553</v>
      </c>
      <c r="AD563" s="3">
        <v>0.1298376</v>
      </c>
      <c r="AE563" s="3">
        <v>0.14511489999999999</v>
      </c>
      <c r="AF563" s="3">
        <v>0.16073319999999999</v>
      </c>
      <c r="AG563" s="3">
        <v>0.17663880000000001</v>
      </c>
      <c r="AH563" s="3">
        <v>0.1927779</v>
      </c>
      <c r="AI563" s="3">
        <v>0.20909649999999999</v>
      </c>
      <c r="AJ563" s="3">
        <v>0.22554089999999999</v>
      </c>
      <c r="AK563" s="3">
        <v>0.2420572</v>
      </c>
      <c r="AL563" s="3">
        <v>0.25859159999999998</v>
      </c>
      <c r="AM563" s="3">
        <v>0.27509020000000001</v>
      </c>
      <c r="AN563" s="3">
        <v>0.29149930000000002</v>
      </c>
      <c r="AO563" s="3">
        <v>0.30777339999999997</v>
      </c>
      <c r="AP563" s="3">
        <v>0.32390099999999999</v>
      </c>
      <c r="AQ563" s="3">
        <v>0.33987899999999999</v>
      </c>
      <c r="AR563" s="3">
        <v>0.35570439999999998</v>
      </c>
      <c r="AS563" s="3">
        <v>0.37137409999999998</v>
      </c>
      <c r="AT563" s="3">
        <v>0.38688489999999998</v>
      </c>
      <c r="AU563" s="3">
        <v>0.40223399999999998</v>
      </c>
      <c r="AV563" s="3">
        <v>0.41741800000000001</v>
      </c>
      <c r="AW563" s="3">
        <v>0.43243409999999999</v>
      </c>
      <c r="AX563" s="3">
        <v>0.44727899999999998</v>
      </c>
      <c r="AY563" s="3">
        <v>0.46194980000000002</v>
      </c>
      <c r="AZ563" s="3">
        <v>0.47644330000000001</v>
      </c>
      <c r="BA563" s="3">
        <v>0.49075740000000001</v>
      </c>
      <c r="BB563" s="3">
        <v>0.50489379999999995</v>
      </c>
      <c r="BC563" s="3">
        <v>0.51885579999999998</v>
      </c>
      <c r="BD563" s="3">
        <v>0.53264650000000002</v>
      </c>
      <c r="BE563" s="3">
        <v>0.54626889999999995</v>
      </c>
      <c r="BF563" s="3">
        <v>0.55972630000000001</v>
      </c>
      <c r="BG563" s="3">
        <v>0.57302169999999997</v>
      </c>
      <c r="BH563" s="3">
        <v>0.58615830000000002</v>
      </c>
      <c r="BI563" s="3">
        <v>0.59913919999999998</v>
      </c>
      <c r="BJ563" s="3">
        <v>0.61196759999999994</v>
      </c>
      <c r="BK563" s="3">
        <v>0.62464649999999999</v>
      </c>
      <c r="BL563" s="3">
        <v>0.6371791</v>
      </c>
      <c r="BM563" s="3" t="e">
        <v>#N/A</v>
      </c>
      <c r="BN563" s="3" t="e">
        <v>#N/A</v>
      </c>
    </row>
    <row r="564" spans="1:66" x14ac:dyDescent="0.35">
      <c r="A564" s="5">
        <f t="shared" si="8"/>
        <v>44244</v>
      </c>
      <c r="B564" t="s">
        <v>641</v>
      </c>
      <c r="C564" s="2">
        <v>0.1</v>
      </c>
      <c r="D564" s="2">
        <v>4.87E-2</v>
      </c>
      <c r="E564" s="3">
        <v>6.7630800000000005E-2</v>
      </c>
      <c r="F564" s="3">
        <v>4.9946600000000001E-2</v>
      </c>
      <c r="G564" s="3">
        <v>4.0980200000000001E-2</v>
      </c>
      <c r="H564" s="3">
        <v>4.0319899999999999E-2</v>
      </c>
      <c r="I564" s="3">
        <v>4.1248E-2</v>
      </c>
      <c r="J564" s="3">
        <v>3.9738900000000001E-2</v>
      </c>
      <c r="K564" s="3">
        <v>3.4854499999999997E-2</v>
      </c>
      <c r="L564" s="3">
        <v>2.74854E-2</v>
      </c>
      <c r="M564" s="3">
        <v>1.9016499999999999E-2</v>
      </c>
      <c r="N564" s="3">
        <v>1.06582E-2</v>
      </c>
      <c r="O564" s="3">
        <v>3.2977000000000002E-3</v>
      </c>
      <c r="P564" s="3">
        <v>-2.5013000000000001E-3</v>
      </c>
      <c r="Q564" s="3">
        <v>-6.1669000000000003E-3</v>
      </c>
      <c r="R564" s="3">
        <v>-7.6328999999999998E-3</v>
      </c>
      <c r="S564" s="3">
        <v>-6.9731000000000003E-3</v>
      </c>
      <c r="T564" s="3">
        <v>-4.261E-3</v>
      </c>
      <c r="U564" s="3">
        <v>4.2949999999999998E-4</v>
      </c>
      <c r="V564" s="3">
        <v>7.0248999999999997E-3</v>
      </c>
      <c r="W564" s="3">
        <v>1.5420100000000001E-2</v>
      </c>
      <c r="X564" s="3">
        <v>2.5401699999999999E-2</v>
      </c>
      <c r="Y564" s="3">
        <v>3.6732899999999999E-2</v>
      </c>
      <c r="Z564" s="3">
        <v>4.9177199999999997E-2</v>
      </c>
      <c r="AA564" s="3">
        <v>6.2497700000000003E-2</v>
      </c>
      <c r="AB564" s="3">
        <v>7.6457800000000006E-2</v>
      </c>
      <c r="AC564" s="3">
        <v>9.0851399999999999E-2</v>
      </c>
      <c r="AD564" s="3">
        <v>0.1055958</v>
      </c>
      <c r="AE564" s="3">
        <v>0.12063889999999999</v>
      </c>
      <c r="AF564" s="3">
        <v>0.13592850000000001</v>
      </c>
      <c r="AG564" s="3">
        <v>0.15141270000000001</v>
      </c>
      <c r="AH564" s="3">
        <v>0.1670393</v>
      </c>
      <c r="AI564" s="3">
        <v>0.18275620000000001</v>
      </c>
      <c r="AJ564" s="3">
        <v>0.1985114</v>
      </c>
      <c r="AK564" s="3">
        <v>0.21425279999999999</v>
      </c>
      <c r="AL564" s="3">
        <v>0.2299283</v>
      </c>
      <c r="AM564" s="3">
        <v>0.24548590000000001</v>
      </c>
      <c r="AN564" s="3">
        <v>0.26087339999999998</v>
      </c>
      <c r="AO564" s="3">
        <v>0.27604649999999997</v>
      </c>
      <c r="AP564" s="3">
        <v>0.29099910000000001</v>
      </c>
      <c r="AQ564" s="3">
        <v>0.30573620000000001</v>
      </c>
      <c r="AR564" s="3">
        <v>0.32026329999999997</v>
      </c>
      <c r="AS564" s="3">
        <v>0.33458559999999998</v>
      </c>
      <c r="AT564" s="3">
        <v>0.34870830000000003</v>
      </c>
      <c r="AU564" s="3">
        <v>0.36263669999999998</v>
      </c>
      <c r="AV564" s="3">
        <v>0.37637609999999999</v>
      </c>
      <c r="AW564" s="3">
        <v>0.38993169999999999</v>
      </c>
      <c r="AX564" s="3">
        <v>0.40330880000000002</v>
      </c>
      <c r="AY564" s="3">
        <v>0.41651280000000002</v>
      </c>
      <c r="AZ564" s="3">
        <v>0.42954880000000001</v>
      </c>
      <c r="BA564" s="3">
        <v>0.44242199999999998</v>
      </c>
      <c r="BB564" s="3">
        <v>0.45513769999999998</v>
      </c>
      <c r="BC564" s="3">
        <v>0.46770080000000003</v>
      </c>
      <c r="BD564" s="3">
        <v>0.4801164</v>
      </c>
      <c r="BE564" s="3">
        <v>0.49238959999999998</v>
      </c>
      <c r="BF564" s="3">
        <v>0.50452540000000001</v>
      </c>
      <c r="BG564" s="3">
        <v>0.51652889999999996</v>
      </c>
      <c r="BH564" s="3">
        <v>0.52840509999999996</v>
      </c>
      <c r="BI564" s="3">
        <v>0.54015919999999995</v>
      </c>
      <c r="BJ564" s="3">
        <v>0.55179610000000001</v>
      </c>
      <c r="BK564" s="3">
        <v>0.56332090000000001</v>
      </c>
      <c r="BL564" s="3">
        <v>0.57473870000000005</v>
      </c>
      <c r="BM564" s="3" t="e">
        <v>#N/A</v>
      </c>
      <c r="BN564" s="3" t="e">
        <v>#N/A</v>
      </c>
    </row>
    <row r="565" spans="1:66" x14ac:dyDescent="0.35">
      <c r="A565" s="5">
        <f t="shared" si="8"/>
        <v>44245</v>
      </c>
      <c r="B565" t="s">
        <v>642</v>
      </c>
      <c r="C565" s="2">
        <v>0.1</v>
      </c>
      <c r="D565" s="2">
        <v>4.9000000000000002E-2</v>
      </c>
      <c r="E565" s="3">
        <v>4.9859199999999999E-2</v>
      </c>
      <c r="F565" s="3">
        <v>5.0658000000000002E-2</v>
      </c>
      <c r="G565" s="3">
        <v>5.0742900000000001E-2</v>
      </c>
      <c r="H565" s="3">
        <v>4.9960600000000001E-2</v>
      </c>
      <c r="I565" s="3">
        <v>4.8055E-2</v>
      </c>
      <c r="J565" s="3">
        <v>4.4906599999999998E-2</v>
      </c>
      <c r="K565" s="3">
        <v>4.0632500000000002E-2</v>
      </c>
      <c r="L565" s="3">
        <v>3.5466900000000003E-2</v>
      </c>
      <c r="M565" s="3">
        <v>2.98146E-2</v>
      </c>
      <c r="N565" s="3">
        <v>2.4235300000000001E-2</v>
      </c>
      <c r="O565" s="3">
        <v>1.9362000000000001E-2</v>
      </c>
      <c r="P565" s="3">
        <v>1.57774E-2</v>
      </c>
      <c r="Q565" s="3">
        <v>1.41359E-2</v>
      </c>
      <c r="R565" s="3">
        <v>1.45332E-2</v>
      </c>
      <c r="S565" s="3">
        <v>1.6910000000000001E-2</v>
      </c>
      <c r="T565" s="3">
        <v>2.1206699999999998E-2</v>
      </c>
      <c r="U565" s="3">
        <v>2.7364099999999999E-2</v>
      </c>
      <c r="V565" s="3">
        <v>3.5322600000000003E-2</v>
      </c>
      <c r="W565" s="3">
        <v>4.4991299999999998E-2</v>
      </c>
      <c r="X565" s="3">
        <v>5.6170299999999999E-2</v>
      </c>
      <c r="Y565" s="3">
        <v>6.86364E-2</v>
      </c>
      <c r="Z565" s="3">
        <v>8.2166100000000006E-2</v>
      </c>
      <c r="AA565" s="3">
        <v>9.6536300000000005E-2</v>
      </c>
      <c r="AB565" s="3">
        <v>0.11152339999999999</v>
      </c>
      <c r="AC565" s="3">
        <v>0.12692809999999999</v>
      </c>
      <c r="AD565" s="3">
        <v>0.1426663</v>
      </c>
      <c r="AE565" s="3">
        <v>0.15868950000000001</v>
      </c>
      <c r="AF565" s="3">
        <v>0.1749491</v>
      </c>
      <c r="AG565" s="3">
        <v>0.1913965</v>
      </c>
      <c r="AH565" s="3">
        <v>0.2079829</v>
      </c>
      <c r="AI565" s="3">
        <v>0.2246599</v>
      </c>
      <c r="AJ565" s="3">
        <v>0.2413787</v>
      </c>
      <c r="AK565" s="3">
        <v>0.25809070000000001</v>
      </c>
      <c r="AL565" s="3">
        <v>0.27474739999999997</v>
      </c>
      <c r="AM565" s="3">
        <v>0.2913</v>
      </c>
      <c r="AN565" s="3">
        <v>0.30769999999999997</v>
      </c>
      <c r="AO565" s="3">
        <v>0.32390590000000002</v>
      </c>
      <c r="AP565" s="3">
        <v>0.33990749999999997</v>
      </c>
      <c r="AQ565" s="3">
        <v>0.3557033</v>
      </c>
      <c r="AR565" s="3">
        <v>0.37129180000000001</v>
      </c>
      <c r="AS565" s="3">
        <v>0.3866715</v>
      </c>
      <c r="AT565" s="3">
        <v>0.401841</v>
      </c>
      <c r="AU565" s="3">
        <v>0.41679880000000002</v>
      </c>
      <c r="AV565" s="3">
        <v>0.43154330000000002</v>
      </c>
      <c r="AW565" s="3">
        <v>0.4460731</v>
      </c>
      <c r="AX565" s="3">
        <v>0.46038669999999998</v>
      </c>
      <c r="AY565" s="3">
        <v>0.47448259999999998</v>
      </c>
      <c r="AZ565" s="3">
        <v>0.4883593</v>
      </c>
      <c r="BA565" s="3">
        <v>0.50201629999999997</v>
      </c>
      <c r="BB565" s="3">
        <v>0.51545759999999996</v>
      </c>
      <c r="BC565" s="3">
        <v>0.52868839999999995</v>
      </c>
      <c r="BD565" s="3">
        <v>0.54171380000000002</v>
      </c>
      <c r="BE565" s="3">
        <v>0.554539</v>
      </c>
      <c r="BF565" s="3">
        <v>0.56716909999999998</v>
      </c>
      <c r="BG565" s="3">
        <v>0.57960940000000005</v>
      </c>
      <c r="BH565" s="3">
        <v>0.59186510000000003</v>
      </c>
      <c r="BI565" s="3">
        <v>0.60394119999999996</v>
      </c>
      <c r="BJ565" s="3">
        <v>0.61584289999999997</v>
      </c>
      <c r="BK565" s="3">
        <v>0.62757549999999995</v>
      </c>
      <c r="BL565" s="3">
        <v>0.63914409999999999</v>
      </c>
      <c r="BM565" s="3" t="e">
        <v>#N/A</v>
      </c>
      <c r="BN565" s="3" t="e">
        <v>#N/A</v>
      </c>
    </row>
    <row r="566" spans="1:66" x14ac:dyDescent="0.35">
      <c r="A566" s="5">
        <f t="shared" si="8"/>
        <v>44246</v>
      </c>
      <c r="B566" t="s">
        <v>643</v>
      </c>
      <c r="C566" s="2">
        <v>0.1</v>
      </c>
      <c r="D566" s="2">
        <v>4.8899999999999999E-2</v>
      </c>
      <c r="E566" s="3">
        <v>4.9682200000000003E-2</v>
      </c>
      <c r="F566" s="3">
        <v>5.0912899999999997E-2</v>
      </c>
      <c r="G566" s="3">
        <v>5.1873299999999997E-2</v>
      </c>
      <c r="H566" s="3">
        <v>5.2169199999999999E-2</v>
      </c>
      <c r="I566" s="3">
        <v>5.11502E-2</v>
      </c>
      <c r="J566" s="3">
        <v>4.8438799999999997E-2</v>
      </c>
      <c r="K566" s="3">
        <v>4.4047799999999998E-2</v>
      </c>
      <c r="L566" s="3">
        <v>3.8308099999999998E-2</v>
      </c>
      <c r="M566" s="3">
        <v>3.1883000000000002E-2</v>
      </c>
      <c r="N566" s="3">
        <v>2.5567699999999999E-2</v>
      </c>
      <c r="O566" s="3">
        <v>2.0194899999999998E-2</v>
      </c>
      <c r="P566" s="3">
        <v>1.6464599999999999E-2</v>
      </c>
      <c r="Q566" s="3">
        <v>1.5119E-2</v>
      </c>
      <c r="R566" s="3">
        <v>1.6299500000000001E-2</v>
      </c>
      <c r="S566" s="3">
        <v>1.99481E-2</v>
      </c>
      <c r="T566" s="3">
        <v>2.6006999999999999E-2</v>
      </c>
      <c r="U566" s="3">
        <v>3.4418200000000003E-2</v>
      </c>
      <c r="V566" s="3">
        <v>4.5123700000000003E-2</v>
      </c>
      <c r="W566" s="3">
        <v>5.8016100000000001E-2</v>
      </c>
      <c r="X566" s="3">
        <v>7.2816599999999995E-2</v>
      </c>
      <c r="Y566" s="3">
        <v>8.9209700000000003E-2</v>
      </c>
      <c r="Z566" s="3">
        <v>0.10687969999999999</v>
      </c>
      <c r="AA566" s="3">
        <v>0.12551109999999999</v>
      </c>
      <c r="AB566" s="3">
        <v>0.1447881</v>
      </c>
      <c r="AC566" s="3">
        <v>0.16443369999999999</v>
      </c>
      <c r="AD566" s="3">
        <v>0.18433939999999999</v>
      </c>
      <c r="AE566" s="3">
        <v>0.20444390000000001</v>
      </c>
      <c r="AF566" s="3">
        <v>0.22468540000000001</v>
      </c>
      <c r="AG566" s="3">
        <v>0.24500240000000001</v>
      </c>
      <c r="AH566" s="3">
        <v>0.2653334</v>
      </c>
      <c r="AI566" s="3">
        <v>0.2856167</v>
      </c>
      <c r="AJ566" s="3">
        <v>0.30579089999999998</v>
      </c>
      <c r="AK566" s="3">
        <v>0.32579429999999998</v>
      </c>
      <c r="AL566" s="3">
        <v>0.34556530000000002</v>
      </c>
      <c r="AM566" s="3">
        <v>0.36504249999999999</v>
      </c>
      <c r="AN566" s="3">
        <v>0.38416410000000001</v>
      </c>
      <c r="AO566" s="3">
        <v>0.40288069999999998</v>
      </c>
      <c r="AP566" s="3">
        <v>0.42119010000000001</v>
      </c>
      <c r="AQ566" s="3">
        <v>0.4391024</v>
      </c>
      <c r="AR566" s="3">
        <v>0.45662750000000002</v>
      </c>
      <c r="AS566" s="3">
        <v>0.47377540000000001</v>
      </c>
      <c r="AT566" s="3">
        <v>0.49055599999999999</v>
      </c>
      <c r="AU566" s="3">
        <v>0.50697919999999996</v>
      </c>
      <c r="AV566" s="3">
        <v>0.5230551</v>
      </c>
      <c r="AW566" s="3">
        <v>0.53879350000000004</v>
      </c>
      <c r="AX566" s="3">
        <v>0.55420440000000004</v>
      </c>
      <c r="AY566" s="3">
        <v>0.56929779999999996</v>
      </c>
      <c r="AZ566" s="3">
        <v>0.58408360000000004</v>
      </c>
      <c r="BA566" s="3">
        <v>0.59857179999999999</v>
      </c>
      <c r="BB566" s="3">
        <v>0.6127726</v>
      </c>
      <c r="BC566" s="3">
        <v>0.62669629999999998</v>
      </c>
      <c r="BD566" s="3">
        <v>0.64035299999999995</v>
      </c>
      <c r="BE566" s="3">
        <v>0.65375300000000003</v>
      </c>
      <c r="BF566" s="3">
        <v>0.66690660000000002</v>
      </c>
      <c r="BG566" s="3">
        <v>0.67982399999999998</v>
      </c>
      <c r="BH566" s="3">
        <v>0.6925154</v>
      </c>
      <c r="BI566" s="3">
        <v>0.70499109999999998</v>
      </c>
      <c r="BJ566" s="3">
        <v>0.71726140000000005</v>
      </c>
      <c r="BK566" s="3">
        <v>0.72933630000000005</v>
      </c>
      <c r="BL566" s="3">
        <v>0.7412263</v>
      </c>
      <c r="BM566" s="3" t="e">
        <v>#N/A</v>
      </c>
      <c r="BN566" s="3" t="e">
        <v>#N/A</v>
      </c>
    </row>
    <row r="567" spans="1:66" x14ac:dyDescent="0.35">
      <c r="A567" s="5">
        <f t="shared" si="8"/>
        <v>44249</v>
      </c>
      <c r="B567" t="s">
        <v>644</v>
      </c>
      <c r="C567" s="2">
        <v>0.1</v>
      </c>
      <c r="D567" s="2">
        <v>4.9000000000000002E-2</v>
      </c>
      <c r="E567" s="3">
        <v>4.9110399999999998E-2</v>
      </c>
      <c r="F567" s="3">
        <v>5.4789299999999999E-2</v>
      </c>
      <c r="G567" s="3">
        <v>5.9746199999999999E-2</v>
      </c>
      <c r="H567" s="3">
        <v>5.9489800000000002E-2</v>
      </c>
      <c r="I567" s="3">
        <v>5.2326400000000002E-2</v>
      </c>
      <c r="J567" s="3">
        <v>4.2526500000000002E-2</v>
      </c>
      <c r="K567" s="3">
        <v>3.4591499999999997E-2</v>
      </c>
      <c r="L567" s="3">
        <v>2.86574E-2</v>
      </c>
      <c r="M567" s="3">
        <v>2.3852100000000001E-2</v>
      </c>
      <c r="N567" s="3">
        <v>1.96975E-2</v>
      </c>
      <c r="O567" s="3">
        <v>1.6279200000000001E-2</v>
      </c>
      <c r="P567" s="3">
        <v>1.4016499999999999E-2</v>
      </c>
      <c r="Q567" s="3">
        <v>1.3706400000000001E-2</v>
      </c>
      <c r="R567" s="3">
        <v>1.55181E-2</v>
      </c>
      <c r="S567" s="3">
        <v>1.9424199999999999E-2</v>
      </c>
      <c r="T567" s="3">
        <v>2.5397400000000001E-2</v>
      </c>
      <c r="U567" s="3">
        <v>3.3410500000000003E-2</v>
      </c>
      <c r="V567" s="3">
        <v>4.3436099999999998E-2</v>
      </c>
      <c r="W567" s="3">
        <v>5.5398500000000003E-2</v>
      </c>
      <c r="X567" s="3">
        <v>6.9054199999999996E-2</v>
      </c>
      <c r="Y567" s="3">
        <v>8.4123799999999999E-2</v>
      </c>
      <c r="Z567" s="3">
        <v>0.100328</v>
      </c>
      <c r="AA567" s="3">
        <v>0.1173872</v>
      </c>
      <c r="AB567" s="3">
        <v>0.135022</v>
      </c>
      <c r="AC567" s="3">
        <v>0.1529915</v>
      </c>
      <c r="AD567" s="3">
        <v>0.1712081</v>
      </c>
      <c r="AE567" s="3">
        <v>0.18962290000000001</v>
      </c>
      <c r="AF567" s="3">
        <v>0.20818680000000001</v>
      </c>
      <c r="AG567" s="3">
        <v>0.22685089999999999</v>
      </c>
      <c r="AH567" s="3">
        <v>0.24556610000000001</v>
      </c>
      <c r="AI567" s="3">
        <v>0.2642835</v>
      </c>
      <c r="AJ567" s="3">
        <v>0.28295399999999998</v>
      </c>
      <c r="AK567" s="3">
        <v>0.30152859999999998</v>
      </c>
      <c r="AL567" s="3">
        <v>0.31995839999999998</v>
      </c>
      <c r="AM567" s="3">
        <v>0.3381942</v>
      </c>
      <c r="AN567" s="3">
        <v>0.35618709999999998</v>
      </c>
      <c r="AO567" s="3">
        <v>0.37389709999999998</v>
      </c>
      <c r="AP567" s="3">
        <v>0.39132060000000002</v>
      </c>
      <c r="AQ567" s="3">
        <v>0.40846280000000001</v>
      </c>
      <c r="AR567" s="3">
        <v>0.42532930000000002</v>
      </c>
      <c r="AS567" s="3">
        <v>0.44192520000000002</v>
      </c>
      <c r="AT567" s="3">
        <v>0.458256</v>
      </c>
      <c r="AU567" s="3">
        <v>0.474327</v>
      </c>
      <c r="AV567" s="3">
        <v>0.49014360000000001</v>
      </c>
      <c r="AW567" s="3">
        <v>0.50571120000000003</v>
      </c>
      <c r="AX567" s="3">
        <v>0.52103509999999997</v>
      </c>
      <c r="AY567" s="3">
        <v>0.53612059999999995</v>
      </c>
      <c r="AZ567" s="3">
        <v>0.55097309999999999</v>
      </c>
      <c r="BA567" s="3">
        <v>0.56559809999999999</v>
      </c>
      <c r="BB567" s="3">
        <v>0.58000070000000004</v>
      </c>
      <c r="BC567" s="3">
        <v>0.59418629999999995</v>
      </c>
      <c r="BD567" s="3">
        <v>0.60816029999999999</v>
      </c>
      <c r="BE567" s="3">
        <v>0.62192789999999998</v>
      </c>
      <c r="BF567" s="3">
        <v>0.63549449999999996</v>
      </c>
      <c r="BG567" s="3">
        <v>0.64886529999999998</v>
      </c>
      <c r="BH567" s="3">
        <v>0.66204569999999996</v>
      </c>
      <c r="BI567" s="3">
        <v>0.67504109999999995</v>
      </c>
      <c r="BJ567" s="3">
        <v>0.68785660000000004</v>
      </c>
      <c r="BK567" s="3">
        <v>0.70049760000000005</v>
      </c>
      <c r="BL567" s="3">
        <v>0.71296950000000003</v>
      </c>
      <c r="BM567" s="3" t="e">
        <v>#N/A</v>
      </c>
      <c r="BN567" s="3" t="e">
        <v>#N/A</v>
      </c>
    </row>
    <row r="568" spans="1:66" x14ac:dyDescent="0.35">
      <c r="A568" s="5">
        <f t="shared" si="8"/>
        <v>44250</v>
      </c>
      <c r="B568" t="s">
        <v>645</v>
      </c>
      <c r="C568" s="2">
        <v>0.1</v>
      </c>
      <c r="D568" s="2">
        <v>4.8599999999999997E-2</v>
      </c>
      <c r="E568" s="3">
        <v>4.1966499999999997E-2</v>
      </c>
      <c r="F568" s="3">
        <v>5.8750299999999998E-2</v>
      </c>
      <c r="G568" s="3">
        <v>6.5007700000000002E-2</v>
      </c>
      <c r="H568" s="3">
        <v>6.2304400000000003E-2</v>
      </c>
      <c r="I568" s="3">
        <v>5.30319E-2</v>
      </c>
      <c r="J568" s="3">
        <v>4.2866300000000003E-2</v>
      </c>
      <c r="K568" s="3">
        <v>3.60725E-2</v>
      </c>
      <c r="L568" s="3">
        <v>3.20352E-2</v>
      </c>
      <c r="M568" s="3">
        <v>2.9362300000000001E-2</v>
      </c>
      <c r="N568" s="3">
        <v>2.72283E-2</v>
      </c>
      <c r="O568" s="3">
        <v>2.5505199999999999E-2</v>
      </c>
      <c r="P568" s="3">
        <v>2.4550200000000001E-2</v>
      </c>
      <c r="Q568" s="3">
        <v>2.5252699999999999E-2</v>
      </c>
      <c r="R568" s="3">
        <v>2.7834000000000001E-2</v>
      </c>
      <c r="S568" s="3">
        <v>3.2302400000000002E-2</v>
      </c>
      <c r="T568" s="3">
        <v>3.8666300000000001E-2</v>
      </c>
      <c r="U568" s="3">
        <v>4.6933799999999998E-2</v>
      </c>
      <c r="V568" s="3">
        <v>5.7113400000000002E-2</v>
      </c>
      <c r="W568" s="3">
        <v>6.9162699999999994E-2</v>
      </c>
      <c r="X568" s="3">
        <v>8.2865400000000006E-2</v>
      </c>
      <c r="Y568" s="3">
        <v>9.7967299999999993E-2</v>
      </c>
      <c r="Z568" s="3">
        <v>0.1142143</v>
      </c>
      <c r="AA568" s="3">
        <v>0.13135230000000001</v>
      </c>
      <c r="AB568" s="3">
        <v>0.14912729999999999</v>
      </c>
      <c r="AC568" s="3">
        <v>0.16731860000000001</v>
      </c>
      <c r="AD568" s="3">
        <v>0.1858389</v>
      </c>
      <c r="AE568" s="3">
        <v>0.20463429999999999</v>
      </c>
      <c r="AF568" s="3">
        <v>0.22365099999999999</v>
      </c>
      <c r="AG568" s="3">
        <v>0.2428351</v>
      </c>
      <c r="AH568" s="3">
        <v>0.2621328</v>
      </c>
      <c r="AI568" s="3">
        <v>0.28149020000000002</v>
      </c>
      <c r="AJ568" s="3">
        <v>0.30085329999999999</v>
      </c>
      <c r="AK568" s="3">
        <v>0.32016850000000002</v>
      </c>
      <c r="AL568" s="3">
        <v>0.33938170000000001</v>
      </c>
      <c r="AM568" s="3">
        <v>0.35843920000000001</v>
      </c>
      <c r="AN568" s="3">
        <v>0.37728699999999998</v>
      </c>
      <c r="AO568" s="3">
        <v>0.39588119999999999</v>
      </c>
      <c r="AP568" s="3">
        <v>0.4142171</v>
      </c>
      <c r="AQ568" s="3">
        <v>0.43229990000000001</v>
      </c>
      <c r="AR568" s="3">
        <v>0.4501348</v>
      </c>
      <c r="AS568" s="3">
        <v>0.467727</v>
      </c>
      <c r="AT568" s="3">
        <v>0.48508180000000001</v>
      </c>
      <c r="AU568" s="3">
        <v>0.50220430000000005</v>
      </c>
      <c r="AV568" s="3">
        <v>0.51909970000000005</v>
      </c>
      <c r="AW568" s="3">
        <v>0.53577330000000001</v>
      </c>
      <c r="AX568" s="3">
        <v>0.55223029999999995</v>
      </c>
      <c r="AY568" s="3">
        <v>0.56847579999999998</v>
      </c>
      <c r="AZ568" s="3">
        <v>0.58451509999999995</v>
      </c>
      <c r="BA568" s="3">
        <v>0.60035300000000003</v>
      </c>
      <c r="BB568" s="3">
        <v>0.6159926</v>
      </c>
      <c r="BC568" s="3">
        <v>0.63143640000000001</v>
      </c>
      <c r="BD568" s="3">
        <v>0.64668689999999995</v>
      </c>
      <c r="BE568" s="3">
        <v>0.66174670000000002</v>
      </c>
      <c r="BF568" s="3">
        <v>0.67661830000000001</v>
      </c>
      <c r="BG568" s="3">
        <v>0.69130429999999998</v>
      </c>
      <c r="BH568" s="3">
        <v>0.70580710000000002</v>
      </c>
      <c r="BI568" s="3">
        <v>0.72012929999999997</v>
      </c>
      <c r="BJ568" s="3">
        <v>0.73427339999999997</v>
      </c>
      <c r="BK568" s="3">
        <v>0.74824199999999996</v>
      </c>
      <c r="BL568" s="3">
        <v>0.76203759999999998</v>
      </c>
      <c r="BM568" s="3" t="e">
        <v>#N/A</v>
      </c>
      <c r="BN568" s="3" t="e">
        <v>#N/A</v>
      </c>
    </row>
    <row r="569" spans="1:66" x14ac:dyDescent="0.35">
      <c r="A569" s="5">
        <f t="shared" si="8"/>
        <v>44251</v>
      </c>
      <c r="B569" t="s">
        <v>646</v>
      </c>
      <c r="C569" s="2">
        <v>0.1</v>
      </c>
      <c r="D569" s="2">
        <v>4.9000000000000002E-2</v>
      </c>
      <c r="E569" s="3">
        <v>5.0363600000000001E-2</v>
      </c>
      <c r="F569" s="3">
        <v>5.1418800000000001E-2</v>
      </c>
      <c r="G569" s="3">
        <v>5.2024599999999997E-2</v>
      </c>
      <c r="H569" s="3">
        <v>5.16531E-2</v>
      </c>
      <c r="I569" s="3">
        <v>5.0142899999999997E-2</v>
      </c>
      <c r="J569" s="3">
        <v>4.7485600000000003E-2</v>
      </c>
      <c r="K569" s="3">
        <v>4.3847700000000003E-2</v>
      </c>
      <c r="L569" s="3">
        <v>3.96631E-2</v>
      </c>
      <c r="M569" s="3">
        <v>3.55597E-2</v>
      </c>
      <c r="N569" s="3">
        <v>3.2295999999999998E-2</v>
      </c>
      <c r="O569" s="3">
        <v>3.0696600000000001E-2</v>
      </c>
      <c r="P569" s="3">
        <v>3.13639E-2</v>
      </c>
      <c r="Q569" s="3">
        <v>3.5083799999999998E-2</v>
      </c>
      <c r="R569" s="3">
        <v>4.1611500000000003E-2</v>
      </c>
      <c r="S569" s="3">
        <v>5.04111E-2</v>
      </c>
      <c r="T569" s="3">
        <v>6.0946599999999997E-2</v>
      </c>
      <c r="U569" s="3">
        <v>7.2682099999999999E-2</v>
      </c>
      <c r="V569" s="3">
        <v>8.5081799999999999E-2</v>
      </c>
      <c r="W569" s="3">
        <v>9.7722400000000001E-2</v>
      </c>
      <c r="X569" s="3">
        <v>0.1105695</v>
      </c>
      <c r="Y569" s="3">
        <v>0.1236724</v>
      </c>
      <c r="Z569" s="3">
        <v>0.13708049999999999</v>
      </c>
      <c r="AA569" s="3">
        <v>0.15084310000000001</v>
      </c>
      <c r="AB569" s="3">
        <v>0.16500970000000001</v>
      </c>
      <c r="AC569" s="3">
        <v>0.17961630000000001</v>
      </c>
      <c r="AD569" s="3">
        <v>0.19464600000000001</v>
      </c>
      <c r="AE569" s="3">
        <v>0.21006849999999999</v>
      </c>
      <c r="AF569" s="3">
        <v>0.2258539</v>
      </c>
      <c r="AG569" s="3">
        <v>0.24197170000000001</v>
      </c>
      <c r="AH569" s="3">
        <v>0.25839200000000001</v>
      </c>
      <c r="AI569" s="3">
        <v>0.27508440000000001</v>
      </c>
      <c r="AJ569" s="3">
        <v>0.29201880000000002</v>
      </c>
      <c r="AK569" s="3">
        <v>0.30916500000000002</v>
      </c>
      <c r="AL569" s="3">
        <v>0.32649280000000003</v>
      </c>
      <c r="AM569" s="3">
        <v>0.3439721</v>
      </c>
      <c r="AN569" s="3">
        <v>0.36157270000000002</v>
      </c>
      <c r="AO569" s="3">
        <v>0.37926500000000002</v>
      </c>
      <c r="AP569" s="3">
        <v>0.39702320000000002</v>
      </c>
      <c r="AQ569" s="3">
        <v>0.41482239999999998</v>
      </c>
      <c r="AR569" s="3">
        <v>0.43263780000000002</v>
      </c>
      <c r="AS569" s="3">
        <v>0.45044430000000002</v>
      </c>
      <c r="AT569" s="3">
        <v>0.4682173</v>
      </c>
      <c r="AU569" s="3">
        <v>0.48593180000000002</v>
      </c>
      <c r="AV569" s="3">
        <v>0.50356299999999998</v>
      </c>
      <c r="AW569" s="3">
        <v>0.52108589999999999</v>
      </c>
      <c r="AX569" s="3">
        <v>0.53847579999999995</v>
      </c>
      <c r="AY569" s="3">
        <v>0.55570770000000003</v>
      </c>
      <c r="AZ569" s="3">
        <v>0.57275679999999995</v>
      </c>
      <c r="BA569" s="3">
        <v>0.58960239999999997</v>
      </c>
      <c r="BB569" s="3">
        <v>0.60624230000000001</v>
      </c>
      <c r="BC569" s="3">
        <v>0.62267939999999999</v>
      </c>
      <c r="BD569" s="3">
        <v>0.63891659999999995</v>
      </c>
      <c r="BE569" s="3">
        <v>0.65495669999999995</v>
      </c>
      <c r="BF569" s="3">
        <v>0.67080280000000003</v>
      </c>
      <c r="BG569" s="3">
        <v>0.68645769999999995</v>
      </c>
      <c r="BH569" s="3">
        <v>0.7019242</v>
      </c>
      <c r="BI569" s="3">
        <v>0.71720530000000005</v>
      </c>
      <c r="BJ569" s="3">
        <v>0.73230390000000001</v>
      </c>
      <c r="BK569" s="3">
        <v>0.74722279999999996</v>
      </c>
      <c r="BL569" s="3">
        <v>0.761965</v>
      </c>
      <c r="BM569" s="3" t="e">
        <v>#N/A</v>
      </c>
      <c r="BN569" s="3" t="e">
        <v>#N/A</v>
      </c>
    </row>
    <row r="570" spans="1:66" x14ac:dyDescent="0.35">
      <c r="A570" s="5">
        <f t="shared" si="8"/>
        <v>44252</v>
      </c>
      <c r="B570" t="s">
        <v>647</v>
      </c>
      <c r="C570" s="2">
        <v>0.1</v>
      </c>
      <c r="D570" s="2">
        <v>4.9099999999999998E-2</v>
      </c>
      <c r="E570" s="3">
        <v>5.2436200000000002E-2</v>
      </c>
      <c r="F570" s="3">
        <v>5.2634899999999998E-2</v>
      </c>
      <c r="G570" s="3">
        <v>5.2287699999999999E-2</v>
      </c>
      <c r="H570" s="3">
        <v>5.1916200000000003E-2</v>
      </c>
      <c r="I570" s="3">
        <v>5.1992299999999998E-2</v>
      </c>
      <c r="J570" s="3">
        <v>5.2682800000000002E-2</v>
      </c>
      <c r="K570" s="3">
        <v>5.3926300000000003E-2</v>
      </c>
      <c r="L570" s="3">
        <v>5.5603100000000003E-2</v>
      </c>
      <c r="M570" s="3">
        <v>5.7639900000000001E-2</v>
      </c>
      <c r="N570" s="3">
        <v>6.0250199999999997E-2</v>
      </c>
      <c r="O570" s="3">
        <v>6.3789899999999997E-2</v>
      </c>
      <c r="P570" s="3">
        <v>6.8719799999999998E-2</v>
      </c>
      <c r="Q570" s="3">
        <v>7.5626399999999996E-2</v>
      </c>
      <c r="R570" s="3">
        <v>8.4552600000000006E-2</v>
      </c>
      <c r="S570" s="3">
        <v>9.5389100000000004E-2</v>
      </c>
      <c r="T570" s="3">
        <v>0.1080266</v>
      </c>
      <c r="U570" s="3">
        <v>0.1223559</v>
      </c>
      <c r="V570" s="3">
        <v>0.13826769999999999</v>
      </c>
      <c r="W570" s="3">
        <v>0.15561710000000001</v>
      </c>
      <c r="X570" s="3">
        <v>0.1741366</v>
      </c>
      <c r="Y570" s="3">
        <v>0.19353219999999999</v>
      </c>
      <c r="Z570" s="3">
        <v>0.21351000000000001</v>
      </c>
      <c r="AA570" s="3">
        <v>0.23377600000000001</v>
      </c>
      <c r="AB570" s="3">
        <v>0.25403619999999999</v>
      </c>
      <c r="AC570" s="3">
        <v>0.2740358</v>
      </c>
      <c r="AD570" s="3">
        <v>0.29371190000000003</v>
      </c>
      <c r="AE570" s="3">
        <v>0.31305939999999999</v>
      </c>
      <c r="AF570" s="3">
        <v>0.33207360000000002</v>
      </c>
      <c r="AG570" s="3">
        <v>0.35074949999999999</v>
      </c>
      <c r="AH570" s="3">
        <v>0.36908239999999998</v>
      </c>
      <c r="AI570" s="3">
        <v>0.3870673</v>
      </c>
      <c r="AJ570" s="3">
        <v>0.40469949999999999</v>
      </c>
      <c r="AK570" s="3">
        <v>0.42197400000000002</v>
      </c>
      <c r="AL570" s="3">
        <v>0.438886</v>
      </c>
      <c r="AM570" s="3">
        <v>0.45543070000000002</v>
      </c>
      <c r="AN570" s="3">
        <v>0.4716031</v>
      </c>
      <c r="AO570" s="3">
        <v>0.48740309999999998</v>
      </c>
      <c r="AP570" s="3">
        <v>0.50285080000000004</v>
      </c>
      <c r="AQ570" s="3">
        <v>0.51797199999999999</v>
      </c>
      <c r="AR570" s="3">
        <v>0.53279240000000005</v>
      </c>
      <c r="AS570" s="3">
        <v>0.54733790000000004</v>
      </c>
      <c r="AT570" s="3">
        <v>0.56163410000000002</v>
      </c>
      <c r="AU570" s="3">
        <v>0.57570690000000002</v>
      </c>
      <c r="AV570" s="3">
        <v>0.5895821</v>
      </c>
      <c r="AW570" s="3">
        <v>0.60328539999999997</v>
      </c>
      <c r="AX570" s="3">
        <v>0.61684249999999996</v>
      </c>
      <c r="AY570" s="3">
        <v>0.63027940000000005</v>
      </c>
      <c r="AZ570" s="3">
        <v>0.64362169999999996</v>
      </c>
      <c r="BA570" s="3">
        <v>0.65689129999999996</v>
      </c>
      <c r="BB570" s="3">
        <v>0.6700931</v>
      </c>
      <c r="BC570" s="3">
        <v>0.68322729999999998</v>
      </c>
      <c r="BD570" s="3">
        <v>0.69629379999999996</v>
      </c>
      <c r="BE570" s="3">
        <v>0.7092929</v>
      </c>
      <c r="BF570" s="3">
        <v>0.72222470000000005</v>
      </c>
      <c r="BG570" s="3">
        <v>0.73508929999999995</v>
      </c>
      <c r="BH570" s="3">
        <v>0.74788679999999996</v>
      </c>
      <c r="BI570" s="3">
        <v>0.76061730000000005</v>
      </c>
      <c r="BJ570" s="3">
        <v>0.773281</v>
      </c>
      <c r="BK570" s="3">
        <v>0.78587790000000002</v>
      </c>
      <c r="BL570" s="3">
        <v>0.79840829999999996</v>
      </c>
      <c r="BM570" s="3" t="e">
        <v>#N/A</v>
      </c>
      <c r="BN570" s="3" t="e">
        <v>#N/A</v>
      </c>
    </row>
    <row r="571" spans="1:66" x14ac:dyDescent="0.35">
      <c r="A571" s="5">
        <f t="shared" si="8"/>
        <v>44253</v>
      </c>
      <c r="B571" t="s">
        <v>648</v>
      </c>
      <c r="C571" s="2">
        <v>0.1</v>
      </c>
      <c r="D571" s="2">
        <v>5.1200000000000002E-2</v>
      </c>
      <c r="E571" s="3">
        <v>4.9927199999999998E-2</v>
      </c>
      <c r="F571" s="3">
        <v>4.9848900000000002E-2</v>
      </c>
      <c r="G571" s="3">
        <v>5.05824E-2</v>
      </c>
      <c r="H571" s="3">
        <v>5.1940500000000001E-2</v>
      </c>
      <c r="I571" s="3">
        <v>5.3322399999999999E-2</v>
      </c>
      <c r="J571" s="3">
        <v>5.4143400000000001E-2</v>
      </c>
      <c r="K571" s="3">
        <v>5.4422199999999997E-2</v>
      </c>
      <c r="L571" s="3">
        <v>5.4624699999999998E-2</v>
      </c>
      <c r="M571" s="3">
        <v>5.5623100000000002E-2</v>
      </c>
      <c r="N571" s="3">
        <v>5.8601899999999998E-2</v>
      </c>
      <c r="O571" s="3">
        <v>6.4472199999999993E-2</v>
      </c>
      <c r="P571" s="3">
        <v>7.3744900000000002E-2</v>
      </c>
      <c r="Q571" s="3">
        <v>8.5576899999999997E-2</v>
      </c>
      <c r="R571" s="3">
        <v>9.95056E-2</v>
      </c>
      <c r="S571" s="3">
        <v>0.1152941</v>
      </c>
      <c r="T571" s="3">
        <v>0.13270560000000001</v>
      </c>
      <c r="U571" s="3">
        <v>0.15150330000000001</v>
      </c>
      <c r="V571" s="3">
        <v>0.1714503</v>
      </c>
      <c r="W571" s="3">
        <v>0.19231709999999999</v>
      </c>
      <c r="X571" s="3">
        <v>0.21389849999999999</v>
      </c>
      <c r="Y571" s="3">
        <v>0.23599510000000001</v>
      </c>
      <c r="Z571" s="3">
        <v>0.258407</v>
      </c>
      <c r="AA571" s="3">
        <v>0.28093469999999998</v>
      </c>
      <c r="AB571" s="3">
        <v>0.3033786</v>
      </c>
      <c r="AC571" s="3">
        <v>0.32556580000000002</v>
      </c>
      <c r="AD571" s="3">
        <v>0.34744239999999998</v>
      </c>
      <c r="AE571" s="3">
        <v>0.36898730000000002</v>
      </c>
      <c r="AF571" s="3">
        <v>0.39017940000000001</v>
      </c>
      <c r="AG571" s="3">
        <v>0.41099740000000001</v>
      </c>
      <c r="AH571" s="3">
        <v>0.43142019999999998</v>
      </c>
      <c r="AI571" s="3">
        <v>0.45142660000000001</v>
      </c>
      <c r="AJ571" s="3">
        <v>0.47099560000000001</v>
      </c>
      <c r="AK571" s="3">
        <v>0.49010579999999998</v>
      </c>
      <c r="AL571" s="3">
        <v>0.50873619999999997</v>
      </c>
      <c r="AM571" s="3">
        <v>0.52686569999999999</v>
      </c>
      <c r="AN571" s="3">
        <v>0.54447290000000004</v>
      </c>
      <c r="AO571" s="3">
        <v>0.5615443</v>
      </c>
      <c r="AP571" s="3">
        <v>0.5780961</v>
      </c>
      <c r="AQ571" s="3">
        <v>0.59415200000000001</v>
      </c>
      <c r="AR571" s="3">
        <v>0.60973560000000004</v>
      </c>
      <c r="AS571" s="3">
        <v>0.6248707</v>
      </c>
      <c r="AT571" s="3">
        <v>0.63958090000000001</v>
      </c>
      <c r="AU571" s="3">
        <v>0.65388990000000002</v>
      </c>
      <c r="AV571" s="3">
        <v>0.66782140000000001</v>
      </c>
      <c r="AW571" s="3">
        <v>0.68139919999999998</v>
      </c>
      <c r="AX571" s="3">
        <v>0.69464680000000001</v>
      </c>
      <c r="AY571" s="3">
        <v>0.70758810000000005</v>
      </c>
      <c r="AZ571" s="3">
        <v>0.72024659999999996</v>
      </c>
      <c r="BA571" s="3">
        <v>0.73264410000000002</v>
      </c>
      <c r="BB571" s="3">
        <v>0.74479340000000005</v>
      </c>
      <c r="BC571" s="3">
        <v>0.75670499999999996</v>
      </c>
      <c r="BD571" s="3">
        <v>0.76838930000000005</v>
      </c>
      <c r="BE571" s="3">
        <v>0.77985660000000001</v>
      </c>
      <c r="BF571" s="3">
        <v>0.79111750000000003</v>
      </c>
      <c r="BG571" s="3">
        <v>0.80218230000000001</v>
      </c>
      <c r="BH571" s="3">
        <v>0.81306149999999999</v>
      </c>
      <c r="BI571" s="3">
        <v>0.82376550000000004</v>
      </c>
      <c r="BJ571" s="3">
        <v>0.83430479999999996</v>
      </c>
      <c r="BK571" s="3">
        <v>0.84468960000000004</v>
      </c>
      <c r="BL571" s="3">
        <v>0.85493059999999998</v>
      </c>
      <c r="BM571" s="3" t="e">
        <v>#N/A</v>
      </c>
      <c r="BN571" s="3" t="e">
        <v>#N/A</v>
      </c>
    </row>
    <row r="572" spans="1:66" x14ac:dyDescent="0.35">
      <c r="A572" s="5">
        <f t="shared" si="8"/>
        <v>44256</v>
      </c>
      <c r="B572" t="s">
        <v>649</v>
      </c>
      <c r="C572" s="2">
        <v>0.1</v>
      </c>
      <c r="D572" s="2">
        <v>4.8800000000000003E-2</v>
      </c>
      <c r="E572" s="3">
        <v>5.2079899999999998E-2</v>
      </c>
      <c r="F572" s="3">
        <v>5.2046700000000001E-2</v>
      </c>
      <c r="G572" s="3">
        <v>5.20358E-2</v>
      </c>
      <c r="H572" s="3">
        <v>5.1934500000000001E-2</v>
      </c>
      <c r="I572" s="3">
        <v>5.1789000000000002E-2</v>
      </c>
      <c r="J572" s="3">
        <v>5.1523300000000001E-2</v>
      </c>
      <c r="K572" s="3">
        <v>5.1062999999999997E-2</v>
      </c>
      <c r="L572" s="3">
        <v>5.0589700000000001E-2</v>
      </c>
      <c r="M572" s="3">
        <v>5.0506099999999998E-2</v>
      </c>
      <c r="N572" s="3">
        <v>5.1255700000000001E-2</v>
      </c>
      <c r="O572" s="3">
        <v>5.3347499999999999E-2</v>
      </c>
      <c r="P572" s="3">
        <v>5.7237999999999997E-2</v>
      </c>
      <c r="Q572" s="3">
        <v>6.3535099999999997E-2</v>
      </c>
      <c r="R572" s="3">
        <v>7.2239999999999999E-2</v>
      </c>
      <c r="S572" s="3">
        <v>8.3170400000000005E-2</v>
      </c>
      <c r="T572" s="3">
        <v>9.6144199999999999E-2</v>
      </c>
      <c r="U572" s="3">
        <v>0.1109792</v>
      </c>
      <c r="V572" s="3">
        <v>0.12749340000000001</v>
      </c>
      <c r="W572" s="3">
        <v>0.1454927</v>
      </c>
      <c r="X572" s="3">
        <v>0.16472829999999999</v>
      </c>
      <c r="Y572" s="3">
        <v>0.18493560000000001</v>
      </c>
      <c r="Z572" s="3">
        <v>0.2058498</v>
      </c>
      <c r="AA572" s="3">
        <v>0.22720650000000001</v>
      </c>
      <c r="AB572" s="3">
        <v>0.24874070000000001</v>
      </c>
      <c r="AC572" s="3">
        <v>0.27022590000000002</v>
      </c>
      <c r="AD572" s="3">
        <v>0.29158669999999998</v>
      </c>
      <c r="AE572" s="3">
        <v>0.31278600000000001</v>
      </c>
      <c r="AF572" s="3">
        <v>0.33378639999999998</v>
      </c>
      <c r="AG572" s="3">
        <v>0.35455059999999999</v>
      </c>
      <c r="AH572" s="3">
        <v>0.37504140000000002</v>
      </c>
      <c r="AI572" s="3">
        <v>0.3952215</v>
      </c>
      <c r="AJ572" s="3">
        <v>0.41505370000000003</v>
      </c>
      <c r="AK572" s="3">
        <v>0.43450050000000001</v>
      </c>
      <c r="AL572" s="3">
        <v>0.45352480000000001</v>
      </c>
      <c r="AM572" s="3">
        <v>0.47208919999999999</v>
      </c>
      <c r="AN572" s="3">
        <v>0.49015649999999999</v>
      </c>
      <c r="AO572" s="3">
        <v>0.50769819999999999</v>
      </c>
      <c r="AP572" s="3">
        <v>0.52472430000000003</v>
      </c>
      <c r="AQ572" s="3">
        <v>0.54125559999999995</v>
      </c>
      <c r="AR572" s="3">
        <v>0.5573129</v>
      </c>
      <c r="AS572" s="3">
        <v>0.57291689999999995</v>
      </c>
      <c r="AT572" s="3">
        <v>0.58808830000000001</v>
      </c>
      <c r="AU572" s="3">
        <v>0.60284800000000005</v>
      </c>
      <c r="AV572" s="3">
        <v>0.61721669999999995</v>
      </c>
      <c r="AW572" s="3">
        <v>0.63121519999999998</v>
      </c>
      <c r="AX572" s="3">
        <v>0.6448642</v>
      </c>
      <c r="AY572" s="3">
        <v>0.6581844</v>
      </c>
      <c r="AZ572" s="3">
        <v>0.67119669999999998</v>
      </c>
      <c r="BA572" s="3">
        <v>0.68392070000000005</v>
      </c>
      <c r="BB572" s="3">
        <v>0.69637070000000001</v>
      </c>
      <c r="BC572" s="3">
        <v>0.7085591</v>
      </c>
      <c r="BD572" s="3">
        <v>0.72049830000000004</v>
      </c>
      <c r="BE572" s="3">
        <v>0.73220059999999998</v>
      </c>
      <c r="BF572" s="3">
        <v>0.74367850000000002</v>
      </c>
      <c r="BG572" s="3">
        <v>0.75494430000000001</v>
      </c>
      <c r="BH572" s="3">
        <v>0.76601039999999998</v>
      </c>
      <c r="BI572" s="3">
        <v>0.7768893</v>
      </c>
      <c r="BJ572" s="3">
        <v>0.78759319999999999</v>
      </c>
      <c r="BK572" s="3">
        <v>0.79813460000000003</v>
      </c>
      <c r="BL572" s="3">
        <v>0.80852590000000002</v>
      </c>
      <c r="BM572" s="3" t="e">
        <v>#N/A</v>
      </c>
      <c r="BN572" s="3" t="e">
        <v>#N/A</v>
      </c>
    </row>
    <row r="573" spans="1:66" x14ac:dyDescent="0.35">
      <c r="A573" s="5">
        <f t="shared" si="8"/>
        <v>44257</v>
      </c>
      <c r="B573" t="s">
        <v>650</v>
      </c>
      <c r="C573" s="2">
        <v>0.1</v>
      </c>
      <c r="D573" s="2">
        <v>4.9099999999999998E-2</v>
      </c>
      <c r="E573" s="3">
        <v>4.1147099999999999E-2</v>
      </c>
      <c r="F573" s="3">
        <v>5.4712400000000001E-2</v>
      </c>
      <c r="G573" s="3">
        <v>5.8019099999999997E-2</v>
      </c>
      <c r="H573" s="3">
        <v>5.5919499999999997E-2</v>
      </c>
      <c r="I573" s="3">
        <v>5.2880000000000003E-2</v>
      </c>
      <c r="J573" s="3">
        <v>5.0388500000000003E-2</v>
      </c>
      <c r="K573" s="3">
        <v>4.8571099999999999E-2</v>
      </c>
      <c r="L573" s="3">
        <v>4.7237099999999997E-2</v>
      </c>
      <c r="M573" s="3">
        <v>4.6474399999999999E-2</v>
      </c>
      <c r="N573" s="3">
        <v>4.6638699999999998E-2</v>
      </c>
      <c r="O573" s="3">
        <v>4.8198499999999998E-2</v>
      </c>
      <c r="P573" s="3">
        <v>5.1562799999999999E-2</v>
      </c>
      <c r="Q573" s="3">
        <v>5.7274899999999997E-2</v>
      </c>
      <c r="R573" s="3">
        <v>6.5290899999999999E-2</v>
      </c>
      <c r="S573" s="3">
        <v>7.5390899999999997E-2</v>
      </c>
      <c r="T573" s="3">
        <v>8.7355100000000005E-2</v>
      </c>
      <c r="U573" s="3">
        <v>0.1009636</v>
      </c>
      <c r="V573" s="3">
        <v>0.1159964</v>
      </c>
      <c r="W573" s="3">
        <v>0.13223470000000001</v>
      </c>
      <c r="X573" s="3">
        <v>0.14946300000000001</v>
      </c>
      <c r="Y573" s="3">
        <v>0.16746759999999999</v>
      </c>
      <c r="Z573" s="3">
        <v>0.18603410000000001</v>
      </c>
      <c r="AA573" s="3">
        <v>0.20494870000000001</v>
      </c>
      <c r="AB573" s="3">
        <v>0.22399720000000001</v>
      </c>
      <c r="AC573" s="3">
        <v>0.24299699999999999</v>
      </c>
      <c r="AD573" s="3">
        <v>0.2618915</v>
      </c>
      <c r="AE573" s="3">
        <v>0.2806554</v>
      </c>
      <c r="AF573" s="3">
        <v>0.29926340000000001</v>
      </c>
      <c r="AG573" s="3">
        <v>0.31769029999999998</v>
      </c>
      <c r="AH573" s="3">
        <v>0.33591080000000001</v>
      </c>
      <c r="AI573" s="3">
        <v>0.35389969999999998</v>
      </c>
      <c r="AJ573" s="3">
        <v>0.37163170000000001</v>
      </c>
      <c r="AK573" s="3">
        <v>0.38908160000000003</v>
      </c>
      <c r="AL573" s="3">
        <v>0.40622419999999998</v>
      </c>
      <c r="AM573" s="3">
        <v>0.42303420000000003</v>
      </c>
      <c r="AN573" s="3">
        <v>0.43948619999999999</v>
      </c>
      <c r="AO573" s="3">
        <v>0.45555980000000001</v>
      </c>
      <c r="AP573" s="3">
        <v>0.47125840000000002</v>
      </c>
      <c r="AQ573" s="3">
        <v>0.48659400000000003</v>
      </c>
      <c r="AR573" s="3">
        <v>0.50157850000000004</v>
      </c>
      <c r="AS573" s="3">
        <v>0.51622380000000001</v>
      </c>
      <c r="AT573" s="3">
        <v>0.53054159999999995</v>
      </c>
      <c r="AU573" s="3">
        <v>0.54454400000000003</v>
      </c>
      <c r="AV573" s="3">
        <v>0.55824280000000004</v>
      </c>
      <c r="AW573" s="3">
        <v>0.57164979999999999</v>
      </c>
      <c r="AX573" s="3">
        <v>0.58477699999999999</v>
      </c>
      <c r="AY573" s="3">
        <v>0.59763630000000001</v>
      </c>
      <c r="AZ573" s="3">
        <v>0.61023939999999999</v>
      </c>
      <c r="BA573" s="3">
        <v>0.62259770000000003</v>
      </c>
      <c r="BB573" s="3">
        <v>0.63471960000000005</v>
      </c>
      <c r="BC573" s="3">
        <v>0.64661259999999998</v>
      </c>
      <c r="BD573" s="3">
        <v>0.65828410000000004</v>
      </c>
      <c r="BE573" s="3">
        <v>0.66974160000000005</v>
      </c>
      <c r="BF573" s="3">
        <v>0.68099259999999995</v>
      </c>
      <c r="BG573" s="3">
        <v>0.69204460000000001</v>
      </c>
      <c r="BH573" s="3">
        <v>0.70290509999999995</v>
      </c>
      <c r="BI573" s="3">
        <v>0.71358160000000004</v>
      </c>
      <c r="BJ573" s="3">
        <v>0.72408150000000004</v>
      </c>
      <c r="BK573" s="3">
        <v>0.73441230000000002</v>
      </c>
      <c r="BL573" s="3">
        <v>0.74458159999999995</v>
      </c>
      <c r="BM573" s="3" t="e">
        <v>#N/A</v>
      </c>
      <c r="BN573" s="3" t="e">
        <v>#N/A</v>
      </c>
    </row>
    <row r="574" spans="1:66" x14ac:dyDescent="0.35">
      <c r="A574" s="5">
        <f t="shared" si="8"/>
        <v>44258</v>
      </c>
      <c r="B574" t="s">
        <v>651</v>
      </c>
      <c r="C574" s="2">
        <v>0.1</v>
      </c>
      <c r="D574" s="2">
        <v>4.9000000000000002E-2</v>
      </c>
      <c r="E574" s="3">
        <v>4.6536599999999997E-2</v>
      </c>
      <c r="F574" s="3">
        <v>4.2000900000000001E-2</v>
      </c>
      <c r="G574" s="3">
        <v>4.6828000000000002E-2</v>
      </c>
      <c r="H574" s="3">
        <v>5.4925000000000002E-2</v>
      </c>
      <c r="I574" s="3">
        <v>5.8689900000000003E-2</v>
      </c>
      <c r="J574" s="3">
        <v>5.8243200000000002E-2</v>
      </c>
      <c r="K574" s="3">
        <v>5.5836200000000002E-2</v>
      </c>
      <c r="L574" s="3">
        <v>5.3431199999999998E-2</v>
      </c>
      <c r="M574" s="3">
        <v>5.2188699999999998E-2</v>
      </c>
      <c r="N574" s="3">
        <v>5.2666600000000001E-2</v>
      </c>
      <c r="O574" s="3">
        <v>5.52046E-2</v>
      </c>
      <c r="P574" s="3">
        <v>6.01159E-2</v>
      </c>
      <c r="Q574" s="3">
        <v>6.7724099999999995E-2</v>
      </c>
      <c r="R574" s="3">
        <v>7.7912099999999998E-2</v>
      </c>
      <c r="S574" s="3">
        <v>9.0441499999999994E-2</v>
      </c>
      <c r="T574" s="3">
        <v>0.1050739</v>
      </c>
      <c r="U574" s="3">
        <v>0.121571</v>
      </c>
      <c r="V574" s="3">
        <v>0.13969419999999999</v>
      </c>
      <c r="W574" s="3">
        <v>0.1591997</v>
      </c>
      <c r="X574" s="3">
        <v>0.17981240000000001</v>
      </c>
      <c r="Y574" s="3">
        <v>0.20124610000000001</v>
      </c>
      <c r="Z574" s="3">
        <v>0.22321479999999999</v>
      </c>
      <c r="AA574" s="3">
        <v>0.2454324</v>
      </c>
      <c r="AB574" s="3">
        <v>0.26761279999999998</v>
      </c>
      <c r="AC574" s="3">
        <v>0.28951569999999999</v>
      </c>
      <c r="AD574" s="3">
        <v>0.3110851</v>
      </c>
      <c r="AE574" s="3">
        <v>0.33231070000000001</v>
      </c>
      <c r="AF574" s="3">
        <v>0.3531822</v>
      </c>
      <c r="AG574" s="3">
        <v>0.3736893</v>
      </c>
      <c r="AH574" s="3">
        <v>0.3938218</v>
      </c>
      <c r="AI574" s="3">
        <v>0.41356949999999998</v>
      </c>
      <c r="AJ574" s="3">
        <v>0.43292199999999997</v>
      </c>
      <c r="AK574" s="3">
        <v>0.45186920000000003</v>
      </c>
      <c r="AL574" s="3">
        <v>0.47040080000000001</v>
      </c>
      <c r="AM574" s="3">
        <v>0.48850650000000001</v>
      </c>
      <c r="AN574" s="3">
        <v>0.50617610000000002</v>
      </c>
      <c r="AO574" s="3">
        <v>0.52340350000000002</v>
      </c>
      <c r="AP574" s="3">
        <v>0.54020299999999999</v>
      </c>
      <c r="AQ574" s="3">
        <v>0.55659499999999995</v>
      </c>
      <c r="AR574" s="3">
        <v>0.57260009999999995</v>
      </c>
      <c r="AS574" s="3">
        <v>0.58823859999999994</v>
      </c>
      <c r="AT574" s="3">
        <v>0.60353100000000004</v>
      </c>
      <c r="AU574" s="3">
        <v>0.61849790000000004</v>
      </c>
      <c r="AV574" s="3">
        <v>0.63315960000000004</v>
      </c>
      <c r="AW574" s="3">
        <v>0.64753669999999997</v>
      </c>
      <c r="AX574" s="3">
        <v>0.66164959999999995</v>
      </c>
      <c r="AY574" s="3">
        <v>0.67551870000000003</v>
      </c>
      <c r="AZ574" s="3">
        <v>0.68916460000000002</v>
      </c>
      <c r="BA574" s="3">
        <v>0.70260529999999999</v>
      </c>
      <c r="BB574" s="3">
        <v>0.71584859999999995</v>
      </c>
      <c r="BC574" s="3">
        <v>0.72889930000000003</v>
      </c>
      <c r="BD574" s="3">
        <v>0.74176220000000004</v>
      </c>
      <c r="BE574" s="3">
        <v>0.75444219999999995</v>
      </c>
      <c r="BF574" s="3">
        <v>0.76694410000000002</v>
      </c>
      <c r="BG574" s="3">
        <v>0.77927279999999999</v>
      </c>
      <c r="BH574" s="3">
        <v>0.7914331</v>
      </c>
      <c r="BI574" s="3">
        <v>0.80342979999999997</v>
      </c>
      <c r="BJ574" s="3">
        <v>0.81526770000000004</v>
      </c>
      <c r="BK574" s="3">
        <v>0.82695180000000001</v>
      </c>
      <c r="BL574" s="3">
        <v>0.83848679999999998</v>
      </c>
      <c r="BM574" s="3" t="e">
        <v>#N/A</v>
      </c>
      <c r="BN574" s="3" t="e">
        <v>#N/A</v>
      </c>
    </row>
    <row r="575" spans="1:66" x14ac:dyDescent="0.35">
      <c r="A575" s="5">
        <f t="shared" si="8"/>
        <v>44259</v>
      </c>
      <c r="B575" t="s">
        <v>652</v>
      </c>
      <c r="C575" s="2">
        <v>0.1</v>
      </c>
      <c r="D575" s="2">
        <v>4.9399999999999999E-2</v>
      </c>
      <c r="E575" s="3">
        <v>5.1380299999999997E-2</v>
      </c>
      <c r="F575" s="3">
        <v>5.1643700000000001E-2</v>
      </c>
      <c r="G575" s="3">
        <v>5.2151500000000003E-2</v>
      </c>
      <c r="H575" s="3">
        <v>5.2655899999999999E-2</v>
      </c>
      <c r="I575" s="3">
        <v>5.2782500000000003E-2</v>
      </c>
      <c r="J575" s="3">
        <v>5.24716E-2</v>
      </c>
      <c r="K575" s="3">
        <v>5.2020700000000003E-2</v>
      </c>
      <c r="L575" s="3">
        <v>5.1851399999999999E-2</v>
      </c>
      <c r="M575" s="3">
        <v>5.2338200000000001E-2</v>
      </c>
      <c r="N575" s="3">
        <v>5.3848E-2</v>
      </c>
      <c r="O575" s="3">
        <v>5.6755600000000003E-2</v>
      </c>
      <c r="P575" s="3">
        <v>6.1518000000000003E-2</v>
      </c>
      <c r="Q575" s="3">
        <v>6.8815100000000004E-2</v>
      </c>
      <c r="R575" s="3">
        <v>7.8654000000000002E-2</v>
      </c>
      <c r="S575" s="3">
        <v>9.0840099999999993E-2</v>
      </c>
      <c r="T575" s="3">
        <v>0.10517849999999999</v>
      </c>
      <c r="U575" s="3">
        <v>0.1214746</v>
      </c>
      <c r="V575" s="3">
        <v>0.13953360000000001</v>
      </c>
      <c r="W575" s="3">
        <v>0.1591427</v>
      </c>
      <c r="X575" s="3">
        <v>0.1799955</v>
      </c>
      <c r="Y575" s="3">
        <v>0.20175589999999999</v>
      </c>
      <c r="Z575" s="3">
        <v>0.22408800000000001</v>
      </c>
      <c r="AA575" s="3">
        <v>0.2466555</v>
      </c>
      <c r="AB575" s="3">
        <v>0.26912239999999998</v>
      </c>
      <c r="AC575" s="3">
        <v>0.2911958</v>
      </c>
      <c r="AD575" s="3">
        <v>0.31279240000000003</v>
      </c>
      <c r="AE575" s="3">
        <v>0.3338931</v>
      </c>
      <c r="AF575" s="3">
        <v>0.35447879999999998</v>
      </c>
      <c r="AG575" s="3">
        <v>0.37453009999999998</v>
      </c>
      <c r="AH575" s="3">
        <v>0.39402799999999999</v>
      </c>
      <c r="AI575" s="3">
        <v>0.41295320000000002</v>
      </c>
      <c r="AJ575" s="3">
        <v>0.43128650000000002</v>
      </c>
      <c r="AK575" s="3">
        <v>0.44900879999999999</v>
      </c>
      <c r="AL575" s="3">
        <v>0.46610079999999998</v>
      </c>
      <c r="AM575" s="3">
        <v>0.48254340000000001</v>
      </c>
      <c r="AN575" s="3">
        <v>0.49831730000000002</v>
      </c>
      <c r="AO575" s="3">
        <v>0.51341389999999998</v>
      </c>
      <c r="AP575" s="3">
        <v>0.52787059999999997</v>
      </c>
      <c r="AQ575" s="3">
        <v>0.54173760000000004</v>
      </c>
      <c r="AR575" s="3">
        <v>0.55506520000000004</v>
      </c>
      <c r="AS575" s="3">
        <v>0.56790350000000001</v>
      </c>
      <c r="AT575" s="3">
        <v>0.58030269999999995</v>
      </c>
      <c r="AU575" s="3">
        <v>0.59231319999999998</v>
      </c>
      <c r="AV575" s="3">
        <v>0.60398510000000005</v>
      </c>
      <c r="AW575" s="3">
        <v>0.61536860000000004</v>
      </c>
      <c r="AX575" s="3">
        <v>0.62651389999999996</v>
      </c>
      <c r="AY575" s="3">
        <v>0.63747129999999996</v>
      </c>
      <c r="AZ575" s="3">
        <v>0.64829099999999995</v>
      </c>
      <c r="BA575" s="3">
        <v>0.65901710000000002</v>
      </c>
      <c r="BB575" s="3">
        <v>0.66966669999999995</v>
      </c>
      <c r="BC575" s="3">
        <v>0.68024980000000002</v>
      </c>
      <c r="BD575" s="3">
        <v>0.6907759</v>
      </c>
      <c r="BE575" s="3">
        <v>0.70125499999999996</v>
      </c>
      <c r="BF575" s="3">
        <v>0.71169680000000002</v>
      </c>
      <c r="BG575" s="3">
        <v>0.72211110000000001</v>
      </c>
      <c r="BH575" s="3">
        <v>0.73250760000000004</v>
      </c>
      <c r="BI575" s="3">
        <v>0.74289609999999995</v>
      </c>
      <c r="BJ575" s="3">
        <v>0.75328640000000002</v>
      </c>
      <c r="BK575" s="3">
        <v>0.76368829999999999</v>
      </c>
      <c r="BL575" s="3">
        <v>0.77411160000000001</v>
      </c>
      <c r="BM575" s="3" t="e">
        <v>#N/A</v>
      </c>
      <c r="BN575" s="3" t="e">
        <v>#N/A</v>
      </c>
    </row>
    <row r="576" spans="1:66" x14ac:dyDescent="0.35">
      <c r="A576" s="5">
        <f t="shared" si="8"/>
        <v>44260</v>
      </c>
      <c r="B576" t="s">
        <v>653</v>
      </c>
      <c r="C576" s="2">
        <v>0.1</v>
      </c>
      <c r="D576" s="2">
        <v>4.8800000000000003E-2</v>
      </c>
      <c r="E576" s="3">
        <v>4.53543E-2</v>
      </c>
      <c r="F576" s="3">
        <v>4.8354500000000002E-2</v>
      </c>
      <c r="G576" s="3">
        <v>5.0551899999999997E-2</v>
      </c>
      <c r="H576" s="3">
        <v>5.15884E-2</v>
      </c>
      <c r="I576" s="3">
        <v>5.0742500000000003E-2</v>
      </c>
      <c r="J576" s="3">
        <v>4.90629E-2</v>
      </c>
      <c r="K576" s="3">
        <v>4.7543299999999997E-2</v>
      </c>
      <c r="L576" s="3">
        <v>4.6248600000000001E-2</v>
      </c>
      <c r="M576" s="3">
        <v>4.5407599999999999E-2</v>
      </c>
      <c r="N576" s="3">
        <v>4.5976599999999999E-2</v>
      </c>
      <c r="O576" s="3">
        <v>4.8918499999999997E-2</v>
      </c>
      <c r="P576" s="3">
        <v>5.4772000000000001E-2</v>
      </c>
      <c r="Q576" s="3">
        <v>6.3576300000000002E-2</v>
      </c>
      <c r="R576" s="3">
        <v>7.5089299999999998E-2</v>
      </c>
      <c r="S576" s="3">
        <v>8.9026599999999997E-2</v>
      </c>
      <c r="T576" s="3">
        <v>0.10510360000000001</v>
      </c>
      <c r="U576" s="3">
        <v>0.12303600000000001</v>
      </c>
      <c r="V576" s="3">
        <v>0.1425391</v>
      </c>
      <c r="W576" s="3">
        <v>0.16333249999999999</v>
      </c>
      <c r="X576" s="3">
        <v>0.18515409999999999</v>
      </c>
      <c r="Y576" s="3">
        <v>0.2077473</v>
      </c>
      <c r="Z576" s="3">
        <v>0.23085520000000001</v>
      </c>
      <c r="AA576" s="3">
        <v>0.25422119999999998</v>
      </c>
      <c r="AB576" s="3">
        <v>0.27758860000000002</v>
      </c>
      <c r="AC576" s="3">
        <v>0.30073480000000002</v>
      </c>
      <c r="AD576" s="3">
        <v>0.3235884</v>
      </c>
      <c r="AE576" s="3">
        <v>0.34611920000000002</v>
      </c>
      <c r="AF576" s="3">
        <v>0.3682975</v>
      </c>
      <c r="AG576" s="3">
        <v>0.39009319999999997</v>
      </c>
      <c r="AH576" s="3">
        <v>0.41147650000000002</v>
      </c>
      <c r="AI576" s="3">
        <v>0.43241750000000001</v>
      </c>
      <c r="AJ576" s="3">
        <v>0.45288610000000001</v>
      </c>
      <c r="AK576" s="3">
        <v>0.47285240000000001</v>
      </c>
      <c r="AL576" s="3">
        <v>0.49228670000000002</v>
      </c>
      <c r="AM576" s="3">
        <v>0.51115880000000002</v>
      </c>
      <c r="AN576" s="3">
        <v>0.52943890000000005</v>
      </c>
      <c r="AO576" s="3">
        <v>0.54710559999999997</v>
      </c>
      <c r="AP576" s="3">
        <v>0.56417600000000001</v>
      </c>
      <c r="AQ576" s="3">
        <v>0.58067740000000001</v>
      </c>
      <c r="AR576" s="3">
        <v>0.59663719999999998</v>
      </c>
      <c r="AS576" s="3">
        <v>0.61208280000000004</v>
      </c>
      <c r="AT576" s="3">
        <v>0.62704170000000004</v>
      </c>
      <c r="AU576" s="3">
        <v>0.64154129999999998</v>
      </c>
      <c r="AV576" s="3">
        <v>0.655609</v>
      </c>
      <c r="AW576" s="3">
        <v>0.66927230000000004</v>
      </c>
      <c r="AX576" s="3">
        <v>0.68255860000000002</v>
      </c>
      <c r="AY576" s="3">
        <v>0.69549519999999998</v>
      </c>
      <c r="AZ576" s="3">
        <v>0.70810960000000001</v>
      </c>
      <c r="BA576" s="3">
        <v>0.72042700000000004</v>
      </c>
      <c r="BB576" s="3">
        <v>0.73246250000000002</v>
      </c>
      <c r="BC576" s="3">
        <v>0.74422849999999996</v>
      </c>
      <c r="BD576" s="3">
        <v>0.75573729999999995</v>
      </c>
      <c r="BE576" s="3">
        <v>0.7670013</v>
      </c>
      <c r="BF576" s="3">
        <v>0.77803290000000003</v>
      </c>
      <c r="BG576" s="3">
        <v>0.7888444</v>
      </c>
      <c r="BH576" s="3">
        <v>0.79944809999999999</v>
      </c>
      <c r="BI576" s="3">
        <v>0.80985660000000004</v>
      </c>
      <c r="BJ576" s="3">
        <v>0.82008210000000004</v>
      </c>
      <c r="BK576" s="3">
        <v>0.83013689999999996</v>
      </c>
      <c r="BL576" s="3">
        <v>0.84003360000000005</v>
      </c>
      <c r="BM576" s="3" t="e">
        <v>#N/A</v>
      </c>
      <c r="BN576" s="3" t="e">
        <v>#N/A</v>
      </c>
    </row>
    <row r="577" spans="1:66" x14ac:dyDescent="0.35">
      <c r="A577" s="5">
        <f t="shared" si="8"/>
        <v>44263</v>
      </c>
      <c r="B577" t="s">
        <v>654</v>
      </c>
      <c r="C577" s="2">
        <v>0.1</v>
      </c>
      <c r="D577" s="2">
        <v>4.9099999999999998E-2</v>
      </c>
      <c r="E577" s="3">
        <v>4.1440900000000003E-2</v>
      </c>
      <c r="F577" s="3">
        <v>4.9299700000000002E-2</v>
      </c>
      <c r="G577" s="3">
        <v>4.6959099999999997E-2</v>
      </c>
      <c r="H577" s="3">
        <v>4.1775E-2</v>
      </c>
      <c r="I577" s="3">
        <v>3.7903800000000001E-2</v>
      </c>
      <c r="J577" s="3">
        <v>3.6850800000000003E-2</v>
      </c>
      <c r="K577" s="3">
        <v>3.9264500000000001E-2</v>
      </c>
      <c r="L577" s="3">
        <v>4.39224E-2</v>
      </c>
      <c r="M577" s="3">
        <v>4.96937E-2</v>
      </c>
      <c r="N577" s="3">
        <v>5.5773799999999998E-2</v>
      </c>
      <c r="O577" s="3">
        <v>6.1673499999999999E-2</v>
      </c>
      <c r="P577" s="3">
        <v>6.7642499999999994E-2</v>
      </c>
      <c r="Q577" s="3">
        <v>7.5052800000000003E-2</v>
      </c>
      <c r="R577" s="3">
        <v>8.4285700000000005E-2</v>
      </c>
      <c r="S577" s="3">
        <v>9.5369700000000002E-2</v>
      </c>
      <c r="T577" s="3">
        <v>0.10833329999999999</v>
      </c>
      <c r="U577" s="3">
        <v>0.1232052</v>
      </c>
      <c r="V577" s="3">
        <v>0.14001379999999999</v>
      </c>
      <c r="W577" s="3">
        <v>0.15873490000000001</v>
      </c>
      <c r="X577" s="3">
        <v>0.1790988</v>
      </c>
      <c r="Y577" s="3">
        <v>0.2007649</v>
      </c>
      <c r="Z577" s="3">
        <v>0.22339229999999999</v>
      </c>
      <c r="AA577" s="3">
        <v>0.24664050000000001</v>
      </c>
      <c r="AB577" s="3">
        <v>0.27016859999999998</v>
      </c>
      <c r="AC577" s="3">
        <v>0.293684</v>
      </c>
      <c r="AD577" s="3">
        <v>0.31708629999999999</v>
      </c>
      <c r="AE577" s="3">
        <v>0.3403234</v>
      </c>
      <c r="AF577" s="3">
        <v>0.36334300000000003</v>
      </c>
      <c r="AG577" s="3">
        <v>0.38609270000000001</v>
      </c>
      <c r="AH577" s="3">
        <v>0.4085202</v>
      </c>
      <c r="AI577" s="3">
        <v>0.4305735</v>
      </c>
      <c r="AJ577" s="3">
        <v>0.45220009999999999</v>
      </c>
      <c r="AK577" s="3">
        <v>0.47334779999999999</v>
      </c>
      <c r="AL577" s="3">
        <v>0.49396430000000002</v>
      </c>
      <c r="AM577" s="3">
        <v>0.51399740000000005</v>
      </c>
      <c r="AN577" s="3">
        <v>0.53339490000000001</v>
      </c>
      <c r="AO577" s="3">
        <v>0.5521161</v>
      </c>
      <c r="AP577" s="3">
        <v>0.57017320000000005</v>
      </c>
      <c r="AQ577" s="3">
        <v>0.58759249999999996</v>
      </c>
      <c r="AR577" s="3">
        <v>0.60440020000000005</v>
      </c>
      <c r="AS577" s="3">
        <v>0.62062280000000003</v>
      </c>
      <c r="AT577" s="3">
        <v>0.63628660000000004</v>
      </c>
      <c r="AU577" s="3">
        <v>0.65141789999999999</v>
      </c>
      <c r="AV577" s="3">
        <v>0.66604319999999995</v>
      </c>
      <c r="AW577" s="3">
        <v>0.68018860000000003</v>
      </c>
      <c r="AX577" s="3">
        <v>0.69388070000000002</v>
      </c>
      <c r="AY577" s="3">
        <v>0.70714569999999999</v>
      </c>
      <c r="AZ577" s="3">
        <v>0.72001000000000004</v>
      </c>
      <c r="BA577" s="3">
        <v>0.73249869999999995</v>
      </c>
      <c r="BB577" s="3">
        <v>0.74463069999999998</v>
      </c>
      <c r="BC577" s="3">
        <v>0.7564227</v>
      </c>
      <c r="BD577" s="3">
        <v>0.7678914</v>
      </c>
      <c r="BE577" s="3">
        <v>0.77905340000000001</v>
      </c>
      <c r="BF577" s="3">
        <v>0.7899254</v>
      </c>
      <c r="BG577" s="3">
        <v>0.80052409999999996</v>
      </c>
      <c r="BH577" s="3">
        <v>0.81086630000000004</v>
      </c>
      <c r="BI577" s="3">
        <v>0.82096849999999999</v>
      </c>
      <c r="BJ577" s="3">
        <v>0.83084749999999996</v>
      </c>
      <c r="BK577" s="3">
        <v>0.84052000000000004</v>
      </c>
      <c r="BL577" s="3">
        <v>0.8500027</v>
      </c>
      <c r="BM577" s="3" t="e">
        <v>#N/A</v>
      </c>
      <c r="BN577" s="3" t="e">
        <v>#N/A</v>
      </c>
    </row>
    <row r="578" spans="1:66" x14ac:dyDescent="0.35">
      <c r="A578" s="5">
        <f t="shared" si="8"/>
        <v>44264</v>
      </c>
      <c r="B578" t="s">
        <v>655</v>
      </c>
      <c r="C578" s="2">
        <v>0.1</v>
      </c>
      <c r="D578" s="2">
        <v>4.9000000000000002E-2</v>
      </c>
      <c r="E578" s="3">
        <v>5.0705399999999998E-2</v>
      </c>
      <c r="F578" s="3">
        <v>5.1010899999999998E-2</v>
      </c>
      <c r="G578" s="3">
        <v>5.0524899999999998E-2</v>
      </c>
      <c r="H578" s="3">
        <v>4.88875E-2</v>
      </c>
      <c r="I578" s="3">
        <v>4.6699999999999998E-2</v>
      </c>
      <c r="J578" s="3">
        <v>4.5222400000000003E-2</v>
      </c>
      <c r="K578" s="3">
        <v>4.5587999999999997E-2</v>
      </c>
      <c r="L578" s="3">
        <v>4.7926200000000002E-2</v>
      </c>
      <c r="M578" s="3">
        <v>5.1030600000000002E-2</v>
      </c>
      <c r="N578" s="3">
        <v>5.3969900000000001E-2</v>
      </c>
      <c r="O578" s="3">
        <v>5.7024100000000001E-2</v>
      </c>
      <c r="P578" s="3">
        <v>6.0951600000000002E-2</v>
      </c>
      <c r="Q578" s="3">
        <v>6.6902699999999996E-2</v>
      </c>
      <c r="R578" s="3">
        <v>7.5071100000000002E-2</v>
      </c>
      <c r="S578" s="3">
        <v>8.5358299999999998E-2</v>
      </c>
      <c r="T578" s="3">
        <v>9.7665799999999997E-2</v>
      </c>
      <c r="U578" s="3">
        <v>0.1118951</v>
      </c>
      <c r="V578" s="3">
        <v>0.1279477</v>
      </c>
      <c r="W578" s="3">
        <v>0.14569770000000001</v>
      </c>
      <c r="X578" s="3">
        <v>0.16489229999999999</v>
      </c>
      <c r="Y578" s="3">
        <v>0.18524160000000001</v>
      </c>
      <c r="Z578" s="3">
        <v>0.20645620000000001</v>
      </c>
      <c r="AA578" s="3">
        <v>0.22824630000000001</v>
      </c>
      <c r="AB578" s="3">
        <v>0.25032209999999999</v>
      </c>
      <c r="AC578" s="3">
        <v>0.2724337</v>
      </c>
      <c r="AD578" s="3">
        <v>0.29448930000000001</v>
      </c>
      <c r="AE578" s="3">
        <v>0.31643670000000002</v>
      </c>
      <c r="AF578" s="3">
        <v>0.33822360000000001</v>
      </c>
      <c r="AG578" s="3">
        <v>0.35979800000000001</v>
      </c>
      <c r="AH578" s="3">
        <v>0.38110759999999999</v>
      </c>
      <c r="AI578" s="3">
        <v>0.40210020000000002</v>
      </c>
      <c r="AJ578" s="3">
        <v>0.42272379999999998</v>
      </c>
      <c r="AK578" s="3">
        <v>0.44292599999999999</v>
      </c>
      <c r="AL578" s="3">
        <v>0.46265479999999998</v>
      </c>
      <c r="AM578" s="3">
        <v>0.4818578</v>
      </c>
      <c r="AN578" s="3">
        <v>0.50048309999999996</v>
      </c>
      <c r="AO578" s="3">
        <v>0.51848740000000004</v>
      </c>
      <c r="AP578" s="3">
        <v>0.53587720000000005</v>
      </c>
      <c r="AQ578" s="3">
        <v>0.55267500000000003</v>
      </c>
      <c r="AR578" s="3">
        <v>0.56890370000000001</v>
      </c>
      <c r="AS578" s="3">
        <v>0.58458619999999994</v>
      </c>
      <c r="AT578" s="3">
        <v>0.59974499999999997</v>
      </c>
      <c r="AU578" s="3">
        <v>0.61440309999999998</v>
      </c>
      <c r="AV578" s="3">
        <v>0.62858320000000001</v>
      </c>
      <c r="AW578" s="3">
        <v>0.64230810000000005</v>
      </c>
      <c r="AX578" s="3">
        <v>0.65560039999999997</v>
      </c>
      <c r="AY578" s="3">
        <v>0.66848320000000006</v>
      </c>
      <c r="AZ578" s="3">
        <v>0.680979</v>
      </c>
      <c r="BA578" s="3">
        <v>0.69310970000000005</v>
      </c>
      <c r="BB578" s="3">
        <v>0.70489259999999998</v>
      </c>
      <c r="BC578" s="3">
        <v>0.71634359999999997</v>
      </c>
      <c r="BD578" s="3">
        <v>0.72747859999999998</v>
      </c>
      <c r="BE578" s="3">
        <v>0.73831329999999995</v>
      </c>
      <c r="BF578" s="3">
        <v>0.74886379999999997</v>
      </c>
      <c r="BG578" s="3">
        <v>0.75914579999999998</v>
      </c>
      <c r="BH578" s="3">
        <v>0.76917530000000001</v>
      </c>
      <c r="BI578" s="3">
        <v>0.77896810000000005</v>
      </c>
      <c r="BJ578" s="3">
        <v>0.78854009999999997</v>
      </c>
      <c r="BK578" s="3">
        <v>0.79790720000000004</v>
      </c>
      <c r="BL578" s="3">
        <v>0.80708530000000001</v>
      </c>
      <c r="BM578" s="3" t="e">
        <v>#N/A</v>
      </c>
      <c r="BN578" s="3" t="e">
        <v>#N/A</v>
      </c>
    </row>
    <row r="579" spans="1:66" x14ac:dyDescent="0.35">
      <c r="A579" s="5">
        <f t="shared" si="8"/>
        <v>44265</v>
      </c>
      <c r="B579" t="s">
        <v>656</v>
      </c>
      <c r="C579" s="2">
        <v>0.1</v>
      </c>
      <c r="D579" s="2">
        <v>4.8500000000000001E-2</v>
      </c>
      <c r="E579" s="3">
        <v>5.07704E-2</v>
      </c>
      <c r="F579" s="3">
        <v>5.0568399999999999E-2</v>
      </c>
      <c r="G579" s="3">
        <v>4.9795699999999998E-2</v>
      </c>
      <c r="H579" s="3">
        <v>4.9218900000000003E-2</v>
      </c>
      <c r="I579" s="3">
        <v>4.9188599999999999E-2</v>
      </c>
      <c r="J579" s="3">
        <v>4.92241E-2</v>
      </c>
      <c r="K579" s="3">
        <v>4.8981400000000001E-2</v>
      </c>
      <c r="L579" s="3">
        <v>4.85897E-2</v>
      </c>
      <c r="M579" s="3">
        <v>4.8535500000000002E-2</v>
      </c>
      <c r="N579" s="3">
        <v>4.9346399999999999E-2</v>
      </c>
      <c r="O579" s="3">
        <v>5.1484299999999997E-2</v>
      </c>
      <c r="P579" s="3">
        <v>5.53564E-2</v>
      </c>
      <c r="Q579" s="3">
        <v>6.1434099999999998E-2</v>
      </c>
      <c r="R579" s="3">
        <v>6.9720199999999996E-2</v>
      </c>
      <c r="S579" s="3">
        <v>8.0082299999999995E-2</v>
      </c>
      <c r="T579" s="3">
        <v>9.2388200000000004E-2</v>
      </c>
      <c r="U579" s="3">
        <v>0.10650560000000001</v>
      </c>
      <c r="V579" s="3">
        <v>0.1223023</v>
      </c>
      <c r="W579" s="3">
        <v>0.13963030000000001</v>
      </c>
      <c r="X579" s="3">
        <v>0.158252</v>
      </c>
      <c r="Y579" s="3">
        <v>0.1778988</v>
      </c>
      <c r="Z579" s="3">
        <v>0.1983018</v>
      </c>
      <c r="AA579" s="3">
        <v>0.2191921</v>
      </c>
      <c r="AB579" s="3">
        <v>0.24030080000000001</v>
      </c>
      <c r="AC579" s="3">
        <v>0.26139679999999998</v>
      </c>
      <c r="AD579" s="3">
        <v>0.28239930000000002</v>
      </c>
      <c r="AE579" s="3">
        <v>0.30326530000000002</v>
      </c>
      <c r="AF579" s="3">
        <v>0.32395180000000001</v>
      </c>
      <c r="AG579" s="3">
        <v>0.34441579999999999</v>
      </c>
      <c r="AH579" s="3">
        <v>0.36461399999999999</v>
      </c>
      <c r="AI579" s="3">
        <v>0.3845036</v>
      </c>
      <c r="AJ579" s="3">
        <v>0.4040415</v>
      </c>
      <c r="AK579" s="3">
        <v>0.42318460000000002</v>
      </c>
      <c r="AL579" s="3">
        <v>0.4418899</v>
      </c>
      <c r="AM579" s="3">
        <v>0.46011429999999998</v>
      </c>
      <c r="AN579" s="3">
        <v>0.47781479999999998</v>
      </c>
      <c r="AO579" s="3">
        <v>0.49495719999999999</v>
      </c>
      <c r="AP579" s="3">
        <v>0.51155079999999997</v>
      </c>
      <c r="AQ579" s="3">
        <v>0.52761800000000003</v>
      </c>
      <c r="AR579" s="3">
        <v>0.54318120000000003</v>
      </c>
      <c r="AS579" s="3">
        <v>0.55826279999999995</v>
      </c>
      <c r="AT579" s="3">
        <v>0.57288530000000004</v>
      </c>
      <c r="AU579" s="3">
        <v>0.58707100000000001</v>
      </c>
      <c r="AV579" s="3">
        <v>0.6008426</v>
      </c>
      <c r="AW579" s="3">
        <v>0.61422220000000005</v>
      </c>
      <c r="AX579" s="3">
        <v>0.62723240000000002</v>
      </c>
      <c r="AY579" s="3">
        <v>0.63989569999999996</v>
      </c>
      <c r="AZ579" s="3">
        <v>0.65223439999999999</v>
      </c>
      <c r="BA579" s="3">
        <v>0.66426940000000001</v>
      </c>
      <c r="BB579" s="3">
        <v>0.67601509999999998</v>
      </c>
      <c r="BC579" s="3">
        <v>0.68748399999999998</v>
      </c>
      <c r="BD579" s="3">
        <v>0.69868859999999999</v>
      </c>
      <c r="BE579" s="3">
        <v>0.70964130000000003</v>
      </c>
      <c r="BF579" s="3">
        <v>0.72035479999999996</v>
      </c>
      <c r="BG579" s="3">
        <v>0.73084139999999997</v>
      </c>
      <c r="BH579" s="3">
        <v>0.74111360000000004</v>
      </c>
      <c r="BI579" s="3">
        <v>0.75118410000000002</v>
      </c>
      <c r="BJ579" s="3">
        <v>0.76106510000000005</v>
      </c>
      <c r="BK579" s="3">
        <v>0.77076940000000005</v>
      </c>
      <c r="BL579" s="3">
        <v>0.78030929999999998</v>
      </c>
      <c r="BM579" s="3" t="e">
        <v>#N/A</v>
      </c>
      <c r="BN579" s="3" t="e">
        <v>#N/A</v>
      </c>
    </row>
    <row r="580" spans="1:66" x14ac:dyDescent="0.35">
      <c r="A580" s="5">
        <f t="shared" si="8"/>
        <v>44266</v>
      </c>
      <c r="B580" t="s">
        <v>657</v>
      </c>
      <c r="C580" s="2">
        <v>0.1</v>
      </c>
      <c r="D580" s="2">
        <v>4.8500000000000001E-2</v>
      </c>
      <c r="E580" s="3">
        <v>4.0162499999999997E-2</v>
      </c>
      <c r="F580" s="3">
        <v>4.8926900000000002E-2</v>
      </c>
      <c r="G580" s="3">
        <v>5.0065499999999999E-2</v>
      </c>
      <c r="H580" s="3">
        <v>5.1010699999999999E-2</v>
      </c>
      <c r="I580" s="3">
        <v>5.2754299999999997E-2</v>
      </c>
      <c r="J580" s="3">
        <v>5.3344599999999999E-2</v>
      </c>
      <c r="K580" s="3">
        <v>5.2675600000000003E-2</v>
      </c>
      <c r="L580" s="3">
        <v>5.1374799999999998E-2</v>
      </c>
      <c r="M580" s="3">
        <v>5.02183E-2</v>
      </c>
      <c r="N580" s="3">
        <v>4.9890400000000001E-2</v>
      </c>
      <c r="O580" s="3">
        <v>5.0914599999999997E-2</v>
      </c>
      <c r="P580" s="3">
        <v>5.3756600000000002E-2</v>
      </c>
      <c r="Q580" s="3">
        <v>5.8964700000000002E-2</v>
      </c>
      <c r="R580" s="3">
        <v>6.6549399999999995E-2</v>
      </c>
      <c r="S580" s="3">
        <v>7.6366500000000004E-2</v>
      </c>
      <c r="T580" s="3">
        <v>8.8272100000000006E-2</v>
      </c>
      <c r="U580" s="3">
        <v>0.1021219</v>
      </c>
      <c r="V580" s="3">
        <v>0.11777170000000001</v>
      </c>
      <c r="W580" s="3">
        <v>0.1350606</v>
      </c>
      <c r="X580" s="3">
        <v>0.15373980000000001</v>
      </c>
      <c r="Y580" s="3">
        <v>0.1735331</v>
      </c>
      <c r="Z580" s="3">
        <v>0.19416410000000001</v>
      </c>
      <c r="AA580" s="3">
        <v>0.2153564</v>
      </c>
      <c r="AB580" s="3">
        <v>0.2368335</v>
      </c>
      <c r="AC580" s="3">
        <v>0.25835029999999998</v>
      </c>
      <c r="AD580" s="3">
        <v>0.2798136</v>
      </c>
      <c r="AE580" s="3">
        <v>0.30117640000000001</v>
      </c>
      <c r="AF580" s="3">
        <v>0.3223917</v>
      </c>
      <c r="AG580" s="3">
        <v>0.34341260000000001</v>
      </c>
      <c r="AH580" s="3">
        <v>0.36419220000000002</v>
      </c>
      <c r="AI580" s="3">
        <v>0.38468340000000001</v>
      </c>
      <c r="AJ580" s="3">
        <v>0.40483940000000002</v>
      </c>
      <c r="AK580" s="3">
        <v>0.42461320000000002</v>
      </c>
      <c r="AL580" s="3">
        <v>0.44395780000000001</v>
      </c>
      <c r="AM580" s="3">
        <v>0.46282640000000003</v>
      </c>
      <c r="AN580" s="3">
        <v>0.48117179999999998</v>
      </c>
      <c r="AO580" s="3">
        <v>0.4989577</v>
      </c>
      <c r="AP580" s="3">
        <v>0.51619320000000002</v>
      </c>
      <c r="AQ580" s="3">
        <v>0.5329005</v>
      </c>
      <c r="AR580" s="3">
        <v>0.54910139999999996</v>
      </c>
      <c r="AS580" s="3">
        <v>0.56481800000000004</v>
      </c>
      <c r="AT580" s="3">
        <v>0.58007229999999999</v>
      </c>
      <c r="AU580" s="3">
        <v>0.59488620000000003</v>
      </c>
      <c r="AV580" s="3">
        <v>0.60928179999999998</v>
      </c>
      <c r="AW580" s="3">
        <v>0.62328110000000003</v>
      </c>
      <c r="AX580" s="3">
        <v>0.63690590000000002</v>
      </c>
      <c r="AY580" s="3">
        <v>0.65017840000000005</v>
      </c>
      <c r="AZ580" s="3">
        <v>0.6631205</v>
      </c>
      <c r="BA580" s="3">
        <v>0.67575289999999999</v>
      </c>
      <c r="BB580" s="3">
        <v>0.68809050000000005</v>
      </c>
      <c r="BC580" s="3">
        <v>0.70014670000000001</v>
      </c>
      <c r="BD580" s="3">
        <v>0.71193479999999998</v>
      </c>
      <c r="BE580" s="3">
        <v>0.72346820000000001</v>
      </c>
      <c r="BF580" s="3">
        <v>0.73476019999999997</v>
      </c>
      <c r="BG580" s="3">
        <v>0.7458243</v>
      </c>
      <c r="BH580" s="3">
        <v>0.7566737</v>
      </c>
      <c r="BI580" s="3">
        <v>0.7673217</v>
      </c>
      <c r="BJ580" s="3">
        <v>0.77778179999999997</v>
      </c>
      <c r="BK580" s="3">
        <v>0.78806730000000003</v>
      </c>
      <c r="BL580" s="3">
        <v>0.79819150000000005</v>
      </c>
      <c r="BM580" s="3" t="e">
        <v>#N/A</v>
      </c>
      <c r="BN580" s="3" t="e">
        <v>#N/A</v>
      </c>
    </row>
    <row r="581" spans="1:66" x14ac:dyDescent="0.35">
      <c r="A581" s="5">
        <f t="shared" si="8"/>
        <v>44267</v>
      </c>
      <c r="B581" t="s">
        <v>658</v>
      </c>
      <c r="C581" s="2">
        <v>0.1</v>
      </c>
      <c r="D581" s="2">
        <v>4.9000000000000002E-2</v>
      </c>
      <c r="E581" s="3">
        <v>5.21555E-2</v>
      </c>
      <c r="F581" s="3">
        <v>6.3162700000000002E-2</v>
      </c>
      <c r="G581" s="3">
        <v>7.4302900000000005E-2</v>
      </c>
      <c r="H581" s="3">
        <v>7.33983E-2</v>
      </c>
      <c r="I581" s="3">
        <v>6.0151999999999997E-2</v>
      </c>
      <c r="J581" s="3">
        <v>4.3992900000000001E-2</v>
      </c>
      <c r="K581" s="3">
        <v>3.3195299999999997E-2</v>
      </c>
      <c r="L581" s="3">
        <v>3.0354800000000001E-2</v>
      </c>
      <c r="M581" s="3">
        <v>3.3111799999999997E-2</v>
      </c>
      <c r="N581" s="3">
        <v>3.8916800000000001E-2</v>
      </c>
      <c r="O581" s="3">
        <v>4.6350299999999997E-2</v>
      </c>
      <c r="P581" s="3">
        <v>5.49621E-2</v>
      </c>
      <c r="Q581" s="3">
        <v>6.5035399999999993E-2</v>
      </c>
      <c r="R581" s="3">
        <v>7.6691400000000007E-2</v>
      </c>
      <c r="S581" s="3">
        <v>8.9928599999999997E-2</v>
      </c>
      <c r="T581" s="3">
        <v>0.10474550000000001</v>
      </c>
      <c r="U581" s="3">
        <v>0.1211406</v>
      </c>
      <c r="V581" s="3">
        <v>0.1391125</v>
      </c>
      <c r="W581" s="3">
        <v>0.15862319999999999</v>
      </c>
      <c r="X581" s="3">
        <v>0.17946670000000001</v>
      </c>
      <c r="Y581" s="3">
        <v>0.20138780000000001</v>
      </c>
      <c r="Z581" s="3">
        <v>0.22413140000000001</v>
      </c>
      <c r="AA581" s="3">
        <v>0.24744250000000001</v>
      </c>
      <c r="AB581" s="3">
        <v>0.27106609999999998</v>
      </c>
      <c r="AC581" s="3">
        <v>0.29477710000000001</v>
      </c>
      <c r="AD581" s="3">
        <v>0.31848399999999999</v>
      </c>
      <c r="AE581" s="3">
        <v>0.34213159999999998</v>
      </c>
      <c r="AF581" s="3">
        <v>0.36566510000000002</v>
      </c>
      <c r="AG581" s="3">
        <v>0.38902920000000002</v>
      </c>
      <c r="AH581" s="3">
        <v>0.41216920000000001</v>
      </c>
      <c r="AI581" s="3">
        <v>0.43502990000000002</v>
      </c>
      <c r="AJ581" s="3">
        <v>0.45755639999999997</v>
      </c>
      <c r="AK581" s="3">
        <v>0.4796936</v>
      </c>
      <c r="AL581" s="3">
        <v>0.50138660000000002</v>
      </c>
      <c r="AM581" s="3">
        <v>0.5225803</v>
      </c>
      <c r="AN581" s="3">
        <v>0.54321969999999997</v>
      </c>
      <c r="AO581" s="3">
        <v>0.56326100000000001</v>
      </c>
      <c r="AP581" s="3">
        <v>0.58270920000000004</v>
      </c>
      <c r="AQ581" s="3">
        <v>0.60158310000000004</v>
      </c>
      <c r="AR581" s="3">
        <v>0.61990129999999999</v>
      </c>
      <c r="AS581" s="3">
        <v>0.63768250000000004</v>
      </c>
      <c r="AT581" s="3">
        <v>0.65494529999999995</v>
      </c>
      <c r="AU581" s="3">
        <v>0.67170850000000004</v>
      </c>
      <c r="AV581" s="3">
        <v>0.68799060000000001</v>
      </c>
      <c r="AW581" s="3">
        <v>0.70381039999999995</v>
      </c>
      <c r="AX581" s="3">
        <v>0.71918649999999995</v>
      </c>
      <c r="AY581" s="3">
        <v>0.7341375</v>
      </c>
      <c r="AZ581" s="3">
        <v>0.74868219999999996</v>
      </c>
      <c r="BA581" s="3">
        <v>0.76283880000000004</v>
      </c>
      <c r="BB581" s="3">
        <v>0.7766229</v>
      </c>
      <c r="BC581" s="3">
        <v>0.79004980000000002</v>
      </c>
      <c r="BD581" s="3">
        <v>0.80313469999999998</v>
      </c>
      <c r="BE581" s="3">
        <v>0.81589270000000003</v>
      </c>
      <c r="BF581" s="3">
        <v>0.82833900000000005</v>
      </c>
      <c r="BG581" s="3">
        <v>0.84048869999999998</v>
      </c>
      <c r="BH581" s="3">
        <v>0.85235720000000004</v>
      </c>
      <c r="BI581" s="3">
        <v>0.86395949999999999</v>
      </c>
      <c r="BJ581" s="3">
        <v>0.87531080000000006</v>
      </c>
      <c r="BK581" s="3">
        <v>0.8864263</v>
      </c>
      <c r="BL581" s="3">
        <v>0.89732109999999998</v>
      </c>
      <c r="BM581" s="3" t="e">
        <v>#N/A</v>
      </c>
      <c r="BN581" s="3" t="e">
        <v>#N/A</v>
      </c>
    </row>
    <row r="582" spans="1:66" x14ac:dyDescent="0.35">
      <c r="A582" s="5">
        <f t="shared" si="8"/>
        <v>44270</v>
      </c>
      <c r="B582" t="s">
        <v>659</v>
      </c>
      <c r="C582" s="2">
        <v>0.1</v>
      </c>
      <c r="D582" s="2">
        <v>4.9700000000000001E-2</v>
      </c>
      <c r="E582" s="3">
        <v>5.05935E-2</v>
      </c>
      <c r="F582" s="3">
        <v>5.0162499999999999E-2</v>
      </c>
      <c r="G582" s="3">
        <v>4.9648100000000001E-2</v>
      </c>
      <c r="H582" s="3">
        <v>4.91568E-2</v>
      </c>
      <c r="I582" s="3">
        <v>4.8908199999999999E-2</v>
      </c>
      <c r="J582" s="3">
        <v>4.8904000000000003E-2</v>
      </c>
      <c r="K582" s="3">
        <v>4.9020300000000003E-2</v>
      </c>
      <c r="L582" s="3">
        <v>4.9303399999999997E-2</v>
      </c>
      <c r="M582" s="3">
        <v>5.0051499999999999E-2</v>
      </c>
      <c r="N582" s="3">
        <v>5.1712099999999997E-2</v>
      </c>
      <c r="O582" s="3">
        <v>5.48371E-2</v>
      </c>
      <c r="P582" s="3">
        <v>5.9947399999999998E-2</v>
      </c>
      <c r="Q582" s="3">
        <v>6.7664299999999997E-2</v>
      </c>
      <c r="R582" s="3">
        <v>7.7976799999999999E-2</v>
      </c>
      <c r="S582" s="3">
        <v>9.0689599999999995E-2</v>
      </c>
      <c r="T582" s="3">
        <v>0.1056071</v>
      </c>
      <c r="U582" s="3">
        <v>0.12253410000000001</v>
      </c>
      <c r="V582" s="3">
        <v>0.14127509999999999</v>
      </c>
      <c r="W582" s="3">
        <v>0.1616186</v>
      </c>
      <c r="X582" s="3">
        <v>0.18327769999999999</v>
      </c>
      <c r="Y582" s="3">
        <v>0.20594370000000001</v>
      </c>
      <c r="Z582" s="3">
        <v>0.22930790000000001</v>
      </c>
      <c r="AA582" s="3">
        <v>0.2530617</v>
      </c>
      <c r="AB582" s="3">
        <v>0.27689639999999999</v>
      </c>
      <c r="AC582" s="3">
        <v>0.30054959999999997</v>
      </c>
      <c r="AD582" s="3">
        <v>0.3239435</v>
      </c>
      <c r="AE582" s="3">
        <v>0.34704679999999999</v>
      </c>
      <c r="AF582" s="3">
        <v>0.36982789999999999</v>
      </c>
      <c r="AG582" s="3">
        <v>0.39225539999999998</v>
      </c>
      <c r="AH582" s="3">
        <v>0.41429779999999999</v>
      </c>
      <c r="AI582" s="3">
        <v>0.43592360000000002</v>
      </c>
      <c r="AJ582" s="3">
        <v>0.45710149999999999</v>
      </c>
      <c r="AK582" s="3">
        <v>0.4777999</v>
      </c>
      <c r="AL582" s="3">
        <v>0.49798740000000002</v>
      </c>
      <c r="AM582" s="3">
        <v>0.51763250000000005</v>
      </c>
      <c r="AN582" s="3">
        <v>0.53670370000000001</v>
      </c>
      <c r="AO582" s="3">
        <v>0.55517810000000001</v>
      </c>
      <c r="AP582" s="3">
        <v>0.57306999999999997</v>
      </c>
      <c r="AQ582" s="3">
        <v>0.59040400000000004</v>
      </c>
      <c r="AR582" s="3">
        <v>0.60720490000000005</v>
      </c>
      <c r="AS582" s="3">
        <v>0.62349730000000003</v>
      </c>
      <c r="AT582" s="3">
        <v>0.63930589999999998</v>
      </c>
      <c r="AU582" s="3">
        <v>0.6546554</v>
      </c>
      <c r="AV582" s="3">
        <v>0.66957040000000001</v>
      </c>
      <c r="AW582" s="3">
        <v>0.68407560000000001</v>
      </c>
      <c r="AX582" s="3">
        <v>0.69819569999999997</v>
      </c>
      <c r="AY582" s="3">
        <v>0.71195529999999996</v>
      </c>
      <c r="AZ582" s="3">
        <v>0.7253792</v>
      </c>
      <c r="BA582" s="3">
        <v>0.73849039999999999</v>
      </c>
      <c r="BB582" s="3">
        <v>0.75130439999999998</v>
      </c>
      <c r="BC582" s="3">
        <v>0.7638336</v>
      </c>
      <c r="BD582" s="3">
        <v>0.77609079999999997</v>
      </c>
      <c r="BE582" s="3">
        <v>0.78808849999999997</v>
      </c>
      <c r="BF582" s="3">
        <v>0.79983939999999998</v>
      </c>
      <c r="BG582" s="3">
        <v>0.81135610000000002</v>
      </c>
      <c r="BH582" s="3">
        <v>0.82265129999999997</v>
      </c>
      <c r="BI582" s="3">
        <v>0.83373739999999996</v>
      </c>
      <c r="BJ582" s="3">
        <v>0.84462720000000002</v>
      </c>
      <c r="BK582" s="3">
        <v>0.85533320000000002</v>
      </c>
      <c r="BL582" s="3">
        <v>0.86586819999999998</v>
      </c>
      <c r="BM582" s="3" t="e">
        <v>#N/A</v>
      </c>
      <c r="BN582" s="3" t="e">
        <v>#N/A</v>
      </c>
    </row>
    <row r="583" spans="1:66" x14ac:dyDescent="0.35">
      <c r="A583" s="5">
        <f t="shared" si="8"/>
        <v>44271</v>
      </c>
      <c r="B583" t="s">
        <v>660</v>
      </c>
      <c r="C583" s="2">
        <v>0.1</v>
      </c>
      <c r="D583" s="2">
        <v>4.9299999999999997E-2</v>
      </c>
      <c r="E583" s="3">
        <v>4.9755000000000001E-2</v>
      </c>
      <c r="F583" s="3">
        <v>4.8119799999999997E-2</v>
      </c>
      <c r="G583" s="3">
        <v>4.6269299999999999E-2</v>
      </c>
      <c r="H583" s="3">
        <v>4.51019E-2</v>
      </c>
      <c r="I583" s="3">
        <v>4.4350100000000003E-2</v>
      </c>
      <c r="J583" s="3">
        <v>4.4375100000000001E-2</v>
      </c>
      <c r="K583" s="3">
        <v>4.63417E-2</v>
      </c>
      <c r="L583" s="3">
        <v>5.0052199999999998E-2</v>
      </c>
      <c r="M583" s="3">
        <v>5.3956900000000002E-2</v>
      </c>
      <c r="N583" s="3">
        <v>5.72591E-2</v>
      </c>
      <c r="O583" s="3">
        <v>6.0440500000000001E-2</v>
      </c>
      <c r="P583" s="3">
        <v>6.4415700000000006E-2</v>
      </c>
      <c r="Q583" s="3">
        <v>7.0449800000000007E-2</v>
      </c>
      <c r="R583" s="3">
        <v>7.8805799999999995E-2</v>
      </c>
      <c r="S583" s="3">
        <v>8.9444999999999997E-2</v>
      </c>
      <c r="T583" s="3">
        <v>0.102329</v>
      </c>
      <c r="U583" s="3">
        <v>0.11741890000000001</v>
      </c>
      <c r="V583" s="3">
        <v>0.1346763</v>
      </c>
      <c r="W583" s="3">
        <v>0.15400929999999999</v>
      </c>
      <c r="X583" s="3">
        <v>0.17507909999999999</v>
      </c>
      <c r="Y583" s="3">
        <v>0.19747529999999999</v>
      </c>
      <c r="Z583" s="3">
        <v>0.2207875</v>
      </c>
      <c r="AA583" s="3">
        <v>0.2446053</v>
      </c>
      <c r="AB583" s="3">
        <v>0.26851849999999999</v>
      </c>
      <c r="AC583" s="3">
        <v>0.2921803</v>
      </c>
      <c r="AD583" s="3">
        <v>0.31549919999999998</v>
      </c>
      <c r="AE583" s="3">
        <v>0.3384471</v>
      </c>
      <c r="AF583" s="3">
        <v>0.36099619999999999</v>
      </c>
      <c r="AG583" s="3">
        <v>0.38311849999999997</v>
      </c>
      <c r="AH583" s="3">
        <v>0.40478619999999998</v>
      </c>
      <c r="AI583" s="3">
        <v>0.4259713</v>
      </c>
      <c r="AJ583" s="3">
        <v>0.44664589999999998</v>
      </c>
      <c r="AK583" s="3">
        <v>0.46678209999999998</v>
      </c>
      <c r="AL583" s="3">
        <v>0.48635200000000001</v>
      </c>
      <c r="AM583" s="3">
        <v>0.50532759999999999</v>
      </c>
      <c r="AN583" s="3">
        <v>0.52368099999999995</v>
      </c>
      <c r="AO583" s="3">
        <v>0.54139159999999997</v>
      </c>
      <c r="AP583" s="3">
        <v>0.55847729999999995</v>
      </c>
      <c r="AQ583" s="3">
        <v>0.57496930000000002</v>
      </c>
      <c r="AR583" s="3">
        <v>0.59089849999999999</v>
      </c>
      <c r="AS583" s="3">
        <v>0.6062961</v>
      </c>
      <c r="AT583" s="3">
        <v>0.62119310000000005</v>
      </c>
      <c r="AU583" s="3">
        <v>0.63562059999999998</v>
      </c>
      <c r="AV583" s="3">
        <v>0.64960960000000001</v>
      </c>
      <c r="AW583" s="3">
        <v>0.66319130000000004</v>
      </c>
      <c r="AX583" s="3">
        <v>0.67639660000000001</v>
      </c>
      <c r="AY583" s="3">
        <v>0.6892566</v>
      </c>
      <c r="AZ583" s="3">
        <v>0.70180240000000005</v>
      </c>
      <c r="BA583" s="3">
        <v>0.71406239999999999</v>
      </c>
      <c r="BB583" s="3">
        <v>0.72605200000000003</v>
      </c>
      <c r="BC583" s="3">
        <v>0.73778259999999996</v>
      </c>
      <c r="BD583" s="3">
        <v>0.74926570000000003</v>
      </c>
      <c r="BE583" s="3">
        <v>0.76051270000000004</v>
      </c>
      <c r="BF583" s="3">
        <v>0.77153499999999997</v>
      </c>
      <c r="BG583" s="3">
        <v>0.78234409999999999</v>
      </c>
      <c r="BH583" s="3">
        <v>0.79295150000000003</v>
      </c>
      <c r="BI583" s="3">
        <v>0.80336850000000004</v>
      </c>
      <c r="BJ583" s="3">
        <v>0.81360659999999996</v>
      </c>
      <c r="BK583" s="3">
        <v>0.82367729999999995</v>
      </c>
      <c r="BL583" s="3">
        <v>0.83359190000000005</v>
      </c>
      <c r="BM583" s="3" t="e">
        <v>#N/A</v>
      </c>
      <c r="BN583" s="3" t="e">
        <v>#N/A</v>
      </c>
    </row>
    <row r="584" spans="1:66" x14ac:dyDescent="0.35">
      <c r="A584" s="5">
        <f t="shared" si="8"/>
        <v>44272</v>
      </c>
      <c r="B584" t="s">
        <v>661</v>
      </c>
      <c r="C584" s="2">
        <v>0.1</v>
      </c>
      <c r="D584" s="2">
        <v>4.9399999999999999E-2</v>
      </c>
      <c r="E584" s="3">
        <v>4.9596899999999999E-2</v>
      </c>
      <c r="F584" s="3">
        <v>5.0697199999999998E-2</v>
      </c>
      <c r="G584" s="3">
        <v>5.2128800000000003E-2</v>
      </c>
      <c r="H584" s="3">
        <v>5.3260700000000001E-2</v>
      </c>
      <c r="I584" s="3">
        <v>5.3844900000000001E-2</v>
      </c>
      <c r="J584" s="3">
        <v>5.4150700000000003E-2</v>
      </c>
      <c r="K584" s="3">
        <v>5.4532999999999998E-2</v>
      </c>
      <c r="L584" s="3">
        <v>5.5392299999999998E-2</v>
      </c>
      <c r="M584" s="3">
        <v>5.71078E-2</v>
      </c>
      <c r="N584" s="3">
        <v>5.9980100000000001E-2</v>
      </c>
      <c r="O584" s="3">
        <v>6.4353599999999997E-2</v>
      </c>
      <c r="P584" s="3">
        <v>7.0662500000000003E-2</v>
      </c>
      <c r="Q584" s="3">
        <v>7.9524899999999996E-2</v>
      </c>
      <c r="R584" s="3">
        <v>9.0961500000000001E-2</v>
      </c>
      <c r="S584" s="3">
        <v>0.1048147</v>
      </c>
      <c r="T584" s="3">
        <v>0.1209268</v>
      </c>
      <c r="U584" s="3">
        <v>0.13914019999999999</v>
      </c>
      <c r="V584" s="3">
        <v>0.1592973</v>
      </c>
      <c r="W584" s="3">
        <v>0.1812153</v>
      </c>
      <c r="X584" s="3">
        <v>0.20456820000000001</v>
      </c>
      <c r="Y584" s="3">
        <v>0.22897980000000001</v>
      </c>
      <c r="Z584" s="3">
        <v>0.25407360000000001</v>
      </c>
      <c r="AA584" s="3">
        <v>0.27947339999999998</v>
      </c>
      <c r="AB584" s="3">
        <v>0.30480269999999998</v>
      </c>
      <c r="AC584" s="3">
        <v>0.32974520000000002</v>
      </c>
      <c r="AD584" s="3">
        <v>0.35422320000000002</v>
      </c>
      <c r="AE584" s="3">
        <v>0.37821929999999998</v>
      </c>
      <c r="AF584" s="3">
        <v>0.40171560000000001</v>
      </c>
      <c r="AG584" s="3">
        <v>0.42469449999999997</v>
      </c>
      <c r="AH584" s="3">
        <v>0.44713829999999999</v>
      </c>
      <c r="AI584" s="3">
        <v>0.46902949999999999</v>
      </c>
      <c r="AJ584" s="3">
        <v>0.49035030000000002</v>
      </c>
      <c r="AK584" s="3">
        <v>0.51108299999999995</v>
      </c>
      <c r="AL584" s="3">
        <v>0.53121010000000002</v>
      </c>
      <c r="AM584" s="3">
        <v>0.55071369999999997</v>
      </c>
      <c r="AN584" s="3">
        <v>0.56957630000000004</v>
      </c>
      <c r="AO584" s="3">
        <v>0.58778739999999996</v>
      </c>
      <c r="AP584" s="3">
        <v>0.60537129999999995</v>
      </c>
      <c r="AQ584" s="3">
        <v>0.62236309999999995</v>
      </c>
      <c r="AR584" s="3">
        <v>0.63879779999999997</v>
      </c>
      <c r="AS584" s="3">
        <v>0.65471040000000003</v>
      </c>
      <c r="AT584" s="3">
        <v>0.67013579999999995</v>
      </c>
      <c r="AU584" s="3">
        <v>0.68510930000000003</v>
      </c>
      <c r="AV584" s="3">
        <v>0.6996656</v>
      </c>
      <c r="AW584" s="3">
        <v>0.71384000000000003</v>
      </c>
      <c r="AX584" s="3">
        <v>0.72766730000000002</v>
      </c>
      <c r="AY584" s="3">
        <v>0.74118260000000002</v>
      </c>
      <c r="AZ584" s="3">
        <v>0.75442089999999995</v>
      </c>
      <c r="BA584" s="3">
        <v>0.76741340000000002</v>
      </c>
      <c r="BB584" s="3">
        <v>0.78017400000000003</v>
      </c>
      <c r="BC584" s="3">
        <v>0.79271210000000003</v>
      </c>
      <c r="BD584" s="3">
        <v>0.80503690000000006</v>
      </c>
      <c r="BE584" s="3">
        <v>0.81715769999999999</v>
      </c>
      <c r="BF584" s="3">
        <v>0.82908369999999998</v>
      </c>
      <c r="BG584" s="3">
        <v>0.84082429999999997</v>
      </c>
      <c r="BH584" s="3">
        <v>0.8523887</v>
      </c>
      <c r="BI584" s="3">
        <v>0.86378619999999995</v>
      </c>
      <c r="BJ584" s="3">
        <v>0.87502610000000003</v>
      </c>
      <c r="BK584" s="3">
        <v>0.88611759999999995</v>
      </c>
      <c r="BL584" s="3">
        <v>0.89707000000000003</v>
      </c>
      <c r="BM584" s="3" t="e">
        <v>#N/A</v>
      </c>
      <c r="BN584" s="3" t="e">
        <v>#N/A</v>
      </c>
    </row>
    <row r="585" spans="1:66" x14ac:dyDescent="0.35">
      <c r="A585" s="5">
        <f t="shared" si="8"/>
        <v>44273</v>
      </c>
      <c r="B585" t="s">
        <v>662</v>
      </c>
      <c r="C585" s="2">
        <v>0.1</v>
      </c>
      <c r="D585" s="2">
        <v>4.9299999999999997E-2</v>
      </c>
      <c r="E585" s="3">
        <v>5.0598499999999998E-2</v>
      </c>
      <c r="F585" s="3">
        <v>5.1254800000000003E-2</v>
      </c>
      <c r="G585" s="3">
        <v>5.2065100000000003E-2</v>
      </c>
      <c r="H585" s="3">
        <v>5.2758600000000003E-2</v>
      </c>
      <c r="I585" s="3">
        <v>5.3339400000000002E-2</v>
      </c>
      <c r="J585" s="3">
        <v>5.4154800000000003E-2</v>
      </c>
      <c r="K585" s="3">
        <v>5.54447E-2</v>
      </c>
      <c r="L585" s="3">
        <v>5.7381599999999998E-2</v>
      </c>
      <c r="M585" s="3">
        <v>6.0160600000000002E-2</v>
      </c>
      <c r="N585" s="3">
        <v>6.4078599999999999E-2</v>
      </c>
      <c r="O585" s="3">
        <v>6.9481299999999996E-2</v>
      </c>
      <c r="P585" s="3">
        <v>7.6795799999999997E-2</v>
      </c>
      <c r="Q585" s="3">
        <v>8.6681800000000003E-2</v>
      </c>
      <c r="R585" s="3">
        <v>9.9153000000000005E-2</v>
      </c>
      <c r="S585" s="3">
        <v>0.1140274</v>
      </c>
      <c r="T585" s="3">
        <v>0.13112299999999999</v>
      </c>
      <c r="U585" s="3">
        <v>0.15025769999999999</v>
      </c>
      <c r="V585" s="3">
        <v>0.1712497</v>
      </c>
      <c r="W585" s="3">
        <v>0.19389960000000001</v>
      </c>
      <c r="X585" s="3">
        <v>0.21791849999999999</v>
      </c>
      <c r="Y585" s="3">
        <v>0.2429895</v>
      </c>
      <c r="Z585" s="3">
        <v>0.26879520000000001</v>
      </c>
      <c r="AA585" s="3">
        <v>0.29501860000000002</v>
      </c>
      <c r="AB585" s="3">
        <v>0.32134230000000003</v>
      </c>
      <c r="AC585" s="3">
        <v>0.3474874</v>
      </c>
      <c r="AD585" s="3">
        <v>0.37336059999999999</v>
      </c>
      <c r="AE585" s="3">
        <v>0.39892519999999998</v>
      </c>
      <c r="AF585" s="3">
        <v>0.42414439999999998</v>
      </c>
      <c r="AG585" s="3">
        <v>0.44898159999999998</v>
      </c>
      <c r="AH585" s="3">
        <v>0.47339999999999999</v>
      </c>
      <c r="AI585" s="3">
        <v>0.497363</v>
      </c>
      <c r="AJ585" s="3">
        <v>0.52083380000000001</v>
      </c>
      <c r="AK585" s="3">
        <v>0.54377580000000003</v>
      </c>
      <c r="AL585" s="3">
        <v>0.56615219999999999</v>
      </c>
      <c r="AM585" s="3">
        <v>0.58792630000000001</v>
      </c>
      <c r="AN585" s="3">
        <v>0.60906139999999998</v>
      </c>
      <c r="AO585" s="3">
        <v>0.62952980000000003</v>
      </c>
      <c r="AP585" s="3">
        <v>0.64934380000000003</v>
      </c>
      <c r="AQ585" s="3">
        <v>0.66852659999999997</v>
      </c>
      <c r="AR585" s="3">
        <v>0.68710139999999997</v>
      </c>
      <c r="AS585" s="3">
        <v>0.70509140000000003</v>
      </c>
      <c r="AT585" s="3">
        <v>0.72251980000000005</v>
      </c>
      <c r="AU585" s="3">
        <v>0.73940989999999995</v>
      </c>
      <c r="AV585" s="3">
        <v>0.75578480000000003</v>
      </c>
      <c r="AW585" s="3">
        <v>0.77166780000000001</v>
      </c>
      <c r="AX585" s="3">
        <v>0.78708219999999995</v>
      </c>
      <c r="AY585" s="3">
        <v>0.80205099999999996</v>
      </c>
      <c r="AZ585" s="3">
        <v>0.81659760000000003</v>
      </c>
      <c r="BA585" s="3">
        <v>0.83074409999999999</v>
      </c>
      <c r="BB585" s="3">
        <v>0.84450789999999998</v>
      </c>
      <c r="BC585" s="3">
        <v>0.85790509999999998</v>
      </c>
      <c r="BD585" s="3">
        <v>0.87095180000000005</v>
      </c>
      <c r="BE585" s="3">
        <v>0.88366420000000001</v>
      </c>
      <c r="BF585" s="3">
        <v>0.89605829999999997</v>
      </c>
      <c r="BG585" s="3">
        <v>0.90815040000000002</v>
      </c>
      <c r="BH585" s="3">
        <v>0.91995640000000001</v>
      </c>
      <c r="BI585" s="3">
        <v>0.93149249999999995</v>
      </c>
      <c r="BJ585" s="3">
        <v>0.94277480000000002</v>
      </c>
      <c r="BK585" s="3">
        <v>0.95381939999999998</v>
      </c>
      <c r="BL585" s="3">
        <v>0.96464249999999996</v>
      </c>
      <c r="BM585" s="3" t="e">
        <v>#N/A</v>
      </c>
      <c r="BN585" s="3" t="e">
        <v>#N/A</v>
      </c>
    </row>
    <row r="586" spans="1:66" x14ac:dyDescent="0.35">
      <c r="A586" s="5">
        <f t="shared" si="8"/>
        <v>44274</v>
      </c>
      <c r="B586" t="s">
        <v>663</v>
      </c>
      <c r="C586" s="2">
        <v>0.1</v>
      </c>
      <c r="D586" s="2">
        <v>4.8500000000000001E-2</v>
      </c>
      <c r="E586" s="3">
        <v>5.0137300000000003E-2</v>
      </c>
      <c r="F586" s="3">
        <v>5.06495E-2</v>
      </c>
      <c r="G586" s="3">
        <v>5.0746100000000002E-2</v>
      </c>
      <c r="H586" s="3">
        <v>5.0761100000000003E-2</v>
      </c>
      <c r="I586" s="3">
        <v>5.1211E-2</v>
      </c>
      <c r="J586" s="3">
        <v>5.2365799999999997E-2</v>
      </c>
      <c r="K586" s="3">
        <v>5.42715E-2</v>
      </c>
      <c r="L586" s="3">
        <v>5.6920800000000001E-2</v>
      </c>
      <c r="M586" s="3">
        <v>6.04588E-2</v>
      </c>
      <c r="N586" s="3">
        <v>6.5194000000000002E-2</v>
      </c>
      <c r="O586" s="3">
        <v>7.1461399999999994E-2</v>
      </c>
      <c r="P586" s="3">
        <v>7.95429E-2</v>
      </c>
      <c r="Q586" s="3">
        <v>8.99031E-2</v>
      </c>
      <c r="R586" s="3">
        <v>0.1025654</v>
      </c>
      <c r="S586" s="3">
        <v>0.1173802</v>
      </c>
      <c r="T586" s="3">
        <v>0.13419780000000001</v>
      </c>
      <c r="U586" s="3">
        <v>0.1528688</v>
      </c>
      <c r="V586" s="3">
        <v>0.17324329999999999</v>
      </c>
      <c r="W586" s="3">
        <v>0.19515099999999999</v>
      </c>
      <c r="X586" s="3">
        <v>0.21832460000000001</v>
      </c>
      <c r="Y586" s="3">
        <v>0.24246880000000001</v>
      </c>
      <c r="Z586" s="3">
        <v>0.26728829999999998</v>
      </c>
      <c r="AA586" s="3">
        <v>0.29248790000000002</v>
      </c>
      <c r="AB586" s="3">
        <v>0.3177722</v>
      </c>
      <c r="AC586" s="3">
        <v>0.342885</v>
      </c>
      <c r="AD586" s="3">
        <v>0.36774230000000002</v>
      </c>
      <c r="AE586" s="3">
        <v>0.39230779999999998</v>
      </c>
      <c r="AF586" s="3">
        <v>0.4165449</v>
      </c>
      <c r="AG586" s="3">
        <v>0.44041740000000001</v>
      </c>
      <c r="AH586" s="3">
        <v>0.46388869999999999</v>
      </c>
      <c r="AI586" s="3">
        <v>0.48692239999999998</v>
      </c>
      <c r="AJ586" s="3">
        <v>0.5094822</v>
      </c>
      <c r="AK586" s="3">
        <v>0.53153150000000005</v>
      </c>
      <c r="AL586" s="3">
        <v>0.55303409999999997</v>
      </c>
      <c r="AM586" s="3">
        <v>0.57395339999999995</v>
      </c>
      <c r="AN586" s="3">
        <v>0.59425309999999998</v>
      </c>
      <c r="AO586" s="3">
        <v>0.61390619999999996</v>
      </c>
      <c r="AP586" s="3">
        <v>0.63292700000000002</v>
      </c>
      <c r="AQ586" s="3">
        <v>0.65134159999999997</v>
      </c>
      <c r="AR586" s="3">
        <v>0.66917579999999999</v>
      </c>
      <c r="AS586" s="3">
        <v>0.6864555</v>
      </c>
      <c r="AT586" s="3">
        <v>0.70320669999999996</v>
      </c>
      <c r="AU586" s="3">
        <v>0.71945530000000002</v>
      </c>
      <c r="AV586" s="3">
        <v>0.73522719999999997</v>
      </c>
      <c r="AW586" s="3">
        <v>0.75054829999999995</v>
      </c>
      <c r="AX586" s="3">
        <v>0.76544449999999997</v>
      </c>
      <c r="AY586" s="3">
        <v>0.77994169999999996</v>
      </c>
      <c r="AZ586" s="3">
        <v>0.79406600000000005</v>
      </c>
      <c r="BA586" s="3">
        <v>0.80784120000000004</v>
      </c>
      <c r="BB586" s="3">
        <v>0.82128310000000004</v>
      </c>
      <c r="BC586" s="3">
        <v>0.83440530000000002</v>
      </c>
      <c r="BD586" s="3">
        <v>0.84722109999999995</v>
      </c>
      <c r="BE586" s="3">
        <v>0.85974399999999995</v>
      </c>
      <c r="BF586" s="3">
        <v>0.87198750000000003</v>
      </c>
      <c r="BG586" s="3">
        <v>0.883965</v>
      </c>
      <c r="BH586" s="3">
        <v>0.89568999999999999</v>
      </c>
      <c r="BI586" s="3">
        <v>0.90717590000000004</v>
      </c>
      <c r="BJ586" s="3">
        <v>0.91843620000000004</v>
      </c>
      <c r="BK586" s="3">
        <v>0.92948430000000004</v>
      </c>
      <c r="BL586" s="3">
        <v>0.9403338</v>
      </c>
      <c r="BM586" s="3" t="e">
        <v>#N/A</v>
      </c>
      <c r="BN586" s="3" t="e">
        <v>#N/A</v>
      </c>
    </row>
    <row r="587" spans="1:66" x14ac:dyDescent="0.35">
      <c r="A587" s="5">
        <f t="shared" si="8"/>
        <v>44277</v>
      </c>
      <c r="B587" t="s">
        <v>664</v>
      </c>
      <c r="C587" s="2">
        <v>0.1</v>
      </c>
      <c r="D587" s="2">
        <v>4.8899999999999999E-2</v>
      </c>
      <c r="E587" s="3">
        <v>5.0246399999999997E-2</v>
      </c>
      <c r="F587" s="3">
        <v>5.4377300000000003E-2</v>
      </c>
      <c r="G587" s="3">
        <v>5.8641100000000002E-2</v>
      </c>
      <c r="H587" s="3">
        <v>5.8972900000000002E-2</v>
      </c>
      <c r="I587" s="3">
        <v>5.3859999999999998E-2</v>
      </c>
      <c r="J587" s="3">
        <v>4.8000099999999997E-2</v>
      </c>
      <c r="K587" s="3">
        <v>4.6082199999999997E-2</v>
      </c>
      <c r="L587" s="3">
        <v>4.8362799999999997E-2</v>
      </c>
      <c r="M587" s="3">
        <v>5.3503299999999997E-2</v>
      </c>
      <c r="N587" s="3">
        <v>6.0395200000000003E-2</v>
      </c>
      <c r="O587" s="3">
        <v>6.8603800000000006E-2</v>
      </c>
      <c r="P587" s="3">
        <v>7.8190300000000004E-2</v>
      </c>
      <c r="Q587" s="3">
        <v>8.9724999999999999E-2</v>
      </c>
      <c r="R587" s="3">
        <v>0.10328370000000001</v>
      </c>
      <c r="S587" s="3">
        <v>0.11877070000000001</v>
      </c>
      <c r="T587" s="3">
        <v>0.1360904</v>
      </c>
      <c r="U587" s="3">
        <v>0.15514710000000001</v>
      </c>
      <c r="V587" s="3">
        <v>0.17584520000000001</v>
      </c>
      <c r="W587" s="3">
        <v>0.1980585</v>
      </c>
      <c r="X587" s="3">
        <v>0.2215183</v>
      </c>
      <c r="Y587" s="3">
        <v>0.24591499999999999</v>
      </c>
      <c r="Z587" s="3">
        <v>0.27093889999999998</v>
      </c>
      <c r="AA587" s="3">
        <v>0.2962803</v>
      </c>
      <c r="AB587" s="3">
        <v>0.32162930000000001</v>
      </c>
      <c r="AC587" s="3">
        <v>0.34672229999999998</v>
      </c>
      <c r="AD587" s="3">
        <v>0.3714787</v>
      </c>
      <c r="AE587" s="3">
        <v>0.39586399999999999</v>
      </c>
      <c r="AF587" s="3">
        <v>0.41984359999999998</v>
      </c>
      <c r="AG587" s="3">
        <v>0.44338290000000002</v>
      </c>
      <c r="AH587" s="3">
        <v>0.46644730000000001</v>
      </c>
      <c r="AI587" s="3">
        <v>0.4890024</v>
      </c>
      <c r="AJ587" s="3">
        <v>0.51101339999999995</v>
      </c>
      <c r="AK587" s="3">
        <v>0.53244590000000003</v>
      </c>
      <c r="AL587" s="3">
        <v>0.55326529999999996</v>
      </c>
      <c r="AM587" s="3">
        <v>0.57343690000000003</v>
      </c>
      <c r="AN587" s="3">
        <v>0.59292619999999996</v>
      </c>
      <c r="AO587" s="3">
        <v>0.6117089</v>
      </c>
      <c r="AP587" s="3">
        <v>0.62980559999999997</v>
      </c>
      <c r="AQ587" s="3">
        <v>0.64724959999999998</v>
      </c>
      <c r="AR587" s="3">
        <v>0.66407380000000005</v>
      </c>
      <c r="AS587" s="3">
        <v>0.68031160000000002</v>
      </c>
      <c r="AT587" s="3">
        <v>0.69599599999999995</v>
      </c>
      <c r="AU587" s="3">
        <v>0.71116009999999996</v>
      </c>
      <c r="AV587" s="3">
        <v>0.72583719999999996</v>
      </c>
      <c r="AW587" s="3">
        <v>0.7400603</v>
      </c>
      <c r="AX587" s="3">
        <v>0.75386260000000005</v>
      </c>
      <c r="AY587" s="3">
        <v>0.76727730000000005</v>
      </c>
      <c r="AZ587" s="3">
        <v>0.78033739999999996</v>
      </c>
      <c r="BA587" s="3">
        <v>0.7930739</v>
      </c>
      <c r="BB587" s="3">
        <v>0.80550529999999998</v>
      </c>
      <c r="BC587" s="3">
        <v>0.81764610000000004</v>
      </c>
      <c r="BD587" s="3">
        <v>0.82951059999999999</v>
      </c>
      <c r="BE587" s="3">
        <v>0.84111349999999996</v>
      </c>
      <c r="BF587" s="3">
        <v>0.85246900000000003</v>
      </c>
      <c r="BG587" s="3">
        <v>0.86359169999999996</v>
      </c>
      <c r="BH587" s="3">
        <v>0.87449589999999999</v>
      </c>
      <c r="BI587" s="3">
        <v>0.88519619999999999</v>
      </c>
      <c r="BJ587" s="3">
        <v>0.89570700000000003</v>
      </c>
      <c r="BK587" s="3">
        <v>0.90604269999999998</v>
      </c>
      <c r="BL587" s="3">
        <v>0.91621779999999997</v>
      </c>
      <c r="BM587" s="3" t="e">
        <v>#N/A</v>
      </c>
      <c r="BN587" s="3" t="e">
        <v>#N/A</v>
      </c>
    </row>
    <row r="588" spans="1:66" x14ac:dyDescent="0.35">
      <c r="A588" s="5">
        <f t="shared" si="8"/>
        <v>44278</v>
      </c>
      <c r="B588" t="s">
        <v>665</v>
      </c>
      <c r="C588" s="2">
        <v>0.1</v>
      </c>
      <c r="D588" s="2">
        <v>4.8099999999999997E-2</v>
      </c>
      <c r="E588" s="3">
        <v>5.1049200000000003E-2</v>
      </c>
      <c r="F588" s="3">
        <v>5.1398399999999997E-2</v>
      </c>
      <c r="G588" s="3">
        <v>5.1503399999999998E-2</v>
      </c>
      <c r="H588" s="3">
        <v>5.1409900000000001E-2</v>
      </c>
      <c r="I588" s="3">
        <v>5.1588299999999997E-2</v>
      </c>
      <c r="J588" s="3">
        <v>5.2140699999999998E-2</v>
      </c>
      <c r="K588" s="3">
        <v>5.3067299999999998E-2</v>
      </c>
      <c r="L588" s="3">
        <v>5.45367E-2</v>
      </c>
      <c r="M588" s="3">
        <v>5.6825800000000003E-2</v>
      </c>
      <c r="N588" s="3">
        <v>6.0273599999999997E-2</v>
      </c>
      <c r="O588" s="3">
        <v>6.5242300000000003E-2</v>
      </c>
      <c r="P588" s="3">
        <v>7.2110199999999999E-2</v>
      </c>
      <c r="Q588" s="3">
        <v>8.1292799999999998E-2</v>
      </c>
      <c r="R588" s="3">
        <v>9.2755099999999993E-2</v>
      </c>
      <c r="S588" s="3">
        <v>0.1063361</v>
      </c>
      <c r="T588" s="3">
        <v>0.12187480000000001</v>
      </c>
      <c r="U588" s="3">
        <v>0.1392101</v>
      </c>
      <c r="V588" s="3">
        <v>0.15818119999999999</v>
      </c>
      <c r="W588" s="3">
        <v>0.1786094</v>
      </c>
      <c r="X588" s="3">
        <v>0.20023550000000001</v>
      </c>
      <c r="Y588" s="3">
        <v>0.22277630000000001</v>
      </c>
      <c r="Z588" s="3">
        <v>0.2459491</v>
      </c>
      <c r="AA588" s="3">
        <v>0.26947100000000002</v>
      </c>
      <c r="AB588" s="3">
        <v>0.29305900000000001</v>
      </c>
      <c r="AC588" s="3">
        <v>0.31647170000000002</v>
      </c>
      <c r="AD588" s="3">
        <v>0.33963330000000003</v>
      </c>
      <c r="AE588" s="3">
        <v>0.36250929999999998</v>
      </c>
      <c r="AF588" s="3">
        <v>0.38506560000000001</v>
      </c>
      <c r="AG588" s="3">
        <v>0.40726760000000001</v>
      </c>
      <c r="AH588" s="3">
        <v>0.42908099999999999</v>
      </c>
      <c r="AI588" s="3">
        <v>0.45047150000000002</v>
      </c>
      <c r="AJ588" s="3">
        <v>0.47140470000000001</v>
      </c>
      <c r="AK588" s="3">
        <v>0.49184630000000001</v>
      </c>
      <c r="AL588" s="3">
        <v>0.51176180000000004</v>
      </c>
      <c r="AM588" s="3">
        <v>0.5311169</v>
      </c>
      <c r="AN588" s="3">
        <v>0.54987730000000001</v>
      </c>
      <c r="AO588" s="3">
        <v>0.56801590000000002</v>
      </c>
      <c r="AP588" s="3">
        <v>0.58554539999999999</v>
      </c>
      <c r="AQ588" s="3">
        <v>0.60249160000000002</v>
      </c>
      <c r="AR588" s="3">
        <v>0.61888049999999994</v>
      </c>
      <c r="AS588" s="3">
        <v>0.63473789999999997</v>
      </c>
      <c r="AT588" s="3">
        <v>0.6500899</v>
      </c>
      <c r="AU588" s="3">
        <v>0.66496219999999995</v>
      </c>
      <c r="AV588" s="3">
        <v>0.67938080000000001</v>
      </c>
      <c r="AW588" s="3">
        <v>0.69337170000000004</v>
      </c>
      <c r="AX588" s="3">
        <v>0.70696060000000005</v>
      </c>
      <c r="AY588" s="3">
        <v>0.72017359999999997</v>
      </c>
      <c r="AZ588" s="3">
        <v>0.73303660000000004</v>
      </c>
      <c r="BA588" s="3">
        <v>0.74557359999999995</v>
      </c>
      <c r="BB588" s="3">
        <v>0.75780080000000005</v>
      </c>
      <c r="BC588" s="3">
        <v>0.76973139999999995</v>
      </c>
      <c r="BD588" s="3">
        <v>0.78137889999999999</v>
      </c>
      <c r="BE588" s="3">
        <v>0.79275660000000003</v>
      </c>
      <c r="BF588" s="3">
        <v>0.80387810000000004</v>
      </c>
      <c r="BG588" s="3">
        <v>0.81475660000000005</v>
      </c>
      <c r="BH588" s="3">
        <v>0.82540570000000002</v>
      </c>
      <c r="BI588" s="3">
        <v>0.83583859999999999</v>
      </c>
      <c r="BJ588" s="3">
        <v>0.84606879999999995</v>
      </c>
      <c r="BK588" s="3">
        <v>0.85610969999999997</v>
      </c>
      <c r="BL588" s="3">
        <v>0.86597469999999999</v>
      </c>
      <c r="BM588" s="3" t="e">
        <v>#N/A</v>
      </c>
      <c r="BN588" s="3" t="e">
        <v>#N/A</v>
      </c>
    </row>
    <row r="589" spans="1:66" x14ac:dyDescent="0.35">
      <c r="A589" s="5">
        <f t="shared" si="8"/>
        <v>44279</v>
      </c>
      <c r="B589" t="s">
        <v>666</v>
      </c>
      <c r="C589" s="2">
        <v>0.1</v>
      </c>
      <c r="D589" s="2">
        <v>4.8099999999999997E-2</v>
      </c>
      <c r="E589" s="3">
        <v>5.0499700000000002E-2</v>
      </c>
      <c r="F589" s="3">
        <v>5.0387399999999999E-2</v>
      </c>
      <c r="G589" s="3">
        <v>5.0245600000000001E-2</v>
      </c>
      <c r="H589" s="3">
        <v>5.04205E-2</v>
      </c>
      <c r="I589" s="3">
        <v>5.1160700000000003E-2</v>
      </c>
      <c r="J589" s="3">
        <v>5.2361199999999997E-2</v>
      </c>
      <c r="K589" s="3">
        <v>5.3858400000000001E-2</v>
      </c>
      <c r="L589" s="3">
        <v>5.5656900000000002E-2</v>
      </c>
      <c r="M589" s="3">
        <v>5.7947699999999998E-2</v>
      </c>
      <c r="N589" s="3">
        <v>6.1002599999999997E-2</v>
      </c>
      <c r="O589" s="3">
        <v>6.5142599999999995E-2</v>
      </c>
      <c r="P589" s="3">
        <v>7.0742700000000006E-2</v>
      </c>
      <c r="Q589" s="3">
        <v>7.8382900000000005E-2</v>
      </c>
      <c r="R589" s="3">
        <v>8.8121199999999997E-2</v>
      </c>
      <c r="S589" s="3">
        <v>9.9855899999999997E-2</v>
      </c>
      <c r="T589" s="3">
        <v>0.11348469999999999</v>
      </c>
      <c r="U589" s="3">
        <v>0.12890579999999999</v>
      </c>
      <c r="V589" s="3">
        <v>0.14601729999999999</v>
      </c>
      <c r="W589" s="3">
        <v>0.16469739999999999</v>
      </c>
      <c r="X589" s="3">
        <v>0.1847143</v>
      </c>
      <c r="Y589" s="3">
        <v>0.2057969</v>
      </c>
      <c r="Z589" s="3">
        <v>0.22767419999999999</v>
      </c>
      <c r="AA589" s="3">
        <v>0.2500752</v>
      </c>
      <c r="AB589" s="3">
        <v>0.27272879999999999</v>
      </c>
      <c r="AC589" s="3">
        <v>0.29540090000000002</v>
      </c>
      <c r="AD589" s="3">
        <v>0.31800499999999998</v>
      </c>
      <c r="AE589" s="3">
        <v>0.34049109999999999</v>
      </c>
      <c r="AF589" s="3">
        <v>0.36280960000000001</v>
      </c>
      <c r="AG589" s="3">
        <v>0.38491069999999999</v>
      </c>
      <c r="AH589" s="3">
        <v>0.40674470000000001</v>
      </c>
      <c r="AI589" s="3">
        <v>0.42826170000000002</v>
      </c>
      <c r="AJ589" s="3">
        <v>0.44941209999999998</v>
      </c>
      <c r="AK589" s="3">
        <v>0.47014600000000001</v>
      </c>
      <c r="AL589" s="3">
        <v>0.49041380000000001</v>
      </c>
      <c r="AM589" s="3">
        <v>0.5101656</v>
      </c>
      <c r="AN589" s="3">
        <v>0.52935169999999998</v>
      </c>
      <c r="AO589" s="3">
        <v>0.54793199999999997</v>
      </c>
      <c r="AP589" s="3">
        <v>0.56591369999999996</v>
      </c>
      <c r="AQ589" s="3">
        <v>0.58331849999999996</v>
      </c>
      <c r="AR589" s="3">
        <v>0.60016780000000003</v>
      </c>
      <c r="AS589" s="3">
        <v>0.61648340000000001</v>
      </c>
      <c r="AT589" s="3">
        <v>0.63228680000000004</v>
      </c>
      <c r="AU589" s="3">
        <v>0.64759949999999999</v>
      </c>
      <c r="AV589" s="3">
        <v>0.66244320000000001</v>
      </c>
      <c r="AW589" s="3">
        <v>0.67683939999999998</v>
      </c>
      <c r="AX589" s="3">
        <v>0.69080980000000003</v>
      </c>
      <c r="AY589" s="3">
        <v>0.70437590000000005</v>
      </c>
      <c r="AZ589" s="3">
        <v>0.71755939999999996</v>
      </c>
      <c r="BA589" s="3">
        <v>0.73038080000000005</v>
      </c>
      <c r="BB589" s="3">
        <v>0.74285690000000004</v>
      </c>
      <c r="BC589" s="3">
        <v>0.75500310000000004</v>
      </c>
      <c r="BD589" s="3">
        <v>0.76683500000000004</v>
      </c>
      <c r="BE589" s="3">
        <v>0.77836810000000001</v>
      </c>
      <c r="BF589" s="3">
        <v>0.78961800000000004</v>
      </c>
      <c r="BG589" s="3">
        <v>0.80060010000000004</v>
      </c>
      <c r="BH589" s="3">
        <v>0.81132990000000005</v>
      </c>
      <c r="BI589" s="3">
        <v>0.82182310000000003</v>
      </c>
      <c r="BJ589" s="3">
        <v>0.83209509999999998</v>
      </c>
      <c r="BK589" s="3">
        <v>0.84216139999999995</v>
      </c>
      <c r="BL589" s="3">
        <v>0.85203759999999995</v>
      </c>
      <c r="BM589" s="3" t="e">
        <v>#N/A</v>
      </c>
      <c r="BN589" s="3" t="e">
        <v>#N/A</v>
      </c>
    </row>
    <row r="590" spans="1:66" x14ac:dyDescent="0.35">
      <c r="A590" s="5">
        <f t="shared" ref="A590:A653" si="9">+A585+7</f>
        <v>44280</v>
      </c>
      <c r="B590" t="s">
        <v>667</v>
      </c>
      <c r="C590" s="2">
        <v>0.1</v>
      </c>
      <c r="D590" s="2">
        <v>4.8099999999999997E-2</v>
      </c>
      <c r="E590" s="3">
        <v>5.01051E-2</v>
      </c>
      <c r="F590" s="3">
        <v>4.9702700000000002E-2</v>
      </c>
      <c r="G590" s="3">
        <v>4.9620299999999999E-2</v>
      </c>
      <c r="H590" s="3">
        <v>4.9922300000000003E-2</v>
      </c>
      <c r="I590" s="3">
        <v>5.0578999999999999E-2</v>
      </c>
      <c r="J590" s="3">
        <v>5.1613199999999998E-2</v>
      </c>
      <c r="K590" s="3">
        <v>5.2931400000000003E-2</v>
      </c>
      <c r="L590" s="3">
        <v>5.4479600000000003E-2</v>
      </c>
      <c r="M590" s="3">
        <v>5.6372999999999999E-2</v>
      </c>
      <c r="N590" s="3">
        <v>5.8909299999999998E-2</v>
      </c>
      <c r="O590" s="3">
        <v>6.2446799999999997E-2</v>
      </c>
      <c r="P590" s="3">
        <v>6.7407300000000003E-2</v>
      </c>
      <c r="Q590" s="3">
        <v>7.4347300000000005E-2</v>
      </c>
      <c r="R590" s="3">
        <v>8.3322800000000002E-2</v>
      </c>
      <c r="S590" s="3">
        <v>9.4242599999999996E-2</v>
      </c>
      <c r="T590" s="3">
        <v>0.1070156</v>
      </c>
      <c r="U590" s="3">
        <v>0.1215504</v>
      </c>
      <c r="V590" s="3">
        <v>0.13775599999999999</v>
      </c>
      <c r="W590" s="3">
        <v>0.15551970000000001</v>
      </c>
      <c r="X590" s="3">
        <v>0.17461969999999999</v>
      </c>
      <c r="Y590" s="3">
        <v>0.19479930000000001</v>
      </c>
      <c r="Z590" s="3">
        <v>0.21580150000000001</v>
      </c>
      <c r="AA590" s="3">
        <v>0.23736969999999999</v>
      </c>
      <c r="AB590" s="3">
        <v>0.25924710000000001</v>
      </c>
      <c r="AC590" s="3">
        <v>0.28120479999999998</v>
      </c>
      <c r="AD590" s="3">
        <v>0.30315130000000001</v>
      </c>
      <c r="AE590" s="3">
        <v>0.3250363</v>
      </c>
      <c r="AF590" s="3">
        <v>0.3468096</v>
      </c>
      <c r="AG590" s="3">
        <v>0.3684211</v>
      </c>
      <c r="AH590" s="3">
        <v>0.38982080000000002</v>
      </c>
      <c r="AI590" s="3">
        <v>0.4109584</v>
      </c>
      <c r="AJ590" s="3">
        <v>0.4317839</v>
      </c>
      <c r="AK590" s="3">
        <v>0.45224700000000001</v>
      </c>
      <c r="AL590" s="3">
        <v>0.47229769999999999</v>
      </c>
      <c r="AM590" s="3">
        <v>0.49188579999999998</v>
      </c>
      <c r="AN590" s="3">
        <v>0.5109612</v>
      </c>
      <c r="AO590" s="3">
        <v>0.52948430000000002</v>
      </c>
      <c r="AP590" s="3">
        <v>0.54746209999999995</v>
      </c>
      <c r="AQ590" s="3">
        <v>0.56491440000000004</v>
      </c>
      <c r="AR590" s="3">
        <v>0.58186110000000002</v>
      </c>
      <c r="AS590" s="3">
        <v>0.59832200000000002</v>
      </c>
      <c r="AT590" s="3">
        <v>0.614317</v>
      </c>
      <c r="AU590" s="3">
        <v>0.62986589999999998</v>
      </c>
      <c r="AV590" s="3">
        <v>0.64498849999999996</v>
      </c>
      <c r="AW590" s="3">
        <v>0.65970470000000003</v>
      </c>
      <c r="AX590" s="3">
        <v>0.67403440000000003</v>
      </c>
      <c r="AY590" s="3">
        <v>0.68799730000000003</v>
      </c>
      <c r="AZ590" s="3">
        <v>0.7016133</v>
      </c>
      <c r="BA590" s="3">
        <v>0.71490100000000001</v>
      </c>
      <c r="BB590" s="3">
        <v>0.72787389999999996</v>
      </c>
      <c r="BC590" s="3">
        <v>0.74054359999999997</v>
      </c>
      <c r="BD590" s="3">
        <v>0.75292199999999998</v>
      </c>
      <c r="BE590" s="3">
        <v>0.76502099999999995</v>
      </c>
      <c r="BF590" s="3">
        <v>0.7768524</v>
      </c>
      <c r="BG590" s="3">
        <v>0.78842800000000002</v>
      </c>
      <c r="BH590" s="3">
        <v>0.79975969999999996</v>
      </c>
      <c r="BI590" s="3">
        <v>0.8108592</v>
      </c>
      <c r="BJ590" s="3">
        <v>0.82173850000000004</v>
      </c>
      <c r="BK590" s="3">
        <v>0.83240939999999997</v>
      </c>
      <c r="BL590" s="3">
        <v>0.84288370000000001</v>
      </c>
      <c r="BM590" s="3" t="e">
        <v>#N/A</v>
      </c>
      <c r="BN590" s="3" t="e">
        <v>#N/A</v>
      </c>
    </row>
    <row r="591" spans="1:66" x14ac:dyDescent="0.35">
      <c r="A591" s="5">
        <f t="shared" si="9"/>
        <v>44281</v>
      </c>
      <c r="B591" t="s">
        <v>668</v>
      </c>
      <c r="C591" s="2">
        <v>0.1</v>
      </c>
      <c r="D591" s="2">
        <v>4.8099999999999997E-2</v>
      </c>
      <c r="E591" s="3">
        <v>5.0304300000000003E-2</v>
      </c>
      <c r="F591" s="3">
        <v>4.92989E-2</v>
      </c>
      <c r="G591" s="3">
        <v>4.86281E-2</v>
      </c>
      <c r="H591" s="3">
        <v>4.9030600000000001E-2</v>
      </c>
      <c r="I591" s="3">
        <v>5.1078400000000003E-2</v>
      </c>
      <c r="J591" s="3">
        <v>5.4716899999999999E-2</v>
      </c>
      <c r="K591" s="3">
        <v>5.8988499999999999E-2</v>
      </c>
      <c r="L591" s="3">
        <v>6.2379200000000003E-2</v>
      </c>
      <c r="M591" s="3">
        <v>6.4153299999999996E-2</v>
      </c>
      <c r="N591" s="3">
        <v>6.5161800000000006E-2</v>
      </c>
      <c r="O591" s="3">
        <v>6.6763199999999995E-2</v>
      </c>
      <c r="P591" s="3">
        <v>6.9971800000000001E-2</v>
      </c>
      <c r="Q591" s="3">
        <v>7.5789400000000007E-2</v>
      </c>
      <c r="R591" s="3">
        <v>8.4323700000000001E-2</v>
      </c>
      <c r="S591" s="3">
        <v>9.5371300000000006E-2</v>
      </c>
      <c r="T591" s="3">
        <v>0.1087283</v>
      </c>
      <c r="U591" s="3">
        <v>0.1241912</v>
      </c>
      <c r="V591" s="3">
        <v>0.14155609999999999</v>
      </c>
      <c r="W591" s="3">
        <v>0.16060369999999999</v>
      </c>
      <c r="X591" s="3">
        <v>0.1810408</v>
      </c>
      <c r="Y591" s="3">
        <v>0.20255329999999999</v>
      </c>
      <c r="Z591" s="3">
        <v>0.22482669999999999</v>
      </c>
      <c r="AA591" s="3">
        <v>0.24754680000000001</v>
      </c>
      <c r="AB591" s="3">
        <v>0.27039930000000001</v>
      </c>
      <c r="AC591" s="3">
        <v>0.29311290000000001</v>
      </c>
      <c r="AD591" s="3">
        <v>0.3156062</v>
      </c>
      <c r="AE591" s="3">
        <v>0.33785029999999999</v>
      </c>
      <c r="AF591" s="3">
        <v>0.35981619999999997</v>
      </c>
      <c r="AG591" s="3">
        <v>0.38147500000000001</v>
      </c>
      <c r="AH591" s="3">
        <v>0.40279769999999998</v>
      </c>
      <c r="AI591" s="3">
        <v>0.4237553</v>
      </c>
      <c r="AJ591" s="3">
        <v>0.44431890000000002</v>
      </c>
      <c r="AK591" s="3">
        <v>0.46445950000000003</v>
      </c>
      <c r="AL591" s="3">
        <v>0.48414819999999997</v>
      </c>
      <c r="AM591" s="3">
        <v>0.50335589999999997</v>
      </c>
      <c r="AN591" s="3">
        <v>0.52205389999999996</v>
      </c>
      <c r="AO591" s="3">
        <v>0.54022020000000004</v>
      </c>
      <c r="AP591" s="3">
        <v>0.55786500000000006</v>
      </c>
      <c r="AQ591" s="3">
        <v>0.5750073</v>
      </c>
      <c r="AR591" s="3">
        <v>0.59166580000000002</v>
      </c>
      <c r="AS591" s="3">
        <v>0.6078595</v>
      </c>
      <c r="AT591" s="3">
        <v>0.62360729999999998</v>
      </c>
      <c r="AU591" s="3">
        <v>0.63892800000000005</v>
      </c>
      <c r="AV591" s="3">
        <v>0.65384059999999999</v>
      </c>
      <c r="AW591" s="3">
        <v>0.66836390000000001</v>
      </c>
      <c r="AX591" s="3">
        <v>0.68251689999999998</v>
      </c>
      <c r="AY591" s="3">
        <v>0.69631829999999995</v>
      </c>
      <c r="AZ591" s="3">
        <v>0.70978730000000001</v>
      </c>
      <c r="BA591" s="3">
        <v>0.72294119999999995</v>
      </c>
      <c r="BB591" s="3">
        <v>0.73579209999999995</v>
      </c>
      <c r="BC591" s="3">
        <v>0.74835050000000003</v>
      </c>
      <c r="BD591" s="3">
        <v>0.76062680000000005</v>
      </c>
      <c r="BE591" s="3">
        <v>0.77263130000000002</v>
      </c>
      <c r="BF591" s="3">
        <v>0.78437460000000003</v>
      </c>
      <c r="BG591" s="3">
        <v>0.79586690000000004</v>
      </c>
      <c r="BH591" s="3">
        <v>0.80711889999999997</v>
      </c>
      <c r="BI591" s="3">
        <v>0.8181408</v>
      </c>
      <c r="BJ591" s="3">
        <v>0.82894310000000004</v>
      </c>
      <c r="BK591" s="3">
        <v>0.83953630000000001</v>
      </c>
      <c r="BL591" s="3">
        <v>0.84993070000000004</v>
      </c>
      <c r="BM591" s="3" t="e">
        <v>#N/A</v>
      </c>
      <c r="BN591" s="3" t="e">
        <v>#N/A</v>
      </c>
    </row>
    <row r="592" spans="1:66" x14ac:dyDescent="0.35">
      <c r="A592" s="5">
        <f t="shared" si="9"/>
        <v>44284</v>
      </c>
      <c r="B592" t="s">
        <v>669</v>
      </c>
      <c r="C592" s="2">
        <v>0.1</v>
      </c>
      <c r="D592" s="2">
        <v>4.8000000000000001E-2</v>
      </c>
      <c r="E592" s="3">
        <v>4.98696E-2</v>
      </c>
      <c r="F592" s="3">
        <v>5.0053599999999997E-2</v>
      </c>
      <c r="G592" s="3">
        <v>5.0185399999999998E-2</v>
      </c>
      <c r="H592" s="3">
        <v>5.0679500000000002E-2</v>
      </c>
      <c r="I592" s="3">
        <v>5.1669399999999997E-2</v>
      </c>
      <c r="J592" s="3">
        <v>5.3036800000000002E-2</v>
      </c>
      <c r="K592" s="3">
        <v>5.4656000000000003E-2</v>
      </c>
      <c r="L592" s="3">
        <v>5.6566900000000003E-2</v>
      </c>
      <c r="M592" s="3">
        <v>5.8983500000000001E-2</v>
      </c>
      <c r="N592" s="3">
        <v>6.2226200000000002E-2</v>
      </c>
      <c r="O592" s="3">
        <v>6.6685900000000006E-2</v>
      </c>
      <c r="P592" s="3">
        <v>7.27603E-2</v>
      </c>
      <c r="Q592" s="3">
        <v>8.1042600000000006E-2</v>
      </c>
      <c r="R592" s="3">
        <v>9.1552300000000003E-2</v>
      </c>
      <c r="S592" s="3">
        <v>0.1041339</v>
      </c>
      <c r="T592" s="3">
        <v>0.11863170000000001</v>
      </c>
      <c r="U592" s="3">
        <v>0.13489019999999999</v>
      </c>
      <c r="V592" s="3">
        <v>0.1527538</v>
      </c>
      <c r="W592" s="3">
        <v>0.17205129999999999</v>
      </c>
      <c r="X592" s="3">
        <v>0.1925395</v>
      </c>
      <c r="Y592" s="3">
        <v>0.21395439999999999</v>
      </c>
      <c r="Z592" s="3">
        <v>0.23603180000000001</v>
      </c>
      <c r="AA592" s="3">
        <v>0.25850770000000001</v>
      </c>
      <c r="AB592" s="3">
        <v>0.28111809999999998</v>
      </c>
      <c r="AC592" s="3">
        <v>0.3036375</v>
      </c>
      <c r="AD592" s="3">
        <v>0.3259957</v>
      </c>
      <c r="AE592" s="3">
        <v>0.3481612</v>
      </c>
      <c r="AF592" s="3">
        <v>0.3701024</v>
      </c>
      <c r="AG592" s="3">
        <v>0.39178790000000002</v>
      </c>
      <c r="AH592" s="3">
        <v>0.413186</v>
      </c>
      <c r="AI592" s="3">
        <v>0.43426530000000002</v>
      </c>
      <c r="AJ592" s="3">
        <v>0.45499420000000002</v>
      </c>
      <c r="AK592" s="3">
        <v>0.47534120000000002</v>
      </c>
      <c r="AL592" s="3">
        <v>0.49527480000000002</v>
      </c>
      <c r="AM592" s="3">
        <v>0.51476339999999998</v>
      </c>
      <c r="AN592" s="3">
        <v>0.53377549999999996</v>
      </c>
      <c r="AO592" s="3">
        <v>0.55228429999999995</v>
      </c>
      <c r="AP592" s="3">
        <v>0.57029379999999996</v>
      </c>
      <c r="AQ592" s="3">
        <v>0.58782049999999997</v>
      </c>
      <c r="AR592" s="3">
        <v>0.604881</v>
      </c>
      <c r="AS592" s="3">
        <v>0.62149189999999999</v>
      </c>
      <c r="AT592" s="3">
        <v>0.63766979999999995</v>
      </c>
      <c r="AU592" s="3">
        <v>0.65343119999999999</v>
      </c>
      <c r="AV592" s="3">
        <v>0.66879270000000002</v>
      </c>
      <c r="AW592" s="3">
        <v>0.68377100000000002</v>
      </c>
      <c r="AX592" s="3">
        <v>0.69838250000000002</v>
      </c>
      <c r="AY592" s="3">
        <v>0.7126439</v>
      </c>
      <c r="AZ592" s="3">
        <v>0.72657170000000004</v>
      </c>
      <c r="BA592" s="3">
        <v>0.74018170000000005</v>
      </c>
      <c r="BB592" s="3">
        <v>0.75348519999999997</v>
      </c>
      <c r="BC592" s="3">
        <v>0.76649219999999996</v>
      </c>
      <c r="BD592" s="3">
        <v>0.77921240000000003</v>
      </c>
      <c r="BE592" s="3">
        <v>0.79165560000000001</v>
      </c>
      <c r="BF592" s="3">
        <v>0.80383179999999999</v>
      </c>
      <c r="BG592" s="3">
        <v>0.8157508</v>
      </c>
      <c r="BH592" s="3">
        <v>0.8274224</v>
      </c>
      <c r="BI592" s="3">
        <v>0.83885659999999995</v>
      </c>
      <c r="BJ592" s="3">
        <v>0.85006300000000001</v>
      </c>
      <c r="BK592" s="3">
        <v>0.86105169999999998</v>
      </c>
      <c r="BL592" s="3">
        <v>0.87183239999999995</v>
      </c>
      <c r="BM592" s="3" t="e">
        <v>#N/A</v>
      </c>
      <c r="BN592" s="3" t="e">
        <v>#N/A</v>
      </c>
    </row>
    <row r="593" spans="1:66" x14ac:dyDescent="0.35">
      <c r="A593" s="5">
        <f t="shared" si="9"/>
        <v>44285</v>
      </c>
      <c r="B593" t="s">
        <v>670</v>
      </c>
      <c r="C593" s="2">
        <v>0.1</v>
      </c>
      <c r="D593" s="2">
        <v>4.7500000000000001E-2</v>
      </c>
      <c r="E593" s="3">
        <v>5.0036600000000001E-2</v>
      </c>
      <c r="F593" s="3">
        <v>4.9658099999999997E-2</v>
      </c>
      <c r="G593" s="3">
        <v>4.9715099999999998E-2</v>
      </c>
      <c r="H593" s="3">
        <v>5.0647299999999999E-2</v>
      </c>
      <c r="I593" s="3">
        <v>5.2610400000000002E-2</v>
      </c>
      <c r="J593" s="3">
        <v>5.5393600000000001E-2</v>
      </c>
      <c r="K593" s="3">
        <v>5.8675199999999997E-2</v>
      </c>
      <c r="L593" s="3">
        <v>6.2427900000000001E-2</v>
      </c>
      <c r="M593" s="3">
        <v>6.6439100000000001E-2</v>
      </c>
      <c r="N593" s="3">
        <v>7.0084199999999999E-2</v>
      </c>
      <c r="O593" s="3">
        <v>7.33042E-2</v>
      </c>
      <c r="P593" s="3">
        <v>7.68258E-2</v>
      </c>
      <c r="Q593" s="3">
        <v>8.2607600000000003E-2</v>
      </c>
      <c r="R593" s="3">
        <v>9.1070399999999996E-2</v>
      </c>
      <c r="S593" s="3">
        <v>0.10211969999999999</v>
      </c>
      <c r="T593" s="3">
        <v>0.1156609</v>
      </c>
      <c r="U593" s="3">
        <v>0.1315993</v>
      </c>
      <c r="V593" s="3">
        <v>0.14984049999999999</v>
      </c>
      <c r="W593" s="3">
        <v>0.1702467</v>
      </c>
      <c r="X593" s="3">
        <v>0.1924815</v>
      </c>
      <c r="Y593" s="3">
        <v>0.21615029999999999</v>
      </c>
      <c r="Z593" s="3">
        <v>0.24085870000000001</v>
      </c>
      <c r="AA593" s="3">
        <v>0.26621230000000001</v>
      </c>
      <c r="AB593" s="3">
        <v>0.29181669999999998</v>
      </c>
      <c r="AC593" s="3">
        <v>0.31733610000000001</v>
      </c>
      <c r="AD593" s="3">
        <v>0.34266869999999999</v>
      </c>
      <c r="AE593" s="3">
        <v>0.36777140000000003</v>
      </c>
      <c r="AF593" s="3">
        <v>0.39260099999999998</v>
      </c>
      <c r="AG593" s="3">
        <v>0.4171144</v>
      </c>
      <c r="AH593" s="3">
        <v>0.44126850000000001</v>
      </c>
      <c r="AI593" s="3">
        <v>0.46501999999999999</v>
      </c>
      <c r="AJ593" s="3">
        <v>0.48832579999999998</v>
      </c>
      <c r="AK593" s="3">
        <v>0.51114289999999996</v>
      </c>
      <c r="AL593" s="3">
        <v>0.53342789999999995</v>
      </c>
      <c r="AM593" s="3">
        <v>0.55513780000000001</v>
      </c>
      <c r="AN593" s="3">
        <v>0.5762294</v>
      </c>
      <c r="AO593" s="3">
        <v>0.59666660000000005</v>
      </c>
      <c r="AP593" s="3">
        <v>0.61645439999999996</v>
      </c>
      <c r="AQ593" s="3">
        <v>0.63561350000000005</v>
      </c>
      <c r="AR593" s="3">
        <v>0.65416419999999997</v>
      </c>
      <c r="AS593" s="3">
        <v>0.67212709999999998</v>
      </c>
      <c r="AT593" s="3">
        <v>0.68952259999999999</v>
      </c>
      <c r="AU593" s="3">
        <v>0.70637130000000004</v>
      </c>
      <c r="AV593" s="3">
        <v>0.72269369999999999</v>
      </c>
      <c r="AW593" s="3">
        <v>0.73851020000000001</v>
      </c>
      <c r="AX593" s="3">
        <v>0.75384130000000005</v>
      </c>
      <c r="AY593" s="3">
        <v>0.76870760000000005</v>
      </c>
      <c r="AZ593" s="3">
        <v>0.78312950000000003</v>
      </c>
      <c r="BA593" s="3">
        <v>0.79712680000000002</v>
      </c>
      <c r="BB593" s="3">
        <v>0.81071610000000005</v>
      </c>
      <c r="BC593" s="3">
        <v>0.82391289999999995</v>
      </c>
      <c r="BD593" s="3">
        <v>0.8367327</v>
      </c>
      <c r="BE593" s="3">
        <v>0.84919120000000003</v>
      </c>
      <c r="BF593" s="3">
        <v>0.86130379999999995</v>
      </c>
      <c r="BG593" s="3">
        <v>0.87308600000000003</v>
      </c>
      <c r="BH593" s="3">
        <v>0.88455340000000005</v>
      </c>
      <c r="BI593" s="3">
        <v>0.89572149999999995</v>
      </c>
      <c r="BJ593" s="3">
        <v>0.90660589999999996</v>
      </c>
      <c r="BK593" s="3">
        <v>0.91722210000000004</v>
      </c>
      <c r="BL593" s="3">
        <v>0.92758569999999996</v>
      </c>
      <c r="BM593" s="3" t="e">
        <v>#N/A</v>
      </c>
      <c r="BN593" s="3" t="e">
        <v>#N/A</v>
      </c>
    </row>
    <row r="594" spans="1:66" x14ac:dyDescent="0.35">
      <c r="A594" s="5">
        <f t="shared" si="9"/>
        <v>44286</v>
      </c>
      <c r="B594" t="s">
        <v>671</v>
      </c>
      <c r="C594" s="2">
        <v>0.1</v>
      </c>
      <c r="D594" s="2">
        <v>4.6600000000000003E-2</v>
      </c>
      <c r="E594" s="3">
        <v>4.9699199999999999E-2</v>
      </c>
      <c r="F594" s="3">
        <v>4.9884100000000001E-2</v>
      </c>
      <c r="G594" s="3">
        <v>4.9713500000000001E-2</v>
      </c>
      <c r="H594" s="3">
        <v>5.0428399999999998E-2</v>
      </c>
      <c r="I594" s="3">
        <v>5.2596900000000002E-2</v>
      </c>
      <c r="J594" s="3">
        <v>5.5729500000000001E-2</v>
      </c>
      <c r="K594" s="3">
        <v>5.8986400000000001E-2</v>
      </c>
      <c r="L594" s="3">
        <v>6.1794799999999997E-2</v>
      </c>
      <c r="M594" s="3">
        <v>6.4612699999999995E-2</v>
      </c>
      <c r="N594" s="3">
        <v>6.7919599999999997E-2</v>
      </c>
      <c r="O594" s="3">
        <v>7.1788299999999999E-2</v>
      </c>
      <c r="P594" s="3">
        <v>7.6722399999999996E-2</v>
      </c>
      <c r="Q594" s="3">
        <v>8.42889E-2</v>
      </c>
      <c r="R594" s="3">
        <v>9.4731200000000002E-2</v>
      </c>
      <c r="S594" s="3">
        <v>0.1078769</v>
      </c>
      <c r="T594" s="3">
        <v>0.12355389999999999</v>
      </c>
      <c r="U594" s="3">
        <v>0.14158999999999999</v>
      </c>
      <c r="V594" s="3">
        <v>0.16181300000000001</v>
      </c>
      <c r="W594" s="3">
        <v>0.1840184</v>
      </c>
      <c r="X594" s="3">
        <v>0.20786540000000001</v>
      </c>
      <c r="Y594" s="3">
        <v>0.23297760000000001</v>
      </c>
      <c r="Z594" s="3">
        <v>0.2589785</v>
      </c>
      <c r="AA594" s="3">
        <v>0.28549160000000001</v>
      </c>
      <c r="AB594" s="3">
        <v>0.31214039999999998</v>
      </c>
      <c r="AC594" s="3">
        <v>0.3386052</v>
      </c>
      <c r="AD594" s="3">
        <v>0.36479230000000001</v>
      </c>
      <c r="AE594" s="3">
        <v>0.39066499999999998</v>
      </c>
      <c r="AF594" s="3">
        <v>0.41618640000000001</v>
      </c>
      <c r="AG594" s="3">
        <v>0.44131959999999998</v>
      </c>
      <c r="AH594" s="3">
        <v>0.46602769999999999</v>
      </c>
      <c r="AI594" s="3">
        <v>0.49027379999999998</v>
      </c>
      <c r="AJ594" s="3">
        <v>0.51402110000000001</v>
      </c>
      <c r="AK594" s="3">
        <v>0.53723270000000001</v>
      </c>
      <c r="AL594" s="3">
        <v>0.55987180000000003</v>
      </c>
      <c r="AM594" s="3">
        <v>0.58190129999999995</v>
      </c>
      <c r="AN594" s="3">
        <v>0.60328459999999995</v>
      </c>
      <c r="AO594" s="3">
        <v>0.62399170000000004</v>
      </c>
      <c r="AP594" s="3">
        <v>0.6440304</v>
      </c>
      <c r="AQ594" s="3">
        <v>0.66342140000000005</v>
      </c>
      <c r="AR594" s="3">
        <v>0.68218500000000004</v>
      </c>
      <c r="AS594" s="3">
        <v>0.70034180000000001</v>
      </c>
      <c r="AT594" s="3">
        <v>0.71791240000000001</v>
      </c>
      <c r="AU594" s="3">
        <v>0.73491720000000005</v>
      </c>
      <c r="AV594" s="3">
        <v>0.75137670000000001</v>
      </c>
      <c r="AW594" s="3">
        <v>0.76731159999999998</v>
      </c>
      <c r="AX594" s="3">
        <v>0.78274220000000005</v>
      </c>
      <c r="AY594" s="3">
        <v>0.79768910000000004</v>
      </c>
      <c r="AZ594" s="3">
        <v>0.81217289999999998</v>
      </c>
      <c r="BA594" s="3">
        <v>0.82621330000000004</v>
      </c>
      <c r="BB594" s="3">
        <v>0.83982749999999995</v>
      </c>
      <c r="BC594" s="3">
        <v>0.85303169999999995</v>
      </c>
      <c r="BD594" s="3">
        <v>0.86584209999999995</v>
      </c>
      <c r="BE594" s="3">
        <v>0.87827500000000003</v>
      </c>
      <c r="BF594" s="3">
        <v>0.89034670000000005</v>
      </c>
      <c r="BG594" s="3">
        <v>0.90207349999999997</v>
      </c>
      <c r="BH594" s="3">
        <v>0.91347149999999999</v>
      </c>
      <c r="BI594" s="3">
        <v>0.92455710000000002</v>
      </c>
      <c r="BJ594" s="3">
        <v>0.93534640000000002</v>
      </c>
      <c r="BK594" s="3">
        <v>0.94585589999999997</v>
      </c>
      <c r="BL594" s="3">
        <v>0.9561016</v>
      </c>
      <c r="BM594" s="3" t="e">
        <v>#N/A</v>
      </c>
      <c r="BN594" s="3" t="e">
        <v>#N/A</v>
      </c>
    </row>
    <row r="595" spans="1:66" x14ac:dyDescent="0.35">
      <c r="A595" s="5">
        <f t="shared" si="9"/>
        <v>44287</v>
      </c>
      <c r="B595" t="s">
        <v>672</v>
      </c>
      <c r="C595" s="2">
        <v>0.1</v>
      </c>
      <c r="D595" s="2">
        <v>4.7500000000000001E-2</v>
      </c>
      <c r="E595" s="3">
        <v>4.97931E-2</v>
      </c>
      <c r="F595" s="3">
        <v>4.9410000000000003E-2</v>
      </c>
      <c r="G595" s="3">
        <v>4.9647700000000003E-2</v>
      </c>
      <c r="H595" s="3">
        <v>5.0562500000000003E-2</v>
      </c>
      <c r="I595" s="3">
        <v>5.1595599999999998E-2</v>
      </c>
      <c r="J595" s="3">
        <v>5.2265699999999998E-2</v>
      </c>
      <c r="K595" s="3">
        <v>5.2464999999999998E-2</v>
      </c>
      <c r="L595" s="3">
        <v>5.3119399999999997E-2</v>
      </c>
      <c r="M595" s="3">
        <v>5.5072900000000001E-2</v>
      </c>
      <c r="N595" s="3">
        <v>5.8376499999999998E-2</v>
      </c>
      <c r="O595" s="3">
        <v>6.27606E-2</v>
      </c>
      <c r="P595" s="3">
        <v>6.8589399999999995E-2</v>
      </c>
      <c r="Q595" s="3">
        <v>7.7081899999999995E-2</v>
      </c>
      <c r="R595" s="3">
        <v>8.8362399999999994E-2</v>
      </c>
      <c r="S595" s="3">
        <v>0.102219</v>
      </c>
      <c r="T595" s="3">
        <v>0.11844</v>
      </c>
      <c r="U595" s="3">
        <v>0.1368135</v>
      </c>
      <c r="V595" s="3">
        <v>0.15712770000000001</v>
      </c>
      <c r="W595" s="3">
        <v>0.17915329999999999</v>
      </c>
      <c r="X595" s="3">
        <v>0.20257120000000001</v>
      </c>
      <c r="Y595" s="3">
        <v>0.22703319999999999</v>
      </c>
      <c r="Z595" s="3">
        <v>0.25219160000000002</v>
      </c>
      <c r="AA595" s="3">
        <v>0.27769840000000001</v>
      </c>
      <c r="AB595" s="3">
        <v>0.30320550000000002</v>
      </c>
      <c r="AC595" s="3">
        <v>0.32840930000000002</v>
      </c>
      <c r="AD595" s="3">
        <v>0.35322049999999999</v>
      </c>
      <c r="AE595" s="3">
        <v>0.3776156</v>
      </c>
      <c r="AF595" s="3">
        <v>0.4015706</v>
      </c>
      <c r="AG595" s="3">
        <v>0.4250621</v>
      </c>
      <c r="AH595" s="3">
        <v>0.44806610000000002</v>
      </c>
      <c r="AI595" s="3">
        <v>0.47055920000000001</v>
      </c>
      <c r="AJ595" s="3">
        <v>0.49251739999999999</v>
      </c>
      <c r="AK595" s="3">
        <v>0.51391719999999996</v>
      </c>
      <c r="AL595" s="3">
        <v>0.53473479999999995</v>
      </c>
      <c r="AM595" s="3">
        <v>0.55494650000000001</v>
      </c>
      <c r="AN595" s="3">
        <v>0.57452859999999994</v>
      </c>
      <c r="AO595" s="3">
        <v>0.59346399999999999</v>
      </c>
      <c r="AP595" s="3">
        <v>0.61176750000000002</v>
      </c>
      <c r="AQ595" s="3">
        <v>0.62946369999999996</v>
      </c>
      <c r="AR595" s="3">
        <v>0.64657719999999996</v>
      </c>
      <c r="AS595" s="3">
        <v>0.66313270000000002</v>
      </c>
      <c r="AT595" s="3">
        <v>0.67915460000000005</v>
      </c>
      <c r="AU595" s="3">
        <v>0.6946677</v>
      </c>
      <c r="AV595" s="3">
        <v>0.70969649999999995</v>
      </c>
      <c r="AW595" s="3">
        <v>0.72426559999999995</v>
      </c>
      <c r="AX595" s="3">
        <v>0.73839949999999999</v>
      </c>
      <c r="AY595" s="3">
        <v>0.75212299999999999</v>
      </c>
      <c r="AZ595" s="3">
        <v>0.76546060000000005</v>
      </c>
      <c r="BA595" s="3">
        <v>0.77843510000000005</v>
      </c>
      <c r="BB595" s="3">
        <v>0.79106140000000003</v>
      </c>
      <c r="BC595" s="3">
        <v>0.80335210000000001</v>
      </c>
      <c r="BD595" s="3">
        <v>0.81531989999999999</v>
      </c>
      <c r="BE595" s="3">
        <v>0.82697759999999998</v>
      </c>
      <c r="BF595" s="3">
        <v>0.83833769999999996</v>
      </c>
      <c r="BG595" s="3">
        <v>0.84941310000000003</v>
      </c>
      <c r="BH595" s="3">
        <v>0.86021619999999999</v>
      </c>
      <c r="BI595" s="3">
        <v>0.87075999999999998</v>
      </c>
      <c r="BJ595" s="3">
        <v>0.88105690000000003</v>
      </c>
      <c r="BK595" s="3">
        <v>0.89111980000000002</v>
      </c>
      <c r="BL595" s="3">
        <v>0.90096120000000002</v>
      </c>
      <c r="BM595" s="3" t="e">
        <v>#N/A</v>
      </c>
      <c r="BN595" s="3" t="e">
        <v>#N/A</v>
      </c>
    </row>
    <row r="596" spans="1:66" x14ac:dyDescent="0.35">
      <c r="A596" s="5">
        <f t="shared" si="9"/>
        <v>44288</v>
      </c>
      <c r="B596" t="s">
        <v>673</v>
      </c>
      <c r="C596" s="2">
        <v>0.1</v>
      </c>
      <c r="D596" s="2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  <c r="P596" s="3" t="e">
        <v>#N/A</v>
      </c>
      <c r="Q596" s="3" t="e">
        <v>#N/A</v>
      </c>
      <c r="R596" s="3" t="e">
        <v>#N/A</v>
      </c>
      <c r="S596" s="3" t="e">
        <v>#N/A</v>
      </c>
      <c r="T596" s="3" t="e">
        <v>#N/A</v>
      </c>
      <c r="U596" s="3" t="e">
        <v>#N/A</v>
      </c>
      <c r="V596" s="3" t="e">
        <v>#N/A</v>
      </c>
      <c r="W596" s="3" t="e">
        <v>#N/A</v>
      </c>
      <c r="X596" s="3" t="e">
        <v>#N/A</v>
      </c>
      <c r="Y596" s="3" t="e">
        <v>#N/A</v>
      </c>
      <c r="Z596" s="3" t="e">
        <v>#N/A</v>
      </c>
      <c r="AA596" s="3" t="e">
        <v>#N/A</v>
      </c>
      <c r="AB596" s="3" t="e">
        <v>#N/A</v>
      </c>
      <c r="AC596" s="3" t="e">
        <v>#N/A</v>
      </c>
      <c r="AD596" s="3" t="e">
        <v>#N/A</v>
      </c>
      <c r="AE596" s="3" t="e">
        <v>#N/A</v>
      </c>
      <c r="AF596" s="3" t="e">
        <v>#N/A</v>
      </c>
      <c r="AG596" s="3" t="e">
        <v>#N/A</v>
      </c>
      <c r="AH596" s="3" t="e">
        <v>#N/A</v>
      </c>
      <c r="AI596" s="3" t="e">
        <v>#N/A</v>
      </c>
      <c r="AJ596" s="3" t="e">
        <v>#N/A</v>
      </c>
      <c r="AK596" s="3" t="e">
        <v>#N/A</v>
      </c>
      <c r="AL596" s="3" t="e">
        <v>#N/A</v>
      </c>
      <c r="AM596" s="3" t="e">
        <v>#N/A</v>
      </c>
      <c r="AN596" s="3" t="e">
        <v>#N/A</v>
      </c>
      <c r="AO596" s="3" t="e">
        <v>#N/A</v>
      </c>
      <c r="AP596" s="3" t="e">
        <v>#N/A</v>
      </c>
      <c r="AQ596" s="3" t="e">
        <v>#N/A</v>
      </c>
      <c r="AR596" s="3" t="e">
        <v>#N/A</v>
      </c>
      <c r="AS596" s="3" t="e">
        <v>#N/A</v>
      </c>
      <c r="AT596" s="3" t="e">
        <v>#N/A</v>
      </c>
      <c r="AU596" s="3" t="e">
        <v>#N/A</v>
      </c>
      <c r="AV596" s="3" t="e">
        <v>#N/A</v>
      </c>
      <c r="AW596" s="3" t="e">
        <v>#N/A</v>
      </c>
      <c r="AX596" s="3" t="e">
        <v>#N/A</v>
      </c>
      <c r="AY596" s="3" t="e">
        <v>#N/A</v>
      </c>
      <c r="AZ596" s="3" t="e">
        <v>#N/A</v>
      </c>
      <c r="BA596" s="3" t="e">
        <v>#N/A</v>
      </c>
      <c r="BB596" s="3" t="e">
        <v>#N/A</v>
      </c>
      <c r="BC596" s="3" t="e">
        <v>#N/A</v>
      </c>
      <c r="BD596" s="3" t="e">
        <v>#N/A</v>
      </c>
      <c r="BE596" s="3" t="e">
        <v>#N/A</v>
      </c>
      <c r="BF596" s="3" t="e">
        <v>#N/A</v>
      </c>
      <c r="BG596" s="3" t="e">
        <v>#N/A</v>
      </c>
      <c r="BH596" s="3" t="e">
        <v>#N/A</v>
      </c>
      <c r="BI596" s="3" t="e">
        <v>#N/A</v>
      </c>
      <c r="BJ596" s="3" t="e">
        <v>#N/A</v>
      </c>
      <c r="BK596" s="3" t="e">
        <v>#N/A</v>
      </c>
      <c r="BL596" s="3" t="e">
        <v>#N/A</v>
      </c>
      <c r="BM596" s="3" t="e">
        <v>#N/A</v>
      </c>
      <c r="BN596" s="3" t="e">
        <v>#N/A</v>
      </c>
    </row>
    <row r="597" spans="1:66" x14ac:dyDescent="0.35">
      <c r="A597" s="5">
        <f t="shared" si="9"/>
        <v>44291</v>
      </c>
      <c r="B597" t="s">
        <v>674</v>
      </c>
      <c r="C597" s="2">
        <v>0.1</v>
      </c>
      <c r="D597" s="2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  <c r="P597" s="3" t="e">
        <v>#N/A</v>
      </c>
      <c r="Q597" s="3" t="e">
        <v>#N/A</v>
      </c>
      <c r="R597" s="3" t="e">
        <v>#N/A</v>
      </c>
      <c r="S597" s="3" t="e">
        <v>#N/A</v>
      </c>
      <c r="T597" s="3" t="e">
        <v>#N/A</v>
      </c>
      <c r="U597" s="3" t="e">
        <v>#N/A</v>
      </c>
      <c r="V597" s="3" t="e">
        <v>#N/A</v>
      </c>
      <c r="W597" s="3" t="e">
        <v>#N/A</v>
      </c>
      <c r="X597" s="3" t="e">
        <v>#N/A</v>
      </c>
      <c r="Y597" s="3" t="e">
        <v>#N/A</v>
      </c>
      <c r="Z597" s="3" t="e">
        <v>#N/A</v>
      </c>
      <c r="AA597" s="3" t="e">
        <v>#N/A</v>
      </c>
      <c r="AB597" s="3" t="e">
        <v>#N/A</v>
      </c>
      <c r="AC597" s="3" t="e">
        <v>#N/A</v>
      </c>
      <c r="AD597" s="3" t="e">
        <v>#N/A</v>
      </c>
      <c r="AE597" s="3" t="e">
        <v>#N/A</v>
      </c>
      <c r="AF597" s="3" t="e">
        <v>#N/A</v>
      </c>
      <c r="AG597" s="3" t="e">
        <v>#N/A</v>
      </c>
      <c r="AH597" s="3" t="e">
        <v>#N/A</v>
      </c>
      <c r="AI597" s="3" t="e">
        <v>#N/A</v>
      </c>
      <c r="AJ597" s="3" t="e">
        <v>#N/A</v>
      </c>
      <c r="AK597" s="3" t="e">
        <v>#N/A</v>
      </c>
      <c r="AL597" s="3" t="e">
        <v>#N/A</v>
      </c>
      <c r="AM597" s="3" t="e">
        <v>#N/A</v>
      </c>
      <c r="AN597" s="3" t="e">
        <v>#N/A</v>
      </c>
      <c r="AO597" s="3" t="e">
        <v>#N/A</v>
      </c>
      <c r="AP597" s="3" t="e">
        <v>#N/A</v>
      </c>
      <c r="AQ597" s="3" t="e">
        <v>#N/A</v>
      </c>
      <c r="AR597" s="3" t="e">
        <v>#N/A</v>
      </c>
      <c r="AS597" s="3" t="e">
        <v>#N/A</v>
      </c>
      <c r="AT597" s="3" t="e">
        <v>#N/A</v>
      </c>
      <c r="AU597" s="3" t="e">
        <v>#N/A</v>
      </c>
      <c r="AV597" s="3" t="e">
        <v>#N/A</v>
      </c>
      <c r="AW597" s="3" t="e">
        <v>#N/A</v>
      </c>
      <c r="AX597" s="3" t="e">
        <v>#N/A</v>
      </c>
      <c r="AY597" s="3" t="e">
        <v>#N/A</v>
      </c>
      <c r="AZ597" s="3" t="e">
        <v>#N/A</v>
      </c>
      <c r="BA597" s="3" t="e">
        <v>#N/A</v>
      </c>
      <c r="BB597" s="3" t="e">
        <v>#N/A</v>
      </c>
      <c r="BC597" s="3" t="e">
        <v>#N/A</v>
      </c>
      <c r="BD597" s="3" t="e">
        <v>#N/A</v>
      </c>
      <c r="BE597" s="3" t="e">
        <v>#N/A</v>
      </c>
      <c r="BF597" s="3" t="e">
        <v>#N/A</v>
      </c>
      <c r="BG597" s="3" t="e">
        <v>#N/A</v>
      </c>
      <c r="BH597" s="3" t="e">
        <v>#N/A</v>
      </c>
      <c r="BI597" s="3" t="e">
        <v>#N/A</v>
      </c>
      <c r="BJ597" s="3" t="e">
        <v>#N/A</v>
      </c>
      <c r="BK597" s="3" t="e">
        <v>#N/A</v>
      </c>
      <c r="BL597" s="3" t="e">
        <v>#N/A</v>
      </c>
      <c r="BM597" s="3" t="e">
        <v>#N/A</v>
      </c>
      <c r="BN597" s="3" t="e">
        <v>#N/A</v>
      </c>
    </row>
    <row r="598" spans="1:66" x14ac:dyDescent="0.35">
      <c r="A598" s="5">
        <f t="shared" si="9"/>
        <v>44292</v>
      </c>
      <c r="B598" t="s">
        <v>675</v>
      </c>
      <c r="C598" s="2">
        <v>0.1</v>
      </c>
      <c r="D598" s="2">
        <v>4.82E-2</v>
      </c>
      <c r="E598" s="3">
        <v>5.0715400000000001E-2</v>
      </c>
      <c r="F598" s="3">
        <v>4.9134200000000003E-2</v>
      </c>
      <c r="G598" s="3">
        <v>4.9517100000000001E-2</v>
      </c>
      <c r="H598" s="3">
        <v>5.0788600000000003E-2</v>
      </c>
      <c r="I598" s="3">
        <v>5.1808899999999998E-2</v>
      </c>
      <c r="J598" s="3">
        <v>5.20901E-2</v>
      </c>
      <c r="K598" s="3">
        <v>5.1915999999999997E-2</v>
      </c>
      <c r="L598" s="3">
        <v>5.2624200000000003E-2</v>
      </c>
      <c r="M598" s="3">
        <v>5.53313E-2</v>
      </c>
      <c r="N598" s="3">
        <v>6.0102999999999997E-2</v>
      </c>
      <c r="O598" s="3">
        <v>6.6581600000000005E-2</v>
      </c>
      <c r="P598" s="3">
        <v>7.4563900000000002E-2</v>
      </c>
      <c r="Q598" s="3">
        <v>8.4608799999999998E-2</v>
      </c>
      <c r="R598" s="3">
        <v>9.6799899999999994E-2</v>
      </c>
      <c r="S598" s="3">
        <v>0.1110405</v>
      </c>
      <c r="T598" s="3">
        <v>0.1272335</v>
      </c>
      <c r="U598" s="3">
        <v>0.1452823</v>
      </c>
      <c r="V598" s="3">
        <v>0.16508970000000001</v>
      </c>
      <c r="W598" s="3">
        <v>0.18652569999999999</v>
      </c>
      <c r="X598" s="3">
        <v>0.20931910000000001</v>
      </c>
      <c r="Y598" s="3">
        <v>0.23316239999999999</v>
      </c>
      <c r="Z598" s="3">
        <v>0.25774780000000003</v>
      </c>
      <c r="AA598" s="3">
        <v>0.2827673</v>
      </c>
      <c r="AB598" s="3">
        <v>0.3079134</v>
      </c>
      <c r="AC598" s="3">
        <v>0.3329222</v>
      </c>
      <c r="AD598" s="3">
        <v>0.35770639999999998</v>
      </c>
      <c r="AE598" s="3">
        <v>0.38222240000000002</v>
      </c>
      <c r="AF598" s="3">
        <v>0.40642679999999998</v>
      </c>
      <c r="AG598" s="3">
        <v>0.4302763</v>
      </c>
      <c r="AH598" s="3">
        <v>0.4537274</v>
      </c>
      <c r="AI598" s="3">
        <v>0.47673660000000001</v>
      </c>
      <c r="AJ598" s="3">
        <v>0.4992606</v>
      </c>
      <c r="AK598" s="3">
        <v>0.52125600000000005</v>
      </c>
      <c r="AL598" s="3">
        <v>0.54267920000000003</v>
      </c>
      <c r="AM598" s="3">
        <v>0.56348690000000001</v>
      </c>
      <c r="AN598" s="3">
        <v>0.58363569999999998</v>
      </c>
      <c r="AO598" s="3">
        <v>0.60309029999999997</v>
      </c>
      <c r="AP598" s="3">
        <v>0.62185990000000002</v>
      </c>
      <c r="AQ598" s="3">
        <v>0.63996819999999999</v>
      </c>
      <c r="AR598" s="3">
        <v>0.65743929999999995</v>
      </c>
      <c r="AS598" s="3">
        <v>0.67429700000000004</v>
      </c>
      <c r="AT598" s="3">
        <v>0.69056530000000005</v>
      </c>
      <c r="AU598" s="3">
        <v>0.70626800000000001</v>
      </c>
      <c r="AV598" s="3">
        <v>0.72142899999999999</v>
      </c>
      <c r="AW598" s="3">
        <v>0.73607230000000001</v>
      </c>
      <c r="AX598" s="3">
        <v>0.75022180000000005</v>
      </c>
      <c r="AY598" s="3">
        <v>0.76390130000000001</v>
      </c>
      <c r="AZ598" s="3">
        <v>0.77713489999999996</v>
      </c>
      <c r="BA598" s="3">
        <v>0.78994540000000002</v>
      </c>
      <c r="BB598" s="3">
        <v>0.8023515</v>
      </c>
      <c r="BC598" s="3">
        <v>0.81437040000000005</v>
      </c>
      <c r="BD598" s="3">
        <v>0.82601930000000001</v>
      </c>
      <c r="BE598" s="3">
        <v>0.83731549999999999</v>
      </c>
      <c r="BF598" s="3">
        <v>0.84827600000000003</v>
      </c>
      <c r="BG598" s="3">
        <v>0.85891830000000002</v>
      </c>
      <c r="BH598" s="3">
        <v>0.86925949999999996</v>
      </c>
      <c r="BI598" s="3">
        <v>0.87931689999999996</v>
      </c>
      <c r="BJ598" s="3">
        <v>0.8891076</v>
      </c>
      <c r="BK598" s="3">
        <v>0.89864889999999997</v>
      </c>
      <c r="BL598" s="3">
        <v>0.90795800000000004</v>
      </c>
      <c r="BM598" s="3" t="e">
        <v>#N/A</v>
      </c>
      <c r="BN598" s="3" t="e">
        <v>#N/A</v>
      </c>
    </row>
    <row r="599" spans="1:66" x14ac:dyDescent="0.35">
      <c r="A599" s="5">
        <f t="shared" si="9"/>
        <v>44293</v>
      </c>
      <c r="B599" t="s">
        <v>676</v>
      </c>
      <c r="C599" s="2">
        <v>0.1</v>
      </c>
      <c r="D599" s="2">
        <v>4.8300000000000003E-2</v>
      </c>
      <c r="E599" s="3">
        <v>5.0813400000000002E-2</v>
      </c>
      <c r="F599" s="3">
        <v>4.9393300000000001E-2</v>
      </c>
      <c r="G599" s="3">
        <v>4.9496699999999998E-2</v>
      </c>
      <c r="H599" s="3">
        <v>4.9713300000000002E-2</v>
      </c>
      <c r="I599" s="3">
        <v>4.89951E-2</v>
      </c>
      <c r="J599" s="3">
        <v>4.7318499999999999E-2</v>
      </c>
      <c r="K599" s="3">
        <v>4.5348699999999999E-2</v>
      </c>
      <c r="L599" s="3">
        <v>4.4287199999999999E-2</v>
      </c>
      <c r="M599" s="3">
        <v>4.5391399999999998E-2</v>
      </c>
      <c r="N599" s="3">
        <v>4.9496100000000001E-2</v>
      </c>
      <c r="O599" s="3">
        <v>5.6696900000000001E-2</v>
      </c>
      <c r="P599" s="3">
        <v>6.6797499999999996E-2</v>
      </c>
      <c r="Q599" s="3">
        <v>7.9082100000000002E-2</v>
      </c>
      <c r="R599" s="3">
        <v>9.3238500000000002E-2</v>
      </c>
      <c r="S599" s="3">
        <v>0.1090956</v>
      </c>
      <c r="T599" s="3">
        <v>0.1264825</v>
      </c>
      <c r="U599" s="3">
        <v>0.145228</v>
      </c>
      <c r="V599" s="3">
        <v>0.16516120000000001</v>
      </c>
      <c r="W599" s="3">
        <v>0.18610959999999999</v>
      </c>
      <c r="X599" s="3">
        <v>0.2078943</v>
      </c>
      <c r="Y599" s="3">
        <v>0.2303346</v>
      </c>
      <c r="Z599" s="3">
        <v>0.25325029999999998</v>
      </c>
      <c r="AA599" s="3">
        <v>0.2764606</v>
      </c>
      <c r="AB599" s="3">
        <v>0.29978500000000002</v>
      </c>
      <c r="AC599" s="3">
        <v>0.32305840000000002</v>
      </c>
      <c r="AD599" s="3">
        <v>0.34620649999999997</v>
      </c>
      <c r="AE599" s="3">
        <v>0.36918869999999998</v>
      </c>
      <c r="AF599" s="3">
        <v>0.39196439999999999</v>
      </c>
      <c r="AG599" s="3">
        <v>0.4144931</v>
      </c>
      <c r="AH599" s="3">
        <v>0.43673410000000001</v>
      </c>
      <c r="AI599" s="3">
        <v>0.45864690000000002</v>
      </c>
      <c r="AJ599" s="3">
        <v>0.48019089999999998</v>
      </c>
      <c r="AK599" s="3">
        <v>0.50132549999999998</v>
      </c>
      <c r="AL599" s="3">
        <v>0.52201030000000004</v>
      </c>
      <c r="AM599" s="3">
        <v>0.54220449999999998</v>
      </c>
      <c r="AN599" s="3">
        <v>0.56186769999999997</v>
      </c>
      <c r="AO599" s="3">
        <v>0.58096650000000005</v>
      </c>
      <c r="AP599" s="3">
        <v>0.59950329999999996</v>
      </c>
      <c r="AQ599" s="3">
        <v>0.61749109999999996</v>
      </c>
      <c r="AR599" s="3">
        <v>0.63494309999999998</v>
      </c>
      <c r="AS599" s="3">
        <v>0.65187240000000002</v>
      </c>
      <c r="AT599" s="3">
        <v>0.6682922</v>
      </c>
      <c r="AU599" s="3">
        <v>0.68421549999999998</v>
      </c>
      <c r="AV599" s="3">
        <v>0.69965540000000004</v>
      </c>
      <c r="AW599" s="3">
        <v>0.71462519999999996</v>
      </c>
      <c r="AX599" s="3">
        <v>0.72913790000000001</v>
      </c>
      <c r="AY599" s="3">
        <v>0.74320660000000005</v>
      </c>
      <c r="AZ599" s="3">
        <v>0.75684439999999997</v>
      </c>
      <c r="BA599" s="3">
        <v>0.77006479999999999</v>
      </c>
      <c r="BB599" s="3">
        <v>0.78288159999999996</v>
      </c>
      <c r="BC599" s="3">
        <v>0.79530920000000005</v>
      </c>
      <c r="BD599" s="3">
        <v>0.80736189999999997</v>
      </c>
      <c r="BE599" s="3">
        <v>0.8190539</v>
      </c>
      <c r="BF599" s="3">
        <v>0.83039949999999996</v>
      </c>
      <c r="BG599" s="3">
        <v>0.84141299999999997</v>
      </c>
      <c r="BH599" s="3">
        <v>0.85210870000000005</v>
      </c>
      <c r="BI599" s="3">
        <v>0.86250079999999996</v>
      </c>
      <c r="BJ599" s="3">
        <v>0.87260360000000003</v>
      </c>
      <c r="BK599" s="3">
        <v>0.88243130000000003</v>
      </c>
      <c r="BL599" s="3">
        <v>0.89199830000000002</v>
      </c>
      <c r="BM599" s="3" t="e">
        <v>#N/A</v>
      </c>
      <c r="BN599" s="3" t="e">
        <v>#N/A</v>
      </c>
    </row>
    <row r="600" spans="1:66" x14ac:dyDescent="0.35">
      <c r="A600" s="5">
        <f t="shared" si="9"/>
        <v>44294</v>
      </c>
      <c r="B600" t="s">
        <v>677</v>
      </c>
      <c r="C600" s="2">
        <v>0.1</v>
      </c>
      <c r="D600" s="2">
        <v>4.8300000000000003E-2</v>
      </c>
      <c r="E600" s="3">
        <v>5.0238699999999997E-2</v>
      </c>
      <c r="F600" s="3">
        <v>5.2202999999999999E-2</v>
      </c>
      <c r="G600" s="3">
        <v>5.2735900000000002E-2</v>
      </c>
      <c r="H600" s="3">
        <v>5.0815899999999997E-2</v>
      </c>
      <c r="I600" s="3">
        <v>4.74428E-2</v>
      </c>
      <c r="J600" s="3">
        <v>4.6187499999999999E-2</v>
      </c>
      <c r="K600" s="3">
        <v>4.8962899999999997E-2</v>
      </c>
      <c r="L600" s="3">
        <v>5.3977700000000003E-2</v>
      </c>
      <c r="M600" s="3">
        <v>5.9208900000000002E-2</v>
      </c>
      <c r="N600" s="3">
        <v>6.3844899999999996E-2</v>
      </c>
      <c r="O600" s="3">
        <v>6.85003E-2</v>
      </c>
      <c r="P600" s="3">
        <v>7.4346899999999994E-2</v>
      </c>
      <c r="Q600" s="3">
        <v>8.2545300000000002E-2</v>
      </c>
      <c r="R600" s="3">
        <v>9.3192999999999998E-2</v>
      </c>
      <c r="S600" s="3">
        <v>0.1061072</v>
      </c>
      <c r="T600" s="3">
        <v>0.12110509999999999</v>
      </c>
      <c r="U600" s="3">
        <v>0.13800399999999999</v>
      </c>
      <c r="V600" s="3">
        <v>0.15662110000000001</v>
      </c>
      <c r="W600" s="3">
        <v>0.1767601</v>
      </c>
      <c r="X600" s="3">
        <v>0.19815579999999999</v>
      </c>
      <c r="Y600" s="3">
        <v>0.22052069999999999</v>
      </c>
      <c r="Z600" s="3">
        <v>0.24356739999999999</v>
      </c>
      <c r="AA600" s="3">
        <v>0.26700849999999998</v>
      </c>
      <c r="AB600" s="3">
        <v>0.2905566</v>
      </c>
      <c r="AC600" s="3">
        <v>0.31395529999999999</v>
      </c>
      <c r="AD600" s="3">
        <v>0.33711530000000001</v>
      </c>
      <c r="AE600" s="3">
        <v>0.36000339999999997</v>
      </c>
      <c r="AF600" s="3">
        <v>0.38258629999999999</v>
      </c>
      <c r="AG600" s="3">
        <v>0.40483079999999999</v>
      </c>
      <c r="AH600" s="3">
        <v>0.42670370000000002</v>
      </c>
      <c r="AI600" s="3">
        <v>0.44817180000000001</v>
      </c>
      <c r="AJ600" s="3">
        <v>0.4692018</v>
      </c>
      <c r="AK600" s="3">
        <v>0.48976049999999999</v>
      </c>
      <c r="AL600" s="3">
        <v>0.50981469999999995</v>
      </c>
      <c r="AM600" s="3">
        <v>0.5293312</v>
      </c>
      <c r="AN600" s="3">
        <v>0.54827669999999995</v>
      </c>
      <c r="AO600" s="3">
        <v>0.56662579999999996</v>
      </c>
      <c r="AP600" s="3">
        <v>0.58438760000000001</v>
      </c>
      <c r="AQ600" s="3">
        <v>0.60158060000000002</v>
      </c>
      <c r="AR600" s="3">
        <v>0.61822330000000003</v>
      </c>
      <c r="AS600" s="3">
        <v>0.63433439999999996</v>
      </c>
      <c r="AT600" s="3">
        <v>0.64993230000000002</v>
      </c>
      <c r="AU600" s="3">
        <v>0.66503570000000001</v>
      </c>
      <c r="AV600" s="3">
        <v>0.67966300000000002</v>
      </c>
      <c r="AW600" s="3">
        <v>0.69383280000000003</v>
      </c>
      <c r="AX600" s="3">
        <v>0.70756370000000002</v>
      </c>
      <c r="AY600" s="3">
        <v>0.72087409999999996</v>
      </c>
      <c r="AZ600" s="3">
        <v>0.73378279999999996</v>
      </c>
      <c r="BA600" s="3">
        <v>0.74630739999999995</v>
      </c>
      <c r="BB600" s="3">
        <v>0.7584632</v>
      </c>
      <c r="BC600" s="3">
        <v>0.77026419999999995</v>
      </c>
      <c r="BD600" s="3">
        <v>0.78172470000000005</v>
      </c>
      <c r="BE600" s="3">
        <v>0.79285890000000003</v>
      </c>
      <c r="BF600" s="3">
        <v>0.80368110000000004</v>
      </c>
      <c r="BG600" s="3">
        <v>0.81420539999999997</v>
      </c>
      <c r="BH600" s="3">
        <v>0.82444600000000001</v>
      </c>
      <c r="BI600" s="3">
        <v>0.83441730000000003</v>
      </c>
      <c r="BJ600" s="3">
        <v>0.84413329999999998</v>
      </c>
      <c r="BK600" s="3">
        <v>0.85360829999999999</v>
      </c>
      <c r="BL600" s="3">
        <v>0.86285659999999997</v>
      </c>
      <c r="BM600" s="3" t="e">
        <v>#N/A</v>
      </c>
      <c r="BN600" s="3" t="e">
        <v>#N/A</v>
      </c>
    </row>
    <row r="601" spans="1:66" x14ac:dyDescent="0.35">
      <c r="A601" s="5">
        <f t="shared" si="9"/>
        <v>44295</v>
      </c>
      <c r="B601" t="s">
        <v>678</v>
      </c>
      <c r="C601" s="2">
        <v>0.1</v>
      </c>
      <c r="D601" s="2">
        <v>4.8399999999999999E-2</v>
      </c>
      <c r="E601" s="3">
        <v>5.0399399999999997E-2</v>
      </c>
      <c r="F601" s="3">
        <v>4.98206E-2</v>
      </c>
      <c r="G601" s="3">
        <v>4.8482299999999999E-2</v>
      </c>
      <c r="H601" s="3">
        <v>4.7249300000000001E-2</v>
      </c>
      <c r="I601" s="3">
        <v>4.7458E-2</v>
      </c>
      <c r="J601" s="3">
        <v>4.9866300000000002E-2</v>
      </c>
      <c r="K601" s="3">
        <v>5.4416699999999998E-2</v>
      </c>
      <c r="L601" s="3">
        <v>6.05896E-2</v>
      </c>
      <c r="M601" s="3">
        <v>6.7487199999999997E-2</v>
      </c>
      <c r="N601" s="3">
        <v>7.4120699999999998E-2</v>
      </c>
      <c r="O601" s="3">
        <v>7.9924400000000007E-2</v>
      </c>
      <c r="P601" s="3">
        <v>8.5017200000000001E-2</v>
      </c>
      <c r="Q601" s="3">
        <v>9.1860999999999998E-2</v>
      </c>
      <c r="R601" s="3">
        <v>0.1011609</v>
      </c>
      <c r="S601" s="3">
        <v>0.1128777</v>
      </c>
      <c r="T601" s="3">
        <v>0.12697230000000001</v>
      </c>
      <c r="U601" s="3">
        <v>0.14340539999999999</v>
      </c>
      <c r="V601" s="3">
        <v>0.1621377</v>
      </c>
      <c r="W601" s="3">
        <v>0.18307309999999999</v>
      </c>
      <c r="X601" s="3">
        <v>0.20585039999999999</v>
      </c>
      <c r="Y601" s="3">
        <v>0.23003170000000001</v>
      </c>
      <c r="Z601" s="3">
        <v>0.2551793</v>
      </c>
      <c r="AA601" s="3">
        <v>0.28085529999999997</v>
      </c>
      <c r="AB601" s="3">
        <v>0.30662200000000001</v>
      </c>
      <c r="AC601" s="3">
        <v>0.33209759999999999</v>
      </c>
      <c r="AD601" s="3">
        <v>0.35717369999999998</v>
      </c>
      <c r="AE601" s="3">
        <v>0.38182529999999998</v>
      </c>
      <c r="AF601" s="3">
        <v>0.40602719999999998</v>
      </c>
      <c r="AG601" s="3">
        <v>0.42975429999999998</v>
      </c>
      <c r="AH601" s="3">
        <v>0.45298159999999998</v>
      </c>
      <c r="AI601" s="3">
        <v>0.47568379999999999</v>
      </c>
      <c r="AJ601" s="3">
        <v>0.497836</v>
      </c>
      <c r="AK601" s="3">
        <v>0.51941280000000001</v>
      </c>
      <c r="AL601" s="3">
        <v>0.54038940000000002</v>
      </c>
      <c r="AM601" s="3">
        <v>0.56074049999999998</v>
      </c>
      <c r="AN601" s="3">
        <v>0.58044099999999998</v>
      </c>
      <c r="AO601" s="3">
        <v>0.59947320000000004</v>
      </c>
      <c r="AP601" s="3">
        <v>0.61785129999999999</v>
      </c>
      <c r="AQ601" s="3">
        <v>0.63559869999999996</v>
      </c>
      <c r="AR601" s="3">
        <v>0.6527385</v>
      </c>
      <c r="AS601" s="3">
        <v>0.66929399999999994</v>
      </c>
      <c r="AT601" s="3">
        <v>0.68528860000000003</v>
      </c>
      <c r="AU601" s="3">
        <v>0.70074530000000002</v>
      </c>
      <c r="AV601" s="3">
        <v>0.71568750000000003</v>
      </c>
      <c r="AW601" s="3">
        <v>0.73013839999999997</v>
      </c>
      <c r="AX601" s="3">
        <v>0.74412129999999999</v>
      </c>
      <c r="AY601" s="3">
        <v>0.75765939999999998</v>
      </c>
      <c r="AZ601" s="3">
        <v>0.77077600000000002</v>
      </c>
      <c r="BA601" s="3">
        <v>0.78349290000000005</v>
      </c>
      <c r="BB601" s="3">
        <v>0.79582629999999999</v>
      </c>
      <c r="BC601" s="3">
        <v>0.80779069999999997</v>
      </c>
      <c r="BD601" s="3">
        <v>0.81940049999999998</v>
      </c>
      <c r="BE601" s="3">
        <v>0.83067029999999997</v>
      </c>
      <c r="BF601" s="3">
        <v>0.84161450000000004</v>
      </c>
      <c r="BG601" s="3">
        <v>0.85224759999999999</v>
      </c>
      <c r="BH601" s="3">
        <v>0.86258400000000002</v>
      </c>
      <c r="BI601" s="3">
        <v>0.87263840000000004</v>
      </c>
      <c r="BJ601" s="3">
        <v>0.88242509999999996</v>
      </c>
      <c r="BK601" s="3">
        <v>0.89195869999999999</v>
      </c>
      <c r="BL601" s="3">
        <v>0.90125350000000004</v>
      </c>
      <c r="BM601" s="3" t="e">
        <v>#N/A</v>
      </c>
      <c r="BN601" s="3" t="e">
        <v>#N/A</v>
      </c>
    </row>
    <row r="602" spans="1:66" x14ac:dyDescent="0.35">
      <c r="A602" s="5">
        <f t="shared" si="9"/>
        <v>44298</v>
      </c>
      <c r="B602" t="s">
        <v>679</v>
      </c>
      <c r="C602" s="2">
        <v>0.1</v>
      </c>
      <c r="D602" s="2">
        <v>4.82E-2</v>
      </c>
      <c r="E602" s="3">
        <v>4.8016299999999998E-2</v>
      </c>
      <c r="F602" s="3">
        <v>4.8908E-2</v>
      </c>
      <c r="G602" s="3">
        <v>4.95699E-2</v>
      </c>
      <c r="H602" s="3">
        <v>4.9234600000000003E-2</v>
      </c>
      <c r="I602" s="3">
        <v>4.90646E-2</v>
      </c>
      <c r="J602" s="3">
        <v>5.0070000000000003E-2</v>
      </c>
      <c r="K602" s="3">
        <v>5.2551199999999999E-2</v>
      </c>
      <c r="L602" s="3">
        <v>5.64389E-2</v>
      </c>
      <c r="M602" s="3">
        <v>6.1530099999999997E-2</v>
      </c>
      <c r="N602" s="3">
        <v>6.7517599999999997E-2</v>
      </c>
      <c r="O602" s="3">
        <v>7.4248099999999997E-2</v>
      </c>
      <c r="P602" s="3">
        <v>8.1900299999999995E-2</v>
      </c>
      <c r="Q602" s="3">
        <v>9.1484700000000002E-2</v>
      </c>
      <c r="R602" s="3">
        <v>0.103211</v>
      </c>
      <c r="S602" s="3">
        <v>0.11700969999999999</v>
      </c>
      <c r="T602" s="3">
        <v>0.1328116</v>
      </c>
      <c r="U602" s="3">
        <v>0.15054699999999999</v>
      </c>
      <c r="V602" s="3">
        <v>0.17014670000000001</v>
      </c>
      <c r="W602" s="3">
        <v>0.19149959999999999</v>
      </c>
      <c r="X602" s="3">
        <v>0.2143205</v>
      </c>
      <c r="Y602" s="3">
        <v>0.23827809999999999</v>
      </c>
      <c r="Z602" s="3">
        <v>0.26304129999999998</v>
      </c>
      <c r="AA602" s="3">
        <v>0.2882789</v>
      </c>
      <c r="AB602" s="3">
        <v>0.31365979999999999</v>
      </c>
      <c r="AC602" s="3">
        <v>0.3389006</v>
      </c>
      <c r="AD602" s="3">
        <v>0.36390980000000001</v>
      </c>
      <c r="AE602" s="3">
        <v>0.38864379999999998</v>
      </c>
      <c r="AF602" s="3">
        <v>0.41305900000000001</v>
      </c>
      <c r="AG602" s="3">
        <v>0.43711169999999999</v>
      </c>
      <c r="AH602" s="3">
        <v>0.46075840000000001</v>
      </c>
      <c r="AI602" s="3">
        <v>0.48395539999999998</v>
      </c>
      <c r="AJ602" s="3">
        <v>0.50665899999999997</v>
      </c>
      <c r="AK602" s="3">
        <v>0.52882569999999995</v>
      </c>
      <c r="AL602" s="3">
        <v>0.55041180000000001</v>
      </c>
      <c r="AM602" s="3">
        <v>0.57137369999999998</v>
      </c>
      <c r="AN602" s="3">
        <v>0.59166779999999997</v>
      </c>
      <c r="AO602" s="3">
        <v>0.61126049999999998</v>
      </c>
      <c r="AP602" s="3">
        <v>0.63016240000000001</v>
      </c>
      <c r="AQ602" s="3">
        <v>0.64839650000000004</v>
      </c>
      <c r="AR602" s="3">
        <v>0.66598559999999996</v>
      </c>
      <c r="AS602" s="3">
        <v>0.68295249999999996</v>
      </c>
      <c r="AT602" s="3">
        <v>0.69932030000000001</v>
      </c>
      <c r="AU602" s="3">
        <v>0.71511170000000002</v>
      </c>
      <c r="AV602" s="3">
        <v>0.73034960000000004</v>
      </c>
      <c r="AW602" s="3">
        <v>0.74505690000000002</v>
      </c>
      <c r="AX602" s="3">
        <v>0.75925659999999995</v>
      </c>
      <c r="AY602" s="3">
        <v>0.77297139999999998</v>
      </c>
      <c r="AZ602" s="3">
        <v>0.78622429999999999</v>
      </c>
      <c r="BA602" s="3">
        <v>0.79903749999999996</v>
      </c>
      <c r="BB602" s="3">
        <v>0.81142999999999998</v>
      </c>
      <c r="BC602" s="3">
        <v>0.82341989999999998</v>
      </c>
      <c r="BD602" s="3">
        <v>0.83502489999999996</v>
      </c>
      <c r="BE602" s="3">
        <v>0.84626310000000005</v>
      </c>
      <c r="BF602" s="3">
        <v>0.85715240000000004</v>
      </c>
      <c r="BG602" s="3">
        <v>0.8677106</v>
      </c>
      <c r="BH602" s="3">
        <v>0.87795579999999995</v>
      </c>
      <c r="BI602" s="3">
        <v>0.88790579999999997</v>
      </c>
      <c r="BJ602" s="3">
        <v>0.8975786</v>
      </c>
      <c r="BK602" s="3">
        <v>0.90699220000000003</v>
      </c>
      <c r="BL602" s="3">
        <v>0.91616430000000004</v>
      </c>
      <c r="BM602" s="3" t="e">
        <v>#N/A</v>
      </c>
      <c r="BN602" s="3" t="e">
        <v>#N/A</v>
      </c>
    </row>
    <row r="603" spans="1:66" x14ac:dyDescent="0.35">
      <c r="A603" s="5">
        <f t="shared" si="9"/>
        <v>44299</v>
      </c>
      <c r="B603" t="s">
        <v>680</v>
      </c>
      <c r="C603" s="2">
        <v>0.1</v>
      </c>
      <c r="D603" s="2">
        <v>4.8099999999999997E-2</v>
      </c>
      <c r="E603" s="3">
        <v>4.9302499999999999E-2</v>
      </c>
      <c r="F603" s="3">
        <v>4.8793599999999999E-2</v>
      </c>
      <c r="G603" s="3">
        <v>4.8767999999999999E-2</v>
      </c>
      <c r="H603" s="3">
        <v>4.8502900000000002E-2</v>
      </c>
      <c r="I603" s="3">
        <v>4.8254400000000003E-2</v>
      </c>
      <c r="J603" s="3">
        <v>4.8533399999999997E-2</v>
      </c>
      <c r="K603" s="3">
        <v>4.9513000000000001E-2</v>
      </c>
      <c r="L603" s="3">
        <v>5.1232699999999999E-2</v>
      </c>
      <c r="M603" s="3">
        <v>5.3820199999999999E-2</v>
      </c>
      <c r="N603" s="3">
        <v>5.7569799999999997E-2</v>
      </c>
      <c r="O603" s="3">
        <v>6.2870200000000001E-2</v>
      </c>
      <c r="P603" s="3">
        <v>7.0206599999999994E-2</v>
      </c>
      <c r="Q603" s="3">
        <v>8.0091200000000001E-2</v>
      </c>
      <c r="R603" s="3">
        <v>9.2480000000000007E-2</v>
      </c>
      <c r="S603" s="3">
        <v>0.1071797</v>
      </c>
      <c r="T603" s="3">
        <v>0.1239967</v>
      </c>
      <c r="U603" s="3">
        <v>0.14273730000000001</v>
      </c>
      <c r="V603" s="3">
        <v>0.16320809999999999</v>
      </c>
      <c r="W603" s="3">
        <v>0.185198</v>
      </c>
      <c r="X603" s="3">
        <v>0.2084223</v>
      </c>
      <c r="Y603" s="3">
        <v>0.2325767</v>
      </c>
      <c r="Z603" s="3">
        <v>0.25735720000000001</v>
      </c>
      <c r="AA603" s="3">
        <v>0.28245969999999998</v>
      </c>
      <c r="AB603" s="3">
        <v>0.30757990000000002</v>
      </c>
      <c r="AC603" s="3">
        <v>0.33245940000000002</v>
      </c>
      <c r="AD603" s="3">
        <v>0.3570219</v>
      </c>
      <c r="AE603" s="3">
        <v>0.38123649999999998</v>
      </c>
      <c r="AF603" s="3">
        <v>0.4050725</v>
      </c>
      <c r="AG603" s="3">
        <v>0.42849920000000002</v>
      </c>
      <c r="AH603" s="3">
        <v>0.45148579999999999</v>
      </c>
      <c r="AI603" s="3">
        <v>0.47400140000000002</v>
      </c>
      <c r="AJ603" s="3">
        <v>0.4960155</v>
      </c>
      <c r="AK603" s="3">
        <v>0.51749710000000004</v>
      </c>
      <c r="AL603" s="3">
        <v>0.53841559999999999</v>
      </c>
      <c r="AM603" s="3">
        <v>0.55874020000000002</v>
      </c>
      <c r="AN603" s="3">
        <v>0.57844010000000001</v>
      </c>
      <c r="AO603" s="3">
        <v>0.59749129999999995</v>
      </c>
      <c r="AP603" s="3">
        <v>0.61590610000000001</v>
      </c>
      <c r="AQ603" s="3">
        <v>0.63370919999999997</v>
      </c>
      <c r="AR603" s="3">
        <v>0.65092490000000003</v>
      </c>
      <c r="AS603" s="3">
        <v>0.667578</v>
      </c>
      <c r="AT603" s="3">
        <v>0.68369290000000005</v>
      </c>
      <c r="AU603" s="3">
        <v>0.69929410000000003</v>
      </c>
      <c r="AV603" s="3">
        <v>0.71440619999999999</v>
      </c>
      <c r="AW603" s="3">
        <v>0.72905379999999997</v>
      </c>
      <c r="AX603" s="3">
        <v>0.74326139999999996</v>
      </c>
      <c r="AY603" s="3">
        <v>0.75705359999999999</v>
      </c>
      <c r="AZ603" s="3">
        <v>0.7704548</v>
      </c>
      <c r="BA603" s="3">
        <v>0.78348799999999996</v>
      </c>
      <c r="BB603" s="3">
        <v>0.79616880000000001</v>
      </c>
      <c r="BC603" s="3">
        <v>0.80850999999999995</v>
      </c>
      <c r="BD603" s="3">
        <v>0.8205247</v>
      </c>
      <c r="BE603" s="3">
        <v>0.83222609999999997</v>
      </c>
      <c r="BF603" s="3">
        <v>0.84362720000000002</v>
      </c>
      <c r="BG603" s="3">
        <v>0.85474099999999997</v>
      </c>
      <c r="BH603" s="3">
        <v>0.86558060000000003</v>
      </c>
      <c r="BI603" s="3">
        <v>0.87615900000000002</v>
      </c>
      <c r="BJ603" s="3">
        <v>0.88648930000000004</v>
      </c>
      <c r="BK603" s="3">
        <v>0.89658470000000001</v>
      </c>
      <c r="BL603" s="3">
        <v>0.90645799999999999</v>
      </c>
      <c r="BM603" s="3" t="e">
        <v>#N/A</v>
      </c>
      <c r="BN603" s="3" t="e">
        <v>#N/A</v>
      </c>
    </row>
    <row r="604" spans="1:66" x14ac:dyDescent="0.35">
      <c r="A604" s="5">
        <f t="shared" si="9"/>
        <v>44300</v>
      </c>
      <c r="B604" t="s">
        <v>681</v>
      </c>
      <c r="C604" s="2">
        <v>0.1</v>
      </c>
      <c r="D604" s="2">
        <v>4.82E-2</v>
      </c>
      <c r="E604" s="3">
        <v>4.92031E-2</v>
      </c>
      <c r="F604" s="3">
        <v>4.8311199999999999E-2</v>
      </c>
      <c r="G604" s="3">
        <v>4.8199100000000002E-2</v>
      </c>
      <c r="H604" s="3">
        <v>4.8302600000000001E-2</v>
      </c>
      <c r="I604" s="3">
        <v>4.8411900000000001E-2</v>
      </c>
      <c r="J604" s="3">
        <v>4.8790199999999999E-2</v>
      </c>
      <c r="K604" s="3">
        <v>4.9816100000000002E-2</v>
      </c>
      <c r="L604" s="3">
        <v>5.1716999999999999E-2</v>
      </c>
      <c r="M604" s="3">
        <v>5.4653800000000002E-2</v>
      </c>
      <c r="N604" s="3">
        <v>5.88307E-2</v>
      </c>
      <c r="O604" s="3">
        <v>6.4560300000000001E-2</v>
      </c>
      <c r="P604" s="3">
        <v>7.2293700000000002E-2</v>
      </c>
      <c r="Q604" s="3">
        <v>8.2575899999999994E-2</v>
      </c>
      <c r="R604" s="3">
        <v>9.5360100000000003E-2</v>
      </c>
      <c r="S604" s="3">
        <v>0.1104376</v>
      </c>
      <c r="T604" s="3">
        <v>0.12759970000000001</v>
      </c>
      <c r="U604" s="3">
        <v>0.14663770000000001</v>
      </c>
      <c r="V604" s="3">
        <v>0.16734280000000001</v>
      </c>
      <c r="W604" s="3">
        <v>0.18949379999999999</v>
      </c>
      <c r="X604" s="3">
        <v>0.2128176</v>
      </c>
      <c r="Y604" s="3">
        <v>0.2370274</v>
      </c>
      <c r="Z604" s="3">
        <v>0.26183630000000002</v>
      </c>
      <c r="AA604" s="3">
        <v>0.28695749999999998</v>
      </c>
      <c r="AB604" s="3">
        <v>0.3121041</v>
      </c>
      <c r="AC604" s="3">
        <v>0.3370322</v>
      </c>
      <c r="AD604" s="3">
        <v>0.36166949999999998</v>
      </c>
      <c r="AE604" s="3">
        <v>0.38598680000000002</v>
      </c>
      <c r="AF604" s="3">
        <v>0.4099545</v>
      </c>
      <c r="AG604" s="3">
        <v>0.43354330000000002</v>
      </c>
      <c r="AH604" s="3">
        <v>0.45672390000000002</v>
      </c>
      <c r="AI604" s="3">
        <v>0.47946680000000003</v>
      </c>
      <c r="AJ604" s="3">
        <v>0.50174280000000004</v>
      </c>
      <c r="AK604" s="3">
        <v>0.52352240000000005</v>
      </c>
      <c r="AL604" s="3">
        <v>0.54477629999999999</v>
      </c>
      <c r="AM604" s="3">
        <v>0.56547499999999995</v>
      </c>
      <c r="AN604" s="3">
        <v>0.58558929999999998</v>
      </c>
      <c r="AO604" s="3">
        <v>0.60509670000000004</v>
      </c>
      <c r="AP604" s="3">
        <v>0.62400849999999997</v>
      </c>
      <c r="AQ604" s="3">
        <v>0.64234619999999998</v>
      </c>
      <c r="AR604" s="3">
        <v>0.66013140000000003</v>
      </c>
      <c r="AS604" s="3">
        <v>0.67738569999999998</v>
      </c>
      <c r="AT604" s="3">
        <v>0.69413069999999999</v>
      </c>
      <c r="AU604" s="3">
        <v>0.71038789999999996</v>
      </c>
      <c r="AV604" s="3">
        <v>0.72617900000000002</v>
      </c>
      <c r="AW604" s="3">
        <v>0.7415254</v>
      </c>
      <c r="AX604" s="3">
        <v>0.75644880000000003</v>
      </c>
      <c r="AY604" s="3">
        <v>0.77097070000000001</v>
      </c>
      <c r="AZ604" s="3">
        <v>0.7851127</v>
      </c>
      <c r="BA604" s="3">
        <v>0.79889500000000002</v>
      </c>
      <c r="BB604" s="3">
        <v>0.81233160000000004</v>
      </c>
      <c r="BC604" s="3">
        <v>0.82543489999999997</v>
      </c>
      <c r="BD604" s="3">
        <v>0.8382172</v>
      </c>
      <c r="BE604" s="3">
        <v>0.85069090000000003</v>
      </c>
      <c r="BF604" s="3">
        <v>0.86286839999999998</v>
      </c>
      <c r="BG604" s="3">
        <v>0.87476189999999998</v>
      </c>
      <c r="BH604" s="3">
        <v>0.8863839</v>
      </c>
      <c r="BI604" s="3">
        <v>0.89774670000000001</v>
      </c>
      <c r="BJ604" s="3">
        <v>0.90886259999999996</v>
      </c>
      <c r="BK604" s="3">
        <v>0.91974400000000001</v>
      </c>
      <c r="BL604" s="3">
        <v>0.93040319999999999</v>
      </c>
      <c r="BM604" s="3" t="e">
        <v>#N/A</v>
      </c>
      <c r="BN604" s="3" t="e">
        <v>#N/A</v>
      </c>
    </row>
    <row r="605" spans="1:66" x14ac:dyDescent="0.35">
      <c r="A605" s="5">
        <f t="shared" si="9"/>
        <v>44301</v>
      </c>
      <c r="B605" t="s">
        <v>682</v>
      </c>
      <c r="C605" s="2">
        <v>0.1</v>
      </c>
      <c r="D605" s="2">
        <v>4.7699999999999999E-2</v>
      </c>
      <c r="E605" s="3">
        <v>4.9444099999999998E-2</v>
      </c>
      <c r="F605" s="3">
        <v>4.9358100000000002E-2</v>
      </c>
      <c r="G605" s="3">
        <v>4.8578799999999998E-2</v>
      </c>
      <c r="H605" s="3">
        <v>4.7941900000000003E-2</v>
      </c>
      <c r="I605" s="3">
        <v>4.7806800000000003E-2</v>
      </c>
      <c r="J605" s="3">
        <v>4.8068600000000003E-2</v>
      </c>
      <c r="K605" s="3">
        <v>4.8678199999999998E-2</v>
      </c>
      <c r="L605" s="3">
        <v>4.9724400000000002E-2</v>
      </c>
      <c r="M605" s="3">
        <v>5.1391100000000002E-2</v>
      </c>
      <c r="N605" s="3">
        <v>5.3959E-2</v>
      </c>
      <c r="O605" s="3">
        <v>5.7730200000000002E-2</v>
      </c>
      <c r="P605" s="3">
        <v>6.3112600000000005E-2</v>
      </c>
      <c r="Q605" s="3">
        <v>7.0587300000000006E-2</v>
      </c>
      <c r="R605" s="3">
        <v>8.0192399999999997E-2</v>
      </c>
      <c r="S605" s="3">
        <v>9.1791399999999995E-2</v>
      </c>
      <c r="T605" s="3">
        <v>0.1052472</v>
      </c>
      <c r="U605" s="3">
        <v>0.12042310000000001</v>
      </c>
      <c r="V605" s="3">
        <v>0.1371822</v>
      </c>
      <c r="W605" s="3">
        <v>0.15537519999999999</v>
      </c>
      <c r="X605" s="3">
        <v>0.17478949999999999</v>
      </c>
      <c r="Y605" s="3">
        <v>0.19519210000000001</v>
      </c>
      <c r="Z605" s="3">
        <v>0.21635019999999999</v>
      </c>
      <c r="AA605" s="3">
        <v>0.23803089999999999</v>
      </c>
      <c r="AB605" s="3">
        <v>0.26000129999999999</v>
      </c>
      <c r="AC605" s="3">
        <v>0.2820529</v>
      </c>
      <c r="AD605" s="3">
        <v>0.30409710000000001</v>
      </c>
      <c r="AE605" s="3">
        <v>0.32608140000000002</v>
      </c>
      <c r="AF605" s="3">
        <v>0.34795330000000002</v>
      </c>
      <c r="AG605" s="3">
        <v>0.3696604</v>
      </c>
      <c r="AH605" s="3">
        <v>0.39115030000000001</v>
      </c>
      <c r="AI605" s="3">
        <v>0.41237059999999998</v>
      </c>
      <c r="AJ605" s="3">
        <v>0.43326890000000001</v>
      </c>
      <c r="AK605" s="3">
        <v>0.45379269999999999</v>
      </c>
      <c r="AL605" s="3">
        <v>0.47388960000000002</v>
      </c>
      <c r="AM605" s="3">
        <v>0.49350729999999998</v>
      </c>
      <c r="AN605" s="3">
        <v>0.51259319999999997</v>
      </c>
      <c r="AO605" s="3">
        <v>0.53110520000000006</v>
      </c>
      <c r="AP605" s="3">
        <v>0.5490469</v>
      </c>
      <c r="AQ605" s="3">
        <v>0.56643429999999995</v>
      </c>
      <c r="AR605" s="3">
        <v>0.58328340000000001</v>
      </c>
      <c r="AS605" s="3">
        <v>0.59961019999999998</v>
      </c>
      <c r="AT605" s="3">
        <v>0.61543079999999994</v>
      </c>
      <c r="AU605" s="3">
        <v>0.63076109999999996</v>
      </c>
      <c r="AV605" s="3">
        <v>0.64561729999999995</v>
      </c>
      <c r="AW605" s="3">
        <v>0.66001540000000003</v>
      </c>
      <c r="AX605" s="3">
        <v>0.67397130000000005</v>
      </c>
      <c r="AY605" s="3">
        <v>0.68750120000000003</v>
      </c>
      <c r="AZ605" s="3">
        <v>0.70062100000000005</v>
      </c>
      <c r="BA605" s="3">
        <v>0.7133467</v>
      </c>
      <c r="BB605" s="3">
        <v>0.72569360000000005</v>
      </c>
      <c r="BC605" s="3">
        <v>0.73767669999999996</v>
      </c>
      <c r="BD605" s="3">
        <v>0.74931139999999996</v>
      </c>
      <c r="BE605" s="3">
        <v>0.76061259999999997</v>
      </c>
      <c r="BF605" s="3">
        <v>0.77159549999999999</v>
      </c>
      <c r="BG605" s="3">
        <v>0.78227530000000001</v>
      </c>
      <c r="BH605" s="3">
        <v>0.79266709999999996</v>
      </c>
      <c r="BI605" s="3">
        <v>0.80278609999999995</v>
      </c>
      <c r="BJ605" s="3">
        <v>0.81264740000000002</v>
      </c>
      <c r="BK605" s="3">
        <v>0.8222661</v>
      </c>
      <c r="BL605" s="3">
        <v>0.83165750000000005</v>
      </c>
      <c r="BM605" s="3" t="e">
        <v>#N/A</v>
      </c>
      <c r="BN605" s="3" t="e">
        <v>#N/A</v>
      </c>
    </row>
    <row r="606" spans="1:66" x14ac:dyDescent="0.35">
      <c r="A606" s="5">
        <f t="shared" si="9"/>
        <v>44302</v>
      </c>
      <c r="B606" t="s">
        <v>683</v>
      </c>
      <c r="C606" s="2">
        <v>0.1</v>
      </c>
      <c r="D606" s="2">
        <v>4.8000000000000001E-2</v>
      </c>
      <c r="E606" s="3">
        <v>4.79259E-2</v>
      </c>
      <c r="F606" s="3">
        <v>4.7849599999999999E-2</v>
      </c>
      <c r="G606" s="3">
        <v>4.9688700000000002E-2</v>
      </c>
      <c r="H606" s="3">
        <v>5.0989199999999998E-2</v>
      </c>
      <c r="I606" s="3">
        <v>5.1070200000000003E-2</v>
      </c>
      <c r="J606" s="3">
        <v>5.0798799999999998E-2</v>
      </c>
      <c r="K606" s="3">
        <v>5.0938700000000003E-2</v>
      </c>
      <c r="L606" s="3">
        <v>5.1852000000000002E-2</v>
      </c>
      <c r="M606" s="3">
        <v>5.3652199999999997E-2</v>
      </c>
      <c r="N606" s="3">
        <v>5.64775E-2</v>
      </c>
      <c r="O606" s="3">
        <v>6.0582900000000002E-2</v>
      </c>
      <c r="P606" s="3">
        <v>6.6382899999999995E-2</v>
      </c>
      <c r="Q606" s="3">
        <v>7.4410100000000007E-2</v>
      </c>
      <c r="R606" s="3">
        <v>8.4693900000000003E-2</v>
      </c>
      <c r="S606" s="3">
        <v>9.7078999999999999E-2</v>
      </c>
      <c r="T606" s="3">
        <v>0.1114103</v>
      </c>
      <c r="U606" s="3">
        <v>0.12753249999999999</v>
      </c>
      <c r="V606" s="3">
        <v>0.14529049999999999</v>
      </c>
      <c r="W606" s="3">
        <v>0.16451370000000001</v>
      </c>
      <c r="X606" s="3">
        <v>0.1849615</v>
      </c>
      <c r="Y606" s="3">
        <v>0.2063728</v>
      </c>
      <c r="Z606" s="3">
        <v>0.22848640000000001</v>
      </c>
      <c r="AA606" s="3">
        <v>0.25104120000000002</v>
      </c>
      <c r="AB606" s="3">
        <v>0.27377610000000002</v>
      </c>
      <c r="AC606" s="3">
        <v>0.2964637</v>
      </c>
      <c r="AD606" s="3">
        <v>0.31902520000000001</v>
      </c>
      <c r="AE606" s="3">
        <v>0.34142299999999998</v>
      </c>
      <c r="AF606" s="3">
        <v>0.36361929999999998</v>
      </c>
      <c r="AG606" s="3">
        <v>0.38557649999999999</v>
      </c>
      <c r="AH606" s="3">
        <v>0.40725679999999997</v>
      </c>
      <c r="AI606" s="3">
        <v>0.42862270000000002</v>
      </c>
      <c r="AJ606" s="3">
        <v>0.44963629999999999</v>
      </c>
      <c r="AK606" s="3">
        <v>0.47026000000000001</v>
      </c>
      <c r="AL606" s="3">
        <v>0.490456</v>
      </c>
      <c r="AM606" s="3">
        <v>0.51018680000000005</v>
      </c>
      <c r="AN606" s="3">
        <v>0.52941450000000001</v>
      </c>
      <c r="AO606" s="3">
        <v>0.54810979999999998</v>
      </c>
      <c r="AP606" s="3">
        <v>0.56627939999999999</v>
      </c>
      <c r="AQ606" s="3">
        <v>0.58394029999999997</v>
      </c>
      <c r="AR606" s="3">
        <v>0.60110920000000001</v>
      </c>
      <c r="AS606" s="3">
        <v>0.61780310000000005</v>
      </c>
      <c r="AT606" s="3">
        <v>0.63403880000000001</v>
      </c>
      <c r="AU606" s="3">
        <v>0.64983310000000005</v>
      </c>
      <c r="AV606" s="3">
        <v>0.66520299999999999</v>
      </c>
      <c r="AW606" s="3">
        <v>0.68016520000000003</v>
      </c>
      <c r="AX606" s="3">
        <v>0.69473660000000004</v>
      </c>
      <c r="AY606" s="3">
        <v>0.70893410000000001</v>
      </c>
      <c r="AZ606" s="3">
        <v>0.72277460000000004</v>
      </c>
      <c r="BA606" s="3">
        <v>0.73627399999999998</v>
      </c>
      <c r="BB606" s="3">
        <v>0.74944460000000002</v>
      </c>
      <c r="BC606" s="3">
        <v>0.76229769999999997</v>
      </c>
      <c r="BD606" s="3">
        <v>0.77484430000000004</v>
      </c>
      <c r="BE606" s="3">
        <v>0.78709589999999996</v>
      </c>
      <c r="BF606" s="3">
        <v>0.79906350000000004</v>
      </c>
      <c r="BG606" s="3">
        <v>0.81075839999999999</v>
      </c>
      <c r="BH606" s="3">
        <v>0.82219189999999998</v>
      </c>
      <c r="BI606" s="3">
        <v>0.83337499999999998</v>
      </c>
      <c r="BJ606" s="3">
        <v>0.84431920000000005</v>
      </c>
      <c r="BK606" s="3">
        <v>0.85503549999999995</v>
      </c>
      <c r="BL606" s="3">
        <v>0.86553519999999995</v>
      </c>
      <c r="BM606" s="3" t="e">
        <v>#N/A</v>
      </c>
      <c r="BN606" s="3" t="e">
        <v>#N/A</v>
      </c>
    </row>
    <row r="607" spans="1:66" x14ac:dyDescent="0.35">
      <c r="A607" s="5">
        <f t="shared" si="9"/>
        <v>44305</v>
      </c>
      <c r="B607" t="s">
        <v>684</v>
      </c>
      <c r="C607" s="2">
        <v>0.1</v>
      </c>
      <c r="D607" s="2">
        <v>4.82E-2</v>
      </c>
      <c r="E607" s="3">
        <v>4.7059499999999997E-2</v>
      </c>
      <c r="F607" s="3">
        <v>4.9385900000000003E-2</v>
      </c>
      <c r="G607" s="3">
        <v>5.0685899999999999E-2</v>
      </c>
      <c r="H607" s="3">
        <v>5.0887300000000003E-2</v>
      </c>
      <c r="I607" s="3">
        <v>5.0075399999999999E-2</v>
      </c>
      <c r="J607" s="3">
        <v>4.8451899999999999E-2</v>
      </c>
      <c r="K607" s="3">
        <v>4.6934499999999997E-2</v>
      </c>
      <c r="L607" s="3">
        <v>4.6583600000000003E-2</v>
      </c>
      <c r="M607" s="3">
        <v>4.8070799999999997E-2</v>
      </c>
      <c r="N607" s="3">
        <v>5.1391199999999998E-2</v>
      </c>
      <c r="O607" s="3">
        <v>5.64751E-2</v>
      </c>
      <c r="P607" s="3">
        <v>6.3482300000000005E-2</v>
      </c>
      <c r="Q607" s="3">
        <v>7.2527400000000006E-2</v>
      </c>
      <c r="R607" s="3">
        <v>8.3542199999999997E-2</v>
      </c>
      <c r="S607" s="3">
        <v>9.6419099999999994E-2</v>
      </c>
      <c r="T607" s="3">
        <v>0.1110506</v>
      </c>
      <c r="U607" s="3">
        <v>0.1273292</v>
      </c>
      <c r="V607" s="3">
        <v>0.14514750000000001</v>
      </c>
      <c r="W607" s="3">
        <v>0.16437550000000001</v>
      </c>
      <c r="X607" s="3">
        <v>0.18479010000000001</v>
      </c>
      <c r="Y607" s="3">
        <v>0.20614350000000001</v>
      </c>
      <c r="Z607" s="3">
        <v>0.22818769999999999</v>
      </c>
      <c r="AA607" s="3">
        <v>0.25067509999999998</v>
      </c>
      <c r="AB607" s="3">
        <v>0.27335769999999998</v>
      </c>
      <c r="AC607" s="3">
        <v>0.2960217</v>
      </c>
      <c r="AD607" s="3">
        <v>0.31858890000000001</v>
      </c>
      <c r="AE607" s="3">
        <v>0.34101500000000001</v>
      </c>
      <c r="AF607" s="3">
        <v>0.36325590000000002</v>
      </c>
      <c r="AG607" s="3">
        <v>0.38526719999999998</v>
      </c>
      <c r="AH607" s="3">
        <v>0.4070047</v>
      </c>
      <c r="AI607" s="3">
        <v>0.42842429999999998</v>
      </c>
      <c r="AJ607" s="3">
        <v>0.44948159999999998</v>
      </c>
      <c r="AK607" s="3">
        <v>0.4701323</v>
      </c>
      <c r="AL607" s="3">
        <v>0.4903323</v>
      </c>
      <c r="AM607" s="3">
        <v>0.51003730000000003</v>
      </c>
      <c r="AN607" s="3">
        <v>0.52920310000000004</v>
      </c>
      <c r="AO607" s="3">
        <v>0.54779480000000003</v>
      </c>
      <c r="AP607" s="3">
        <v>0.56581899999999996</v>
      </c>
      <c r="AQ607" s="3">
        <v>0.58329399999999998</v>
      </c>
      <c r="AR607" s="3">
        <v>0.60023780000000004</v>
      </c>
      <c r="AS607" s="3">
        <v>0.61666860000000001</v>
      </c>
      <c r="AT607" s="3">
        <v>0.63260450000000001</v>
      </c>
      <c r="AU607" s="3">
        <v>0.64806350000000001</v>
      </c>
      <c r="AV607" s="3">
        <v>0.66306390000000004</v>
      </c>
      <c r="AW607" s="3">
        <v>0.67762370000000005</v>
      </c>
      <c r="AX607" s="3">
        <v>0.69176110000000002</v>
      </c>
      <c r="AY607" s="3">
        <v>0.70549419999999996</v>
      </c>
      <c r="AZ607" s="3">
        <v>0.71884119999999996</v>
      </c>
      <c r="BA607" s="3">
        <v>0.73181949999999996</v>
      </c>
      <c r="BB607" s="3">
        <v>0.74444319999999997</v>
      </c>
      <c r="BC607" s="3">
        <v>0.75672519999999999</v>
      </c>
      <c r="BD607" s="3">
        <v>0.76867830000000004</v>
      </c>
      <c r="BE607" s="3">
        <v>0.78031530000000004</v>
      </c>
      <c r="BF607" s="3">
        <v>0.79164909999999999</v>
      </c>
      <c r="BG607" s="3">
        <v>0.80269230000000003</v>
      </c>
      <c r="BH607" s="3">
        <v>0.81345789999999996</v>
      </c>
      <c r="BI607" s="3">
        <v>0.82395859999999999</v>
      </c>
      <c r="BJ607" s="3">
        <v>0.83420729999999998</v>
      </c>
      <c r="BK607" s="3">
        <v>0.84421670000000004</v>
      </c>
      <c r="BL607" s="3">
        <v>0.85399979999999998</v>
      </c>
      <c r="BM607" s="3" t="e">
        <v>#N/A</v>
      </c>
      <c r="BN607" s="3" t="e">
        <v>#N/A</v>
      </c>
    </row>
    <row r="608" spans="1:66" x14ac:dyDescent="0.35">
      <c r="A608" s="5">
        <f t="shared" si="9"/>
        <v>44306</v>
      </c>
      <c r="B608" t="s">
        <v>685</v>
      </c>
      <c r="C608" s="2">
        <v>0.1</v>
      </c>
      <c r="D608" s="2">
        <v>4.8000000000000001E-2</v>
      </c>
      <c r="E608" s="3">
        <v>4.9974400000000002E-2</v>
      </c>
      <c r="F608" s="3">
        <v>4.97253E-2</v>
      </c>
      <c r="G608" s="3">
        <v>4.9479500000000003E-2</v>
      </c>
      <c r="H608" s="3">
        <v>4.9264200000000001E-2</v>
      </c>
      <c r="I608" s="3">
        <v>4.9178300000000001E-2</v>
      </c>
      <c r="J608" s="3">
        <v>4.9396599999999999E-2</v>
      </c>
      <c r="K608" s="3">
        <v>4.9941300000000001E-2</v>
      </c>
      <c r="L608" s="3">
        <v>5.0789399999999998E-2</v>
      </c>
      <c r="M608" s="3">
        <v>5.2146900000000003E-2</v>
      </c>
      <c r="N608" s="3">
        <v>5.4364500000000003E-2</v>
      </c>
      <c r="O608" s="3">
        <v>5.7861000000000003E-2</v>
      </c>
      <c r="P608" s="3">
        <v>6.3162700000000002E-2</v>
      </c>
      <c r="Q608" s="3">
        <v>7.0924500000000001E-2</v>
      </c>
      <c r="R608" s="3">
        <v>8.1117599999999998E-2</v>
      </c>
      <c r="S608" s="3">
        <v>9.3521900000000005E-2</v>
      </c>
      <c r="T608" s="3">
        <v>0.1079172</v>
      </c>
      <c r="U608" s="3">
        <v>0.1240831</v>
      </c>
      <c r="V608" s="3">
        <v>0.1417996</v>
      </c>
      <c r="W608" s="3">
        <v>0.1608406</v>
      </c>
      <c r="X608" s="3">
        <v>0.1809567</v>
      </c>
      <c r="Y608" s="3">
        <v>0.20189199999999999</v>
      </c>
      <c r="Z608" s="3">
        <v>0.22339049999999999</v>
      </c>
      <c r="AA608" s="3">
        <v>0.24519640000000001</v>
      </c>
      <c r="AB608" s="3">
        <v>0.26705380000000001</v>
      </c>
      <c r="AC608" s="3">
        <v>0.28874569999999999</v>
      </c>
      <c r="AD608" s="3">
        <v>0.31021019999999999</v>
      </c>
      <c r="AE608" s="3">
        <v>0.33142430000000001</v>
      </c>
      <c r="AF608" s="3">
        <v>0.35236499999999998</v>
      </c>
      <c r="AG608" s="3">
        <v>0.37300919999999999</v>
      </c>
      <c r="AH608" s="3">
        <v>0.39333390000000001</v>
      </c>
      <c r="AI608" s="3">
        <v>0.41331600000000002</v>
      </c>
      <c r="AJ608" s="3">
        <v>0.4329325</v>
      </c>
      <c r="AK608" s="3">
        <v>0.45216040000000002</v>
      </c>
      <c r="AL608" s="3">
        <v>0.47097660000000002</v>
      </c>
      <c r="AM608" s="3">
        <v>0.48935810000000002</v>
      </c>
      <c r="AN608" s="3">
        <v>0.5072818</v>
      </c>
      <c r="AO608" s="3">
        <v>0.52472929999999995</v>
      </c>
      <c r="AP608" s="3">
        <v>0.54170589999999996</v>
      </c>
      <c r="AQ608" s="3">
        <v>0.55822510000000003</v>
      </c>
      <c r="AR608" s="3">
        <v>0.57430040000000004</v>
      </c>
      <c r="AS608" s="3">
        <v>0.58994539999999995</v>
      </c>
      <c r="AT608" s="3">
        <v>0.60517350000000003</v>
      </c>
      <c r="AU608" s="3">
        <v>0.6199983</v>
      </c>
      <c r="AV608" s="3">
        <v>0.63443320000000003</v>
      </c>
      <c r="AW608" s="3">
        <v>0.64849179999999995</v>
      </c>
      <c r="AX608" s="3">
        <v>0.66218750000000004</v>
      </c>
      <c r="AY608" s="3">
        <v>0.67553390000000002</v>
      </c>
      <c r="AZ608" s="3">
        <v>0.68854439999999995</v>
      </c>
      <c r="BA608" s="3">
        <v>0.70123210000000002</v>
      </c>
      <c r="BB608" s="3">
        <v>0.71360710000000005</v>
      </c>
      <c r="BC608" s="3">
        <v>0.7256785</v>
      </c>
      <c r="BD608" s="3">
        <v>0.73745570000000005</v>
      </c>
      <c r="BE608" s="3">
        <v>0.74894760000000005</v>
      </c>
      <c r="BF608" s="3">
        <v>0.7601637</v>
      </c>
      <c r="BG608" s="3">
        <v>0.77111300000000005</v>
      </c>
      <c r="BH608" s="3">
        <v>0.78180470000000002</v>
      </c>
      <c r="BI608" s="3">
        <v>0.79224810000000001</v>
      </c>
      <c r="BJ608" s="3">
        <v>0.80245230000000001</v>
      </c>
      <c r="BK608" s="3">
        <v>0.81242650000000005</v>
      </c>
      <c r="BL608" s="3">
        <v>0.82217989999999996</v>
      </c>
      <c r="BM608" s="3" t="e">
        <v>#N/A</v>
      </c>
      <c r="BN608" s="3" t="e">
        <v>#N/A</v>
      </c>
    </row>
    <row r="609" spans="1:66" x14ac:dyDescent="0.35">
      <c r="A609" s="5">
        <f t="shared" si="9"/>
        <v>44307</v>
      </c>
      <c r="B609" t="s">
        <v>686</v>
      </c>
      <c r="C609" s="2">
        <v>0.1</v>
      </c>
      <c r="D609" s="2">
        <v>4.8099999999999997E-2</v>
      </c>
      <c r="E609" s="3">
        <v>5.0472299999999998E-2</v>
      </c>
      <c r="F609" s="3">
        <v>5.0014700000000002E-2</v>
      </c>
      <c r="G609" s="3">
        <v>4.9680500000000002E-2</v>
      </c>
      <c r="H609" s="3">
        <v>4.9964000000000001E-2</v>
      </c>
      <c r="I609" s="3">
        <v>5.1161999999999999E-2</v>
      </c>
      <c r="J609" s="3">
        <v>5.31376E-2</v>
      </c>
      <c r="K609" s="3">
        <v>5.55019E-2</v>
      </c>
      <c r="L609" s="3">
        <v>5.7783800000000003E-2</v>
      </c>
      <c r="M609" s="3">
        <v>5.9822199999999999E-2</v>
      </c>
      <c r="N609" s="3">
        <v>6.1733499999999997E-2</v>
      </c>
      <c r="O609" s="3">
        <v>6.3917100000000004E-2</v>
      </c>
      <c r="P609" s="3">
        <v>6.7264199999999996E-2</v>
      </c>
      <c r="Q609" s="3">
        <v>7.3089100000000004E-2</v>
      </c>
      <c r="R609" s="3">
        <v>8.1546900000000005E-2</v>
      </c>
      <c r="S609" s="3">
        <v>9.2463199999999995E-2</v>
      </c>
      <c r="T609" s="3">
        <v>0.10566349999999999</v>
      </c>
      <c r="U609" s="3">
        <v>0.12097330000000001</v>
      </c>
      <c r="V609" s="3">
        <v>0.13821820000000001</v>
      </c>
      <c r="W609" s="3">
        <v>0.15720100000000001</v>
      </c>
      <c r="X609" s="3">
        <v>0.1776298</v>
      </c>
      <c r="Y609" s="3">
        <v>0.1991878</v>
      </c>
      <c r="Z609" s="3">
        <v>0.2215579</v>
      </c>
      <c r="AA609" s="3">
        <v>0.24442330000000001</v>
      </c>
      <c r="AB609" s="3">
        <v>0.26746700000000001</v>
      </c>
      <c r="AC609" s="3">
        <v>0.29041869999999997</v>
      </c>
      <c r="AD609" s="3">
        <v>0.31319399999999997</v>
      </c>
      <c r="AE609" s="3">
        <v>0.33575480000000002</v>
      </c>
      <c r="AF609" s="3">
        <v>0.35806329999999997</v>
      </c>
      <c r="AG609" s="3">
        <v>0.38008150000000002</v>
      </c>
      <c r="AH609" s="3">
        <v>0.4017715</v>
      </c>
      <c r="AI609" s="3">
        <v>0.42309540000000001</v>
      </c>
      <c r="AJ609" s="3">
        <v>0.4440152</v>
      </c>
      <c r="AK609" s="3">
        <v>0.46449299999999999</v>
      </c>
      <c r="AL609" s="3">
        <v>0.4844909</v>
      </c>
      <c r="AM609" s="3">
        <v>0.50397080000000005</v>
      </c>
      <c r="AN609" s="3">
        <v>0.522895</v>
      </c>
      <c r="AO609" s="3">
        <v>0.54123330000000003</v>
      </c>
      <c r="AP609" s="3">
        <v>0.55899370000000004</v>
      </c>
      <c r="AQ609" s="3">
        <v>0.57619589999999998</v>
      </c>
      <c r="AR609" s="3">
        <v>0.59285969999999999</v>
      </c>
      <c r="AS609" s="3">
        <v>0.60900469999999995</v>
      </c>
      <c r="AT609" s="3">
        <v>0.62465059999999994</v>
      </c>
      <c r="AU609" s="3">
        <v>0.63981710000000003</v>
      </c>
      <c r="AV609" s="3">
        <v>0.65452390000000005</v>
      </c>
      <c r="AW609" s="3">
        <v>0.66879060000000001</v>
      </c>
      <c r="AX609" s="3">
        <v>0.68263689999999999</v>
      </c>
      <c r="AY609" s="3">
        <v>0.6960826</v>
      </c>
      <c r="AZ609" s="3">
        <v>0.70914719999999998</v>
      </c>
      <c r="BA609" s="3">
        <v>0.72184959999999998</v>
      </c>
      <c r="BB609" s="3">
        <v>0.73420370000000001</v>
      </c>
      <c r="BC609" s="3">
        <v>0.74622180000000005</v>
      </c>
      <c r="BD609" s="3">
        <v>0.75791649999999999</v>
      </c>
      <c r="BE609" s="3">
        <v>0.76930019999999999</v>
      </c>
      <c r="BF609" s="3">
        <v>0.78038540000000001</v>
      </c>
      <c r="BG609" s="3">
        <v>0.79118460000000002</v>
      </c>
      <c r="BH609" s="3">
        <v>0.80171020000000004</v>
      </c>
      <c r="BI609" s="3">
        <v>0.81197470000000005</v>
      </c>
      <c r="BJ609" s="3">
        <v>0.82199049999999996</v>
      </c>
      <c r="BK609" s="3">
        <v>0.83177009999999996</v>
      </c>
      <c r="BL609" s="3">
        <v>0.84132609999999997</v>
      </c>
      <c r="BM609" s="3" t="e">
        <v>#N/A</v>
      </c>
      <c r="BN609" s="3" t="e">
        <v>#N/A</v>
      </c>
    </row>
    <row r="610" spans="1:66" x14ac:dyDescent="0.35">
      <c r="A610" s="5">
        <f t="shared" si="9"/>
        <v>44308</v>
      </c>
      <c r="B610" t="s">
        <v>687</v>
      </c>
      <c r="C610" s="2">
        <v>0.1</v>
      </c>
      <c r="D610" s="2">
        <v>4.87E-2</v>
      </c>
      <c r="E610" s="3">
        <v>5.0040300000000003E-2</v>
      </c>
      <c r="F610" s="3">
        <v>4.9657699999999999E-2</v>
      </c>
      <c r="G610" s="3">
        <v>4.9725100000000001E-2</v>
      </c>
      <c r="H610" s="3">
        <v>4.9805799999999997E-2</v>
      </c>
      <c r="I610" s="3">
        <v>4.9656499999999999E-2</v>
      </c>
      <c r="J610" s="3">
        <v>4.9445700000000002E-2</v>
      </c>
      <c r="K610" s="3">
        <v>4.95453E-2</v>
      </c>
      <c r="L610" s="3">
        <v>5.0373000000000001E-2</v>
      </c>
      <c r="M610" s="3">
        <v>5.2273E-2</v>
      </c>
      <c r="N610" s="3">
        <v>5.5529799999999997E-2</v>
      </c>
      <c r="O610" s="3">
        <v>6.0340999999999999E-2</v>
      </c>
      <c r="P610" s="3">
        <v>6.7004599999999997E-2</v>
      </c>
      <c r="Q610" s="3">
        <v>7.5835100000000003E-2</v>
      </c>
      <c r="R610" s="3">
        <v>8.6750800000000003E-2</v>
      </c>
      <c r="S610" s="3">
        <v>9.9565299999999995E-2</v>
      </c>
      <c r="T610" s="3">
        <v>0.1140924</v>
      </c>
      <c r="U610" s="3">
        <v>0.13014590000000001</v>
      </c>
      <c r="V610" s="3">
        <v>0.14753949999999999</v>
      </c>
      <c r="W610" s="3">
        <v>0.1660875</v>
      </c>
      <c r="X610" s="3">
        <v>0.18560570000000001</v>
      </c>
      <c r="Y610" s="3">
        <v>0.20591090000000001</v>
      </c>
      <c r="Z610" s="3">
        <v>0.22681989999999999</v>
      </c>
      <c r="AA610" s="3">
        <v>0.24814910000000001</v>
      </c>
      <c r="AB610" s="3">
        <v>0.26971539999999999</v>
      </c>
      <c r="AC610" s="3">
        <v>0.291354</v>
      </c>
      <c r="AD610" s="3">
        <v>0.3129921</v>
      </c>
      <c r="AE610" s="3">
        <v>0.33458450000000001</v>
      </c>
      <c r="AF610" s="3">
        <v>0.35608590000000001</v>
      </c>
      <c r="AG610" s="3">
        <v>0.37745109999999998</v>
      </c>
      <c r="AH610" s="3">
        <v>0.39863510000000002</v>
      </c>
      <c r="AI610" s="3">
        <v>0.41959259999999998</v>
      </c>
      <c r="AJ610" s="3">
        <v>0.44027850000000002</v>
      </c>
      <c r="AK610" s="3">
        <v>0.46064749999999999</v>
      </c>
      <c r="AL610" s="3">
        <v>0.48065459999999999</v>
      </c>
      <c r="AM610" s="3">
        <v>0.50025450000000005</v>
      </c>
      <c r="AN610" s="3">
        <v>0.51940200000000003</v>
      </c>
      <c r="AO610" s="3">
        <v>0.53805999999999998</v>
      </c>
      <c r="AP610" s="3">
        <v>0.55622590000000005</v>
      </c>
      <c r="AQ610" s="3">
        <v>0.5739069</v>
      </c>
      <c r="AR610" s="3">
        <v>0.59111029999999998</v>
      </c>
      <c r="AS610" s="3">
        <v>0.60784320000000003</v>
      </c>
      <c r="AT610" s="3">
        <v>0.62411280000000002</v>
      </c>
      <c r="AU610" s="3">
        <v>0.63992629999999995</v>
      </c>
      <c r="AV610" s="3">
        <v>0.65529079999999995</v>
      </c>
      <c r="AW610" s="3">
        <v>0.67021359999999996</v>
      </c>
      <c r="AX610" s="3">
        <v>0.68470189999999997</v>
      </c>
      <c r="AY610" s="3">
        <v>0.69876280000000002</v>
      </c>
      <c r="AZ610" s="3">
        <v>0.71240360000000003</v>
      </c>
      <c r="BA610" s="3">
        <v>0.72563239999999996</v>
      </c>
      <c r="BB610" s="3">
        <v>0.73846250000000002</v>
      </c>
      <c r="BC610" s="3">
        <v>0.75090820000000003</v>
      </c>
      <c r="BD610" s="3">
        <v>0.76298410000000005</v>
      </c>
      <c r="BE610" s="3">
        <v>0.77470450000000002</v>
      </c>
      <c r="BF610" s="3">
        <v>0.78608389999999995</v>
      </c>
      <c r="BG610" s="3">
        <v>0.79713679999999998</v>
      </c>
      <c r="BH610" s="3">
        <v>0.80787759999999997</v>
      </c>
      <c r="BI610" s="3">
        <v>0.81832079999999996</v>
      </c>
      <c r="BJ610" s="3">
        <v>0.82848080000000002</v>
      </c>
      <c r="BK610" s="3">
        <v>0.83837200000000001</v>
      </c>
      <c r="BL610" s="3">
        <v>0.84800889999999995</v>
      </c>
      <c r="BM610" s="3" t="e">
        <v>#N/A</v>
      </c>
      <c r="BN610" s="3" t="e">
        <v>#N/A</v>
      </c>
    </row>
    <row r="611" spans="1:66" x14ac:dyDescent="0.35">
      <c r="A611" s="5">
        <f t="shared" si="9"/>
        <v>44309</v>
      </c>
      <c r="B611" t="s">
        <v>688</v>
      </c>
      <c r="C611" s="2">
        <v>0.1</v>
      </c>
      <c r="D611" s="2">
        <v>4.9099999999999998E-2</v>
      </c>
      <c r="E611" s="3">
        <v>5.1402200000000002E-2</v>
      </c>
      <c r="F611" s="3">
        <v>5.0417999999999998E-2</v>
      </c>
      <c r="G611" s="3">
        <v>4.9244299999999998E-2</v>
      </c>
      <c r="H611" s="3">
        <v>4.83385E-2</v>
      </c>
      <c r="I611" s="3">
        <v>4.82193E-2</v>
      </c>
      <c r="J611" s="3">
        <v>4.9124300000000003E-2</v>
      </c>
      <c r="K611" s="3">
        <v>5.10848E-2</v>
      </c>
      <c r="L611" s="3">
        <v>5.4018999999999998E-2</v>
      </c>
      <c r="M611" s="3">
        <v>5.77125E-2</v>
      </c>
      <c r="N611" s="3">
        <v>6.1992100000000001E-2</v>
      </c>
      <c r="O611" s="3">
        <v>6.6892499999999994E-2</v>
      </c>
      <c r="P611" s="3">
        <v>7.27405E-2</v>
      </c>
      <c r="Q611" s="3">
        <v>8.0815300000000007E-2</v>
      </c>
      <c r="R611" s="3">
        <v>9.1345200000000001E-2</v>
      </c>
      <c r="S611" s="3">
        <v>0.104148</v>
      </c>
      <c r="T611" s="3">
        <v>0.1190413</v>
      </c>
      <c r="U611" s="3">
        <v>0.13584270000000001</v>
      </c>
      <c r="V611" s="3">
        <v>0.1543699</v>
      </c>
      <c r="W611" s="3">
        <v>0.17442279999999999</v>
      </c>
      <c r="X611" s="3">
        <v>0.19571910000000001</v>
      </c>
      <c r="Y611" s="3">
        <v>0.2179526</v>
      </c>
      <c r="Z611" s="3">
        <v>0.240817</v>
      </c>
      <c r="AA611" s="3">
        <v>0.26400630000000003</v>
      </c>
      <c r="AB611" s="3">
        <v>0.28721419999999998</v>
      </c>
      <c r="AC611" s="3">
        <v>0.31017749999999999</v>
      </c>
      <c r="AD611" s="3">
        <v>0.3328237</v>
      </c>
      <c r="AE611" s="3">
        <v>0.35513230000000001</v>
      </c>
      <c r="AF611" s="3">
        <v>0.37708320000000001</v>
      </c>
      <c r="AG611" s="3">
        <v>0.39865600000000001</v>
      </c>
      <c r="AH611" s="3">
        <v>0.4198306</v>
      </c>
      <c r="AI611" s="3">
        <v>0.44058659999999999</v>
      </c>
      <c r="AJ611" s="3">
        <v>0.46090379999999997</v>
      </c>
      <c r="AK611" s="3">
        <v>0.48076190000000002</v>
      </c>
      <c r="AL611" s="3">
        <v>0.50014080000000005</v>
      </c>
      <c r="AM611" s="3">
        <v>0.51902000000000004</v>
      </c>
      <c r="AN611" s="3">
        <v>0.53737939999999995</v>
      </c>
      <c r="AO611" s="3">
        <v>0.55520440000000004</v>
      </c>
      <c r="AP611" s="3">
        <v>0.57250579999999995</v>
      </c>
      <c r="AQ611" s="3">
        <v>0.58930139999999998</v>
      </c>
      <c r="AR611" s="3">
        <v>0.60560910000000001</v>
      </c>
      <c r="AS611" s="3">
        <v>0.62144650000000001</v>
      </c>
      <c r="AT611" s="3">
        <v>0.63683160000000005</v>
      </c>
      <c r="AU611" s="3">
        <v>0.65178199999999997</v>
      </c>
      <c r="AV611" s="3">
        <v>0.66631549999999995</v>
      </c>
      <c r="AW611" s="3">
        <v>0.68045</v>
      </c>
      <c r="AX611" s="3">
        <v>0.69420320000000002</v>
      </c>
      <c r="AY611" s="3">
        <v>0.70759289999999997</v>
      </c>
      <c r="AZ611" s="3">
        <v>0.72063690000000002</v>
      </c>
      <c r="BA611" s="3">
        <v>0.73335189999999995</v>
      </c>
      <c r="BB611" s="3">
        <v>0.745749</v>
      </c>
      <c r="BC611" s="3">
        <v>0.75783829999999996</v>
      </c>
      <c r="BD611" s="3">
        <v>0.76962960000000002</v>
      </c>
      <c r="BE611" s="3">
        <v>0.78113270000000001</v>
      </c>
      <c r="BF611" s="3">
        <v>0.7923576</v>
      </c>
      <c r="BG611" s="3">
        <v>0.80331419999999998</v>
      </c>
      <c r="BH611" s="3">
        <v>0.81401219999999996</v>
      </c>
      <c r="BI611" s="3">
        <v>0.82446169999999996</v>
      </c>
      <c r="BJ611" s="3">
        <v>0.83467250000000004</v>
      </c>
      <c r="BK611" s="3">
        <v>0.84465440000000003</v>
      </c>
      <c r="BL611" s="3">
        <v>0.85441739999999999</v>
      </c>
      <c r="BM611" s="3" t="e">
        <v>#N/A</v>
      </c>
      <c r="BN611" s="3" t="e">
        <v>#N/A</v>
      </c>
    </row>
    <row r="612" spans="1:66" x14ac:dyDescent="0.35">
      <c r="A612" s="5">
        <f t="shared" si="9"/>
        <v>44312</v>
      </c>
      <c r="B612" t="s">
        <v>689</v>
      </c>
      <c r="C612" s="2">
        <v>0.1</v>
      </c>
      <c r="D612" s="2">
        <v>4.8599999999999997E-2</v>
      </c>
      <c r="E612" s="3">
        <v>5.0132400000000001E-2</v>
      </c>
      <c r="F612" s="3">
        <v>4.9602599999999997E-2</v>
      </c>
      <c r="G612" s="3">
        <v>4.9339300000000003E-2</v>
      </c>
      <c r="H612" s="3">
        <v>4.90593E-2</v>
      </c>
      <c r="I612" s="3">
        <v>4.8825100000000003E-2</v>
      </c>
      <c r="J612" s="3">
        <v>4.9014599999999998E-2</v>
      </c>
      <c r="K612" s="3">
        <v>5.01418E-2</v>
      </c>
      <c r="L612" s="3">
        <v>5.2633600000000003E-2</v>
      </c>
      <c r="M612" s="3">
        <v>5.6763300000000003E-2</v>
      </c>
      <c r="N612" s="3">
        <v>6.2608200000000003E-2</v>
      </c>
      <c r="O612" s="3">
        <v>7.0282700000000004E-2</v>
      </c>
      <c r="P612" s="3">
        <v>7.9980300000000004E-2</v>
      </c>
      <c r="Q612" s="3">
        <v>9.1899400000000006E-2</v>
      </c>
      <c r="R612" s="3">
        <v>0.10591390000000001</v>
      </c>
      <c r="S612" s="3">
        <v>0.1218113</v>
      </c>
      <c r="T612" s="3">
        <v>0.1393789</v>
      </c>
      <c r="U612" s="3">
        <v>0.15840399999999999</v>
      </c>
      <c r="V612" s="3">
        <v>0.1786741</v>
      </c>
      <c r="W612" s="3">
        <v>0.19997590000000001</v>
      </c>
      <c r="X612" s="3">
        <v>0.2220946</v>
      </c>
      <c r="Y612" s="3">
        <v>0.24481430000000001</v>
      </c>
      <c r="Z612" s="3">
        <v>0.26791949999999998</v>
      </c>
      <c r="AA612" s="3">
        <v>0.29119460000000003</v>
      </c>
      <c r="AB612" s="3">
        <v>0.31442399999999998</v>
      </c>
      <c r="AC612" s="3">
        <v>0.33742329999999998</v>
      </c>
      <c r="AD612" s="3">
        <v>0.3601335</v>
      </c>
      <c r="AE612" s="3">
        <v>0.3825267</v>
      </c>
      <c r="AF612" s="3">
        <v>0.40457520000000002</v>
      </c>
      <c r="AG612" s="3">
        <v>0.42625109999999999</v>
      </c>
      <c r="AH612" s="3">
        <v>0.4475267</v>
      </c>
      <c r="AI612" s="3">
        <v>0.46837400000000001</v>
      </c>
      <c r="AJ612" s="3">
        <v>0.48876550000000002</v>
      </c>
      <c r="AK612" s="3">
        <v>0.50867309999999999</v>
      </c>
      <c r="AL612" s="3">
        <v>0.52806920000000002</v>
      </c>
      <c r="AM612" s="3">
        <v>0.54692580000000002</v>
      </c>
      <c r="AN612" s="3">
        <v>0.56521529999999998</v>
      </c>
      <c r="AO612" s="3">
        <v>0.58291709999999997</v>
      </c>
      <c r="AP612" s="3">
        <v>0.60004250000000003</v>
      </c>
      <c r="AQ612" s="3">
        <v>0.61661200000000005</v>
      </c>
      <c r="AR612" s="3">
        <v>0.63264569999999998</v>
      </c>
      <c r="AS612" s="3">
        <v>0.64816410000000002</v>
      </c>
      <c r="AT612" s="3">
        <v>0.66318730000000004</v>
      </c>
      <c r="AU612" s="3">
        <v>0.67773559999999999</v>
      </c>
      <c r="AV612" s="3">
        <v>0.69182940000000004</v>
      </c>
      <c r="AW612" s="3">
        <v>0.70548889999999997</v>
      </c>
      <c r="AX612" s="3">
        <v>0.7187344</v>
      </c>
      <c r="AY612" s="3">
        <v>0.73158619999999996</v>
      </c>
      <c r="AZ612" s="3">
        <v>0.74406459999999996</v>
      </c>
      <c r="BA612" s="3">
        <v>0.75618909999999995</v>
      </c>
      <c r="BB612" s="3">
        <v>0.76797510000000002</v>
      </c>
      <c r="BC612" s="3">
        <v>0.77943669999999998</v>
      </c>
      <c r="BD612" s="3">
        <v>0.79058779999999995</v>
      </c>
      <c r="BE612" s="3">
        <v>0.8014426</v>
      </c>
      <c r="BF612" s="3">
        <v>0.81201489999999998</v>
      </c>
      <c r="BG612" s="3">
        <v>0.82231889999999996</v>
      </c>
      <c r="BH612" s="3">
        <v>0.83236860000000001</v>
      </c>
      <c r="BI612" s="3">
        <v>0.84217799999999998</v>
      </c>
      <c r="BJ612" s="3">
        <v>0.85176110000000005</v>
      </c>
      <c r="BK612" s="3">
        <v>0.86113189999999995</v>
      </c>
      <c r="BL612" s="3">
        <v>0.87030459999999998</v>
      </c>
      <c r="BM612" s="3" t="e">
        <v>#N/A</v>
      </c>
      <c r="BN612" s="3" t="e">
        <v>#N/A</v>
      </c>
    </row>
    <row r="613" spans="1:66" x14ac:dyDescent="0.35">
      <c r="A613" s="5">
        <f t="shared" si="9"/>
        <v>44313</v>
      </c>
      <c r="B613" t="s">
        <v>690</v>
      </c>
      <c r="C613" s="2">
        <v>0.1</v>
      </c>
      <c r="D613" s="2">
        <v>4.9500000000000002E-2</v>
      </c>
      <c r="E613" s="3">
        <v>5.0442399999999998E-2</v>
      </c>
      <c r="F613" s="3">
        <v>4.8364400000000002E-2</v>
      </c>
      <c r="G613" s="3">
        <v>4.70123E-2</v>
      </c>
      <c r="H613" s="3">
        <v>4.7138199999999998E-2</v>
      </c>
      <c r="I613" s="3">
        <v>4.7804100000000002E-2</v>
      </c>
      <c r="J613" s="3">
        <v>4.8667700000000001E-2</v>
      </c>
      <c r="K613" s="3">
        <v>5.0928099999999997E-2</v>
      </c>
      <c r="L613" s="3">
        <v>5.5511199999999997E-2</v>
      </c>
      <c r="M613" s="3">
        <v>6.22985E-2</v>
      </c>
      <c r="N613" s="3">
        <v>7.0744100000000004E-2</v>
      </c>
      <c r="O613" s="3">
        <v>8.0693500000000001E-2</v>
      </c>
      <c r="P613" s="3">
        <v>9.2295500000000003E-2</v>
      </c>
      <c r="Q613" s="3">
        <v>0.10579620000000001</v>
      </c>
      <c r="R613" s="3">
        <v>0.1211202</v>
      </c>
      <c r="S613" s="3">
        <v>0.13810249999999999</v>
      </c>
      <c r="T613" s="3">
        <v>0.15657850000000001</v>
      </c>
      <c r="U613" s="3">
        <v>0.17638329999999999</v>
      </c>
      <c r="V613" s="3">
        <v>0.197352</v>
      </c>
      <c r="W613" s="3">
        <v>0.21931149999999999</v>
      </c>
      <c r="X613" s="3">
        <v>0.24205360000000001</v>
      </c>
      <c r="Y613" s="3">
        <v>0.2653607</v>
      </c>
      <c r="Z613" s="3">
        <v>0.28901539999999998</v>
      </c>
      <c r="AA613" s="3">
        <v>0.31280010000000003</v>
      </c>
      <c r="AB613" s="3">
        <v>0.3364975</v>
      </c>
      <c r="AC613" s="3">
        <v>0.35992239999999998</v>
      </c>
      <c r="AD613" s="3">
        <v>0.38301879999999999</v>
      </c>
      <c r="AE613" s="3">
        <v>0.40576299999999998</v>
      </c>
      <c r="AF613" s="3">
        <v>0.4281316</v>
      </c>
      <c r="AG613" s="3">
        <v>0.45010090000000003</v>
      </c>
      <c r="AH613" s="3">
        <v>0.47164719999999999</v>
      </c>
      <c r="AI613" s="3">
        <v>0.49274699999999999</v>
      </c>
      <c r="AJ613" s="3">
        <v>0.51337659999999996</v>
      </c>
      <c r="AK613" s="3">
        <v>0.53351249999999995</v>
      </c>
      <c r="AL613" s="3">
        <v>0.55313089999999998</v>
      </c>
      <c r="AM613" s="3">
        <v>0.57220839999999995</v>
      </c>
      <c r="AN613" s="3">
        <v>0.59072119999999995</v>
      </c>
      <c r="AO613" s="3">
        <v>0.60865089999999999</v>
      </c>
      <c r="AP613" s="3">
        <v>0.62600630000000002</v>
      </c>
      <c r="AQ613" s="3">
        <v>0.64280550000000003</v>
      </c>
      <c r="AR613" s="3">
        <v>0.6590665</v>
      </c>
      <c r="AS613" s="3">
        <v>0.67480739999999995</v>
      </c>
      <c r="AT613" s="3">
        <v>0.6900461</v>
      </c>
      <c r="AU613" s="3">
        <v>0.70480089999999995</v>
      </c>
      <c r="AV613" s="3">
        <v>0.7190896</v>
      </c>
      <c r="AW613" s="3">
        <v>0.73293039999999998</v>
      </c>
      <c r="AX613" s="3">
        <v>0.74634129999999999</v>
      </c>
      <c r="AY613" s="3">
        <v>0.75934040000000003</v>
      </c>
      <c r="AZ613" s="3">
        <v>0.77194569999999996</v>
      </c>
      <c r="BA613" s="3">
        <v>0.7841747</v>
      </c>
      <c r="BB613" s="3">
        <v>0.79604200000000003</v>
      </c>
      <c r="BC613" s="3">
        <v>0.80756159999999999</v>
      </c>
      <c r="BD613" s="3">
        <v>0.81874709999999995</v>
      </c>
      <c r="BE613" s="3">
        <v>0.82961240000000003</v>
      </c>
      <c r="BF613" s="3">
        <v>0.84017129999999995</v>
      </c>
      <c r="BG613" s="3">
        <v>0.85043769999999996</v>
      </c>
      <c r="BH613" s="3">
        <v>0.86042529999999995</v>
      </c>
      <c r="BI613" s="3">
        <v>0.87014789999999997</v>
      </c>
      <c r="BJ613" s="3">
        <v>0.8796195</v>
      </c>
      <c r="BK613" s="3">
        <v>0.88885369999999997</v>
      </c>
      <c r="BL613" s="3">
        <v>0.89786440000000001</v>
      </c>
      <c r="BM613" s="3" t="e">
        <v>#N/A</v>
      </c>
      <c r="BN613" s="3" t="e">
        <v>#N/A</v>
      </c>
    </row>
    <row r="614" spans="1:66" x14ac:dyDescent="0.35">
      <c r="A614" s="5">
        <f t="shared" si="9"/>
        <v>44314</v>
      </c>
      <c r="B614" t="s">
        <v>691</v>
      </c>
      <c r="C614" s="2">
        <v>0.1</v>
      </c>
      <c r="D614" s="2">
        <v>4.9599999999999998E-2</v>
      </c>
      <c r="E614" s="3">
        <v>5.0983800000000003E-2</v>
      </c>
      <c r="F614" s="3">
        <v>5.02996E-2</v>
      </c>
      <c r="G614" s="3">
        <v>4.93718E-2</v>
      </c>
      <c r="H614" s="3">
        <v>4.8685800000000001E-2</v>
      </c>
      <c r="I614" s="3">
        <v>4.8767699999999997E-2</v>
      </c>
      <c r="J614" s="3">
        <v>5.0095800000000003E-2</v>
      </c>
      <c r="K614" s="3">
        <v>5.3107000000000001E-2</v>
      </c>
      <c r="L614" s="3">
        <v>5.78889E-2</v>
      </c>
      <c r="M614" s="3">
        <v>6.4402399999999999E-2</v>
      </c>
      <c r="N614" s="3">
        <v>7.2550400000000001E-2</v>
      </c>
      <c r="O614" s="3">
        <v>8.2326800000000006E-2</v>
      </c>
      <c r="P614" s="3">
        <v>9.3903500000000001E-2</v>
      </c>
      <c r="Q614" s="3">
        <v>0.10746260000000001</v>
      </c>
      <c r="R614" s="3">
        <v>0.1229092</v>
      </c>
      <c r="S614" s="3">
        <v>0.1400768</v>
      </c>
      <c r="T614" s="3">
        <v>0.158799</v>
      </c>
      <c r="U614" s="3">
        <v>0.17890929999999999</v>
      </c>
      <c r="V614" s="3">
        <v>0.20024110000000001</v>
      </c>
      <c r="W614" s="3">
        <v>0.22261880000000001</v>
      </c>
      <c r="X614" s="3">
        <v>0.2458274</v>
      </c>
      <c r="Y614" s="3">
        <v>0.26964159999999998</v>
      </c>
      <c r="Z614" s="3">
        <v>0.29383609999999999</v>
      </c>
      <c r="AA614" s="3">
        <v>0.31818580000000002</v>
      </c>
      <c r="AB614" s="3">
        <v>0.34246539999999998</v>
      </c>
      <c r="AC614" s="3">
        <v>0.3664829</v>
      </c>
      <c r="AD614" s="3">
        <v>0.39017950000000001</v>
      </c>
      <c r="AE614" s="3">
        <v>0.4135296</v>
      </c>
      <c r="AF614" s="3">
        <v>0.4365077</v>
      </c>
      <c r="AG614" s="3">
        <v>0.459088</v>
      </c>
      <c r="AH614" s="3">
        <v>0.48124509999999998</v>
      </c>
      <c r="AI614" s="3">
        <v>0.50295339999999999</v>
      </c>
      <c r="AJ614" s="3">
        <v>0.52418730000000002</v>
      </c>
      <c r="AK614" s="3">
        <v>0.54492119999999999</v>
      </c>
      <c r="AL614" s="3">
        <v>0.56512949999999995</v>
      </c>
      <c r="AM614" s="3">
        <v>0.58478669999999999</v>
      </c>
      <c r="AN614" s="3">
        <v>0.60386709999999999</v>
      </c>
      <c r="AO614" s="3">
        <v>0.62235119999999999</v>
      </c>
      <c r="AP614" s="3">
        <v>0.64024840000000005</v>
      </c>
      <c r="AQ614" s="3">
        <v>0.65757679999999996</v>
      </c>
      <c r="AR614" s="3">
        <v>0.67435480000000003</v>
      </c>
      <c r="AS614" s="3">
        <v>0.69060060000000001</v>
      </c>
      <c r="AT614" s="3">
        <v>0.70633230000000002</v>
      </c>
      <c r="AU614" s="3">
        <v>0.72156830000000005</v>
      </c>
      <c r="AV614" s="3">
        <v>0.73632679999999995</v>
      </c>
      <c r="AW614" s="3">
        <v>0.75062600000000002</v>
      </c>
      <c r="AX614" s="3">
        <v>0.76448419999999995</v>
      </c>
      <c r="AY614" s="3">
        <v>0.77791960000000004</v>
      </c>
      <c r="AZ614" s="3">
        <v>0.79095040000000005</v>
      </c>
      <c r="BA614" s="3">
        <v>0.80359409999999998</v>
      </c>
      <c r="BB614" s="3">
        <v>0.81586479999999995</v>
      </c>
      <c r="BC614" s="3">
        <v>0.82777559999999994</v>
      </c>
      <c r="BD614" s="3">
        <v>0.83933959999999996</v>
      </c>
      <c r="BE614" s="3">
        <v>0.85057000000000005</v>
      </c>
      <c r="BF614" s="3">
        <v>0.86147969999999996</v>
      </c>
      <c r="BG614" s="3">
        <v>0.87208200000000002</v>
      </c>
      <c r="BH614" s="3">
        <v>0.88238989999999995</v>
      </c>
      <c r="BI614" s="3">
        <v>0.89241669999999995</v>
      </c>
      <c r="BJ614" s="3">
        <v>0.90217530000000001</v>
      </c>
      <c r="BK614" s="3">
        <v>0.91167900000000002</v>
      </c>
      <c r="BL614" s="3">
        <v>0.92094069999999995</v>
      </c>
      <c r="BM614" s="3" t="e">
        <v>#N/A</v>
      </c>
      <c r="BN614" s="3" t="e">
        <v>#N/A</v>
      </c>
    </row>
    <row r="615" spans="1:66" x14ac:dyDescent="0.35">
      <c r="A615" s="5">
        <f t="shared" si="9"/>
        <v>44315</v>
      </c>
      <c r="B615" t="s">
        <v>692</v>
      </c>
      <c r="C615" s="2">
        <v>0.1</v>
      </c>
      <c r="D615" s="2">
        <v>4.99E-2</v>
      </c>
      <c r="E615" s="3">
        <v>5.05233E-2</v>
      </c>
      <c r="F615" s="3">
        <v>4.9994700000000003E-2</v>
      </c>
      <c r="G615" s="3">
        <v>4.8405900000000002E-2</v>
      </c>
      <c r="H615" s="3">
        <v>4.66291E-2</v>
      </c>
      <c r="I615" s="3">
        <v>4.5902699999999998E-2</v>
      </c>
      <c r="J615" s="3">
        <v>4.7562199999999999E-2</v>
      </c>
      <c r="K615" s="3">
        <v>5.2619199999999998E-2</v>
      </c>
      <c r="L615" s="3">
        <v>6.0543300000000001E-2</v>
      </c>
      <c r="M615" s="3">
        <v>7.0293400000000006E-2</v>
      </c>
      <c r="N615" s="3">
        <v>8.1293599999999994E-2</v>
      </c>
      <c r="O615" s="3">
        <v>9.3348600000000004E-2</v>
      </c>
      <c r="P615" s="3">
        <v>0.1066399</v>
      </c>
      <c r="Q615" s="3">
        <v>0.12129180000000001</v>
      </c>
      <c r="R615" s="3">
        <v>0.13731889999999999</v>
      </c>
      <c r="S615" s="3">
        <v>0.1547171</v>
      </c>
      <c r="T615" s="3">
        <v>0.17348230000000001</v>
      </c>
      <c r="U615" s="3">
        <v>0.19361039999999999</v>
      </c>
      <c r="V615" s="3">
        <v>0.21509729999999999</v>
      </c>
      <c r="W615" s="3">
        <v>0.23790420000000001</v>
      </c>
      <c r="X615" s="3">
        <v>0.26181349999999998</v>
      </c>
      <c r="Y615" s="3">
        <v>0.2865511</v>
      </c>
      <c r="Z615" s="3">
        <v>0.31184260000000003</v>
      </c>
      <c r="AA615" s="3">
        <v>0.33741359999999998</v>
      </c>
      <c r="AB615" s="3">
        <v>0.36298979999999997</v>
      </c>
      <c r="AC615" s="3">
        <v>0.38832640000000002</v>
      </c>
      <c r="AD615" s="3">
        <v>0.41333779999999998</v>
      </c>
      <c r="AE615" s="3">
        <v>0.43799179999999999</v>
      </c>
      <c r="AF615" s="3">
        <v>0.462256</v>
      </c>
      <c r="AG615" s="3">
        <v>0.48609829999999998</v>
      </c>
      <c r="AH615" s="3">
        <v>0.50948640000000001</v>
      </c>
      <c r="AI615" s="3">
        <v>0.53238810000000003</v>
      </c>
      <c r="AJ615" s="3">
        <v>0.55477129999999997</v>
      </c>
      <c r="AK615" s="3">
        <v>0.57660359999999999</v>
      </c>
      <c r="AL615" s="3">
        <v>0.59785290000000002</v>
      </c>
      <c r="AM615" s="3">
        <v>0.6184868</v>
      </c>
      <c r="AN615" s="3">
        <v>0.63847330000000002</v>
      </c>
      <c r="AO615" s="3">
        <v>0.65778859999999995</v>
      </c>
      <c r="AP615" s="3">
        <v>0.67644669999999996</v>
      </c>
      <c r="AQ615" s="3">
        <v>0.69447230000000004</v>
      </c>
      <c r="AR615" s="3">
        <v>0.71188960000000001</v>
      </c>
      <c r="AS615" s="3">
        <v>0.72872320000000002</v>
      </c>
      <c r="AT615" s="3">
        <v>0.74499749999999998</v>
      </c>
      <c r="AU615" s="3">
        <v>0.76073710000000005</v>
      </c>
      <c r="AV615" s="3">
        <v>0.77596639999999995</v>
      </c>
      <c r="AW615" s="3">
        <v>0.79070980000000002</v>
      </c>
      <c r="AX615" s="3">
        <v>0.80499189999999998</v>
      </c>
      <c r="AY615" s="3">
        <v>0.81883700000000004</v>
      </c>
      <c r="AZ615" s="3">
        <v>0.8322697</v>
      </c>
      <c r="BA615" s="3">
        <v>0.84531270000000003</v>
      </c>
      <c r="BB615" s="3">
        <v>0.85798059999999998</v>
      </c>
      <c r="BC615" s="3">
        <v>0.8702858</v>
      </c>
      <c r="BD615" s="3">
        <v>0.88224100000000005</v>
      </c>
      <c r="BE615" s="3">
        <v>0.8938585</v>
      </c>
      <c r="BF615" s="3">
        <v>0.90515080000000003</v>
      </c>
      <c r="BG615" s="3">
        <v>0.91613040000000001</v>
      </c>
      <c r="BH615" s="3">
        <v>0.92680980000000002</v>
      </c>
      <c r="BI615" s="3">
        <v>0.93720150000000002</v>
      </c>
      <c r="BJ615" s="3">
        <v>0.94731799999999999</v>
      </c>
      <c r="BK615" s="3">
        <v>0.95717169999999996</v>
      </c>
      <c r="BL615" s="3">
        <v>0.9667751</v>
      </c>
      <c r="BM615" s="3" t="e">
        <v>#N/A</v>
      </c>
      <c r="BN615" s="3" t="e">
        <v>#N/A</v>
      </c>
    </row>
    <row r="616" spans="1:66" x14ac:dyDescent="0.35">
      <c r="A616" s="5">
        <f t="shared" si="9"/>
        <v>44316</v>
      </c>
      <c r="B616" t="s">
        <v>693</v>
      </c>
      <c r="C616" s="2">
        <v>0.1</v>
      </c>
      <c r="D616" s="2">
        <v>5.0900000000000001E-2</v>
      </c>
      <c r="E616" s="3">
        <v>5.0199599999999997E-2</v>
      </c>
      <c r="F616" s="3">
        <v>4.9252999999999998E-2</v>
      </c>
      <c r="G616" s="3">
        <v>4.8624199999999999E-2</v>
      </c>
      <c r="H616" s="3">
        <v>4.8930399999999999E-2</v>
      </c>
      <c r="I616" s="3">
        <v>5.0037900000000003E-2</v>
      </c>
      <c r="J616" s="3">
        <v>5.2074099999999998E-2</v>
      </c>
      <c r="K616" s="3">
        <v>5.5790800000000002E-2</v>
      </c>
      <c r="L616" s="3">
        <v>6.1721100000000001E-2</v>
      </c>
      <c r="M616" s="3">
        <v>6.9754899999999995E-2</v>
      </c>
      <c r="N616" s="3">
        <v>7.9572100000000007E-2</v>
      </c>
      <c r="O616" s="3">
        <v>9.1045699999999993E-2</v>
      </c>
      <c r="P616" s="3">
        <v>0.1042666</v>
      </c>
      <c r="Q616" s="3">
        <v>0.1193512</v>
      </c>
      <c r="R616" s="3">
        <v>0.1362362</v>
      </c>
      <c r="S616" s="3">
        <v>0.1547964</v>
      </c>
      <c r="T616" s="3">
        <v>0.17490610000000001</v>
      </c>
      <c r="U616" s="3">
        <v>0.19644020000000001</v>
      </c>
      <c r="V616" s="3">
        <v>0.219273</v>
      </c>
      <c r="W616" s="3">
        <v>0.2432626</v>
      </c>
      <c r="X616" s="3">
        <v>0.26818890000000001</v>
      </c>
      <c r="Y616" s="3">
        <v>0.2938095</v>
      </c>
      <c r="Z616" s="3">
        <v>0.3198819</v>
      </c>
      <c r="AA616" s="3">
        <v>0.34616370000000002</v>
      </c>
      <c r="AB616" s="3">
        <v>0.37241249999999998</v>
      </c>
      <c r="AC616" s="3">
        <v>0.39841349999999998</v>
      </c>
      <c r="AD616" s="3">
        <v>0.42408760000000001</v>
      </c>
      <c r="AE616" s="3">
        <v>0.44939709999999999</v>
      </c>
      <c r="AF616" s="3">
        <v>0.47430410000000001</v>
      </c>
      <c r="AG616" s="3">
        <v>0.49877070000000001</v>
      </c>
      <c r="AH616" s="3">
        <v>0.52275919999999998</v>
      </c>
      <c r="AI616" s="3">
        <v>0.54623149999999998</v>
      </c>
      <c r="AJ616" s="3">
        <v>0.56915009999999999</v>
      </c>
      <c r="AK616" s="3">
        <v>0.59147680000000002</v>
      </c>
      <c r="AL616" s="3">
        <v>0.61317410000000006</v>
      </c>
      <c r="AM616" s="3">
        <v>0.63420390000000004</v>
      </c>
      <c r="AN616" s="3">
        <v>0.65452849999999996</v>
      </c>
      <c r="AO616" s="3">
        <v>0.67411940000000004</v>
      </c>
      <c r="AP616" s="3">
        <v>0.69298930000000003</v>
      </c>
      <c r="AQ616" s="3">
        <v>0.71116270000000004</v>
      </c>
      <c r="AR616" s="3">
        <v>0.72866370000000003</v>
      </c>
      <c r="AS616" s="3">
        <v>0.74551650000000003</v>
      </c>
      <c r="AT616" s="3">
        <v>0.76174540000000002</v>
      </c>
      <c r="AU616" s="3">
        <v>0.77737469999999997</v>
      </c>
      <c r="AV616" s="3">
        <v>0.79242860000000004</v>
      </c>
      <c r="AW616" s="3">
        <v>0.80693130000000002</v>
      </c>
      <c r="AX616" s="3">
        <v>0.82090719999999995</v>
      </c>
      <c r="AY616" s="3">
        <v>0.83438029999999996</v>
      </c>
      <c r="AZ616" s="3">
        <v>0.84737499999999999</v>
      </c>
      <c r="BA616" s="3">
        <v>0.85991470000000003</v>
      </c>
      <c r="BB616" s="3">
        <v>0.87201910000000005</v>
      </c>
      <c r="BC616" s="3">
        <v>0.88370669999999996</v>
      </c>
      <c r="BD616" s="3">
        <v>0.89499640000000003</v>
      </c>
      <c r="BE616" s="3">
        <v>0.90590660000000001</v>
      </c>
      <c r="BF616" s="3">
        <v>0.9164561</v>
      </c>
      <c r="BG616" s="3">
        <v>0.92666349999999997</v>
      </c>
      <c r="BH616" s="3">
        <v>0.93654749999999998</v>
      </c>
      <c r="BI616" s="3">
        <v>0.94612660000000004</v>
      </c>
      <c r="BJ616" s="3">
        <v>0.95541960000000004</v>
      </c>
      <c r="BK616" s="3">
        <v>0.9644452</v>
      </c>
      <c r="BL616" s="3">
        <v>0.97322189999999997</v>
      </c>
      <c r="BM616" s="3" t="e">
        <v>#N/A</v>
      </c>
      <c r="BN616" s="3" t="e">
        <v>#N/A</v>
      </c>
    </row>
    <row r="617" spans="1:66" x14ac:dyDescent="0.35">
      <c r="A617" s="5">
        <f t="shared" si="9"/>
        <v>44319</v>
      </c>
      <c r="B617" t="s">
        <v>694</v>
      </c>
      <c r="C617" s="2">
        <v>0.1</v>
      </c>
      <c r="D617" s="2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  <c r="P617" s="3" t="e">
        <v>#N/A</v>
      </c>
      <c r="Q617" s="3" t="e">
        <v>#N/A</v>
      </c>
      <c r="R617" s="3" t="e">
        <v>#N/A</v>
      </c>
      <c r="S617" s="3" t="e">
        <v>#N/A</v>
      </c>
      <c r="T617" s="3" t="e">
        <v>#N/A</v>
      </c>
      <c r="U617" s="3" t="e">
        <v>#N/A</v>
      </c>
      <c r="V617" s="3" t="e">
        <v>#N/A</v>
      </c>
      <c r="W617" s="3" t="e">
        <v>#N/A</v>
      </c>
      <c r="X617" s="3" t="e">
        <v>#N/A</v>
      </c>
      <c r="Y617" s="3" t="e">
        <v>#N/A</v>
      </c>
      <c r="Z617" s="3" t="e">
        <v>#N/A</v>
      </c>
      <c r="AA617" s="3" t="e">
        <v>#N/A</v>
      </c>
      <c r="AB617" s="3" t="e">
        <v>#N/A</v>
      </c>
      <c r="AC617" s="3" t="e">
        <v>#N/A</v>
      </c>
      <c r="AD617" s="3" t="e">
        <v>#N/A</v>
      </c>
      <c r="AE617" s="3" t="e">
        <v>#N/A</v>
      </c>
      <c r="AF617" s="3" t="e">
        <v>#N/A</v>
      </c>
      <c r="AG617" s="3" t="e">
        <v>#N/A</v>
      </c>
      <c r="AH617" s="3" t="e">
        <v>#N/A</v>
      </c>
      <c r="AI617" s="3" t="e">
        <v>#N/A</v>
      </c>
      <c r="AJ617" s="3" t="e">
        <v>#N/A</v>
      </c>
      <c r="AK617" s="3" t="e">
        <v>#N/A</v>
      </c>
      <c r="AL617" s="3" t="e">
        <v>#N/A</v>
      </c>
      <c r="AM617" s="3" t="e">
        <v>#N/A</v>
      </c>
      <c r="AN617" s="3" t="e">
        <v>#N/A</v>
      </c>
      <c r="AO617" s="3" t="e">
        <v>#N/A</v>
      </c>
      <c r="AP617" s="3" t="e">
        <v>#N/A</v>
      </c>
      <c r="AQ617" s="3" t="e">
        <v>#N/A</v>
      </c>
      <c r="AR617" s="3" t="e">
        <v>#N/A</v>
      </c>
      <c r="AS617" s="3" t="e">
        <v>#N/A</v>
      </c>
      <c r="AT617" s="3" t="e">
        <v>#N/A</v>
      </c>
      <c r="AU617" s="3" t="e">
        <v>#N/A</v>
      </c>
      <c r="AV617" s="3" t="e">
        <v>#N/A</v>
      </c>
      <c r="AW617" s="3" t="e">
        <v>#N/A</v>
      </c>
      <c r="AX617" s="3" t="e">
        <v>#N/A</v>
      </c>
      <c r="AY617" s="3" t="e">
        <v>#N/A</v>
      </c>
      <c r="AZ617" s="3" t="e">
        <v>#N/A</v>
      </c>
      <c r="BA617" s="3" t="e">
        <v>#N/A</v>
      </c>
      <c r="BB617" s="3" t="e">
        <v>#N/A</v>
      </c>
      <c r="BC617" s="3" t="e">
        <v>#N/A</v>
      </c>
      <c r="BD617" s="3" t="e">
        <v>#N/A</v>
      </c>
      <c r="BE617" s="3" t="e">
        <v>#N/A</v>
      </c>
      <c r="BF617" s="3" t="e">
        <v>#N/A</v>
      </c>
      <c r="BG617" s="3" t="e">
        <v>#N/A</v>
      </c>
      <c r="BH617" s="3" t="e">
        <v>#N/A</v>
      </c>
      <c r="BI617" s="3" t="e">
        <v>#N/A</v>
      </c>
      <c r="BJ617" s="3" t="e">
        <v>#N/A</v>
      </c>
      <c r="BK617" s="3" t="e">
        <v>#N/A</v>
      </c>
      <c r="BL617" s="3" t="e">
        <v>#N/A</v>
      </c>
      <c r="BM617" s="3" t="e">
        <v>#N/A</v>
      </c>
      <c r="BN617" s="3" t="e">
        <v>#N/A</v>
      </c>
    </row>
    <row r="618" spans="1:66" x14ac:dyDescent="0.35">
      <c r="A618" s="5">
        <f t="shared" si="9"/>
        <v>44320</v>
      </c>
      <c r="B618" t="s">
        <v>695</v>
      </c>
      <c r="C618" s="2">
        <v>0.1</v>
      </c>
      <c r="D618" s="2">
        <v>4.9599999999999998E-2</v>
      </c>
      <c r="E618" s="3">
        <v>5.0366899999999999E-2</v>
      </c>
      <c r="F618" s="3">
        <v>5.0441E-2</v>
      </c>
      <c r="G618" s="3">
        <v>4.8978800000000003E-2</v>
      </c>
      <c r="H618" s="3">
        <v>4.6291300000000001E-2</v>
      </c>
      <c r="I618" s="3">
        <v>4.4671500000000003E-2</v>
      </c>
      <c r="J618" s="3">
        <v>4.6574900000000002E-2</v>
      </c>
      <c r="K618" s="3">
        <v>5.29945E-2</v>
      </c>
      <c r="L618" s="3">
        <v>6.2259299999999997E-2</v>
      </c>
      <c r="M618" s="3">
        <v>7.2398500000000005E-2</v>
      </c>
      <c r="N618" s="3">
        <v>8.2895200000000002E-2</v>
      </c>
      <c r="O618" s="3">
        <v>9.3990900000000002E-2</v>
      </c>
      <c r="P618" s="3">
        <v>0.10621990000000001</v>
      </c>
      <c r="Q618" s="3">
        <v>0.12022579999999999</v>
      </c>
      <c r="R618" s="3">
        <v>0.13603460000000001</v>
      </c>
      <c r="S618" s="3">
        <v>0.1535019</v>
      </c>
      <c r="T618" s="3">
        <v>0.17248330000000001</v>
      </c>
      <c r="U618" s="3">
        <v>0.19283429999999999</v>
      </c>
      <c r="V618" s="3">
        <v>0.2144104</v>
      </c>
      <c r="W618" s="3">
        <v>0.2370517</v>
      </c>
      <c r="X618" s="3">
        <v>0.2605268</v>
      </c>
      <c r="Y618" s="3">
        <v>0.28458339999999999</v>
      </c>
      <c r="Z618" s="3">
        <v>0.3089693</v>
      </c>
      <c r="AA618" s="3">
        <v>0.33343220000000001</v>
      </c>
      <c r="AB618" s="3">
        <v>0.35771999999999998</v>
      </c>
      <c r="AC618" s="3">
        <v>0.38162020000000002</v>
      </c>
      <c r="AD618" s="3">
        <v>0.40507939999999998</v>
      </c>
      <c r="AE618" s="3">
        <v>0.42808410000000002</v>
      </c>
      <c r="AF618" s="3">
        <v>0.45062079999999999</v>
      </c>
      <c r="AG618" s="3">
        <v>0.47267589999999998</v>
      </c>
      <c r="AH618" s="3">
        <v>0.49423590000000001</v>
      </c>
      <c r="AI618" s="3">
        <v>0.5152871</v>
      </c>
      <c r="AJ618" s="3">
        <v>0.53581610000000002</v>
      </c>
      <c r="AK618" s="3">
        <v>0.55580940000000001</v>
      </c>
      <c r="AL618" s="3">
        <v>0.57525329999999997</v>
      </c>
      <c r="AM618" s="3">
        <v>0.5941343</v>
      </c>
      <c r="AN618" s="3">
        <v>0.61243899999999996</v>
      </c>
      <c r="AO618" s="3">
        <v>0.63015719999999997</v>
      </c>
      <c r="AP618" s="3">
        <v>0.64730049999999995</v>
      </c>
      <c r="AQ618" s="3">
        <v>0.66388820000000004</v>
      </c>
      <c r="AR618" s="3">
        <v>0.67993970000000004</v>
      </c>
      <c r="AS618" s="3">
        <v>0.69547429999999999</v>
      </c>
      <c r="AT618" s="3">
        <v>0.71051140000000002</v>
      </c>
      <c r="AU618" s="3">
        <v>0.72507029999999995</v>
      </c>
      <c r="AV618" s="3">
        <v>0.73917040000000001</v>
      </c>
      <c r="AW618" s="3">
        <v>0.75283100000000003</v>
      </c>
      <c r="AX618" s="3">
        <v>0.76607150000000002</v>
      </c>
      <c r="AY618" s="3">
        <v>0.77891120000000003</v>
      </c>
      <c r="AZ618" s="3">
        <v>0.79136949999999995</v>
      </c>
      <c r="BA618" s="3">
        <v>0.80346490000000004</v>
      </c>
      <c r="BB618" s="3">
        <v>0.81521080000000001</v>
      </c>
      <c r="BC618" s="3">
        <v>0.82661899999999999</v>
      </c>
      <c r="BD618" s="3">
        <v>0.83770149999999999</v>
      </c>
      <c r="BE618" s="3">
        <v>0.84846999999999995</v>
      </c>
      <c r="BF618" s="3">
        <v>0.85893649999999999</v>
      </c>
      <c r="BG618" s="3">
        <v>0.86911269999999996</v>
      </c>
      <c r="BH618" s="3">
        <v>0.87901050000000003</v>
      </c>
      <c r="BI618" s="3">
        <v>0.88864169999999998</v>
      </c>
      <c r="BJ618" s="3">
        <v>0.89801830000000005</v>
      </c>
      <c r="BK618" s="3">
        <v>0.90715199999999996</v>
      </c>
      <c r="BL618" s="3">
        <v>0.91605460000000005</v>
      </c>
      <c r="BM618" s="3" t="e">
        <v>#N/A</v>
      </c>
      <c r="BN618" s="3" t="e">
        <v>#N/A</v>
      </c>
    </row>
    <row r="619" spans="1:66" x14ac:dyDescent="0.35">
      <c r="A619" s="5">
        <f t="shared" si="9"/>
        <v>44321</v>
      </c>
      <c r="B619" t="s">
        <v>696</v>
      </c>
      <c r="C619" s="2">
        <v>0.1</v>
      </c>
      <c r="D619" s="2">
        <v>4.87E-2</v>
      </c>
      <c r="E619" s="3">
        <v>4.9914399999999998E-2</v>
      </c>
      <c r="F619" s="3">
        <v>5.0995899999999997E-2</v>
      </c>
      <c r="G619" s="3">
        <v>5.1999299999999998E-2</v>
      </c>
      <c r="H619" s="3">
        <v>5.2121899999999999E-2</v>
      </c>
      <c r="I619" s="3">
        <v>5.1323199999999999E-2</v>
      </c>
      <c r="J619" s="3">
        <v>5.0956399999999999E-2</v>
      </c>
      <c r="K619" s="3">
        <v>5.3168699999999999E-2</v>
      </c>
      <c r="L619" s="3">
        <v>5.9197100000000002E-2</v>
      </c>
      <c r="M619" s="3">
        <v>6.8679500000000004E-2</v>
      </c>
      <c r="N619" s="3">
        <v>8.0886799999999995E-2</v>
      </c>
      <c r="O619" s="3">
        <v>9.4956200000000004E-2</v>
      </c>
      <c r="P619" s="3">
        <v>0.1103875</v>
      </c>
      <c r="Q619" s="3">
        <v>0.12708030000000001</v>
      </c>
      <c r="R619" s="3">
        <v>0.14494899999999999</v>
      </c>
      <c r="S619" s="3">
        <v>0.1638918</v>
      </c>
      <c r="T619" s="3">
        <v>0.18380679999999999</v>
      </c>
      <c r="U619" s="3">
        <v>0.2045923</v>
      </c>
      <c r="V619" s="3">
        <v>0.2261465</v>
      </c>
      <c r="W619" s="3">
        <v>0.248363</v>
      </c>
      <c r="X619" s="3">
        <v>0.27111010000000002</v>
      </c>
      <c r="Y619" s="3">
        <v>0.29424739999999999</v>
      </c>
      <c r="Z619" s="3">
        <v>0.31763419999999998</v>
      </c>
      <c r="AA619" s="3">
        <v>0.34112999999999999</v>
      </c>
      <c r="AB619" s="3">
        <v>0.36459409999999998</v>
      </c>
      <c r="AC619" s="3">
        <v>0.38790400000000003</v>
      </c>
      <c r="AD619" s="3">
        <v>0.4110087</v>
      </c>
      <c r="AE619" s="3">
        <v>0.43387559999999997</v>
      </c>
      <c r="AF619" s="3">
        <v>0.45647159999999998</v>
      </c>
      <c r="AG619" s="3">
        <v>0.47876390000000002</v>
      </c>
      <c r="AH619" s="3">
        <v>0.50071969999999999</v>
      </c>
      <c r="AI619" s="3">
        <v>0.52230620000000005</v>
      </c>
      <c r="AJ619" s="3">
        <v>0.54349040000000004</v>
      </c>
      <c r="AK619" s="3">
        <v>0.56423939999999995</v>
      </c>
      <c r="AL619" s="3">
        <v>0.58452059999999995</v>
      </c>
      <c r="AM619" s="3">
        <v>0.60430079999999997</v>
      </c>
      <c r="AN619" s="3">
        <v>0.62354739999999997</v>
      </c>
      <c r="AO619" s="3">
        <v>0.6422329</v>
      </c>
      <c r="AP619" s="3">
        <v>0.66035960000000005</v>
      </c>
      <c r="AQ619" s="3">
        <v>0.67793950000000003</v>
      </c>
      <c r="AR619" s="3">
        <v>0.69498490000000002</v>
      </c>
      <c r="AS619" s="3">
        <v>0.71150769999999997</v>
      </c>
      <c r="AT619" s="3">
        <v>0.72752019999999995</v>
      </c>
      <c r="AU619" s="3">
        <v>0.74303439999999998</v>
      </c>
      <c r="AV619" s="3">
        <v>0.75806260000000003</v>
      </c>
      <c r="AW619" s="3">
        <v>0.77261670000000005</v>
      </c>
      <c r="AX619" s="3">
        <v>0.78670899999999999</v>
      </c>
      <c r="AY619" s="3">
        <v>0.80035160000000005</v>
      </c>
      <c r="AZ619" s="3">
        <v>0.81355659999999996</v>
      </c>
      <c r="BA619" s="3">
        <v>0.82633650000000003</v>
      </c>
      <c r="BB619" s="3">
        <v>0.83870610000000001</v>
      </c>
      <c r="BC619" s="3">
        <v>0.85068060000000001</v>
      </c>
      <c r="BD619" s="3">
        <v>0.86227529999999997</v>
      </c>
      <c r="BE619" s="3">
        <v>0.87350559999999999</v>
      </c>
      <c r="BF619" s="3">
        <v>0.88438669999999997</v>
      </c>
      <c r="BG619" s="3">
        <v>0.89493409999999995</v>
      </c>
      <c r="BH619" s="3">
        <v>0.90516289999999999</v>
      </c>
      <c r="BI619" s="3">
        <v>0.91508849999999997</v>
      </c>
      <c r="BJ619" s="3">
        <v>0.92472620000000005</v>
      </c>
      <c r="BK619" s="3">
        <v>0.93409129999999996</v>
      </c>
      <c r="BL619" s="3">
        <v>0.94319909999999996</v>
      </c>
      <c r="BM619" s="3" t="e">
        <v>#N/A</v>
      </c>
      <c r="BN619" s="3" t="e">
        <v>#N/A</v>
      </c>
    </row>
    <row r="620" spans="1:66" x14ac:dyDescent="0.35">
      <c r="A620" s="5">
        <f t="shared" si="9"/>
        <v>44322</v>
      </c>
      <c r="B620" t="s">
        <v>697</v>
      </c>
      <c r="C620" s="2">
        <v>0.1</v>
      </c>
      <c r="D620" s="2">
        <v>4.9099999999999998E-2</v>
      </c>
      <c r="E620" s="3">
        <v>4.95875E-2</v>
      </c>
      <c r="F620" s="3">
        <v>4.90337E-2</v>
      </c>
      <c r="G620" s="3">
        <v>4.8726699999999998E-2</v>
      </c>
      <c r="H620" s="3">
        <v>4.9481600000000001E-2</v>
      </c>
      <c r="I620" s="3">
        <v>5.1058699999999999E-2</v>
      </c>
      <c r="J620" s="3">
        <v>5.3267099999999998E-2</v>
      </c>
      <c r="K620" s="3">
        <v>5.6503699999999997E-2</v>
      </c>
      <c r="L620" s="3">
        <v>6.1156099999999998E-2</v>
      </c>
      <c r="M620" s="3">
        <v>6.7294300000000001E-2</v>
      </c>
      <c r="N620" s="3">
        <v>7.4903999999999998E-2</v>
      </c>
      <c r="O620" s="3">
        <v>8.3994700000000005E-2</v>
      </c>
      <c r="P620" s="3">
        <v>9.4721E-2</v>
      </c>
      <c r="Q620" s="3">
        <v>0.10726330000000001</v>
      </c>
      <c r="R620" s="3">
        <v>0.12155199999999999</v>
      </c>
      <c r="S620" s="3">
        <v>0.13745160000000001</v>
      </c>
      <c r="T620" s="3">
        <v>0.1548262</v>
      </c>
      <c r="U620" s="3">
        <v>0.17354030000000001</v>
      </c>
      <c r="V620" s="3">
        <v>0.19345809999999999</v>
      </c>
      <c r="W620" s="3">
        <v>0.21443329999999999</v>
      </c>
      <c r="X620" s="3">
        <v>0.23626449999999999</v>
      </c>
      <c r="Y620" s="3">
        <v>0.2587332</v>
      </c>
      <c r="Z620" s="3">
        <v>0.2816205</v>
      </c>
      <c r="AA620" s="3">
        <v>0.30470770000000003</v>
      </c>
      <c r="AB620" s="3">
        <v>0.32777610000000001</v>
      </c>
      <c r="AC620" s="3">
        <v>0.35063359999999999</v>
      </c>
      <c r="AD620" s="3">
        <v>0.3732182</v>
      </c>
      <c r="AE620" s="3">
        <v>0.39550740000000001</v>
      </c>
      <c r="AF620" s="3">
        <v>0.41747879999999998</v>
      </c>
      <c r="AG620" s="3">
        <v>0.43911</v>
      </c>
      <c r="AH620" s="3">
        <v>0.46037860000000003</v>
      </c>
      <c r="AI620" s="3">
        <v>0.48126210000000003</v>
      </c>
      <c r="AJ620" s="3">
        <v>0.50173809999999996</v>
      </c>
      <c r="AK620" s="3">
        <v>0.52178409999999997</v>
      </c>
      <c r="AL620" s="3">
        <v>0.54137780000000002</v>
      </c>
      <c r="AM620" s="3">
        <v>0.56049660000000001</v>
      </c>
      <c r="AN620" s="3">
        <v>0.57911820000000003</v>
      </c>
      <c r="AO620" s="3">
        <v>0.59722549999999996</v>
      </c>
      <c r="AP620" s="3">
        <v>0.61482709999999996</v>
      </c>
      <c r="AQ620" s="3">
        <v>0.63193960000000005</v>
      </c>
      <c r="AR620" s="3">
        <v>0.64857969999999998</v>
      </c>
      <c r="AS620" s="3">
        <v>0.66476400000000002</v>
      </c>
      <c r="AT620" s="3">
        <v>0.68050889999999997</v>
      </c>
      <c r="AU620" s="3">
        <v>0.69583119999999998</v>
      </c>
      <c r="AV620" s="3">
        <v>0.71074749999999998</v>
      </c>
      <c r="AW620" s="3">
        <v>0.72527419999999998</v>
      </c>
      <c r="AX620" s="3">
        <v>0.73942799999999997</v>
      </c>
      <c r="AY620" s="3">
        <v>0.75322560000000005</v>
      </c>
      <c r="AZ620" s="3">
        <v>0.76668349999999996</v>
      </c>
      <c r="BA620" s="3">
        <v>0.77981699999999998</v>
      </c>
      <c r="BB620" s="3">
        <v>0.79263620000000001</v>
      </c>
      <c r="BC620" s="3">
        <v>0.80514960000000002</v>
      </c>
      <c r="BD620" s="3">
        <v>0.81736580000000003</v>
      </c>
      <c r="BE620" s="3">
        <v>0.82929330000000001</v>
      </c>
      <c r="BF620" s="3">
        <v>0.84094060000000004</v>
      </c>
      <c r="BG620" s="3">
        <v>0.85231619999999997</v>
      </c>
      <c r="BH620" s="3">
        <v>0.8634288</v>
      </c>
      <c r="BI620" s="3">
        <v>0.87428669999999997</v>
      </c>
      <c r="BJ620" s="3">
        <v>0.88489850000000003</v>
      </c>
      <c r="BK620" s="3">
        <v>0.89527290000000004</v>
      </c>
      <c r="BL620" s="3">
        <v>0.90541819999999995</v>
      </c>
      <c r="BM620" s="3" t="e">
        <v>#N/A</v>
      </c>
      <c r="BN620" s="3" t="e">
        <v>#N/A</v>
      </c>
    </row>
    <row r="621" spans="1:66" x14ac:dyDescent="0.35">
      <c r="A621" s="5">
        <f t="shared" si="9"/>
        <v>44323</v>
      </c>
      <c r="B621" t="s">
        <v>698</v>
      </c>
      <c r="C621" s="2">
        <v>0.1</v>
      </c>
      <c r="D621" s="2">
        <v>4.9799999999999997E-2</v>
      </c>
      <c r="E621" s="3">
        <v>4.9910700000000002E-2</v>
      </c>
      <c r="F621" s="3">
        <v>4.9712899999999997E-2</v>
      </c>
      <c r="G621" s="3">
        <v>4.972E-2</v>
      </c>
      <c r="H621" s="3">
        <v>4.9837100000000002E-2</v>
      </c>
      <c r="I621" s="3">
        <v>5.0284599999999999E-2</v>
      </c>
      <c r="J621" s="3">
        <v>5.1662399999999997E-2</v>
      </c>
      <c r="K621" s="3">
        <v>5.4438E-2</v>
      </c>
      <c r="L621" s="3">
        <v>5.8766100000000002E-2</v>
      </c>
      <c r="M621" s="3">
        <v>6.4536300000000005E-2</v>
      </c>
      <c r="N621" s="3">
        <v>7.1556800000000004E-2</v>
      </c>
      <c r="O621" s="3">
        <v>7.9775299999999993E-2</v>
      </c>
      <c r="P621" s="3">
        <v>8.9269000000000001E-2</v>
      </c>
      <c r="Q621" s="3">
        <v>0.1001334</v>
      </c>
      <c r="R621" s="3">
        <v>0.11234760000000001</v>
      </c>
      <c r="S621" s="3">
        <v>0.1258531</v>
      </c>
      <c r="T621" s="3">
        <v>0.14059169999999999</v>
      </c>
      <c r="U621" s="3">
        <v>0.15650500000000001</v>
      </c>
      <c r="V621" s="3">
        <v>0.17353460000000001</v>
      </c>
      <c r="W621" s="3">
        <v>0.19160840000000001</v>
      </c>
      <c r="X621" s="3">
        <v>0.21059040000000001</v>
      </c>
      <c r="Y621" s="3">
        <v>0.23032610000000001</v>
      </c>
      <c r="Z621" s="3">
        <v>0.25066100000000002</v>
      </c>
      <c r="AA621" s="3">
        <v>0.27144059999999998</v>
      </c>
      <c r="AB621" s="3">
        <v>0.2925104</v>
      </c>
      <c r="AC621" s="3">
        <v>0.3137317</v>
      </c>
      <c r="AD621" s="3">
        <v>0.33503579999999999</v>
      </c>
      <c r="AE621" s="3">
        <v>0.3563733</v>
      </c>
      <c r="AF621" s="3">
        <v>0.37769459999999999</v>
      </c>
      <c r="AG621" s="3">
        <v>0.39895039999999998</v>
      </c>
      <c r="AH621" s="3">
        <v>0.4200912</v>
      </c>
      <c r="AI621" s="3">
        <v>0.4410675</v>
      </c>
      <c r="AJ621" s="3">
        <v>0.46183000000000002</v>
      </c>
      <c r="AK621" s="3">
        <v>0.48232900000000001</v>
      </c>
      <c r="AL621" s="3">
        <v>0.5025153</v>
      </c>
      <c r="AM621" s="3">
        <v>0.52233929999999995</v>
      </c>
      <c r="AN621" s="3">
        <v>0.54175169999999995</v>
      </c>
      <c r="AO621" s="3">
        <v>0.56071139999999997</v>
      </c>
      <c r="AP621" s="3">
        <v>0.57921540000000005</v>
      </c>
      <c r="AQ621" s="3">
        <v>0.597271</v>
      </c>
      <c r="AR621" s="3">
        <v>0.61488549999999997</v>
      </c>
      <c r="AS621" s="3">
        <v>0.63206620000000002</v>
      </c>
      <c r="AT621" s="3">
        <v>0.64882039999999996</v>
      </c>
      <c r="AU621" s="3">
        <v>0.66515539999999995</v>
      </c>
      <c r="AV621" s="3">
        <v>0.68107839999999997</v>
      </c>
      <c r="AW621" s="3">
        <v>0.69659689999999996</v>
      </c>
      <c r="AX621" s="3">
        <v>0.71171799999999996</v>
      </c>
      <c r="AY621" s="3">
        <v>0.72644909999999996</v>
      </c>
      <c r="AZ621" s="3">
        <v>0.7407975</v>
      </c>
      <c r="BA621" s="3">
        <v>0.75477110000000003</v>
      </c>
      <c r="BB621" s="3">
        <v>0.76837999999999995</v>
      </c>
      <c r="BC621" s="3">
        <v>0.78163530000000003</v>
      </c>
      <c r="BD621" s="3">
        <v>0.79454789999999997</v>
      </c>
      <c r="BE621" s="3">
        <v>0.80712879999999998</v>
      </c>
      <c r="BF621" s="3">
        <v>0.81938880000000003</v>
      </c>
      <c r="BG621" s="3">
        <v>0.83133880000000004</v>
      </c>
      <c r="BH621" s="3">
        <v>0.84299000000000002</v>
      </c>
      <c r="BI621" s="3">
        <v>0.85435309999999998</v>
      </c>
      <c r="BJ621" s="3">
        <v>0.86543919999999996</v>
      </c>
      <c r="BK621" s="3">
        <v>0.87625909999999996</v>
      </c>
      <c r="BL621" s="3">
        <v>0.88682380000000005</v>
      </c>
      <c r="BM621" s="3" t="e">
        <v>#N/A</v>
      </c>
      <c r="BN621" s="3" t="e">
        <v>#N/A</v>
      </c>
    </row>
    <row r="622" spans="1:66" x14ac:dyDescent="0.35">
      <c r="A622" s="5">
        <f t="shared" si="9"/>
        <v>44326</v>
      </c>
      <c r="B622" t="s">
        <v>699</v>
      </c>
      <c r="C622" s="2">
        <v>0.1</v>
      </c>
      <c r="D622" s="2">
        <v>4.9000000000000002E-2</v>
      </c>
      <c r="E622" s="3">
        <v>5.5856799999999998E-2</v>
      </c>
      <c r="F622" s="3">
        <v>5.34706E-2</v>
      </c>
      <c r="G622" s="3">
        <v>4.8992500000000001E-2</v>
      </c>
      <c r="H622" s="3">
        <v>4.6478499999999999E-2</v>
      </c>
      <c r="I622" s="3">
        <v>4.7613299999999997E-2</v>
      </c>
      <c r="J622" s="3">
        <v>5.12226E-2</v>
      </c>
      <c r="K622" s="3">
        <v>5.6210400000000001E-2</v>
      </c>
      <c r="L622" s="3">
        <v>6.1976200000000002E-2</v>
      </c>
      <c r="M622" s="3">
        <v>6.8484900000000001E-2</v>
      </c>
      <c r="N622" s="3">
        <v>7.5865600000000005E-2</v>
      </c>
      <c r="O622" s="3">
        <v>8.4234199999999995E-2</v>
      </c>
      <c r="P622" s="3">
        <v>9.3765399999999999E-2</v>
      </c>
      <c r="Q622" s="3">
        <v>0.1049025</v>
      </c>
      <c r="R622" s="3">
        <v>0.1176778</v>
      </c>
      <c r="S622" s="3">
        <v>0.13199179999999999</v>
      </c>
      <c r="T622" s="3">
        <v>0.14774519999999999</v>
      </c>
      <c r="U622" s="3">
        <v>0.1648384</v>
      </c>
      <c r="V622" s="3">
        <v>0.183172</v>
      </c>
      <c r="W622" s="3">
        <v>0.2026308</v>
      </c>
      <c r="X622" s="3">
        <v>0.2230269</v>
      </c>
      <c r="Y622" s="3">
        <v>0.24415120000000001</v>
      </c>
      <c r="Z622" s="3">
        <v>0.26579459999999999</v>
      </c>
      <c r="AA622" s="3">
        <v>0.28774810000000001</v>
      </c>
      <c r="AB622" s="3">
        <v>0.30980249999999998</v>
      </c>
      <c r="AC622" s="3">
        <v>0.33177820000000002</v>
      </c>
      <c r="AD622" s="3">
        <v>0.35361310000000001</v>
      </c>
      <c r="AE622" s="3">
        <v>0.3752741</v>
      </c>
      <c r="AF622" s="3">
        <v>0.39672849999999998</v>
      </c>
      <c r="AG622" s="3">
        <v>0.41794360000000003</v>
      </c>
      <c r="AH622" s="3">
        <v>0.43888630000000001</v>
      </c>
      <c r="AI622" s="3">
        <v>0.45952389999999999</v>
      </c>
      <c r="AJ622" s="3">
        <v>0.47982360000000002</v>
      </c>
      <c r="AK622" s="3">
        <v>0.49975249999999999</v>
      </c>
      <c r="AL622" s="3">
        <v>0.51927780000000001</v>
      </c>
      <c r="AM622" s="3">
        <v>0.53836669999999998</v>
      </c>
      <c r="AN622" s="3">
        <v>0.55698619999999999</v>
      </c>
      <c r="AO622" s="3">
        <v>0.57511100000000004</v>
      </c>
      <c r="AP622" s="3">
        <v>0.59274830000000001</v>
      </c>
      <c r="AQ622" s="3">
        <v>0.60991410000000001</v>
      </c>
      <c r="AR622" s="3">
        <v>0.62662470000000003</v>
      </c>
      <c r="AS622" s="3">
        <v>0.64289620000000003</v>
      </c>
      <c r="AT622" s="3">
        <v>0.65874480000000002</v>
      </c>
      <c r="AU622" s="3">
        <v>0.67418670000000003</v>
      </c>
      <c r="AV622" s="3">
        <v>0.68923800000000002</v>
      </c>
      <c r="AW622" s="3">
        <v>0.70391490000000001</v>
      </c>
      <c r="AX622" s="3">
        <v>0.71823360000000003</v>
      </c>
      <c r="AY622" s="3">
        <v>0.73221020000000003</v>
      </c>
      <c r="AZ622" s="3">
        <v>0.74586090000000005</v>
      </c>
      <c r="BA622" s="3">
        <v>0.75920109999999996</v>
      </c>
      <c r="BB622" s="3">
        <v>0.77224159999999997</v>
      </c>
      <c r="BC622" s="3">
        <v>0.78499200000000002</v>
      </c>
      <c r="BD622" s="3">
        <v>0.79746150000000005</v>
      </c>
      <c r="BE622" s="3">
        <v>0.80965980000000004</v>
      </c>
      <c r="BF622" s="3">
        <v>0.82159610000000005</v>
      </c>
      <c r="BG622" s="3">
        <v>0.83327989999999996</v>
      </c>
      <c r="BH622" s="3">
        <v>0.84472060000000004</v>
      </c>
      <c r="BI622" s="3">
        <v>0.85592780000000002</v>
      </c>
      <c r="BJ622" s="3">
        <v>0.86691070000000003</v>
      </c>
      <c r="BK622" s="3">
        <v>0.87767890000000004</v>
      </c>
      <c r="BL622" s="3">
        <v>0.88824170000000002</v>
      </c>
      <c r="BM622" s="3" t="e">
        <v>#N/A</v>
      </c>
      <c r="BN622" s="3" t="e">
        <v>#N/A</v>
      </c>
    </row>
    <row r="623" spans="1:66" x14ac:dyDescent="0.35">
      <c r="A623" s="5">
        <f t="shared" si="9"/>
        <v>44327</v>
      </c>
      <c r="B623" t="s">
        <v>700</v>
      </c>
      <c r="C623" s="2">
        <v>0.1</v>
      </c>
      <c r="D623" s="2">
        <v>4.8800000000000003E-2</v>
      </c>
      <c r="E623" s="3">
        <v>5.0535299999999998E-2</v>
      </c>
      <c r="F623" s="3">
        <v>5.0497800000000002E-2</v>
      </c>
      <c r="G623" s="3">
        <v>5.0524399999999997E-2</v>
      </c>
      <c r="H623" s="3">
        <v>5.08691E-2</v>
      </c>
      <c r="I623" s="3">
        <v>5.1953699999999998E-2</v>
      </c>
      <c r="J623" s="3">
        <v>5.4216E-2</v>
      </c>
      <c r="K623" s="3">
        <v>5.8069799999999998E-2</v>
      </c>
      <c r="L623" s="3">
        <v>6.3592999999999997E-2</v>
      </c>
      <c r="M623" s="3">
        <v>7.0646299999999995E-2</v>
      </c>
      <c r="N623" s="3">
        <v>7.9083100000000003E-2</v>
      </c>
      <c r="O623" s="3">
        <v>8.8900000000000007E-2</v>
      </c>
      <c r="P623" s="3">
        <v>0.1001821</v>
      </c>
      <c r="Q623" s="3">
        <v>0.1130862</v>
      </c>
      <c r="R623" s="3">
        <v>0.1275636</v>
      </c>
      <c r="S623" s="3">
        <v>0.14350570000000001</v>
      </c>
      <c r="T623" s="3">
        <v>0.16080430000000001</v>
      </c>
      <c r="U623" s="3">
        <v>0.1793507</v>
      </c>
      <c r="V623" s="3">
        <v>0.19903650000000001</v>
      </c>
      <c r="W623" s="3">
        <v>0.21973989999999999</v>
      </c>
      <c r="X623" s="3">
        <v>0.24127680000000001</v>
      </c>
      <c r="Y623" s="3">
        <v>0.2634454</v>
      </c>
      <c r="Z623" s="3">
        <v>0.28604360000000001</v>
      </c>
      <c r="AA623" s="3">
        <v>0.30886940000000002</v>
      </c>
      <c r="AB623" s="3">
        <v>0.33172089999999999</v>
      </c>
      <c r="AC623" s="3">
        <v>0.35442570000000001</v>
      </c>
      <c r="AD623" s="3">
        <v>0.3769304</v>
      </c>
      <c r="AE623" s="3">
        <v>0.39921089999999998</v>
      </c>
      <c r="AF623" s="3">
        <v>0.42124349999999999</v>
      </c>
      <c r="AG623" s="3">
        <v>0.44300420000000001</v>
      </c>
      <c r="AH623" s="3">
        <v>0.46446910000000002</v>
      </c>
      <c r="AI623" s="3">
        <v>0.4856145</v>
      </c>
      <c r="AJ623" s="3">
        <v>0.50641630000000004</v>
      </c>
      <c r="AK623" s="3">
        <v>0.52685079999999995</v>
      </c>
      <c r="AL623" s="3">
        <v>0.54689399999999999</v>
      </c>
      <c r="AM623" s="3">
        <v>0.56652210000000003</v>
      </c>
      <c r="AN623" s="3">
        <v>0.58571110000000004</v>
      </c>
      <c r="AO623" s="3">
        <v>0.60444189999999998</v>
      </c>
      <c r="AP623" s="3">
        <v>0.6227201</v>
      </c>
      <c r="AQ623" s="3">
        <v>0.64055969999999995</v>
      </c>
      <c r="AR623" s="3">
        <v>0.65797479999999997</v>
      </c>
      <c r="AS623" s="3">
        <v>0.67497949999999995</v>
      </c>
      <c r="AT623" s="3">
        <v>0.69158770000000003</v>
      </c>
      <c r="AU623" s="3">
        <v>0.70781369999999999</v>
      </c>
      <c r="AV623" s="3">
        <v>0.72367130000000002</v>
      </c>
      <c r="AW623" s="3">
        <v>0.73917469999999996</v>
      </c>
      <c r="AX623" s="3">
        <v>0.75433779999999995</v>
      </c>
      <c r="AY623" s="3">
        <v>0.76917489999999999</v>
      </c>
      <c r="AZ623" s="3">
        <v>0.78369979999999995</v>
      </c>
      <c r="BA623" s="3">
        <v>0.79792560000000001</v>
      </c>
      <c r="BB623" s="3">
        <v>0.81186009999999997</v>
      </c>
      <c r="BC623" s="3">
        <v>0.82550939999999995</v>
      </c>
      <c r="BD623" s="3">
        <v>0.83887970000000001</v>
      </c>
      <c r="BE623" s="3">
        <v>0.85197730000000005</v>
      </c>
      <c r="BF623" s="3">
        <v>0.86480829999999997</v>
      </c>
      <c r="BG623" s="3">
        <v>0.87737889999999996</v>
      </c>
      <c r="BH623" s="3">
        <v>0.88969529999999997</v>
      </c>
      <c r="BI623" s="3">
        <v>0.90176369999999995</v>
      </c>
      <c r="BJ623" s="3">
        <v>0.91359029999999997</v>
      </c>
      <c r="BK623" s="3">
        <v>0.92518120000000004</v>
      </c>
      <c r="BL623" s="3">
        <v>0.93654269999999995</v>
      </c>
      <c r="BM623" s="3" t="e">
        <v>#N/A</v>
      </c>
      <c r="BN623" s="3" t="e">
        <v>#N/A</v>
      </c>
    </row>
    <row r="624" spans="1:66" x14ac:dyDescent="0.35">
      <c r="A624" s="5">
        <f t="shared" si="9"/>
        <v>44328</v>
      </c>
      <c r="B624" t="s">
        <v>701</v>
      </c>
      <c r="C624" s="2">
        <v>0.1</v>
      </c>
      <c r="D624" s="2">
        <v>4.9200000000000001E-2</v>
      </c>
      <c r="E624" s="3">
        <v>5.1455500000000001E-2</v>
      </c>
      <c r="F624" s="3">
        <v>5.1235700000000002E-2</v>
      </c>
      <c r="G624" s="3">
        <v>5.0418600000000001E-2</v>
      </c>
      <c r="H624" s="3">
        <v>5.0319799999999998E-2</v>
      </c>
      <c r="I624" s="3">
        <v>5.1913899999999999E-2</v>
      </c>
      <c r="J624" s="3">
        <v>5.5498400000000003E-2</v>
      </c>
      <c r="K624" s="3">
        <v>6.1235400000000002E-2</v>
      </c>
      <c r="L624" s="3">
        <v>6.90524E-2</v>
      </c>
      <c r="M624" s="3">
        <v>7.8653500000000001E-2</v>
      </c>
      <c r="N624" s="3">
        <v>8.9739299999999994E-2</v>
      </c>
      <c r="O624" s="3">
        <v>0.10211050000000001</v>
      </c>
      <c r="P624" s="3">
        <v>0.1158428</v>
      </c>
      <c r="Q624" s="3">
        <v>0.131048</v>
      </c>
      <c r="R624" s="3">
        <v>0.14768510000000001</v>
      </c>
      <c r="S624" s="3">
        <v>0.1656753</v>
      </c>
      <c r="T624" s="3">
        <v>0.18493960000000001</v>
      </c>
      <c r="U624" s="3">
        <v>0.2053991</v>
      </c>
      <c r="V624" s="3">
        <v>0.22697510000000001</v>
      </c>
      <c r="W624" s="3">
        <v>0.24957460000000001</v>
      </c>
      <c r="X624" s="3">
        <v>0.2730264</v>
      </c>
      <c r="Y624" s="3">
        <v>0.2971317</v>
      </c>
      <c r="Z624" s="3">
        <v>0.32169140000000002</v>
      </c>
      <c r="AA624" s="3">
        <v>0.3465065</v>
      </c>
      <c r="AB624" s="3">
        <v>0.37137829999999999</v>
      </c>
      <c r="AC624" s="3">
        <v>0.39613500000000001</v>
      </c>
      <c r="AD624" s="3">
        <v>0.4207148</v>
      </c>
      <c r="AE624" s="3">
        <v>0.44508330000000002</v>
      </c>
      <c r="AF624" s="3">
        <v>0.46920610000000001</v>
      </c>
      <c r="AG624" s="3">
        <v>0.4930485</v>
      </c>
      <c r="AH624" s="3">
        <v>0.51657620000000004</v>
      </c>
      <c r="AI624" s="3">
        <v>0.53975470000000003</v>
      </c>
      <c r="AJ624" s="3">
        <v>0.56254959999999998</v>
      </c>
      <c r="AK624" s="3">
        <v>0.58492630000000001</v>
      </c>
      <c r="AL624" s="3">
        <v>0.60685040000000001</v>
      </c>
      <c r="AM624" s="3">
        <v>0.6282875</v>
      </c>
      <c r="AN624" s="3">
        <v>0.64920310000000003</v>
      </c>
      <c r="AO624" s="3">
        <v>0.66956910000000003</v>
      </c>
      <c r="AP624" s="3">
        <v>0.68938869999999997</v>
      </c>
      <c r="AQ624" s="3">
        <v>0.70867460000000004</v>
      </c>
      <c r="AR624" s="3">
        <v>0.72743959999999996</v>
      </c>
      <c r="AS624" s="3">
        <v>0.74569629999999998</v>
      </c>
      <c r="AT624" s="3">
        <v>0.76345750000000001</v>
      </c>
      <c r="AU624" s="3">
        <v>0.78073590000000004</v>
      </c>
      <c r="AV624" s="3">
        <v>0.79754409999999998</v>
      </c>
      <c r="AW624" s="3">
        <v>0.81389489999999998</v>
      </c>
      <c r="AX624" s="3">
        <v>0.82980100000000001</v>
      </c>
      <c r="AY624" s="3">
        <v>0.84527509999999995</v>
      </c>
      <c r="AZ624" s="3">
        <v>0.86033000000000004</v>
      </c>
      <c r="BA624" s="3">
        <v>0.87497809999999998</v>
      </c>
      <c r="BB624" s="3">
        <v>0.88923189999999996</v>
      </c>
      <c r="BC624" s="3">
        <v>0.9031034</v>
      </c>
      <c r="BD624" s="3">
        <v>0.91660489999999994</v>
      </c>
      <c r="BE624" s="3">
        <v>0.92974840000000003</v>
      </c>
      <c r="BF624" s="3">
        <v>0.9425462</v>
      </c>
      <c r="BG624" s="3">
        <v>0.95501049999999998</v>
      </c>
      <c r="BH624" s="3">
        <v>0.96715329999999999</v>
      </c>
      <c r="BI624" s="3">
        <v>0.97898689999999999</v>
      </c>
      <c r="BJ624" s="3">
        <v>0.99052340000000005</v>
      </c>
      <c r="BK624" s="3">
        <v>1.0017749</v>
      </c>
      <c r="BL624" s="3">
        <v>1.0127538</v>
      </c>
      <c r="BM624" s="3" t="e">
        <v>#N/A</v>
      </c>
      <c r="BN624" s="3" t="e">
        <v>#N/A</v>
      </c>
    </row>
    <row r="625" spans="1:66" x14ac:dyDescent="0.35">
      <c r="A625" s="5">
        <f t="shared" si="9"/>
        <v>44329</v>
      </c>
      <c r="B625" t="s">
        <v>702</v>
      </c>
      <c r="C625" s="2">
        <v>0.1</v>
      </c>
      <c r="D625" s="2">
        <v>4.9399999999999999E-2</v>
      </c>
      <c r="E625" s="3">
        <v>5.0746100000000002E-2</v>
      </c>
      <c r="F625" s="3">
        <v>5.1249500000000003E-2</v>
      </c>
      <c r="G625" s="3">
        <v>5.1306999999999998E-2</v>
      </c>
      <c r="H625" s="3">
        <v>5.12139E-2</v>
      </c>
      <c r="I625" s="3">
        <v>5.2080000000000001E-2</v>
      </c>
      <c r="J625" s="3">
        <v>5.4965E-2</v>
      </c>
      <c r="K625" s="3">
        <v>6.03601E-2</v>
      </c>
      <c r="L625" s="3">
        <v>6.83893E-2</v>
      </c>
      <c r="M625" s="3">
        <v>7.8719300000000006E-2</v>
      </c>
      <c r="N625" s="3">
        <v>9.0937400000000002E-2</v>
      </c>
      <c r="O625" s="3">
        <v>0.104708</v>
      </c>
      <c r="P625" s="3">
        <v>0.1198795</v>
      </c>
      <c r="Q625" s="3">
        <v>0.13620090000000001</v>
      </c>
      <c r="R625" s="3">
        <v>0.15359519999999999</v>
      </c>
      <c r="S625" s="3">
        <v>0.17204249999999999</v>
      </c>
      <c r="T625" s="3">
        <v>0.19152350000000001</v>
      </c>
      <c r="U625" s="3">
        <v>0.2120185</v>
      </c>
      <c r="V625" s="3">
        <v>0.23350789999999999</v>
      </c>
      <c r="W625" s="3">
        <v>0.25595119999999999</v>
      </c>
      <c r="X625" s="3">
        <v>0.27919949999999999</v>
      </c>
      <c r="Y625" s="3">
        <v>0.3030699</v>
      </c>
      <c r="Z625" s="3">
        <v>0.32737899999999998</v>
      </c>
      <c r="AA625" s="3">
        <v>0.35194370000000003</v>
      </c>
      <c r="AB625" s="3">
        <v>0.37658079999999999</v>
      </c>
      <c r="AC625" s="3">
        <v>0.40112720000000002</v>
      </c>
      <c r="AD625" s="3">
        <v>0.4255178</v>
      </c>
      <c r="AE625" s="3">
        <v>0.44971699999999998</v>
      </c>
      <c r="AF625" s="3">
        <v>0.47368939999999998</v>
      </c>
      <c r="AG625" s="3">
        <v>0.4973997</v>
      </c>
      <c r="AH625" s="3">
        <v>0.52081250000000001</v>
      </c>
      <c r="AI625" s="3">
        <v>0.54389220000000005</v>
      </c>
      <c r="AJ625" s="3">
        <v>0.56660359999999999</v>
      </c>
      <c r="AK625" s="3">
        <v>0.58891110000000002</v>
      </c>
      <c r="AL625" s="3">
        <v>0.61077939999999997</v>
      </c>
      <c r="AM625" s="3">
        <v>0.63217299999999998</v>
      </c>
      <c r="AN625" s="3">
        <v>0.65305659999999999</v>
      </c>
      <c r="AO625" s="3">
        <v>0.6734021</v>
      </c>
      <c r="AP625" s="3">
        <v>0.69321390000000005</v>
      </c>
      <c r="AQ625" s="3">
        <v>0.71250539999999996</v>
      </c>
      <c r="AR625" s="3">
        <v>0.7312902</v>
      </c>
      <c r="AS625" s="3">
        <v>0.74958150000000001</v>
      </c>
      <c r="AT625" s="3">
        <v>0.76739279999999999</v>
      </c>
      <c r="AU625" s="3">
        <v>0.78473760000000004</v>
      </c>
      <c r="AV625" s="3">
        <v>0.80162920000000004</v>
      </c>
      <c r="AW625" s="3">
        <v>0.81808119999999995</v>
      </c>
      <c r="AX625" s="3">
        <v>0.83410680000000004</v>
      </c>
      <c r="AY625" s="3">
        <v>0.84971949999999996</v>
      </c>
      <c r="AZ625" s="3">
        <v>0.86493279999999995</v>
      </c>
      <c r="BA625" s="3">
        <v>0.87975959999999997</v>
      </c>
      <c r="BB625" s="3">
        <v>0.89421090000000003</v>
      </c>
      <c r="BC625" s="3">
        <v>0.90829720000000003</v>
      </c>
      <c r="BD625" s="3">
        <v>0.92202890000000004</v>
      </c>
      <c r="BE625" s="3">
        <v>0.93541649999999998</v>
      </c>
      <c r="BF625" s="3">
        <v>0.94847040000000005</v>
      </c>
      <c r="BG625" s="3">
        <v>0.96120110000000003</v>
      </c>
      <c r="BH625" s="3">
        <v>0.97361900000000001</v>
      </c>
      <c r="BI625" s="3">
        <v>0.98573469999999996</v>
      </c>
      <c r="BJ625" s="3">
        <v>0.99755850000000001</v>
      </c>
      <c r="BK625" s="3">
        <v>1.0091009</v>
      </c>
      <c r="BL625" s="3">
        <v>1.0203724000000001</v>
      </c>
      <c r="BM625" s="3" t="e">
        <v>#N/A</v>
      </c>
      <c r="BN625" s="3" t="e">
        <v>#N/A</v>
      </c>
    </row>
    <row r="626" spans="1:66" x14ac:dyDescent="0.35">
      <c r="A626" s="5">
        <f t="shared" si="9"/>
        <v>44330</v>
      </c>
      <c r="B626" t="s">
        <v>703</v>
      </c>
      <c r="C626" s="2">
        <v>0.1</v>
      </c>
      <c r="D626" s="2">
        <v>4.9700000000000001E-2</v>
      </c>
      <c r="E626" s="3">
        <v>4.9523600000000001E-2</v>
      </c>
      <c r="F626" s="3">
        <v>5.1263000000000003E-2</v>
      </c>
      <c r="G626" s="3">
        <v>5.3723E-2</v>
      </c>
      <c r="H626" s="3">
        <v>5.6439099999999999E-2</v>
      </c>
      <c r="I626" s="3">
        <v>5.9377899999999997E-2</v>
      </c>
      <c r="J626" s="3">
        <v>6.3987199999999994E-2</v>
      </c>
      <c r="K626" s="3">
        <v>7.0464499999999999E-2</v>
      </c>
      <c r="L626" s="3">
        <v>7.6993800000000001E-2</v>
      </c>
      <c r="M626" s="3">
        <v>8.3193699999999995E-2</v>
      </c>
      <c r="N626" s="3">
        <v>9.0054300000000004E-2</v>
      </c>
      <c r="O626" s="3">
        <v>9.8554000000000003E-2</v>
      </c>
      <c r="P626" s="3">
        <v>0.1094799</v>
      </c>
      <c r="Q626" s="3">
        <v>0.1230228</v>
      </c>
      <c r="R626" s="3">
        <v>0.13897029999999999</v>
      </c>
      <c r="S626" s="3">
        <v>0.15703159999999999</v>
      </c>
      <c r="T626" s="3">
        <v>0.17691560000000001</v>
      </c>
      <c r="U626" s="3">
        <v>0.19833139999999999</v>
      </c>
      <c r="V626" s="3">
        <v>0.22098809999999999</v>
      </c>
      <c r="W626" s="3">
        <v>0.24460270000000001</v>
      </c>
      <c r="X626" s="3">
        <v>0.26893050000000002</v>
      </c>
      <c r="Y626" s="3">
        <v>0.29373739999999998</v>
      </c>
      <c r="Z626" s="3">
        <v>0.31878960000000001</v>
      </c>
      <c r="AA626" s="3">
        <v>0.34385310000000002</v>
      </c>
      <c r="AB626" s="3">
        <v>0.36869410000000002</v>
      </c>
      <c r="AC626" s="3">
        <v>0.39311289999999999</v>
      </c>
      <c r="AD626" s="3">
        <v>0.41706179999999998</v>
      </c>
      <c r="AE626" s="3">
        <v>0.4405347</v>
      </c>
      <c r="AF626" s="3">
        <v>0.46352569999999998</v>
      </c>
      <c r="AG626" s="3">
        <v>0.48602889999999999</v>
      </c>
      <c r="AH626" s="3">
        <v>0.5080382</v>
      </c>
      <c r="AI626" s="3">
        <v>0.52954769999999995</v>
      </c>
      <c r="AJ626" s="3">
        <v>0.55055149999999997</v>
      </c>
      <c r="AK626" s="3">
        <v>0.57104350000000004</v>
      </c>
      <c r="AL626" s="3">
        <v>0.59101780000000004</v>
      </c>
      <c r="AM626" s="3">
        <v>0.61046849999999997</v>
      </c>
      <c r="AN626" s="3">
        <v>0.62938950000000005</v>
      </c>
      <c r="AO626" s="3">
        <v>0.64777870000000004</v>
      </c>
      <c r="AP626" s="3">
        <v>0.66565050000000003</v>
      </c>
      <c r="AQ626" s="3">
        <v>0.68302379999999996</v>
      </c>
      <c r="AR626" s="3">
        <v>0.69991769999999998</v>
      </c>
      <c r="AS626" s="3">
        <v>0.71635119999999997</v>
      </c>
      <c r="AT626" s="3">
        <v>0.73234319999999997</v>
      </c>
      <c r="AU626" s="3">
        <v>0.74791269999999999</v>
      </c>
      <c r="AV626" s="3">
        <v>0.7630789</v>
      </c>
      <c r="AW626" s="3">
        <v>0.77786049999999995</v>
      </c>
      <c r="AX626" s="3">
        <v>0.7922768</v>
      </c>
      <c r="AY626" s="3">
        <v>0.80634649999999997</v>
      </c>
      <c r="AZ626" s="3">
        <v>0.82008879999999995</v>
      </c>
      <c r="BA626" s="3">
        <v>0.83352110000000001</v>
      </c>
      <c r="BB626" s="3">
        <v>0.84665400000000002</v>
      </c>
      <c r="BC626" s="3">
        <v>0.85949629999999999</v>
      </c>
      <c r="BD626" s="3">
        <v>0.87205679999999997</v>
      </c>
      <c r="BE626" s="3">
        <v>0.88434420000000002</v>
      </c>
      <c r="BF626" s="3">
        <v>0.89636720000000003</v>
      </c>
      <c r="BG626" s="3">
        <v>0.90813469999999996</v>
      </c>
      <c r="BH626" s="3">
        <v>0.91965529999999995</v>
      </c>
      <c r="BI626" s="3">
        <v>0.93093800000000004</v>
      </c>
      <c r="BJ626" s="3">
        <v>0.94199129999999998</v>
      </c>
      <c r="BK626" s="3">
        <v>0.95282409999999995</v>
      </c>
      <c r="BL626" s="3">
        <v>0.96344510000000005</v>
      </c>
      <c r="BM626" s="3" t="e">
        <v>#N/A</v>
      </c>
      <c r="BN626" s="3" t="e">
        <v>#N/A</v>
      </c>
    </row>
    <row r="627" spans="1:66" x14ac:dyDescent="0.35">
      <c r="A627" s="5">
        <f t="shared" si="9"/>
        <v>44333</v>
      </c>
      <c r="B627" t="s">
        <v>704</v>
      </c>
      <c r="C627" s="2">
        <v>0.1</v>
      </c>
      <c r="D627" s="2">
        <v>4.8300000000000003E-2</v>
      </c>
      <c r="E627" s="3">
        <v>4.8897799999999998E-2</v>
      </c>
      <c r="F627" s="3">
        <v>5.2806600000000002E-2</v>
      </c>
      <c r="G627" s="3">
        <v>5.3460300000000002E-2</v>
      </c>
      <c r="H627" s="3">
        <v>5.2233599999999998E-2</v>
      </c>
      <c r="I627" s="3">
        <v>5.1762299999999997E-2</v>
      </c>
      <c r="J627" s="3">
        <v>5.3459399999999997E-2</v>
      </c>
      <c r="K627" s="3">
        <v>5.78148E-2</v>
      </c>
      <c r="L627" s="3">
        <v>6.4704300000000006E-2</v>
      </c>
      <c r="M627" s="3">
        <v>7.3652099999999998E-2</v>
      </c>
      <c r="N627" s="3">
        <v>8.4166900000000003E-2</v>
      </c>
      <c r="O627" s="3">
        <v>9.5993499999999995E-2</v>
      </c>
      <c r="P627" s="3">
        <v>0.1090863</v>
      </c>
      <c r="Q627" s="3">
        <v>0.1235576</v>
      </c>
      <c r="R627" s="3">
        <v>0.1393877</v>
      </c>
      <c r="S627" s="3">
        <v>0.1565098</v>
      </c>
      <c r="T627" s="3">
        <v>0.17485719999999999</v>
      </c>
      <c r="U627" s="3">
        <v>0.19436300000000001</v>
      </c>
      <c r="V627" s="3">
        <v>0.2149607</v>
      </c>
      <c r="W627" s="3">
        <v>0.23656579999999999</v>
      </c>
      <c r="X627" s="3">
        <v>0.2590133</v>
      </c>
      <c r="Y627" s="3">
        <v>0.28211439999999999</v>
      </c>
      <c r="Z627" s="3">
        <v>0.30568040000000002</v>
      </c>
      <c r="AA627" s="3">
        <v>0.3295226</v>
      </c>
      <c r="AB627" s="3">
        <v>0.3534524</v>
      </c>
      <c r="AC627" s="3">
        <v>0.37730609999999998</v>
      </c>
      <c r="AD627" s="3">
        <v>0.4010203</v>
      </c>
      <c r="AE627" s="3">
        <v>0.42455690000000001</v>
      </c>
      <c r="AF627" s="3">
        <v>0.44787759999999999</v>
      </c>
      <c r="AG627" s="3">
        <v>0.47094399999999997</v>
      </c>
      <c r="AH627" s="3">
        <v>0.49371789999999999</v>
      </c>
      <c r="AI627" s="3">
        <v>0.51616119999999999</v>
      </c>
      <c r="AJ627" s="3">
        <v>0.53823540000000003</v>
      </c>
      <c r="AK627" s="3">
        <v>0.55990240000000002</v>
      </c>
      <c r="AL627" s="3">
        <v>0.58112379999999997</v>
      </c>
      <c r="AM627" s="3">
        <v>0.60186139999999999</v>
      </c>
      <c r="AN627" s="3">
        <v>0.62207710000000005</v>
      </c>
      <c r="AO627" s="3">
        <v>0.64174050000000005</v>
      </c>
      <c r="AP627" s="3">
        <v>0.66085729999999998</v>
      </c>
      <c r="AQ627" s="3">
        <v>0.67944300000000002</v>
      </c>
      <c r="AR627" s="3">
        <v>0.69751300000000005</v>
      </c>
      <c r="AS627" s="3">
        <v>0.71508300000000002</v>
      </c>
      <c r="AT627" s="3">
        <v>0.73216829999999999</v>
      </c>
      <c r="AU627" s="3">
        <v>0.74878440000000002</v>
      </c>
      <c r="AV627" s="3">
        <v>0.76494689999999999</v>
      </c>
      <c r="AW627" s="3">
        <v>0.78067109999999995</v>
      </c>
      <c r="AX627" s="3">
        <v>0.79597269999999998</v>
      </c>
      <c r="AY627" s="3">
        <v>0.810867</v>
      </c>
      <c r="AZ627" s="3">
        <v>0.82536960000000004</v>
      </c>
      <c r="BA627" s="3">
        <v>0.83949569999999996</v>
      </c>
      <c r="BB627" s="3">
        <v>0.85325870000000004</v>
      </c>
      <c r="BC627" s="3">
        <v>0.86667170000000004</v>
      </c>
      <c r="BD627" s="3">
        <v>0.87974759999999996</v>
      </c>
      <c r="BE627" s="3">
        <v>0.8924993</v>
      </c>
      <c r="BF627" s="3">
        <v>0.90493999999999997</v>
      </c>
      <c r="BG627" s="3">
        <v>0.91708239999999996</v>
      </c>
      <c r="BH627" s="3">
        <v>0.92893970000000003</v>
      </c>
      <c r="BI627" s="3">
        <v>0.94052480000000005</v>
      </c>
      <c r="BJ627" s="3">
        <v>0.95185059999999999</v>
      </c>
      <c r="BK627" s="3">
        <v>0.96293010000000001</v>
      </c>
      <c r="BL627" s="3">
        <v>0.97377630000000004</v>
      </c>
      <c r="BM627" s="3" t="e">
        <v>#N/A</v>
      </c>
      <c r="BN627" s="3" t="e">
        <v>#N/A</v>
      </c>
    </row>
    <row r="628" spans="1:66" x14ac:dyDescent="0.35">
      <c r="A628" s="5">
        <f t="shared" si="9"/>
        <v>44334</v>
      </c>
      <c r="B628" t="s">
        <v>705</v>
      </c>
      <c r="C628" s="2">
        <v>0.1</v>
      </c>
      <c r="D628" s="2">
        <v>4.9299999999999997E-2</v>
      </c>
      <c r="E628" s="3">
        <v>5.0626600000000001E-2</v>
      </c>
      <c r="F628" s="3">
        <v>5.0436799999999997E-2</v>
      </c>
      <c r="G628" s="3">
        <v>5.0138299999999997E-2</v>
      </c>
      <c r="H628" s="3">
        <v>5.01529E-2</v>
      </c>
      <c r="I628" s="3">
        <v>5.1230299999999999E-2</v>
      </c>
      <c r="J628" s="3">
        <v>5.3976499999999997E-2</v>
      </c>
      <c r="K628" s="3">
        <v>5.8676399999999997E-2</v>
      </c>
      <c r="L628" s="3">
        <v>6.5153000000000003E-2</v>
      </c>
      <c r="M628" s="3">
        <v>7.3097999999999996E-2</v>
      </c>
      <c r="N628" s="3">
        <v>8.2304100000000005E-2</v>
      </c>
      <c r="O628" s="3">
        <v>9.2842099999999997E-2</v>
      </c>
      <c r="P628" s="3">
        <v>0.10490380000000001</v>
      </c>
      <c r="Q628" s="3">
        <v>0.118779</v>
      </c>
      <c r="R628" s="3">
        <v>0.13441739999999999</v>
      </c>
      <c r="S628" s="3">
        <v>0.1516692</v>
      </c>
      <c r="T628" s="3">
        <v>0.1703848</v>
      </c>
      <c r="U628" s="3">
        <v>0.19041440000000001</v>
      </c>
      <c r="V628" s="3">
        <v>0.2116084</v>
      </c>
      <c r="W628" s="3">
        <v>0.23380819999999999</v>
      </c>
      <c r="X628" s="3">
        <v>0.25681330000000002</v>
      </c>
      <c r="Y628" s="3">
        <v>0.28041129999999997</v>
      </c>
      <c r="Z628" s="3">
        <v>0.30438999999999999</v>
      </c>
      <c r="AA628" s="3">
        <v>0.32853670000000001</v>
      </c>
      <c r="AB628" s="3">
        <v>0.35263909999999998</v>
      </c>
      <c r="AC628" s="3">
        <v>0.37651689999999999</v>
      </c>
      <c r="AD628" s="3">
        <v>0.40011849999999999</v>
      </c>
      <c r="AE628" s="3">
        <v>0.42342439999999998</v>
      </c>
      <c r="AF628" s="3">
        <v>0.4464148</v>
      </c>
      <c r="AG628" s="3">
        <v>0.4690705</v>
      </c>
      <c r="AH628" s="3">
        <v>0.49137170000000002</v>
      </c>
      <c r="AI628" s="3">
        <v>0.51329910000000001</v>
      </c>
      <c r="AJ628" s="3">
        <v>0.53483290000000006</v>
      </c>
      <c r="AK628" s="3">
        <v>0.55595380000000005</v>
      </c>
      <c r="AL628" s="3">
        <v>0.57664210000000005</v>
      </c>
      <c r="AM628" s="3">
        <v>0.59687840000000003</v>
      </c>
      <c r="AN628" s="3">
        <v>0.6166431</v>
      </c>
      <c r="AO628" s="3">
        <v>0.63592079999999995</v>
      </c>
      <c r="AP628" s="3">
        <v>0.65471800000000002</v>
      </c>
      <c r="AQ628" s="3">
        <v>0.6730486</v>
      </c>
      <c r="AR628" s="3">
        <v>0.69092679999999995</v>
      </c>
      <c r="AS628" s="3">
        <v>0.7083663</v>
      </c>
      <c r="AT628" s="3">
        <v>0.72538130000000001</v>
      </c>
      <c r="AU628" s="3">
        <v>0.74198549999999996</v>
      </c>
      <c r="AV628" s="3">
        <v>0.75819309999999995</v>
      </c>
      <c r="AW628" s="3">
        <v>0.77401799999999998</v>
      </c>
      <c r="AX628" s="3">
        <v>0.78947409999999996</v>
      </c>
      <c r="AY628" s="3">
        <v>0.80457529999999999</v>
      </c>
      <c r="AZ628" s="3">
        <v>0.8193357</v>
      </c>
      <c r="BA628" s="3">
        <v>0.83376850000000002</v>
      </c>
      <c r="BB628" s="3">
        <v>0.84788269999999999</v>
      </c>
      <c r="BC628" s="3">
        <v>0.86168650000000002</v>
      </c>
      <c r="BD628" s="3">
        <v>0.87518770000000001</v>
      </c>
      <c r="BE628" s="3">
        <v>0.88839449999999998</v>
      </c>
      <c r="BF628" s="3">
        <v>0.90131470000000002</v>
      </c>
      <c r="BG628" s="3">
        <v>0.91395649999999995</v>
      </c>
      <c r="BH628" s="3">
        <v>0.92632780000000003</v>
      </c>
      <c r="BI628" s="3">
        <v>0.93843650000000001</v>
      </c>
      <c r="BJ628" s="3">
        <v>0.95029079999999999</v>
      </c>
      <c r="BK628" s="3">
        <v>0.96189860000000005</v>
      </c>
      <c r="BL628" s="3">
        <v>0.97326780000000002</v>
      </c>
      <c r="BM628" s="3" t="e">
        <v>#N/A</v>
      </c>
      <c r="BN628" s="3" t="e">
        <v>#N/A</v>
      </c>
    </row>
    <row r="629" spans="1:66" x14ac:dyDescent="0.35">
      <c r="A629" s="5">
        <f t="shared" si="9"/>
        <v>44335</v>
      </c>
      <c r="B629" t="s">
        <v>706</v>
      </c>
      <c r="C629" s="2">
        <v>0.1</v>
      </c>
      <c r="D629" s="2">
        <v>4.9000000000000002E-2</v>
      </c>
      <c r="E629" s="3">
        <v>4.9797399999999999E-2</v>
      </c>
      <c r="F629" s="3">
        <v>4.6822599999999999E-2</v>
      </c>
      <c r="G629" s="3">
        <v>4.5426800000000003E-2</v>
      </c>
      <c r="H629" s="3">
        <v>4.8186300000000001E-2</v>
      </c>
      <c r="I629" s="3">
        <v>5.2869899999999997E-2</v>
      </c>
      <c r="J629" s="3">
        <v>5.6614999999999999E-2</v>
      </c>
      <c r="K629" s="3">
        <v>5.9720599999999999E-2</v>
      </c>
      <c r="L629" s="3">
        <v>6.3495999999999997E-2</v>
      </c>
      <c r="M629" s="3">
        <v>6.8776799999999999E-2</v>
      </c>
      <c r="N629" s="3">
        <v>7.5985700000000003E-2</v>
      </c>
      <c r="O629" s="3">
        <v>8.5187600000000002E-2</v>
      </c>
      <c r="P629" s="3">
        <v>9.6431000000000003E-2</v>
      </c>
      <c r="Q629" s="3">
        <v>0.10956970000000001</v>
      </c>
      <c r="R629" s="3">
        <v>0.12444819999999999</v>
      </c>
      <c r="S629" s="3">
        <v>0.14092579999999999</v>
      </c>
      <c r="T629" s="3">
        <v>0.15886169999999999</v>
      </c>
      <c r="U629" s="3">
        <v>0.1781151</v>
      </c>
      <c r="V629" s="3">
        <v>0.19854530000000001</v>
      </c>
      <c r="W629" s="3">
        <v>0.22000459999999999</v>
      </c>
      <c r="X629" s="3">
        <v>0.24230589999999999</v>
      </c>
      <c r="Y629" s="3">
        <v>0.2652485</v>
      </c>
      <c r="Z629" s="3">
        <v>0.28863139999999998</v>
      </c>
      <c r="AA629" s="3">
        <v>0.31225389999999997</v>
      </c>
      <c r="AB629" s="3">
        <v>0.33591500000000002</v>
      </c>
      <c r="AC629" s="3">
        <v>0.3594426</v>
      </c>
      <c r="AD629" s="3">
        <v>0.38277899999999998</v>
      </c>
      <c r="AE629" s="3">
        <v>0.40589550000000002</v>
      </c>
      <c r="AF629" s="3">
        <v>0.42876310000000001</v>
      </c>
      <c r="AG629" s="3">
        <v>0.4513529</v>
      </c>
      <c r="AH629" s="3">
        <v>0.4736359</v>
      </c>
      <c r="AI629" s="3">
        <v>0.4955832</v>
      </c>
      <c r="AJ629" s="3">
        <v>0.51716600000000001</v>
      </c>
      <c r="AK629" s="3">
        <v>0.53835540000000004</v>
      </c>
      <c r="AL629" s="3">
        <v>0.55912229999999996</v>
      </c>
      <c r="AM629" s="3">
        <v>0.57943800000000001</v>
      </c>
      <c r="AN629" s="3">
        <v>0.59927350000000001</v>
      </c>
      <c r="AO629" s="3">
        <v>0.61860610000000005</v>
      </c>
      <c r="AP629" s="3">
        <v>0.6374436</v>
      </c>
      <c r="AQ629" s="3">
        <v>0.65580300000000002</v>
      </c>
      <c r="AR629" s="3">
        <v>0.67370140000000001</v>
      </c>
      <c r="AS629" s="3">
        <v>0.69115590000000005</v>
      </c>
      <c r="AT629" s="3">
        <v>0.70818329999999996</v>
      </c>
      <c r="AU629" s="3">
        <v>0.72480089999999997</v>
      </c>
      <c r="AV629" s="3">
        <v>0.74102559999999995</v>
      </c>
      <c r="AW629" s="3">
        <v>0.75687450000000001</v>
      </c>
      <c r="AX629" s="3">
        <v>0.77236450000000001</v>
      </c>
      <c r="AY629" s="3">
        <v>0.78751289999999996</v>
      </c>
      <c r="AZ629" s="3">
        <v>0.80233639999999995</v>
      </c>
      <c r="BA629" s="3">
        <v>0.81685090000000005</v>
      </c>
      <c r="BB629" s="3">
        <v>0.83106530000000001</v>
      </c>
      <c r="BC629" s="3">
        <v>0.84498720000000005</v>
      </c>
      <c r="BD629" s="3">
        <v>0.8586239</v>
      </c>
      <c r="BE629" s="3">
        <v>0.8719827</v>
      </c>
      <c r="BF629" s="3">
        <v>0.8850711</v>
      </c>
      <c r="BG629" s="3">
        <v>0.89789649999999999</v>
      </c>
      <c r="BH629" s="3">
        <v>0.91046629999999995</v>
      </c>
      <c r="BI629" s="3">
        <v>0.92278780000000005</v>
      </c>
      <c r="BJ629" s="3">
        <v>0.93486840000000004</v>
      </c>
      <c r="BK629" s="3">
        <v>0.94671550000000004</v>
      </c>
      <c r="BL629" s="3">
        <v>0.95833659999999998</v>
      </c>
      <c r="BM629" s="3" t="e">
        <v>#N/A</v>
      </c>
      <c r="BN629" s="3" t="e">
        <v>#N/A</v>
      </c>
    </row>
    <row r="630" spans="1:66" x14ac:dyDescent="0.35">
      <c r="A630" s="5">
        <f t="shared" si="9"/>
        <v>44336</v>
      </c>
      <c r="B630" t="s">
        <v>707</v>
      </c>
      <c r="C630" s="2">
        <v>0.1</v>
      </c>
      <c r="D630" s="2">
        <v>4.9299999999999997E-2</v>
      </c>
      <c r="E630" s="3">
        <v>5.0226600000000003E-2</v>
      </c>
      <c r="F630" s="3">
        <v>5.0200500000000002E-2</v>
      </c>
      <c r="G630" s="3">
        <v>5.02627E-2</v>
      </c>
      <c r="H630" s="3">
        <v>5.0433600000000002E-2</v>
      </c>
      <c r="I630" s="3">
        <v>5.1037699999999998E-2</v>
      </c>
      <c r="J630" s="3">
        <v>5.2542800000000001E-2</v>
      </c>
      <c r="K630" s="3">
        <v>5.5513399999999997E-2</v>
      </c>
      <c r="L630" s="3">
        <v>6.0378599999999998E-2</v>
      </c>
      <c r="M630" s="3">
        <v>6.6952499999999998E-2</v>
      </c>
      <c r="N630" s="3">
        <v>7.4985999999999997E-2</v>
      </c>
      <c r="O630" s="3">
        <v>8.4441699999999995E-2</v>
      </c>
      <c r="P630" s="3">
        <v>9.5441200000000004E-2</v>
      </c>
      <c r="Q630" s="3">
        <v>0.1081453</v>
      </c>
      <c r="R630" s="3">
        <v>0.1225025</v>
      </c>
      <c r="S630" s="3">
        <v>0.13840340000000001</v>
      </c>
      <c r="T630" s="3">
        <v>0.1557383</v>
      </c>
      <c r="U630" s="3">
        <v>0.1743981</v>
      </c>
      <c r="V630" s="3">
        <v>0.194273</v>
      </c>
      <c r="W630" s="3">
        <v>0.21524219999999999</v>
      </c>
      <c r="X630" s="3">
        <v>0.23712510000000001</v>
      </c>
      <c r="Y630" s="3">
        <v>0.25972200000000001</v>
      </c>
      <c r="Z630" s="3">
        <v>0.28283350000000002</v>
      </c>
      <c r="AA630" s="3">
        <v>0.30625989999999997</v>
      </c>
      <c r="AB630" s="3">
        <v>0.32980159999999997</v>
      </c>
      <c r="AC630" s="3">
        <v>0.35328140000000002</v>
      </c>
      <c r="AD630" s="3">
        <v>0.3766312</v>
      </c>
      <c r="AE630" s="3">
        <v>0.3998157</v>
      </c>
      <c r="AF630" s="3">
        <v>0.42279990000000001</v>
      </c>
      <c r="AG630" s="3">
        <v>0.44554860000000002</v>
      </c>
      <c r="AH630" s="3">
        <v>0.46802690000000002</v>
      </c>
      <c r="AI630" s="3">
        <v>0.49019960000000001</v>
      </c>
      <c r="AJ630" s="3">
        <v>0.51203160000000003</v>
      </c>
      <c r="AK630" s="3">
        <v>0.53348790000000001</v>
      </c>
      <c r="AL630" s="3">
        <v>0.55453330000000001</v>
      </c>
      <c r="AM630" s="3">
        <v>0.5751328</v>
      </c>
      <c r="AN630" s="3">
        <v>0.59525119999999998</v>
      </c>
      <c r="AO630" s="3">
        <v>0.61486059999999998</v>
      </c>
      <c r="AP630" s="3">
        <v>0.63396470000000005</v>
      </c>
      <c r="AQ630" s="3">
        <v>0.65257560000000003</v>
      </c>
      <c r="AR630" s="3">
        <v>0.67070569999999996</v>
      </c>
      <c r="AS630" s="3">
        <v>0.68836719999999996</v>
      </c>
      <c r="AT630" s="3">
        <v>0.70557239999999999</v>
      </c>
      <c r="AU630" s="3">
        <v>0.72233360000000002</v>
      </c>
      <c r="AV630" s="3">
        <v>0.73866310000000002</v>
      </c>
      <c r="AW630" s="3">
        <v>0.75457320000000005</v>
      </c>
      <c r="AX630" s="3">
        <v>0.77007599999999998</v>
      </c>
      <c r="AY630" s="3">
        <v>0.78518399999999999</v>
      </c>
      <c r="AZ630" s="3">
        <v>0.79990939999999999</v>
      </c>
      <c r="BA630" s="3">
        <v>0.81426430000000005</v>
      </c>
      <c r="BB630" s="3">
        <v>0.82826049999999996</v>
      </c>
      <c r="BC630" s="3">
        <v>0.84190940000000003</v>
      </c>
      <c r="BD630" s="3">
        <v>0.8552225</v>
      </c>
      <c r="BE630" s="3">
        <v>0.86821159999999997</v>
      </c>
      <c r="BF630" s="3">
        <v>0.88088789999999995</v>
      </c>
      <c r="BG630" s="3">
        <v>0.89326309999999998</v>
      </c>
      <c r="BH630" s="3">
        <v>0.90534879999999995</v>
      </c>
      <c r="BI630" s="3">
        <v>0.91715639999999998</v>
      </c>
      <c r="BJ630" s="3">
        <v>0.92869740000000001</v>
      </c>
      <c r="BK630" s="3">
        <v>0.93998349999999997</v>
      </c>
      <c r="BL630" s="3">
        <v>0.95102600000000004</v>
      </c>
      <c r="BM630" s="3" t="e">
        <v>#N/A</v>
      </c>
      <c r="BN630" s="3" t="e">
        <v>#N/A</v>
      </c>
    </row>
    <row r="631" spans="1:66" x14ac:dyDescent="0.35">
      <c r="A631" s="5">
        <f t="shared" si="9"/>
        <v>44337</v>
      </c>
      <c r="B631" t="s">
        <v>708</v>
      </c>
      <c r="C631" s="2">
        <v>0.1</v>
      </c>
      <c r="D631" s="2">
        <v>4.9500000000000002E-2</v>
      </c>
      <c r="E631" s="3">
        <v>4.9717699999999997E-2</v>
      </c>
      <c r="F631" s="3">
        <v>5.0146000000000003E-2</v>
      </c>
      <c r="G631" s="3">
        <v>5.1335400000000003E-2</v>
      </c>
      <c r="H631" s="3">
        <v>5.3064899999999998E-2</v>
      </c>
      <c r="I631" s="3">
        <v>5.4707400000000003E-2</v>
      </c>
      <c r="J631" s="3">
        <v>5.61416E-2</v>
      </c>
      <c r="K631" s="3">
        <v>5.78877E-2</v>
      </c>
      <c r="L631" s="3">
        <v>6.1327600000000003E-2</v>
      </c>
      <c r="M631" s="3">
        <v>6.7201200000000003E-2</v>
      </c>
      <c r="N631" s="3">
        <v>7.4954800000000002E-2</v>
      </c>
      <c r="O631" s="3">
        <v>8.4304100000000007E-2</v>
      </c>
      <c r="P631" s="3">
        <v>9.5406299999999999E-2</v>
      </c>
      <c r="Q631" s="3">
        <v>0.10824540000000001</v>
      </c>
      <c r="R631" s="3">
        <v>0.1227145</v>
      </c>
      <c r="S631" s="3">
        <v>0.13869909999999999</v>
      </c>
      <c r="T631" s="3">
        <v>0.15608440000000001</v>
      </c>
      <c r="U631" s="3">
        <v>0.17475589999999999</v>
      </c>
      <c r="V631" s="3">
        <v>0.1945991</v>
      </c>
      <c r="W631" s="3">
        <v>0.2154894</v>
      </c>
      <c r="X631" s="3">
        <v>0.23725669999999999</v>
      </c>
      <c r="Y631" s="3">
        <v>0.25971739999999999</v>
      </c>
      <c r="Z631" s="3">
        <v>0.2826881</v>
      </c>
      <c r="AA631" s="3">
        <v>0.30598540000000002</v>
      </c>
      <c r="AB631" s="3">
        <v>0.32942569999999999</v>
      </c>
      <c r="AC631" s="3">
        <v>0.35284710000000002</v>
      </c>
      <c r="AD631" s="3">
        <v>0.37618279999999998</v>
      </c>
      <c r="AE631" s="3">
        <v>0.39939219999999998</v>
      </c>
      <c r="AF631" s="3">
        <v>0.4224349</v>
      </c>
      <c r="AG631" s="3">
        <v>0.4452701</v>
      </c>
      <c r="AH631" s="3">
        <v>0.46785749999999998</v>
      </c>
      <c r="AI631" s="3">
        <v>0.49015639999999999</v>
      </c>
      <c r="AJ631" s="3">
        <v>0.51212619999999998</v>
      </c>
      <c r="AK631" s="3">
        <v>0.53372649999999999</v>
      </c>
      <c r="AL631" s="3">
        <v>0.55491659999999998</v>
      </c>
      <c r="AM631" s="3">
        <v>0.57565599999999995</v>
      </c>
      <c r="AN631" s="3">
        <v>0.5959042</v>
      </c>
      <c r="AO631" s="3">
        <v>0.61562850000000002</v>
      </c>
      <c r="AP631" s="3">
        <v>0.63483149999999999</v>
      </c>
      <c r="AQ631" s="3">
        <v>0.65352540000000003</v>
      </c>
      <c r="AR631" s="3">
        <v>0.67172259999999995</v>
      </c>
      <c r="AS631" s="3">
        <v>0.68943509999999997</v>
      </c>
      <c r="AT631" s="3">
        <v>0.70667539999999995</v>
      </c>
      <c r="AU631" s="3">
        <v>0.72345550000000003</v>
      </c>
      <c r="AV631" s="3">
        <v>0.73978790000000005</v>
      </c>
      <c r="AW631" s="3">
        <v>0.75568460000000004</v>
      </c>
      <c r="AX631" s="3">
        <v>0.77115809999999996</v>
      </c>
      <c r="AY631" s="3">
        <v>0.78622040000000004</v>
      </c>
      <c r="AZ631" s="3">
        <v>0.80088389999999998</v>
      </c>
      <c r="BA631" s="3">
        <v>0.81516089999999997</v>
      </c>
      <c r="BB631" s="3">
        <v>0.82906449999999998</v>
      </c>
      <c r="BC631" s="3">
        <v>0.84260760000000001</v>
      </c>
      <c r="BD631" s="3">
        <v>0.85580350000000005</v>
      </c>
      <c r="BE631" s="3">
        <v>0.86866520000000003</v>
      </c>
      <c r="BF631" s="3">
        <v>0.88120600000000004</v>
      </c>
      <c r="BG631" s="3">
        <v>0.89343879999999998</v>
      </c>
      <c r="BH631" s="3">
        <v>0.90537690000000004</v>
      </c>
      <c r="BI631" s="3">
        <v>0.91703330000000005</v>
      </c>
      <c r="BJ631" s="3">
        <v>0.92842119999999995</v>
      </c>
      <c r="BK631" s="3">
        <v>0.93955370000000005</v>
      </c>
      <c r="BL631" s="3">
        <v>0.95044390000000001</v>
      </c>
      <c r="BM631" s="3" t="e">
        <v>#N/A</v>
      </c>
      <c r="BN631" s="3" t="e">
        <v>#N/A</v>
      </c>
    </row>
    <row r="632" spans="1:66" x14ac:dyDescent="0.35">
      <c r="A632" s="5">
        <f t="shared" si="9"/>
        <v>44340</v>
      </c>
      <c r="B632" t="s">
        <v>709</v>
      </c>
      <c r="C632" s="2">
        <v>0.1</v>
      </c>
      <c r="D632" s="2">
        <v>4.9700000000000001E-2</v>
      </c>
      <c r="E632" s="3">
        <v>5.0499700000000002E-2</v>
      </c>
      <c r="F632" s="3">
        <v>5.0564499999999998E-2</v>
      </c>
      <c r="G632" s="3">
        <v>5.0704399999999997E-2</v>
      </c>
      <c r="H632" s="3">
        <v>5.1121800000000002E-2</v>
      </c>
      <c r="I632" s="3">
        <v>5.2192799999999998E-2</v>
      </c>
      <c r="J632" s="3">
        <v>5.4452800000000003E-2</v>
      </c>
      <c r="K632" s="3">
        <v>5.8340700000000002E-2</v>
      </c>
      <c r="L632" s="3">
        <v>6.3857499999999998E-2</v>
      </c>
      <c r="M632" s="3">
        <v>7.0727499999999999E-2</v>
      </c>
      <c r="N632" s="3">
        <v>7.8740400000000002E-2</v>
      </c>
      <c r="O632" s="3">
        <v>8.7900900000000004E-2</v>
      </c>
      <c r="P632" s="3">
        <v>9.83266E-2</v>
      </c>
      <c r="Q632" s="3">
        <v>0.1102263</v>
      </c>
      <c r="R632" s="3">
        <v>0.12359870000000001</v>
      </c>
      <c r="S632" s="3">
        <v>0.13837920000000001</v>
      </c>
      <c r="T632" s="3">
        <v>0.15450320000000001</v>
      </c>
      <c r="U632" s="3">
        <v>0.17190630000000001</v>
      </c>
      <c r="V632" s="3">
        <v>0.19052369999999999</v>
      </c>
      <c r="W632" s="3">
        <v>0.2102714</v>
      </c>
      <c r="X632" s="3">
        <v>0.2309744</v>
      </c>
      <c r="Y632" s="3">
        <v>0.25243139999999997</v>
      </c>
      <c r="Z632" s="3">
        <v>0.27444089999999999</v>
      </c>
      <c r="AA632" s="3">
        <v>0.2968016</v>
      </c>
      <c r="AB632" s="3">
        <v>0.31931229999999999</v>
      </c>
      <c r="AC632" s="3">
        <v>0.34179890000000002</v>
      </c>
      <c r="AD632" s="3">
        <v>0.3641971</v>
      </c>
      <c r="AE632" s="3">
        <v>0.38646970000000003</v>
      </c>
      <c r="AF632" s="3">
        <v>0.40857969999999999</v>
      </c>
      <c r="AG632" s="3">
        <v>0.43049009999999999</v>
      </c>
      <c r="AH632" s="3">
        <v>0.4521638</v>
      </c>
      <c r="AI632" s="3">
        <v>0.47356379999999998</v>
      </c>
      <c r="AJ632" s="3">
        <v>0.49465290000000001</v>
      </c>
      <c r="AK632" s="3">
        <v>0.51539420000000002</v>
      </c>
      <c r="AL632" s="3">
        <v>0.53575070000000002</v>
      </c>
      <c r="AM632" s="3">
        <v>0.55568510000000004</v>
      </c>
      <c r="AN632" s="3">
        <v>0.57516060000000002</v>
      </c>
      <c r="AO632" s="3">
        <v>0.5941478</v>
      </c>
      <c r="AP632" s="3">
        <v>0.61265199999999997</v>
      </c>
      <c r="AQ632" s="3">
        <v>0.63068769999999996</v>
      </c>
      <c r="AR632" s="3">
        <v>0.6482696</v>
      </c>
      <c r="AS632" s="3">
        <v>0.66541249999999996</v>
      </c>
      <c r="AT632" s="3">
        <v>0.68213089999999998</v>
      </c>
      <c r="AU632" s="3">
        <v>0.69843960000000005</v>
      </c>
      <c r="AV632" s="3">
        <v>0.71435309999999996</v>
      </c>
      <c r="AW632" s="3">
        <v>0.72988620000000004</v>
      </c>
      <c r="AX632" s="3">
        <v>0.74505359999999998</v>
      </c>
      <c r="AY632" s="3">
        <v>0.75986980000000004</v>
      </c>
      <c r="AZ632" s="3">
        <v>0.77434959999999997</v>
      </c>
      <c r="BA632" s="3">
        <v>0.78850699999999996</v>
      </c>
      <c r="BB632" s="3">
        <v>0.80235310000000004</v>
      </c>
      <c r="BC632" s="3">
        <v>0.81589750000000005</v>
      </c>
      <c r="BD632" s="3">
        <v>0.8291499</v>
      </c>
      <c r="BE632" s="3">
        <v>0.84211999999999998</v>
      </c>
      <c r="BF632" s="3">
        <v>0.85481770000000001</v>
      </c>
      <c r="BG632" s="3">
        <v>0.86725260000000004</v>
      </c>
      <c r="BH632" s="3">
        <v>0.87943450000000001</v>
      </c>
      <c r="BI632" s="3">
        <v>0.89137299999999997</v>
      </c>
      <c r="BJ632" s="3">
        <v>0.90307789999999999</v>
      </c>
      <c r="BK632" s="3">
        <v>0.91455889999999995</v>
      </c>
      <c r="BL632" s="3">
        <v>0.92582580000000003</v>
      </c>
      <c r="BM632" s="3" t="e">
        <v>#N/A</v>
      </c>
      <c r="BN632" s="3" t="e">
        <v>#N/A</v>
      </c>
    </row>
    <row r="633" spans="1:66" x14ac:dyDescent="0.35">
      <c r="A633" s="5">
        <f t="shared" si="9"/>
        <v>44341</v>
      </c>
      <c r="B633" t="s">
        <v>710</v>
      </c>
      <c r="C633" s="2">
        <v>0.1</v>
      </c>
      <c r="D633" s="2">
        <v>4.9599999999999998E-2</v>
      </c>
      <c r="E633" s="3">
        <v>5.0145799999999997E-2</v>
      </c>
      <c r="F633" s="3">
        <v>5.0774699999999999E-2</v>
      </c>
      <c r="G633" s="3">
        <v>5.1846000000000003E-2</v>
      </c>
      <c r="H633" s="3">
        <v>5.3349000000000001E-2</v>
      </c>
      <c r="I633" s="3">
        <v>5.5470699999999998E-2</v>
      </c>
      <c r="J633" s="3">
        <v>5.8044800000000001E-2</v>
      </c>
      <c r="K633" s="3">
        <v>6.0918399999999998E-2</v>
      </c>
      <c r="L633" s="3">
        <v>6.42794E-2</v>
      </c>
      <c r="M633" s="3">
        <v>6.8410399999999996E-2</v>
      </c>
      <c r="N633" s="3">
        <v>7.3655700000000005E-2</v>
      </c>
      <c r="O633" s="3">
        <v>8.0282300000000001E-2</v>
      </c>
      <c r="P633" s="3">
        <v>8.8305599999999998E-2</v>
      </c>
      <c r="Q633" s="3">
        <v>9.8164899999999999E-2</v>
      </c>
      <c r="R633" s="3">
        <v>0.1099063</v>
      </c>
      <c r="S633" s="3">
        <v>0.12343419999999999</v>
      </c>
      <c r="T633" s="3">
        <v>0.13865269999999999</v>
      </c>
      <c r="U633" s="3">
        <v>0.15546599999999999</v>
      </c>
      <c r="V633" s="3">
        <v>0.1737784</v>
      </c>
      <c r="W633" s="3">
        <v>0.1934709</v>
      </c>
      <c r="X633" s="3">
        <v>0.21431810000000001</v>
      </c>
      <c r="Y633" s="3">
        <v>0.2360633</v>
      </c>
      <c r="Z633" s="3">
        <v>0.25845010000000002</v>
      </c>
      <c r="AA633" s="3">
        <v>0.28122180000000002</v>
      </c>
      <c r="AB633" s="3">
        <v>0.304122</v>
      </c>
      <c r="AC633" s="3">
        <v>0.32693179999999999</v>
      </c>
      <c r="AD633" s="3">
        <v>0.34958270000000002</v>
      </c>
      <c r="AE633" s="3">
        <v>0.37204399999999999</v>
      </c>
      <c r="AF633" s="3">
        <v>0.39428489999999999</v>
      </c>
      <c r="AG633" s="3">
        <v>0.41627459999999999</v>
      </c>
      <c r="AH633" s="3">
        <v>0.4379825</v>
      </c>
      <c r="AI633" s="3">
        <v>0.4593777</v>
      </c>
      <c r="AJ633" s="3">
        <v>0.48042950000000001</v>
      </c>
      <c r="AK633" s="3">
        <v>0.50110710000000003</v>
      </c>
      <c r="AL633" s="3">
        <v>0.5213797</v>
      </c>
      <c r="AM633" s="3">
        <v>0.54121660000000005</v>
      </c>
      <c r="AN633" s="3">
        <v>0.56058699999999995</v>
      </c>
      <c r="AO633" s="3">
        <v>0.57946489999999995</v>
      </c>
      <c r="AP633" s="3">
        <v>0.59785250000000001</v>
      </c>
      <c r="AQ633" s="3">
        <v>0.61576249999999999</v>
      </c>
      <c r="AR633" s="3">
        <v>0.63320730000000003</v>
      </c>
      <c r="AS633" s="3">
        <v>0.65019970000000005</v>
      </c>
      <c r="AT633" s="3">
        <v>0.66675229999999996</v>
      </c>
      <c r="AU633" s="3">
        <v>0.68287770000000003</v>
      </c>
      <c r="AV633" s="3">
        <v>0.6985886</v>
      </c>
      <c r="AW633" s="3">
        <v>0.71389749999999996</v>
      </c>
      <c r="AX633" s="3">
        <v>0.7288171</v>
      </c>
      <c r="AY633" s="3">
        <v>0.74336009999999997</v>
      </c>
      <c r="AZ633" s="3">
        <v>0.75753890000000002</v>
      </c>
      <c r="BA633" s="3">
        <v>0.77136610000000005</v>
      </c>
      <c r="BB633" s="3">
        <v>0.78485260000000001</v>
      </c>
      <c r="BC633" s="3">
        <v>0.79800879999999996</v>
      </c>
      <c r="BD633" s="3">
        <v>0.81084509999999999</v>
      </c>
      <c r="BE633" s="3">
        <v>0.82337210000000005</v>
      </c>
      <c r="BF633" s="3">
        <v>0.83560029999999996</v>
      </c>
      <c r="BG633" s="3">
        <v>0.84753999999999996</v>
      </c>
      <c r="BH633" s="3">
        <v>0.85920180000000002</v>
      </c>
      <c r="BI633" s="3">
        <v>0.87059609999999998</v>
      </c>
      <c r="BJ633" s="3">
        <v>0.8817334</v>
      </c>
      <c r="BK633" s="3">
        <v>0.89262410000000003</v>
      </c>
      <c r="BL633" s="3">
        <v>0.90327880000000005</v>
      </c>
      <c r="BM633" s="3" t="e">
        <v>#N/A</v>
      </c>
      <c r="BN633" s="3" t="e">
        <v>#N/A</v>
      </c>
    </row>
    <row r="634" spans="1:66" x14ac:dyDescent="0.35">
      <c r="A634" s="5">
        <f t="shared" si="9"/>
        <v>44342</v>
      </c>
      <c r="B634" t="s">
        <v>711</v>
      </c>
      <c r="C634" s="2">
        <v>0.1</v>
      </c>
      <c r="D634" s="2">
        <v>0.05</v>
      </c>
      <c r="E634" s="3">
        <v>5.03831E-2</v>
      </c>
      <c r="F634" s="3">
        <v>5.0819000000000003E-2</v>
      </c>
      <c r="G634" s="3">
        <v>5.0067599999999997E-2</v>
      </c>
      <c r="H634" s="3">
        <v>4.9148699999999997E-2</v>
      </c>
      <c r="I634" s="3">
        <v>5.0014900000000001E-2</v>
      </c>
      <c r="J634" s="3">
        <v>5.3675199999999999E-2</v>
      </c>
      <c r="K634" s="3">
        <v>5.9834999999999999E-2</v>
      </c>
      <c r="L634" s="3">
        <v>6.6390099999999994E-2</v>
      </c>
      <c r="M634" s="3">
        <v>7.23047E-2</v>
      </c>
      <c r="N634" s="3">
        <v>7.7350799999999997E-2</v>
      </c>
      <c r="O634" s="3">
        <v>8.2354899999999995E-2</v>
      </c>
      <c r="P634" s="3">
        <v>8.7952199999999994E-2</v>
      </c>
      <c r="Q634" s="3">
        <v>9.5289200000000004E-2</v>
      </c>
      <c r="R634" s="3">
        <v>0.1046084</v>
      </c>
      <c r="S634" s="3">
        <v>0.11585579999999999</v>
      </c>
      <c r="T634" s="3">
        <v>0.12897749999999999</v>
      </c>
      <c r="U634" s="3">
        <v>0.1439192</v>
      </c>
      <c r="V634" s="3">
        <v>0.16062699999999999</v>
      </c>
      <c r="W634" s="3">
        <v>0.17901610000000001</v>
      </c>
      <c r="X634" s="3">
        <v>0.19882710000000001</v>
      </c>
      <c r="Y634" s="3">
        <v>0.2197393</v>
      </c>
      <c r="Z634" s="3">
        <v>0.24143210000000001</v>
      </c>
      <c r="AA634" s="3">
        <v>0.2635846</v>
      </c>
      <c r="AB634" s="3">
        <v>0.28587610000000002</v>
      </c>
      <c r="AC634" s="3">
        <v>0.30803449999999999</v>
      </c>
      <c r="AD634" s="3">
        <v>0.32998240000000001</v>
      </c>
      <c r="AE634" s="3">
        <v>0.35169080000000003</v>
      </c>
      <c r="AF634" s="3">
        <v>0.37313089999999999</v>
      </c>
      <c r="AG634" s="3">
        <v>0.39427390000000001</v>
      </c>
      <c r="AH634" s="3">
        <v>0.41509089999999998</v>
      </c>
      <c r="AI634" s="3">
        <v>0.43555310000000003</v>
      </c>
      <c r="AJ634" s="3">
        <v>0.45563150000000002</v>
      </c>
      <c r="AK634" s="3">
        <v>0.47529739999999998</v>
      </c>
      <c r="AL634" s="3">
        <v>0.49452180000000001</v>
      </c>
      <c r="AM634" s="3">
        <v>0.51327599999999995</v>
      </c>
      <c r="AN634" s="3">
        <v>0.53153110000000003</v>
      </c>
      <c r="AO634" s="3">
        <v>0.54926410000000003</v>
      </c>
      <c r="AP634" s="3">
        <v>0.56648379999999998</v>
      </c>
      <c r="AQ634" s="3">
        <v>0.5832098</v>
      </c>
      <c r="AR634" s="3">
        <v>0.59946149999999998</v>
      </c>
      <c r="AS634" s="3">
        <v>0.61525839999999998</v>
      </c>
      <c r="AT634" s="3">
        <v>0.63062010000000002</v>
      </c>
      <c r="AU634" s="3">
        <v>0.64556599999999997</v>
      </c>
      <c r="AV634" s="3">
        <v>0.66011560000000002</v>
      </c>
      <c r="AW634" s="3">
        <v>0.67428849999999996</v>
      </c>
      <c r="AX634" s="3">
        <v>0.68810400000000005</v>
      </c>
      <c r="AY634" s="3">
        <v>0.70158180000000003</v>
      </c>
      <c r="AZ634" s="3">
        <v>0.71474130000000002</v>
      </c>
      <c r="BA634" s="3">
        <v>0.72760060000000004</v>
      </c>
      <c r="BB634" s="3">
        <v>0.74017120000000003</v>
      </c>
      <c r="BC634" s="3">
        <v>0.75246239999999998</v>
      </c>
      <c r="BD634" s="3">
        <v>0.76448349999999998</v>
      </c>
      <c r="BE634" s="3">
        <v>0.77624400000000005</v>
      </c>
      <c r="BF634" s="3">
        <v>0.78775329999999999</v>
      </c>
      <c r="BG634" s="3">
        <v>0.79902070000000003</v>
      </c>
      <c r="BH634" s="3">
        <v>0.81005559999999999</v>
      </c>
      <c r="BI634" s="3">
        <v>0.82086729999999997</v>
      </c>
      <c r="BJ634" s="3">
        <v>0.83146529999999996</v>
      </c>
      <c r="BK634" s="3">
        <v>0.84185880000000002</v>
      </c>
      <c r="BL634" s="3">
        <v>0.85205739999999996</v>
      </c>
      <c r="BM634" s="3" t="e">
        <v>#N/A</v>
      </c>
      <c r="BN634" s="3" t="e">
        <v>#N/A</v>
      </c>
    </row>
    <row r="635" spans="1:66" x14ac:dyDescent="0.35">
      <c r="A635" s="5">
        <f t="shared" si="9"/>
        <v>44343</v>
      </c>
      <c r="B635" t="s">
        <v>712</v>
      </c>
      <c r="C635" s="2">
        <v>0.1</v>
      </c>
      <c r="D635" s="2">
        <v>5.0099999999999999E-2</v>
      </c>
      <c r="E635" s="3">
        <v>5.0494499999999998E-2</v>
      </c>
      <c r="F635" s="3">
        <v>5.06355E-2</v>
      </c>
      <c r="G635" s="3">
        <v>5.08821E-2</v>
      </c>
      <c r="H635" s="3">
        <v>5.1338300000000003E-2</v>
      </c>
      <c r="I635" s="3">
        <v>5.2299100000000001E-2</v>
      </c>
      <c r="J635" s="3">
        <v>5.4361E-2</v>
      </c>
      <c r="K635" s="3">
        <v>5.8117099999999998E-2</v>
      </c>
      <c r="L635" s="3">
        <v>6.3950099999999996E-2</v>
      </c>
      <c r="M635" s="3">
        <v>7.1856000000000003E-2</v>
      </c>
      <c r="N635" s="3">
        <v>8.1648700000000005E-2</v>
      </c>
      <c r="O635" s="3">
        <v>9.3159599999999995E-2</v>
      </c>
      <c r="P635" s="3">
        <v>0.1063278</v>
      </c>
      <c r="Q635" s="3">
        <v>0.1210666</v>
      </c>
      <c r="R635" s="3">
        <v>0.13725129999999999</v>
      </c>
      <c r="S635" s="3">
        <v>0.15475149999999999</v>
      </c>
      <c r="T635" s="3">
        <v>0.1734366</v>
      </c>
      <c r="U635" s="3">
        <v>0.19317619999999999</v>
      </c>
      <c r="V635" s="3">
        <v>0.21383959999999999</v>
      </c>
      <c r="W635" s="3">
        <v>0.2352919</v>
      </c>
      <c r="X635" s="3">
        <v>0.25737539999999998</v>
      </c>
      <c r="Y635" s="3">
        <v>0.27992519999999999</v>
      </c>
      <c r="Z635" s="3">
        <v>0.3027762</v>
      </c>
      <c r="AA635" s="3">
        <v>0.32576359999999999</v>
      </c>
      <c r="AB635" s="3">
        <v>0.34872229999999999</v>
      </c>
      <c r="AC635" s="3">
        <v>0.37150440000000001</v>
      </c>
      <c r="AD635" s="3">
        <v>0.3940535</v>
      </c>
      <c r="AE635" s="3">
        <v>0.41634379999999999</v>
      </c>
      <c r="AF635" s="3">
        <v>0.4383495</v>
      </c>
      <c r="AG635" s="3">
        <v>0.46004509999999998</v>
      </c>
      <c r="AH635" s="3">
        <v>0.48140480000000002</v>
      </c>
      <c r="AI635" s="3">
        <v>0.50240280000000004</v>
      </c>
      <c r="AJ635" s="3">
        <v>0.52301339999999996</v>
      </c>
      <c r="AK635" s="3">
        <v>0.543211</v>
      </c>
      <c r="AL635" s="3">
        <v>0.56296979999999996</v>
      </c>
      <c r="AM635" s="3">
        <v>0.58226409999999995</v>
      </c>
      <c r="AN635" s="3">
        <v>0.60106820000000005</v>
      </c>
      <c r="AO635" s="3">
        <v>0.61936159999999996</v>
      </c>
      <c r="AP635" s="3">
        <v>0.63714919999999997</v>
      </c>
      <c r="AQ635" s="3">
        <v>0.65444369999999996</v>
      </c>
      <c r="AR635" s="3">
        <v>0.67125780000000002</v>
      </c>
      <c r="AS635" s="3">
        <v>0.6876042</v>
      </c>
      <c r="AT635" s="3">
        <v>0.7034956</v>
      </c>
      <c r="AU635" s="3">
        <v>0.71894469999999999</v>
      </c>
      <c r="AV635" s="3">
        <v>0.73396410000000001</v>
      </c>
      <c r="AW635" s="3">
        <v>0.74856650000000002</v>
      </c>
      <c r="AX635" s="3">
        <v>0.76276469999999996</v>
      </c>
      <c r="AY635" s="3">
        <v>0.77657129999999996</v>
      </c>
      <c r="AZ635" s="3">
        <v>0.78999889999999995</v>
      </c>
      <c r="BA635" s="3">
        <v>0.80306029999999995</v>
      </c>
      <c r="BB635" s="3">
        <v>0.81576780000000004</v>
      </c>
      <c r="BC635" s="3">
        <v>0.82813360000000003</v>
      </c>
      <c r="BD635" s="3">
        <v>0.84017010000000003</v>
      </c>
      <c r="BE635" s="3">
        <v>0.85188940000000002</v>
      </c>
      <c r="BF635" s="3">
        <v>0.86330379999999995</v>
      </c>
      <c r="BG635" s="3">
        <v>0.87442569999999997</v>
      </c>
      <c r="BH635" s="3">
        <v>0.88526729999999998</v>
      </c>
      <c r="BI635" s="3">
        <v>0.89584079999999999</v>
      </c>
      <c r="BJ635" s="3">
        <v>0.90615860000000004</v>
      </c>
      <c r="BK635" s="3">
        <v>0.91623279999999996</v>
      </c>
      <c r="BL635" s="3">
        <v>0.9260758</v>
      </c>
      <c r="BM635" s="3" t="e">
        <v>#N/A</v>
      </c>
      <c r="BN635" s="3" t="e">
        <v>#N/A</v>
      </c>
    </row>
    <row r="636" spans="1:66" x14ac:dyDescent="0.35">
      <c r="A636" s="5">
        <f t="shared" si="9"/>
        <v>44344</v>
      </c>
      <c r="B636" t="s">
        <v>713</v>
      </c>
      <c r="C636" s="2">
        <v>0.1</v>
      </c>
      <c r="D636" s="2">
        <v>5.16E-2</v>
      </c>
      <c r="E636" s="3">
        <v>4.8275800000000001E-2</v>
      </c>
      <c r="F636" s="3">
        <v>5.0476500000000001E-2</v>
      </c>
      <c r="G636" s="3">
        <v>5.1616200000000001E-2</v>
      </c>
      <c r="H636" s="3">
        <v>5.3387200000000003E-2</v>
      </c>
      <c r="I636" s="3">
        <v>5.7043499999999997E-2</v>
      </c>
      <c r="J636" s="3">
        <v>6.2694600000000003E-2</v>
      </c>
      <c r="K636" s="3">
        <v>6.9826100000000002E-2</v>
      </c>
      <c r="L636" s="3">
        <v>7.7021099999999995E-2</v>
      </c>
      <c r="M636" s="3">
        <v>8.3898100000000003E-2</v>
      </c>
      <c r="N636" s="3">
        <v>9.1468599999999997E-2</v>
      </c>
      <c r="O636" s="3">
        <v>0.1004987</v>
      </c>
      <c r="P636" s="3">
        <v>0.1111509</v>
      </c>
      <c r="Q636" s="3">
        <v>0.1236419</v>
      </c>
      <c r="R636" s="3">
        <v>0.13790939999999999</v>
      </c>
      <c r="S636" s="3">
        <v>0.15377589999999999</v>
      </c>
      <c r="T636" s="3">
        <v>0.17106379999999999</v>
      </c>
      <c r="U636" s="3">
        <v>0.1895955</v>
      </c>
      <c r="V636" s="3">
        <v>0.2091935</v>
      </c>
      <c r="W636" s="3">
        <v>0.22968060000000001</v>
      </c>
      <c r="X636" s="3">
        <v>0.2508821</v>
      </c>
      <c r="Y636" s="3">
        <v>0.27262409999999998</v>
      </c>
      <c r="Z636" s="3">
        <v>0.2947323</v>
      </c>
      <c r="AA636" s="3">
        <v>0.31703300000000001</v>
      </c>
      <c r="AB636" s="3">
        <v>0.33935189999999998</v>
      </c>
      <c r="AC636" s="3">
        <v>0.36153479999999999</v>
      </c>
      <c r="AD636" s="3">
        <v>0.38352340000000001</v>
      </c>
      <c r="AE636" s="3">
        <v>0.4052885</v>
      </c>
      <c r="AF636" s="3">
        <v>0.42680109999999999</v>
      </c>
      <c r="AG636" s="3">
        <v>0.44803209999999999</v>
      </c>
      <c r="AH636" s="3">
        <v>0.46895239999999999</v>
      </c>
      <c r="AI636" s="3">
        <v>0.489533</v>
      </c>
      <c r="AJ636" s="3">
        <v>0.50974459999999999</v>
      </c>
      <c r="AK636" s="3">
        <v>0.52955839999999998</v>
      </c>
      <c r="AL636" s="3">
        <v>0.54894500000000002</v>
      </c>
      <c r="AM636" s="3">
        <v>0.56787560000000004</v>
      </c>
      <c r="AN636" s="3">
        <v>0.58632090000000003</v>
      </c>
      <c r="AO636" s="3">
        <v>0.60425810000000002</v>
      </c>
      <c r="AP636" s="3">
        <v>0.62169160000000001</v>
      </c>
      <c r="AQ636" s="3">
        <v>0.63863320000000001</v>
      </c>
      <c r="AR636" s="3">
        <v>0.65509479999999998</v>
      </c>
      <c r="AS636" s="3">
        <v>0.67108840000000003</v>
      </c>
      <c r="AT636" s="3">
        <v>0.68662579999999995</v>
      </c>
      <c r="AU636" s="3">
        <v>0.70171899999999998</v>
      </c>
      <c r="AV636" s="3">
        <v>0.71637980000000001</v>
      </c>
      <c r="AW636" s="3">
        <v>0.73062009999999999</v>
      </c>
      <c r="AX636" s="3">
        <v>0.7444518</v>
      </c>
      <c r="AY636" s="3">
        <v>0.75788690000000003</v>
      </c>
      <c r="AZ636" s="3">
        <v>0.77093719999999999</v>
      </c>
      <c r="BA636" s="3">
        <v>0.7836149</v>
      </c>
      <c r="BB636" s="3">
        <v>0.79593429999999998</v>
      </c>
      <c r="BC636" s="3">
        <v>0.80790989999999996</v>
      </c>
      <c r="BD636" s="3">
        <v>0.81955610000000001</v>
      </c>
      <c r="BE636" s="3">
        <v>0.83088770000000001</v>
      </c>
      <c r="BF636" s="3">
        <v>0.84191910000000003</v>
      </c>
      <c r="BG636" s="3">
        <v>0.85266489999999995</v>
      </c>
      <c r="BH636" s="3">
        <v>0.86313969999999995</v>
      </c>
      <c r="BI636" s="3">
        <v>0.87335810000000003</v>
      </c>
      <c r="BJ636" s="3">
        <v>0.88333459999999997</v>
      </c>
      <c r="BK636" s="3">
        <v>0.89308370000000004</v>
      </c>
      <c r="BL636" s="3">
        <v>0.90262019999999998</v>
      </c>
      <c r="BM636" s="3" t="e">
        <v>#N/A</v>
      </c>
      <c r="BN636" s="3" t="e">
        <v>#N/A</v>
      </c>
    </row>
    <row r="637" spans="1:66" x14ac:dyDescent="0.35">
      <c r="A637" s="5">
        <f t="shared" si="9"/>
        <v>44347</v>
      </c>
      <c r="B637" t="s">
        <v>714</v>
      </c>
      <c r="C637" s="2">
        <v>0.1</v>
      </c>
      <c r="D637" s="2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  <c r="P637" s="3" t="e">
        <v>#N/A</v>
      </c>
      <c r="Q637" s="3" t="e">
        <v>#N/A</v>
      </c>
      <c r="R637" s="3" t="e">
        <v>#N/A</v>
      </c>
      <c r="S637" s="3" t="e">
        <v>#N/A</v>
      </c>
      <c r="T637" s="3" t="e">
        <v>#N/A</v>
      </c>
      <c r="U637" s="3" t="e">
        <v>#N/A</v>
      </c>
      <c r="V637" s="3" t="e">
        <v>#N/A</v>
      </c>
      <c r="W637" s="3" t="e">
        <v>#N/A</v>
      </c>
      <c r="X637" s="3" t="e">
        <v>#N/A</v>
      </c>
      <c r="Y637" s="3" t="e">
        <v>#N/A</v>
      </c>
      <c r="Z637" s="3" t="e">
        <v>#N/A</v>
      </c>
      <c r="AA637" s="3" t="e">
        <v>#N/A</v>
      </c>
      <c r="AB637" s="3" t="e">
        <v>#N/A</v>
      </c>
      <c r="AC637" s="3" t="e">
        <v>#N/A</v>
      </c>
      <c r="AD637" s="3" t="e">
        <v>#N/A</v>
      </c>
      <c r="AE637" s="3" t="e">
        <v>#N/A</v>
      </c>
      <c r="AF637" s="3" t="e">
        <v>#N/A</v>
      </c>
      <c r="AG637" s="3" t="e">
        <v>#N/A</v>
      </c>
      <c r="AH637" s="3" t="e">
        <v>#N/A</v>
      </c>
      <c r="AI637" s="3" t="e">
        <v>#N/A</v>
      </c>
      <c r="AJ637" s="3" t="e">
        <v>#N/A</v>
      </c>
      <c r="AK637" s="3" t="e">
        <v>#N/A</v>
      </c>
      <c r="AL637" s="3" t="e">
        <v>#N/A</v>
      </c>
      <c r="AM637" s="3" t="e">
        <v>#N/A</v>
      </c>
      <c r="AN637" s="3" t="e">
        <v>#N/A</v>
      </c>
      <c r="AO637" s="3" t="e">
        <v>#N/A</v>
      </c>
      <c r="AP637" s="3" t="e">
        <v>#N/A</v>
      </c>
      <c r="AQ637" s="3" t="e">
        <v>#N/A</v>
      </c>
      <c r="AR637" s="3" t="e">
        <v>#N/A</v>
      </c>
      <c r="AS637" s="3" t="e">
        <v>#N/A</v>
      </c>
      <c r="AT637" s="3" t="e">
        <v>#N/A</v>
      </c>
      <c r="AU637" s="3" t="e">
        <v>#N/A</v>
      </c>
      <c r="AV637" s="3" t="e">
        <v>#N/A</v>
      </c>
      <c r="AW637" s="3" t="e">
        <v>#N/A</v>
      </c>
      <c r="AX637" s="3" t="e">
        <v>#N/A</v>
      </c>
      <c r="AY637" s="3" t="e">
        <v>#N/A</v>
      </c>
      <c r="AZ637" s="3" t="e">
        <v>#N/A</v>
      </c>
      <c r="BA637" s="3" t="e">
        <v>#N/A</v>
      </c>
      <c r="BB637" s="3" t="e">
        <v>#N/A</v>
      </c>
      <c r="BC637" s="3" t="e">
        <v>#N/A</v>
      </c>
      <c r="BD637" s="3" t="e">
        <v>#N/A</v>
      </c>
      <c r="BE637" s="3" t="e">
        <v>#N/A</v>
      </c>
      <c r="BF637" s="3" t="e">
        <v>#N/A</v>
      </c>
      <c r="BG637" s="3" t="e">
        <v>#N/A</v>
      </c>
      <c r="BH637" s="3" t="e">
        <v>#N/A</v>
      </c>
      <c r="BI637" s="3" t="e">
        <v>#N/A</v>
      </c>
      <c r="BJ637" s="3" t="e">
        <v>#N/A</v>
      </c>
      <c r="BK637" s="3" t="e">
        <v>#N/A</v>
      </c>
      <c r="BL637" s="3" t="e">
        <v>#N/A</v>
      </c>
      <c r="BM637" s="3" t="e">
        <v>#N/A</v>
      </c>
      <c r="BN637" s="3" t="e">
        <v>#N/A</v>
      </c>
    </row>
    <row r="638" spans="1:66" x14ac:dyDescent="0.35">
      <c r="A638" s="5">
        <f t="shared" si="9"/>
        <v>44348</v>
      </c>
      <c r="B638" t="s">
        <v>715</v>
      </c>
      <c r="C638" s="2">
        <v>0.1</v>
      </c>
      <c r="D638" s="2">
        <v>4.9799999999999997E-2</v>
      </c>
      <c r="E638" s="3">
        <v>5.1068099999999998E-2</v>
      </c>
      <c r="F638" s="3">
        <v>5.1721700000000002E-2</v>
      </c>
      <c r="G638" s="3">
        <v>5.17887E-2</v>
      </c>
      <c r="H638" s="3">
        <v>5.1524599999999997E-2</v>
      </c>
      <c r="I638" s="3">
        <v>5.2002300000000001E-2</v>
      </c>
      <c r="J638" s="3">
        <v>5.4235400000000003E-2</v>
      </c>
      <c r="K638" s="3">
        <v>5.9077900000000003E-2</v>
      </c>
      <c r="L638" s="3">
        <v>6.6703499999999999E-2</v>
      </c>
      <c r="M638" s="3">
        <v>7.6836500000000002E-2</v>
      </c>
      <c r="N638" s="3">
        <v>8.89152E-2</v>
      </c>
      <c r="O638" s="3">
        <v>0.1026218</v>
      </c>
      <c r="P638" s="3">
        <v>0.11770940000000001</v>
      </c>
      <c r="Q638" s="3">
        <v>0.13400419999999999</v>
      </c>
      <c r="R638" s="3">
        <v>0.151394</v>
      </c>
      <c r="S638" s="3">
        <v>0.16977700000000001</v>
      </c>
      <c r="T638" s="3">
        <v>0.18905140000000001</v>
      </c>
      <c r="U638" s="3">
        <v>0.20911560000000001</v>
      </c>
      <c r="V638" s="3">
        <v>0.22986770000000001</v>
      </c>
      <c r="W638" s="3">
        <v>0.25120160000000002</v>
      </c>
      <c r="X638" s="3">
        <v>0.27299240000000002</v>
      </c>
      <c r="Y638" s="3">
        <v>0.29511039999999999</v>
      </c>
      <c r="Z638" s="3">
        <v>0.31742579999999998</v>
      </c>
      <c r="AA638" s="3">
        <v>0.33980880000000002</v>
      </c>
      <c r="AB638" s="3">
        <v>0.3621297</v>
      </c>
      <c r="AC638" s="3">
        <v>0.38427630000000002</v>
      </c>
      <c r="AD638" s="3">
        <v>0.40620650000000003</v>
      </c>
      <c r="AE638" s="3">
        <v>0.42789559999999999</v>
      </c>
      <c r="AF638" s="3">
        <v>0.44931910000000003</v>
      </c>
      <c r="AG638" s="3">
        <v>0.47045239999999999</v>
      </c>
      <c r="AH638" s="3">
        <v>0.49127080000000001</v>
      </c>
      <c r="AI638" s="3">
        <v>0.51174969999999997</v>
      </c>
      <c r="AJ638" s="3">
        <v>0.53186460000000002</v>
      </c>
      <c r="AK638" s="3">
        <v>0.5515909</v>
      </c>
      <c r="AL638" s="3">
        <v>0.57090390000000002</v>
      </c>
      <c r="AM638" s="3">
        <v>0.5897791</v>
      </c>
      <c r="AN638" s="3">
        <v>0.60819190000000001</v>
      </c>
      <c r="AO638" s="3">
        <v>0.62612219999999996</v>
      </c>
      <c r="AP638" s="3">
        <v>0.64357470000000006</v>
      </c>
      <c r="AQ638" s="3">
        <v>0.66056230000000005</v>
      </c>
      <c r="AR638" s="3">
        <v>0.67709799999999998</v>
      </c>
      <c r="AS638" s="3">
        <v>0.6931948</v>
      </c>
      <c r="AT638" s="3">
        <v>0.70886559999999998</v>
      </c>
      <c r="AU638" s="3">
        <v>0.72412330000000003</v>
      </c>
      <c r="AV638" s="3">
        <v>0.73898090000000005</v>
      </c>
      <c r="AW638" s="3">
        <v>0.75345130000000005</v>
      </c>
      <c r="AX638" s="3">
        <v>0.76754739999999999</v>
      </c>
      <c r="AY638" s="3">
        <v>0.78128229999999999</v>
      </c>
      <c r="AZ638" s="3">
        <v>0.79466879999999995</v>
      </c>
      <c r="BA638" s="3">
        <v>0.80771970000000004</v>
      </c>
      <c r="BB638" s="3">
        <v>0.82044640000000002</v>
      </c>
      <c r="BC638" s="3">
        <v>0.83285989999999999</v>
      </c>
      <c r="BD638" s="3">
        <v>0.84497140000000004</v>
      </c>
      <c r="BE638" s="3">
        <v>0.85679190000000005</v>
      </c>
      <c r="BF638" s="3">
        <v>0.86833249999999995</v>
      </c>
      <c r="BG638" s="3">
        <v>0.87960419999999995</v>
      </c>
      <c r="BH638" s="3">
        <v>0.89061809999999997</v>
      </c>
      <c r="BI638" s="3">
        <v>0.90138529999999994</v>
      </c>
      <c r="BJ638" s="3">
        <v>0.91191690000000003</v>
      </c>
      <c r="BK638" s="3">
        <v>0.92222380000000004</v>
      </c>
      <c r="BL638" s="3">
        <v>0.93231730000000002</v>
      </c>
      <c r="BM638" s="3" t="e">
        <v>#N/A</v>
      </c>
      <c r="BN638" s="3" t="e">
        <v>#N/A</v>
      </c>
    </row>
    <row r="639" spans="1:66" x14ac:dyDescent="0.35">
      <c r="A639" s="5">
        <f t="shared" si="9"/>
        <v>44349</v>
      </c>
      <c r="B639" t="s">
        <v>716</v>
      </c>
      <c r="C639" s="2">
        <v>0.1</v>
      </c>
      <c r="D639" s="2">
        <v>4.9799999999999997E-2</v>
      </c>
      <c r="E639" s="3">
        <v>4.8687000000000001E-2</v>
      </c>
      <c r="F639" s="3">
        <v>5.1829699999999999E-2</v>
      </c>
      <c r="G639" s="3">
        <v>5.2804200000000003E-2</v>
      </c>
      <c r="H639" s="3">
        <v>5.28333E-2</v>
      </c>
      <c r="I639" s="3">
        <v>5.3666100000000001E-2</v>
      </c>
      <c r="J639" s="3">
        <v>5.6398999999999998E-2</v>
      </c>
      <c r="K639" s="3">
        <v>6.1677200000000001E-2</v>
      </c>
      <c r="L639" s="3">
        <v>6.9539500000000004E-2</v>
      </c>
      <c r="M639" s="3">
        <v>7.9617900000000005E-2</v>
      </c>
      <c r="N639" s="3">
        <v>9.1343900000000006E-2</v>
      </c>
      <c r="O639" s="3">
        <v>0.10435609999999999</v>
      </c>
      <c r="P639" s="3">
        <v>0.1184796</v>
      </c>
      <c r="Q639" s="3">
        <v>0.1336784</v>
      </c>
      <c r="R639" s="3">
        <v>0.14989739999999999</v>
      </c>
      <c r="S639" s="3">
        <v>0.16706889999999999</v>
      </c>
      <c r="T639" s="3">
        <v>0.18512490000000001</v>
      </c>
      <c r="U639" s="3">
        <v>0.2039977</v>
      </c>
      <c r="V639" s="3">
        <v>0.2236194</v>
      </c>
      <c r="W639" s="3">
        <v>0.24390999999999999</v>
      </c>
      <c r="X639" s="3">
        <v>0.26473799999999997</v>
      </c>
      <c r="Y639" s="3">
        <v>0.28595870000000001</v>
      </c>
      <c r="Z639" s="3">
        <v>0.30742720000000001</v>
      </c>
      <c r="AA639" s="3">
        <v>0.32899859999999997</v>
      </c>
      <c r="AB639" s="3">
        <v>0.35052810000000001</v>
      </c>
      <c r="AC639" s="3">
        <v>0.37189109999999997</v>
      </c>
      <c r="AD639" s="3">
        <v>0.3930437</v>
      </c>
      <c r="AE639" s="3">
        <v>0.41396230000000001</v>
      </c>
      <c r="AF639" s="3">
        <v>0.43462319999999999</v>
      </c>
      <c r="AG639" s="3">
        <v>0.45500269999999998</v>
      </c>
      <c r="AH639" s="3">
        <v>0.47507729999999998</v>
      </c>
      <c r="AI639" s="3">
        <v>0.49482330000000002</v>
      </c>
      <c r="AJ639" s="3">
        <v>0.51421700000000004</v>
      </c>
      <c r="AK639" s="3">
        <v>0.53323480000000001</v>
      </c>
      <c r="AL639" s="3">
        <v>0.55185309999999999</v>
      </c>
      <c r="AM639" s="3">
        <v>0.5700482</v>
      </c>
      <c r="AN639" s="3">
        <v>0.5877964</v>
      </c>
      <c r="AO639" s="3">
        <v>0.60507920000000004</v>
      </c>
      <c r="AP639" s="3">
        <v>0.62190299999999998</v>
      </c>
      <c r="AQ639" s="3">
        <v>0.6382816</v>
      </c>
      <c r="AR639" s="3">
        <v>0.6542289</v>
      </c>
      <c r="AS639" s="3">
        <v>0.66975870000000004</v>
      </c>
      <c r="AT639" s="3">
        <v>0.68488499999999997</v>
      </c>
      <c r="AU639" s="3">
        <v>0.69962159999999995</v>
      </c>
      <c r="AV639" s="3">
        <v>0.71398249999999996</v>
      </c>
      <c r="AW639" s="3">
        <v>0.7279814</v>
      </c>
      <c r="AX639" s="3">
        <v>0.74163230000000002</v>
      </c>
      <c r="AY639" s="3">
        <v>0.75494899999999998</v>
      </c>
      <c r="AZ639" s="3">
        <v>0.76794549999999995</v>
      </c>
      <c r="BA639" s="3">
        <v>0.78063510000000003</v>
      </c>
      <c r="BB639" s="3">
        <v>0.79302839999999997</v>
      </c>
      <c r="BC639" s="3">
        <v>0.80513570000000001</v>
      </c>
      <c r="BD639" s="3">
        <v>0.81696709999999995</v>
      </c>
      <c r="BE639" s="3">
        <v>0.82853250000000001</v>
      </c>
      <c r="BF639" s="3">
        <v>0.83984230000000004</v>
      </c>
      <c r="BG639" s="3">
        <v>0.8509063</v>
      </c>
      <c r="BH639" s="3">
        <v>0.86173469999999996</v>
      </c>
      <c r="BI639" s="3">
        <v>0.87233769999999999</v>
      </c>
      <c r="BJ639" s="3">
        <v>0.88272530000000005</v>
      </c>
      <c r="BK639" s="3">
        <v>0.89290769999999997</v>
      </c>
      <c r="BL639" s="3">
        <v>0.9028948</v>
      </c>
      <c r="BM639" s="3" t="e">
        <v>#N/A</v>
      </c>
      <c r="BN639" s="3" t="e">
        <v>#N/A</v>
      </c>
    </row>
    <row r="640" spans="1:66" x14ac:dyDescent="0.35">
      <c r="A640" s="5">
        <f t="shared" si="9"/>
        <v>44350</v>
      </c>
      <c r="B640" t="s">
        <v>717</v>
      </c>
      <c r="C640" s="2">
        <v>0.1</v>
      </c>
      <c r="D640" s="2">
        <v>5.0200000000000002E-2</v>
      </c>
      <c r="E640" s="3">
        <v>4.7593799999999999E-2</v>
      </c>
      <c r="F640" s="3">
        <v>4.8069099999999997E-2</v>
      </c>
      <c r="G640" s="3">
        <v>4.9248899999999998E-2</v>
      </c>
      <c r="H640" s="3">
        <v>5.2090200000000003E-2</v>
      </c>
      <c r="I640" s="3">
        <v>5.59167E-2</v>
      </c>
      <c r="J640" s="3">
        <v>6.1025299999999998E-2</v>
      </c>
      <c r="K640" s="3">
        <v>6.8320000000000006E-2</v>
      </c>
      <c r="L640" s="3">
        <v>7.7872700000000003E-2</v>
      </c>
      <c r="M640" s="3">
        <v>8.9089600000000005E-2</v>
      </c>
      <c r="N640" s="3">
        <v>0.1014786</v>
      </c>
      <c r="O640" s="3">
        <v>0.11495519999999999</v>
      </c>
      <c r="P640" s="3">
        <v>0.1296794</v>
      </c>
      <c r="Q640" s="3">
        <v>0.14582010000000001</v>
      </c>
      <c r="R640" s="3">
        <v>0.1632895</v>
      </c>
      <c r="S640" s="3">
        <v>0.18193390000000001</v>
      </c>
      <c r="T640" s="3">
        <v>0.20159949999999999</v>
      </c>
      <c r="U640" s="3">
        <v>0.22213250000000001</v>
      </c>
      <c r="V640" s="3">
        <v>0.24337919999999999</v>
      </c>
      <c r="W640" s="3">
        <v>0.2651887</v>
      </c>
      <c r="X640" s="3">
        <v>0.28742410000000002</v>
      </c>
      <c r="Y640" s="3">
        <v>0.30995329999999999</v>
      </c>
      <c r="Z640" s="3">
        <v>0.3326443</v>
      </c>
      <c r="AA640" s="3">
        <v>0.35536469999999998</v>
      </c>
      <c r="AB640" s="3">
        <v>0.3779825</v>
      </c>
      <c r="AC640" s="3">
        <v>0.40038089999999998</v>
      </c>
      <c r="AD640" s="3">
        <v>0.42251870000000002</v>
      </c>
      <c r="AE640" s="3">
        <v>0.44437739999999998</v>
      </c>
      <c r="AF640" s="3">
        <v>0.46593879999999999</v>
      </c>
      <c r="AG640" s="3">
        <v>0.48718430000000001</v>
      </c>
      <c r="AH640" s="3">
        <v>0.50809570000000004</v>
      </c>
      <c r="AI640" s="3">
        <v>0.52865450000000003</v>
      </c>
      <c r="AJ640" s="3">
        <v>0.54884239999999995</v>
      </c>
      <c r="AK640" s="3">
        <v>0.56864099999999995</v>
      </c>
      <c r="AL640" s="3">
        <v>0.588032</v>
      </c>
      <c r="AM640" s="3">
        <v>0.60699689999999995</v>
      </c>
      <c r="AN640" s="3">
        <v>0.6255174</v>
      </c>
      <c r="AO640" s="3">
        <v>0.64357949999999997</v>
      </c>
      <c r="AP640" s="3">
        <v>0.66118840000000001</v>
      </c>
      <c r="AQ640" s="3">
        <v>0.67835469999999998</v>
      </c>
      <c r="AR640" s="3">
        <v>0.69508879999999995</v>
      </c>
      <c r="AS640" s="3">
        <v>0.71140139999999996</v>
      </c>
      <c r="AT640" s="3">
        <v>0.72730300000000003</v>
      </c>
      <c r="AU640" s="3">
        <v>0.74280400000000002</v>
      </c>
      <c r="AV640" s="3">
        <v>0.75791520000000001</v>
      </c>
      <c r="AW640" s="3">
        <v>0.77264690000000003</v>
      </c>
      <c r="AX640" s="3">
        <v>0.78700979999999998</v>
      </c>
      <c r="AY640" s="3">
        <v>0.80101440000000002</v>
      </c>
      <c r="AZ640" s="3">
        <v>0.81467120000000004</v>
      </c>
      <c r="BA640" s="3">
        <v>0.82799080000000003</v>
      </c>
      <c r="BB640" s="3">
        <v>0.84098340000000005</v>
      </c>
      <c r="BC640" s="3">
        <v>0.8536591</v>
      </c>
      <c r="BD640" s="3">
        <v>0.86602840000000003</v>
      </c>
      <c r="BE640" s="3">
        <v>0.87810120000000003</v>
      </c>
      <c r="BF640" s="3">
        <v>0.88988800000000001</v>
      </c>
      <c r="BG640" s="3">
        <v>0.90139879999999994</v>
      </c>
      <c r="BH640" s="3">
        <v>0.91264400000000001</v>
      </c>
      <c r="BI640" s="3">
        <v>0.92363360000000005</v>
      </c>
      <c r="BJ640" s="3">
        <v>0.93437800000000004</v>
      </c>
      <c r="BK640" s="3">
        <v>0.94488740000000004</v>
      </c>
      <c r="BL640" s="3">
        <v>0.95517189999999996</v>
      </c>
      <c r="BM640" s="3" t="e">
        <v>#N/A</v>
      </c>
      <c r="BN640" s="3" t="e">
        <v>#N/A</v>
      </c>
    </row>
    <row r="641" spans="1:66" x14ac:dyDescent="0.35">
      <c r="A641" s="5">
        <f t="shared" si="9"/>
        <v>44351</v>
      </c>
      <c r="B641" t="s">
        <v>718</v>
      </c>
      <c r="C641" s="2">
        <v>0.1</v>
      </c>
      <c r="D641" s="2">
        <v>0.05</v>
      </c>
      <c r="E641" s="3">
        <v>4.9654999999999998E-2</v>
      </c>
      <c r="F641" s="3">
        <v>5.16333E-2</v>
      </c>
      <c r="G641" s="3">
        <v>5.1604999999999998E-2</v>
      </c>
      <c r="H641" s="3">
        <v>5.1342600000000002E-2</v>
      </c>
      <c r="I641" s="3">
        <v>5.35442E-2</v>
      </c>
      <c r="J641" s="3">
        <v>5.9020799999999998E-2</v>
      </c>
      <c r="K641" s="3">
        <v>6.6967100000000002E-2</v>
      </c>
      <c r="L641" s="3">
        <v>7.6563099999999995E-2</v>
      </c>
      <c r="M641" s="3">
        <v>8.7455400000000003E-2</v>
      </c>
      <c r="N641" s="3">
        <v>9.94868E-2</v>
      </c>
      <c r="O641" s="3">
        <v>0.1126631</v>
      </c>
      <c r="P641" s="3">
        <v>0.1269602</v>
      </c>
      <c r="Q641" s="3">
        <v>0.1423625</v>
      </c>
      <c r="R641" s="3">
        <v>0.15880569999999999</v>
      </c>
      <c r="S641" s="3">
        <v>0.17620759999999999</v>
      </c>
      <c r="T641" s="3">
        <v>0.19448579999999999</v>
      </c>
      <c r="U641" s="3">
        <v>0.213558</v>
      </c>
      <c r="V641" s="3">
        <v>0.23334189999999999</v>
      </c>
      <c r="W641" s="3">
        <v>0.25374479999999999</v>
      </c>
      <c r="X641" s="3">
        <v>0.2746246</v>
      </c>
      <c r="Y641" s="3">
        <v>0.29582520000000001</v>
      </c>
      <c r="Z641" s="3">
        <v>0.31719049999999999</v>
      </c>
      <c r="AA641" s="3">
        <v>0.33856439999999999</v>
      </c>
      <c r="AB641" s="3">
        <v>0.35979070000000002</v>
      </c>
      <c r="AC641" s="3">
        <v>0.38073560000000001</v>
      </c>
      <c r="AD641" s="3">
        <v>0.40136440000000001</v>
      </c>
      <c r="AE641" s="3">
        <v>0.42166940000000003</v>
      </c>
      <c r="AF641" s="3">
        <v>0.44164320000000001</v>
      </c>
      <c r="AG641" s="3">
        <v>0.46127820000000003</v>
      </c>
      <c r="AH641" s="3">
        <v>0.48056680000000002</v>
      </c>
      <c r="AI641" s="3">
        <v>0.49950149999999999</v>
      </c>
      <c r="AJ641" s="3">
        <v>0.51807479999999995</v>
      </c>
      <c r="AK641" s="3">
        <v>0.53627910000000001</v>
      </c>
      <c r="AL641" s="3">
        <v>0.55410680000000001</v>
      </c>
      <c r="AM641" s="3">
        <v>0.57155049999999996</v>
      </c>
      <c r="AN641" s="3">
        <v>0.58860250000000003</v>
      </c>
      <c r="AO641" s="3">
        <v>0.6052594</v>
      </c>
      <c r="AP641" s="3">
        <v>0.62153570000000002</v>
      </c>
      <c r="AQ641" s="3">
        <v>0.63745070000000004</v>
      </c>
      <c r="AR641" s="3">
        <v>0.65302389999999999</v>
      </c>
      <c r="AS641" s="3">
        <v>0.66827460000000005</v>
      </c>
      <c r="AT641" s="3">
        <v>0.68322240000000001</v>
      </c>
      <c r="AU641" s="3">
        <v>0.69788640000000002</v>
      </c>
      <c r="AV641" s="3">
        <v>0.71228630000000004</v>
      </c>
      <c r="AW641" s="3">
        <v>0.72644140000000001</v>
      </c>
      <c r="AX641" s="3">
        <v>0.740371</v>
      </c>
      <c r="AY641" s="3">
        <v>0.75409470000000001</v>
      </c>
      <c r="AZ641" s="3">
        <v>0.76763179999999998</v>
      </c>
      <c r="BA641" s="3">
        <v>0.780999</v>
      </c>
      <c r="BB641" s="3">
        <v>0.79420120000000005</v>
      </c>
      <c r="BC641" s="3">
        <v>0.80723990000000001</v>
      </c>
      <c r="BD641" s="3">
        <v>0.82011679999999998</v>
      </c>
      <c r="BE641" s="3">
        <v>0.83283339999999995</v>
      </c>
      <c r="BF641" s="3">
        <v>0.84539129999999996</v>
      </c>
      <c r="BG641" s="3">
        <v>0.85779209999999995</v>
      </c>
      <c r="BH641" s="3">
        <v>0.87003739999999996</v>
      </c>
      <c r="BI641" s="3">
        <v>0.88212869999999999</v>
      </c>
      <c r="BJ641" s="3">
        <v>0.89406759999999996</v>
      </c>
      <c r="BK641" s="3">
        <v>0.90585579999999999</v>
      </c>
      <c r="BL641" s="3">
        <v>0.9174947</v>
      </c>
      <c r="BM641" s="3" t="e">
        <v>#N/A</v>
      </c>
      <c r="BN641" s="3" t="e">
        <v>#N/A</v>
      </c>
    </row>
    <row r="642" spans="1:66" x14ac:dyDescent="0.35">
      <c r="A642" s="5">
        <f t="shared" si="9"/>
        <v>44354</v>
      </c>
      <c r="B642" t="s">
        <v>719</v>
      </c>
      <c r="C642" s="2">
        <v>0.1</v>
      </c>
      <c r="D642" s="2">
        <v>5.04E-2</v>
      </c>
      <c r="E642" s="3">
        <v>5.2237699999999998E-2</v>
      </c>
      <c r="F642" s="3">
        <v>5.2802700000000001E-2</v>
      </c>
      <c r="G642" s="3">
        <v>5.2644200000000002E-2</v>
      </c>
      <c r="H642" s="3">
        <v>5.2110799999999999E-2</v>
      </c>
      <c r="I642" s="3">
        <v>5.2627199999999999E-2</v>
      </c>
      <c r="J642" s="3">
        <v>5.5796400000000003E-2</v>
      </c>
      <c r="K642" s="3">
        <v>6.2770500000000007E-2</v>
      </c>
      <c r="L642" s="3">
        <v>7.3501399999999995E-2</v>
      </c>
      <c r="M642" s="3">
        <v>8.6714899999999998E-2</v>
      </c>
      <c r="N642" s="3">
        <v>0.1011196</v>
      </c>
      <c r="O642" s="3">
        <v>0.1162605</v>
      </c>
      <c r="P642" s="3">
        <v>0.1320759</v>
      </c>
      <c r="Q642" s="3">
        <v>0.1487009</v>
      </c>
      <c r="R642" s="3">
        <v>0.16613900000000001</v>
      </c>
      <c r="S642" s="3">
        <v>0.1843466</v>
      </c>
      <c r="T642" s="3">
        <v>0.2032795</v>
      </c>
      <c r="U642" s="3">
        <v>0.22289410000000001</v>
      </c>
      <c r="V642" s="3">
        <v>0.24314649999999999</v>
      </c>
      <c r="W642" s="3">
        <v>0.26397670000000001</v>
      </c>
      <c r="X642" s="3">
        <v>0.28525729999999999</v>
      </c>
      <c r="Y642" s="3">
        <v>0.30684339999999999</v>
      </c>
      <c r="Z642" s="3">
        <v>0.32858969999999998</v>
      </c>
      <c r="AA642" s="3">
        <v>0.35035119999999997</v>
      </c>
      <c r="AB642" s="3">
        <v>0.3719828</v>
      </c>
      <c r="AC642" s="3">
        <v>0.39336100000000002</v>
      </c>
      <c r="AD642" s="3">
        <v>0.4144485</v>
      </c>
      <c r="AE642" s="3">
        <v>0.4352298</v>
      </c>
      <c r="AF642" s="3">
        <v>0.45568910000000001</v>
      </c>
      <c r="AG642" s="3">
        <v>0.47581079999999998</v>
      </c>
      <c r="AH642" s="3">
        <v>0.4955793</v>
      </c>
      <c r="AI642" s="3">
        <v>0.51497890000000002</v>
      </c>
      <c r="AJ642" s="3">
        <v>0.53399390000000002</v>
      </c>
      <c r="AK642" s="3">
        <v>0.55260869999999995</v>
      </c>
      <c r="AL642" s="3">
        <v>0.57080770000000003</v>
      </c>
      <c r="AM642" s="3">
        <v>0.58857519999999997</v>
      </c>
      <c r="AN642" s="3">
        <v>0.60589550000000003</v>
      </c>
      <c r="AO642" s="3">
        <v>0.62275780000000003</v>
      </c>
      <c r="AP642" s="3">
        <v>0.63917170000000001</v>
      </c>
      <c r="AQ642" s="3">
        <v>0.65515279999999998</v>
      </c>
      <c r="AR642" s="3">
        <v>0.67071670000000005</v>
      </c>
      <c r="AS642" s="3">
        <v>0.68587880000000001</v>
      </c>
      <c r="AT642" s="3">
        <v>0.70065469999999996</v>
      </c>
      <c r="AU642" s="3">
        <v>0.71505989999999997</v>
      </c>
      <c r="AV642" s="3">
        <v>0.72911000000000004</v>
      </c>
      <c r="AW642" s="3">
        <v>0.74282029999999999</v>
      </c>
      <c r="AX642" s="3">
        <v>0.7562065</v>
      </c>
      <c r="AY642" s="3">
        <v>0.76928410000000003</v>
      </c>
      <c r="AZ642" s="3">
        <v>0.7820686</v>
      </c>
      <c r="BA642" s="3">
        <v>0.79457480000000003</v>
      </c>
      <c r="BB642" s="3">
        <v>0.806813</v>
      </c>
      <c r="BC642" s="3">
        <v>0.81879230000000003</v>
      </c>
      <c r="BD642" s="3">
        <v>0.83052179999999998</v>
      </c>
      <c r="BE642" s="3">
        <v>0.8420105</v>
      </c>
      <c r="BF642" s="3">
        <v>0.85326729999999995</v>
      </c>
      <c r="BG642" s="3">
        <v>0.86430149999999994</v>
      </c>
      <c r="BH642" s="3">
        <v>0.87512179999999995</v>
      </c>
      <c r="BI642" s="3">
        <v>0.88573749999999996</v>
      </c>
      <c r="BJ642" s="3">
        <v>0.8961576</v>
      </c>
      <c r="BK642" s="3">
        <v>0.90639099999999995</v>
      </c>
      <c r="BL642" s="3">
        <v>0.91644680000000001</v>
      </c>
      <c r="BM642" s="3" t="e">
        <v>#N/A</v>
      </c>
      <c r="BN642" s="3" t="e">
        <v>#N/A</v>
      </c>
    </row>
    <row r="643" spans="1:66" x14ac:dyDescent="0.35">
      <c r="A643" s="5">
        <f t="shared" si="9"/>
        <v>44355</v>
      </c>
      <c r="B643" t="s">
        <v>720</v>
      </c>
      <c r="C643" s="2">
        <v>0.1</v>
      </c>
      <c r="D643" s="2">
        <v>5.0500000000000003E-2</v>
      </c>
      <c r="E643" s="3">
        <v>5.1675699999999998E-2</v>
      </c>
      <c r="F643" s="3">
        <v>5.1721999999999997E-2</v>
      </c>
      <c r="G643" s="3">
        <v>5.1771999999999999E-2</v>
      </c>
      <c r="H643" s="3">
        <v>5.2151299999999998E-2</v>
      </c>
      <c r="I643" s="3">
        <v>5.3638100000000001E-2</v>
      </c>
      <c r="J643" s="3">
        <v>5.7023400000000002E-2</v>
      </c>
      <c r="K643" s="3">
        <v>6.2848399999999999E-2</v>
      </c>
      <c r="L643" s="3">
        <v>7.0967100000000005E-2</v>
      </c>
      <c r="M643" s="3">
        <v>8.0990599999999996E-2</v>
      </c>
      <c r="N643" s="3">
        <v>9.2522800000000002E-2</v>
      </c>
      <c r="O643" s="3">
        <v>0.10539220000000001</v>
      </c>
      <c r="P643" s="3">
        <v>0.11947099999999999</v>
      </c>
      <c r="Q643" s="3">
        <v>0.13466980000000001</v>
      </c>
      <c r="R643" s="3">
        <v>0.15091019999999999</v>
      </c>
      <c r="S643" s="3">
        <v>0.1681137</v>
      </c>
      <c r="T643" s="3">
        <v>0.18620200000000001</v>
      </c>
      <c r="U643" s="3">
        <v>0.20509669999999999</v>
      </c>
      <c r="V643" s="3">
        <v>0.22471930000000001</v>
      </c>
      <c r="W643" s="3">
        <v>0.2449799</v>
      </c>
      <c r="X643" s="3">
        <v>0.26573980000000003</v>
      </c>
      <c r="Y643" s="3">
        <v>0.28684749999999998</v>
      </c>
      <c r="Z643" s="3">
        <v>0.30815179999999998</v>
      </c>
      <c r="AA643" s="3">
        <v>0.32950109999999999</v>
      </c>
      <c r="AB643" s="3">
        <v>0.35074420000000001</v>
      </c>
      <c r="AC643" s="3">
        <v>0.37175180000000002</v>
      </c>
      <c r="AD643" s="3">
        <v>0.39248460000000002</v>
      </c>
      <c r="AE643" s="3">
        <v>0.4129254</v>
      </c>
      <c r="AF643" s="3">
        <v>0.43305690000000002</v>
      </c>
      <c r="AG643" s="3">
        <v>0.45286219999999999</v>
      </c>
      <c r="AH643" s="3">
        <v>0.47232400000000002</v>
      </c>
      <c r="AI643" s="3">
        <v>0.4914251</v>
      </c>
      <c r="AJ643" s="3">
        <v>0.5101485</v>
      </c>
      <c r="AK643" s="3">
        <v>0.52847699999999997</v>
      </c>
      <c r="AL643" s="3">
        <v>0.54639340000000003</v>
      </c>
      <c r="AM643" s="3">
        <v>0.56388059999999995</v>
      </c>
      <c r="AN643" s="3">
        <v>0.58092140000000003</v>
      </c>
      <c r="AO643" s="3">
        <v>0.59750270000000005</v>
      </c>
      <c r="AP643" s="3">
        <v>0.61363239999999997</v>
      </c>
      <c r="AQ643" s="3">
        <v>0.62932589999999999</v>
      </c>
      <c r="AR643" s="3">
        <v>0.64459820000000001</v>
      </c>
      <c r="AS643" s="3">
        <v>0.65946450000000001</v>
      </c>
      <c r="AT643" s="3">
        <v>0.67394019999999999</v>
      </c>
      <c r="AU643" s="3">
        <v>0.68804019999999999</v>
      </c>
      <c r="AV643" s="3">
        <v>0.70177990000000001</v>
      </c>
      <c r="AW643" s="3">
        <v>0.71517439999999999</v>
      </c>
      <c r="AX643" s="3">
        <v>0.72823890000000002</v>
      </c>
      <c r="AY643" s="3">
        <v>0.74098850000000005</v>
      </c>
      <c r="AZ643" s="3">
        <v>0.75343859999999996</v>
      </c>
      <c r="BA643" s="3">
        <v>0.76560329999999999</v>
      </c>
      <c r="BB643" s="3">
        <v>0.77749270000000004</v>
      </c>
      <c r="BC643" s="3">
        <v>0.78911540000000002</v>
      </c>
      <c r="BD643" s="3">
        <v>0.80048010000000003</v>
      </c>
      <c r="BE643" s="3">
        <v>0.81159530000000002</v>
      </c>
      <c r="BF643" s="3">
        <v>0.82246980000000003</v>
      </c>
      <c r="BG643" s="3">
        <v>0.83311219999999997</v>
      </c>
      <c r="BH643" s="3">
        <v>0.84353109999999998</v>
      </c>
      <c r="BI643" s="3">
        <v>0.85373529999999997</v>
      </c>
      <c r="BJ643" s="3">
        <v>0.86373330000000004</v>
      </c>
      <c r="BK643" s="3">
        <v>0.87353369999999997</v>
      </c>
      <c r="BL643" s="3">
        <v>0.88314539999999997</v>
      </c>
      <c r="BM643" s="3" t="e">
        <v>#N/A</v>
      </c>
      <c r="BN643" s="3" t="e">
        <v>#N/A</v>
      </c>
    </row>
    <row r="644" spans="1:66" x14ac:dyDescent="0.35">
      <c r="A644" s="5">
        <f t="shared" si="9"/>
        <v>44356</v>
      </c>
      <c r="B644" t="s">
        <v>721</v>
      </c>
      <c r="C644" s="2">
        <v>0.1</v>
      </c>
      <c r="D644" s="2">
        <v>5.0200000000000002E-2</v>
      </c>
      <c r="E644" s="3">
        <v>5.1243299999999999E-2</v>
      </c>
      <c r="F644" s="3">
        <v>5.1268000000000001E-2</v>
      </c>
      <c r="G644" s="3">
        <v>5.1509100000000002E-2</v>
      </c>
      <c r="H644" s="3">
        <v>5.1913899999999999E-2</v>
      </c>
      <c r="I644" s="3">
        <v>5.3220999999999997E-2</v>
      </c>
      <c r="J644" s="3">
        <v>5.6307200000000002E-2</v>
      </c>
      <c r="K644" s="3">
        <v>6.18077E-2</v>
      </c>
      <c r="L644" s="3">
        <v>6.9633500000000001E-2</v>
      </c>
      <c r="M644" s="3">
        <v>7.9298900000000005E-2</v>
      </c>
      <c r="N644" s="3">
        <v>9.0354299999999999E-2</v>
      </c>
      <c r="O644" s="3">
        <v>0.1025887</v>
      </c>
      <c r="P644" s="3">
        <v>0.11592570000000001</v>
      </c>
      <c r="Q644" s="3">
        <v>0.13032299999999999</v>
      </c>
      <c r="R644" s="3">
        <v>0.1457097</v>
      </c>
      <c r="S644" s="3">
        <v>0.1620067</v>
      </c>
      <c r="T644" s="3">
        <v>0.17913480000000001</v>
      </c>
      <c r="U644" s="3">
        <v>0.19701460000000001</v>
      </c>
      <c r="V644" s="3">
        <v>0.21556700000000001</v>
      </c>
      <c r="W644" s="3">
        <v>0.23470260000000001</v>
      </c>
      <c r="X644" s="3">
        <v>0.25428810000000002</v>
      </c>
      <c r="Y644" s="3">
        <v>0.27417940000000002</v>
      </c>
      <c r="Z644" s="3">
        <v>0.29423179999999999</v>
      </c>
      <c r="AA644" s="3">
        <v>0.3143012</v>
      </c>
      <c r="AB644" s="3">
        <v>0.33424300000000001</v>
      </c>
      <c r="AC644" s="3">
        <v>0.353935</v>
      </c>
      <c r="AD644" s="3">
        <v>0.37334400000000001</v>
      </c>
      <c r="AE644" s="3">
        <v>0.3924589</v>
      </c>
      <c r="AF644" s="3">
        <v>0.41126879999999999</v>
      </c>
      <c r="AG644" s="3">
        <v>0.42976239999999999</v>
      </c>
      <c r="AH644" s="3">
        <v>0.44792880000000002</v>
      </c>
      <c r="AI644" s="3">
        <v>0.46575680000000003</v>
      </c>
      <c r="AJ644" s="3">
        <v>0.48323559999999999</v>
      </c>
      <c r="AK644" s="3">
        <v>0.50035390000000002</v>
      </c>
      <c r="AL644" s="3">
        <v>0.51710080000000003</v>
      </c>
      <c r="AM644" s="3">
        <v>0.53346510000000003</v>
      </c>
      <c r="AN644" s="3">
        <v>0.54943589999999998</v>
      </c>
      <c r="AO644" s="3">
        <v>0.56500550000000005</v>
      </c>
      <c r="AP644" s="3">
        <v>0.580183</v>
      </c>
      <c r="AQ644" s="3">
        <v>0.59498280000000003</v>
      </c>
      <c r="AR644" s="3">
        <v>0.60941909999999999</v>
      </c>
      <c r="AS644" s="3">
        <v>0.62350609999999995</v>
      </c>
      <c r="AT644" s="3">
        <v>0.63725799999999999</v>
      </c>
      <c r="AU644" s="3">
        <v>0.65068930000000003</v>
      </c>
      <c r="AV644" s="3">
        <v>0.66381400000000002</v>
      </c>
      <c r="AW644" s="3">
        <v>0.67664650000000004</v>
      </c>
      <c r="AX644" s="3">
        <v>0.68920099999999995</v>
      </c>
      <c r="AY644" s="3">
        <v>0.7014918</v>
      </c>
      <c r="AZ644" s="3">
        <v>0.71353310000000003</v>
      </c>
      <c r="BA644" s="3">
        <v>0.72533789999999998</v>
      </c>
      <c r="BB644" s="3">
        <v>0.73691419999999996</v>
      </c>
      <c r="BC644" s="3">
        <v>0.74826809999999999</v>
      </c>
      <c r="BD644" s="3">
        <v>0.75940589999999997</v>
      </c>
      <c r="BE644" s="3">
        <v>0.77033399999999996</v>
      </c>
      <c r="BF644" s="3">
        <v>0.78105869999999999</v>
      </c>
      <c r="BG644" s="3">
        <v>0.79158629999999996</v>
      </c>
      <c r="BH644" s="3">
        <v>0.80192300000000005</v>
      </c>
      <c r="BI644" s="3">
        <v>0.8120752</v>
      </c>
      <c r="BJ644" s="3">
        <v>0.82204920000000004</v>
      </c>
      <c r="BK644" s="3">
        <v>0.83185140000000002</v>
      </c>
      <c r="BL644" s="3">
        <v>0.84148789999999996</v>
      </c>
      <c r="BM644" s="3" t="e">
        <v>#N/A</v>
      </c>
      <c r="BN644" s="3" t="e">
        <v>#N/A</v>
      </c>
    </row>
    <row r="645" spans="1:66" x14ac:dyDescent="0.35">
      <c r="A645" s="5">
        <f t="shared" si="9"/>
        <v>44357</v>
      </c>
      <c r="B645" t="s">
        <v>722</v>
      </c>
      <c r="C645" s="2">
        <v>0.1</v>
      </c>
      <c r="D645" s="2">
        <v>4.99E-2</v>
      </c>
      <c r="E645" s="3">
        <v>5.0991399999999999E-2</v>
      </c>
      <c r="F645" s="3">
        <v>5.1048000000000003E-2</v>
      </c>
      <c r="G645" s="3">
        <v>5.1490500000000002E-2</v>
      </c>
      <c r="H645" s="3">
        <v>5.2314899999999998E-2</v>
      </c>
      <c r="I645" s="3">
        <v>5.4065000000000002E-2</v>
      </c>
      <c r="J645" s="3">
        <v>5.7535900000000001E-2</v>
      </c>
      <c r="K645" s="3">
        <v>6.3317600000000002E-2</v>
      </c>
      <c r="L645" s="3">
        <v>7.1405099999999999E-2</v>
      </c>
      <c r="M645" s="3">
        <v>8.1477900000000006E-2</v>
      </c>
      <c r="N645" s="3">
        <v>9.3180299999999994E-2</v>
      </c>
      <c r="O645" s="3">
        <v>0.1063267</v>
      </c>
      <c r="P645" s="3">
        <v>0.1207709</v>
      </c>
      <c r="Q645" s="3">
        <v>0.13633799999999999</v>
      </c>
      <c r="R645" s="3">
        <v>0.1528796</v>
      </c>
      <c r="S645" s="3">
        <v>0.17025580000000001</v>
      </c>
      <c r="T645" s="3">
        <v>0.18832689999999999</v>
      </c>
      <c r="U645" s="3">
        <v>0.20695330000000001</v>
      </c>
      <c r="V645" s="3">
        <v>0.22599520000000001</v>
      </c>
      <c r="W645" s="3">
        <v>0.24531929999999999</v>
      </c>
      <c r="X645" s="3">
        <v>0.26482549999999999</v>
      </c>
      <c r="Y645" s="3">
        <v>0.28442390000000001</v>
      </c>
      <c r="Z645" s="3">
        <v>0.30402479999999998</v>
      </c>
      <c r="AA645" s="3">
        <v>0.32353870000000001</v>
      </c>
      <c r="AB645" s="3">
        <v>0.34287570000000001</v>
      </c>
      <c r="AC645" s="3">
        <v>0.36195729999999998</v>
      </c>
      <c r="AD645" s="3">
        <v>0.38075880000000001</v>
      </c>
      <c r="AE645" s="3">
        <v>0.39927210000000002</v>
      </c>
      <c r="AF645" s="3">
        <v>0.41748879999999999</v>
      </c>
      <c r="AG645" s="3">
        <v>0.43540089999999998</v>
      </c>
      <c r="AH645" s="3">
        <v>0.45300010000000002</v>
      </c>
      <c r="AI645" s="3">
        <v>0.47027829999999998</v>
      </c>
      <c r="AJ645" s="3">
        <v>0.48722720000000003</v>
      </c>
      <c r="AK645" s="3">
        <v>0.50383869999999997</v>
      </c>
      <c r="AL645" s="3">
        <v>0.52010449999999997</v>
      </c>
      <c r="AM645" s="3">
        <v>0.53601650000000001</v>
      </c>
      <c r="AN645" s="3">
        <v>0.55156640000000001</v>
      </c>
      <c r="AO645" s="3">
        <v>0.56674919999999995</v>
      </c>
      <c r="AP645" s="3">
        <v>0.58157289999999995</v>
      </c>
      <c r="AQ645" s="3">
        <v>0.59604950000000001</v>
      </c>
      <c r="AR645" s="3">
        <v>0.61019089999999998</v>
      </c>
      <c r="AS645" s="3">
        <v>0.62400880000000003</v>
      </c>
      <c r="AT645" s="3">
        <v>0.63751530000000001</v>
      </c>
      <c r="AU645" s="3">
        <v>0.65072209999999997</v>
      </c>
      <c r="AV645" s="3">
        <v>0.66364109999999998</v>
      </c>
      <c r="AW645" s="3">
        <v>0.6762842</v>
      </c>
      <c r="AX645" s="3">
        <v>0.68866329999999998</v>
      </c>
      <c r="AY645" s="3">
        <v>0.70079029999999998</v>
      </c>
      <c r="AZ645" s="3">
        <v>0.712677</v>
      </c>
      <c r="BA645" s="3">
        <v>0.72433460000000005</v>
      </c>
      <c r="BB645" s="3">
        <v>0.73577090000000001</v>
      </c>
      <c r="BC645" s="3">
        <v>0.74699289999999996</v>
      </c>
      <c r="BD645" s="3">
        <v>0.7580076</v>
      </c>
      <c r="BE645" s="3">
        <v>0.76882200000000001</v>
      </c>
      <c r="BF645" s="3">
        <v>0.77944290000000005</v>
      </c>
      <c r="BG645" s="3">
        <v>0.78987750000000001</v>
      </c>
      <c r="BH645" s="3">
        <v>0.80013259999999997</v>
      </c>
      <c r="BI645" s="3">
        <v>0.81021520000000002</v>
      </c>
      <c r="BJ645" s="3">
        <v>0.82013239999999998</v>
      </c>
      <c r="BK645" s="3">
        <v>0.82989100000000005</v>
      </c>
      <c r="BL645" s="3">
        <v>0.83949799999999997</v>
      </c>
      <c r="BM645" s="3" t="e">
        <v>#N/A</v>
      </c>
      <c r="BN645" s="3" t="e">
        <v>#N/A</v>
      </c>
    </row>
    <row r="646" spans="1:66" x14ac:dyDescent="0.35">
      <c r="A646" s="5">
        <f t="shared" si="9"/>
        <v>44358</v>
      </c>
      <c r="B646" t="s">
        <v>723</v>
      </c>
      <c r="C646" s="2">
        <v>0.1</v>
      </c>
      <c r="D646" s="2">
        <v>5.0099999999999999E-2</v>
      </c>
      <c r="E646" s="3">
        <v>4.7469699999999997E-2</v>
      </c>
      <c r="F646" s="3">
        <v>4.7789499999999999E-2</v>
      </c>
      <c r="G646" s="3">
        <v>5.0497300000000002E-2</v>
      </c>
      <c r="H646" s="3">
        <v>5.3736899999999997E-2</v>
      </c>
      <c r="I646" s="3">
        <v>5.7015299999999998E-2</v>
      </c>
      <c r="J646" s="3">
        <v>6.1250300000000001E-2</v>
      </c>
      <c r="K646" s="3">
        <v>6.71519E-2</v>
      </c>
      <c r="L646" s="3">
        <v>7.4724700000000005E-2</v>
      </c>
      <c r="M646" s="3">
        <v>8.3516699999999999E-2</v>
      </c>
      <c r="N646" s="3">
        <v>9.3299800000000002E-2</v>
      </c>
      <c r="O646" s="3">
        <v>0.1042006</v>
      </c>
      <c r="P646" s="3">
        <v>0.1163107</v>
      </c>
      <c r="Q646" s="3">
        <v>0.129606</v>
      </c>
      <c r="R646" s="3">
        <v>0.1439822</v>
      </c>
      <c r="S646" s="3">
        <v>0.15931670000000001</v>
      </c>
      <c r="T646" s="3">
        <v>0.175487</v>
      </c>
      <c r="U646" s="3">
        <v>0.1923706</v>
      </c>
      <c r="V646" s="3">
        <v>0.2098449</v>
      </c>
      <c r="W646" s="3">
        <v>0.2277894</v>
      </c>
      <c r="X646" s="3">
        <v>0.2460928</v>
      </c>
      <c r="Y646" s="3">
        <v>0.26464660000000001</v>
      </c>
      <c r="Z646" s="3">
        <v>0.28334199999999998</v>
      </c>
      <c r="AA646" s="3">
        <v>0.30207050000000002</v>
      </c>
      <c r="AB646" s="3">
        <v>0.32072339999999999</v>
      </c>
      <c r="AC646" s="3">
        <v>0.33920610000000001</v>
      </c>
      <c r="AD646" s="3">
        <v>0.35748479999999999</v>
      </c>
      <c r="AE646" s="3">
        <v>0.37554270000000001</v>
      </c>
      <c r="AF646" s="3">
        <v>0.39336280000000001</v>
      </c>
      <c r="AG646" s="3">
        <v>0.41092849999999997</v>
      </c>
      <c r="AH646" s="3">
        <v>0.42822280000000001</v>
      </c>
      <c r="AI646" s="3">
        <v>0.44522889999999998</v>
      </c>
      <c r="AJ646" s="3">
        <v>0.46193000000000001</v>
      </c>
      <c r="AK646" s="3">
        <v>0.47830909999999999</v>
      </c>
      <c r="AL646" s="3">
        <v>0.4943496</v>
      </c>
      <c r="AM646" s="3">
        <v>0.51003449999999995</v>
      </c>
      <c r="AN646" s="3">
        <v>0.52534689999999995</v>
      </c>
      <c r="AO646" s="3">
        <v>0.54027440000000004</v>
      </c>
      <c r="AP646" s="3">
        <v>0.55482330000000002</v>
      </c>
      <c r="AQ646" s="3">
        <v>0.56900499999999998</v>
      </c>
      <c r="AR646" s="3">
        <v>0.58283119999999999</v>
      </c>
      <c r="AS646" s="3">
        <v>0.59631330000000005</v>
      </c>
      <c r="AT646" s="3">
        <v>0.60946299999999998</v>
      </c>
      <c r="AU646" s="3">
        <v>0.6222917</v>
      </c>
      <c r="AV646" s="3">
        <v>0.63481109999999996</v>
      </c>
      <c r="AW646" s="3">
        <v>0.64703259999999996</v>
      </c>
      <c r="AX646" s="3">
        <v>0.65896779999999999</v>
      </c>
      <c r="AY646" s="3">
        <v>0.67062820000000001</v>
      </c>
      <c r="AZ646" s="3">
        <v>0.6820254</v>
      </c>
      <c r="BA646" s="3">
        <v>0.69317039999999996</v>
      </c>
      <c r="BB646" s="3">
        <v>0.70407189999999997</v>
      </c>
      <c r="BC646" s="3">
        <v>0.71473819999999999</v>
      </c>
      <c r="BD646" s="3">
        <v>0.72517739999999997</v>
      </c>
      <c r="BE646" s="3">
        <v>0.73539770000000004</v>
      </c>
      <c r="BF646" s="3">
        <v>0.74540709999999999</v>
      </c>
      <c r="BG646" s="3">
        <v>0.75521389999999999</v>
      </c>
      <c r="BH646" s="3">
        <v>0.76482609999999995</v>
      </c>
      <c r="BI646" s="3">
        <v>0.77425200000000005</v>
      </c>
      <c r="BJ646" s="3">
        <v>0.78349970000000002</v>
      </c>
      <c r="BK646" s="3">
        <v>0.79257739999999999</v>
      </c>
      <c r="BL646" s="3">
        <v>0.80149309999999996</v>
      </c>
      <c r="BM646" s="3" t="e">
        <v>#N/A</v>
      </c>
      <c r="BN646" s="3" t="e">
        <v>#N/A</v>
      </c>
    </row>
    <row r="647" spans="1:66" x14ac:dyDescent="0.35">
      <c r="A647" s="5">
        <f t="shared" si="9"/>
        <v>44361</v>
      </c>
      <c r="B647" t="s">
        <v>724</v>
      </c>
      <c r="C647" s="2">
        <v>0.1</v>
      </c>
      <c r="D647" s="2">
        <v>4.99E-2</v>
      </c>
      <c r="E647" s="3">
        <v>5.1580099999999997E-2</v>
      </c>
      <c r="F647" s="3">
        <v>4.9384900000000002E-2</v>
      </c>
      <c r="G647" s="3">
        <v>4.7613999999999997E-2</v>
      </c>
      <c r="H647" s="3">
        <v>4.7563099999999997E-2</v>
      </c>
      <c r="I647" s="3">
        <v>5.09924E-2</v>
      </c>
      <c r="J647" s="3">
        <v>5.8755300000000003E-2</v>
      </c>
      <c r="K647" s="3">
        <v>7.0405700000000002E-2</v>
      </c>
      <c r="L647" s="3">
        <v>8.4120899999999998E-2</v>
      </c>
      <c r="M647" s="3">
        <v>9.7937899999999994E-2</v>
      </c>
      <c r="N647" s="3">
        <v>0.11077239999999999</v>
      </c>
      <c r="O647" s="3">
        <v>0.1222768</v>
      </c>
      <c r="P647" s="3">
        <v>0.13283800000000001</v>
      </c>
      <c r="Q647" s="3">
        <v>0.14433609999999999</v>
      </c>
      <c r="R647" s="3">
        <v>0.15722120000000001</v>
      </c>
      <c r="S647" s="3">
        <v>0.17144680000000001</v>
      </c>
      <c r="T647" s="3">
        <v>0.1869663</v>
      </c>
      <c r="U647" s="3">
        <v>0.20373330000000001</v>
      </c>
      <c r="V647" s="3">
        <v>0.22170110000000001</v>
      </c>
      <c r="W647" s="3">
        <v>0.24078730000000001</v>
      </c>
      <c r="X647" s="3">
        <v>0.26075809999999999</v>
      </c>
      <c r="Y647" s="3">
        <v>0.28133989999999998</v>
      </c>
      <c r="Z647" s="3">
        <v>0.30225940000000001</v>
      </c>
      <c r="AA647" s="3">
        <v>0.323243</v>
      </c>
      <c r="AB647" s="3">
        <v>0.34401730000000003</v>
      </c>
      <c r="AC647" s="3">
        <v>0.36435509999999999</v>
      </c>
      <c r="AD647" s="3">
        <v>0.38421460000000002</v>
      </c>
      <c r="AE647" s="3">
        <v>0.40360040000000003</v>
      </c>
      <c r="AF647" s="3">
        <v>0.42251709999999998</v>
      </c>
      <c r="AG647" s="3">
        <v>0.44096920000000001</v>
      </c>
      <c r="AH647" s="3">
        <v>0.45896150000000002</v>
      </c>
      <c r="AI647" s="3">
        <v>0.47649829999999999</v>
      </c>
      <c r="AJ647" s="3">
        <v>0.49358439999999998</v>
      </c>
      <c r="AK647" s="3">
        <v>0.51022429999999996</v>
      </c>
      <c r="AL647" s="3">
        <v>0.52642250000000002</v>
      </c>
      <c r="AM647" s="3">
        <v>0.54218370000000005</v>
      </c>
      <c r="AN647" s="3">
        <v>0.55751240000000002</v>
      </c>
      <c r="AO647" s="3">
        <v>0.57241540000000002</v>
      </c>
      <c r="AP647" s="3">
        <v>0.58690880000000001</v>
      </c>
      <c r="AQ647" s="3">
        <v>0.60101159999999998</v>
      </c>
      <c r="AR647" s="3">
        <v>0.61474240000000002</v>
      </c>
      <c r="AS647" s="3">
        <v>0.62812029999999996</v>
      </c>
      <c r="AT647" s="3">
        <v>0.64116390000000001</v>
      </c>
      <c r="AU647" s="3">
        <v>0.65389209999999998</v>
      </c>
      <c r="AV647" s="3">
        <v>0.66632380000000002</v>
      </c>
      <c r="AW647" s="3">
        <v>0.67847769999999996</v>
      </c>
      <c r="AX647" s="3">
        <v>0.69037269999999995</v>
      </c>
      <c r="AY647" s="3">
        <v>0.70202770000000003</v>
      </c>
      <c r="AZ647" s="3">
        <v>0.71346140000000002</v>
      </c>
      <c r="BA647" s="3">
        <v>0.72469099999999997</v>
      </c>
      <c r="BB647" s="3">
        <v>0.73572539999999997</v>
      </c>
      <c r="BC647" s="3">
        <v>0.74657019999999996</v>
      </c>
      <c r="BD647" s="3">
        <v>0.75723119999999999</v>
      </c>
      <c r="BE647" s="3">
        <v>0.76771420000000001</v>
      </c>
      <c r="BF647" s="3">
        <v>0.77802510000000002</v>
      </c>
      <c r="BG647" s="3">
        <v>0.78816960000000003</v>
      </c>
      <c r="BH647" s="3">
        <v>0.79815349999999996</v>
      </c>
      <c r="BI647" s="3">
        <v>0.8079826</v>
      </c>
      <c r="BJ647" s="3">
        <v>0.81766269999999996</v>
      </c>
      <c r="BK647" s="3">
        <v>0.82719949999999998</v>
      </c>
      <c r="BL647" s="3">
        <v>0.83659899999999998</v>
      </c>
      <c r="BM647" s="3" t="e">
        <v>#N/A</v>
      </c>
      <c r="BN647" s="3" t="e">
        <v>#N/A</v>
      </c>
    </row>
    <row r="648" spans="1:66" x14ac:dyDescent="0.35">
      <c r="A648" s="5">
        <f t="shared" si="9"/>
        <v>44362</v>
      </c>
      <c r="B648" t="s">
        <v>725</v>
      </c>
      <c r="C648" s="2">
        <v>0.1</v>
      </c>
      <c r="D648" s="2">
        <v>4.99E-2</v>
      </c>
      <c r="E648" s="3">
        <v>5.0956899999999999E-2</v>
      </c>
      <c r="F648" s="3">
        <v>5.0590099999999999E-2</v>
      </c>
      <c r="G648" s="3">
        <v>5.0422300000000003E-2</v>
      </c>
      <c r="H648" s="3">
        <v>5.1429999999999997E-2</v>
      </c>
      <c r="I648" s="3">
        <v>5.4423199999999998E-2</v>
      </c>
      <c r="J648" s="3">
        <v>5.9809599999999997E-2</v>
      </c>
      <c r="K648" s="3">
        <v>6.7621200000000006E-2</v>
      </c>
      <c r="L648" s="3">
        <v>7.7412499999999995E-2</v>
      </c>
      <c r="M648" s="3">
        <v>8.8768200000000005E-2</v>
      </c>
      <c r="N648" s="3">
        <v>0.1014014</v>
      </c>
      <c r="O648" s="3">
        <v>0.1151845</v>
      </c>
      <c r="P648" s="3">
        <v>0.1300442</v>
      </c>
      <c r="Q648" s="3">
        <v>0.1459261</v>
      </c>
      <c r="R648" s="3">
        <v>0.16274530000000001</v>
      </c>
      <c r="S648" s="3">
        <v>0.1804074</v>
      </c>
      <c r="T648" s="3">
        <v>0.1988183</v>
      </c>
      <c r="U648" s="3">
        <v>0.21788370000000001</v>
      </c>
      <c r="V648" s="3">
        <v>0.2375092</v>
      </c>
      <c r="W648" s="3">
        <v>0.25759500000000002</v>
      </c>
      <c r="X648" s="3">
        <v>0.2780166</v>
      </c>
      <c r="Y648" s="3">
        <v>0.2986434</v>
      </c>
      <c r="Z648" s="3">
        <v>0.31934469999999998</v>
      </c>
      <c r="AA648" s="3">
        <v>0.33998990000000001</v>
      </c>
      <c r="AB648" s="3">
        <v>0.3604482</v>
      </c>
      <c r="AC648" s="3">
        <v>0.38060939999999999</v>
      </c>
      <c r="AD648" s="3">
        <v>0.40044479999999999</v>
      </c>
      <c r="AE648" s="3">
        <v>0.41994599999999999</v>
      </c>
      <c r="AF648" s="3">
        <v>0.43910470000000001</v>
      </c>
      <c r="AG648" s="3">
        <v>0.4579126</v>
      </c>
      <c r="AH648" s="3">
        <v>0.47636139999999999</v>
      </c>
      <c r="AI648" s="3">
        <v>0.49444270000000001</v>
      </c>
      <c r="AJ648" s="3">
        <v>0.5121483</v>
      </c>
      <c r="AK648" s="3">
        <v>0.52946970000000004</v>
      </c>
      <c r="AL648" s="3">
        <v>0.54639870000000001</v>
      </c>
      <c r="AM648" s="3">
        <v>0.56292690000000001</v>
      </c>
      <c r="AN648" s="3">
        <v>0.57904599999999995</v>
      </c>
      <c r="AO648" s="3">
        <v>0.59475009999999995</v>
      </c>
      <c r="AP648" s="3">
        <v>0.61004599999999998</v>
      </c>
      <c r="AQ648" s="3">
        <v>0.62494479999999997</v>
      </c>
      <c r="AR648" s="3">
        <v>0.63945770000000002</v>
      </c>
      <c r="AS648" s="3">
        <v>0.65359560000000005</v>
      </c>
      <c r="AT648" s="3">
        <v>0.66736980000000001</v>
      </c>
      <c r="AU648" s="3">
        <v>0.68079140000000005</v>
      </c>
      <c r="AV648" s="3">
        <v>0.69387140000000003</v>
      </c>
      <c r="AW648" s="3">
        <v>0.7066211</v>
      </c>
      <c r="AX648" s="3">
        <v>0.71905149999999995</v>
      </c>
      <c r="AY648" s="3">
        <v>0.73117370000000004</v>
      </c>
      <c r="AZ648" s="3">
        <v>0.74299879999999996</v>
      </c>
      <c r="BA648" s="3">
        <v>0.75453780000000004</v>
      </c>
      <c r="BB648" s="3">
        <v>0.7658005</v>
      </c>
      <c r="BC648" s="3">
        <v>0.77679659999999995</v>
      </c>
      <c r="BD648" s="3">
        <v>0.78753550000000005</v>
      </c>
      <c r="BE648" s="3">
        <v>0.79802700000000004</v>
      </c>
      <c r="BF648" s="3">
        <v>0.80828049999999996</v>
      </c>
      <c r="BG648" s="3">
        <v>0.81830579999999997</v>
      </c>
      <c r="BH648" s="3">
        <v>0.82811219999999996</v>
      </c>
      <c r="BI648" s="3">
        <v>0.8377095</v>
      </c>
      <c r="BJ648" s="3">
        <v>0.84710719999999995</v>
      </c>
      <c r="BK648" s="3">
        <v>0.85631489999999999</v>
      </c>
      <c r="BL648" s="3">
        <v>0.8653421</v>
      </c>
      <c r="BM648" s="3" t="e">
        <v>#N/A</v>
      </c>
      <c r="BN648" s="3" t="e">
        <v>#N/A</v>
      </c>
    </row>
    <row r="649" spans="1:66" x14ac:dyDescent="0.35">
      <c r="A649" s="5">
        <f t="shared" si="9"/>
        <v>44363</v>
      </c>
      <c r="B649" t="s">
        <v>726</v>
      </c>
      <c r="C649" s="2">
        <v>0.1</v>
      </c>
      <c r="D649" s="2">
        <v>0.05</v>
      </c>
      <c r="E649" s="3">
        <v>5.0366399999999999E-2</v>
      </c>
      <c r="F649" s="3">
        <v>5.2017300000000002E-2</v>
      </c>
      <c r="G649" s="3">
        <v>5.2986900000000003E-2</v>
      </c>
      <c r="H649" s="3">
        <v>5.3388900000000003E-2</v>
      </c>
      <c r="I649" s="3">
        <v>5.4807700000000001E-2</v>
      </c>
      <c r="J649" s="3">
        <v>5.8498599999999998E-2</v>
      </c>
      <c r="K649" s="3">
        <v>6.5142500000000006E-2</v>
      </c>
      <c r="L649" s="3">
        <v>7.4590699999999996E-2</v>
      </c>
      <c r="M649" s="3">
        <v>8.6328199999999994E-2</v>
      </c>
      <c r="N649" s="3">
        <v>9.9802500000000002E-2</v>
      </c>
      <c r="O649" s="3">
        <v>0.11461499999999999</v>
      </c>
      <c r="P649" s="3">
        <v>0.13056499999999999</v>
      </c>
      <c r="Q649" s="3">
        <v>0.1475253</v>
      </c>
      <c r="R649" s="3">
        <v>0.1653849</v>
      </c>
      <c r="S649" s="3">
        <v>0.18403620000000001</v>
      </c>
      <c r="T649" s="3">
        <v>0.20337179999999999</v>
      </c>
      <c r="U649" s="3">
        <v>0.22328390000000001</v>
      </c>
      <c r="V649" s="3">
        <v>0.24366499999999999</v>
      </c>
      <c r="W649" s="3">
        <v>0.2644011</v>
      </c>
      <c r="X649" s="3">
        <v>0.28535179999999999</v>
      </c>
      <c r="Y649" s="3">
        <v>0.30636970000000002</v>
      </c>
      <c r="Z649" s="3">
        <v>0.32730740000000003</v>
      </c>
      <c r="AA649" s="3">
        <v>0.34801749999999998</v>
      </c>
      <c r="AB649" s="3">
        <v>0.36835250000000003</v>
      </c>
      <c r="AC649" s="3">
        <v>0.38819100000000001</v>
      </c>
      <c r="AD649" s="3">
        <v>0.40751559999999998</v>
      </c>
      <c r="AE649" s="3">
        <v>0.42633480000000001</v>
      </c>
      <c r="AF649" s="3">
        <v>0.44465700000000002</v>
      </c>
      <c r="AG649" s="3">
        <v>0.46249089999999998</v>
      </c>
      <c r="AH649" s="3">
        <v>0.47984490000000002</v>
      </c>
      <c r="AI649" s="3">
        <v>0.49672749999999999</v>
      </c>
      <c r="AJ649" s="3">
        <v>0.51314729999999997</v>
      </c>
      <c r="AK649" s="3">
        <v>0.52911269999999999</v>
      </c>
      <c r="AL649" s="3">
        <v>0.54463229999999996</v>
      </c>
      <c r="AM649" s="3">
        <v>0.55971459999999995</v>
      </c>
      <c r="AN649" s="3">
        <v>0.57436810000000005</v>
      </c>
      <c r="AO649" s="3">
        <v>0.58860270000000003</v>
      </c>
      <c r="AP649" s="3">
        <v>0.60243469999999999</v>
      </c>
      <c r="AQ649" s="3">
        <v>0.61588240000000005</v>
      </c>
      <c r="AR649" s="3">
        <v>0.62896410000000003</v>
      </c>
      <c r="AS649" s="3">
        <v>0.6416982</v>
      </c>
      <c r="AT649" s="3">
        <v>0.65410299999999999</v>
      </c>
      <c r="AU649" s="3">
        <v>0.66619680000000003</v>
      </c>
      <c r="AV649" s="3">
        <v>0.67799790000000004</v>
      </c>
      <c r="AW649" s="3">
        <v>0.68952469999999999</v>
      </c>
      <c r="AX649" s="3">
        <v>0.70079550000000002</v>
      </c>
      <c r="AY649" s="3">
        <v>0.71182849999999998</v>
      </c>
      <c r="AZ649" s="3">
        <v>0.72264220000000001</v>
      </c>
      <c r="BA649" s="3">
        <v>0.73325280000000004</v>
      </c>
      <c r="BB649" s="3">
        <v>0.74366770000000004</v>
      </c>
      <c r="BC649" s="3">
        <v>0.7538918</v>
      </c>
      <c r="BD649" s="3">
        <v>0.76393</v>
      </c>
      <c r="BE649" s="3">
        <v>0.77378720000000001</v>
      </c>
      <c r="BF649" s="3">
        <v>0.78346830000000001</v>
      </c>
      <c r="BG649" s="3">
        <v>0.79297819999999997</v>
      </c>
      <c r="BH649" s="3">
        <v>0.80232190000000003</v>
      </c>
      <c r="BI649" s="3">
        <v>0.81150409999999995</v>
      </c>
      <c r="BJ649" s="3">
        <v>0.82052990000000003</v>
      </c>
      <c r="BK649" s="3">
        <v>0.82940409999999998</v>
      </c>
      <c r="BL649" s="3">
        <v>0.83813159999999998</v>
      </c>
      <c r="BM649" s="3" t="e">
        <v>#N/A</v>
      </c>
      <c r="BN649" s="3" t="e">
        <v>#N/A</v>
      </c>
    </row>
    <row r="650" spans="1:66" x14ac:dyDescent="0.35">
      <c r="A650" s="5">
        <f t="shared" si="9"/>
        <v>44364</v>
      </c>
      <c r="B650" t="s">
        <v>727</v>
      </c>
      <c r="C650" s="2">
        <v>0.1</v>
      </c>
      <c r="D650" s="2">
        <v>0.05</v>
      </c>
      <c r="E650" s="3">
        <v>5.0539300000000002E-2</v>
      </c>
      <c r="F650" s="3">
        <v>5.3185099999999999E-2</v>
      </c>
      <c r="G650" s="3">
        <v>5.4184000000000003E-2</v>
      </c>
      <c r="H650" s="3">
        <v>5.4327100000000003E-2</v>
      </c>
      <c r="I650" s="3">
        <v>5.6434600000000001E-2</v>
      </c>
      <c r="J650" s="3">
        <v>6.2479199999999999E-2</v>
      </c>
      <c r="K650" s="3">
        <v>7.3299400000000001E-2</v>
      </c>
      <c r="L650" s="3">
        <v>8.8407100000000002E-2</v>
      </c>
      <c r="M650" s="3">
        <v>0.10678219999999999</v>
      </c>
      <c r="N650" s="3">
        <v>0.1274354</v>
      </c>
      <c r="O650" s="3">
        <v>0.14964089999999999</v>
      </c>
      <c r="P650" s="3">
        <v>0.17289360000000001</v>
      </c>
      <c r="Q650" s="3">
        <v>0.19685659999999999</v>
      </c>
      <c r="R650" s="3">
        <v>0.22131619999999999</v>
      </c>
      <c r="S650" s="3">
        <v>0.24608360000000001</v>
      </c>
      <c r="T650" s="3">
        <v>0.27097019999999999</v>
      </c>
      <c r="U650" s="3">
        <v>0.29578719999999997</v>
      </c>
      <c r="V650" s="3">
        <v>0.32034590000000002</v>
      </c>
      <c r="W650" s="3">
        <v>0.34447699999999998</v>
      </c>
      <c r="X650" s="3">
        <v>0.36811050000000001</v>
      </c>
      <c r="Y650" s="3">
        <v>0.39120820000000001</v>
      </c>
      <c r="Z650" s="3">
        <v>0.41373189999999999</v>
      </c>
      <c r="AA650" s="3">
        <v>0.43564330000000001</v>
      </c>
      <c r="AB650" s="3">
        <v>0.45690429999999999</v>
      </c>
      <c r="AC650" s="3">
        <v>0.47748429999999997</v>
      </c>
      <c r="AD650" s="3">
        <v>0.4973902</v>
      </c>
      <c r="AE650" s="3">
        <v>0.5166404</v>
      </c>
      <c r="AF650" s="3">
        <v>0.53525299999999998</v>
      </c>
      <c r="AG650" s="3">
        <v>0.55324629999999997</v>
      </c>
      <c r="AH650" s="3">
        <v>0.5706388</v>
      </c>
      <c r="AI650" s="3">
        <v>0.58744859999999999</v>
      </c>
      <c r="AJ650" s="3">
        <v>0.60369410000000001</v>
      </c>
      <c r="AK650" s="3">
        <v>0.61939350000000004</v>
      </c>
      <c r="AL650" s="3">
        <v>0.63456509999999999</v>
      </c>
      <c r="AM650" s="3">
        <v>0.6492272</v>
      </c>
      <c r="AN650" s="3">
        <v>0.66339809999999999</v>
      </c>
      <c r="AO650" s="3">
        <v>0.6770948</v>
      </c>
      <c r="AP650" s="3">
        <v>0.69032789999999999</v>
      </c>
      <c r="AQ650" s="3">
        <v>0.70310669999999997</v>
      </c>
      <c r="AR650" s="3">
        <v>0.71544030000000003</v>
      </c>
      <c r="AS650" s="3">
        <v>0.72733789999999998</v>
      </c>
      <c r="AT650" s="3">
        <v>0.73880849999999998</v>
      </c>
      <c r="AU650" s="3">
        <v>0.74986129999999995</v>
      </c>
      <c r="AV650" s="3">
        <v>0.76050549999999995</v>
      </c>
      <c r="AW650" s="3">
        <v>0.77075009999999999</v>
      </c>
      <c r="AX650" s="3">
        <v>0.78060439999999998</v>
      </c>
      <c r="AY650" s="3">
        <v>0.79007729999999998</v>
      </c>
      <c r="AZ650" s="3">
        <v>0.79917819999999995</v>
      </c>
      <c r="BA650" s="3">
        <v>0.80791690000000005</v>
      </c>
      <c r="BB650" s="3">
        <v>0.816307</v>
      </c>
      <c r="BC650" s="3">
        <v>0.82436299999999996</v>
      </c>
      <c r="BD650" s="3">
        <v>0.83209949999999999</v>
      </c>
      <c r="BE650" s="3">
        <v>0.83953100000000003</v>
      </c>
      <c r="BF650" s="3">
        <v>0.84667219999999999</v>
      </c>
      <c r="BG650" s="3">
        <v>0.8535374</v>
      </c>
      <c r="BH650" s="3">
        <v>0.8601413</v>
      </c>
      <c r="BI650" s="3">
        <v>0.8664984</v>
      </c>
      <c r="BJ650" s="3">
        <v>0.87262329999999999</v>
      </c>
      <c r="BK650" s="3">
        <v>0.87853049999999999</v>
      </c>
      <c r="BL650" s="3">
        <v>0.88423459999999998</v>
      </c>
      <c r="BM650" s="3" t="e">
        <v>#N/A</v>
      </c>
      <c r="BN650" s="3" t="e">
        <v>#N/A</v>
      </c>
    </row>
    <row r="651" spans="1:66" x14ac:dyDescent="0.35">
      <c r="A651" s="5">
        <f t="shared" si="9"/>
        <v>44365</v>
      </c>
      <c r="B651" t="s">
        <v>728</v>
      </c>
      <c r="C651" s="2">
        <v>0.1</v>
      </c>
      <c r="D651" s="2">
        <v>5.0200000000000002E-2</v>
      </c>
      <c r="E651" s="3">
        <v>5.2902400000000002E-2</v>
      </c>
      <c r="F651" s="3">
        <v>5.2803999999999997E-2</v>
      </c>
      <c r="G651" s="3">
        <v>5.3326600000000002E-2</v>
      </c>
      <c r="H651" s="3">
        <v>5.5786500000000003E-2</v>
      </c>
      <c r="I651" s="3">
        <v>6.1518700000000003E-2</v>
      </c>
      <c r="J651" s="3">
        <v>7.1387099999999995E-2</v>
      </c>
      <c r="K651" s="3">
        <v>8.5513400000000003E-2</v>
      </c>
      <c r="L651" s="3">
        <v>0.10338070000000001</v>
      </c>
      <c r="M651" s="3">
        <v>0.1241043</v>
      </c>
      <c r="N651" s="3">
        <v>0.14688399999999999</v>
      </c>
      <c r="O651" s="3">
        <v>0.171124</v>
      </c>
      <c r="P651" s="3">
        <v>0.19632069999999999</v>
      </c>
      <c r="Q651" s="3">
        <v>0.2220984</v>
      </c>
      <c r="R651" s="3">
        <v>0.24823239999999999</v>
      </c>
      <c r="S651" s="3">
        <v>0.27453739999999999</v>
      </c>
      <c r="T651" s="3">
        <v>0.30082789999999998</v>
      </c>
      <c r="U651" s="3">
        <v>0.3269185</v>
      </c>
      <c r="V651" s="3">
        <v>0.35262399999999999</v>
      </c>
      <c r="W651" s="3">
        <v>0.37777169999999999</v>
      </c>
      <c r="X651" s="3">
        <v>0.40224969999999999</v>
      </c>
      <c r="Y651" s="3">
        <v>0.42596299999999998</v>
      </c>
      <c r="Z651" s="3">
        <v>0.44881700000000002</v>
      </c>
      <c r="AA651" s="3">
        <v>0.47071679999999999</v>
      </c>
      <c r="AB651" s="3">
        <v>0.4915678</v>
      </c>
      <c r="AC651" s="3">
        <v>0.5112968</v>
      </c>
      <c r="AD651" s="3">
        <v>0.52992669999999997</v>
      </c>
      <c r="AE651" s="3">
        <v>0.54750670000000001</v>
      </c>
      <c r="AF651" s="3">
        <v>0.56408610000000003</v>
      </c>
      <c r="AG651" s="3">
        <v>0.57971399999999995</v>
      </c>
      <c r="AH651" s="3">
        <v>0.59443970000000002</v>
      </c>
      <c r="AI651" s="3">
        <v>0.60831239999999998</v>
      </c>
      <c r="AJ651" s="3">
        <v>0.62138139999999997</v>
      </c>
      <c r="AK651" s="3">
        <v>0.63369589999999998</v>
      </c>
      <c r="AL651" s="3">
        <v>0.64530509999999996</v>
      </c>
      <c r="AM651" s="3">
        <v>0.65625829999999996</v>
      </c>
      <c r="AN651" s="3">
        <v>0.66660470000000005</v>
      </c>
      <c r="AO651" s="3">
        <v>0.67639159999999998</v>
      </c>
      <c r="AP651" s="3">
        <v>0.6856582</v>
      </c>
      <c r="AQ651" s="3">
        <v>0.69444130000000004</v>
      </c>
      <c r="AR651" s="3">
        <v>0.70277780000000001</v>
      </c>
      <c r="AS651" s="3">
        <v>0.71070449999999996</v>
      </c>
      <c r="AT651" s="3">
        <v>0.71825830000000002</v>
      </c>
      <c r="AU651" s="3">
        <v>0.72547589999999995</v>
      </c>
      <c r="AV651" s="3">
        <v>0.73239430000000005</v>
      </c>
      <c r="AW651" s="3">
        <v>0.73905030000000005</v>
      </c>
      <c r="AX651" s="3">
        <v>0.7454807</v>
      </c>
      <c r="AY651" s="3">
        <v>0.75172240000000001</v>
      </c>
      <c r="AZ651" s="3">
        <v>0.75781229999999999</v>
      </c>
      <c r="BA651" s="3">
        <v>0.76378270000000004</v>
      </c>
      <c r="BB651" s="3">
        <v>0.76964699999999997</v>
      </c>
      <c r="BC651" s="3">
        <v>0.77541320000000002</v>
      </c>
      <c r="BD651" s="3">
        <v>0.78108929999999999</v>
      </c>
      <c r="BE651" s="3">
        <v>0.78668329999999997</v>
      </c>
      <c r="BF651" s="3">
        <v>0.79220299999999999</v>
      </c>
      <c r="BG651" s="3">
        <v>0.79765660000000005</v>
      </c>
      <c r="BH651" s="3">
        <v>0.80305199999999999</v>
      </c>
      <c r="BI651" s="3">
        <v>0.80839720000000004</v>
      </c>
      <c r="BJ651" s="3">
        <v>0.81370010000000004</v>
      </c>
      <c r="BK651" s="3">
        <v>0.81896880000000005</v>
      </c>
      <c r="BL651" s="3">
        <v>0.82421129999999998</v>
      </c>
      <c r="BM651" s="3" t="e">
        <v>#N/A</v>
      </c>
      <c r="BN651" s="3" t="e">
        <v>#N/A</v>
      </c>
    </row>
    <row r="652" spans="1:66" x14ac:dyDescent="0.35">
      <c r="A652" s="5">
        <f t="shared" si="9"/>
        <v>44368</v>
      </c>
      <c r="B652" t="s">
        <v>729</v>
      </c>
      <c r="C652" s="2">
        <v>0.1</v>
      </c>
      <c r="D652" s="2">
        <v>4.9799999999999997E-2</v>
      </c>
      <c r="E652" s="3">
        <v>5.2494600000000002E-2</v>
      </c>
      <c r="F652" s="3">
        <v>5.4016799999999997E-2</v>
      </c>
      <c r="G652" s="3">
        <v>5.6095399999999997E-2</v>
      </c>
      <c r="H652" s="3">
        <v>5.8376200000000003E-2</v>
      </c>
      <c r="I652" s="3">
        <v>6.2080999999999997E-2</v>
      </c>
      <c r="J652" s="3">
        <v>6.8946900000000005E-2</v>
      </c>
      <c r="K652" s="3">
        <v>8.0514100000000005E-2</v>
      </c>
      <c r="L652" s="3">
        <v>9.6957199999999993E-2</v>
      </c>
      <c r="M652" s="3">
        <v>0.1173081</v>
      </c>
      <c r="N652" s="3">
        <v>0.140398</v>
      </c>
      <c r="O652" s="3">
        <v>0.16535269999999999</v>
      </c>
      <c r="P652" s="3">
        <v>0.1914313</v>
      </c>
      <c r="Q652" s="3">
        <v>0.2179189</v>
      </c>
      <c r="R652" s="3">
        <v>0.24452460000000001</v>
      </c>
      <c r="S652" s="3">
        <v>0.2710709</v>
      </c>
      <c r="T652" s="3">
        <v>0.2973807</v>
      </c>
      <c r="U652" s="3">
        <v>0.32327660000000003</v>
      </c>
      <c r="V652" s="3">
        <v>0.34858149999999999</v>
      </c>
      <c r="W652" s="3">
        <v>0.37314429999999998</v>
      </c>
      <c r="X652" s="3">
        <v>0.39692519999999998</v>
      </c>
      <c r="Y652" s="3">
        <v>0.4199135</v>
      </c>
      <c r="Z652" s="3">
        <v>0.44209850000000001</v>
      </c>
      <c r="AA652" s="3">
        <v>0.46346929999999997</v>
      </c>
      <c r="AB652" s="3">
        <v>0.48401519999999998</v>
      </c>
      <c r="AC652" s="3">
        <v>0.50373179999999995</v>
      </c>
      <c r="AD652" s="3">
        <v>0.52263939999999998</v>
      </c>
      <c r="AE652" s="3">
        <v>0.54076449999999998</v>
      </c>
      <c r="AF652" s="3">
        <v>0.55813389999999996</v>
      </c>
      <c r="AG652" s="3">
        <v>0.57477409999999995</v>
      </c>
      <c r="AH652" s="3">
        <v>0.59071169999999995</v>
      </c>
      <c r="AI652" s="3">
        <v>0.6059734</v>
      </c>
      <c r="AJ652" s="3">
        <v>0.62058559999999996</v>
      </c>
      <c r="AK652" s="3">
        <v>0.63457520000000001</v>
      </c>
      <c r="AL652" s="3">
        <v>0.64796849999999995</v>
      </c>
      <c r="AM652" s="3">
        <v>0.6607923</v>
      </c>
      <c r="AN652" s="3">
        <v>0.67307320000000004</v>
      </c>
      <c r="AO652" s="3">
        <v>0.68483740000000004</v>
      </c>
      <c r="AP652" s="3">
        <v>0.69611040000000002</v>
      </c>
      <c r="AQ652" s="3">
        <v>0.70691709999999996</v>
      </c>
      <c r="AR652" s="3">
        <v>0.71728250000000005</v>
      </c>
      <c r="AS652" s="3">
        <v>0.72723159999999998</v>
      </c>
      <c r="AT652" s="3">
        <v>0.73678929999999998</v>
      </c>
      <c r="AU652" s="3">
        <v>0.7459808</v>
      </c>
      <c r="AV652" s="3">
        <v>0.75483100000000003</v>
      </c>
      <c r="AW652" s="3">
        <v>0.76336490000000001</v>
      </c>
      <c r="AX652" s="3">
        <v>0.77160740000000005</v>
      </c>
      <c r="AY652" s="3">
        <v>0.77958369999999999</v>
      </c>
      <c r="AZ652" s="3">
        <v>0.78731859999999998</v>
      </c>
      <c r="BA652" s="3">
        <v>0.79483530000000002</v>
      </c>
      <c r="BB652" s="3">
        <v>0.80214719999999995</v>
      </c>
      <c r="BC652" s="3">
        <v>0.80926390000000004</v>
      </c>
      <c r="BD652" s="3">
        <v>0.81619549999999996</v>
      </c>
      <c r="BE652" s="3">
        <v>0.82295169999999995</v>
      </c>
      <c r="BF652" s="3">
        <v>0.82954260000000002</v>
      </c>
      <c r="BG652" s="3">
        <v>0.83597779999999999</v>
      </c>
      <c r="BH652" s="3">
        <v>0.84226749999999995</v>
      </c>
      <c r="BI652" s="3">
        <v>0.84842130000000004</v>
      </c>
      <c r="BJ652" s="3">
        <v>0.85444929999999997</v>
      </c>
      <c r="BK652" s="3">
        <v>0.86036120000000005</v>
      </c>
      <c r="BL652" s="3">
        <v>0.86616700000000002</v>
      </c>
      <c r="BM652" s="3" t="e">
        <v>#N/A</v>
      </c>
      <c r="BN652" s="3" t="e">
        <v>#N/A</v>
      </c>
    </row>
    <row r="653" spans="1:66" x14ac:dyDescent="0.35">
      <c r="A653" s="5">
        <f t="shared" si="9"/>
        <v>44369</v>
      </c>
      <c r="B653" t="s">
        <v>730</v>
      </c>
      <c r="C653" s="2">
        <v>0.1</v>
      </c>
      <c r="D653" s="2">
        <v>5.0200000000000002E-2</v>
      </c>
      <c r="E653" s="3">
        <v>5.2694900000000003E-2</v>
      </c>
      <c r="F653" s="3">
        <v>5.5489299999999998E-2</v>
      </c>
      <c r="G653" s="3">
        <v>5.8411999999999999E-2</v>
      </c>
      <c r="H653" s="3">
        <v>5.9562700000000003E-2</v>
      </c>
      <c r="I653" s="3">
        <v>6.1464999999999999E-2</v>
      </c>
      <c r="J653" s="3">
        <v>6.7389900000000003E-2</v>
      </c>
      <c r="K653" s="3">
        <v>7.9031299999999999E-2</v>
      </c>
      <c r="L653" s="3">
        <v>9.5979999999999996E-2</v>
      </c>
      <c r="M653" s="3">
        <v>0.1166629</v>
      </c>
      <c r="N653" s="3">
        <v>0.1396432</v>
      </c>
      <c r="O653" s="3">
        <v>0.16412850000000001</v>
      </c>
      <c r="P653" s="3">
        <v>0.1894931</v>
      </c>
      <c r="Q653" s="3">
        <v>0.21523390000000001</v>
      </c>
      <c r="R653" s="3">
        <v>0.24113509999999999</v>
      </c>
      <c r="S653" s="3">
        <v>0.2670496</v>
      </c>
      <c r="T653" s="3">
        <v>0.29283029999999999</v>
      </c>
      <c r="U653" s="3">
        <v>0.31833030000000001</v>
      </c>
      <c r="V653" s="3">
        <v>0.3434025</v>
      </c>
      <c r="W653" s="3">
        <v>0.36791469999999998</v>
      </c>
      <c r="X653" s="3">
        <v>0.39179740000000002</v>
      </c>
      <c r="Y653" s="3">
        <v>0.41499730000000001</v>
      </c>
      <c r="Z653" s="3">
        <v>0.4374613</v>
      </c>
      <c r="AA653" s="3">
        <v>0.45913609999999999</v>
      </c>
      <c r="AB653" s="3">
        <v>0.47996860000000002</v>
      </c>
      <c r="AC653" s="3">
        <v>0.49992019999999998</v>
      </c>
      <c r="AD653" s="3">
        <v>0.51901090000000005</v>
      </c>
      <c r="AE653" s="3">
        <v>0.53727510000000001</v>
      </c>
      <c r="AF653" s="3">
        <v>0.55474749999999995</v>
      </c>
      <c r="AG653" s="3">
        <v>0.57146249999999998</v>
      </c>
      <c r="AH653" s="3">
        <v>0.5874547</v>
      </c>
      <c r="AI653" s="3">
        <v>0.60275860000000003</v>
      </c>
      <c r="AJ653" s="3">
        <v>0.61740879999999998</v>
      </c>
      <c r="AK653" s="3">
        <v>0.6314398</v>
      </c>
      <c r="AL653" s="3">
        <v>0.64488610000000002</v>
      </c>
      <c r="AM653" s="3">
        <v>0.65778219999999998</v>
      </c>
      <c r="AN653" s="3">
        <v>0.67016279999999995</v>
      </c>
      <c r="AO653" s="3">
        <v>0.68206129999999998</v>
      </c>
      <c r="AP653" s="3">
        <v>0.69350520000000004</v>
      </c>
      <c r="AQ653" s="3">
        <v>0.70452029999999999</v>
      </c>
      <c r="AR653" s="3">
        <v>0.71513230000000005</v>
      </c>
      <c r="AS653" s="3">
        <v>0.72536679999999998</v>
      </c>
      <c r="AT653" s="3">
        <v>0.73524959999999995</v>
      </c>
      <c r="AU653" s="3">
        <v>0.74480619999999997</v>
      </c>
      <c r="AV653" s="3">
        <v>0.75406240000000002</v>
      </c>
      <c r="AW653" s="3">
        <v>0.7630439</v>
      </c>
      <c r="AX653" s="3">
        <v>0.77177629999999997</v>
      </c>
      <c r="AY653" s="3">
        <v>0.78028540000000002</v>
      </c>
      <c r="AZ653" s="3">
        <v>0.78859670000000004</v>
      </c>
      <c r="BA653" s="3">
        <v>0.79673340000000004</v>
      </c>
      <c r="BB653" s="3">
        <v>0.80470580000000003</v>
      </c>
      <c r="BC653" s="3">
        <v>0.81252049999999998</v>
      </c>
      <c r="BD653" s="3">
        <v>0.82018380000000002</v>
      </c>
      <c r="BE653" s="3">
        <v>0.82770220000000005</v>
      </c>
      <c r="BF653" s="3">
        <v>0.8350824</v>
      </c>
      <c r="BG653" s="3">
        <v>0.84233060000000004</v>
      </c>
      <c r="BH653" s="3">
        <v>0.84945349999999997</v>
      </c>
      <c r="BI653" s="3">
        <v>0.85645740000000004</v>
      </c>
      <c r="BJ653" s="3">
        <v>0.86334900000000003</v>
      </c>
      <c r="BK653" s="3">
        <v>0.87013450000000003</v>
      </c>
      <c r="BL653" s="3">
        <v>0.87682070000000001</v>
      </c>
      <c r="BM653" s="3" t="e">
        <v>#N/A</v>
      </c>
      <c r="BN653" s="3" t="e">
        <v>#N/A</v>
      </c>
    </row>
    <row r="654" spans="1:66" x14ac:dyDescent="0.35">
      <c r="A654" s="5">
        <f t="shared" ref="A654:A717" si="10">+A649+7</f>
        <v>44370</v>
      </c>
      <c r="B654" t="s">
        <v>731</v>
      </c>
      <c r="C654" s="2">
        <v>0.1</v>
      </c>
      <c r="D654" s="2">
        <v>0.05</v>
      </c>
      <c r="E654" s="3">
        <v>5.25785E-2</v>
      </c>
      <c r="F654" s="3">
        <v>5.48014E-2</v>
      </c>
      <c r="G654" s="3">
        <v>5.64027E-2</v>
      </c>
      <c r="H654" s="3">
        <v>5.8021099999999999E-2</v>
      </c>
      <c r="I654" s="3">
        <v>6.1569499999999999E-2</v>
      </c>
      <c r="J654" s="3">
        <v>6.8849400000000005E-2</v>
      </c>
      <c r="K654" s="3">
        <v>8.0899499999999999E-2</v>
      </c>
      <c r="L654" s="3">
        <v>9.7395499999999996E-2</v>
      </c>
      <c r="M654" s="3">
        <v>0.1175166</v>
      </c>
      <c r="N654" s="3">
        <v>0.14034579999999999</v>
      </c>
      <c r="O654" s="3">
        <v>0.16504530000000001</v>
      </c>
      <c r="P654" s="3">
        <v>0.1908755</v>
      </c>
      <c r="Q654" s="3">
        <v>0.2169729</v>
      </c>
      <c r="R654" s="3">
        <v>0.24304210000000001</v>
      </c>
      <c r="S654" s="3">
        <v>0.26894950000000001</v>
      </c>
      <c r="T654" s="3">
        <v>0.29456179999999998</v>
      </c>
      <c r="U654" s="3">
        <v>0.31974530000000001</v>
      </c>
      <c r="V654" s="3">
        <v>0.34436670000000003</v>
      </c>
      <c r="W654" s="3">
        <v>0.36830889999999999</v>
      </c>
      <c r="X654" s="3">
        <v>0.39152389999999998</v>
      </c>
      <c r="Y654" s="3">
        <v>0.41398210000000002</v>
      </c>
      <c r="Z654" s="3">
        <v>0.43565359999999997</v>
      </c>
      <c r="AA654" s="3">
        <v>0.45650859999999999</v>
      </c>
      <c r="AB654" s="3">
        <v>0.47651749999999998</v>
      </c>
      <c r="AC654" s="3">
        <v>0.49566149999999998</v>
      </c>
      <c r="AD654" s="3">
        <v>0.5139669</v>
      </c>
      <c r="AE654" s="3">
        <v>0.53147089999999997</v>
      </c>
      <c r="AF654" s="3">
        <v>0.5482108</v>
      </c>
      <c r="AG654" s="3">
        <v>0.5642239</v>
      </c>
      <c r="AH654" s="3">
        <v>0.57954749999999999</v>
      </c>
      <c r="AI654" s="3">
        <v>0.59421900000000005</v>
      </c>
      <c r="AJ654" s="3">
        <v>0.60827549999999997</v>
      </c>
      <c r="AK654" s="3">
        <v>0.62175449999999999</v>
      </c>
      <c r="AL654" s="3">
        <v>0.63469319999999996</v>
      </c>
      <c r="AM654" s="3">
        <v>0.64712890000000001</v>
      </c>
      <c r="AN654" s="3">
        <v>0.65909879999999998</v>
      </c>
      <c r="AO654" s="3">
        <v>0.67063890000000004</v>
      </c>
      <c r="AP654" s="3">
        <v>0.68177719999999997</v>
      </c>
      <c r="AQ654" s="3">
        <v>0.69253969999999998</v>
      </c>
      <c r="AR654" s="3">
        <v>0.70295240000000003</v>
      </c>
      <c r="AS654" s="3">
        <v>0.71304109999999998</v>
      </c>
      <c r="AT654" s="3">
        <v>0.72283180000000002</v>
      </c>
      <c r="AU654" s="3">
        <v>0.73235050000000002</v>
      </c>
      <c r="AV654" s="3">
        <v>0.74162300000000003</v>
      </c>
      <c r="AW654" s="3">
        <v>0.75067530000000005</v>
      </c>
      <c r="AX654" s="3">
        <v>0.75953329999999997</v>
      </c>
      <c r="AY654" s="3">
        <v>0.76822290000000004</v>
      </c>
      <c r="AZ654" s="3">
        <v>0.77677010000000002</v>
      </c>
      <c r="BA654" s="3">
        <v>0.78519740000000005</v>
      </c>
      <c r="BB654" s="3">
        <v>0.79351179999999999</v>
      </c>
      <c r="BC654" s="3">
        <v>0.80171630000000005</v>
      </c>
      <c r="BD654" s="3">
        <v>0.80981369999999997</v>
      </c>
      <c r="BE654" s="3">
        <v>0.81780710000000001</v>
      </c>
      <c r="BF654" s="3">
        <v>0.82569930000000002</v>
      </c>
      <c r="BG654" s="3">
        <v>0.83349320000000005</v>
      </c>
      <c r="BH654" s="3">
        <v>0.84119169999999999</v>
      </c>
      <c r="BI654" s="3">
        <v>0.84879769999999999</v>
      </c>
      <c r="BJ654" s="3">
        <v>0.85631420000000003</v>
      </c>
      <c r="BK654" s="3">
        <v>0.86374410000000001</v>
      </c>
      <c r="BL654" s="3">
        <v>0.87109020000000004</v>
      </c>
      <c r="BM654" s="3" t="e">
        <v>#N/A</v>
      </c>
      <c r="BN654" s="3" t="e">
        <v>#N/A</v>
      </c>
    </row>
    <row r="655" spans="1:66" x14ac:dyDescent="0.35">
      <c r="A655" s="5">
        <f t="shared" si="10"/>
        <v>44371</v>
      </c>
      <c r="B655" t="s">
        <v>732</v>
      </c>
      <c r="C655" s="2">
        <v>0.1</v>
      </c>
      <c r="D655" s="2">
        <v>0.05</v>
      </c>
      <c r="E655" s="3">
        <v>5.1531599999999997E-2</v>
      </c>
      <c r="F655" s="3">
        <v>5.3025299999999997E-2</v>
      </c>
      <c r="G655" s="3">
        <v>5.4200600000000002E-2</v>
      </c>
      <c r="H655" s="3">
        <v>5.5676700000000003E-2</v>
      </c>
      <c r="I655" s="3">
        <v>5.8770500000000003E-2</v>
      </c>
      <c r="J655" s="3">
        <v>6.4693299999999995E-2</v>
      </c>
      <c r="K655" s="3">
        <v>7.4267600000000003E-2</v>
      </c>
      <c r="L655" s="3">
        <v>8.7493899999999999E-2</v>
      </c>
      <c r="M655" s="3">
        <v>0.1040224</v>
      </c>
      <c r="N655" s="3">
        <v>0.1233192</v>
      </c>
      <c r="O655" s="3">
        <v>0.1448295</v>
      </c>
      <c r="P655" s="3">
        <v>0.16795450000000001</v>
      </c>
      <c r="Q655" s="3">
        <v>0.19193360000000001</v>
      </c>
      <c r="R655" s="3">
        <v>0.21642690000000001</v>
      </c>
      <c r="S655" s="3">
        <v>0.24121699999999999</v>
      </c>
      <c r="T655" s="3">
        <v>0.26608660000000001</v>
      </c>
      <c r="U655" s="3">
        <v>0.29081849999999998</v>
      </c>
      <c r="V655" s="3">
        <v>0.31519510000000001</v>
      </c>
      <c r="W655" s="3">
        <v>0.33901629999999999</v>
      </c>
      <c r="X655" s="3">
        <v>0.36218830000000002</v>
      </c>
      <c r="Y655" s="3">
        <v>0.38465890000000003</v>
      </c>
      <c r="Z655" s="3">
        <v>0.40637570000000001</v>
      </c>
      <c r="AA655" s="3">
        <v>0.42728650000000001</v>
      </c>
      <c r="AB655" s="3">
        <v>0.44733909999999999</v>
      </c>
      <c r="AC655" s="3">
        <v>0.46649380000000001</v>
      </c>
      <c r="AD655" s="3">
        <v>0.4847725</v>
      </c>
      <c r="AE655" s="3">
        <v>0.50221629999999995</v>
      </c>
      <c r="AF655" s="3">
        <v>0.51886569999999999</v>
      </c>
      <c r="AG655" s="3">
        <v>0.53476159999999995</v>
      </c>
      <c r="AH655" s="3">
        <v>0.54994469999999995</v>
      </c>
      <c r="AI655" s="3">
        <v>0.56445590000000001</v>
      </c>
      <c r="AJ655" s="3">
        <v>0.57833599999999996</v>
      </c>
      <c r="AK655" s="3">
        <v>0.59162559999999997</v>
      </c>
      <c r="AL655" s="3">
        <v>0.60436570000000001</v>
      </c>
      <c r="AM655" s="3">
        <v>0.6165969</v>
      </c>
      <c r="AN655" s="3">
        <v>0.62836009999999998</v>
      </c>
      <c r="AO655" s="3">
        <v>0.63969359999999997</v>
      </c>
      <c r="AP655" s="3">
        <v>0.65062450000000005</v>
      </c>
      <c r="AQ655" s="3">
        <v>0.66117680000000001</v>
      </c>
      <c r="AR655" s="3">
        <v>0.6713749</v>
      </c>
      <c r="AS655" s="3">
        <v>0.68124260000000003</v>
      </c>
      <c r="AT655" s="3">
        <v>0.69080419999999998</v>
      </c>
      <c r="AU655" s="3">
        <v>0.70008369999999998</v>
      </c>
      <c r="AV655" s="3">
        <v>0.70910530000000005</v>
      </c>
      <c r="AW655" s="3">
        <v>0.717893</v>
      </c>
      <c r="AX655" s="3">
        <v>0.72647099999999998</v>
      </c>
      <c r="AY655" s="3">
        <v>0.73486340000000006</v>
      </c>
      <c r="AZ655" s="3">
        <v>0.74309429999999999</v>
      </c>
      <c r="BA655" s="3">
        <v>0.75118470000000004</v>
      </c>
      <c r="BB655" s="3">
        <v>0.7591426</v>
      </c>
      <c r="BC655" s="3">
        <v>0.76697210000000005</v>
      </c>
      <c r="BD655" s="3">
        <v>0.77467730000000001</v>
      </c>
      <c r="BE655" s="3">
        <v>0.78226240000000002</v>
      </c>
      <c r="BF655" s="3">
        <v>0.78973170000000004</v>
      </c>
      <c r="BG655" s="3">
        <v>0.7970893</v>
      </c>
      <c r="BH655" s="3">
        <v>0.80433929999999998</v>
      </c>
      <c r="BI655" s="3">
        <v>0.81148600000000004</v>
      </c>
      <c r="BJ655" s="3">
        <v>0.81853339999999997</v>
      </c>
      <c r="BK655" s="3">
        <v>0.82548589999999999</v>
      </c>
      <c r="BL655" s="3">
        <v>0.83234750000000002</v>
      </c>
      <c r="BM655" s="3" t="e">
        <v>#N/A</v>
      </c>
      <c r="BN655" s="3" t="e">
        <v>#N/A</v>
      </c>
    </row>
    <row r="656" spans="1:66" x14ac:dyDescent="0.35">
      <c r="A656" s="5">
        <f t="shared" si="10"/>
        <v>44372</v>
      </c>
      <c r="B656" t="s">
        <v>733</v>
      </c>
      <c r="C656" s="2">
        <v>0.1</v>
      </c>
      <c r="D656" s="2">
        <v>5.0200000000000002E-2</v>
      </c>
      <c r="E656" s="3">
        <v>5.3441700000000002E-2</v>
      </c>
      <c r="F656" s="3">
        <v>5.7899800000000001E-2</v>
      </c>
      <c r="G656" s="3">
        <v>5.9889299999999999E-2</v>
      </c>
      <c r="H656" s="3">
        <v>5.8642100000000003E-2</v>
      </c>
      <c r="I656" s="3">
        <v>5.7040500000000001E-2</v>
      </c>
      <c r="J656" s="3">
        <v>5.99289E-2</v>
      </c>
      <c r="K656" s="3">
        <v>7.0154999999999995E-2</v>
      </c>
      <c r="L656" s="3">
        <v>8.7487499999999996E-2</v>
      </c>
      <c r="M656" s="3">
        <v>0.1087596</v>
      </c>
      <c r="N656" s="3">
        <v>0.1316504</v>
      </c>
      <c r="O656" s="3">
        <v>0.15549640000000001</v>
      </c>
      <c r="P656" s="3">
        <v>0.18017639999999999</v>
      </c>
      <c r="Q656" s="3">
        <v>0.20572470000000001</v>
      </c>
      <c r="R656" s="3">
        <v>0.2319406</v>
      </c>
      <c r="S656" s="3">
        <v>0.25853999999999999</v>
      </c>
      <c r="T656" s="3">
        <v>0.28523910000000002</v>
      </c>
      <c r="U656" s="3">
        <v>0.31175389999999997</v>
      </c>
      <c r="V656" s="3">
        <v>0.33780060000000001</v>
      </c>
      <c r="W656" s="3">
        <v>0.36312270000000002</v>
      </c>
      <c r="X656" s="3">
        <v>0.38762020000000003</v>
      </c>
      <c r="Y656" s="3">
        <v>0.41124830000000001</v>
      </c>
      <c r="Z656" s="3">
        <v>0.43396180000000001</v>
      </c>
      <c r="AA656" s="3">
        <v>0.4557158</v>
      </c>
      <c r="AB656" s="3">
        <v>0.47646529999999998</v>
      </c>
      <c r="AC656" s="3">
        <v>0.49618050000000002</v>
      </c>
      <c r="AD656" s="3">
        <v>0.51489759999999996</v>
      </c>
      <c r="AE656" s="3">
        <v>0.53267120000000001</v>
      </c>
      <c r="AF656" s="3">
        <v>0.54955609999999999</v>
      </c>
      <c r="AG656" s="3">
        <v>0.56560679999999997</v>
      </c>
      <c r="AH656" s="3">
        <v>0.58087800000000001</v>
      </c>
      <c r="AI656" s="3">
        <v>0.59542439999999996</v>
      </c>
      <c r="AJ656" s="3">
        <v>0.60930050000000002</v>
      </c>
      <c r="AK656" s="3">
        <v>0.62256100000000003</v>
      </c>
      <c r="AL656" s="3">
        <v>0.63526050000000001</v>
      </c>
      <c r="AM656" s="3">
        <v>0.64745370000000002</v>
      </c>
      <c r="AN656" s="3">
        <v>0.65919519999999998</v>
      </c>
      <c r="AO656" s="3">
        <v>0.67053479999999999</v>
      </c>
      <c r="AP656" s="3">
        <v>0.68150010000000005</v>
      </c>
      <c r="AQ656" s="3">
        <v>0.69211319999999998</v>
      </c>
      <c r="AR656" s="3">
        <v>0.70239569999999996</v>
      </c>
      <c r="AS656" s="3">
        <v>0.71236949999999999</v>
      </c>
      <c r="AT656" s="3">
        <v>0.72205640000000004</v>
      </c>
      <c r="AU656" s="3">
        <v>0.73147819999999997</v>
      </c>
      <c r="AV656" s="3">
        <v>0.74065669999999995</v>
      </c>
      <c r="AW656" s="3">
        <v>0.7496138</v>
      </c>
      <c r="AX656" s="3">
        <v>0.75837129999999997</v>
      </c>
      <c r="AY656" s="3">
        <v>0.76695089999999999</v>
      </c>
      <c r="AZ656" s="3">
        <v>0.77537449999999997</v>
      </c>
      <c r="BA656" s="3">
        <v>0.78366130000000001</v>
      </c>
      <c r="BB656" s="3">
        <v>0.7918191</v>
      </c>
      <c r="BC656" s="3">
        <v>0.79985249999999997</v>
      </c>
      <c r="BD656" s="3">
        <v>0.80776610000000004</v>
      </c>
      <c r="BE656" s="3">
        <v>0.81556450000000003</v>
      </c>
      <c r="BF656" s="3">
        <v>0.8232524</v>
      </c>
      <c r="BG656" s="3">
        <v>0.83083430000000003</v>
      </c>
      <c r="BH656" s="3">
        <v>0.83831489999999997</v>
      </c>
      <c r="BI656" s="3">
        <v>0.84569870000000003</v>
      </c>
      <c r="BJ656" s="3">
        <v>0.85299049999999998</v>
      </c>
      <c r="BK656" s="3">
        <v>0.86019480000000004</v>
      </c>
      <c r="BL656" s="3">
        <v>0.86731619999999998</v>
      </c>
      <c r="BM656" s="3" t="e">
        <v>#N/A</v>
      </c>
      <c r="BN656" s="3" t="e">
        <v>#N/A</v>
      </c>
    </row>
    <row r="657" spans="1:66" x14ac:dyDescent="0.35">
      <c r="A657" s="5">
        <f t="shared" si="10"/>
        <v>44375</v>
      </c>
      <c r="B657" t="s">
        <v>734</v>
      </c>
      <c r="C657" s="2">
        <v>0.1</v>
      </c>
      <c r="D657" s="2">
        <v>4.9500000000000002E-2</v>
      </c>
      <c r="E657" s="3">
        <v>4.96855E-2</v>
      </c>
      <c r="F657" s="3">
        <v>5.46776E-2</v>
      </c>
      <c r="G657" s="3">
        <v>5.8243099999999999E-2</v>
      </c>
      <c r="H657" s="3">
        <v>6.02228E-2</v>
      </c>
      <c r="I657" s="3">
        <v>6.2966599999999998E-2</v>
      </c>
      <c r="J657" s="3">
        <v>6.8568500000000004E-2</v>
      </c>
      <c r="K657" s="3">
        <v>7.8135099999999999E-2</v>
      </c>
      <c r="L657" s="3">
        <v>9.1755000000000003E-2</v>
      </c>
      <c r="M657" s="3">
        <v>0.10895009999999999</v>
      </c>
      <c r="N657" s="3">
        <v>0.1289565</v>
      </c>
      <c r="O657" s="3">
        <v>0.15103630000000001</v>
      </c>
      <c r="P657" s="3">
        <v>0.17444409999999999</v>
      </c>
      <c r="Q657" s="3">
        <v>0.19851440000000001</v>
      </c>
      <c r="R657" s="3">
        <v>0.2229458</v>
      </c>
      <c r="S657" s="3">
        <v>0.24752779999999999</v>
      </c>
      <c r="T657" s="3">
        <v>0.27205010000000002</v>
      </c>
      <c r="U657" s="3">
        <v>0.29630240000000002</v>
      </c>
      <c r="V657" s="3">
        <v>0.32007439999999998</v>
      </c>
      <c r="W657" s="3">
        <v>0.34318609999999999</v>
      </c>
      <c r="X657" s="3">
        <v>0.36558420000000003</v>
      </c>
      <c r="Y657" s="3">
        <v>0.38724920000000002</v>
      </c>
      <c r="Z657" s="3">
        <v>0.4081611</v>
      </c>
      <c r="AA657" s="3">
        <v>0.42830040000000003</v>
      </c>
      <c r="AB657" s="3">
        <v>0.44764730000000003</v>
      </c>
      <c r="AC657" s="3">
        <v>0.46619050000000001</v>
      </c>
      <c r="AD657" s="3">
        <v>0.48395300000000002</v>
      </c>
      <c r="AE657" s="3">
        <v>0.50096629999999998</v>
      </c>
      <c r="AF657" s="3">
        <v>0.51726179999999999</v>
      </c>
      <c r="AG657" s="3">
        <v>0.53287090000000004</v>
      </c>
      <c r="AH657" s="3">
        <v>0.54782520000000001</v>
      </c>
      <c r="AI657" s="3">
        <v>0.56215599999999999</v>
      </c>
      <c r="AJ657" s="3">
        <v>0.57589480000000004</v>
      </c>
      <c r="AK657" s="3">
        <v>0.58907319999999996</v>
      </c>
      <c r="AL657" s="3">
        <v>0.60172239999999999</v>
      </c>
      <c r="AM657" s="3">
        <v>0.61387409999999998</v>
      </c>
      <c r="AN657" s="3">
        <v>0.62555950000000005</v>
      </c>
      <c r="AO657" s="3">
        <v>0.63680820000000005</v>
      </c>
      <c r="AP657" s="3">
        <v>0.64764029999999995</v>
      </c>
      <c r="AQ657" s="3">
        <v>0.65807340000000003</v>
      </c>
      <c r="AR657" s="3">
        <v>0.66812510000000003</v>
      </c>
      <c r="AS657" s="3">
        <v>0.677813</v>
      </c>
      <c r="AT657" s="3">
        <v>0.68715490000000001</v>
      </c>
      <c r="AU657" s="3">
        <v>0.69616829999999996</v>
      </c>
      <c r="AV657" s="3">
        <v>0.70487080000000002</v>
      </c>
      <c r="AW657" s="3">
        <v>0.71328000000000003</v>
      </c>
      <c r="AX657" s="3">
        <v>0.72141370000000005</v>
      </c>
      <c r="AY657" s="3">
        <v>0.72928939999999998</v>
      </c>
      <c r="AZ657" s="3">
        <v>0.73692480000000005</v>
      </c>
      <c r="BA657" s="3">
        <v>0.74433649999999996</v>
      </c>
      <c r="BB657" s="3">
        <v>0.75153610000000004</v>
      </c>
      <c r="BC657" s="3">
        <v>0.75853349999999997</v>
      </c>
      <c r="BD657" s="3">
        <v>0.76533859999999998</v>
      </c>
      <c r="BE657" s="3">
        <v>0.77196129999999996</v>
      </c>
      <c r="BF657" s="3">
        <v>0.77841150000000003</v>
      </c>
      <c r="BG657" s="3">
        <v>0.78469900000000004</v>
      </c>
      <c r="BH657" s="3">
        <v>0.79083369999999997</v>
      </c>
      <c r="BI657" s="3">
        <v>0.79682549999999996</v>
      </c>
      <c r="BJ657" s="3">
        <v>0.80268430000000002</v>
      </c>
      <c r="BK657" s="3">
        <v>0.80842000000000003</v>
      </c>
      <c r="BL657" s="3">
        <v>0.8140425</v>
      </c>
      <c r="BM657" s="3" t="e">
        <v>#N/A</v>
      </c>
      <c r="BN657" s="3" t="e">
        <v>#N/A</v>
      </c>
    </row>
    <row r="658" spans="1:66" x14ac:dyDescent="0.35">
      <c r="A658" s="5">
        <f t="shared" si="10"/>
        <v>44376</v>
      </c>
      <c r="B658" t="s">
        <v>735</v>
      </c>
      <c r="C658" s="2">
        <v>0.1</v>
      </c>
      <c r="D658" s="2">
        <v>4.9299999999999997E-2</v>
      </c>
      <c r="E658" s="3">
        <v>4.9643100000000003E-2</v>
      </c>
      <c r="F658" s="3">
        <v>5.4249600000000002E-2</v>
      </c>
      <c r="G658" s="3">
        <v>5.7379699999999999E-2</v>
      </c>
      <c r="H658" s="3">
        <v>5.8861200000000002E-2</v>
      </c>
      <c r="I658" s="3">
        <v>6.0916999999999999E-2</v>
      </c>
      <c r="J658" s="3">
        <v>6.5902299999999997E-2</v>
      </c>
      <c r="K658" s="3">
        <v>7.5474200000000005E-2</v>
      </c>
      <c r="L658" s="3">
        <v>8.9671000000000001E-2</v>
      </c>
      <c r="M658" s="3">
        <v>0.10773430000000001</v>
      </c>
      <c r="N658" s="3">
        <v>0.12855459999999999</v>
      </c>
      <c r="O658" s="3">
        <v>0.15118300000000001</v>
      </c>
      <c r="P658" s="3">
        <v>0.1748026</v>
      </c>
      <c r="Q658" s="3">
        <v>0.1986706</v>
      </c>
      <c r="R658" s="3">
        <v>0.22252749999999999</v>
      </c>
      <c r="S658" s="3">
        <v>0.24623980000000001</v>
      </c>
      <c r="T658" s="3">
        <v>0.26967410000000003</v>
      </c>
      <c r="U658" s="3">
        <v>0.29269699999999998</v>
      </c>
      <c r="V658" s="3">
        <v>0.31517509999999999</v>
      </c>
      <c r="W658" s="3">
        <v>0.3369991</v>
      </c>
      <c r="X658" s="3">
        <v>0.35816110000000001</v>
      </c>
      <c r="Y658" s="3">
        <v>0.37867970000000001</v>
      </c>
      <c r="Z658" s="3">
        <v>0.39857340000000002</v>
      </c>
      <c r="AA658" s="3">
        <v>0.41786099999999998</v>
      </c>
      <c r="AB658" s="3">
        <v>0.43656109999999998</v>
      </c>
      <c r="AC658" s="3">
        <v>0.4546906</v>
      </c>
      <c r="AD658" s="3">
        <v>0.47226010000000002</v>
      </c>
      <c r="AE658" s="3">
        <v>0.48927850000000001</v>
      </c>
      <c r="AF658" s="3">
        <v>0.5057545</v>
      </c>
      <c r="AG658" s="3">
        <v>0.52169719999999997</v>
      </c>
      <c r="AH658" s="3">
        <v>0.53711540000000002</v>
      </c>
      <c r="AI658" s="3">
        <v>0.55201789999999995</v>
      </c>
      <c r="AJ658" s="3">
        <v>0.56641359999999996</v>
      </c>
      <c r="AK658" s="3">
        <v>0.58031149999999998</v>
      </c>
      <c r="AL658" s="3">
        <v>0.59372029999999998</v>
      </c>
      <c r="AM658" s="3">
        <v>0.60664890000000005</v>
      </c>
      <c r="AN658" s="3">
        <v>0.6191063</v>
      </c>
      <c r="AO658" s="3">
        <v>0.63110279999999996</v>
      </c>
      <c r="AP658" s="3">
        <v>0.64265740000000005</v>
      </c>
      <c r="AQ658" s="3">
        <v>0.65379149999999997</v>
      </c>
      <c r="AR658" s="3">
        <v>0.66452690000000003</v>
      </c>
      <c r="AS658" s="3">
        <v>0.67488519999999996</v>
      </c>
      <c r="AT658" s="3">
        <v>0.68488800000000005</v>
      </c>
      <c r="AU658" s="3">
        <v>0.69455710000000004</v>
      </c>
      <c r="AV658" s="3">
        <v>0.70391400000000004</v>
      </c>
      <c r="AW658" s="3">
        <v>0.71298030000000001</v>
      </c>
      <c r="AX658" s="3">
        <v>0.72177780000000002</v>
      </c>
      <c r="AY658" s="3">
        <v>0.73032799999999998</v>
      </c>
      <c r="AZ658" s="3">
        <v>0.73865259999999999</v>
      </c>
      <c r="BA658" s="3">
        <v>0.74677170000000004</v>
      </c>
      <c r="BB658" s="3">
        <v>0.75469819999999999</v>
      </c>
      <c r="BC658" s="3">
        <v>0.76244259999999997</v>
      </c>
      <c r="BD658" s="3">
        <v>0.77001529999999996</v>
      </c>
      <c r="BE658" s="3">
        <v>0.77742710000000004</v>
      </c>
      <c r="BF658" s="3">
        <v>0.78468830000000001</v>
      </c>
      <c r="BG658" s="3">
        <v>0.79180969999999995</v>
      </c>
      <c r="BH658" s="3">
        <v>0.79880169999999995</v>
      </c>
      <c r="BI658" s="3">
        <v>0.80567489999999997</v>
      </c>
      <c r="BJ658" s="3">
        <v>0.81243980000000005</v>
      </c>
      <c r="BK658" s="3">
        <v>0.81910700000000003</v>
      </c>
      <c r="BL658" s="3">
        <v>0.82568710000000001</v>
      </c>
      <c r="BM658" s="3" t="e">
        <v>#N/A</v>
      </c>
      <c r="BN658" s="3" t="e">
        <v>#N/A</v>
      </c>
    </row>
    <row r="659" spans="1:66" x14ac:dyDescent="0.35">
      <c r="A659" s="5">
        <f t="shared" si="10"/>
        <v>44377</v>
      </c>
      <c r="B659" t="s">
        <v>736</v>
      </c>
      <c r="C659" s="2">
        <v>0.1</v>
      </c>
      <c r="D659" s="2">
        <v>4.6600000000000003E-2</v>
      </c>
      <c r="E659" s="3">
        <v>4.9547599999999997E-2</v>
      </c>
      <c r="F659" s="3">
        <v>5.3908900000000003E-2</v>
      </c>
      <c r="G659" s="3">
        <v>5.7752900000000003E-2</v>
      </c>
      <c r="H659" s="3">
        <v>6.0025299999999997E-2</v>
      </c>
      <c r="I659" s="3">
        <v>6.1831200000000003E-2</v>
      </c>
      <c r="J659" s="3">
        <v>6.5906999999999993E-2</v>
      </c>
      <c r="K659" s="3">
        <v>7.4359300000000003E-2</v>
      </c>
      <c r="L659" s="3">
        <v>8.7297100000000002E-2</v>
      </c>
      <c r="M659" s="3">
        <v>0.1039122</v>
      </c>
      <c r="N659" s="3">
        <v>0.1232969</v>
      </c>
      <c r="O659" s="3">
        <v>0.14456910000000001</v>
      </c>
      <c r="P659" s="3">
        <v>0.16706399999999999</v>
      </c>
      <c r="Q659" s="3">
        <v>0.1903002</v>
      </c>
      <c r="R659" s="3">
        <v>0.2139925</v>
      </c>
      <c r="S659" s="3">
        <v>0.2379001</v>
      </c>
      <c r="T659" s="3">
        <v>0.26178240000000003</v>
      </c>
      <c r="U659" s="3">
        <v>0.28539890000000001</v>
      </c>
      <c r="V659" s="3">
        <v>0.30850870000000002</v>
      </c>
      <c r="W659" s="3">
        <v>0.33089629999999998</v>
      </c>
      <c r="X659" s="3">
        <v>0.35250340000000002</v>
      </c>
      <c r="Y659" s="3">
        <v>0.37333260000000001</v>
      </c>
      <c r="Z659" s="3">
        <v>0.39338649999999997</v>
      </c>
      <c r="AA659" s="3">
        <v>0.41266779999999997</v>
      </c>
      <c r="AB659" s="3">
        <v>0.43117909999999998</v>
      </c>
      <c r="AC659" s="3">
        <v>0.4489281</v>
      </c>
      <c r="AD659" s="3">
        <v>0.46594289999999999</v>
      </c>
      <c r="AE659" s="3">
        <v>0.48225639999999997</v>
      </c>
      <c r="AF659" s="3">
        <v>0.4979016</v>
      </c>
      <c r="AG659" s="3">
        <v>0.51291149999999996</v>
      </c>
      <c r="AH659" s="3">
        <v>0.52731930000000005</v>
      </c>
      <c r="AI659" s="3">
        <v>0.54115769999999996</v>
      </c>
      <c r="AJ659" s="3">
        <v>0.55445999999999995</v>
      </c>
      <c r="AK659" s="3">
        <v>0.56725899999999996</v>
      </c>
      <c r="AL659" s="3">
        <v>0.57958790000000004</v>
      </c>
      <c r="AM659" s="3">
        <v>0.59147950000000005</v>
      </c>
      <c r="AN659" s="3">
        <v>0.60296700000000003</v>
      </c>
      <c r="AO659" s="3">
        <v>0.61408090000000004</v>
      </c>
      <c r="AP659" s="3">
        <v>0.62483999999999995</v>
      </c>
      <c r="AQ659" s="3">
        <v>0.63525929999999997</v>
      </c>
      <c r="AR659" s="3">
        <v>0.64535399999999998</v>
      </c>
      <c r="AS659" s="3">
        <v>0.65513920000000003</v>
      </c>
      <c r="AT659" s="3">
        <v>0.66463000000000005</v>
      </c>
      <c r="AU659" s="3">
        <v>0.67384149999999998</v>
      </c>
      <c r="AV659" s="3">
        <v>0.68278899999999998</v>
      </c>
      <c r="AW659" s="3">
        <v>0.69148739999999997</v>
      </c>
      <c r="AX659" s="3">
        <v>0.69995200000000002</v>
      </c>
      <c r="AY659" s="3">
        <v>0.70819779999999999</v>
      </c>
      <c r="AZ659" s="3">
        <v>0.71623990000000004</v>
      </c>
      <c r="BA659" s="3">
        <v>0.72409259999999998</v>
      </c>
      <c r="BB659" s="3">
        <v>0.73176560000000002</v>
      </c>
      <c r="BC659" s="3">
        <v>0.73926769999999997</v>
      </c>
      <c r="BD659" s="3">
        <v>0.74660749999999998</v>
      </c>
      <c r="BE659" s="3">
        <v>0.75379370000000001</v>
      </c>
      <c r="BF659" s="3">
        <v>0.76083500000000004</v>
      </c>
      <c r="BG659" s="3">
        <v>0.76773999999999998</v>
      </c>
      <c r="BH659" s="3">
        <v>0.77451749999999997</v>
      </c>
      <c r="BI659" s="3">
        <v>0.78117599999999998</v>
      </c>
      <c r="BJ659" s="3">
        <v>0.78772430000000004</v>
      </c>
      <c r="BK659" s="3">
        <v>0.79417099999999996</v>
      </c>
      <c r="BL659" s="3">
        <v>0.80052489999999998</v>
      </c>
      <c r="BM659" s="3" t="e">
        <v>#N/A</v>
      </c>
      <c r="BN659" s="3" t="e">
        <v>#N/A</v>
      </c>
    </row>
    <row r="660" spans="1:66" x14ac:dyDescent="0.35">
      <c r="A660" s="5">
        <f t="shared" si="10"/>
        <v>44378</v>
      </c>
      <c r="B660" t="s">
        <v>737</v>
      </c>
      <c r="C660" s="2">
        <v>0.1</v>
      </c>
      <c r="D660" s="2">
        <v>4.9599999999999998E-2</v>
      </c>
      <c r="E660" s="3">
        <v>5.0368700000000002E-2</v>
      </c>
      <c r="F660" s="3">
        <v>5.4008100000000003E-2</v>
      </c>
      <c r="G660" s="3">
        <v>5.6203099999999999E-2</v>
      </c>
      <c r="H660" s="3">
        <v>5.6379499999999999E-2</v>
      </c>
      <c r="I660" s="3">
        <v>5.6830600000000002E-2</v>
      </c>
      <c r="J660" s="3">
        <v>6.1079399999999999E-2</v>
      </c>
      <c r="K660" s="3">
        <v>7.0452899999999999E-2</v>
      </c>
      <c r="L660" s="3">
        <v>8.41499E-2</v>
      </c>
      <c r="M660" s="3">
        <v>0.1011203</v>
      </c>
      <c r="N660" s="3">
        <v>0.1206501</v>
      </c>
      <c r="O660" s="3">
        <v>0.14211380000000001</v>
      </c>
      <c r="P660" s="3">
        <v>0.16496340000000001</v>
      </c>
      <c r="Q660" s="3">
        <v>0.18869230000000001</v>
      </c>
      <c r="R660" s="3">
        <v>0.2129984</v>
      </c>
      <c r="S660" s="3">
        <v>0.23763300000000001</v>
      </c>
      <c r="T660" s="3">
        <v>0.26234740000000001</v>
      </c>
      <c r="U660" s="3">
        <v>0.28689300000000001</v>
      </c>
      <c r="V660" s="3">
        <v>0.31102099999999999</v>
      </c>
      <c r="W660" s="3">
        <v>0.33450819999999998</v>
      </c>
      <c r="X660" s="3">
        <v>0.35727579999999998</v>
      </c>
      <c r="Y660" s="3">
        <v>0.37929550000000001</v>
      </c>
      <c r="Z660" s="3">
        <v>0.40053929999999999</v>
      </c>
      <c r="AA660" s="3">
        <v>0.42097899999999999</v>
      </c>
      <c r="AB660" s="3">
        <v>0.44058659999999999</v>
      </c>
      <c r="AC660" s="3">
        <v>0.45934269999999999</v>
      </c>
      <c r="AD660" s="3">
        <v>0.47727029999999998</v>
      </c>
      <c r="AE660" s="3">
        <v>0.4944055</v>
      </c>
      <c r="AF660" s="3">
        <v>0.51078429999999997</v>
      </c>
      <c r="AG660" s="3">
        <v>0.52644279999999999</v>
      </c>
      <c r="AH660" s="3">
        <v>0.54141700000000004</v>
      </c>
      <c r="AI660" s="3">
        <v>0.55574290000000004</v>
      </c>
      <c r="AJ660" s="3">
        <v>0.56945650000000003</v>
      </c>
      <c r="AK660" s="3">
        <v>0.5825939</v>
      </c>
      <c r="AL660" s="3">
        <v>0.59519109999999997</v>
      </c>
      <c r="AM660" s="3">
        <v>0.60728409999999999</v>
      </c>
      <c r="AN660" s="3">
        <v>0.61890900000000004</v>
      </c>
      <c r="AO660" s="3">
        <v>0.63009950000000003</v>
      </c>
      <c r="AP660" s="3">
        <v>0.64087939999999999</v>
      </c>
      <c r="AQ660" s="3">
        <v>0.6512696</v>
      </c>
      <c r="AR660" s="3">
        <v>0.66129110000000002</v>
      </c>
      <c r="AS660" s="3">
        <v>0.67096489999999998</v>
      </c>
      <c r="AT660" s="3">
        <v>0.68031200000000003</v>
      </c>
      <c r="AU660" s="3">
        <v>0.6893532</v>
      </c>
      <c r="AV660" s="3">
        <v>0.69810970000000006</v>
      </c>
      <c r="AW660" s="3">
        <v>0.70660239999999996</v>
      </c>
      <c r="AX660" s="3">
        <v>0.7148523</v>
      </c>
      <c r="AY660" s="3">
        <v>0.72288019999999997</v>
      </c>
      <c r="AZ660" s="3">
        <v>0.73070729999999995</v>
      </c>
      <c r="BA660" s="3">
        <v>0.73835260000000003</v>
      </c>
      <c r="BB660" s="3">
        <v>0.74582720000000002</v>
      </c>
      <c r="BC660" s="3">
        <v>0.75313989999999997</v>
      </c>
      <c r="BD660" s="3">
        <v>0.76029959999999996</v>
      </c>
      <c r="BE660" s="3">
        <v>0.76731490000000002</v>
      </c>
      <c r="BF660" s="3">
        <v>0.77419479999999996</v>
      </c>
      <c r="BG660" s="3">
        <v>0.78094799999999998</v>
      </c>
      <c r="BH660" s="3">
        <v>0.78758340000000004</v>
      </c>
      <c r="BI660" s="3">
        <v>0.79410979999999998</v>
      </c>
      <c r="BJ660" s="3">
        <v>0.80053600000000003</v>
      </c>
      <c r="BK660" s="3">
        <v>0.8068708</v>
      </c>
      <c r="BL660" s="3">
        <v>0.81312289999999998</v>
      </c>
      <c r="BM660" s="3" t="e">
        <v>#N/A</v>
      </c>
      <c r="BN660" s="3" t="e">
        <v>#N/A</v>
      </c>
    </row>
    <row r="661" spans="1:66" x14ac:dyDescent="0.35">
      <c r="A661" s="5">
        <f t="shared" si="10"/>
        <v>44379</v>
      </c>
      <c r="B661" t="s">
        <v>738</v>
      </c>
      <c r="C661" s="2">
        <v>0.1</v>
      </c>
      <c r="D661" s="2">
        <v>5.0500000000000003E-2</v>
      </c>
      <c r="E661" s="3">
        <v>4.9048799999999997E-2</v>
      </c>
      <c r="F661" s="3">
        <v>5.0278799999999998E-2</v>
      </c>
      <c r="G661" s="3">
        <v>5.3162399999999999E-2</v>
      </c>
      <c r="H661" s="3">
        <v>5.71341E-2</v>
      </c>
      <c r="I661" s="3">
        <v>6.1284100000000001E-2</v>
      </c>
      <c r="J661" s="3">
        <v>6.6210199999999997E-2</v>
      </c>
      <c r="K661" s="3">
        <v>7.3214000000000001E-2</v>
      </c>
      <c r="L661" s="3">
        <v>8.3193400000000001E-2</v>
      </c>
      <c r="M661" s="3">
        <v>9.6340400000000007E-2</v>
      </c>
      <c r="N661" s="3">
        <v>0.1125613</v>
      </c>
      <c r="O661" s="3">
        <v>0.13135450000000001</v>
      </c>
      <c r="P661" s="3">
        <v>0.1521516</v>
      </c>
      <c r="Q661" s="3">
        <v>0.17416899999999999</v>
      </c>
      <c r="R661" s="3">
        <v>0.19697729999999999</v>
      </c>
      <c r="S661" s="3">
        <v>0.22028229999999999</v>
      </c>
      <c r="T661" s="3">
        <v>0.24379000000000001</v>
      </c>
      <c r="U661" s="3">
        <v>0.267206</v>
      </c>
      <c r="V661" s="3">
        <v>0.29023640000000001</v>
      </c>
      <c r="W661" s="3">
        <v>0.31262440000000002</v>
      </c>
      <c r="X661" s="3">
        <v>0.33430530000000003</v>
      </c>
      <c r="Y661" s="3">
        <v>0.35527560000000002</v>
      </c>
      <c r="Z661" s="3">
        <v>0.37553180000000003</v>
      </c>
      <c r="AA661" s="3">
        <v>0.39507059999999999</v>
      </c>
      <c r="AB661" s="3">
        <v>0.4138886</v>
      </c>
      <c r="AC661" s="3">
        <v>0.4319865</v>
      </c>
      <c r="AD661" s="3">
        <v>0.4493839</v>
      </c>
      <c r="AE661" s="3">
        <v>0.46610590000000002</v>
      </c>
      <c r="AF661" s="3">
        <v>0.48217700000000002</v>
      </c>
      <c r="AG661" s="3">
        <v>0.49762230000000002</v>
      </c>
      <c r="AH661" s="3">
        <v>0.51246650000000005</v>
      </c>
      <c r="AI661" s="3">
        <v>0.52673440000000005</v>
      </c>
      <c r="AJ661" s="3">
        <v>0.54045089999999996</v>
      </c>
      <c r="AK661" s="3">
        <v>0.55364080000000004</v>
      </c>
      <c r="AL661" s="3">
        <v>0.56632899999999997</v>
      </c>
      <c r="AM661" s="3">
        <v>0.57854019999999995</v>
      </c>
      <c r="AN661" s="3">
        <v>0.59029929999999997</v>
      </c>
      <c r="AO661" s="3">
        <v>0.60163040000000001</v>
      </c>
      <c r="AP661" s="3">
        <v>0.61255420000000005</v>
      </c>
      <c r="AQ661" s="3">
        <v>0.6230907</v>
      </c>
      <c r="AR661" s="3">
        <v>0.63325980000000004</v>
      </c>
      <c r="AS661" s="3">
        <v>0.64308129999999997</v>
      </c>
      <c r="AT661" s="3">
        <v>0.65257500000000002</v>
      </c>
      <c r="AU661" s="3">
        <v>0.66176100000000004</v>
      </c>
      <c r="AV661" s="3">
        <v>0.67065909999999995</v>
      </c>
      <c r="AW661" s="3">
        <v>0.67928909999999998</v>
      </c>
      <c r="AX661" s="3">
        <v>0.68767100000000003</v>
      </c>
      <c r="AY661" s="3">
        <v>0.69582460000000002</v>
      </c>
      <c r="AZ661" s="3">
        <v>0.70376989999999995</v>
      </c>
      <c r="BA661" s="3">
        <v>0.71152510000000002</v>
      </c>
      <c r="BB661" s="3">
        <v>0.71910169999999995</v>
      </c>
      <c r="BC661" s="3">
        <v>0.72650919999999997</v>
      </c>
      <c r="BD661" s="3">
        <v>0.7337572</v>
      </c>
      <c r="BE661" s="3">
        <v>0.74085509999999999</v>
      </c>
      <c r="BF661" s="3">
        <v>0.7478127</v>
      </c>
      <c r="BG661" s="3">
        <v>0.75463930000000001</v>
      </c>
      <c r="BH661" s="3">
        <v>0.76134460000000004</v>
      </c>
      <c r="BI661" s="3">
        <v>0.76793800000000001</v>
      </c>
      <c r="BJ661" s="3">
        <v>0.77442920000000004</v>
      </c>
      <c r="BK661" s="3">
        <v>0.78082759999999996</v>
      </c>
      <c r="BL661" s="3">
        <v>0.78714280000000003</v>
      </c>
      <c r="BM661" s="3" t="e">
        <v>#N/A</v>
      </c>
      <c r="BN661" s="3" t="e">
        <v>#N/A</v>
      </c>
    </row>
    <row r="662" spans="1:66" x14ac:dyDescent="0.35">
      <c r="A662" s="5">
        <f t="shared" si="10"/>
        <v>44382</v>
      </c>
      <c r="B662" t="s">
        <v>739</v>
      </c>
      <c r="C662" s="2">
        <v>0.1</v>
      </c>
      <c r="D662" s="2">
        <v>5.04E-2</v>
      </c>
      <c r="E662" s="3">
        <v>5.0298900000000001E-2</v>
      </c>
      <c r="F662" s="3">
        <v>5.26924E-2</v>
      </c>
      <c r="G662" s="3">
        <v>5.5858199999999997E-2</v>
      </c>
      <c r="H662" s="3">
        <v>5.9764600000000001E-2</v>
      </c>
      <c r="I662" s="3">
        <v>6.4029600000000006E-2</v>
      </c>
      <c r="J662" s="3">
        <v>6.9341299999999995E-2</v>
      </c>
      <c r="K662" s="3">
        <v>7.6790700000000003E-2</v>
      </c>
      <c r="L662" s="3">
        <v>8.6768600000000001E-2</v>
      </c>
      <c r="M662" s="3">
        <v>9.9146999999999999E-2</v>
      </c>
      <c r="N662" s="3">
        <v>0.1139835</v>
      </c>
      <c r="O662" s="3">
        <v>0.13153319999999999</v>
      </c>
      <c r="P662" s="3">
        <v>0.1514538</v>
      </c>
      <c r="Q662" s="3">
        <v>0.1730651</v>
      </c>
      <c r="R662" s="3">
        <v>0.19591510000000001</v>
      </c>
      <c r="S662" s="3">
        <v>0.2196283</v>
      </c>
      <c r="T662" s="3">
        <v>0.24382889999999999</v>
      </c>
      <c r="U662" s="3">
        <v>0.26814130000000003</v>
      </c>
      <c r="V662" s="3">
        <v>0.2921897</v>
      </c>
      <c r="W662" s="3">
        <v>0.31564639999999999</v>
      </c>
      <c r="X662" s="3">
        <v>0.33840680000000001</v>
      </c>
      <c r="Y662" s="3">
        <v>0.36043059999999999</v>
      </c>
      <c r="Z662" s="3">
        <v>0.38167760000000001</v>
      </c>
      <c r="AA662" s="3">
        <v>0.40210760000000001</v>
      </c>
      <c r="AB662" s="3">
        <v>0.42168050000000001</v>
      </c>
      <c r="AC662" s="3">
        <v>0.44036930000000002</v>
      </c>
      <c r="AD662" s="3">
        <v>0.45820070000000002</v>
      </c>
      <c r="AE662" s="3">
        <v>0.47521449999999998</v>
      </c>
      <c r="AF662" s="3">
        <v>0.49145060000000002</v>
      </c>
      <c r="AG662" s="3">
        <v>0.50694890000000004</v>
      </c>
      <c r="AH662" s="3">
        <v>0.52174920000000002</v>
      </c>
      <c r="AI662" s="3">
        <v>0.53589140000000002</v>
      </c>
      <c r="AJ662" s="3">
        <v>0.5494154</v>
      </c>
      <c r="AK662" s="3">
        <v>0.56236109999999995</v>
      </c>
      <c r="AL662" s="3">
        <v>0.57476839999999996</v>
      </c>
      <c r="AM662" s="3">
        <v>0.58667709999999995</v>
      </c>
      <c r="AN662" s="3">
        <v>0.59812710000000002</v>
      </c>
      <c r="AO662" s="3">
        <v>0.60915569999999997</v>
      </c>
      <c r="AP662" s="3">
        <v>0.61978829999999996</v>
      </c>
      <c r="AQ662" s="3">
        <v>0.63004720000000003</v>
      </c>
      <c r="AR662" s="3">
        <v>0.63995469999999999</v>
      </c>
      <c r="AS662" s="3">
        <v>0.64953289999999997</v>
      </c>
      <c r="AT662" s="3">
        <v>0.65880419999999995</v>
      </c>
      <c r="AU662" s="3">
        <v>0.66779069999999996</v>
      </c>
      <c r="AV662" s="3">
        <v>0.67651479999999997</v>
      </c>
      <c r="AW662" s="3">
        <v>0.68499860000000001</v>
      </c>
      <c r="AX662" s="3">
        <v>0.69326460000000001</v>
      </c>
      <c r="AY662" s="3">
        <v>0.70133480000000004</v>
      </c>
      <c r="AZ662" s="3">
        <v>0.70923150000000001</v>
      </c>
      <c r="BA662" s="3">
        <v>0.71697509999999998</v>
      </c>
      <c r="BB662" s="3">
        <v>0.724576</v>
      </c>
      <c r="BC662" s="3">
        <v>0.73204089999999999</v>
      </c>
      <c r="BD662" s="3">
        <v>0.7393767</v>
      </c>
      <c r="BE662" s="3">
        <v>0.74659039999999999</v>
      </c>
      <c r="BF662" s="3">
        <v>0.75368880000000005</v>
      </c>
      <c r="BG662" s="3">
        <v>0.76067870000000004</v>
      </c>
      <c r="BH662" s="3">
        <v>0.76756709999999995</v>
      </c>
      <c r="BI662" s="3">
        <v>0.77436090000000002</v>
      </c>
      <c r="BJ662" s="3">
        <v>0.78106679999999995</v>
      </c>
      <c r="BK662" s="3">
        <v>0.78769180000000005</v>
      </c>
      <c r="BL662" s="3">
        <v>0.79424280000000003</v>
      </c>
      <c r="BM662" s="3" t="e">
        <v>#N/A</v>
      </c>
      <c r="BN662" s="3" t="e">
        <v>#N/A</v>
      </c>
    </row>
    <row r="663" spans="1:66" x14ac:dyDescent="0.35">
      <c r="A663" s="5">
        <f t="shared" si="10"/>
        <v>44383</v>
      </c>
      <c r="B663" t="s">
        <v>740</v>
      </c>
      <c r="C663" s="2">
        <v>0.1</v>
      </c>
      <c r="D663" s="2">
        <v>5.0200000000000002E-2</v>
      </c>
      <c r="E663" s="3">
        <v>5.1847999999999998E-2</v>
      </c>
      <c r="F663" s="3">
        <v>5.3358900000000001E-2</v>
      </c>
      <c r="G663" s="3">
        <v>5.5397399999999999E-2</v>
      </c>
      <c r="H663" s="3">
        <v>5.7773199999999997E-2</v>
      </c>
      <c r="I663" s="3">
        <v>6.0773599999999997E-2</v>
      </c>
      <c r="J663" s="3">
        <v>6.5184699999999998E-2</v>
      </c>
      <c r="K663" s="3">
        <v>7.1945300000000004E-2</v>
      </c>
      <c r="L663" s="3">
        <v>8.1566399999999997E-2</v>
      </c>
      <c r="M663" s="3">
        <v>9.4298999999999994E-2</v>
      </c>
      <c r="N663" s="3">
        <v>0.10992399999999999</v>
      </c>
      <c r="O663" s="3">
        <v>0.12804650000000001</v>
      </c>
      <c r="P663" s="3">
        <v>0.1479974</v>
      </c>
      <c r="Q663" s="3">
        <v>0.16884399999999999</v>
      </c>
      <c r="R663" s="3">
        <v>0.19018090000000001</v>
      </c>
      <c r="S663" s="3">
        <v>0.2117588</v>
      </c>
      <c r="T663" s="3">
        <v>0.23332839999999999</v>
      </c>
      <c r="U663" s="3">
        <v>0.2546407</v>
      </c>
      <c r="V663" s="3">
        <v>0.27544629999999998</v>
      </c>
      <c r="W663" s="3">
        <v>0.2955315</v>
      </c>
      <c r="X663" s="3">
        <v>0.31484669999999998</v>
      </c>
      <c r="Y663" s="3">
        <v>0.33339020000000003</v>
      </c>
      <c r="Z663" s="3">
        <v>0.35115990000000002</v>
      </c>
      <c r="AA663" s="3">
        <v>0.36815409999999998</v>
      </c>
      <c r="AB663" s="3">
        <v>0.38437090000000002</v>
      </c>
      <c r="AC663" s="3">
        <v>0.39981489999999997</v>
      </c>
      <c r="AD663" s="3">
        <v>0.41451670000000002</v>
      </c>
      <c r="AE663" s="3">
        <v>0.42851349999999999</v>
      </c>
      <c r="AF663" s="3">
        <v>0.44184250000000003</v>
      </c>
      <c r="AG663" s="3">
        <v>0.45454080000000002</v>
      </c>
      <c r="AH663" s="3">
        <v>0.46664559999999999</v>
      </c>
      <c r="AI663" s="3">
        <v>0.47819400000000001</v>
      </c>
      <c r="AJ663" s="3">
        <v>0.48922320000000002</v>
      </c>
      <c r="AK663" s="3">
        <v>0.4997704</v>
      </c>
      <c r="AL663" s="3">
        <v>0.50987260000000001</v>
      </c>
      <c r="AM663" s="3">
        <v>0.51956709999999995</v>
      </c>
      <c r="AN663" s="3">
        <v>0.52889090000000005</v>
      </c>
      <c r="AO663" s="3">
        <v>0.5378792</v>
      </c>
      <c r="AP663" s="3">
        <v>0.54655469999999995</v>
      </c>
      <c r="AQ663" s="3">
        <v>0.55493630000000005</v>
      </c>
      <c r="AR663" s="3">
        <v>0.56304310000000002</v>
      </c>
      <c r="AS663" s="3">
        <v>0.57089380000000001</v>
      </c>
      <c r="AT663" s="3">
        <v>0.57850749999999995</v>
      </c>
      <c r="AU663" s="3">
        <v>0.58590299999999995</v>
      </c>
      <c r="AV663" s="3">
        <v>0.59309909999999999</v>
      </c>
      <c r="AW663" s="3">
        <v>0.60011490000000001</v>
      </c>
      <c r="AX663" s="3">
        <v>0.60696930000000004</v>
      </c>
      <c r="AY663" s="3">
        <v>0.61368109999999998</v>
      </c>
      <c r="AZ663" s="3">
        <v>0.62026919999999997</v>
      </c>
      <c r="BA663" s="3">
        <v>0.62675080000000005</v>
      </c>
      <c r="BB663" s="3">
        <v>0.63313419999999998</v>
      </c>
      <c r="BC663" s="3">
        <v>0.63942509999999997</v>
      </c>
      <c r="BD663" s="3">
        <v>0.64562920000000001</v>
      </c>
      <c r="BE663" s="3">
        <v>0.6517522</v>
      </c>
      <c r="BF663" s="3">
        <v>0.65779969999999999</v>
      </c>
      <c r="BG663" s="3">
        <v>0.66377750000000002</v>
      </c>
      <c r="BH663" s="3">
        <v>0.66969120000000004</v>
      </c>
      <c r="BI663" s="3">
        <v>0.6755466</v>
      </c>
      <c r="BJ663" s="3">
        <v>0.68134930000000005</v>
      </c>
      <c r="BK663" s="3">
        <v>0.68710499999999997</v>
      </c>
      <c r="BL663" s="3">
        <v>0.69281939999999997</v>
      </c>
      <c r="BM663" s="3" t="e">
        <v>#N/A</v>
      </c>
      <c r="BN663" s="3" t="e">
        <v>#N/A</v>
      </c>
    </row>
    <row r="664" spans="1:66" x14ac:dyDescent="0.35">
      <c r="A664" s="5">
        <f t="shared" si="10"/>
        <v>44384</v>
      </c>
      <c r="B664" t="s">
        <v>741</v>
      </c>
      <c r="C664" s="2">
        <v>0.1</v>
      </c>
      <c r="D664" s="2">
        <v>5.0599999999999999E-2</v>
      </c>
      <c r="E664" s="3">
        <v>5.0836899999999997E-2</v>
      </c>
      <c r="F664" s="3">
        <v>5.23058E-2</v>
      </c>
      <c r="G664" s="3">
        <v>5.4165600000000001E-2</v>
      </c>
      <c r="H664" s="3">
        <v>5.6501200000000001E-2</v>
      </c>
      <c r="I664" s="3">
        <v>5.9321699999999998E-2</v>
      </c>
      <c r="J664" s="3">
        <v>6.3667000000000001E-2</v>
      </c>
      <c r="K664" s="3">
        <v>7.0590299999999995E-2</v>
      </c>
      <c r="L664" s="3">
        <v>8.0563099999999999E-2</v>
      </c>
      <c r="M664" s="3">
        <v>9.3524300000000005E-2</v>
      </c>
      <c r="N664" s="3">
        <v>0.1090822</v>
      </c>
      <c r="O664" s="3">
        <v>0.1266467</v>
      </c>
      <c r="P664" s="3">
        <v>0.14556269999999999</v>
      </c>
      <c r="Q664" s="3">
        <v>0.16493469999999999</v>
      </c>
      <c r="R664" s="3">
        <v>0.18442349999999999</v>
      </c>
      <c r="S664" s="3">
        <v>0.20385710000000001</v>
      </c>
      <c r="T664" s="3">
        <v>0.2230635</v>
      </c>
      <c r="U664" s="3">
        <v>0.241871</v>
      </c>
      <c r="V664" s="3">
        <v>0.26010749999999999</v>
      </c>
      <c r="W664" s="3">
        <v>0.27762829999999999</v>
      </c>
      <c r="X664" s="3">
        <v>0.2944426</v>
      </c>
      <c r="Y664" s="3">
        <v>0.3106141</v>
      </c>
      <c r="Z664" s="3">
        <v>0.3262061</v>
      </c>
      <c r="AA664" s="3">
        <v>0.34128219999999998</v>
      </c>
      <c r="AB664" s="3">
        <v>0.3559059</v>
      </c>
      <c r="AC664" s="3">
        <v>0.3701313</v>
      </c>
      <c r="AD664" s="3">
        <v>0.38397389999999998</v>
      </c>
      <c r="AE664" s="3">
        <v>0.39744000000000002</v>
      </c>
      <c r="AF664" s="3">
        <v>0.4105357</v>
      </c>
      <c r="AG664" s="3">
        <v>0.42326710000000001</v>
      </c>
      <c r="AH664" s="3">
        <v>0.43564039999999998</v>
      </c>
      <c r="AI664" s="3">
        <v>0.4476617</v>
      </c>
      <c r="AJ664" s="3">
        <v>0.4593371</v>
      </c>
      <c r="AK664" s="3">
        <v>0.4706728</v>
      </c>
      <c r="AL664" s="3">
        <v>0.48167490000000002</v>
      </c>
      <c r="AM664" s="3">
        <v>0.4923496</v>
      </c>
      <c r="AN664" s="3">
        <v>0.50270289999999995</v>
      </c>
      <c r="AO664" s="3">
        <v>0.51274120000000001</v>
      </c>
      <c r="AP664" s="3">
        <v>0.5224702</v>
      </c>
      <c r="AQ664" s="3">
        <v>0.53189600000000004</v>
      </c>
      <c r="AR664" s="3">
        <v>0.54102459999999997</v>
      </c>
      <c r="AS664" s="3">
        <v>0.54986199999999996</v>
      </c>
      <c r="AT664" s="3">
        <v>0.55841410000000002</v>
      </c>
      <c r="AU664" s="3">
        <v>0.56668689999999999</v>
      </c>
      <c r="AV664" s="3">
        <v>0.57468640000000004</v>
      </c>
      <c r="AW664" s="3">
        <v>0.58241849999999995</v>
      </c>
      <c r="AX664" s="3">
        <v>0.5898892</v>
      </c>
      <c r="AY664" s="3">
        <v>0.59710459999999999</v>
      </c>
      <c r="AZ664" s="3">
        <v>0.60407049999999995</v>
      </c>
      <c r="BA664" s="3">
        <v>0.61079410000000001</v>
      </c>
      <c r="BB664" s="3">
        <v>0.61728700000000003</v>
      </c>
      <c r="BC664" s="3">
        <v>0.62356250000000002</v>
      </c>
      <c r="BD664" s="3">
        <v>0.62963360000000002</v>
      </c>
      <c r="BE664" s="3">
        <v>0.63551340000000001</v>
      </c>
      <c r="BF664" s="3">
        <v>0.64121499999999998</v>
      </c>
      <c r="BG664" s="3">
        <v>0.64675159999999998</v>
      </c>
      <c r="BH664" s="3">
        <v>0.6521361</v>
      </c>
      <c r="BI664" s="3">
        <v>0.65738180000000002</v>
      </c>
      <c r="BJ664" s="3">
        <v>0.66250160000000002</v>
      </c>
      <c r="BK664" s="3">
        <v>0.66750880000000001</v>
      </c>
      <c r="BL664" s="3">
        <v>0.67241640000000003</v>
      </c>
      <c r="BM664" s="3" t="e">
        <v>#N/A</v>
      </c>
      <c r="BN664" s="3" t="e">
        <v>#N/A</v>
      </c>
    </row>
    <row r="665" spans="1:66" x14ac:dyDescent="0.35">
      <c r="A665" s="5">
        <f t="shared" si="10"/>
        <v>44385</v>
      </c>
      <c r="B665" t="s">
        <v>742</v>
      </c>
      <c r="C665" s="2">
        <v>0.1</v>
      </c>
      <c r="D665" s="2">
        <v>5.0799999999999998E-2</v>
      </c>
      <c r="E665" s="3">
        <v>5.2585399999999997E-2</v>
      </c>
      <c r="F665" s="3">
        <v>5.3561900000000003E-2</v>
      </c>
      <c r="G665" s="3">
        <v>5.4123699999999997E-2</v>
      </c>
      <c r="H665" s="3">
        <v>5.5394699999999998E-2</v>
      </c>
      <c r="I665" s="3">
        <v>5.8740399999999998E-2</v>
      </c>
      <c r="J665" s="3">
        <v>6.5173999999999996E-2</v>
      </c>
      <c r="K665" s="3">
        <v>7.5124200000000002E-2</v>
      </c>
      <c r="L665" s="3">
        <v>8.8655100000000001E-2</v>
      </c>
      <c r="M665" s="3">
        <v>0.10529090000000001</v>
      </c>
      <c r="N665" s="3">
        <v>0.1243592</v>
      </c>
      <c r="O665" s="3">
        <v>0.1451356</v>
      </c>
      <c r="P665" s="3">
        <v>0.1668559</v>
      </c>
      <c r="Q665" s="3">
        <v>0.18862110000000001</v>
      </c>
      <c r="R665" s="3">
        <v>0.21010770000000001</v>
      </c>
      <c r="S665" s="3">
        <v>0.23115649999999999</v>
      </c>
      <c r="T665" s="3">
        <v>0.2516082</v>
      </c>
      <c r="U665" s="3">
        <v>0.27130359999999998</v>
      </c>
      <c r="V665" s="3">
        <v>0.29008339999999999</v>
      </c>
      <c r="W665" s="3">
        <v>0.30782100000000001</v>
      </c>
      <c r="X665" s="3">
        <v>0.32455659999999997</v>
      </c>
      <c r="Y665" s="3">
        <v>0.34038370000000001</v>
      </c>
      <c r="Z665" s="3">
        <v>0.35539589999999999</v>
      </c>
      <c r="AA665" s="3">
        <v>0.36968669999999998</v>
      </c>
      <c r="AB665" s="3">
        <v>0.38334970000000002</v>
      </c>
      <c r="AC665" s="3">
        <v>0.39646900000000002</v>
      </c>
      <c r="AD665" s="3">
        <v>0.40908270000000002</v>
      </c>
      <c r="AE665" s="3">
        <v>0.4212149</v>
      </c>
      <c r="AF665" s="3">
        <v>0.43288959999999999</v>
      </c>
      <c r="AG665" s="3">
        <v>0.4441309</v>
      </c>
      <c r="AH665" s="3">
        <v>0.4549629</v>
      </c>
      <c r="AI665" s="3">
        <v>0.46540959999999998</v>
      </c>
      <c r="AJ665" s="3">
        <v>0.47549520000000001</v>
      </c>
      <c r="AK665" s="3">
        <v>0.4852437</v>
      </c>
      <c r="AL665" s="3">
        <v>0.49467919999999999</v>
      </c>
      <c r="AM665" s="3">
        <v>0.50382570000000004</v>
      </c>
      <c r="AN665" s="3">
        <v>0.51270729999999998</v>
      </c>
      <c r="AO665" s="3">
        <v>0.52134570000000002</v>
      </c>
      <c r="AP665" s="3">
        <v>0.52975139999999998</v>
      </c>
      <c r="AQ665" s="3">
        <v>0.53793219999999997</v>
      </c>
      <c r="AR665" s="3">
        <v>0.54589549999999998</v>
      </c>
      <c r="AS665" s="3">
        <v>0.55364919999999995</v>
      </c>
      <c r="AT665" s="3">
        <v>0.5612007</v>
      </c>
      <c r="AU665" s="3">
        <v>0.5685578</v>
      </c>
      <c r="AV665" s="3">
        <v>0.57572800000000002</v>
      </c>
      <c r="AW665" s="3">
        <v>0.58271899999999999</v>
      </c>
      <c r="AX665" s="3">
        <v>0.58953840000000002</v>
      </c>
      <c r="AY665" s="3">
        <v>0.59619390000000005</v>
      </c>
      <c r="AZ665" s="3">
        <v>0.60269300000000003</v>
      </c>
      <c r="BA665" s="3">
        <v>0.60904360000000002</v>
      </c>
      <c r="BB665" s="3">
        <v>0.6152533</v>
      </c>
      <c r="BC665" s="3">
        <v>0.62133039999999995</v>
      </c>
      <c r="BD665" s="3">
        <v>0.62728260000000002</v>
      </c>
      <c r="BE665" s="3">
        <v>0.63311799999999996</v>
      </c>
      <c r="BF665" s="3">
        <v>0.63884450000000004</v>
      </c>
      <c r="BG665" s="3">
        <v>0.64447010000000005</v>
      </c>
      <c r="BH665" s="3">
        <v>0.65000270000000004</v>
      </c>
      <c r="BI665" s="3">
        <v>0.65545039999999999</v>
      </c>
      <c r="BJ665" s="3">
        <v>0.66082110000000005</v>
      </c>
      <c r="BK665" s="3">
        <v>0.66612269999999996</v>
      </c>
      <c r="BL665" s="3">
        <v>0.67136320000000005</v>
      </c>
      <c r="BM665" s="3" t="e">
        <v>#N/A</v>
      </c>
      <c r="BN665" s="3" t="e">
        <v>#N/A</v>
      </c>
    </row>
    <row r="666" spans="1:66" x14ac:dyDescent="0.35">
      <c r="A666" s="5">
        <f t="shared" si="10"/>
        <v>44386</v>
      </c>
      <c r="B666" t="s">
        <v>743</v>
      </c>
      <c r="C666" s="2">
        <v>0.1</v>
      </c>
      <c r="D666" s="2">
        <v>5.04E-2</v>
      </c>
      <c r="E666" s="3">
        <v>5.33275E-2</v>
      </c>
      <c r="F666" s="3">
        <v>5.44643E-2</v>
      </c>
      <c r="G666" s="3">
        <v>5.44819E-2</v>
      </c>
      <c r="H666" s="3">
        <v>5.5057399999999999E-2</v>
      </c>
      <c r="I666" s="3">
        <v>5.83177E-2</v>
      </c>
      <c r="J666" s="3">
        <v>6.5771999999999997E-2</v>
      </c>
      <c r="K666" s="3">
        <v>7.7948500000000004E-2</v>
      </c>
      <c r="L666" s="3">
        <v>9.4576300000000002E-2</v>
      </c>
      <c r="M666" s="3">
        <v>0.11480369999999999</v>
      </c>
      <c r="N666" s="3">
        <v>0.13770779999999999</v>
      </c>
      <c r="O666" s="3">
        <v>0.16223009999999999</v>
      </c>
      <c r="P666" s="3">
        <v>0.18741930000000001</v>
      </c>
      <c r="Q666" s="3">
        <v>0.21210979999999999</v>
      </c>
      <c r="R666" s="3">
        <v>0.23594309999999999</v>
      </c>
      <c r="S666" s="3">
        <v>0.25884380000000001</v>
      </c>
      <c r="T666" s="3">
        <v>0.28073700000000001</v>
      </c>
      <c r="U666" s="3">
        <v>0.30154740000000002</v>
      </c>
      <c r="V666" s="3">
        <v>0.32119989999999998</v>
      </c>
      <c r="W666" s="3">
        <v>0.33964749999999999</v>
      </c>
      <c r="X666" s="3">
        <v>0.35697319999999999</v>
      </c>
      <c r="Y666" s="3">
        <v>0.37329800000000002</v>
      </c>
      <c r="Z666" s="3">
        <v>0.3887427</v>
      </c>
      <c r="AA666" s="3">
        <v>0.40342830000000002</v>
      </c>
      <c r="AB666" s="3">
        <v>0.4174755</v>
      </c>
      <c r="AC666" s="3">
        <v>0.4309904</v>
      </c>
      <c r="AD666" s="3">
        <v>0.4440132</v>
      </c>
      <c r="AE666" s="3">
        <v>0.45656600000000003</v>
      </c>
      <c r="AF666" s="3">
        <v>0.4686709</v>
      </c>
      <c r="AG666" s="3">
        <v>0.48035</v>
      </c>
      <c r="AH666" s="3">
        <v>0.49162549999999999</v>
      </c>
      <c r="AI666" s="3">
        <v>0.50251939999999995</v>
      </c>
      <c r="AJ666" s="3">
        <v>0.5130538</v>
      </c>
      <c r="AK666" s="3">
        <v>0.52325089999999996</v>
      </c>
      <c r="AL666" s="3">
        <v>0.53313279999999996</v>
      </c>
      <c r="AM666" s="3">
        <v>0.54272140000000002</v>
      </c>
      <c r="AN666" s="3">
        <v>0.5520391</v>
      </c>
      <c r="AO666" s="3">
        <v>0.56110599999999999</v>
      </c>
      <c r="AP666" s="3">
        <v>0.56993439999999995</v>
      </c>
      <c r="AQ666" s="3">
        <v>0.57853449999999995</v>
      </c>
      <c r="AR666" s="3">
        <v>0.5869162</v>
      </c>
      <c r="AS666" s="3">
        <v>0.59508970000000005</v>
      </c>
      <c r="AT666" s="3">
        <v>0.60306510000000002</v>
      </c>
      <c r="AU666" s="3">
        <v>0.61085230000000001</v>
      </c>
      <c r="AV666" s="3">
        <v>0.6184615</v>
      </c>
      <c r="AW666" s="3">
        <v>0.62590279999999998</v>
      </c>
      <c r="AX666" s="3">
        <v>0.63318620000000003</v>
      </c>
      <c r="AY666" s="3">
        <v>0.64032180000000005</v>
      </c>
      <c r="AZ666" s="3">
        <v>0.64731970000000005</v>
      </c>
      <c r="BA666" s="3">
        <v>0.65418929999999997</v>
      </c>
      <c r="BB666" s="3">
        <v>0.66093729999999995</v>
      </c>
      <c r="BC666" s="3">
        <v>0.66756959999999999</v>
      </c>
      <c r="BD666" s="3">
        <v>0.67409209999999997</v>
      </c>
      <c r="BE666" s="3">
        <v>0.68051070000000002</v>
      </c>
      <c r="BF666" s="3">
        <v>0.68683139999999998</v>
      </c>
      <c r="BG666" s="3">
        <v>0.69306000000000001</v>
      </c>
      <c r="BH666" s="3">
        <v>0.6992024</v>
      </c>
      <c r="BI666" s="3">
        <v>0.70526460000000002</v>
      </c>
      <c r="BJ666" s="3">
        <v>0.71125240000000001</v>
      </c>
      <c r="BK666" s="3">
        <v>0.71717169999999997</v>
      </c>
      <c r="BL666" s="3">
        <v>0.72302849999999996</v>
      </c>
      <c r="BM666" s="3" t="e">
        <v>#N/A</v>
      </c>
      <c r="BN666" s="3" t="e">
        <v>#N/A</v>
      </c>
    </row>
    <row r="667" spans="1:66" x14ac:dyDescent="0.35">
      <c r="A667" s="5">
        <f t="shared" si="10"/>
        <v>44389</v>
      </c>
      <c r="B667" t="s">
        <v>744</v>
      </c>
      <c r="C667" s="2">
        <v>0.1</v>
      </c>
      <c r="D667" s="2">
        <v>5.0299999999999997E-2</v>
      </c>
      <c r="E667" s="3">
        <v>5.0616099999999997E-2</v>
      </c>
      <c r="F667" s="3">
        <v>5.0823199999999999E-2</v>
      </c>
      <c r="G667" s="3">
        <v>5.2075799999999998E-2</v>
      </c>
      <c r="H667" s="3">
        <v>5.5512100000000002E-2</v>
      </c>
      <c r="I667" s="3">
        <v>6.06755E-2</v>
      </c>
      <c r="J667" s="3">
        <v>6.7888500000000004E-2</v>
      </c>
      <c r="K667" s="3">
        <v>7.8328900000000007E-2</v>
      </c>
      <c r="L667" s="3">
        <v>9.2645500000000006E-2</v>
      </c>
      <c r="M667" s="3">
        <v>0.1108994</v>
      </c>
      <c r="N667" s="3">
        <v>0.13215180000000001</v>
      </c>
      <c r="O667" s="3">
        <v>0.1553522</v>
      </c>
      <c r="P667" s="3">
        <v>0.17942520000000001</v>
      </c>
      <c r="Q667" s="3">
        <v>0.2031896</v>
      </c>
      <c r="R667" s="3">
        <v>0.22631680000000001</v>
      </c>
      <c r="S667" s="3">
        <v>0.24871589999999999</v>
      </c>
      <c r="T667" s="3">
        <v>0.27029589999999998</v>
      </c>
      <c r="U667" s="3">
        <v>0.2909659</v>
      </c>
      <c r="V667" s="3">
        <v>0.3106352</v>
      </c>
      <c r="W667" s="3">
        <v>0.32923849999999999</v>
      </c>
      <c r="X667" s="3">
        <v>0.34683029999999998</v>
      </c>
      <c r="Y667" s="3">
        <v>0.36349969999999998</v>
      </c>
      <c r="Z667" s="3">
        <v>0.3793357</v>
      </c>
      <c r="AA667" s="3">
        <v>0.39442729999999998</v>
      </c>
      <c r="AB667" s="3">
        <v>0.4088637</v>
      </c>
      <c r="AC667" s="3">
        <v>0.42272340000000003</v>
      </c>
      <c r="AD667" s="3">
        <v>0.43604290000000001</v>
      </c>
      <c r="AE667" s="3">
        <v>0.44884839999999998</v>
      </c>
      <c r="AF667" s="3">
        <v>0.46116590000000002</v>
      </c>
      <c r="AG667" s="3">
        <v>0.47302139999999998</v>
      </c>
      <c r="AH667" s="3">
        <v>0.48444100000000001</v>
      </c>
      <c r="AI667" s="3">
        <v>0.49545080000000002</v>
      </c>
      <c r="AJ667" s="3">
        <v>0.50607679999999999</v>
      </c>
      <c r="AK667" s="3">
        <v>0.51634519999999995</v>
      </c>
      <c r="AL667" s="3">
        <v>0.52628189999999997</v>
      </c>
      <c r="AM667" s="3">
        <v>0.53591299999999997</v>
      </c>
      <c r="AN667" s="3">
        <v>0.54526459999999999</v>
      </c>
      <c r="AO667" s="3">
        <v>0.55436059999999998</v>
      </c>
      <c r="AP667" s="3">
        <v>0.56321509999999997</v>
      </c>
      <c r="AQ667" s="3">
        <v>0.57183989999999996</v>
      </c>
      <c r="AR667" s="3">
        <v>0.58024640000000005</v>
      </c>
      <c r="AS667" s="3">
        <v>0.58844620000000003</v>
      </c>
      <c r="AT667" s="3">
        <v>0.59645090000000001</v>
      </c>
      <c r="AU667" s="3">
        <v>0.60427200000000003</v>
      </c>
      <c r="AV667" s="3">
        <v>0.61192120000000005</v>
      </c>
      <c r="AW667" s="3">
        <v>0.61940989999999996</v>
      </c>
      <c r="AX667" s="3">
        <v>0.62674989999999997</v>
      </c>
      <c r="AY667" s="3">
        <v>0.63395259999999998</v>
      </c>
      <c r="AZ667" s="3">
        <v>0.64102950000000003</v>
      </c>
      <c r="BA667" s="3">
        <v>0.6479916</v>
      </c>
      <c r="BB667" s="3">
        <v>0.65484509999999996</v>
      </c>
      <c r="BC667" s="3">
        <v>0.66159509999999999</v>
      </c>
      <c r="BD667" s="3">
        <v>0.66824640000000002</v>
      </c>
      <c r="BE667" s="3">
        <v>0.67480410000000002</v>
      </c>
      <c r="BF667" s="3">
        <v>0.68127289999999996</v>
      </c>
      <c r="BG667" s="3">
        <v>0.68765799999999999</v>
      </c>
      <c r="BH667" s="3">
        <v>0.69396420000000003</v>
      </c>
      <c r="BI667" s="3">
        <v>0.7001965</v>
      </c>
      <c r="BJ667" s="3">
        <v>0.70635970000000003</v>
      </c>
      <c r="BK667" s="3">
        <v>0.71245899999999995</v>
      </c>
      <c r="BL667" s="3">
        <v>0.71849909999999995</v>
      </c>
      <c r="BM667" s="3" t="e">
        <v>#N/A</v>
      </c>
      <c r="BN667" s="3" t="e">
        <v>#N/A</v>
      </c>
    </row>
    <row r="668" spans="1:66" x14ac:dyDescent="0.35">
      <c r="A668" s="5">
        <f t="shared" si="10"/>
        <v>44390</v>
      </c>
      <c r="B668" t="s">
        <v>745</v>
      </c>
      <c r="C668" s="2">
        <v>0.1</v>
      </c>
      <c r="D668" s="2">
        <v>5.0700000000000002E-2</v>
      </c>
      <c r="E668" s="3">
        <v>4.9187700000000001E-2</v>
      </c>
      <c r="F668" s="3">
        <v>5.0321699999999997E-2</v>
      </c>
      <c r="G668" s="3">
        <v>5.3259800000000003E-2</v>
      </c>
      <c r="H668" s="3">
        <v>5.7917999999999997E-2</v>
      </c>
      <c r="I668" s="3">
        <v>6.3594899999999996E-2</v>
      </c>
      <c r="J668" s="3">
        <v>7.0725200000000002E-2</v>
      </c>
      <c r="K668" s="3">
        <v>8.0715099999999998E-2</v>
      </c>
      <c r="L668" s="3">
        <v>9.4500000000000001E-2</v>
      </c>
      <c r="M668" s="3">
        <v>0.1124033</v>
      </c>
      <c r="N668" s="3">
        <v>0.13385929999999999</v>
      </c>
      <c r="O668" s="3">
        <v>0.1579632</v>
      </c>
      <c r="P668" s="3">
        <v>0.18352859999999999</v>
      </c>
      <c r="Q668" s="3">
        <v>0.2090815</v>
      </c>
      <c r="R668" s="3">
        <v>0.2341464</v>
      </c>
      <c r="S668" s="3">
        <v>0.25853229999999999</v>
      </c>
      <c r="T668" s="3">
        <v>0.28204829999999997</v>
      </c>
      <c r="U668" s="3">
        <v>0.30450369999999999</v>
      </c>
      <c r="V668" s="3">
        <v>0.32570759999999999</v>
      </c>
      <c r="W668" s="3">
        <v>0.34551369999999998</v>
      </c>
      <c r="X668" s="3">
        <v>0.36398140000000001</v>
      </c>
      <c r="Y668" s="3">
        <v>0.38123040000000002</v>
      </c>
      <c r="Z668" s="3">
        <v>0.39738000000000001</v>
      </c>
      <c r="AA668" s="3">
        <v>0.41254970000000002</v>
      </c>
      <c r="AB668" s="3">
        <v>0.42685879999999998</v>
      </c>
      <c r="AC668" s="3">
        <v>0.44041370000000002</v>
      </c>
      <c r="AD668" s="3">
        <v>0.45326889999999997</v>
      </c>
      <c r="AE668" s="3">
        <v>0.46546539999999997</v>
      </c>
      <c r="AF668" s="3">
        <v>0.47704479999999999</v>
      </c>
      <c r="AG668" s="3">
        <v>0.48804819999999999</v>
      </c>
      <c r="AH668" s="3">
        <v>0.49851689999999999</v>
      </c>
      <c r="AI668" s="3">
        <v>0.50849230000000001</v>
      </c>
      <c r="AJ668" s="3">
        <v>0.51801569999999997</v>
      </c>
      <c r="AK668" s="3">
        <v>0.52712829999999999</v>
      </c>
      <c r="AL668" s="3">
        <v>0.5358714</v>
      </c>
      <c r="AM668" s="3">
        <v>0.54428639999999995</v>
      </c>
      <c r="AN668" s="3">
        <v>0.55241450000000003</v>
      </c>
      <c r="AO668" s="3">
        <v>0.56029340000000005</v>
      </c>
      <c r="AP668" s="3">
        <v>0.56794129999999998</v>
      </c>
      <c r="AQ668" s="3">
        <v>0.57536980000000004</v>
      </c>
      <c r="AR668" s="3">
        <v>0.58259059999999996</v>
      </c>
      <c r="AS668" s="3">
        <v>0.58961529999999995</v>
      </c>
      <c r="AT668" s="3">
        <v>0.59645550000000003</v>
      </c>
      <c r="AU668" s="3">
        <v>0.60312279999999996</v>
      </c>
      <c r="AV668" s="3">
        <v>0.60962890000000003</v>
      </c>
      <c r="AW668" s="3">
        <v>0.61598549999999996</v>
      </c>
      <c r="AX668" s="3">
        <v>0.62220410000000004</v>
      </c>
      <c r="AY668" s="3">
        <v>0.62829650000000004</v>
      </c>
      <c r="AZ668" s="3">
        <v>0.63427409999999995</v>
      </c>
      <c r="BA668" s="3">
        <v>0.64014800000000005</v>
      </c>
      <c r="BB668" s="3">
        <v>0.64592530000000004</v>
      </c>
      <c r="BC668" s="3">
        <v>0.65161199999999997</v>
      </c>
      <c r="BD668" s="3">
        <v>0.65721430000000003</v>
      </c>
      <c r="BE668" s="3">
        <v>0.66273820000000006</v>
      </c>
      <c r="BF668" s="3">
        <v>0.6681897</v>
      </c>
      <c r="BG668" s="3">
        <v>0.67357509999999998</v>
      </c>
      <c r="BH668" s="3">
        <v>0.67890019999999995</v>
      </c>
      <c r="BI668" s="3">
        <v>0.68417119999999998</v>
      </c>
      <c r="BJ668" s="3">
        <v>0.68939419999999996</v>
      </c>
      <c r="BK668" s="3">
        <v>0.69457519999999995</v>
      </c>
      <c r="BL668" s="3">
        <v>0.69972040000000002</v>
      </c>
      <c r="BM668" s="3" t="e">
        <v>#N/A</v>
      </c>
      <c r="BN668" s="3" t="e">
        <v>#N/A</v>
      </c>
    </row>
    <row r="669" spans="1:66" x14ac:dyDescent="0.35">
      <c r="A669" s="5">
        <f t="shared" si="10"/>
        <v>44391</v>
      </c>
      <c r="B669" t="s">
        <v>746</v>
      </c>
      <c r="C669" s="2">
        <v>0.1</v>
      </c>
      <c r="D669" s="2">
        <v>5.0799999999999998E-2</v>
      </c>
      <c r="E669" s="3">
        <v>5.0371800000000001E-2</v>
      </c>
      <c r="F669" s="3">
        <v>5.15421E-2</v>
      </c>
      <c r="G669" s="3">
        <v>5.5754499999999999E-2</v>
      </c>
      <c r="H669" s="3">
        <v>6.10015E-2</v>
      </c>
      <c r="I669" s="3">
        <v>6.6884700000000005E-2</v>
      </c>
      <c r="J669" s="3">
        <v>7.4784699999999996E-2</v>
      </c>
      <c r="K669" s="3">
        <v>8.5942299999999999E-2</v>
      </c>
      <c r="L669" s="3">
        <v>0.1009418</v>
      </c>
      <c r="M669" s="3">
        <v>0.1198235</v>
      </c>
      <c r="N669" s="3">
        <v>0.1420544</v>
      </c>
      <c r="O669" s="3">
        <v>0.1667322</v>
      </c>
      <c r="P669" s="3">
        <v>0.19287000000000001</v>
      </c>
      <c r="Q669" s="3">
        <v>0.21917929999999999</v>
      </c>
      <c r="R669" s="3">
        <v>0.24517120000000001</v>
      </c>
      <c r="S669" s="3">
        <v>0.270594</v>
      </c>
      <c r="T669" s="3">
        <v>0.29519610000000002</v>
      </c>
      <c r="U669" s="3">
        <v>0.3187258</v>
      </c>
      <c r="V669" s="3">
        <v>0.3409316</v>
      </c>
      <c r="W669" s="3">
        <v>0.36160439999999999</v>
      </c>
      <c r="X669" s="3">
        <v>0.38077670000000002</v>
      </c>
      <c r="Y669" s="3">
        <v>0.39856599999999998</v>
      </c>
      <c r="Z669" s="3">
        <v>0.41508980000000001</v>
      </c>
      <c r="AA669" s="3">
        <v>0.43046570000000001</v>
      </c>
      <c r="AB669" s="3">
        <v>0.44481120000000002</v>
      </c>
      <c r="AC669" s="3">
        <v>0.45823370000000002</v>
      </c>
      <c r="AD669" s="3">
        <v>0.47080040000000001</v>
      </c>
      <c r="AE669" s="3">
        <v>0.482568</v>
      </c>
      <c r="AF669" s="3">
        <v>0.49359370000000002</v>
      </c>
      <c r="AG669" s="3">
        <v>0.5039342</v>
      </c>
      <c r="AH669" s="3">
        <v>0.51364670000000001</v>
      </c>
      <c r="AI669" s="3">
        <v>0.52278800000000003</v>
      </c>
      <c r="AJ669" s="3">
        <v>0.53141510000000003</v>
      </c>
      <c r="AK669" s="3">
        <v>0.53958490000000003</v>
      </c>
      <c r="AL669" s="3">
        <v>0.54735440000000002</v>
      </c>
      <c r="AM669" s="3">
        <v>0.55478059999999996</v>
      </c>
      <c r="AN669" s="3">
        <v>0.56192030000000004</v>
      </c>
      <c r="AO669" s="3">
        <v>0.56882469999999996</v>
      </c>
      <c r="AP669" s="3">
        <v>0.57551649999999999</v>
      </c>
      <c r="AQ669" s="3">
        <v>0.58200980000000002</v>
      </c>
      <c r="AR669" s="3">
        <v>0.58831840000000002</v>
      </c>
      <c r="AS669" s="3">
        <v>0.5944566</v>
      </c>
      <c r="AT669" s="3">
        <v>0.60043829999999998</v>
      </c>
      <c r="AU669" s="3">
        <v>0.60627750000000002</v>
      </c>
      <c r="AV669" s="3">
        <v>0.61198830000000004</v>
      </c>
      <c r="AW669" s="3">
        <v>0.61758480000000004</v>
      </c>
      <c r="AX669" s="3">
        <v>0.62308079999999999</v>
      </c>
      <c r="AY669" s="3">
        <v>0.62849060000000001</v>
      </c>
      <c r="AZ669" s="3">
        <v>0.63382799999999995</v>
      </c>
      <c r="BA669" s="3">
        <v>0.63910549999999999</v>
      </c>
      <c r="BB669" s="3">
        <v>0.6443276</v>
      </c>
      <c r="BC669" s="3">
        <v>0.64949679999999999</v>
      </c>
      <c r="BD669" s="3">
        <v>0.65461570000000002</v>
      </c>
      <c r="BE669" s="3">
        <v>0.65968669999999996</v>
      </c>
      <c r="BF669" s="3">
        <v>0.66471239999999998</v>
      </c>
      <c r="BG669" s="3">
        <v>0.66969540000000005</v>
      </c>
      <c r="BH669" s="3">
        <v>0.67463799999999996</v>
      </c>
      <c r="BI669" s="3">
        <v>0.6795428</v>
      </c>
      <c r="BJ669" s="3">
        <v>0.68441240000000003</v>
      </c>
      <c r="BK669" s="3">
        <v>0.68924920000000001</v>
      </c>
      <c r="BL669" s="3">
        <v>0.69405570000000005</v>
      </c>
      <c r="BM669" s="3" t="e">
        <v>#N/A</v>
      </c>
      <c r="BN669" s="3" t="e">
        <v>#N/A</v>
      </c>
    </row>
    <row r="670" spans="1:66" x14ac:dyDescent="0.35">
      <c r="A670" s="5">
        <f t="shared" si="10"/>
        <v>44392</v>
      </c>
      <c r="B670" t="s">
        <v>747</v>
      </c>
      <c r="C670" s="2">
        <v>0.1</v>
      </c>
      <c r="D670" s="2">
        <v>5.0799999999999998E-2</v>
      </c>
      <c r="E670" s="3">
        <v>5.1041299999999998E-2</v>
      </c>
      <c r="F670" s="3">
        <v>5.5615499999999998E-2</v>
      </c>
      <c r="G670" s="3">
        <v>6.1760799999999998E-2</v>
      </c>
      <c r="H670" s="3">
        <v>6.9126000000000007E-2</v>
      </c>
      <c r="I670" s="3">
        <v>7.9468200000000003E-2</v>
      </c>
      <c r="J670" s="3">
        <v>9.41192E-2</v>
      </c>
      <c r="K670" s="3">
        <v>0.1132891</v>
      </c>
      <c r="L670" s="3">
        <v>0.13652310000000001</v>
      </c>
      <c r="M670" s="3">
        <v>0.16277749999999999</v>
      </c>
      <c r="N670" s="3">
        <v>0.19122819999999999</v>
      </c>
      <c r="O670" s="3">
        <v>0.22098039999999999</v>
      </c>
      <c r="P670" s="3">
        <v>0.25125589999999998</v>
      </c>
      <c r="Q670" s="3">
        <v>0.28103299999999998</v>
      </c>
      <c r="R670" s="3">
        <v>0.30993900000000002</v>
      </c>
      <c r="S670" s="3">
        <v>0.33779749999999997</v>
      </c>
      <c r="T670" s="3">
        <v>0.36443239999999999</v>
      </c>
      <c r="U670" s="3">
        <v>0.3896676</v>
      </c>
      <c r="V670" s="3">
        <v>0.41332679999999999</v>
      </c>
      <c r="W670" s="3">
        <v>0.43526959999999998</v>
      </c>
      <c r="X670" s="3">
        <v>0.45553850000000001</v>
      </c>
      <c r="Y670" s="3">
        <v>0.4742343</v>
      </c>
      <c r="Z670" s="3">
        <v>0.49145820000000001</v>
      </c>
      <c r="AA670" s="3">
        <v>0.50731099999999996</v>
      </c>
      <c r="AB670" s="3">
        <v>0.52189370000000002</v>
      </c>
      <c r="AC670" s="3">
        <v>0.53530310000000003</v>
      </c>
      <c r="AD670" s="3">
        <v>0.5476162</v>
      </c>
      <c r="AE670" s="3">
        <v>0.5589035</v>
      </c>
      <c r="AF670" s="3">
        <v>0.56923579999999996</v>
      </c>
      <c r="AG670" s="3">
        <v>0.57868379999999997</v>
      </c>
      <c r="AH670" s="3">
        <v>0.58731820000000001</v>
      </c>
      <c r="AI670" s="3">
        <v>0.59520980000000001</v>
      </c>
      <c r="AJ670" s="3">
        <v>0.6024292</v>
      </c>
      <c r="AK670" s="3">
        <v>0.60904709999999995</v>
      </c>
      <c r="AL670" s="3">
        <v>0.61513439999999997</v>
      </c>
      <c r="AM670" s="3">
        <v>0.62076160000000002</v>
      </c>
      <c r="AN670" s="3">
        <v>0.62599950000000004</v>
      </c>
      <c r="AO670" s="3">
        <v>0.63091209999999998</v>
      </c>
      <c r="AP670" s="3">
        <v>0.63553360000000003</v>
      </c>
      <c r="AQ670" s="3">
        <v>0.63988990000000001</v>
      </c>
      <c r="AR670" s="3">
        <v>0.6440072</v>
      </c>
      <c r="AS670" s="3">
        <v>0.64791149999999997</v>
      </c>
      <c r="AT670" s="3">
        <v>0.6516286</v>
      </c>
      <c r="AU670" s="3">
        <v>0.65518480000000001</v>
      </c>
      <c r="AV670" s="3">
        <v>0.65860589999999997</v>
      </c>
      <c r="AW670" s="3">
        <v>0.66191789999999995</v>
      </c>
      <c r="AX670" s="3">
        <v>0.66514700000000004</v>
      </c>
      <c r="AY670" s="3">
        <v>0.66831910000000005</v>
      </c>
      <c r="AZ670" s="3">
        <v>0.67146019999999995</v>
      </c>
      <c r="BA670" s="3">
        <v>0.67459309999999995</v>
      </c>
      <c r="BB670" s="3">
        <v>0.67772619999999995</v>
      </c>
      <c r="BC670" s="3">
        <v>0.68086409999999997</v>
      </c>
      <c r="BD670" s="3">
        <v>0.68401140000000005</v>
      </c>
      <c r="BE670" s="3">
        <v>0.68717240000000002</v>
      </c>
      <c r="BF670" s="3">
        <v>0.69035170000000001</v>
      </c>
      <c r="BG670" s="3">
        <v>0.69355389999999995</v>
      </c>
      <c r="BH670" s="3">
        <v>0.6967835</v>
      </c>
      <c r="BI670" s="3">
        <v>0.70004489999999997</v>
      </c>
      <c r="BJ670" s="3">
        <v>0.70334280000000005</v>
      </c>
      <c r="BK670" s="3">
        <v>0.70668149999999996</v>
      </c>
      <c r="BL670" s="3">
        <v>0.71006570000000002</v>
      </c>
      <c r="BM670" s="3" t="e">
        <v>#N/A</v>
      </c>
      <c r="BN670" s="3" t="e">
        <v>#N/A</v>
      </c>
    </row>
    <row r="671" spans="1:66" x14ac:dyDescent="0.35">
      <c r="A671" s="5">
        <f t="shared" si="10"/>
        <v>44393</v>
      </c>
      <c r="B671" t="s">
        <v>748</v>
      </c>
      <c r="C671" s="2">
        <v>0.1</v>
      </c>
      <c r="D671" s="2">
        <v>5.0599999999999999E-2</v>
      </c>
      <c r="E671" s="3">
        <v>5.03691E-2</v>
      </c>
      <c r="F671" s="3">
        <v>5.6260499999999998E-2</v>
      </c>
      <c r="G671" s="3">
        <v>6.2703900000000007E-2</v>
      </c>
      <c r="H671" s="3">
        <v>6.9854399999999997E-2</v>
      </c>
      <c r="I671" s="3">
        <v>7.9783400000000004E-2</v>
      </c>
      <c r="J671" s="3">
        <v>9.3625899999999998E-2</v>
      </c>
      <c r="K671" s="3">
        <v>0.1114005</v>
      </c>
      <c r="L671" s="3">
        <v>0.13265460000000001</v>
      </c>
      <c r="M671" s="3">
        <v>0.1567627</v>
      </c>
      <c r="N671" s="3">
        <v>0.18316660000000001</v>
      </c>
      <c r="O671" s="3">
        <v>0.2111026</v>
      </c>
      <c r="P671" s="3">
        <v>0.23978350000000001</v>
      </c>
      <c r="Q671" s="3">
        <v>0.26801740000000002</v>
      </c>
      <c r="R671" s="3">
        <v>0.2953635</v>
      </c>
      <c r="S671" s="3">
        <v>0.32166109999999998</v>
      </c>
      <c r="T671" s="3">
        <v>0.34674919999999998</v>
      </c>
      <c r="U671" s="3">
        <v>0.3704673</v>
      </c>
      <c r="V671" s="3">
        <v>0.39265460000000002</v>
      </c>
      <c r="W671" s="3">
        <v>0.4131879</v>
      </c>
      <c r="X671" s="3">
        <v>0.43211919999999998</v>
      </c>
      <c r="Y671" s="3">
        <v>0.44955070000000003</v>
      </c>
      <c r="Z671" s="3">
        <v>0.46558490000000002</v>
      </c>
      <c r="AA671" s="3">
        <v>0.48032409999999998</v>
      </c>
      <c r="AB671" s="3">
        <v>0.4938707</v>
      </c>
      <c r="AC671" s="3">
        <v>0.50632189999999999</v>
      </c>
      <c r="AD671" s="3">
        <v>0.51775230000000005</v>
      </c>
      <c r="AE671" s="3">
        <v>0.52822990000000003</v>
      </c>
      <c r="AF671" s="3">
        <v>0.53782289999999999</v>
      </c>
      <c r="AG671" s="3">
        <v>0.54659939999999996</v>
      </c>
      <c r="AH671" s="3">
        <v>0.5546276</v>
      </c>
      <c r="AI671" s="3">
        <v>0.56197549999999996</v>
      </c>
      <c r="AJ671" s="3">
        <v>0.56871150000000004</v>
      </c>
      <c r="AK671" s="3">
        <v>0.57490359999999996</v>
      </c>
      <c r="AL671" s="3">
        <v>0.58061989999999997</v>
      </c>
      <c r="AM671" s="3">
        <v>0.58592860000000002</v>
      </c>
      <c r="AN671" s="3">
        <v>0.59089780000000003</v>
      </c>
      <c r="AO671" s="3">
        <v>0.59558860000000002</v>
      </c>
      <c r="AP671" s="3">
        <v>0.60003019999999996</v>
      </c>
      <c r="AQ671" s="3">
        <v>0.60424330000000004</v>
      </c>
      <c r="AR671" s="3">
        <v>0.60824840000000002</v>
      </c>
      <c r="AS671" s="3">
        <v>0.61206609999999995</v>
      </c>
      <c r="AT671" s="3">
        <v>0.61571710000000002</v>
      </c>
      <c r="AU671" s="3">
        <v>0.61922180000000004</v>
      </c>
      <c r="AV671" s="3">
        <v>0.62260099999999996</v>
      </c>
      <c r="AW671" s="3">
        <v>0.62587519999999996</v>
      </c>
      <c r="AX671" s="3">
        <v>0.62906499999999999</v>
      </c>
      <c r="AY671" s="3">
        <v>0.63219099999999995</v>
      </c>
      <c r="AZ671" s="3">
        <v>0.63527370000000005</v>
      </c>
      <c r="BA671" s="3">
        <v>0.63833150000000005</v>
      </c>
      <c r="BB671" s="3">
        <v>0.64137189999999999</v>
      </c>
      <c r="BC671" s="3">
        <v>0.64439979999999997</v>
      </c>
      <c r="BD671" s="3">
        <v>0.64741990000000005</v>
      </c>
      <c r="BE671" s="3">
        <v>0.65043700000000004</v>
      </c>
      <c r="BF671" s="3">
        <v>0.65345580000000003</v>
      </c>
      <c r="BG671" s="3">
        <v>0.65648119999999999</v>
      </c>
      <c r="BH671" s="3">
        <v>0.65951789999999999</v>
      </c>
      <c r="BI671" s="3">
        <v>0.66257069999999996</v>
      </c>
      <c r="BJ671" s="3">
        <v>0.66564429999999997</v>
      </c>
      <c r="BK671" s="3">
        <v>0.66874359999999999</v>
      </c>
      <c r="BL671" s="3">
        <v>0.67187319999999995</v>
      </c>
      <c r="BM671" s="3" t="e">
        <v>#N/A</v>
      </c>
      <c r="BN671" s="3" t="e">
        <v>#N/A</v>
      </c>
    </row>
    <row r="672" spans="1:66" x14ac:dyDescent="0.35">
      <c r="A672" s="5">
        <f t="shared" si="10"/>
        <v>44396</v>
      </c>
      <c r="B672" t="s">
        <v>749</v>
      </c>
      <c r="C672" s="2">
        <v>0.1</v>
      </c>
      <c r="D672" s="2">
        <v>5.0799999999999998E-2</v>
      </c>
      <c r="E672" s="3">
        <v>4.9454699999999997E-2</v>
      </c>
      <c r="F672" s="3">
        <v>5.3651999999999998E-2</v>
      </c>
      <c r="G672" s="3">
        <v>5.8627100000000001E-2</v>
      </c>
      <c r="H672" s="3">
        <v>6.5046099999999996E-2</v>
      </c>
      <c r="I672" s="3">
        <v>7.4537699999999998E-2</v>
      </c>
      <c r="J672" s="3">
        <v>8.7886699999999998E-2</v>
      </c>
      <c r="K672" s="3">
        <v>0.10495400000000001</v>
      </c>
      <c r="L672" s="3">
        <v>0.12488109999999999</v>
      </c>
      <c r="M672" s="3">
        <v>0.14687249999999999</v>
      </c>
      <c r="N672" s="3">
        <v>0.17007610000000001</v>
      </c>
      <c r="O672" s="3">
        <v>0.19376370000000001</v>
      </c>
      <c r="P672" s="3">
        <v>0.21729299999999999</v>
      </c>
      <c r="Q672" s="3">
        <v>0.23987439999999999</v>
      </c>
      <c r="R672" s="3">
        <v>0.26134819999999997</v>
      </c>
      <c r="S672" s="3">
        <v>0.28173789999999999</v>
      </c>
      <c r="T672" s="3">
        <v>0.30106729999999998</v>
      </c>
      <c r="U672" s="3">
        <v>0.31935980000000003</v>
      </c>
      <c r="V672" s="3">
        <v>0.33663920000000003</v>
      </c>
      <c r="W672" s="3">
        <v>0.35292859999999998</v>
      </c>
      <c r="X672" s="3">
        <v>0.36824960000000001</v>
      </c>
      <c r="Y672" s="3">
        <v>0.38262350000000001</v>
      </c>
      <c r="Z672" s="3">
        <v>0.39607140000000002</v>
      </c>
      <c r="AA672" s="3">
        <v>0.40861439999999999</v>
      </c>
      <c r="AB672" s="3">
        <v>0.42027369999999997</v>
      </c>
      <c r="AC672" s="3">
        <v>0.43107529999999999</v>
      </c>
      <c r="AD672" s="3">
        <v>0.44106479999999998</v>
      </c>
      <c r="AE672" s="3">
        <v>0.45029259999999999</v>
      </c>
      <c r="AF672" s="3">
        <v>0.45880929999999998</v>
      </c>
      <c r="AG672" s="3">
        <v>0.4666652</v>
      </c>
      <c r="AH672" s="3">
        <v>0.47391090000000002</v>
      </c>
      <c r="AI672" s="3">
        <v>0.48059679999999999</v>
      </c>
      <c r="AJ672" s="3">
        <v>0.48677330000000002</v>
      </c>
      <c r="AK672" s="3">
        <v>0.49249100000000001</v>
      </c>
      <c r="AL672" s="3">
        <v>0.49780029999999997</v>
      </c>
      <c r="AM672" s="3">
        <v>0.50275159999999997</v>
      </c>
      <c r="AN672" s="3">
        <v>0.50739540000000005</v>
      </c>
      <c r="AO672" s="3">
        <v>0.51177850000000003</v>
      </c>
      <c r="AP672" s="3">
        <v>0.51593120000000003</v>
      </c>
      <c r="AQ672" s="3">
        <v>0.51987910000000004</v>
      </c>
      <c r="AR672" s="3">
        <v>0.52364809999999995</v>
      </c>
      <c r="AS672" s="3">
        <v>0.52726399999999995</v>
      </c>
      <c r="AT672" s="3">
        <v>0.53075240000000001</v>
      </c>
      <c r="AU672" s="3">
        <v>0.53413909999999998</v>
      </c>
      <c r="AV672" s="3">
        <v>0.53744979999999998</v>
      </c>
      <c r="AW672" s="3">
        <v>0.54071049999999998</v>
      </c>
      <c r="AX672" s="3">
        <v>0.54394670000000001</v>
      </c>
      <c r="AY672" s="3">
        <v>0.54718420000000001</v>
      </c>
      <c r="AZ672" s="3">
        <v>0.55044890000000002</v>
      </c>
      <c r="BA672" s="3">
        <v>0.55376340000000002</v>
      </c>
      <c r="BB672" s="3">
        <v>0.55713420000000002</v>
      </c>
      <c r="BC672" s="3">
        <v>0.56056260000000002</v>
      </c>
      <c r="BD672" s="3">
        <v>0.56404940000000003</v>
      </c>
      <c r="BE672" s="3">
        <v>0.56759599999999999</v>
      </c>
      <c r="BF672" s="3">
        <v>0.57120329999999997</v>
      </c>
      <c r="BG672" s="3">
        <v>0.57487239999999995</v>
      </c>
      <c r="BH672" s="3">
        <v>0.57860449999999997</v>
      </c>
      <c r="BI672" s="3">
        <v>0.58240049999999999</v>
      </c>
      <c r="BJ672" s="3">
        <v>0.5862617</v>
      </c>
      <c r="BK672" s="3">
        <v>0.59018910000000002</v>
      </c>
      <c r="BL672" s="3">
        <v>0.59418380000000004</v>
      </c>
      <c r="BM672" s="3" t="e">
        <v>#N/A</v>
      </c>
      <c r="BN672" s="3" t="e">
        <v>#N/A</v>
      </c>
    </row>
    <row r="673" spans="1:66" x14ac:dyDescent="0.35">
      <c r="A673" s="5">
        <f t="shared" si="10"/>
        <v>44397</v>
      </c>
      <c r="B673" t="s">
        <v>750</v>
      </c>
      <c r="C673" s="2">
        <v>0.1</v>
      </c>
      <c r="D673" s="2">
        <v>5.0999999999999997E-2</v>
      </c>
      <c r="E673" s="3">
        <v>5.1346999999999997E-2</v>
      </c>
      <c r="F673" s="3">
        <v>5.2629799999999997E-2</v>
      </c>
      <c r="G673" s="3">
        <v>5.5384500000000003E-2</v>
      </c>
      <c r="H673" s="3">
        <v>6.08292E-2</v>
      </c>
      <c r="I673" s="3">
        <v>7.0432400000000006E-2</v>
      </c>
      <c r="J673" s="3">
        <v>8.4844600000000006E-2</v>
      </c>
      <c r="K673" s="3">
        <v>0.1039086</v>
      </c>
      <c r="L673" s="3">
        <v>0.12657489999999999</v>
      </c>
      <c r="M673" s="3">
        <v>0.1517087</v>
      </c>
      <c r="N673" s="3">
        <v>0.1781353</v>
      </c>
      <c r="O673" s="3">
        <v>0.2048247</v>
      </c>
      <c r="P673" s="3">
        <v>0.23094419999999999</v>
      </c>
      <c r="Q673" s="3">
        <v>0.25566610000000001</v>
      </c>
      <c r="R673" s="3">
        <v>0.27881519999999999</v>
      </c>
      <c r="S673" s="3">
        <v>0.30039369999999999</v>
      </c>
      <c r="T673" s="3">
        <v>0.32040380000000002</v>
      </c>
      <c r="U673" s="3">
        <v>0.33884789999999998</v>
      </c>
      <c r="V673" s="3">
        <v>0.3557284</v>
      </c>
      <c r="W673" s="3">
        <v>0.37106359999999999</v>
      </c>
      <c r="X673" s="3">
        <v>0.38494729999999999</v>
      </c>
      <c r="Y673" s="3">
        <v>0.39749489999999998</v>
      </c>
      <c r="Z673" s="3">
        <v>0.40882180000000001</v>
      </c>
      <c r="AA673" s="3">
        <v>0.41904350000000001</v>
      </c>
      <c r="AB673" s="3">
        <v>0.42827539999999997</v>
      </c>
      <c r="AC673" s="3">
        <v>0.43662600000000001</v>
      </c>
      <c r="AD673" s="3">
        <v>0.4441754</v>
      </c>
      <c r="AE673" s="3">
        <v>0.45099669999999997</v>
      </c>
      <c r="AF673" s="3">
        <v>0.45716309999999999</v>
      </c>
      <c r="AG673" s="3">
        <v>0.46274779999999999</v>
      </c>
      <c r="AH673" s="3">
        <v>0.46782390000000001</v>
      </c>
      <c r="AI673" s="3">
        <v>0.47246450000000001</v>
      </c>
      <c r="AJ673" s="3">
        <v>0.47674290000000002</v>
      </c>
      <c r="AK673" s="3">
        <v>0.48073199999999999</v>
      </c>
      <c r="AL673" s="3">
        <v>0.48450520000000002</v>
      </c>
      <c r="AM673" s="3">
        <v>0.4881355</v>
      </c>
      <c r="AN673" s="3">
        <v>0.49169610000000002</v>
      </c>
      <c r="AO673" s="3">
        <v>0.49525239999999998</v>
      </c>
      <c r="AP673" s="3">
        <v>0.49882749999999998</v>
      </c>
      <c r="AQ673" s="3">
        <v>0.50243079999999996</v>
      </c>
      <c r="AR673" s="3">
        <v>0.50607139999999995</v>
      </c>
      <c r="AS673" s="3">
        <v>0.50975839999999994</v>
      </c>
      <c r="AT673" s="3">
        <v>0.51350110000000004</v>
      </c>
      <c r="AU673" s="3">
        <v>0.51730860000000001</v>
      </c>
      <c r="AV673" s="3">
        <v>0.52119020000000005</v>
      </c>
      <c r="AW673" s="3">
        <v>0.52515500000000004</v>
      </c>
      <c r="AX673" s="3">
        <v>0.52921209999999996</v>
      </c>
      <c r="AY673" s="3">
        <v>0.53337089999999998</v>
      </c>
      <c r="AZ673" s="3">
        <v>0.53764040000000002</v>
      </c>
      <c r="BA673" s="3">
        <v>0.5420275</v>
      </c>
      <c r="BB673" s="3">
        <v>0.54652789999999996</v>
      </c>
      <c r="BC673" s="3">
        <v>0.55113389999999995</v>
      </c>
      <c r="BD673" s="3">
        <v>0.55583769999999999</v>
      </c>
      <c r="BE673" s="3">
        <v>0.56063160000000001</v>
      </c>
      <c r="BF673" s="3">
        <v>0.5655078</v>
      </c>
      <c r="BG673" s="3">
        <v>0.57045869999999999</v>
      </c>
      <c r="BH673" s="3">
        <v>0.57547630000000005</v>
      </c>
      <c r="BI673" s="3">
        <v>0.58055319999999999</v>
      </c>
      <c r="BJ673" s="3">
        <v>0.58568129999999996</v>
      </c>
      <c r="BK673" s="3">
        <v>0.59085319999999997</v>
      </c>
      <c r="BL673" s="3">
        <v>0.5960609</v>
      </c>
      <c r="BM673" s="3" t="e">
        <v>#N/A</v>
      </c>
      <c r="BN673" s="3" t="e">
        <v>#N/A</v>
      </c>
    </row>
    <row r="674" spans="1:66" x14ac:dyDescent="0.35">
      <c r="A674" s="5">
        <f t="shared" si="10"/>
        <v>44398</v>
      </c>
      <c r="B674" t="s">
        <v>751</v>
      </c>
      <c r="C674" s="2">
        <v>0.1</v>
      </c>
      <c r="D674" s="2">
        <v>5.0700000000000002E-2</v>
      </c>
      <c r="E674" s="3">
        <v>5.0070200000000002E-2</v>
      </c>
      <c r="F674" s="3">
        <v>5.47126E-2</v>
      </c>
      <c r="G674" s="3">
        <v>5.9555799999999999E-2</v>
      </c>
      <c r="H674" s="3">
        <v>6.5368499999999996E-2</v>
      </c>
      <c r="I674" s="3">
        <v>7.4750899999999995E-2</v>
      </c>
      <c r="J674" s="3">
        <v>8.9173799999999998E-2</v>
      </c>
      <c r="K674" s="3">
        <v>0.1086797</v>
      </c>
      <c r="L674" s="3">
        <v>0.13206879999999999</v>
      </c>
      <c r="M674" s="3">
        <v>0.15773419999999999</v>
      </c>
      <c r="N674" s="3">
        <v>0.18422849999999999</v>
      </c>
      <c r="O674" s="3">
        <v>0.21047150000000001</v>
      </c>
      <c r="P674" s="3">
        <v>0.23574429999999999</v>
      </c>
      <c r="Q674" s="3">
        <v>0.25942599999999999</v>
      </c>
      <c r="R674" s="3">
        <v>0.28146569999999999</v>
      </c>
      <c r="S674" s="3">
        <v>0.30196489999999998</v>
      </c>
      <c r="T674" s="3">
        <v>0.32102520000000001</v>
      </c>
      <c r="U674" s="3">
        <v>0.3387481</v>
      </c>
      <c r="V674" s="3">
        <v>0.35523519999999997</v>
      </c>
      <c r="W674" s="3">
        <v>0.37058960000000002</v>
      </c>
      <c r="X674" s="3">
        <v>0.38492300000000002</v>
      </c>
      <c r="Y674" s="3">
        <v>0.39835029999999999</v>
      </c>
      <c r="Z674" s="3">
        <v>0.41098639999999997</v>
      </c>
      <c r="AA674" s="3">
        <v>0.42294589999999999</v>
      </c>
      <c r="AB674" s="3">
        <v>0.4343438</v>
      </c>
      <c r="AC674" s="3">
        <v>0.44527830000000002</v>
      </c>
      <c r="AD674" s="3">
        <v>0.45578079999999999</v>
      </c>
      <c r="AE674" s="3">
        <v>0.46586620000000001</v>
      </c>
      <c r="AF674" s="3">
        <v>0.47554950000000001</v>
      </c>
      <c r="AG674" s="3">
        <v>0.48484549999999998</v>
      </c>
      <c r="AH674" s="3">
        <v>0.49376910000000002</v>
      </c>
      <c r="AI674" s="3">
        <v>0.50233510000000003</v>
      </c>
      <c r="AJ674" s="3">
        <v>0.51055850000000003</v>
      </c>
      <c r="AK674" s="3">
        <v>0.51845410000000003</v>
      </c>
      <c r="AL674" s="3">
        <v>0.52603690000000003</v>
      </c>
      <c r="AM674" s="3">
        <v>0.53332159999999995</v>
      </c>
      <c r="AN674" s="3">
        <v>0.5403232</v>
      </c>
      <c r="AO674" s="3">
        <v>0.54705649999999995</v>
      </c>
      <c r="AP674" s="3">
        <v>0.55353649999999999</v>
      </c>
      <c r="AQ674" s="3">
        <v>0.55977779999999999</v>
      </c>
      <c r="AR674" s="3">
        <v>0.56579550000000001</v>
      </c>
      <c r="AS674" s="3">
        <v>0.57160429999999995</v>
      </c>
      <c r="AT674" s="3">
        <v>0.57721909999999998</v>
      </c>
      <c r="AU674" s="3">
        <v>0.58265480000000003</v>
      </c>
      <c r="AV674" s="3">
        <v>0.58792610000000001</v>
      </c>
      <c r="AW674" s="3">
        <v>0.59304789999999996</v>
      </c>
      <c r="AX674" s="3">
        <v>0.59803510000000004</v>
      </c>
      <c r="AY674" s="3">
        <v>0.60290250000000001</v>
      </c>
      <c r="AZ674" s="3">
        <v>0.60766500000000001</v>
      </c>
      <c r="BA674" s="3">
        <v>0.6123364</v>
      </c>
      <c r="BB674" s="3">
        <v>0.61692619999999998</v>
      </c>
      <c r="BC674" s="3">
        <v>0.62144290000000002</v>
      </c>
      <c r="BD674" s="3">
        <v>0.62589479999999997</v>
      </c>
      <c r="BE674" s="3">
        <v>0.63029029999999997</v>
      </c>
      <c r="BF674" s="3">
        <v>0.63463760000000002</v>
      </c>
      <c r="BG674" s="3">
        <v>0.63894519999999999</v>
      </c>
      <c r="BH674" s="3">
        <v>0.64322140000000005</v>
      </c>
      <c r="BI674" s="3">
        <v>0.64747460000000001</v>
      </c>
      <c r="BJ674" s="3">
        <v>0.65171319999999999</v>
      </c>
      <c r="BK674" s="3">
        <v>0.65594540000000001</v>
      </c>
      <c r="BL674" s="3">
        <v>0.66017959999999998</v>
      </c>
      <c r="BM674" s="3" t="e">
        <v>#N/A</v>
      </c>
      <c r="BN674" s="3" t="e">
        <v>#N/A</v>
      </c>
    </row>
    <row r="675" spans="1:66" x14ac:dyDescent="0.35">
      <c r="A675" s="5">
        <f t="shared" si="10"/>
        <v>44399</v>
      </c>
      <c r="B675" t="s">
        <v>752</v>
      </c>
      <c r="C675" s="2">
        <v>0.1</v>
      </c>
      <c r="D675" s="2">
        <v>5.0700000000000002E-2</v>
      </c>
      <c r="E675" s="3">
        <v>4.9703299999999999E-2</v>
      </c>
      <c r="F675" s="3">
        <v>5.1748700000000002E-2</v>
      </c>
      <c r="G675" s="3">
        <v>5.4944600000000003E-2</v>
      </c>
      <c r="H675" s="3">
        <v>6.0487699999999998E-2</v>
      </c>
      <c r="I675" s="3">
        <v>6.9475400000000007E-2</v>
      </c>
      <c r="J675" s="3">
        <v>8.2353999999999997E-2</v>
      </c>
      <c r="K675" s="3">
        <v>9.8859100000000005E-2</v>
      </c>
      <c r="L675" s="3">
        <v>0.11856029999999999</v>
      </c>
      <c r="M675" s="3">
        <v>0.14075470000000001</v>
      </c>
      <c r="N675" s="3">
        <v>0.16455900000000001</v>
      </c>
      <c r="O675" s="3">
        <v>0.1890636</v>
      </c>
      <c r="P675" s="3">
        <v>0.21348159999999999</v>
      </c>
      <c r="Q675" s="3">
        <v>0.236961</v>
      </c>
      <c r="R675" s="3">
        <v>0.25932529999999998</v>
      </c>
      <c r="S675" s="3">
        <v>0.28058699999999998</v>
      </c>
      <c r="T675" s="3">
        <v>0.30075849999999998</v>
      </c>
      <c r="U675" s="3">
        <v>0.31985249999999998</v>
      </c>
      <c r="V675" s="3">
        <v>0.3378814</v>
      </c>
      <c r="W675" s="3">
        <v>0.3548615</v>
      </c>
      <c r="X675" s="3">
        <v>0.37082789999999999</v>
      </c>
      <c r="Y675" s="3">
        <v>0.3858219</v>
      </c>
      <c r="Z675" s="3">
        <v>0.39988469999999998</v>
      </c>
      <c r="AA675" s="3">
        <v>0.41305750000000002</v>
      </c>
      <c r="AB675" s="3">
        <v>0.42538150000000002</v>
      </c>
      <c r="AC675" s="3">
        <v>0.43689830000000002</v>
      </c>
      <c r="AD675" s="3">
        <v>0.44765050000000001</v>
      </c>
      <c r="AE675" s="3">
        <v>0.45768130000000001</v>
      </c>
      <c r="AF675" s="3">
        <v>0.4670337</v>
      </c>
      <c r="AG675" s="3">
        <v>0.47575079999999997</v>
      </c>
      <c r="AH675" s="3">
        <v>0.48387580000000002</v>
      </c>
      <c r="AI675" s="3">
        <v>0.49145169999999999</v>
      </c>
      <c r="AJ675" s="3">
        <v>0.49852170000000001</v>
      </c>
      <c r="AK675" s="3">
        <v>0.50512880000000004</v>
      </c>
      <c r="AL675" s="3">
        <v>0.51131610000000005</v>
      </c>
      <c r="AM675" s="3">
        <v>0.51712670000000005</v>
      </c>
      <c r="AN675" s="3">
        <v>0.52260379999999995</v>
      </c>
      <c r="AO675" s="3">
        <v>0.52778729999999996</v>
      </c>
      <c r="AP675" s="3">
        <v>0.53270450000000003</v>
      </c>
      <c r="AQ675" s="3">
        <v>0.53737860000000004</v>
      </c>
      <c r="AR675" s="3">
        <v>0.54183309999999996</v>
      </c>
      <c r="AS675" s="3">
        <v>0.54609129999999995</v>
      </c>
      <c r="AT675" s="3">
        <v>0.55017669999999996</v>
      </c>
      <c r="AU675" s="3">
        <v>0.55411270000000001</v>
      </c>
      <c r="AV675" s="3">
        <v>0.55792260000000005</v>
      </c>
      <c r="AW675" s="3">
        <v>0.56162999999999996</v>
      </c>
      <c r="AX675" s="3">
        <v>0.56525800000000004</v>
      </c>
      <c r="AY675" s="3">
        <v>0.56883030000000001</v>
      </c>
      <c r="AZ675" s="3">
        <v>0.57237009999999999</v>
      </c>
      <c r="BA675" s="3">
        <v>0.57589800000000002</v>
      </c>
      <c r="BB675" s="3">
        <v>0.57942190000000005</v>
      </c>
      <c r="BC675" s="3">
        <v>0.58294610000000002</v>
      </c>
      <c r="BD675" s="3">
        <v>0.58647499999999997</v>
      </c>
      <c r="BE675" s="3">
        <v>0.59001289999999995</v>
      </c>
      <c r="BF675" s="3">
        <v>0.59356419999999999</v>
      </c>
      <c r="BG675" s="3">
        <v>0.59713320000000003</v>
      </c>
      <c r="BH675" s="3">
        <v>0.60072440000000005</v>
      </c>
      <c r="BI675" s="3">
        <v>0.60434209999999999</v>
      </c>
      <c r="BJ675" s="3">
        <v>0.60799060000000005</v>
      </c>
      <c r="BK675" s="3">
        <v>0.6116743</v>
      </c>
      <c r="BL675" s="3">
        <v>0.61539759999999999</v>
      </c>
      <c r="BM675" s="3" t="e">
        <v>#N/A</v>
      </c>
      <c r="BN675" s="3" t="e">
        <v>#N/A</v>
      </c>
    </row>
    <row r="676" spans="1:66" x14ac:dyDescent="0.35">
      <c r="A676" s="5">
        <f t="shared" si="10"/>
        <v>44400</v>
      </c>
      <c r="B676" t="s">
        <v>753</v>
      </c>
      <c r="C676" s="2">
        <v>0.1</v>
      </c>
      <c r="D676" s="2">
        <v>5.0700000000000002E-2</v>
      </c>
      <c r="E676" s="3">
        <v>4.9750099999999998E-2</v>
      </c>
      <c r="F676" s="3">
        <v>5.3225399999999999E-2</v>
      </c>
      <c r="G676" s="3">
        <v>5.6096300000000002E-2</v>
      </c>
      <c r="H676" s="3">
        <v>5.9228500000000003E-2</v>
      </c>
      <c r="I676" s="3">
        <v>6.5166100000000005E-2</v>
      </c>
      <c r="J676" s="3">
        <v>7.5678700000000002E-2</v>
      </c>
      <c r="K676" s="3">
        <v>9.1140899999999997E-2</v>
      </c>
      <c r="L676" s="3">
        <v>0.11102579999999999</v>
      </c>
      <c r="M676" s="3">
        <v>0.1341936</v>
      </c>
      <c r="N676" s="3">
        <v>0.15941569999999999</v>
      </c>
      <c r="O676" s="3">
        <v>0.18553829999999999</v>
      </c>
      <c r="P676" s="3">
        <v>0.21169389999999999</v>
      </c>
      <c r="Q676" s="3">
        <v>0.236905</v>
      </c>
      <c r="R676" s="3">
        <v>0.26093179999999999</v>
      </c>
      <c r="S676" s="3">
        <v>0.28378900000000001</v>
      </c>
      <c r="T676" s="3">
        <v>0.30549159999999997</v>
      </c>
      <c r="U676" s="3">
        <v>0.32605430000000002</v>
      </c>
      <c r="V676" s="3">
        <v>0.34549180000000002</v>
      </c>
      <c r="W676" s="3">
        <v>0.36382170000000003</v>
      </c>
      <c r="X676" s="3">
        <v>0.3810731</v>
      </c>
      <c r="Y676" s="3">
        <v>0.39727879999999999</v>
      </c>
      <c r="Z676" s="3">
        <v>0.41247149999999999</v>
      </c>
      <c r="AA676" s="3">
        <v>0.42668400000000001</v>
      </c>
      <c r="AB676" s="3">
        <v>0.43994879999999997</v>
      </c>
      <c r="AC676" s="3">
        <v>0.45230140000000002</v>
      </c>
      <c r="AD676" s="3">
        <v>0.4637888</v>
      </c>
      <c r="AE676" s="3">
        <v>0.47446129999999997</v>
      </c>
      <c r="AF676" s="3">
        <v>0.4843691</v>
      </c>
      <c r="AG676" s="3">
        <v>0.49356240000000001</v>
      </c>
      <c r="AH676" s="3">
        <v>0.50209150000000002</v>
      </c>
      <c r="AI676" s="3">
        <v>0.51000670000000004</v>
      </c>
      <c r="AJ676" s="3">
        <v>0.51735810000000004</v>
      </c>
      <c r="AK676" s="3">
        <v>0.524196</v>
      </c>
      <c r="AL676" s="3">
        <v>0.53057069999999995</v>
      </c>
      <c r="AM676" s="3">
        <v>0.53653249999999997</v>
      </c>
      <c r="AN676" s="3">
        <v>0.54213140000000004</v>
      </c>
      <c r="AO676" s="3">
        <v>0.54741419999999996</v>
      </c>
      <c r="AP676" s="3">
        <v>0.55241090000000004</v>
      </c>
      <c r="AQ676" s="3">
        <v>0.55714699999999995</v>
      </c>
      <c r="AR676" s="3">
        <v>0.56164840000000005</v>
      </c>
      <c r="AS676" s="3">
        <v>0.56594040000000001</v>
      </c>
      <c r="AT676" s="3">
        <v>0.57004869999999996</v>
      </c>
      <c r="AU676" s="3">
        <v>0.57399900000000004</v>
      </c>
      <c r="AV676" s="3">
        <v>0.57781689999999997</v>
      </c>
      <c r="AW676" s="3">
        <v>0.58152780000000004</v>
      </c>
      <c r="AX676" s="3">
        <v>0.58515760000000006</v>
      </c>
      <c r="AY676" s="3">
        <v>0.58873160000000002</v>
      </c>
      <c r="AZ676" s="3">
        <v>0.59227560000000001</v>
      </c>
      <c r="BA676" s="3">
        <v>0.59581189999999995</v>
      </c>
      <c r="BB676" s="3">
        <v>0.59934810000000005</v>
      </c>
      <c r="BC676" s="3">
        <v>0.60288799999999998</v>
      </c>
      <c r="BD676" s="3">
        <v>0.60643530000000001</v>
      </c>
      <c r="BE676" s="3">
        <v>0.60999360000000002</v>
      </c>
      <c r="BF676" s="3">
        <v>0.61356659999999996</v>
      </c>
      <c r="BG676" s="3">
        <v>0.61715810000000004</v>
      </c>
      <c r="BH676" s="3">
        <v>0.62077170000000004</v>
      </c>
      <c r="BI676" s="3">
        <v>0.6244111</v>
      </c>
      <c r="BJ676" s="3">
        <v>0.62807999999999997</v>
      </c>
      <c r="BK676" s="3">
        <v>0.63178219999999996</v>
      </c>
      <c r="BL676" s="3">
        <v>0.63552120000000001</v>
      </c>
      <c r="BM676" s="3" t="e">
        <v>#N/A</v>
      </c>
      <c r="BN676" s="3" t="e">
        <v>#N/A</v>
      </c>
    </row>
    <row r="677" spans="1:66" x14ac:dyDescent="0.35">
      <c r="A677" s="5">
        <f t="shared" si="10"/>
        <v>44403</v>
      </c>
      <c r="B677" t="s">
        <v>754</v>
      </c>
      <c r="C677" s="2">
        <v>0.1</v>
      </c>
      <c r="D677" s="2">
        <v>5.0200000000000002E-2</v>
      </c>
      <c r="E677" s="3">
        <v>5.0520799999999998E-2</v>
      </c>
      <c r="F677" s="3">
        <v>5.3274700000000001E-2</v>
      </c>
      <c r="G677" s="3">
        <v>5.6710200000000002E-2</v>
      </c>
      <c r="H677" s="3">
        <v>6.1115900000000001E-2</v>
      </c>
      <c r="I677" s="3">
        <v>6.7721199999999995E-2</v>
      </c>
      <c r="J677" s="3">
        <v>7.7886499999999997E-2</v>
      </c>
      <c r="K677" s="3">
        <v>9.2327800000000002E-2</v>
      </c>
      <c r="L677" s="3">
        <v>0.11094279999999999</v>
      </c>
      <c r="M677" s="3">
        <v>0.13315969999999999</v>
      </c>
      <c r="N677" s="3">
        <v>0.15771180000000001</v>
      </c>
      <c r="O677" s="3">
        <v>0.1834374</v>
      </c>
      <c r="P677" s="3">
        <v>0.2093361</v>
      </c>
      <c r="Q677" s="3">
        <v>0.2342485</v>
      </c>
      <c r="R677" s="3">
        <v>0.25789519999999999</v>
      </c>
      <c r="S677" s="3">
        <v>0.28024959999999999</v>
      </c>
      <c r="T677" s="3">
        <v>0.30128519999999998</v>
      </c>
      <c r="U677" s="3">
        <v>0.32097540000000002</v>
      </c>
      <c r="V677" s="3">
        <v>0.33929359999999997</v>
      </c>
      <c r="W677" s="3">
        <v>0.35623700000000003</v>
      </c>
      <c r="X677" s="3">
        <v>0.37191259999999998</v>
      </c>
      <c r="Y677" s="3">
        <v>0.38645960000000001</v>
      </c>
      <c r="Z677" s="3">
        <v>0.40001690000000001</v>
      </c>
      <c r="AA677" s="3">
        <v>0.41272340000000002</v>
      </c>
      <c r="AB677" s="3">
        <v>0.42471819999999999</v>
      </c>
      <c r="AC677" s="3">
        <v>0.43612079999999998</v>
      </c>
      <c r="AD677" s="3">
        <v>0.44697239999999999</v>
      </c>
      <c r="AE677" s="3">
        <v>0.45729500000000001</v>
      </c>
      <c r="AF677" s="3">
        <v>0.46711019999999998</v>
      </c>
      <c r="AG677" s="3">
        <v>0.47643990000000003</v>
      </c>
      <c r="AH677" s="3">
        <v>0.48530600000000002</v>
      </c>
      <c r="AI677" s="3">
        <v>0.49373030000000001</v>
      </c>
      <c r="AJ677" s="3">
        <v>0.50173449999999997</v>
      </c>
      <c r="AK677" s="3">
        <v>0.50934049999999997</v>
      </c>
      <c r="AL677" s="3">
        <v>0.51657010000000003</v>
      </c>
      <c r="AM677" s="3">
        <v>0.5234451</v>
      </c>
      <c r="AN677" s="3">
        <v>0.52998730000000005</v>
      </c>
      <c r="AO677" s="3">
        <v>0.53621810000000003</v>
      </c>
      <c r="AP677" s="3">
        <v>0.54215659999999999</v>
      </c>
      <c r="AQ677" s="3">
        <v>0.54782140000000001</v>
      </c>
      <c r="AR677" s="3">
        <v>0.55323109999999998</v>
      </c>
      <c r="AS677" s="3">
        <v>0.55840440000000002</v>
      </c>
      <c r="AT677" s="3">
        <v>0.56335970000000002</v>
      </c>
      <c r="AU677" s="3">
        <v>0.5681157</v>
      </c>
      <c r="AV677" s="3">
        <v>0.57269099999999995</v>
      </c>
      <c r="AW677" s="3">
        <v>0.57710410000000001</v>
      </c>
      <c r="AX677" s="3">
        <v>0.58137360000000005</v>
      </c>
      <c r="AY677" s="3">
        <v>0.58551810000000004</v>
      </c>
      <c r="AZ677" s="3">
        <v>0.58955630000000003</v>
      </c>
      <c r="BA677" s="3">
        <v>0.59350559999999997</v>
      </c>
      <c r="BB677" s="3">
        <v>0.59737750000000001</v>
      </c>
      <c r="BC677" s="3">
        <v>0.60118170000000004</v>
      </c>
      <c r="BD677" s="3">
        <v>0.60492789999999996</v>
      </c>
      <c r="BE677" s="3">
        <v>0.60862550000000004</v>
      </c>
      <c r="BF677" s="3">
        <v>0.61228419999999995</v>
      </c>
      <c r="BG677" s="3">
        <v>0.61591359999999995</v>
      </c>
      <c r="BH677" s="3">
        <v>0.6195233</v>
      </c>
      <c r="BI677" s="3">
        <v>0.62312290000000004</v>
      </c>
      <c r="BJ677" s="3">
        <v>0.626722</v>
      </c>
      <c r="BK677" s="3">
        <v>0.63033019999999995</v>
      </c>
      <c r="BL677" s="3">
        <v>0.6339572</v>
      </c>
      <c r="BM677" s="3" t="e">
        <v>#N/A</v>
      </c>
      <c r="BN677" s="3" t="e">
        <v>#N/A</v>
      </c>
    </row>
    <row r="678" spans="1:66" x14ac:dyDescent="0.35">
      <c r="A678" s="5">
        <f t="shared" si="10"/>
        <v>44404</v>
      </c>
      <c r="B678" t="s">
        <v>755</v>
      </c>
      <c r="C678" s="2">
        <v>0.1</v>
      </c>
      <c r="D678" s="2">
        <v>5.0700000000000002E-2</v>
      </c>
      <c r="E678" s="3">
        <v>5.2374900000000002E-2</v>
      </c>
      <c r="F678" s="3">
        <v>5.4082100000000001E-2</v>
      </c>
      <c r="G678" s="3">
        <v>5.5957899999999998E-2</v>
      </c>
      <c r="H678" s="3">
        <v>5.93056E-2</v>
      </c>
      <c r="I678" s="3">
        <v>6.5766699999999997E-2</v>
      </c>
      <c r="J678" s="3">
        <v>7.6346800000000006E-2</v>
      </c>
      <c r="K678" s="3">
        <v>9.1267100000000004E-2</v>
      </c>
      <c r="L678" s="3">
        <v>0.110162</v>
      </c>
      <c r="M678" s="3">
        <v>0.13236210000000001</v>
      </c>
      <c r="N678" s="3">
        <v>0.15674099999999999</v>
      </c>
      <c r="O678" s="3">
        <v>0.18224580000000001</v>
      </c>
      <c r="P678" s="3">
        <v>0.20796719999999999</v>
      </c>
      <c r="Q678" s="3">
        <v>0.2328431</v>
      </c>
      <c r="R678" s="3">
        <v>0.25661529999999999</v>
      </c>
      <c r="S678" s="3">
        <v>0.27925440000000001</v>
      </c>
      <c r="T678" s="3">
        <v>0.30073129999999998</v>
      </c>
      <c r="U678" s="3">
        <v>0.32101659999999999</v>
      </c>
      <c r="V678" s="3">
        <v>0.34008119999999997</v>
      </c>
      <c r="W678" s="3">
        <v>0.35791030000000001</v>
      </c>
      <c r="X678" s="3">
        <v>0.37455650000000001</v>
      </c>
      <c r="Y678" s="3">
        <v>0.39009169999999999</v>
      </c>
      <c r="Z678" s="3">
        <v>0.40458810000000001</v>
      </c>
      <c r="AA678" s="3">
        <v>0.41811769999999998</v>
      </c>
      <c r="AB678" s="3">
        <v>0.43075239999999998</v>
      </c>
      <c r="AC678" s="3">
        <v>0.44255939999999999</v>
      </c>
      <c r="AD678" s="3">
        <v>0.45358609999999999</v>
      </c>
      <c r="AE678" s="3">
        <v>0.46387469999999997</v>
      </c>
      <c r="AF678" s="3">
        <v>0.47346769999999999</v>
      </c>
      <c r="AG678" s="3">
        <v>0.48240749999999999</v>
      </c>
      <c r="AH678" s="3">
        <v>0.49073630000000001</v>
      </c>
      <c r="AI678" s="3">
        <v>0.49849670000000001</v>
      </c>
      <c r="AJ678" s="3">
        <v>0.50573100000000004</v>
      </c>
      <c r="AK678" s="3">
        <v>0.51248150000000003</v>
      </c>
      <c r="AL678" s="3">
        <v>0.51879070000000005</v>
      </c>
      <c r="AM678" s="3">
        <v>0.52470090000000003</v>
      </c>
      <c r="AN678" s="3">
        <v>0.53025449999999996</v>
      </c>
      <c r="AO678" s="3">
        <v>0.53549150000000001</v>
      </c>
      <c r="AP678" s="3">
        <v>0.54043920000000001</v>
      </c>
      <c r="AQ678" s="3">
        <v>0.54512050000000001</v>
      </c>
      <c r="AR678" s="3">
        <v>0.54955849999999995</v>
      </c>
      <c r="AS678" s="3">
        <v>0.55377600000000005</v>
      </c>
      <c r="AT678" s="3">
        <v>0.55779619999999996</v>
      </c>
      <c r="AU678" s="3">
        <v>0.56164199999999997</v>
      </c>
      <c r="AV678" s="3">
        <v>0.56533639999999996</v>
      </c>
      <c r="AW678" s="3">
        <v>0.56890229999999997</v>
      </c>
      <c r="AX678" s="3">
        <v>0.5723627</v>
      </c>
      <c r="AY678" s="3">
        <v>0.57574069999999999</v>
      </c>
      <c r="AZ678" s="3">
        <v>0.5790592</v>
      </c>
      <c r="BA678" s="3">
        <v>0.58233880000000005</v>
      </c>
      <c r="BB678" s="3">
        <v>0.58558860000000001</v>
      </c>
      <c r="BC678" s="3">
        <v>0.58881419999999995</v>
      </c>
      <c r="BD678" s="3">
        <v>0.59202109999999997</v>
      </c>
      <c r="BE678" s="3">
        <v>0.59521480000000004</v>
      </c>
      <c r="BF678" s="3">
        <v>0.59840110000000002</v>
      </c>
      <c r="BG678" s="3">
        <v>0.60158529999999999</v>
      </c>
      <c r="BH678" s="3">
        <v>0.60477320000000001</v>
      </c>
      <c r="BI678" s="3">
        <v>0.60797009999999996</v>
      </c>
      <c r="BJ678" s="3">
        <v>0.6111818</v>
      </c>
      <c r="BK678" s="3">
        <v>0.61441380000000001</v>
      </c>
      <c r="BL678" s="3">
        <v>0.61767159999999999</v>
      </c>
      <c r="BM678" s="3" t="e">
        <v>#N/A</v>
      </c>
      <c r="BN678" s="3" t="e">
        <v>#N/A</v>
      </c>
    </row>
    <row r="679" spans="1:66" x14ac:dyDescent="0.35">
      <c r="A679" s="5">
        <f t="shared" si="10"/>
        <v>44405</v>
      </c>
      <c r="B679" t="s">
        <v>756</v>
      </c>
      <c r="C679" s="2">
        <v>0.1</v>
      </c>
      <c r="D679" s="2">
        <v>5.0700000000000002E-2</v>
      </c>
      <c r="E679" s="3">
        <v>5.1513999999999997E-2</v>
      </c>
      <c r="F679" s="3">
        <v>5.9169399999999997E-2</v>
      </c>
      <c r="G679" s="3">
        <v>6.1647199999999999E-2</v>
      </c>
      <c r="H679" s="3">
        <v>6.0875100000000001E-2</v>
      </c>
      <c r="I679" s="3">
        <v>6.4177499999999998E-2</v>
      </c>
      <c r="J679" s="3">
        <v>7.5237499999999999E-2</v>
      </c>
      <c r="K679" s="3">
        <v>9.4005900000000003E-2</v>
      </c>
      <c r="L679" s="3">
        <v>0.1181314</v>
      </c>
      <c r="M679" s="3">
        <v>0.14498240000000001</v>
      </c>
      <c r="N679" s="3">
        <v>0.17276620000000001</v>
      </c>
      <c r="O679" s="3">
        <v>0.2003819</v>
      </c>
      <c r="P679" s="3">
        <v>0.22720299999999999</v>
      </c>
      <c r="Q679" s="3">
        <v>0.25260519999999997</v>
      </c>
      <c r="R679" s="3">
        <v>0.27650570000000002</v>
      </c>
      <c r="S679" s="3">
        <v>0.29897689999999999</v>
      </c>
      <c r="T679" s="3">
        <v>0.32009100000000001</v>
      </c>
      <c r="U679" s="3">
        <v>0.3399201</v>
      </c>
      <c r="V679" s="3">
        <v>0.35853649999999998</v>
      </c>
      <c r="W679" s="3">
        <v>0.37601040000000002</v>
      </c>
      <c r="X679" s="3">
        <v>0.39240029999999998</v>
      </c>
      <c r="Y679" s="3">
        <v>0.40776099999999998</v>
      </c>
      <c r="Z679" s="3">
        <v>0.42214699999999999</v>
      </c>
      <c r="AA679" s="3">
        <v>0.43561299999999997</v>
      </c>
      <c r="AB679" s="3">
        <v>0.44821349999999999</v>
      </c>
      <c r="AC679" s="3">
        <v>0.4600013</v>
      </c>
      <c r="AD679" s="3">
        <v>0.47102179999999999</v>
      </c>
      <c r="AE679" s="3">
        <v>0.48131849999999998</v>
      </c>
      <c r="AF679" s="3">
        <v>0.4909348</v>
      </c>
      <c r="AG679" s="3">
        <v>0.49991429999999998</v>
      </c>
      <c r="AH679" s="3">
        <v>0.50830039999999999</v>
      </c>
      <c r="AI679" s="3">
        <v>0.5161367</v>
      </c>
      <c r="AJ679" s="3">
        <v>0.5234666</v>
      </c>
      <c r="AK679" s="3">
        <v>0.53033370000000002</v>
      </c>
      <c r="AL679" s="3">
        <v>0.53678130000000002</v>
      </c>
      <c r="AM679" s="3">
        <v>0.54285309999999998</v>
      </c>
      <c r="AN679" s="3">
        <v>0.54859250000000004</v>
      </c>
      <c r="AO679" s="3">
        <v>0.55404019999999998</v>
      </c>
      <c r="AP679" s="3">
        <v>0.55922349999999998</v>
      </c>
      <c r="AQ679" s="3">
        <v>0.56416529999999998</v>
      </c>
      <c r="AR679" s="3">
        <v>0.56888870000000002</v>
      </c>
      <c r="AS679" s="3">
        <v>0.5734167</v>
      </c>
      <c r="AT679" s="3">
        <v>0.57777239999999996</v>
      </c>
      <c r="AU679" s="3">
        <v>0.58197889999999997</v>
      </c>
      <c r="AV679" s="3">
        <v>0.58605910000000005</v>
      </c>
      <c r="AW679" s="3">
        <v>0.59003609999999995</v>
      </c>
      <c r="AX679" s="3">
        <v>0.59393309999999999</v>
      </c>
      <c r="AY679" s="3">
        <v>0.59777290000000005</v>
      </c>
      <c r="AZ679" s="3">
        <v>0.60157870000000002</v>
      </c>
      <c r="BA679" s="3">
        <v>0.60537039999999998</v>
      </c>
      <c r="BB679" s="3">
        <v>0.60915359999999996</v>
      </c>
      <c r="BC679" s="3">
        <v>0.61293019999999998</v>
      </c>
      <c r="BD679" s="3">
        <v>0.61670210000000003</v>
      </c>
      <c r="BE679" s="3">
        <v>0.6204712</v>
      </c>
      <c r="BF679" s="3">
        <v>0.62423919999999999</v>
      </c>
      <c r="BG679" s="3">
        <v>0.62800809999999996</v>
      </c>
      <c r="BH679" s="3">
        <v>0.63177970000000006</v>
      </c>
      <c r="BI679" s="3">
        <v>0.63555589999999995</v>
      </c>
      <c r="BJ679" s="3">
        <v>0.63933850000000003</v>
      </c>
      <c r="BK679" s="3">
        <v>0.64312939999999996</v>
      </c>
      <c r="BL679" s="3">
        <v>0.64693049999999996</v>
      </c>
      <c r="BM679" s="3" t="e">
        <v>#N/A</v>
      </c>
      <c r="BN679" s="3" t="e">
        <v>#N/A</v>
      </c>
    </row>
    <row r="680" spans="1:66" x14ac:dyDescent="0.35">
      <c r="A680" s="5">
        <f t="shared" si="10"/>
        <v>44406</v>
      </c>
      <c r="B680" t="s">
        <v>757</v>
      </c>
      <c r="C680" s="2">
        <v>0.1</v>
      </c>
      <c r="D680" s="2">
        <v>5.04E-2</v>
      </c>
      <c r="E680" s="3">
        <v>5.1552099999999997E-2</v>
      </c>
      <c r="F680" s="3">
        <v>5.9044300000000001E-2</v>
      </c>
      <c r="G680" s="3">
        <v>6.1918099999999997E-2</v>
      </c>
      <c r="H680" s="3">
        <v>6.2170799999999998E-2</v>
      </c>
      <c r="I680" s="3">
        <v>6.6350999999999993E-2</v>
      </c>
      <c r="J680" s="3">
        <v>7.7179899999999996E-2</v>
      </c>
      <c r="K680" s="3">
        <v>9.3963400000000002E-2</v>
      </c>
      <c r="L680" s="3">
        <v>0.1152569</v>
      </c>
      <c r="M680" s="3">
        <v>0.1394938</v>
      </c>
      <c r="N680" s="3">
        <v>0.16539019999999999</v>
      </c>
      <c r="O680" s="3">
        <v>0.19189300000000001</v>
      </c>
      <c r="P680" s="3">
        <v>0.2181932</v>
      </c>
      <c r="Q680" s="3">
        <v>0.24335409999999999</v>
      </c>
      <c r="R680" s="3">
        <v>0.26718619999999998</v>
      </c>
      <c r="S680" s="3">
        <v>0.28971570000000002</v>
      </c>
      <c r="T680" s="3">
        <v>0.31096869999999999</v>
      </c>
      <c r="U680" s="3">
        <v>0.33097110000000002</v>
      </c>
      <c r="V680" s="3">
        <v>0.34974909999999998</v>
      </c>
      <c r="W680" s="3">
        <v>0.3673341</v>
      </c>
      <c r="X680" s="3">
        <v>0.38378469999999998</v>
      </c>
      <c r="Y680" s="3">
        <v>0.39916839999999998</v>
      </c>
      <c r="Z680" s="3">
        <v>0.41355239999999999</v>
      </c>
      <c r="AA680" s="3">
        <v>0.4270042</v>
      </c>
      <c r="AB680" s="3">
        <v>0.43959120000000002</v>
      </c>
      <c r="AC680" s="3">
        <v>0.45137680000000002</v>
      </c>
      <c r="AD680" s="3">
        <v>0.46240599999999998</v>
      </c>
      <c r="AE680" s="3">
        <v>0.47271760000000002</v>
      </c>
      <c r="AF680" s="3">
        <v>0.48235099999999997</v>
      </c>
      <c r="AG680" s="3">
        <v>0.49134499999999998</v>
      </c>
      <c r="AH680" s="3">
        <v>0.49973889999999999</v>
      </c>
      <c r="AI680" s="3">
        <v>0.50757169999999996</v>
      </c>
      <c r="AJ680" s="3">
        <v>0.51488239999999996</v>
      </c>
      <c r="AK680" s="3">
        <v>0.52171029999999996</v>
      </c>
      <c r="AL680" s="3">
        <v>0.52809419999999996</v>
      </c>
      <c r="AM680" s="3">
        <v>0.53407340000000003</v>
      </c>
      <c r="AN680" s="3">
        <v>0.53968689999999997</v>
      </c>
      <c r="AO680" s="3">
        <v>0.54497200000000001</v>
      </c>
      <c r="AP680" s="3">
        <v>0.54995799999999995</v>
      </c>
      <c r="AQ680" s="3">
        <v>0.55467200000000005</v>
      </c>
      <c r="AR680" s="3">
        <v>0.559141</v>
      </c>
      <c r="AS680" s="3">
        <v>0.56339229999999996</v>
      </c>
      <c r="AT680" s="3">
        <v>0.56745279999999998</v>
      </c>
      <c r="AU680" s="3">
        <v>0.57134980000000002</v>
      </c>
      <c r="AV680" s="3">
        <v>0.57511020000000002</v>
      </c>
      <c r="AW680" s="3">
        <v>0.57876119999999998</v>
      </c>
      <c r="AX680" s="3">
        <v>0.58232989999999996</v>
      </c>
      <c r="AY680" s="3">
        <v>0.58584340000000001</v>
      </c>
      <c r="AZ680" s="3">
        <v>0.58932870000000004</v>
      </c>
      <c r="BA680" s="3">
        <v>0.59280940000000004</v>
      </c>
      <c r="BB680" s="3">
        <v>0.59629290000000001</v>
      </c>
      <c r="BC680" s="3">
        <v>0.59978189999999998</v>
      </c>
      <c r="BD680" s="3">
        <v>0.60327960000000003</v>
      </c>
      <c r="BE680" s="3">
        <v>0.60678889999999996</v>
      </c>
      <c r="BF680" s="3">
        <v>0.61031259999999998</v>
      </c>
      <c r="BG680" s="3">
        <v>0.61385369999999995</v>
      </c>
      <c r="BH680" s="3">
        <v>0.61741520000000005</v>
      </c>
      <c r="BI680" s="3">
        <v>0.621</v>
      </c>
      <c r="BJ680" s="3">
        <v>0.62461100000000003</v>
      </c>
      <c r="BK680" s="3">
        <v>0.62825120000000001</v>
      </c>
      <c r="BL680" s="3">
        <v>0.63192349999999997</v>
      </c>
      <c r="BM680" s="3" t="e">
        <v>#N/A</v>
      </c>
      <c r="BN680" s="3" t="e">
        <v>#N/A</v>
      </c>
    </row>
    <row r="681" spans="1:66" x14ac:dyDescent="0.35">
      <c r="A681" s="5">
        <f t="shared" si="10"/>
        <v>44407</v>
      </c>
      <c r="B681" t="s">
        <v>758</v>
      </c>
      <c r="C681" s="2">
        <v>0.1</v>
      </c>
      <c r="D681" s="2">
        <v>5.0599999999999999E-2</v>
      </c>
      <c r="E681" s="3">
        <v>5.2454599999999997E-2</v>
      </c>
      <c r="F681" s="3">
        <v>5.9202400000000002E-2</v>
      </c>
      <c r="G681" s="3">
        <v>6.0498999999999997E-2</v>
      </c>
      <c r="H681" s="3">
        <v>5.8526099999999998E-2</v>
      </c>
      <c r="I681" s="3">
        <v>6.0809099999999998E-2</v>
      </c>
      <c r="J681" s="3">
        <v>7.0711200000000002E-2</v>
      </c>
      <c r="K681" s="3">
        <v>8.7588799999999994E-2</v>
      </c>
      <c r="L681" s="3">
        <v>0.1095851</v>
      </c>
      <c r="M681" s="3">
        <v>0.1347083</v>
      </c>
      <c r="N681" s="3">
        <v>0.1612912</v>
      </c>
      <c r="O681" s="3">
        <v>0.18801770000000001</v>
      </c>
      <c r="P681" s="3">
        <v>0.21413409999999999</v>
      </c>
      <c r="Q681" s="3">
        <v>0.2388402</v>
      </c>
      <c r="R681" s="3">
        <v>0.26200869999999998</v>
      </c>
      <c r="S681" s="3">
        <v>0.28374559999999999</v>
      </c>
      <c r="T681" s="3">
        <v>0.30415710000000001</v>
      </c>
      <c r="U681" s="3">
        <v>0.32334950000000001</v>
      </c>
      <c r="V681" s="3">
        <v>0.34142909999999999</v>
      </c>
      <c r="W681" s="3">
        <v>0.35849170000000002</v>
      </c>
      <c r="X681" s="3">
        <v>0.37458560000000002</v>
      </c>
      <c r="Y681" s="3">
        <v>0.38974510000000001</v>
      </c>
      <c r="Z681" s="3">
        <v>0.40400459999999999</v>
      </c>
      <c r="AA681" s="3">
        <v>0.4173984</v>
      </c>
      <c r="AB681" s="3">
        <v>0.42996089999999998</v>
      </c>
      <c r="AC681" s="3">
        <v>0.44172729999999999</v>
      </c>
      <c r="AD681" s="3">
        <v>0.45273600000000003</v>
      </c>
      <c r="AE681" s="3">
        <v>0.4630264</v>
      </c>
      <c r="AF681" s="3">
        <v>0.472638</v>
      </c>
      <c r="AG681" s="3">
        <v>0.48160999999999998</v>
      </c>
      <c r="AH681" s="3">
        <v>0.48998199999999997</v>
      </c>
      <c r="AI681" s="3">
        <v>0.49779319999999999</v>
      </c>
      <c r="AJ681" s="3">
        <v>0.50508319999999995</v>
      </c>
      <c r="AK681" s="3">
        <v>0.51189130000000005</v>
      </c>
      <c r="AL681" s="3">
        <v>0.51825699999999997</v>
      </c>
      <c r="AM681" s="3">
        <v>0.52421949999999995</v>
      </c>
      <c r="AN681" s="3">
        <v>0.52981840000000002</v>
      </c>
      <c r="AO681" s="3">
        <v>0.53509070000000003</v>
      </c>
      <c r="AP681" s="3">
        <v>0.54006379999999998</v>
      </c>
      <c r="AQ681" s="3">
        <v>0.54476219999999997</v>
      </c>
      <c r="AR681" s="3">
        <v>0.54921030000000004</v>
      </c>
      <c r="AS681" s="3">
        <v>0.55343279999999995</v>
      </c>
      <c r="AT681" s="3">
        <v>0.55745420000000001</v>
      </c>
      <c r="AU681" s="3">
        <v>0.56129899999999999</v>
      </c>
      <c r="AV681" s="3">
        <v>0.56499180000000004</v>
      </c>
      <c r="AW681" s="3">
        <v>0.56855699999999998</v>
      </c>
      <c r="AX681" s="3">
        <v>0.57201930000000001</v>
      </c>
      <c r="AY681" s="3">
        <v>0.57540309999999995</v>
      </c>
      <c r="AZ681" s="3">
        <v>0.57873300000000005</v>
      </c>
      <c r="BA681" s="3">
        <v>0.58203050000000001</v>
      </c>
      <c r="BB681" s="3">
        <v>0.58530329999999997</v>
      </c>
      <c r="BC681" s="3">
        <v>0.58855559999999996</v>
      </c>
      <c r="BD681" s="3">
        <v>0.59179139999999997</v>
      </c>
      <c r="BE681" s="3">
        <v>0.59501490000000001</v>
      </c>
      <c r="BF681" s="3">
        <v>0.59823009999999999</v>
      </c>
      <c r="BG681" s="3">
        <v>0.60144109999999995</v>
      </c>
      <c r="BH681" s="3">
        <v>0.60465190000000002</v>
      </c>
      <c r="BI681" s="3">
        <v>0.60786680000000004</v>
      </c>
      <c r="BJ681" s="3">
        <v>0.61108960000000001</v>
      </c>
      <c r="BK681" s="3">
        <v>0.61432469999999995</v>
      </c>
      <c r="BL681" s="3">
        <v>0.61757589999999996</v>
      </c>
      <c r="BM681" s="3" t="e">
        <v>#N/A</v>
      </c>
      <c r="BN681" s="3" t="e">
        <v>#N/A</v>
      </c>
    </row>
    <row r="682" spans="1:66" x14ac:dyDescent="0.35">
      <c r="A682" s="5">
        <f t="shared" si="10"/>
        <v>44410</v>
      </c>
      <c r="B682" t="s">
        <v>759</v>
      </c>
      <c r="C682" s="2">
        <v>0.1</v>
      </c>
      <c r="D682" s="2">
        <v>5.04E-2</v>
      </c>
      <c r="E682" s="3">
        <v>5.0551800000000001E-2</v>
      </c>
      <c r="F682" s="3">
        <v>5.3491299999999999E-2</v>
      </c>
      <c r="G682" s="3">
        <v>5.6161799999999998E-2</v>
      </c>
      <c r="H682" s="3">
        <v>5.9664300000000003E-2</v>
      </c>
      <c r="I682" s="3">
        <v>6.6103700000000001E-2</v>
      </c>
      <c r="J682" s="3">
        <v>7.7093900000000007E-2</v>
      </c>
      <c r="K682" s="3">
        <v>9.2891399999999999E-2</v>
      </c>
      <c r="L682" s="3">
        <v>0.1127201</v>
      </c>
      <c r="M682" s="3">
        <v>0.13541909999999999</v>
      </c>
      <c r="N682" s="3">
        <v>0.15963340000000001</v>
      </c>
      <c r="O682" s="3">
        <v>0.18431169999999999</v>
      </c>
      <c r="P682" s="3">
        <v>0.20865909999999999</v>
      </c>
      <c r="Q682" s="3">
        <v>0.231658</v>
      </c>
      <c r="R682" s="3">
        <v>0.25310909999999998</v>
      </c>
      <c r="S682" s="3">
        <v>0.27305689999999999</v>
      </c>
      <c r="T682" s="3">
        <v>0.29154580000000002</v>
      </c>
      <c r="U682" s="3">
        <v>0.30862020000000001</v>
      </c>
      <c r="V682" s="3">
        <v>0.32432460000000002</v>
      </c>
      <c r="W682" s="3">
        <v>0.3387153</v>
      </c>
      <c r="X682" s="3">
        <v>0.3519041</v>
      </c>
      <c r="Y682" s="3">
        <v>0.36401919999999999</v>
      </c>
      <c r="Z682" s="3">
        <v>0.37518839999999998</v>
      </c>
      <c r="AA682" s="3">
        <v>0.38553979999999999</v>
      </c>
      <c r="AB682" s="3">
        <v>0.39520139999999998</v>
      </c>
      <c r="AC682" s="3">
        <v>0.40428449999999999</v>
      </c>
      <c r="AD682" s="3">
        <v>0.4128347</v>
      </c>
      <c r="AE682" s="3">
        <v>0.42088059999999999</v>
      </c>
      <c r="AF682" s="3">
        <v>0.42845129999999998</v>
      </c>
      <c r="AG682" s="3">
        <v>0.4355754</v>
      </c>
      <c r="AH682" s="3">
        <v>0.44228190000000001</v>
      </c>
      <c r="AI682" s="3">
        <v>0.44859959999999999</v>
      </c>
      <c r="AJ682" s="3">
        <v>0.4545573</v>
      </c>
      <c r="AK682" s="3">
        <v>0.46018389999999998</v>
      </c>
      <c r="AL682" s="3">
        <v>0.46550829999999999</v>
      </c>
      <c r="AM682" s="3">
        <v>0.47055920000000001</v>
      </c>
      <c r="AN682" s="3">
        <v>0.4753655</v>
      </c>
      <c r="AO682" s="3">
        <v>0.4799544</v>
      </c>
      <c r="AP682" s="3">
        <v>0.48434519999999998</v>
      </c>
      <c r="AQ682" s="3">
        <v>0.48855530000000003</v>
      </c>
      <c r="AR682" s="3">
        <v>0.49260209999999999</v>
      </c>
      <c r="AS682" s="3">
        <v>0.49650280000000002</v>
      </c>
      <c r="AT682" s="3">
        <v>0.50027480000000002</v>
      </c>
      <c r="AU682" s="3">
        <v>0.50393540000000003</v>
      </c>
      <c r="AV682" s="3">
        <v>0.50750200000000001</v>
      </c>
      <c r="AW682" s="3">
        <v>0.51099190000000005</v>
      </c>
      <c r="AX682" s="3">
        <v>0.51442239999999995</v>
      </c>
      <c r="AY682" s="3">
        <v>0.51781089999999996</v>
      </c>
      <c r="AZ682" s="3">
        <v>0.52117460000000004</v>
      </c>
      <c r="BA682" s="3">
        <v>0.52452940000000003</v>
      </c>
      <c r="BB682" s="3">
        <v>0.52788250000000003</v>
      </c>
      <c r="BC682" s="3">
        <v>0.53123849999999995</v>
      </c>
      <c r="BD682" s="3">
        <v>0.53460160000000001</v>
      </c>
      <c r="BE682" s="3">
        <v>0.53797649999999997</v>
      </c>
      <c r="BF682" s="3">
        <v>0.54136759999999995</v>
      </c>
      <c r="BG682" s="3">
        <v>0.54477920000000002</v>
      </c>
      <c r="BH682" s="3">
        <v>0.54821589999999998</v>
      </c>
      <c r="BI682" s="3">
        <v>0.55168220000000001</v>
      </c>
      <c r="BJ682" s="3">
        <v>0.55518239999999996</v>
      </c>
      <c r="BK682" s="3">
        <v>0.55872109999999997</v>
      </c>
      <c r="BL682" s="3">
        <v>0.56230270000000004</v>
      </c>
      <c r="BM682" s="3" t="e">
        <v>#N/A</v>
      </c>
      <c r="BN682" s="3" t="e">
        <v>#N/A</v>
      </c>
    </row>
    <row r="683" spans="1:66" x14ac:dyDescent="0.35">
      <c r="A683" s="5">
        <f t="shared" si="10"/>
        <v>44411</v>
      </c>
      <c r="B683" t="s">
        <v>760</v>
      </c>
      <c r="C683" s="2">
        <v>0.1</v>
      </c>
      <c r="D683" s="2">
        <v>5.0299999999999997E-2</v>
      </c>
      <c r="E683" s="3">
        <v>5.33246E-2</v>
      </c>
      <c r="F683" s="3">
        <v>5.3832499999999998E-2</v>
      </c>
      <c r="G683" s="3">
        <v>5.5316700000000003E-2</v>
      </c>
      <c r="H683" s="3">
        <v>5.8645999999999997E-2</v>
      </c>
      <c r="I683" s="3">
        <v>6.5627900000000003E-2</v>
      </c>
      <c r="J683" s="3">
        <v>7.7458399999999997E-2</v>
      </c>
      <c r="K683" s="3">
        <v>9.4119300000000003E-2</v>
      </c>
      <c r="L683" s="3">
        <v>0.1146148</v>
      </c>
      <c r="M683" s="3">
        <v>0.13762350000000001</v>
      </c>
      <c r="N683" s="3">
        <v>0.16177920000000001</v>
      </c>
      <c r="O683" s="3">
        <v>0.18607080000000001</v>
      </c>
      <c r="P683" s="3">
        <v>0.2098573</v>
      </c>
      <c r="Q683" s="3">
        <v>0.2323161</v>
      </c>
      <c r="R683" s="3">
        <v>0.25331969999999998</v>
      </c>
      <c r="S683" s="3">
        <v>0.27294620000000003</v>
      </c>
      <c r="T683" s="3">
        <v>0.29127380000000003</v>
      </c>
      <c r="U683" s="3">
        <v>0.30838080000000001</v>
      </c>
      <c r="V683" s="3">
        <v>0.32434540000000001</v>
      </c>
      <c r="W683" s="3">
        <v>0.33924379999999998</v>
      </c>
      <c r="X683" s="3">
        <v>0.3531436</v>
      </c>
      <c r="Y683" s="3">
        <v>0.36610959999999998</v>
      </c>
      <c r="Z683" s="3">
        <v>0.37820690000000001</v>
      </c>
      <c r="AA683" s="3">
        <v>0.38950030000000002</v>
      </c>
      <c r="AB683" s="3">
        <v>0.40005469999999999</v>
      </c>
      <c r="AC683" s="3">
        <v>0.40992990000000001</v>
      </c>
      <c r="AD683" s="3">
        <v>0.4191648</v>
      </c>
      <c r="AE683" s="3">
        <v>0.42779289999999998</v>
      </c>
      <c r="AF683" s="3">
        <v>0.43584800000000001</v>
      </c>
      <c r="AG683" s="3">
        <v>0.44336370000000003</v>
      </c>
      <c r="AH683" s="3">
        <v>0.45037369999999999</v>
      </c>
      <c r="AI683" s="3">
        <v>0.45691159999999997</v>
      </c>
      <c r="AJ683" s="3">
        <v>0.46301110000000001</v>
      </c>
      <c r="AK683" s="3">
        <v>0.46870580000000001</v>
      </c>
      <c r="AL683" s="3">
        <v>0.47402929999999999</v>
      </c>
      <c r="AM683" s="3">
        <v>0.47901549999999998</v>
      </c>
      <c r="AN683" s="3">
        <v>0.48369780000000001</v>
      </c>
      <c r="AO683" s="3">
        <v>0.48810829999999999</v>
      </c>
      <c r="AP683" s="3">
        <v>0.49226979999999998</v>
      </c>
      <c r="AQ683" s="3">
        <v>0.49620219999999998</v>
      </c>
      <c r="AR683" s="3">
        <v>0.49992530000000002</v>
      </c>
      <c r="AS683" s="3">
        <v>0.50345879999999998</v>
      </c>
      <c r="AT683" s="3">
        <v>0.50682260000000001</v>
      </c>
      <c r="AU683" s="3">
        <v>0.5100365</v>
      </c>
      <c r="AV683" s="3">
        <v>0.51312040000000003</v>
      </c>
      <c r="AW683" s="3">
        <v>0.51609389999999999</v>
      </c>
      <c r="AX683" s="3">
        <v>0.51897700000000002</v>
      </c>
      <c r="AY683" s="3">
        <v>0.52178950000000002</v>
      </c>
      <c r="AZ683" s="3">
        <v>0.52455110000000005</v>
      </c>
      <c r="BA683" s="3">
        <v>0.52728030000000004</v>
      </c>
      <c r="BB683" s="3">
        <v>0.52998869999999998</v>
      </c>
      <c r="BC683" s="3">
        <v>0.53268559999999998</v>
      </c>
      <c r="BD683" s="3">
        <v>0.53538059999999998</v>
      </c>
      <c r="BE683" s="3">
        <v>0.53808310000000004</v>
      </c>
      <c r="BF683" s="3">
        <v>0.54080260000000002</v>
      </c>
      <c r="BG683" s="3">
        <v>0.54354849999999999</v>
      </c>
      <c r="BH683" s="3">
        <v>0.54633039999999999</v>
      </c>
      <c r="BI683" s="3">
        <v>0.54915760000000002</v>
      </c>
      <c r="BJ683" s="3">
        <v>0.55203970000000002</v>
      </c>
      <c r="BK683" s="3">
        <v>0.55498610000000004</v>
      </c>
      <c r="BL683" s="3">
        <v>0.55800629999999996</v>
      </c>
      <c r="BM683" s="3" t="e">
        <v>#N/A</v>
      </c>
      <c r="BN683" s="3" t="e">
        <v>#N/A</v>
      </c>
    </row>
    <row r="684" spans="1:66" x14ac:dyDescent="0.35">
      <c r="A684" s="5">
        <f t="shared" si="10"/>
        <v>44412</v>
      </c>
      <c r="B684" t="s">
        <v>761</v>
      </c>
      <c r="C684" s="2">
        <v>0.1</v>
      </c>
      <c r="D684" s="2">
        <v>5.04E-2</v>
      </c>
      <c r="E684" s="3">
        <v>5.5519499999999999E-2</v>
      </c>
      <c r="F684" s="3">
        <v>5.7370499999999998E-2</v>
      </c>
      <c r="G684" s="3">
        <v>5.6880899999999998E-2</v>
      </c>
      <c r="H684" s="3">
        <v>5.8421500000000001E-2</v>
      </c>
      <c r="I684" s="3">
        <v>6.6673399999999994E-2</v>
      </c>
      <c r="J684" s="3">
        <v>8.1909099999999999E-2</v>
      </c>
      <c r="K684" s="3">
        <v>0.1026363</v>
      </c>
      <c r="L684" s="3">
        <v>0.1268003</v>
      </c>
      <c r="M684" s="3">
        <v>0.15264739999999999</v>
      </c>
      <c r="N684" s="3">
        <v>0.17879900000000001</v>
      </c>
      <c r="O684" s="3">
        <v>0.2043461</v>
      </c>
      <c r="P684" s="3">
        <v>0.22881470000000001</v>
      </c>
      <c r="Q684" s="3">
        <v>0.25186579999999997</v>
      </c>
      <c r="R684" s="3">
        <v>0.27349010000000001</v>
      </c>
      <c r="S684" s="3">
        <v>0.29376449999999998</v>
      </c>
      <c r="T684" s="3">
        <v>0.31276569999999998</v>
      </c>
      <c r="U684" s="3">
        <v>0.33057039999999999</v>
      </c>
      <c r="V684" s="3">
        <v>0.34725549999999999</v>
      </c>
      <c r="W684" s="3">
        <v>0.36289179999999999</v>
      </c>
      <c r="X684" s="3">
        <v>0.37751770000000001</v>
      </c>
      <c r="Y684" s="3">
        <v>0.3911596</v>
      </c>
      <c r="Z684" s="3">
        <v>0.40384439999999999</v>
      </c>
      <c r="AA684" s="3">
        <v>0.41559859999999998</v>
      </c>
      <c r="AB684" s="3">
        <v>0.42644890000000002</v>
      </c>
      <c r="AC684" s="3">
        <v>0.43642690000000001</v>
      </c>
      <c r="AD684" s="3">
        <v>0.44558429999999999</v>
      </c>
      <c r="AE684" s="3">
        <v>0.45397789999999999</v>
      </c>
      <c r="AF684" s="3">
        <v>0.46166430000000003</v>
      </c>
      <c r="AG684" s="3">
        <v>0.46870030000000001</v>
      </c>
      <c r="AH684" s="3">
        <v>0.47514260000000003</v>
      </c>
      <c r="AI684" s="3">
        <v>0.48104780000000003</v>
      </c>
      <c r="AJ684" s="3">
        <v>0.48647269999999998</v>
      </c>
      <c r="AK684" s="3">
        <v>0.49147410000000002</v>
      </c>
      <c r="AL684" s="3">
        <v>0.49610850000000001</v>
      </c>
      <c r="AM684" s="3">
        <v>0.50043269999999995</v>
      </c>
      <c r="AN684" s="3">
        <v>0.50450340000000005</v>
      </c>
      <c r="AO684" s="3">
        <v>0.50837180000000004</v>
      </c>
      <c r="AP684" s="3">
        <v>0.51206189999999996</v>
      </c>
      <c r="AQ684" s="3">
        <v>0.51558959999999998</v>
      </c>
      <c r="AR684" s="3">
        <v>0.51897059999999995</v>
      </c>
      <c r="AS684" s="3">
        <v>0.52222089999999999</v>
      </c>
      <c r="AT684" s="3">
        <v>0.52535620000000005</v>
      </c>
      <c r="AU684" s="3">
        <v>0.52839230000000004</v>
      </c>
      <c r="AV684" s="3">
        <v>0.53134510000000001</v>
      </c>
      <c r="AW684" s="3">
        <v>0.53423039999999999</v>
      </c>
      <c r="AX684" s="3">
        <v>0.53706399999999999</v>
      </c>
      <c r="AY684" s="3">
        <v>0.53986179999999995</v>
      </c>
      <c r="AZ684" s="3">
        <v>0.54263950000000005</v>
      </c>
      <c r="BA684" s="3">
        <v>0.54541070000000003</v>
      </c>
      <c r="BB684" s="3">
        <v>0.54817850000000001</v>
      </c>
      <c r="BC684" s="3">
        <v>0.55094330000000002</v>
      </c>
      <c r="BD684" s="3">
        <v>0.55370540000000001</v>
      </c>
      <c r="BE684" s="3">
        <v>0.55646510000000005</v>
      </c>
      <c r="BF684" s="3">
        <v>0.55922269999999996</v>
      </c>
      <c r="BG684" s="3">
        <v>0.56197870000000005</v>
      </c>
      <c r="BH684" s="3">
        <v>0.56473340000000005</v>
      </c>
      <c r="BI684" s="3">
        <v>0.56748699999999996</v>
      </c>
      <c r="BJ684" s="3">
        <v>0.57023990000000002</v>
      </c>
      <c r="BK684" s="3">
        <v>0.57299239999999996</v>
      </c>
      <c r="BL684" s="3">
        <v>0.5757449</v>
      </c>
      <c r="BM684" s="3" t="e">
        <v>#N/A</v>
      </c>
      <c r="BN684" s="3" t="e">
        <v>#N/A</v>
      </c>
    </row>
    <row r="685" spans="1:66" x14ac:dyDescent="0.35">
      <c r="A685" s="5">
        <f t="shared" si="10"/>
        <v>44413</v>
      </c>
      <c r="B685" t="s">
        <v>762</v>
      </c>
      <c r="C685" s="2">
        <v>0.1</v>
      </c>
      <c r="D685" s="2">
        <v>5.0299999999999997E-2</v>
      </c>
      <c r="E685" s="3">
        <v>5.2569600000000001E-2</v>
      </c>
      <c r="F685" s="3">
        <v>5.1832000000000003E-2</v>
      </c>
      <c r="G685" s="3">
        <v>5.4792199999999999E-2</v>
      </c>
      <c r="H685" s="3">
        <v>6.3344300000000006E-2</v>
      </c>
      <c r="I685" s="3">
        <v>7.8744999999999996E-2</v>
      </c>
      <c r="J685" s="3">
        <v>0.1006895</v>
      </c>
      <c r="K685" s="3">
        <v>0.12740750000000001</v>
      </c>
      <c r="L685" s="3">
        <v>0.1568204</v>
      </c>
      <c r="M685" s="3">
        <v>0.1869401</v>
      </c>
      <c r="N685" s="3">
        <v>0.2162636</v>
      </c>
      <c r="O685" s="3">
        <v>0.2438536</v>
      </c>
      <c r="P685" s="3">
        <v>0.26928079999999999</v>
      </c>
      <c r="Q685" s="3">
        <v>0.29234850000000001</v>
      </c>
      <c r="R685" s="3">
        <v>0.31315120000000002</v>
      </c>
      <c r="S685" s="3">
        <v>0.33185360000000003</v>
      </c>
      <c r="T685" s="3">
        <v>0.34862029999999999</v>
      </c>
      <c r="U685" s="3">
        <v>0.36361579999999999</v>
      </c>
      <c r="V685" s="3">
        <v>0.37700470000000003</v>
      </c>
      <c r="W685" s="3">
        <v>0.3889476</v>
      </c>
      <c r="X685" s="3">
        <v>0.39958519999999997</v>
      </c>
      <c r="Y685" s="3">
        <v>0.40905160000000002</v>
      </c>
      <c r="Z685" s="3">
        <v>0.41748089999999999</v>
      </c>
      <c r="AA685" s="3">
        <v>0.42500729999999998</v>
      </c>
      <c r="AB685" s="3">
        <v>0.43176500000000001</v>
      </c>
      <c r="AC685" s="3">
        <v>0.43787700000000002</v>
      </c>
      <c r="AD685" s="3">
        <v>0.44341249999999999</v>
      </c>
      <c r="AE685" s="3">
        <v>0.44842409999999999</v>
      </c>
      <c r="AF685" s="3">
        <v>0.45296449999999999</v>
      </c>
      <c r="AG685" s="3">
        <v>0.4570864</v>
      </c>
      <c r="AH685" s="3">
        <v>0.46084249999999999</v>
      </c>
      <c r="AI685" s="3">
        <v>0.46428540000000001</v>
      </c>
      <c r="AJ685" s="3">
        <v>0.46746799999999999</v>
      </c>
      <c r="AK685" s="3">
        <v>0.47044269999999999</v>
      </c>
      <c r="AL685" s="3">
        <v>0.47326230000000002</v>
      </c>
      <c r="AM685" s="3">
        <v>0.4759796</v>
      </c>
      <c r="AN685" s="3">
        <v>0.47864709999999999</v>
      </c>
      <c r="AO685" s="3">
        <v>0.48131010000000002</v>
      </c>
      <c r="AP685" s="3">
        <v>0.48398160000000001</v>
      </c>
      <c r="AQ685" s="3">
        <v>0.48666510000000002</v>
      </c>
      <c r="AR685" s="3">
        <v>0.48936449999999998</v>
      </c>
      <c r="AS685" s="3">
        <v>0.49208350000000001</v>
      </c>
      <c r="AT685" s="3">
        <v>0.49482599999999999</v>
      </c>
      <c r="AU685" s="3">
        <v>0.49759569999999997</v>
      </c>
      <c r="AV685" s="3">
        <v>0.50039639999999996</v>
      </c>
      <c r="AW685" s="3">
        <v>0.50323180000000001</v>
      </c>
      <c r="AX685" s="3">
        <v>0.50610569999999999</v>
      </c>
      <c r="AY685" s="3">
        <v>0.50902190000000003</v>
      </c>
      <c r="AZ685" s="3">
        <v>0.5119842</v>
      </c>
      <c r="BA685" s="3">
        <v>0.51499530000000004</v>
      </c>
      <c r="BB685" s="3">
        <v>0.51805330000000005</v>
      </c>
      <c r="BC685" s="3">
        <v>0.52115509999999998</v>
      </c>
      <c r="BD685" s="3">
        <v>0.52429749999999997</v>
      </c>
      <c r="BE685" s="3">
        <v>0.52747739999999999</v>
      </c>
      <c r="BF685" s="3">
        <v>0.53069169999999999</v>
      </c>
      <c r="BG685" s="3">
        <v>0.5339372</v>
      </c>
      <c r="BH685" s="3">
        <v>0.53721070000000004</v>
      </c>
      <c r="BI685" s="3">
        <v>0.54050929999999997</v>
      </c>
      <c r="BJ685" s="3">
        <v>0.54382960000000002</v>
      </c>
      <c r="BK685" s="3">
        <v>0.54716849999999995</v>
      </c>
      <c r="BL685" s="3">
        <v>0.55052299999999998</v>
      </c>
      <c r="BM685" s="3" t="e">
        <v>#N/A</v>
      </c>
      <c r="BN685" s="3" t="e">
        <v>#N/A</v>
      </c>
    </row>
    <row r="686" spans="1:66" x14ac:dyDescent="0.35">
      <c r="A686" s="5">
        <f t="shared" si="10"/>
        <v>44414</v>
      </c>
      <c r="B686" t="s">
        <v>763</v>
      </c>
      <c r="C686" s="2">
        <v>0.1</v>
      </c>
      <c r="D686" s="2">
        <v>5.0299999999999997E-2</v>
      </c>
      <c r="E686" s="3">
        <v>4.9044200000000003E-2</v>
      </c>
      <c r="F686" s="3">
        <v>5.3056800000000001E-2</v>
      </c>
      <c r="G686" s="3">
        <v>5.87057E-2</v>
      </c>
      <c r="H686" s="3">
        <v>6.8747500000000003E-2</v>
      </c>
      <c r="I686" s="3">
        <v>8.5845199999999997E-2</v>
      </c>
      <c r="J686" s="3">
        <v>0.1102612</v>
      </c>
      <c r="K686" s="3">
        <v>0.1402291</v>
      </c>
      <c r="L686" s="3">
        <v>0.1734975</v>
      </c>
      <c r="M686" s="3">
        <v>0.20799319999999999</v>
      </c>
      <c r="N686" s="3">
        <v>0.24206420000000001</v>
      </c>
      <c r="O686" s="3">
        <v>0.27446520000000002</v>
      </c>
      <c r="P686" s="3">
        <v>0.30447340000000001</v>
      </c>
      <c r="Q686" s="3">
        <v>0.33148139999999998</v>
      </c>
      <c r="R686" s="3">
        <v>0.35555589999999998</v>
      </c>
      <c r="S686" s="3">
        <v>0.37698039999999999</v>
      </c>
      <c r="T686" s="3">
        <v>0.39603820000000001</v>
      </c>
      <c r="U686" s="3">
        <v>0.41301290000000002</v>
      </c>
      <c r="V686" s="3">
        <v>0.42818780000000001</v>
      </c>
      <c r="W686" s="3">
        <v>0.44182909999999997</v>
      </c>
      <c r="X686" s="3">
        <v>0.45412269999999999</v>
      </c>
      <c r="Y686" s="3">
        <v>0.46523110000000001</v>
      </c>
      <c r="Z686" s="3">
        <v>0.47531689999999999</v>
      </c>
      <c r="AA686" s="3">
        <v>0.4845428</v>
      </c>
      <c r="AB686" s="3">
        <v>0.49307129999999999</v>
      </c>
      <c r="AC686" s="3">
        <v>0.50104590000000004</v>
      </c>
      <c r="AD686" s="3">
        <v>0.50852509999999995</v>
      </c>
      <c r="AE686" s="3">
        <v>0.51554449999999996</v>
      </c>
      <c r="AF686" s="3">
        <v>0.52213940000000003</v>
      </c>
      <c r="AG686" s="3">
        <v>0.52834510000000001</v>
      </c>
      <c r="AH686" s="3">
        <v>0.53419700000000003</v>
      </c>
      <c r="AI686" s="3">
        <v>0.5397305</v>
      </c>
      <c r="AJ686" s="3">
        <v>0.54498089999999999</v>
      </c>
      <c r="AK686" s="3">
        <v>0.54998360000000002</v>
      </c>
      <c r="AL686" s="3">
        <v>0.55477399999999999</v>
      </c>
      <c r="AM686" s="3">
        <v>0.55938739999999998</v>
      </c>
      <c r="AN686" s="3">
        <v>0.56385909999999995</v>
      </c>
      <c r="AO686" s="3">
        <v>0.56822030000000001</v>
      </c>
      <c r="AP686" s="3">
        <v>0.57248290000000002</v>
      </c>
      <c r="AQ686" s="3">
        <v>0.57665390000000005</v>
      </c>
      <c r="AR686" s="3">
        <v>0.58073989999999998</v>
      </c>
      <c r="AS686" s="3">
        <v>0.58474780000000004</v>
      </c>
      <c r="AT686" s="3">
        <v>0.5886844</v>
      </c>
      <c r="AU686" s="3">
        <v>0.59255650000000004</v>
      </c>
      <c r="AV686" s="3">
        <v>0.59637090000000004</v>
      </c>
      <c r="AW686" s="3">
        <v>0.60013439999999996</v>
      </c>
      <c r="AX686" s="3">
        <v>0.6038538</v>
      </c>
      <c r="AY686" s="3">
        <v>0.60753590000000002</v>
      </c>
      <c r="AZ686" s="3">
        <v>0.61118740000000005</v>
      </c>
      <c r="BA686" s="3">
        <v>0.61481439999999998</v>
      </c>
      <c r="BB686" s="3">
        <v>0.61841880000000005</v>
      </c>
      <c r="BC686" s="3">
        <v>0.62200129999999998</v>
      </c>
      <c r="BD686" s="3">
        <v>0.62556290000000003</v>
      </c>
      <c r="BE686" s="3">
        <v>0.62910440000000001</v>
      </c>
      <c r="BF686" s="3">
        <v>0.63262669999999999</v>
      </c>
      <c r="BG686" s="3">
        <v>0.63613070000000005</v>
      </c>
      <c r="BH686" s="3">
        <v>0.63961710000000005</v>
      </c>
      <c r="BI686" s="3">
        <v>0.64308679999999996</v>
      </c>
      <c r="BJ686" s="3">
        <v>0.64654080000000003</v>
      </c>
      <c r="BK686" s="3">
        <v>0.6499798</v>
      </c>
      <c r="BL686" s="3">
        <v>0.65340469999999995</v>
      </c>
      <c r="BM686" s="3" t="e">
        <v>#N/A</v>
      </c>
      <c r="BN686" s="3" t="e">
        <v>#N/A</v>
      </c>
    </row>
    <row r="687" spans="1:66" x14ac:dyDescent="0.35">
      <c r="A687" s="5">
        <f t="shared" si="10"/>
        <v>44417</v>
      </c>
      <c r="B687" t="s">
        <v>764</v>
      </c>
      <c r="C687" s="2">
        <v>0.1</v>
      </c>
      <c r="D687" s="2">
        <v>4.9799999999999997E-2</v>
      </c>
      <c r="E687" s="3">
        <v>5.2934200000000001E-2</v>
      </c>
      <c r="F687" s="3">
        <v>5.7504E-2</v>
      </c>
      <c r="G687" s="3">
        <v>6.1298499999999999E-2</v>
      </c>
      <c r="H687" s="3">
        <v>6.8790299999999999E-2</v>
      </c>
      <c r="I687" s="3">
        <v>8.3776799999999998E-2</v>
      </c>
      <c r="J687" s="3">
        <v>0.1061951</v>
      </c>
      <c r="K687" s="3">
        <v>0.1350075</v>
      </c>
      <c r="L687" s="3">
        <v>0.1684619</v>
      </c>
      <c r="M687" s="3">
        <v>0.2040275</v>
      </c>
      <c r="N687" s="3">
        <v>0.2392717</v>
      </c>
      <c r="O687" s="3">
        <v>0.2724703</v>
      </c>
      <c r="P687" s="3">
        <v>0.30280770000000001</v>
      </c>
      <c r="Q687" s="3">
        <v>0.32983990000000002</v>
      </c>
      <c r="R687" s="3">
        <v>0.35372320000000002</v>
      </c>
      <c r="S687" s="3">
        <v>0.3747624</v>
      </c>
      <c r="T687" s="3">
        <v>0.3932619</v>
      </c>
      <c r="U687" s="3">
        <v>0.40952660000000002</v>
      </c>
      <c r="V687" s="3">
        <v>0.42386089999999998</v>
      </c>
      <c r="W687" s="3">
        <v>0.43655280000000002</v>
      </c>
      <c r="X687" s="3">
        <v>0.44781320000000002</v>
      </c>
      <c r="Y687" s="3">
        <v>0.45783059999999998</v>
      </c>
      <c r="Z687" s="3">
        <v>0.46679369999999998</v>
      </c>
      <c r="AA687" s="3">
        <v>0.4748908</v>
      </c>
      <c r="AB687" s="3">
        <v>0.48231059999999998</v>
      </c>
      <c r="AC687" s="3">
        <v>0.48921579999999998</v>
      </c>
      <c r="AD687" s="3">
        <v>0.4956662</v>
      </c>
      <c r="AE687" s="3">
        <v>0.50169589999999997</v>
      </c>
      <c r="AF687" s="3">
        <v>0.50733890000000004</v>
      </c>
      <c r="AG687" s="3">
        <v>0.51262940000000001</v>
      </c>
      <c r="AH687" s="3">
        <v>0.51760130000000004</v>
      </c>
      <c r="AI687" s="3">
        <v>0.5222888</v>
      </c>
      <c r="AJ687" s="3">
        <v>0.52672580000000002</v>
      </c>
      <c r="AK687" s="3">
        <v>0.53094649999999999</v>
      </c>
      <c r="AL687" s="3">
        <v>0.53498489999999999</v>
      </c>
      <c r="AM687" s="3">
        <v>0.53887510000000005</v>
      </c>
      <c r="AN687" s="3">
        <v>0.54265110000000005</v>
      </c>
      <c r="AO687" s="3">
        <v>0.54634289999999996</v>
      </c>
      <c r="AP687" s="3">
        <v>0.54996259999999997</v>
      </c>
      <c r="AQ687" s="3">
        <v>0.55351709999999998</v>
      </c>
      <c r="AR687" s="3">
        <v>0.55701350000000005</v>
      </c>
      <c r="AS687" s="3">
        <v>0.56045889999999998</v>
      </c>
      <c r="AT687" s="3">
        <v>0.56386029999999998</v>
      </c>
      <c r="AU687" s="3">
        <v>0.56722479999999997</v>
      </c>
      <c r="AV687" s="3">
        <v>0.57055929999999999</v>
      </c>
      <c r="AW687" s="3">
        <v>0.57387100000000002</v>
      </c>
      <c r="AX687" s="3">
        <v>0.57716690000000004</v>
      </c>
      <c r="AY687" s="3">
        <v>0.58045400000000003</v>
      </c>
      <c r="AZ687" s="3">
        <v>0.58373940000000002</v>
      </c>
      <c r="BA687" s="3">
        <v>0.58702920000000003</v>
      </c>
      <c r="BB687" s="3">
        <v>0.59032510000000005</v>
      </c>
      <c r="BC687" s="3">
        <v>0.59362689999999996</v>
      </c>
      <c r="BD687" s="3">
        <v>0.59693470000000004</v>
      </c>
      <c r="BE687" s="3">
        <v>0.60024840000000002</v>
      </c>
      <c r="BF687" s="3">
        <v>0.60356810000000005</v>
      </c>
      <c r="BG687" s="3">
        <v>0.60689360000000003</v>
      </c>
      <c r="BH687" s="3">
        <v>0.61022509999999996</v>
      </c>
      <c r="BI687" s="3">
        <v>0.6135623</v>
      </c>
      <c r="BJ687" s="3">
        <v>0.61690540000000005</v>
      </c>
      <c r="BK687" s="3">
        <v>0.62025439999999998</v>
      </c>
      <c r="BL687" s="3">
        <v>0.62360910000000003</v>
      </c>
      <c r="BM687" s="3" t="e">
        <v>#N/A</v>
      </c>
      <c r="BN687" s="3" t="e">
        <v>#N/A</v>
      </c>
    </row>
    <row r="688" spans="1:66" x14ac:dyDescent="0.35">
      <c r="A688" s="5">
        <f t="shared" si="10"/>
        <v>44418</v>
      </c>
      <c r="B688" t="s">
        <v>765</v>
      </c>
      <c r="C688" s="2">
        <v>0.1</v>
      </c>
      <c r="D688" s="2">
        <v>5.0099999999999999E-2</v>
      </c>
      <c r="E688" s="3">
        <v>5.3040700000000003E-2</v>
      </c>
      <c r="F688" s="3">
        <v>5.4064899999999999E-2</v>
      </c>
      <c r="G688" s="3">
        <v>5.7376400000000001E-2</v>
      </c>
      <c r="H688" s="3">
        <v>6.7325999999999997E-2</v>
      </c>
      <c r="I688" s="3">
        <v>8.6191199999999996E-2</v>
      </c>
      <c r="J688" s="3">
        <v>0.11332349999999999</v>
      </c>
      <c r="K688" s="3">
        <v>0.1463632</v>
      </c>
      <c r="L688" s="3">
        <v>0.18252840000000001</v>
      </c>
      <c r="M688" s="3">
        <v>0.21958829999999999</v>
      </c>
      <c r="N688" s="3">
        <v>0.25579069999999998</v>
      </c>
      <c r="O688" s="3">
        <v>0.28987479999999999</v>
      </c>
      <c r="P688" s="3">
        <v>0.32118099999999999</v>
      </c>
      <c r="Q688" s="3">
        <v>0.34917500000000001</v>
      </c>
      <c r="R688" s="3">
        <v>0.37397540000000001</v>
      </c>
      <c r="S688" s="3">
        <v>0.39587689999999998</v>
      </c>
      <c r="T688" s="3">
        <v>0.41517399999999999</v>
      </c>
      <c r="U688" s="3">
        <v>0.43216139999999997</v>
      </c>
      <c r="V688" s="3">
        <v>0.44713360000000002</v>
      </c>
      <c r="W688" s="3">
        <v>0.46037070000000002</v>
      </c>
      <c r="X688" s="3">
        <v>0.47208410000000001</v>
      </c>
      <c r="Y688" s="3">
        <v>0.48246549999999999</v>
      </c>
      <c r="Z688" s="3">
        <v>0.4917069</v>
      </c>
      <c r="AA688" s="3">
        <v>0.5</v>
      </c>
      <c r="AB688" s="3">
        <v>0.5075364</v>
      </c>
      <c r="AC688" s="3">
        <v>0.51448240000000001</v>
      </c>
      <c r="AD688" s="3">
        <v>0.52090159999999996</v>
      </c>
      <c r="AE688" s="3">
        <v>0.52683179999999996</v>
      </c>
      <c r="AF688" s="3">
        <v>0.53231119999999998</v>
      </c>
      <c r="AG688" s="3">
        <v>0.53737749999999995</v>
      </c>
      <c r="AH688" s="3">
        <v>0.54206889999999996</v>
      </c>
      <c r="AI688" s="3">
        <v>0.54642310000000005</v>
      </c>
      <c r="AJ688" s="3">
        <v>0.55047829999999998</v>
      </c>
      <c r="AK688" s="3">
        <v>0.55427230000000005</v>
      </c>
      <c r="AL688" s="3">
        <v>0.55784310000000004</v>
      </c>
      <c r="AM688" s="3">
        <v>0.56122870000000002</v>
      </c>
      <c r="AN688" s="3">
        <v>0.56446700000000005</v>
      </c>
      <c r="AO688" s="3">
        <v>0.5675924</v>
      </c>
      <c r="AP688" s="3">
        <v>0.57062009999999996</v>
      </c>
      <c r="AQ688" s="3">
        <v>0.57355869999999998</v>
      </c>
      <c r="AR688" s="3">
        <v>0.57641690000000001</v>
      </c>
      <c r="AS688" s="3">
        <v>0.57920360000000004</v>
      </c>
      <c r="AT688" s="3">
        <v>0.58192719999999998</v>
      </c>
      <c r="AU688" s="3">
        <v>0.58459669999999997</v>
      </c>
      <c r="AV688" s="3">
        <v>0.58722050000000003</v>
      </c>
      <c r="AW688" s="3">
        <v>0.58980759999999999</v>
      </c>
      <c r="AX688" s="3">
        <v>0.59236639999999996</v>
      </c>
      <c r="AY688" s="3">
        <v>0.59490589999999999</v>
      </c>
      <c r="AZ688" s="3">
        <v>0.59743449999999998</v>
      </c>
      <c r="BA688" s="3">
        <v>0.5999601</v>
      </c>
      <c r="BB688" s="3">
        <v>0.60248570000000001</v>
      </c>
      <c r="BC688" s="3">
        <v>0.60501269999999996</v>
      </c>
      <c r="BD688" s="3">
        <v>0.60754260000000004</v>
      </c>
      <c r="BE688" s="3">
        <v>0.61007710000000004</v>
      </c>
      <c r="BF688" s="3">
        <v>0.61261759999999998</v>
      </c>
      <c r="BG688" s="3">
        <v>0.61516559999999998</v>
      </c>
      <c r="BH688" s="3">
        <v>0.61772260000000001</v>
      </c>
      <c r="BI688" s="3">
        <v>0.62029020000000001</v>
      </c>
      <c r="BJ688" s="3">
        <v>0.62287000000000003</v>
      </c>
      <c r="BK688" s="3">
        <v>0.62546330000000006</v>
      </c>
      <c r="BL688" s="3">
        <v>0.62807170000000001</v>
      </c>
      <c r="BM688" s="3" t="e">
        <v>#N/A</v>
      </c>
      <c r="BN688" s="3" t="e">
        <v>#N/A</v>
      </c>
    </row>
    <row r="689" spans="1:66" x14ac:dyDescent="0.35">
      <c r="A689" s="5">
        <f t="shared" si="10"/>
        <v>44419</v>
      </c>
      <c r="B689" t="s">
        <v>766</v>
      </c>
      <c r="C689" s="2">
        <v>0.1</v>
      </c>
      <c r="D689" s="2">
        <v>5.0299999999999997E-2</v>
      </c>
      <c r="E689" s="3">
        <v>5.29711E-2</v>
      </c>
      <c r="F689" s="3">
        <v>5.3735400000000003E-2</v>
      </c>
      <c r="G689" s="3">
        <v>5.7631399999999999E-2</v>
      </c>
      <c r="H689" s="3">
        <v>6.7417000000000005E-2</v>
      </c>
      <c r="I689" s="3">
        <v>8.5105799999999995E-2</v>
      </c>
      <c r="J689" s="3">
        <v>0.1101348</v>
      </c>
      <c r="K689" s="3">
        <v>0.14059350000000001</v>
      </c>
      <c r="L689" s="3">
        <v>0.17411570000000001</v>
      </c>
      <c r="M689" s="3">
        <v>0.20871490000000001</v>
      </c>
      <c r="N689" s="3">
        <v>0.24275740000000001</v>
      </c>
      <c r="O689" s="3">
        <v>0.2750783</v>
      </c>
      <c r="P689" s="3">
        <v>0.30492029999999998</v>
      </c>
      <c r="Q689" s="3">
        <v>0.33179219999999998</v>
      </c>
      <c r="R689" s="3">
        <v>0.35578759999999998</v>
      </c>
      <c r="S689" s="3">
        <v>0.37714439999999999</v>
      </c>
      <c r="T689" s="3">
        <v>0.39610060000000002</v>
      </c>
      <c r="U689" s="3">
        <v>0.41289409999999999</v>
      </c>
      <c r="V689" s="3">
        <v>0.4277629</v>
      </c>
      <c r="W689" s="3">
        <v>0.44093739999999998</v>
      </c>
      <c r="X689" s="3">
        <v>0.45260650000000002</v>
      </c>
      <c r="Y689" s="3">
        <v>0.46294400000000002</v>
      </c>
      <c r="Z689" s="3">
        <v>0.47212399999999999</v>
      </c>
      <c r="AA689" s="3">
        <v>0.48032029999999998</v>
      </c>
      <c r="AB689" s="3">
        <v>0.487707</v>
      </c>
      <c r="AC689" s="3">
        <v>0.49443700000000002</v>
      </c>
      <c r="AD689" s="3">
        <v>0.50058009999999997</v>
      </c>
      <c r="AE689" s="3">
        <v>0.50618490000000005</v>
      </c>
      <c r="AF689" s="3">
        <v>0.51130019999999998</v>
      </c>
      <c r="AG689" s="3">
        <v>0.51597479999999996</v>
      </c>
      <c r="AH689" s="3">
        <v>0.52025730000000003</v>
      </c>
      <c r="AI689" s="3">
        <v>0.52419660000000001</v>
      </c>
      <c r="AJ689" s="3">
        <v>0.52784129999999996</v>
      </c>
      <c r="AK689" s="3">
        <v>0.53124020000000005</v>
      </c>
      <c r="AL689" s="3">
        <v>0.53444210000000003</v>
      </c>
      <c r="AM689" s="3">
        <v>0.53749559999999996</v>
      </c>
      <c r="AN689" s="3">
        <v>0.54044959999999997</v>
      </c>
      <c r="AO689" s="3">
        <v>0.54334700000000002</v>
      </c>
      <c r="AP689" s="3">
        <v>0.54620230000000003</v>
      </c>
      <c r="AQ689" s="3">
        <v>0.54902150000000005</v>
      </c>
      <c r="AR689" s="3">
        <v>0.55181069999999999</v>
      </c>
      <c r="AS689" s="3">
        <v>0.55457579999999995</v>
      </c>
      <c r="AT689" s="3">
        <v>0.55732289999999995</v>
      </c>
      <c r="AU689" s="3">
        <v>0.56005780000000005</v>
      </c>
      <c r="AV689" s="3">
        <v>0.56278660000000003</v>
      </c>
      <c r="AW689" s="3">
        <v>0.56551530000000005</v>
      </c>
      <c r="AX689" s="3">
        <v>0.56824980000000003</v>
      </c>
      <c r="AY689" s="3">
        <v>0.57099619999999995</v>
      </c>
      <c r="AZ689" s="3">
        <v>0.57376039999999995</v>
      </c>
      <c r="BA689" s="3">
        <v>0.57654729999999998</v>
      </c>
      <c r="BB689" s="3">
        <v>0.57935669999999995</v>
      </c>
      <c r="BC689" s="3">
        <v>0.58218689999999995</v>
      </c>
      <c r="BD689" s="3">
        <v>0.58503629999999995</v>
      </c>
      <c r="BE689" s="3">
        <v>0.58790330000000002</v>
      </c>
      <c r="BF689" s="3">
        <v>0.59078629999999999</v>
      </c>
      <c r="BG689" s="3">
        <v>0.59368370000000004</v>
      </c>
      <c r="BH689" s="3">
        <v>0.59659379999999995</v>
      </c>
      <c r="BI689" s="3">
        <v>0.59951509999999997</v>
      </c>
      <c r="BJ689" s="3">
        <v>0.60244600000000004</v>
      </c>
      <c r="BK689" s="3">
        <v>0.60538479999999995</v>
      </c>
      <c r="BL689" s="3">
        <v>0.60832980000000003</v>
      </c>
      <c r="BM689" s="3" t="e">
        <v>#N/A</v>
      </c>
      <c r="BN689" s="3" t="e">
        <v>#N/A</v>
      </c>
    </row>
    <row r="690" spans="1:66" x14ac:dyDescent="0.35">
      <c r="A690" s="5">
        <f t="shared" si="10"/>
        <v>44420</v>
      </c>
      <c r="B690" t="s">
        <v>767</v>
      </c>
      <c r="C690" s="2">
        <v>0.1</v>
      </c>
      <c r="D690" s="2">
        <v>5.04E-2</v>
      </c>
      <c r="E690" s="3">
        <v>4.9905999999999999E-2</v>
      </c>
      <c r="F690" s="3">
        <v>5.8087300000000001E-2</v>
      </c>
      <c r="G690" s="3">
        <v>6.2216E-2</v>
      </c>
      <c r="H690" s="3">
        <v>6.9229200000000005E-2</v>
      </c>
      <c r="I690" s="3">
        <v>8.4886799999999998E-2</v>
      </c>
      <c r="J690" s="3">
        <v>0.1089154</v>
      </c>
      <c r="K690" s="3">
        <v>0.13878470000000001</v>
      </c>
      <c r="L690" s="3">
        <v>0.17207910000000001</v>
      </c>
      <c r="M690" s="3">
        <v>0.20665439999999999</v>
      </c>
      <c r="N690" s="3">
        <v>0.2408846</v>
      </c>
      <c r="O690" s="3">
        <v>0.27361419999999997</v>
      </c>
      <c r="P690" s="3">
        <v>0.304172</v>
      </c>
      <c r="Q690" s="3">
        <v>0.33204299999999998</v>
      </c>
      <c r="R690" s="3">
        <v>0.35727019999999998</v>
      </c>
      <c r="S690" s="3">
        <v>0.38004300000000002</v>
      </c>
      <c r="T690" s="3">
        <v>0.40055049999999998</v>
      </c>
      <c r="U690" s="3">
        <v>0.41898210000000002</v>
      </c>
      <c r="V690" s="3">
        <v>0.43552689999999999</v>
      </c>
      <c r="W690" s="3">
        <v>0.4503721</v>
      </c>
      <c r="X690" s="3">
        <v>0.463694</v>
      </c>
      <c r="Y690" s="3">
        <v>0.47566520000000001</v>
      </c>
      <c r="Z690" s="3">
        <v>0.48645840000000001</v>
      </c>
      <c r="AA690" s="3">
        <v>0.49624649999999998</v>
      </c>
      <c r="AB690" s="3">
        <v>0.50520209999999999</v>
      </c>
      <c r="AC690" s="3">
        <v>0.5134803</v>
      </c>
      <c r="AD690" s="3">
        <v>0.52114990000000005</v>
      </c>
      <c r="AE690" s="3">
        <v>0.52825339999999998</v>
      </c>
      <c r="AF690" s="3">
        <v>0.53483340000000001</v>
      </c>
      <c r="AG690" s="3">
        <v>0.54093230000000003</v>
      </c>
      <c r="AH690" s="3">
        <v>0.54659279999999999</v>
      </c>
      <c r="AI690" s="3">
        <v>0.55185740000000005</v>
      </c>
      <c r="AJ690" s="3">
        <v>0.55676870000000001</v>
      </c>
      <c r="AK690" s="3">
        <v>0.56136909999999995</v>
      </c>
      <c r="AL690" s="3">
        <v>0.56570120000000002</v>
      </c>
      <c r="AM690" s="3">
        <v>0.56980759999999997</v>
      </c>
      <c r="AN690" s="3">
        <v>0.57373070000000004</v>
      </c>
      <c r="AO690" s="3">
        <v>0.57750849999999998</v>
      </c>
      <c r="AP690" s="3">
        <v>0.58115740000000005</v>
      </c>
      <c r="AQ690" s="3">
        <v>0.58468830000000005</v>
      </c>
      <c r="AR690" s="3">
        <v>0.58811210000000003</v>
      </c>
      <c r="AS690" s="3">
        <v>0.59143939999999995</v>
      </c>
      <c r="AT690" s="3">
        <v>0.59468120000000002</v>
      </c>
      <c r="AU690" s="3">
        <v>0.59784820000000005</v>
      </c>
      <c r="AV690" s="3">
        <v>0.60095120000000002</v>
      </c>
      <c r="AW690" s="3">
        <v>0.60400109999999996</v>
      </c>
      <c r="AX690" s="3">
        <v>0.60700860000000001</v>
      </c>
      <c r="AY690" s="3">
        <v>0.60998459999999999</v>
      </c>
      <c r="AZ690" s="3">
        <v>0.61293980000000003</v>
      </c>
      <c r="BA690" s="3">
        <v>0.61588370000000003</v>
      </c>
      <c r="BB690" s="3">
        <v>0.61881960000000003</v>
      </c>
      <c r="BC690" s="3">
        <v>0.6217492</v>
      </c>
      <c r="BD690" s="3">
        <v>0.6246739</v>
      </c>
      <c r="BE690" s="3">
        <v>0.62759560000000003</v>
      </c>
      <c r="BF690" s="3">
        <v>0.63051570000000001</v>
      </c>
      <c r="BG690" s="3">
        <v>0.63343590000000005</v>
      </c>
      <c r="BH690" s="3">
        <v>0.63635790000000003</v>
      </c>
      <c r="BI690" s="3">
        <v>0.63928320000000005</v>
      </c>
      <c r="BJ690" s="3">
        <v>0.64221360000000005</v>
      </c>
      <c r="BK690" s="3">
        <v>0.64515049999999996</v>
      </c>
      <c r="BL690" s="3">
        <v>0.64809559999999999</v>
      </c>
      <c r="BM690" s="3" t="e">
        <v>#N/A</v>
      </c>
      <c r="BN690" s="3" t="e">
        <v>#N/A</v>
      </c>
    </row>
    <row r="691" spans="1:66" x14ac:dyDescent="0.35">
      <c r="A691" s="5">
        <f t="shared" si="10"/>
        <v>44421</v>
      </c>
      <c r="B691" t="s">
        <v>768</v>
      </c>
      <c r="C691" s="2">
        <v>0.1</v>
      </c>
      <c r="D691" s="2">
        <v>5.04E-2</v>
      </c>
      <c r="E691" s="3">
        <v>5.47611E-2</v>
      </c>
      <c r="F691" s="3">
        <v>5.66066E-2</v>
      </c>
      <c r="G691" s="3">
        <v>5.8938200000000003E-2</v>
      </c>
      <c r="H691" s="3">
        <v>6.6007399999999994E-2</v>
      </c>
      <c r="I691" s="3">
        <v>8.1655699999999998E-2</v>
      </c>
      <c r="J691" s="3">
        <v>0.1052573</v>
      </c>
      <c r="K691" s="3">
        <v>0.1342391</v>
      </c>
      <c r="L691" s="3">
        <v>0.16622600000000001</v>
      </c>
      <c r="M691" s="3">
        <v>0.19943939999999999</v>
      </c>
      <c r="N691" s="3">
        <v>0.2325411</v>
      </c>
      <c r="O691" s="3">
        <v>0.26450059999999997</v>
      </c>
      <c r="P691" s="3">
        <v>0.29461100000000001</v>
      </c>
      <c r="Q691" s="3">
        <v>0.32213039999999998</v>
      </c>
      <c r="R691" s="3">
        <v>0.34700049999999999</v>
      </c>
      <c r="S691" s="3">
        <v>0.36939129999999998</v>
      </c>
      <c r="T691" s="3">
        <v>0.3894726</v>
      </c>
      <c r="U691" s="3">
        <v>0.40741450000000001</v>
      </c>
      <c r="V691" s="3">
        <v>0.42338690000000001</v>
      </c>
      <c r="W691" s="3">
        <v>0.43756349999999999</v>
      </c>
      <c r="X691" s="3">
        <v>0.45013570000000003</v>
      </c>
      <c r="Y691" s="3">
        <v>0.46129989999999998</v>
      </c>
      <c r="Z691" s="3">
        <v>0.47125280000000003</v>
      </c>
      <c r="AA691" s="3">
        <v>0.48019079999999997</v>
      </c>
      <c r="AB691" s="3">
        <v>0.48831039999999998</v>
      </c>
      <c r="AC691" s="3">
        <v>0.49578470000000002</v>
      </c>
      <c r="AD691" s="3">
        <v>0.50268360000000001</v>
      </c>
      <c r="AE691" s="3">
        <v>0.50904839999999996</v>
      </c>
      <c r="AF691" s="3">
        <v>0.51492039999999994</v>
      </c>
      <c r="AG691" s="3">
        <v>0.52034100000000005</v>
      </c>
      <c r="AH691" s="3">
        <v>0.52535149999999997</v>
      </c>
      <c r="AI691" s="3">
        <v>0.52999320000000005</v>
      </c>
      <c r="AJ691" s="3">
        <v>0.53430759999999999</v>
      </c>
      <c r="AK691" s="3">
        <v>0.53833580000000003</v>
      </c>
      <c r="AL691" s="3">
        <v>0.54211940000000003</v>
      </c>
      <c r="AM691" s="3">
        <v>0.5456995</v>
      </c>
      <c r="AN691" s="3">
        <v>0.54911770000000004</v>
      </c>
      <c r="AO691" s="3">
        <v>0.55241010000000002</v>
      </c>
      <c r="AP691" s="3">
        <v>0.55559170000000002</v>
      </c>
      <c r="AQ691" s="3">
        <v>0.55867109999999998</v>
      </c>
      <c r="AR691" s="3">
        <v>0.56165699999999996</v>
      </c>
      <c r="AS691" s="3">
        <v>0.56455829999999996</v>
      </c>
      <c r="AT691" s="3">
        <v>0.56738350000000004</v>
      </c>
      <c r="AU691" s="3">
        <v>0.57014140000000002</v>
      </c>
      <c r="AV691" s="3">
        <v>0.57284089999999999</v>
      </c>
      <c r="AW691" s="3">
        <v>0.57549050000000002</v>
      </c>
      <c r="AX691" s="3">
        <v>0.57809900000000003</v>
      </c>
      <c r="AY691" s="3">
        <v>0.58067519999999995</v>
      </c>
      <c r="AZ691" s="3">
        <v>0.58322779999999996</v>
      </c>
      <c r="BA691" s="3">
        <v>0.58576450000000002</v>
      </c>
      <c r="BB691" s="3">
        <v>0.58828910000000001</v>
      </c>
      <c r="BC691" s="3">
        <v>0.590804</v>
      </c>
      <c r="BD691" s="3">
        <v>0.5933117</v>
      </c>
      <c r="BE691" s="3">
        <v>0.59581479999999998</v>
      </c>
      <c r="BF691" s="3">
        <v>0.59831570000000001</v>
      </c>
      <c r="BG691" s="3">
        <v>0.60081689999999999</v>
      </c>
      <c r="BH691" s="3">
        <v>0.60332110000000005</v>
      </c>
      <c r="BI691" s="3">
        <v>0.6058306</v>
      </c>
      <c r="BJ691" s="3">
        <v>0.608348</v>
      </c>
      <c r="BK691" s="3">
        <v>0.61087579999999997</v>
      </c>
      <c r="BL691" s="3">
        <v>0.61341639999999997</v>
      </c>
      <c r="BM691" s="3" t="e">
        <v>#N/A</v>
      </c>
      <c r="BN691" s="3" t="e">
        <v>#N/A</v>
      </c>
    </row>
    <row r="692" spans="1:66" x14ac:dyDescent="0.35">
      <c r="A692" s="5">
        <f t="shared" si="10"/>
        <v>44424</v>
      </c>
      <c r="B692" t="s">
        <v>769</v>
      </c>
      <c r="C692" s="2">
        <v>0.1</v>
      </c>
      <c r="D692" s="2">
        <v>5.0500000000000003E-2</v>
      </c>
      <c r="E692" s="3">
        <v>5.1049400000000002E-2</v>
      </c>
      <c r="F692" s="3">
        <v>5.7894599999999997E-2</v>
      </c>
      <c r="G692" s="3">
        <v>6.3569100000000003E-2</v>
      </c>
      <c r="H692" s="3">
        <v>7.1536799999999998E-2</v>
      </c>
      <c r="I692" s="3">
        <v>8.7512900000000005E-2</v>
      </c>
      <c r="J692" s="3">
        <v>0.1117959</v>
      </c>
      <c r="K692" s="3">
        <v>0.1417378</v>
      </c>
      <c r="L692" s="3">
        <v>0.17496320000000001</v>
      </c>
      <c r="M692" s="3">
        <v>0.2095563</v>
      </c>
      <c r="N692" s="3">
        <v>0.24363309999999999</v>
      </c>
      <c r="O692" s="3">
        <v>0.27577950000000001</v>
      </c>
      <c r="P692" s="3">
        <v>0.30517889999999998</v>
      </c>
      <c r="Q692" s="3">
        <v>0.33117089999999999</v>
      </c>
      <c r="R692" s="3">
        <v>0.35391020000000001</v>
      </c>
      <c r="S692" s="3">
        <v>0.37376939999999997</v>
      </c>
      <c r="T692" s="3">
        <v>0.39112130000000001</v>
      </c>
      <c r="U692" s="3">
        <v>0.4063388</v>
      </c>
      <c r="V692" s="3">
        <v>0.41979430000000001</v>
      </c>
      <c r="W692" s="3">
        <v>0.43183149999999998</v>
      </c>
      <c r="X692" s="3">
        <v>0.44265789999999999</v>
      </c>
      <c r="Y692" s="3">
        <v>0.4524416</v>
      </c>
      <c r="Z692" s="3">
        <v>0.46135080000000001</v>
      </c>
      <c r="AA692" s="3">
        <v>0.46955370000000002</v>
      </c>
      <c r="AB692" s="3">
        <v>0.47721849999999999</v>
      </c>
      <c r="AC692" s="3">
        <v>0.48448799999999997</v>
      </c>
      <c r="AD692" s="3">
        <v>0.4914036</v>
      </c>
      <c r="AE692" s="3">
        <v>0.49798160000000002</v>
      </c>
      <c r="AF692" s="3">
        <v>0.50423799999999996</v>
      </c>
      <c r="AG692" s="3">
        <v>0.51018920000000001</v>
      </c>
      <c r="AH692" s="3">
        <v>0.51585119999999995</v>
      </c>
      <c r="AI692" s="3">
        <v>0.52124009999999998</v>
      </c>
      <c r="AJ692" s="3">
        <v>0.52637219999999996</v>
      </c>
      <c r="AK692" s="3">
        <v>0.5312635</v>
      </c>
      <c r="AL692" s="3">
        <v>0.53593040000000003</v>
      </c>
      <c r="AM692" s="3">
        <v>0.5403888</v>
      </c>
      <c r="AN692" s="3">
        <v>0.544655</v>
      </c>
      <c r="AO692" s="3">
        <v>0.54874449999999997</v>
      </c>
      <c r="AP692" s="3">
        <v>0.55266950000000004</v>
      </c>
      <c r="AQ692" s="3">
        <v>0.55644159999999998</v>
      </c>
      <c r="AR692" s="3">
        <v>0.56007220000000002</v>
      </c>
      <c r="AS692" s="3">
        <v>0.56357299999999999</v>
      </c>
      <c r="AT692" s="3">
        <v>0.56695530000000005</v>
      </c>
      <c r="AU692" s="3">
        <v>0.57023060000000003</v>
      </c>
      <c r="AV692" s="3">
        <v>0.57341050000000005</v>
      </c>
      <c r="AW692" s="3">
        <v>0.57650650000000003</v>
      </c>
      <c r="AX692" s="3">
        <v>0.57952999999999999</v>
      </c>
      <c r="AY692" s="3">
        <v>0.58249260000000003</v>
      </c>
      <c r="AZ692" s="3">
        <v>0.58540570000000003</v>
      </c>
      <c r="BA692" s="3">
        <v>0.58827989999999997</v>
      </c>
      <c r="BB692" s="3">
        <v>0.5911208</v>
      </c>
      <c r="BC692" s="3">
        <v>0.59393220000000002</v>
      </c>
      <c r="BD692" s="3">
        <v>0.59671819999999998</v>
      </c>
      <c r="BE692" s="3">
        <v>0.59948259999999998</v>
      </c>
      <c r="BF692" s="3">
        <v>0.60222940000000003</v>
      </c>
      <c r="BG692" s="3">
        <v>0.60496229999999995</v>
      </c>
      <c r="BH692" s="3">
        <v>0.60768540000000004</v>
      </c>
      <c r="BI692" s="3">
        <v>0.61040249999999996</v>
      </c>
      <c r="BJ692" s="3">
        <v>0.61311749999999998</v>
      </c>
      <c r="BK692" s="3">
        <v>0.6158344</v>
      </c>
      <c r="BL692" s="3">
        <v>0.61855709999999997</v>
      </c>
      <c r="BM692" s="3" t="e">
        <v>#N/A</v>
      </c>
      <c r="BN692" s="3" t="e">
        <v>#N/A</v>
      </c>
    </row>
    <row r="693" spans="1:66" x14ac:dyDescent="0.35">
      <c r="A693" s="5">
        <f t="shared" si="10"/>
        <v>44425</v>
      </c>
      <c r="B693" t="s">
        <v>770</v>
      </c>
      <c r="C693" s="2">
        <v>0.1</v>
      </c>
      <c r="D693" s="2">
        <v>5.0299999999999997E-2</v>
      </c>
      <c r="E693" s="3">
        <v>5.22508E-2</v>
      </c>
      <c r="F693" s="3">
        <v>5.7390299999999998E-2</v>
      </c>
      <c r="G693" s="3">
        <v>6.11938E-2</v>
      </c>
      <c r="H693" s="3">
        <v>6.7339300000000005E-2</v>
      </c>
      <c r="I693" s="3">
        <v>8.2160700000000003E-2</v>
      </c>
      <c r="J693" s="3">
        <v>0.1065376</v>
      </c>
      <c r="K693" s="3">
        <v>0.13784579999999999</v>
      </c>
      <c r="L693" s="3">
        <v>0.17271890000000001</v>
      </c>
      <c r="M693" s="3">
        <v>0.20819789999999999</v>
      </c>
      <c r="N693" s="3">
        <v>0.2422465</v>
      </c>
      <c r="O693" s="3">
        <v>0.27379969999999998</v>
      </c>
      <c r="P693" s="3">
        <v>0.30250120000000003</v>
      </c>
      <c r="Q693" s="3">
        <v>0.32829710000000001</v>
      </c>
      <c r="R693" s="3">
        <v>0.35137770000000002</v>
      </c>
      <c r="S693" s="3">
        <v>0.3719867</v>
      </c>
      <c r="T693" s="3">
        <v>0.39036779999999999</v>
      </c>
      <c r="U693" s="3">
        <v>0.40676469999999998</v>
      </c>
      <c r="V693" s="3">
        <v>0.42142099999999999</v>
      </c>
      <c r="W693" s="3">
        <v>0.43456709999999998</v>
      </c>
      <c r="X693" s="3">
        <v>0.44637139999999997</v>
      </c>
      <c r="Y693" s="3">
        <v>0.45698450000000002</v>
      </c>
      <c r="Z693" s="3">
        <v>0.4665569</v>
      </c>
      <c r="AA693" s="3">
        <v>0.47523919999999997</v>
      </c>
      <c r="AB693" s="3">
        <v>0.48318169999999999</v>
      </c>
      <c r="AC693" s="3">
        <v>0.49051640000000002</v>
      </c>
      <c r="AD693" s="3">
        <v>0.49730089999999999</v>
      </c>
      <c r="AE693" s="3">
        <v>0.50357410000000002</v>
      </c>
      <c r="AF693" s="3">
        <v>0.50937489999999996</v>
      </c>
      <c r="AG693" s="3">
        <v>0.51474209999999998</v>
      </c>
      <c r="AH693" s="3">
        <v>0.51971469999999997</v>
      </c>
      <c r="AI693" s="3">
        <v>0.52433169999999996</v>
      </c>
      <c r="AJ693" s="3">
        <v>0.52863179999999999</v>
      </c>
      <c r="AK693" s="3">
        <v>0.53265410000000002</v>
      </c>
      <c r="AL693" s="3">
        <v>0.53643750000000001</v>
      </c>
      <c r="AM693" s="3">
        <v>0.54002079999999997</v>
      </c>
      <c r="AN693" s="3">
        <v>0.54344289999999995</v>
      </c>
      <c r="AO693" s="3">
        <v>0.54673899999999998</v>
      </c>
      <c r="AP693" s="3">
        <v>0.54992289999999999</v>
      </c>
      <c r="AQ693" s="3">
        <v>0.55300190000000005</v>
      </c>
      <c r="AR693" s="3">
        <v>0.55598270000000005</v>
      </c>
      <c r="AS693" s="3">
        <v>0.55887249999999999</v>
      </c>
      <c r="AT693" s="3">
        <v>0.56167829999999996</v>
      </c>
      <c r="AU693" s="3">
        <v>0.56440699999999999</v>
      </c>
      <c r="AV693" s="3">
        <v>0.56706570000000001</v>
      </c>
      <c r="AW693" s="3">
        <v>0.56966139999999998</v>
      </c>
      <c r="AX693" s="3">
        <v>0.57220110000000002</v>
      </c>
      <c r="AY693" s="3">
        <v>0.57469170000000003</v>
      </c>
      <c r="AZ693" s="3">
        <v>0.5771404</v>
      </c>
      <c r="BA693" s="3">
        <v>0.57955350000000005</v>
      </c>
      <c r="BB693" s="3">
        <v>0.58193459999999997</v>
      </c>
      <c r="BC693" s="3">
        <v>0.58428659999999999</v>
      </c>
      <c r="BD693" s="3">
        <v>0.58661209999999997</v>
      </c>
      <c r="BE693" s="3">
        <v>0.5889141</v>
      </c>
      <c r="BF693" s="3">
        <v>0.59119509999999997</v>
      </c>
      <c r="BG693" s="3">
        <v>0.59345809999999999</v>
      </c>
      <c r="BH693" s="3">
        <v>0.5957057</v>
      </c>
      <c r="BI693" s="3">
        <v>0.59794080000000005</v>
      </c>
      <c r="BJ693" s="3">
        <v>0.60016610000000004</v>
      </c>
      <c r="BK693" s="3">
        <v>0.60238440000000004</v>
      </c>
      <c r="BL693" s="3">
        <v>0.60459850000000004</v>
      </c>
      <c r="BM693" s="3" t="e">
        <v>#N/A</v>
      </c>
      <c r="BN693" s="3" t="e">
        <v>#N/A</v>
      </c>
    </row>
    <row r="694" spans="1:66" x14ac:dyDescent="0.35">
      <c r="A694" s="5">
        <f t="shared" si="10"/>
        <v>44426</v>
      </c>
      <c r="B694" t="s">
        <v>771</v>
      </c>
      <c r="C694" s="2">
        <v>0.1</v>
      </c>
      <c r="D694" s="2">
        <v>5.0500000000000003E-2</v>
      </c>
      <c r="E694" s="3">
        <v>5.2136299999999997E-2</v>
      </c>
      <c r="F694" s="3">
        <v>5.7737900000000002E-2</v>
      </c>
      <c r="G694" s="3">
        <v>6.22073E-2</v>
      </c>
      <c r="H694" s="3">
        <v>6.8576899999999996E-2</v>
      </c>
      <c r="I694" s="3">
        <v>8.2843299999999995E-2</v>
      </c>
      <c r="J694" s="3">
        <v>0.1058785</v>
      </c>
      <c r="K694" s="3">
        <v>0.1354959</v>
      </c>
      <c r="L694" s="3">
        <v>0.16862930000000001</v>
      </c>
      <c r="M694" s="3">
        <v>0.20264160000000001</v>
      </c>
      <c r="N694" s="3">
        <v>0.23566770000000001</v>
      </c>
      <c r="O694" s="3">
        <v>0.26669680000000001</v>
      </c>
      <c r="P694" s="3">
        <v>0.29516049999999999</v>
      </c>
      <c r="Q694" s="3">
        <v>0.32063269999999999</v>
      </c>
      <c r="R694" s="3">
        <v>0.34325489999999997</v>
      </c>
      <c r="S694" s="3">
        <v>0.36331629999999998</v>
      </c>
      <c r="T694" s="3">
        <v>0.3811061</v>
      </c>
      <c r="U694" s="3">
        <v>0.39691340000000003</v>
      </c>
      <c r="V694" s="3">
        <v>0.41102749999999999</v>
      </c>
      <c r="W694" s="3">
        <v>0.42372209999999999</v>
      </c>
      <c r="X694" s="3">
        <v>0.43518469999999998</v>
      </c>
      <c r="Y694" s="3">
        <v>0.44557219999999997</v>
      </c>
      <c r="Z694" s="3">
        <v>0.45504149999999999</v>
      </c>
      <c r="AA694" s="3">
        <v>0.46374969999999999</v>
      </c>
      <c r="AB694" s="3">
        <v>0.47185339999999998</v>
      </c>
      <c r="AC694" s="3">
        <v>0.47948819999999998</v>
      </c>
      <c r="AD694" s="3">
        <v>0.48670239999999998</v>
      </c>
      <c r="AE694" s="3">
        <v>0.4935232</v>
      </c>
      <c r="AF694" s="3">
        <v>0.49997740000000002</v>
      </c>
      <c r="AG694" s="3">
        <v>0.50609190000000004</v>
      </c>
      <c r="AH694" s="3">
        <v>0.51189370000000001</v>
      </c>
      <c r="AI694" s="3">
        <v>0.51740980000000003</v>
      </c>
      <c r="AJ694" s="3">
        <v>0.52266710000000005</v>
      </c>
      <c r="AK694" s="3">
        <v>0.52769250000000001</v>
      </c>
      <c r="AL694" s="3">
        <v>0.53251289999999996</v>
      </c>
      <c r="AM694" s="3">
        <v>0.53715539999999995</v>
      </c>
      <c r="AN694" s="3">
        <v>0.54164679999999998</v>
      </c>
      <c r="AO694" s="3">
        <v>0.54601149999999998</v>
      </c>
      <c r="AP694" s="3">
        <v>0.55026070000000005</v>
      </c>
      <c r="AQ694" s="3">
        <v>0.55440179999999994</v>
      </c>
      <c r="AR694" s="3">
        <v>0.55844210000000005</v>
      </c>
      <c r="AS694" s="3">
        <v>0.56238900000000003</v>
      </c>
      <c r="AT694" s="3">
        <v>0.56624980000000003</v>
      </c>
      <c r="AU694" s="3">
        <v>0.57003179999999998</v>
      </c>
      <c r="AV694" s="3">
        <v>0.57374250000000004</v>
      </c>
      <c r="AW694" s="3">
        <v>0.57738920000000005</v>
      </c>
      <c r="AX694" s="3">
        <v>0.58097920000000003</v>
      </c>
      <c r="AY694" s="3">
        <v>0.58451989999999998</v>
      </c>
      <c r="AZ694" s="3">
        <v>0.58801859999999995</v>
      </c>
      <c r="BA694" s="3">
        <v>0.5914817</v>
      </c>
      <c r="BB694" s="3">
        <v>0.59491190000000005</v>
      </c>
      <c r="BC694" s="3">
        <v>0.59831060000000003</v>
      </c>
      <c r="BD694" s="3">
        <v>0.60167919999999997</v>
      </c>
      <c r="BE694" s="3">
        <v>0.60501919999999998</v>
      </c>
      <c r="BF694" s="3">
        <v>0.60833210000000004</v>
      </c>
      <c r="BG694" s="3">
        <v>0.61161929999999998</v>
      </c>
      <c r="BH694" s="3">
        <v>0.61488220000000005</v>
      </c>
      <c r="BI694" s="3">
        <v>0.61812239999999996</v>
      </c>
      <c r="BJ694" s="3">
        <v>0.62134129999999999</v>
      </c>
      <c r="BK694" s="3">
        <v>0.6245404</v>
      </c>
      <c r="BL694" s="3">
        <v>0.62772110000000003</v>
      </c>
      <c r="BM694" s="3" t="e">
        <v>#N/A</v>
      </c>
      <c r="BN694" s="3" t="e">
        <v>#N/A</v>
      </c>
    </row>
    <row r="695" spans="1:66" x14ac:dyDescent="0.35">
      <c r="A695" s="5">
        <f t="shared" si="10"/>
        <v>44427</v>
      </c>
      <c r="B695" t="s">
        <v>772</v>
      </c>
      <c r="C695" s="2">
        <v>0.1</v>
      </c>
      <c r="D695" s="2">
        <v>5.0999999999999997E-2</v>
      </c>
      <c r="E695" s="3">
        <v>5.2304900000000001E-2</v>
      </c>
      <c r="F695" s="3">
        <v>5.7617399999999999E-2</v>
      </c>
      <c r="G695" s="3">
        <v>6.1184299999999997E-2</v>
      </c>
      <c r="H695" s="3">
        <v>6.6488400000000003E-2</v>
      </c>
      <c r="I695" s="3">
        <v>8.0095399999999997E-2</v>
      </c>
      <c r="J695" s="3">
        <v>0.10318430000000001</v>
      </c>
      <c r="K695" s="3">
        <v>0.1329719</v>
      </c>
      <c r="L695" s="3">
        <v>0.16573370000000001</v>
      </c>
      <c r="M695" s="3">
        <v>0.1982266</v>
      </c>
      <c r="N695" s="3">
        <v>0.22879250000000001</v>
      </c>
      <c r="O695" s="3">
        <v>0.25690689999999999</v>
      </c>
      <c r="P695" s="3">
        <v>0.28251209999999999</v>
      </c>
      <c r="Q695" s="3">
        <v>0.30546630000000002</v>
      </c>
      <c r="R695" s="3">
        <v>0.32593820000000001</v>
      </c>
      <c r="S695" s="3">
        <v>0.3441902</v>
      </c>
      <c r="T695" s="3">
        <v>0.36048479999999999</v>
      </c>
      <c r="U695" s="3">
        <v>0.37508429999999998</v>
      </c>
      <c r="V695" s="3">
        <v>0.38825120000000002</v>
      </c>
      <c r="W695" s="3">
        <v>0.40022799999999997</v>
      </c>
      <c r="X695" s="3">
        <v>0.41115459999999998</v>
      </c>
      <c r="Y695" s="3">
        <v>0.42113810000000002</v>
      </c>
      <c r="Z695" s="3">
        <v>0.4302858</v>
      </c>
      <c r="AA695" s="3">
        <v>0.4387046</v>
      </c>
      <c r="AB695" s="3">
        <v>0.4465018</v>
      </c>
      <c r="AC695" s="3">
        <v>0.45377420000000002</v>
      </c>
      <c r="AD695" s="3">
        <v>0.46056819999999998</v>
      </c>
      <c r="AE695" s="3">
        <v>0.46691510000000003</v>
      </c>
      <c r="AF695" s="3">
        <v>0.47284599999999999</v>
      </c>
      <c r="AG695" s="3">
        <v>0.47839209999999999</v>
      </c>
      <c r="AH695" s="3">
        <v>0.48358459999999998</v>
      </c>
      <c r="AI695" s="3">
        <v>0.48845470000000002</v>
      </c>
      <c r="AJ695" s="3">
        <v>0.49303340000000001</v>
      </c>
      <c r="AK695" s="3">
        <v>0.49735210000000002</v>
      </c>
      <c r="AL695" s="3">
        <v>0.50144180000000005</v>
      </c>
      <c r="AM695" s="3">
        <v>0.50533380000000006</v>
      </c>
      <c r="AN695" s="3">
        <v>0.50905920000000004</v>
      </c>
      <c r="AO695" s="3">
        <v>0.51264620000000005</v>
      </c>
      <c r="AP695" s="3">
        <v>0.51610990000000001</v>
      </c>
      <c r="AQ695" s="3">
        <v>0.51946179999999997</v>
      </c>
      <c r="AR695" s="3">
        <v>0.52271339999999999</v>
      </c>
      <c r="AS695" s="3">
        <v>0.52587609999999996</v>
      </c>
      <c r="AT695" s="3">
        <v>0.52896129999999997</v>
      </c>
      <c r="AU695" s="3">
        <v>0.53198060000000003</v>
      </c>
      <c r="AV695" s="3">
        <v>0.53494540000000002</v>
      </c>
      <c r="AW695" s="3">
        <v>0.53786719999999999</v>
      </c>
      <c r="AX695" s="3">
        <v>0.54075740000000005</v>
      </c>
      <c r="AY695" s="3">
        <v>0.54362750000000004</v>
      </c>
      <c r="AZ695" s="3">
        <v>0.54648909999999995</v>
      </c>
      <c r="BA695" s="3">
        <v>0.54935179999999995</v>
      </c>
      <c r="BB695" s="3">
        <v>0.5522186</v>
      </c>
      <c r="BC695" s="3">
        <v>0.55509030000000004</v>
      </c>
      <c r="BD695" s="3">
        <v>0.55796760000000001</v>
      </c>
      <c r="BE695" s="3">
        <v>0.56085149999999995</v>
      </c>
      <c r="BF695" s="3">
        <v>0.56374259999999998</v>
      </c>
      <c r="BG695" s="3">
        <v>0.56664199999999998</v>
      </c>
      <c r="BH695" s="3">
        <v>0.56955029999999995</v>
      </c>
      <c r="BI695" s="3">
        <v>0.57246850000000005</v>
      </c>
      <c r="BJ695" s="3">
        <v>0.57539720000000005</v>
      </c>
      <c r="BK695" s="3">
        <v>0.57833749999999995</v>
      </c>
      <c r="BL695" s="3">
        <v>0.58129010000000003</v>
      </c>
      <c r="BM695" s="3" t="e">
        <v>#N/A</v>
      </c>
      <c r="BN695" s="3" t="e">
        <v>#N/A</v>
      </c>
    </row>
    <row r="696" spans="1:66" x14ac:dyDescent="0.35">
      <c r="A696" s="5">
        <f t="shared" si="10"/>
        <v>44428</v>
      </c>
      <c r="B696" t="s">
        <v>773</v>
      </c>
      <c r="C696" s="2">
        <v>0.1</v>
      </c>
      <c r="D696" s="2">
        <v>5.0799999999999998E-2</v>
      </c>
      <c r="E696" s="3">
        <v>5.1745300000000001E-2</v>
      </c>
      <c r="F696" s="3">
        <v>5.7375500000000003E-2</v>
      </c>
      <c r="G696" s="3">
        <v>6.3219499999999998E-2</v>
      </c>
      <c r="H696" s="3">
        <v>7.1781899999999996E-2</v>
      </c>
      <c r="I696" s="3">
        <v>8.7200799999999995E-2</v>
      </c>
      <c r="J696" s="3">
        <v>0.10869819999999999</v>
      </c>
      <c r="K696" s="3">
        <v>0.1331223</v>
      </c>
      <c r="L696" s="3">
        <v>0.1585742</v>
      </c>
      <c r="M696" s="3">
        <v>0.1844133</v>
      </c>
      <c r="N696" s="3">
        <v>0.21052219999999999</v>
      </c>
      <c r="O696" s="3">
        <v>0.23672770000000001</v>
      </c>
      <c r="P696" s="3">
        <v>0.26236090000000001</v>
      </c>
      <c r="Q696" s="3">
        <v>0.28628789999999998</v>
      </c>
      <c r="R696" s="3">
        <v>0.30825590000000003</v>
      </c>
      <c r="S696" s="3">
        <v>0.32832210000000001</v>
      </c>
      <c r="T696" s="3">
        <v>0.34654420000000002</v>
      </c>
      <c r="U696" s="3">
        <v>0.36297970000000002</v>
      </c>
      <c r="V696" s="3">
        <v>0.37768610000000002</v>
      </c>
      <c r="W696" s="3">
        <v>0.39073849999999999</v>
      </c>
      <c r="X696" s="3">
        <v>0.40229399999999998</v>
      </c>
      <c r="Y696" s="3">
        <v>0.41253319999999999</v>
      </c>
      <c r="Z696" s="3">
        <v>0.42163669999999998</v>
      </c>
      <c r="AA696" s="3">
        <v>0.42978509999999998</v>
      </c>
      <c r="AB696" s="3">
        <v>0.43715920000000003</v>
      </c>
      <c r="AC696" s="3">
        <v>0.44391940000000002</v>
      </c>
      <c r="AD696" s="3">
        <v>0.45013789999999998</v>
      </c>
      <c r="AE696" s="3">
        <v>0.4558624</v>
      </c>
      <c r="AF696" s="3">
        <v>0.46114050000000001</v>
      </c>
      <c r="AG696" s="3">
        <v>0.46601989999999999</v>
      </c>
      <c r="AH696" s="3">
        <v>0.47054839999999998</v>
      </c>
      <c r="AI696" s="3">
        <v>0.47477340000000001</v>
      </c>
      <c r="AJ696" s="3">
        <v>0.47874280000000002</v>
      </c>
      <c r="AK696" s="3">
        <v>0.48250419999999999</v>
      </c>
      <c r="AL696" s="3">
        <v>0.48610530000000002</v>
      </c>
      <c r="AM696" s="3">
        <v>0.48959380000000002</v>
      </c>
      <c r="AN696" s="3">
        <v>0.49301719999999999</v>
      </c>
      <c r="AO696" s="3">
        <v>0.49641639999999998</v>
      </c>
      <c r="AP696" s="3">
        <v>0.4998012</v>
      </c>
      <c r="AQ696" s="3">
        <v>0.50317310000000004</v>
      </c>
      <c r="AR696" s="3">
        <v>0.50653329999999996</v>
      </c>
      <c r="AS696" s="3">
        <v>0.50988339999999999</v>
      </c>
      <c r="AT696" s="3">
        <v>0.51322460000000003</v>
      </c>
      <c r="AU696" s="3">
        <v>0.51655850000000003</v>
      </c>
      <c r="AV696" s="3">
        <v>0.51988639999999997</v>
      </c>
      <c r="AW696" s="3">
        <v>0.5232097</v>
      </c>
      <c r="AX696" s="3">
        <v>0.52652980000000005</v>
      </c>
      <c r="AY696" s="3">
        <v>0.52984799999999999</v>
      </c>
      <c r="AZ696" s="3">
        <v>0.53316589999999997</v>
      </c>
      <c r="BA696" s="3">
        <v>0.53648439999999997</v>
      </c>
      <c r="BB696" s="3">
        <v>0.53980220000000001</v>
      </c>
      <c r="BC696" s="3">
        <v>0.54311790000000004</v>
      </c>
      <c r="BD696" s="3">
        <v>0.54642959999999996</v>
      </c>
      <c r="BE696" s="3">
        <v>0.5497358</v>
      </c>
      <c r="BF696" s="3">
        <v>0.55303480000000005</v>
      </c>
      <c r="BG696" s="3">
        <v>0.55632499999999996</v>
      </c>
      <c r="BH696" s="3">
        <v>0.55960460000000001</v>
      </c>
      <c r="BI696" s="3">
        <v>0.56287209999999999</v>
      </c>
      <c r="BJ696" s="3">
        <v>0.56612569999999995</v>
      </c>
      <c r="BK696" s="3">
        <v>0.56936379999999998</v>
      </c>
      <c r="BL696" s="3">
        <v>0.5725848</v>
      </c>
      <c r="BM696" s="3" t="e">
        <v>#N/A</v>
      </c>
      <c r="BN696" s="3" t="e">
        <v>#N/A</v>
      </c>
    </row>
    <row r="697" spans="1:66" x14ac:dyDescent="0.35">
      <c r="A697" s="5">
        <f t="shared" si="10"/>
        <v>44431</v>
      </c>
      <c r="B697" t="s">
        <v>774</v>
      </c>
      <c r="C697" s="2">
        <v>0.1</v>
      </c>
      <c r="D697" s="2">
        <v>5.0500000000000003E-2</v>
      </c>
      <c r="E697" s="3">
        <v>5.0978599999999999E-2</v>
      </c>
      <c r="F697" s="3">
        <v>5.6918999999999997E-2</v>
      </c>
      <c r="G697" s="3">
        <v>6.2031599999999999E-2</v>
      </c>
      <c r="H697" s="3">
        <v>6.9944300000000001E-2</v>
      </c>
      <c r="I697" s="3">
        <v>8.4914000000000003E-2</v>
      </c>
      <c r="J697" s="3">
        <v>0.10705770000000001</v>
      </c>
      <c r="K697" s="3">
        <v>0.13449659999999999</v>
      </c>
      <c r="L697" s="3">
        <v>0.16476579999999999</v>
      </c>
      <c r="M697" s="3">
        <v>0.19578799999999999</v>
      </c>
      <c r="N697" s="3">
        <v>0.226108</v>
      </c>
      <c r="O697" s="3">
        <v>0.25480059999999999</v>
      </c>
      <c r="P697" s="3">
        <v>0.28134819999999999</v>
      </c>
      <c r="Q697" s="3">
        <v>0.30535210000000002</v>
      </c>
      <c r="R697" s="3">
        <v>0.32690150000000001</v>
      </c>
      <c r="S697" s="3">
        <v>0.34621410000000002</v>
      </c>
      <c r="T697" s="3">
        <v>0.363508</v>
      </c>
      <c r="U697" s="3">
        <v>0.37900099999999998</v>
      </c>
      <c r="V697" s="3">
        <v>0.39291120000000002</v>
      </c>
      <c r="W697" s="3">
        <v>0.40544459999999999</v>
      </c>
      <c r="X697" s="3">
        <v>0.41675210000000001</v>
      </c>
      <c r="Y697" s="3">
        <v>0.42696859999999998</v>
      </c>
      <c r="Z697" s="3">
        <v>0.43622909999999998</v>
      </c>
      <c r="AA697" s="3">
        <v>0.44466840000000002</v>
      </c>
      <c r="AB697" s="3">
        <v>0.45242169999999998</v>
      </c>
      <c r="AC697" s="3">
        <v>0.45960689999999998</v>
      </c>
      <c r="AD697" s="3">
        <v>0.46627540000000001</v>
      </c>
      <c r="AE697" s="3">
        <v>0.47246169999999998</v>
      </c>
      <c r="AF697" s="3">
        <v>0.47820030000000002</v>
      </c>
      <c r="AG697" s="3">
        <v>0.4835256</v>
      </c>
      <c r="AH697" s="3">
        <v>0.48847210000000002</v>
      </c>
      <c r="AI697" s="3">
        <v>0.49307440000000002</v>
      </c>
      <c r="AJ697" s="3">
        <v>0.497367</v>
      </c>
      <c r="AK697" s="3">
        <v>0.50138419999999995</v>
      </c>
      <c r="AL697" s="3">
        <v>0.50516070000000002</v>
      </c>
      <c r="AM697" s="3">
        <v>0.50873089999999999</v>
      </c>
      <c r="AN697" s="3">
        <v>0.51212939999999996</v>
      </c>
      <c r="AO697" s="3">
        <v>0.51538729999999999</v>
      </c>
      <c r="AP697" s="3">
        <v>0.51852160000000003</v>
      </c>
      <c r="AQ697" s="3">
        <v>0.52154529999999999</v>
      </c>
      <c r="AR697" s="3">
        <v>0.52447140000000003</v>
      </c>
      <c r="AS697" s="3">
        <v>0.52731289999999997</v>
      </c>
      <c r="AT697" s="3">
        <v>0.53008270000000002</v>
      </c>
      <c r="AU697" s="3">
        <v>0.53279379999999998</v>
      </c>
      <c r="AV697" s="3">
        <v>0.53545929999999997</v>
      </c>
      <c r="AW697" s="3">
        <v>0.53809209999999996</v>
      </c>
      <c r="AX697" s="3">
        <v>0.5407052</v>
      </c>
      <c r="AY697" s="3">
        <v>0.54331149999999995</v>
      </c>
      <c r="AZ697" s="3">
        <v>0.54592419999999997</v>
      </c>
      <c r="BA697" s="3">
        <v>0.54855469999999995</v>
      </c>
      <c r="BB697" s="3">
        <v>0.55120639999999999</v>
      </c>
      <c r="BC697" s="3">
        <v>0.55387969999999997</v>
      </c>
      <c r="BD697" s="3">
        <v>0.55657500000000004</v>
      </c>
      <c r="BE697" s="3">
        <v>0.55929249999999997</v>
      </c>
      <c r="BF697" s="3">
        <v>0.56203270000000005</v>
      </c>
      <c r="BG697" s="3">
        <v>0.56479579999999996</v>
      </c>
      <c r="BH697" s="3">
        <v>0.56758209999999998</v>
      </c>
      <c r="BI697" s="3">
        <v>0.57039209999999996</v>
      </c>
      <c r="BJ697" s="3">
        <v>0.57322600000000001</v>
      </c>
      <c r="BK697" s="3">
        <v>0.57608420000000005</v>
      </c>
      <c r="BL697" s="3">
        <v>0.57896700000000001</v>
      </c>
      <c r="BM697" s="3" t="e">
        <v>#N/A</v>
      </c>
      <c r="BN697" s="3" t="e">
        <v>#N/A</v>
      </c>
    </row>
    <row r="698" spans="1:66" x14ac:dyDescent="0.35">
      <c r="A698" s="5">
        <f t="shared" si="10"/>
        <v>44432</v>
      </c>
      <c r="B698" t="s">
        <v>775</v>
      </c>
      <c r="C698" s="2">
        <v>0.1</v>
      </c>
      <c r="D698" s="2">
        <v>5.0500000000000003E-2</v>
      </c>
      <c r="E698" s="3">
        <v>5.1260699999999999E-2</v>
      </c>
      <c r="F698" s="3">
        <v>5.6173899999999999E-2</v>
      </c>
      <c r="G698" s="3">
        <v>5.9760199999999999E-2</v>
      </c>
      <c r="H698" s="3">
        <v>6.6567500000000002E-2</v>
      </c>
      <c r="I698" s="3">
        <v>8.1416000000000002E-2</v>
      </c>
      <c r="J698" s="3">
        <v>0.10384839999999999</v>
      </c>
      <c r="K698" s="3">
        <v>0.1315578</v>
      </c>
      <c r="L698" s="3">
        <v>0.1622941</v>
      </c>
      <c r="M698" s="3">
        <v>0.19412850000000001</v>
      </c>
      <c r="N698" s="3">
        <v>0.22556380000000001</v>
      </c>
      <c r="O698" s="3">
        <v>0.25557340000000001</v>
      </c>
      <c r="P698" s="3">
        <v>0.2834797</v>
      </c>
      <c r="Q698" s="3">
        <v>0.3085272</v>
      </c>
      <c r="R698" s="3">
        <v>0.33077020000000001</v>
      </c>
      <c r="S698" s="3">
        <v>0.35049170000000002</v>
      </c>
      <c r="T698" s="3">
        <v>0.36797429999999998</v>
      </c>
      <c r="U698" s="3">
        <v>0.38350079999999998</v>
      </c>
      <c r="V698" s="3">
        <v>0.39735399999999998</v>
      </c>
      <c r="W698" s="3">
        <v>0.40979729999999998</v>
      </c>
      <c r="X698" s="3">
        <v>0.42100409999999999</v>
      </c>
      <c r="Y698" s="3">
        <v>0.43112159999999999</v>
      </c>
      <c r="Z698" s="3">
        <v>0.4402972</v>
      </c>
      <c r="AA698" s="3">
        <v>0.44867810000000002</v>
      </c>
      <c r="AB698" s="3">
        <v>0.45641179999999998</v>
      </c>
      <c r="AC698" s="3">
        <v>0.46362619999999999</v>
      </c>
      <c r="AD698" s="3">
        <v>0.47037190000000001</v>
      </c>
      <c r="AE698" s="3">
        <v>0.47667999999999999</v>
      </c>
      <c r="AF698" s="3">
        <v>0.48258200000000001</v>
      </c>
      <c r="AG698" s="3">
        <v>0.48810910000000002</v>
      </c>
      <c r="AH698" s="3">
        <v>0.49329240000000002</v>
      </c>
      <c r="AI698" s="3">
        <v>0.49816329999999998</v>
      </c>
      <c r="AJ698" s="3">
        <v>0.50275309999999995</v>
      </c>
      <c r="AK698" s="3">
        <v>0.50709289999999996</v>
      </c>
      <c r="AL698" s="3">
        <v>0.5112141</v>
      </c>
      <c r="AM698" s="3">
        <v>0.51514780000000004</v>
      </c>
      <c r="AN698" s="3">
        <v>0.51892550000000004</v>
      </c>
      <c r="AO698" s="3">
        <v>0.52257589999999998</v>
      </c>
      <c r="AP698" s="3">
        <v>0.52611439999999998</v>
      </c>
      <c r="AQ698" s="3">
        <v>0.52955099999999999</v>
      </c>
      <c r="AR698" s="3">
        <v>0.53289589999999998</v>
      </c>
      <c r="AS698" s="3">
        <v>0.53615919999999995</v>
      </c>
      <c r="AT698" s="3">
        <v>0.53935109999999997</v>
      </c>
      <c r="AU698" s="3">
        <v>0.54248169999999996</v>
      </c>
      <c r="AV698" s="3">
        <v>0.54556099999999996</v>
      </c>
      <c r="AW698" s="3">
        <v>0.54859939999999996</v>
      </c>
      <c r="AX698" s="3">
        <v>0.55160679999999995</v>
      </c>
      <c r="AY698" s="3">
        <v>0.55459340000000001</v>
      </c>
      <c r="AZ698" s="3">
        <v>0.55756930000000005</v>
      </c>
      <c r="BA698" s="3">
        <v>0.56054360000000003</v>
      </c>
      <c r="BB698" s="3">
        <v>0.5635194</v>
      </c>
      <c r="BC698" s="3">
        <v>0.56649769999999999</v>
      </c>
      <c r="BD698" s="3">
        <v>0.56947959999999997</v>
      </c>
      <c r="BE698" s="3">
        <v>0.57246620000000004</v>
      </c>
      <c r="BF698" s="3">
        <v>0.57545869999999999</v>
      </c>
      <c r="BG698" s="3">
        <v>0.57845800000000003</v>
      </c>
      <c r="BH698" s="3">
        <v>0.58146520000000002</v>
      </c>
      <c r="BI698" s="3">
        <v>0.58448149999999999</v>
      </c>
      <c r="BJ698" s="3">
        <v>0.58750800000000003</v>
      </c>
      <c r="BK698" s="3">
        <v>0.59054569999999995</v>
      </c>
      <c r="BL698" s="3">
        <v>0.59359569999999995</v>
      </c>
      <c r="BM698" s="3" t="e">
        <v>#N/A</v>
      </c>
      <c r="BN698" s="3" t="e">
        <v>#N/A</v>
      </c>
    </row>
    <row r="699" spans="1:66" x14ac:dyDescent="0.35">
      <c r="A699" s="5">
        <f t="shared" si="10"/>
        <v>44433</v>
      </c>
      <c r="B699" t="s">
        <v>776</v>
      </c>
      <c r="C699" s="2">
        <v>0.1</v>
      </c>
      <c r="D699" s="2">
        <v>5.04E-2</v>
      </c>
      <c r="E699" s="3">
        <v>4.8915300000000002E-2</v>
      </c>
      <c r="F699" s="3">
        <v>5.6855799999999998E-2</v>
      </c>
      <c r="G699" s="3">
        <v>6.1056699999999998E-2</v>
      </c>
      <c r="H699" s="3">
        <v>6.8734600000000007E-2</v>
      </c>
      <c r="I699" s="3">
        <v>8.5776699999999997E-2</v>
      </c>
      <c r="J699" s="3">
        <v>0.11110829999999999</v>
      </c>
      <c r="K699" s="3">
        <v>0.14166509999999999</v>
      </c>
      <c r="L699" s="3">
        <v>0.17459469999999999</v>
      </c>
      <c r="M699" s="3">
        <v>0.20789769999999999</v>
      </c>
      <c r="N699" s="3">
        <v>0.24019180000000001</v>
      </c>
      <c r="O699" s="3">
        <v>0.27059290000000003</v>
      </c>
      <c r="P699" s="3">
        <v>0.29846149999999999</v>
      </c>
      <c r="Q699" s="3">
        <v>0.32331569999999998</v>
      </c>
      <c r="R699" s="3">
        <v>0.34531109999999998</v>
      </c>
      <c r="S699" s="3">
        <v>0.36476589999999998</v>
      </c>
      <c r="T699" s="3">
        <v>0.38199840000000002</v>
      </c>
      <c r="U699" s="3">
        <v>0.39732699999999999</v>
      </c>
      <c r="V699" s="3">
        <v>0.41106989999999999</v>
      </c>
      <c r="W699" s="3">
        <v>0.42352709999999999</v>
      </c>
      <c r="X699" s="3">
        <v>0.43489410000000001</v>
      </c>
      <c r="Y699" s="3">
        <v>0.44533010000000001</v>
      </c>
      <c r="Z699" s="3">
        <v>0.4549938</v>
      </c>
      <c r="AA699" s="3">
        <v>0.46404440000000002</v>
      </c>
      <c r="AB699" s="3">
        <v>0.47264080000000003</v>
      </c>
      <c r="AC699" s="3">
        <v>0.4809176</v>
      </c>
      <c r="AD699" s="3">
        <v>0.48891210000000002</v>
      </c>
      <c r="AE699" s="3">
        <v>0.4966371</v>
      </c>
      <c r="AF699" s="3">
        <v>0.50410560000000004</v>
      </c>
      <c r="AG699" s="3">
        <v>0.51133050000000002</v>
      </c>
      <c r="AH699" s="3">
        <v>0.51832469999999997</v>
      </c>
      <c r="AI699" s="3">
        <v>0.52510120000000005</v>
      </c>
      <c r="AJ699" s="3">
        <v>0.53167279999999995</v>
      </c>
      <c r="AK699" s="3">
        <v>0.53805250000000004</v>
      </c>
      <c r="AL699" s="3">
        <v>0.54425319999999999</v>
      </c>
      <c r="AM699" s="3">
        <v>0.55028779999999999</v>
      </c>
      <c r="AN699" s="3">
        <v>0.55616920000000003</v>
      </c>
      <c r="AO699" s="3">
        <v>0.56190890000000004</v>
      </c>
      <c r="AP699" s="3">
        <v>0.56751119999999999</v>
      </c>
      <c r="AQ699" s="3">
        <v>0.57297759999999998</v>
      </c>
      <c r="AR699" s="3">
        <v>0.57830999999999999</v>
      </c>
      <c r="AS699" s="3">
        <v>0.58350999999999997</v>
      </c>
      <c r="AT699" s="3">
        <v>0.58857930000000003</v>
      </c>
      <c r="AU699" s="3">
        <v>0.59351960000000004</v>
      </c>
      <c r="AV699" s="3">
        <v>0.59833259999999999</v>
      </c>
      <c r="AW699" s="3">
        <v>0.60302</v>
      </c>
      <c r="AX699" s="3">
        <v>0.6075834</v>
      </c>
      <c r="AY699" s="3">
        <v>0.61202460000000003</v>
      </c>
      <c r="AZ699" s="3">
        <v>0.61634520000000004</v>
      </c>
      <c r="BA699" s="3">
        <v>0.62054770000000004</v>
      </c>
      <c r="BB699" s="3">
        <v>0.62463789999999997</v>
      </c>
      <c r="BC699" s="3">
        <v>0.62862260000000003</v>
      </c>
      <c r="BD699" s="3">
        <v>0.63250870000000003</v>
      </c>
      <c r="BE699" s="3">
        <v>0.63630310000000001</v>
      </c>
      <c r="BF699" s="3">
        <v>0.64001269999999999</v>
      </c>
      <c r="BG699" s="3">
        <v>0.6436442</v>
      </c>
      <c r="BH699" s="3">
        <v>0.64720460000000002</v>
      </c>
      <c r="BI699" s="3">
        <v>0.65070079999999997</v>
      </c>
      <c r="BJ699" s="3">
        <v>0.65413960000000004</v>
      </c>
      <c r="BK699" s="3">
        <v>0.6575278</v>
      </c>
      <c r="BL699" s="3">
        <v>0.66087240000000003</v>
      </c>
      <c r="BM699" s="3" t="e">
        <v>#N/A</v>
      </c>
      <c r="BN699" s="3" t="e">
        <v>#N/A</v>
      </c>
    </row>
    <row r="700" spans="1:66" x14ac:dyDescent="0.35">
      <c r="A700" s="5">
        <f t="shared" si="10"/>
        <v>44434</v>
      </c>
      <c r="B700" t="s">
        <v>777</v>
      </c>
      <c r="C700" s="2">
        <v>0.1</v>
      </c>
      <c r="D700" s="2">
        <v>5.0500000000000003E-2</v>
      </c>
      <c r="E700" s="3">
        <v>5.1707400000000001E-2</v>
      </c>
      <c r="F700" s="3">
        <v>5.4933900000000001E-2</v>
      </c>
      <c r="G700" s="3">
        <v>5.8171899999999999E-2</v>
      </c>
      <c r="H700" s="3">
        <v>6.7033800000000004E-2</v>
      </c>
      <c r="I700" s="3">
        <v>8.7154700000000002E-2</v>
      </c>
      <c r="J700" s="3">
        <v>0.1169863</v>
      </c>
      <c r="K700" s="3">
        <v>0.15205279999999999</v>
      </c>
      <c r="L700" s="3">
        <v>0.18796550000000001</v>
      </c>
      <c r="M700" s="3">
        <v>0.2218377</v>
      </c>
      <c r="N700" s="3">
        <v>0.25266699999999997</v>
      </c>
      <c r="O700" s="3">
        <v>0.28060980000000002</v>
      </c>
      <c r="P700" s="3">
        <v>0.30606719999999998</v>
      </c>
      <c r="Q700" s="3">
        <v>0.32934550000000001</v>
      </c>
      <c r="R700" s="3">
        <v>0.35063169999999999</v>
      </c>
      <c r="S700" s="3">
        <v>0.370089</v>
      </c>
      <c r="T700" s="3">
        <v>0.38788040000000001</v>
      </c>
      <c r="U700" s="3">
        <v>0.40416879999999999</v>
      </c>
      <c r="V700" s="3">
        <v>0.41911749999999998</v>
      </c>
      <c r="W700" s="3">
        <v>0.43288320000000002</v>
      </c>
      <c r="X700" s="3">
        <v>0.44559179999999998</v>
      </c>
      <c r="Y700" s="3">
        <v>0.45735930000000002</v>
      </c>
      <c r="Z700" s="3">
        <v>0.46830149999999998</v>
      </c>
      <c r="AA700" s="3">
        <v>0.47853420000000002</v>
      </c>
      <c r="AB700" s="3">
        <v>0.48817349999999998</v>
      </c>
      <c r="AC700" s="3">
        <v>0.49732419999999999</v>
      </c>
      <c r="AD700" s="3">
        <v>0.50603299999999996</v>
      </c>
      <c r="AE700" s="3">
        <v>0.51432650000000002</v>
      </c>
      <c r="AF700" s="3">
        <v>0.52223169999999997</v>
      </c>
      <c r="AG700" s="3">
        <v>0.52977549999999995</v>
      </c>
      <c r="AH700" s="3">
        <v>0.53698460000000003</v>
      </c>
      <c r="AI700" s="3">
        <v>0.54388579999999997</v>
      </c>
      <c r="AJ700" s="3">
        <v>0.55050619999999995</v>
      </c>
      <c r="AK700" s="3">
        <v>0.55687240000000005</v>
      </c>
      <c r="AL700" s="3">
        <v>0.56301129999999999</v>
      </c>
      <c r="AM700" s="3">
        <v>0.56894979999999995</v>
      </c>
      <c r="AN700" s="3">
        <v>0.57471470000000002</v>
      </c>
      <c r="AO700" s="3">
        <v>0.58032950000000005</v>
      </c>
      <c r="AP700" s="3">
        <v>0.58580140000000003</v>
      </c>
      <c r="AQ700" s="3">
        <v>0.59113280000000001</v>
      </c>
      <c r="AR700" s="3">
        <v>0.59632589999999996</v>
      </c>
      <c r="AS700" s="3">
        <v>0.60138309999999995</v>
      </c>
      <c r="AT700" s="3">
        <v>0.60630649999999997</v>
      </c>
      <c r="AU700" s="3">
        <v>0.61109860000000005</v>
      </c>
      <c r="AV700" s="3">
        <v>0.61576149999999996</v>
      </c>
      <c r="AW700" s="3">
        <v>0.6202976</v>
      </c>
      <c r="AX700" s="3">
        <v>0.62470910000000002</v>
      </c>
      <c r="AY700" s="3">
        <v>0.62899850000000002</v>
      </c>
      <c r="AZ700" s="3">
        <v>0.63316779999999995</v>
      </c>
      <c r="BA700" s="3">
        <v>0.63722000000000001</v>
      </c>
      <c r="BB700" s="3">
        <v>0.6411597</v>
      </c>
      <c r="BC700" s="3">
        <v>0.64499240000000002</v>
      </c>
      <c r="BD700" s="3">
        <v>0.64872339999999995</v>
      </c>
      <c r="BE700" s="3">
        <v>0.65235810000000005</v>
      </c>
      <c r="BF700" s="3">
        <v>0.65590190000000004</v>
      </c>
      <c r="BG700" s="3">
        <v>0.6593601</v>
      </c>
      <c r="BH700" s="3">
        <v>0.6627381</v>
      </c>
      <c r="BI700" s="3">
        <v>0.6660412</v>
      </c>
      <c r="BJ700" s="3">
        <v>0.66927490000000001</v>
      </c>
      <c r="BK700" s="3">
        <v>0.67244440000000005</v>
      </c>
      <c r="BL700" s="3">
        <v>0.67555520000000002</v>
      </c>
      <c r="BM700" s="3" t="e">
        <v>#N/A</v>
      </c>
      <c r="BN700" s="3" t="e">
        <v>#N/A</v>
      </c>
    </row>
    <row r="701" spans="1:66" x14ac:dyDescent="0.35">
      <c r="A701" s="5">
        <f t="shared" si="10"/>
        <v>44435</v>
      </c>
      <c r="B701" t="s">
        <v>778</v>
      </c>
      <c r="C701" s="2">
        <v>0.1</v>
      </c>
      <c r="D701" s="2">
        <v>5.0700000000000002E-2</v>
      </c>
      <c r="E701" s="3">
        <v>4.9936500000000002E-2</v>
      </c>
      <c r="F701" s="3">
        <v>5.2088599999999999E-2</v>
      </c>
      <c r="G701" s="3">
        <v>5.79555E-2</v>
      </c>
      <c r="H701" s="3">
        <v>6.97324E-2</v>
      </c>
      <c r="I701" s="3">
        <v>8.9141799999999993E-2</v>
      </c>
      <c r="J701" s="3">
        <v>0.1147523</v>
      </c>
      <c r="K701" s="3">
        <v>0.14412820000000001</v>
      </c>
      <c r="L701" s="3">
        <v>0.17515849999999999</v>
      </c>
      <c r="M701" s="3">
        <v>0.20609379999999999</v>
      </c>
      <c r="N701" s="3">
        <v>0.2357224</v>
      </c>
      <c r="O701" s="3">
        <v>0.2633028</v>
      </c>
      <c r="P701" s="3">
        <v>0.28851789999999999</v>
      </c>
      <c r="Q701" s="3">
        <v>0.31137189999999998</v>
      </c>
      <c r="R701" s="3">
        <v>0.33204899999999998</v>
      </c>
      <c r="S701" s="3">
        <v>0.35077560000000002</v>
      </c>
      <c r="T701" s="3">
        <v>0.36777840000000001</v>
      </c>
      <c r="U701" s="3">
        <v>0.38328380000000001</v>
      </c>
      <c r="V701" s="3">
        <v>0.3975186</v>
      </c>
      <c r="W701" s="3">
        <v>0.410692</v>
      </c>
      <c r="X701" s="3">
        <v>0.42293370000000002</v>
      </c>
      <c r="Y701" s="3">
        <v>0.43435000000000001</v>
      </c>
      <c r="Z701" s="3">
        <v>0.44504719999999998</v>
      </c>
      <c r="AA701" s="3">
        <v>0.45513189999999998</v>
      </c>
      <c r="AB701" s="3">
        <v>0.46471040000000002</v>
      </c>
      <c r="AC701" s="3">
        <v>0.47387610000000002</v>
      </c>
      <c r="AD701" s="3">
        <v>0.482659</v>
      </c>
      <c r="AE701" s="3">
        <v>0.49107000000000001</v>
      </c>
      <c r="AF701" s="3">
        <v>0.4991197</v>
      </c>
      <c r="AG701" s="3">
        <v>0.50681900000000002</v>
      </c>
      <c r="AH701" s="3">
        <v>0.51417860000000004</v>
      </c>
      <c r="AI701" s="3">
        <v>0.52120920000000004</v>
      </c>
      <c r="AJ701" s="3">
        <v>0.52792159999999999</v>
      </c>
      <c r="AK701" s="3">
        <v>0.53432659999999998</v>
      </c>
      <c r="AL701" s="3">
        <v>0.54043490000000005</v>
      </c>
      <c r="AM701" s="3">
        <v>0.54625729999999995</v>
      </c>
      <c r="AN701" s="3">
        <v>0.55180459999999998</v>
      </c>
      <c r="AO701" s="3">
        <v>0.55708820000000003</v>
      </c>
      <c r="AP701" s="3">
        <v>0.56212289999999998</v>
      </c>
      <c r="AQ701" s="3">
        <v>0.5669244</v>
      </c>
      <c r="AR701" s="3">
        <v>0.57150840000000003</v>
      </c>
      <c r="AS701" s="3">
        <v>0.57589060000000003</v>
      </c>
      <c r="AT701" s="3">
        <v>0.58008660000000001</v>
      </c>
      <c r="AU701" s="3">
        <v>0.58411210000000002</v>
      </c>
      <c r="AV701" s="3">
        <v>0.58798280000000003</v>
      </c>
      <c r="AW701" s="3">
        <v>0.59171439999999997</v>
      </c>
      <c r="AX701" s="3">
        <v>0.59532249999999998</v>
      </c>
      <c r="AY701" s="3">
        <v>0.59882279999999999</v>
      </c>
      <c r="AZ701" s="3">
        <v>0.60223110000000002</v>
      </c>
      <c r="BA701" s="3">
        <v>0.60556169999999998</v>
      </c>
      <c r="BB701" s="3">
        <v>0.60882380000000003</v>
      </c>
      <c r="BC701" s="3">
        <v>0.61202509999999999</v>
      </c>
      <c r="BD701" s="3">
        <v>0.61517310000000003</v>
      </c>
      <c r="BE701" s="3">
        <v>0.61827569999999998</v>
      </c>
      <c r="BF701" s="3">
        <v>0.62134029999999996</v>
      </c>
      <c r="BG701" s="3">
        <v>0.62437480000000001</v>
      </c>
      <c r="BH701" s="3">
        <v>0.62738660000000002</v>
      </c>
      <c r="BI701" s="3">
        <v>0.63038360000000004</v>
      </c>
      <c r="BJ701" s="3">
        <v>0.63337330000000003</v>
      </c>
      <c r="BK701" s="3">
        <v>0.63636329999999997</v>
      </c>
      <c r="BL701" s="3">
        <v>0.63936150000000003</v>
      </c>
      <c r="BM701" s="3" t="e">
        <v>#N/A</v>
      </c>
      <c r="BN701" s="3" t="e">
        <v>#N/A</v>
      </c>
    </row>
    <row r="702" spans="1:66" x14ac:dyDescent="0.35">
      <c r="A702" s="5">
        <f t="shared" si="10"/>
        <v>44438</v>
      </c>
      <c r="B702" t="s">
        <v>779</v>
      </c>
      <c r="C702" s="2">
        <v>0.1</v>
      </c>
      <c r="D702" s="2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  <c r="P702" s="3" t="e">
        <v>#N/A</v>
      </c>
      <c r="Q702" s="3" t="e">
        <v>#N/A</v>
      </c>
      <c r="R702" s="3" t="e">
        <v>#N/A</v>
      </c>
      <c r="S702" s="3" t="e">
        <v>#N/A</v>
      </c>
      <c r="T702" s="3" t="e">
        <v>#N/A</v>
      </c>
      <c r="U702" s="3" t="e">
        <v>#N/A</v>
      </c>
      <c r="V702" s="3" t="e">
        <v>#N/A</v>
      </c>
      <c r="W702" s="3" t="e">
        <v>#N/A</v>
      </c>
      <c r="X702" s="3" t="e">
        <v>#N/A</v>
      </c>
      <c r="Y702" s="3" t="e">
        <v>#N/A</v>
      </c>
      <c r="Z702" s="3" t="e">
        <v>#N/A</v>
      </c>
      <c r="AA702" s="3" t="e">
        <v>#N/A</v>
      </c>
      <c r="AB702" s="3" t="e">
        <v>#N/A</v>
      </c>
      <c r="AC702" s="3" t="e">
        <v>#N/A</v>
      </c>
      <c r="AD702" s="3" t="e">
        <v>#N/A</v>
      </c>
      <c r="AE702" s="3" t="e">
        <v>#N/A</v>
      </c>
      <c r="AF702" s="3" t="e">
        <v>#N/A</v>
      </c>
      <c r="AG702" s="3" t="e">
        <v>#N/A</v>
      </c>
      <c r="AH702" s="3" t="e">
        <v>#N/A</v>
      </c>
      <c r="AI702" s="3" t="e">
        <v>#N/A</v>
      </c>
      <c r="AJ702" s="3" t="e">
        <v>#N/A</v>
      </c>
      <c r="AK702" s="3" t="e">
        <v>#N/A</v>
      </c>
      <c r="AL702" s="3" t="e">
        <v>#N/A</v>
      </c>
      <c r="AM702" s="3" t="e">
        <v>#N/A</v>
      </c>
      <c r="AN702" s="3" t="e">
        <v>#N/A</v>
      </c>
      <c r="AO702" s="3" t="e">
        <v>#N/A</v>
      </c>
      <c r="AP702" s="3" t="e">
        <v>#N/A</v>
      </c>
      <c r="AQ702" s="3" t="e">
        <v>#N/A</v>
      </c>
      <c r="AR702" s="3" t="e">
        <v>#N/A</v>
      </c>
      <c r="AS702" s="3" t="e">
        <v>#N/A</v>
      </c>
      <c r="AT702" s="3" t="e">
        <v>#N/A</v>
      </c>
      <c r="AU702" s="3" t="e">
        <v>#N/A</v>
      </c>
      <c r="AV702" s="3" t="e">
        <v>#N/A</v>
      </c>
      <c r="AW702" s="3" t="e">
        <v>#N/A</v>
      </c>
      <c r="AX702" s="3" t="e">
        <v>#N/A</v>
      </c>
      <c r="AY702" s="3" t="e">
        <v>#N/A</v>
      </c>
      <c r="AZ702" s="3" t="e">
        <v>#N/A</v>
      </c>
      <c r="BA702" s="3" t="e">
        <v>#N/A</v>
      </c>
      <c r="BB702" s="3" t="e">
        <v>#N/A</v>
      </c>
      <c r="BC702" s="3" t="e">
        <v>#N/A</v>
      </c>
      <c r="BD702" s="3" t="e">
        <v>#N/A</v>
      </c>
      <c r="BE702" s="3" t="e">
        <v>#N/A</v>
      </c>
      <c r="BF702" s="3" t="e">
        <v>#N/A</v>
      </c>
      <c r="BG702" s="3" t="e">
        <v>#N/A</v>
      </c>
      <c r="BH702" s="3" t="e">
        <v>#N/A</v>
      </c>
      <c r="BI702" s="3" t="e">
        <v>#N/A</v>
      </c>
      <c r="BJ702" s="3" t="e">
        <v>#N/A</v>
      </c>
      <c r="BK702" s="3" t="e">
        <v>#N/A</v>
      </c>
      <c r="BL702" s="3" t="e">
        <v>#N/A</v>
      </c>
      <c r="BM702" s="3" t="e">
        <v>#N/A</v>
      </c>
      <c r="BN702" s="3" t="e">
        <v>#N/A</v>
      </c>
    </row>
    <row r="703" spans="1:66" x14ac:dyDescent="0.35">
      <c r="A703" s="5">
        <f t="shared" si="10"/>
        <v>44439</v>
      </c>
      <c r="B703" t="s">
        <v>780</v>
      </c>
      <c r="C703" s="2">
        <v>0.1</v>
      </c>
      <c r="D703" s="2">
        <v>5.0200000000000002E-2</v>
      </c>
      <c r="E703" s="3">
        <v>5.1300800000000001E-2</v>
      </c>
      <c r="F703" s="3">
        <v>5.3512999999999998E-2</v>
      </c>
      <c r="G703" s="3">
        <v>5.9536699999999998E-2</v>
      </c>
      <c r="H703" s="3">
        <v>7.24297E-2</v>
      </c>
      <c r="I703" s="3">
        <v>9.2905600000000005E-2</v>
      </c>
      <c r="J703" s="3">
        <v>0.1190232</v>
      </c>
      <c r="K703" s="3">
        <v>0.14866170000000001</v>
      </c>
      <c r="L703" s="3">
        <v>0.18021090000000001</v>
      </c>
      <c r="M703" s="3">
        <v>0.21217279999999999</v>
      </c>
      <c r="N703" s="3">
        <v>0.24318629999999999</v>
      </c>
      <c r="O703" s="3">
        <v>0.27230209999999999</v>
      </c>
      <c r="P703" s="3">
        <v>0.29900110000000002</v>
      </c>
      <c r="Q703" s="3">
        <v>0.32301790000000002</v>
      </c>
      <c r="R703" s="3">
        <v>0.34453410000000001</v>
      </c>
      <c r="S703" s="3">
        <v>0.36383789999999999</v>
      </c>
      <c r="T703" s="3">
        <v>0.3812178</v>
      </c>
      <c r="U703" s="3">
        <v>0.39696229999999999</v>
      </c>
      <c r="V703" s="3">
        <v>0.41135969999999999</v>
      </c>
      <c r="W703" s="3">
        <v>0.42466619999999999</v>
      </c>
      <c r="X703" s="3">
        <v>0.43702639999999998</v>
      </c>
      <c r="Y703" s="3">
        <v>0.44856089999999998</v>
      </c>
      <c r="Z703" s="3">
        <v>0.45939020000000003</v>
      </c>
      <c r="AA703" s="3">
        <v>0.46963490000000002</v>
      </c>
      <c r="AB703" s="3">
        <v>0.47941549999999999</v>
      </c>
      <c r="AC703" s="3">
        <v>0.48883510000000002</v>
      </c>
      <c r="AD703" s="3">
        <v>0.49792550000000002</v>
      </c>
      <c r="AE703" s="3">
        <v>0.50670119999999996</v>
      </c>
      <c r="AF703" s="3">
        <v>0.51517659999999998</v>
      </c>
      <c r="AG703" s="3">
        <v>0.52336579999999999</v>
      </c>
      <c r="AH703" s="3">
        <v>0.53128339999999996</v>
      </c>
      <c r="AI703" s="3">
        <v>0.53894370000000003</v>
      </c>
      <c r="AJ703" s="3">
        <v>0.54636090000000004</v>
      </c>
      <c r="AK703" s="3">
        <v>0.55354950000000003</v>
      </c>
      <c r="AL703" s="3">
        <v>0.56052389999999996</v>
      </c>
      <c r="AM703" s="3">
        <v>0.56729830000000003</v>
      </c>
      <c r="AN703" s="3">
        <v>0.57388709999999998</v>
      </c>
      <c r="AO703" s="3">
        <v>0.58030360000000003</v>
      </c>
      <c r="AP703" s="3">
        <v>0.58655550000000001</v>
      </c>
      <c r="AQ703" s="3">
        <v>0.59264850000000002</v>
      </c>
      <c r="AR703" s="3">
        <v>0.59858840000000002</v>
      </c>
      <c r="AS703" s="3">
        <v>0.60438099999999995</v>
      </c>
      <c r="AT703" s="3">
        <v>0.61003200000000002</v>
      </c>
      <c r="AU703" s="3">
        <v>0.61554710000000001</v>
      </c>
      <c r="AV703" s="3">
        <v>0.62093220000000005</v>
      </c>
      <c r="AW703" s="3">
        <v>0.62619309999999995</v>
      </c>
      <c r="AX703" s="3">
        <v>0.63133530000000004</v>
      </c>
      <c r="AY703" s="3">
        <v>0.63636479999999995</v>
      </c>
      <c r="AZ703" s="3">
        <v>0.64128739999999995</v>
      </c>
      <c r="BA703" s="3">
        <v>0.64610849999999997</v>
      </c>
      <c r="BB703" s="3">
        <v>0.65083369999999996</v>
      </c>
      <c r="BC703" s="3">
        <v>0.65546789999999999</v>
      </c>
      <c r="BD703" s="3">
        <v>0.66001650000000001</v>
      </c>
      <c r="BE703" s="3">
        <v>0.66448439999999998</v>
      </c>
      <c r="BF703" s="3">
        <v>0.66887700000000005</v>
      </c>
      <c r="BG703" s="3">
        <v>0.6731994</v>
      </c>
      <c r="BH703" s="3">
        <v>0.67745670000000002</v>
      </c>
      <c r="BI703" s="3">
        <v>0.68165410000000004</v>
      </c>
      <c r="BJ703" s="3">
        <v>0.68579679999999998</v>
      </c>
      <c r="BK703" s="3">
        <v>0.6898898</v>
      </c>
      <c r="BL703" s="3">
        <v>0.69393850000000001</v>
      </c>
      <c r="BM703" s="3" t="e">
        <v>#N/A</v>
      </c>
      <c r="BN703" s="3" t="e">
        <v>#N/A</v>
      </c>
    </row>
    <row r="704" spans="1:66" x14ac:dyDescent="0.35">
      <c r="A704" s="5">
        <f t="shared" si="10"/>
        <v>44440</v>
      </c>
      <c r="B704" t="s">
        <v>781</v>
      </c>
      <c r="C704" s="2">
        <v>0.1</v>
      </c>
      <c r="D704" s="2">
        <v>5.0299999999999997E-2</v>
      </c>
      <c r="E704" s="3">
        <v>5.1912600000000003E-2</v>
      </c>
      <c r="F704" s="3">
        <v>5.6107999999999998E-2</v>
      </c>
      <c r="G704" s="3">
        <v>6.10898E-2</v>
      </c>
      <c r="H704" s="3">
        <v>7.1939100000000006E-2</v>
      </c>
      <c r="I704" s="3">
        <v>9.1704099999999997E-2</v>
      </c>
      <c r="J704" s="3">
        <v>0.1174082</v>
      </c>
      <c r="K704" s="3">
        <v>0.1459965</v>
      </c>
      <c r="L704" s="3">
        <v>0.17564250000000001</v>
      </c>
      <c r="M704" s="3">
        <v>0.2052293</v>
      </c>
      <c r="N704" s="3">
        <v>0.23399300000000001</v>
      </c>
      <c r="O704" s="3">
        <v>0.26139960000000001</v>
      </c>
      <c r="P704" s="3">
        <v>0.2870665</v>
      </c>
      <c r="Q704" s="3">
        <v>0.31063659999999998</v>
      </c>
      <c r="R704" s="3">
        <v>0.33217380000000002</v>
      </c>
      <c r="S704" s="3">
        <v>0.35185379999999999</v>
      </c>
      <c r="T704" s="3">
        <v>0.36985249999999997</v>
      </c>
      <c r="U704" s="3">
        <v>0.38634590000000002</v>
      </c>
      <c r="V704" s="3">
        <v>0.40150960000000002</v>
      </c>
      <c r="W704" s="3">
        <v>0.41550749999999997</v>
      </c>
      <c r="X704" s="3">
        <v>0.42846070000000003</v>
      </c>
      <c r="Y704" s="3">
        <v>0.44048150000000003</v>
      </c>
      <c r="Z704" s="3">
        <v>0.45168209999999998</v>
      </c>
      <c r="AA704" s="3">
        <v>0.4621748</v>
      </c>
      <c r="AB704" s="3">
        <v>0.47207159999999998</v>
      </c>
      <c r="AC704" s="3">
        <v>0.48147050000000002</v>
      </c>
      <c r="AD704" s="3">
        <v>0.49041249999999997</v>
      </c>
      <c r="AE704" s="3">
        <v>0.49892409999999998</v>
      </c>
      <c r="AF704" s="3">
        <v>0.50703180000000003</v>
      </c>
      <c r="AG704" s="3">
        <v>0.51476239999999995</v>
      </c>
      <c r="AH704" s="3">
        <v>0.52214229999999995</v>
      </c>
      <c r="AI704" s="3">
        <v>0.52919819999999995</v>
      </c>
      <c r="AJ704" s="3">
        <v>0.53595680000000001</v>
      </c>
      <c r="AK704" s="3">
        <v>0.54244440000000005</v>
      </c>
      <c r="AL704" s="3">
        <v>0.54868790000000001</v>
      </c>
      <c r="AM704" s="3">
        <v>0.55471369999999998</v>
      </c>
      <c r="AN704" s="3">
        <v>0.56054850000000001</v>
      </c>
      <c r="AO704" s="3">
        <v>0.56621630000000001</v>
      </c>
      <c r="AP704" s="3">
        <v>0.57172849999999997</v>
      </c>
      <c r="AQ704" s="3">
        <v>0.57709290000000002</v>
      </c>
      <c r="AR704" s="3">
        <v>0.58231699999999997</v>
      </c>
      <c r="AS704" s="3">
        <v>0.58740840000000005</v>
      </c>
      <c r="AT704" s="3">
        <v>0.59237499999999998</v>
      </c>
      <c r="AU704" s="3">
        <v>0.59722419999999998</v>
      </c>
      <c r="AV704" s="3">
        <v>0.60196380000000005</v>
      </c>
      <c r="AW704" s="3">
        <v>0.60660139999999996</v>
      </c>
      <c r="AX704" s="3">
        <v>0.61114460000000004</v>
      </c>
      <c r="AY704" s="3">
        <v>0.61560110000000001</v>
      </c>
      <c r="AZ704" s="3">
        <v>0.61997849999999999</v>
      </c>
      <c r="BA704" s="3">
        <v>0.6242839</v>
      </c>
      <c r="BB704" s="3">
        <v>0.62852090000000005</v>
      </c>
      <c r="BC704" s="3">
        <v>0.6326927</v>
      </c>
      <c r="BD704" s="3">
        <v>0.63680219999999998</v>
      </c>
      <c r="BE704" s="3">
        <v>0.64085239999999999</v>
      </c>
      <c r="BF704" s="3">
        <v>0.64484640000000004</v>
      </c>
      <c r="BG704" s="3">
        <v>0.648787</v>
      </c>
      <c r="BH704" s="3">
        <v>0.65267730000000002</v>
      </c>
      <c r="BI704" s="3">
        <v>0.65652029999999995</v>
      </c>
      <c r="BJ704" s="3">
        <v>0.66031910000000005</v>
      </c>
      <c r="BK704" s="3">
        <v>0.66407649999999996</v>
      </c>
      <c r="BL704" s="3">
        <v>0.66779549999999999</v>
      </c>
      <c r="BM704" s="3" t="e">
        <v>#N/A</v>
      </c>
      <c r="BN704" s="3" t="e">
        <v>#N/A</v>
      </c>
    </row>
    <row r="705" spans="1:66" x14ac:dyDescent="0.35">
      <c r="A705" s="5">
        <f t="shared" si="10"/>
        <v>44441</v>
      </c>
      <c r="B705" t="s">
        <v>782</v>
      </c>
      <c r="C705" s="2">
        <v>0.1</v>
      </c>
      <c r="D705" s="2">
        <v>5.0099999999999999E-2</v>
      </c>
      <c r="E705" s="3">
        <v>5.1304500000000003E-2</v>
      </c>
      <c r="F705" s="3">
        <v>5.0952799999999999E-2</v>
      </c>
      <c r="G705" s="3">
        <v>5.6730099999999999E-2</v>
      </c>
      <c r="H705" s="3">
        <v>7.0453600000000005E-2</v>
      </c>
      <c r="I705" s="3">
        <v>9.1402499999999998E-2</v>
      </c>
      <c r="J705" s="3">
        <v>0.1165891</v>
      </c>
      <c r="K705" s="3">
        <v>0.14369219999999999</v>
      </c>
      <c r="L705" s="3">
        <v>0.171514</v>
      </c>
      <c r="M705" s="3">
        <v>0.19930300000000001</v>
      </c>
      <c r="N705" s="3">
        <v>0.22652659999999999</v>
      </c>
      <c r="O705" s="3">
        <v>0.25273839999999997</v>
      </c>
      <c r="P705" s="3">
        <v>0.27746900000000002</v>
      </c>
      <c r="Q705" s="3">
        <v>0.3003305</v>
      </c>
      <c r="R705" s="3">
        <v>0.32135170000000002</v>
      </c>
      <c r="S705" s="3">
        <v>0.3406671</v>
      </c>
      <c r="T705" s="3">
        <v>0.35841089999999998</v>
      </c>
      <c r="U705" s="3">
        <v>0.37471749999999998</v>
      </c>
      <c r="V705" s="3">
        <v>0.38972119999999999</v>
      </c>
      <c r="W705" s="3">
        <v>0.40355180000000002</v>
      </c>
      <c r="X705" s="3">
        <v>0.41632380000000002</v>
      </c>
      <c r="Y705" s="3">
        <v>0.42814869999999999</v>
      </c>
      <c r="Z705" s="3">
        <v>0.43913750000000001</v>
      </c>
      <c r="AA705" s="3">
        <v>0.44940160000000001</v>
      </c>
      <c r="AB705" s="3">
        <v>0.45905230000000002</v>
      </c>
      <c r="AC705" s="3">
        <v>0.46818979999999999</v>
      </c>
      <c r="AD705" s="3">
        <v>0.47686119999999999</v>
      </c>
      <c r="AE705" s="3">
        <v>0.48509720000000001</v>
      </c>
      <c r="AF705" s="3">
        <v>0.49292859999999999</v>
      </c>
      <c r="AG705" s="3">
        <v>0.50038609999999994</v>
      </c>
      <c r="AH705" s="3">
        <v>0.50750039999999996</v>
      </c>
      <c r="AI705" s="3">
        <v>0.51430240000000005</v>
      </c>
      <c r="AJ705" s="3">
        <v>0.52082280000000003</v>
      </c>
      <c r="AK705" s="3">
        <v>0.52709240000000002</v>
      </c>
      <c r="AL705" s="3">
        <v>0.5331418</v>
      </c>
      <c r="AM705" s="3">
        <v>0.53900190000000003</v>
      </c>
      <c r="AN705" s="3">
        <v>0.54470339999999995</v>
      </c>
      <c r="AO705" s="3">
        <v>0.55027329999999997</v>
      </c>
      <c r="AP705" s="3">
        <v>0.55572169999999999</v>
      </c>
      <c r="AQ705" s="3">
        <v>0.5610541</v>
      </c>
      <c r="AR705" s="3">
        <v>0.566276</v>
      </c>
      <c r="AS705" s="3">
        <v>0.57139289999999998</v>
      </c>
      <c r="AT705" s="3">
        <v>0.57641039999999999</v>
      </c>
      <c r="AU705" s="3">
        <v>0.58133380000000001</v>
      </c>
      <c r="AV705" s="3">
        <v>0.58616869999999999</v>
      </c>
      <c r="AW705" s="3">
        <v>0.59092060000000002</v>
      </c>
      <c r="AX705" s="3">
        <v>0.59559510000000004</v>
      </c>
      <c r="AY705" s="3">
        <v>0.60019750000000005</v>
      </c>
      <c r="AZ705" s="3">
        <v>0.60473350000000003</v>
      </c>
      <c r="BA705" s="3">
        <v>0.60920799999999997</v>
      </c>
      <c r="BB705" s="3">
        <v>0.6136239</v>
      </c>
      <c r="BC705" s="3">
        <v>0.61798379999999997</v>
      </c>
      <c r="BD705" s="3">
        <v>0.6222898</v>
      </c>
      <c r="BE705" s="3">
        <v>0.6265444</v>
      </c>
      <c r="BF705" s="3">
        <v>0.63074989999999997</v>
      </c>
      <c r="BG705" s="3">
        <v>0.63490869999999999</v>
      </c>
      <c r="BH705" s="3">
        <v>0.63902320000000001</v>
      </c>
      <c r="BI705" s="3">
        <v>0.64309570000000005</v>
      </c>
      <c r="BJ705" s="3">
        <v>0.6471287</v>
      </c>
      <c r="BK705" s="3">
        <v>0.65112429999999999</v>
      </c>
      <c r="BL705" s="3">
        <v>0.65508520000000003</v>
      </c>
      <c r="BM705" s="3" t="e">
        <v>#N/A</v>
      </c>
      <c r="BN705" s="3" t="e">
        <v>#N/A</v>
      </c>
    </row>
    <row r="706" spans="1:66" x14ac:dyDescent="0.35">
      <c r="A706" s="5">
        <f t="shared" si="10"/>
        <v>44442</v>
      </c>
      <c r="B706" t="s">
        <v>783</v>
      </c>
      <c r="C706" s="2">
        <v>0.1</v>
      </c>
      <c r="D706" s="2">
        <v>4.99E-2</v>
      </c>
      <c r="E706" s="3">
        <v>5.1716499999999999E-2</v>
      </c>
      <c r="F706" s="3">
        <v>5.80735E-2</v>
      </c>
      <c r="G706" s="3">
        <v>6.4543000000000003E-2</v>
      </c>
      <c r="H706" s="3">
        <v>7.4535400000000002E-2</v>
      </c>
      <c r="I706" s="3">
        <v>9.1899400000000006E-2</v>
      </c>
      <c r="J706" s="3">
        <v>0.1152933</v>
      </c>
      <c r="K706" s="3">
        <v>0.141764</v>
      </c>
      <c r="L706" s="3">
        <v>0.1691327</v>
      </c>
      <c r="M706" s="3">
        <v>0.1965189</v>
      </c>
      <c r="N706" s="3">
        <v>0.223415</v>
      </c>
      <c r="O706" s="3">
        <v>0.2492624</v>
      </c>
      <c r="P706" s="3">
        <v>0.2736094</v>
      </c>
      <c r="Q706" s="3">
        <v>0.29628019999999999</v>
      </c>
      <c r="R706" s="3">
        <v>0.31733660000000002</v>
      </c>
      <c r="S706" s="3">
        <v>0.33689750000000002</v>
      </c>
      <c r="T706" s="3">
        <v>0.35508149999999999</v>
      </c>
      <c r="U706" s="3">
        <v>0.37200699999999998</v>
      </c>
      <c r="V706" s="3">
        <v>0.3877929</v>
      </c>
      <c r="W706" s="3">
        <v>0.40255059999999998</v>
      </c>
      <c r="X706" s="3">
        <v>0.41636709999999999</v>
      </c>
      <c r="Y706" s="3">
        <v>0.42932409999999999</v>
      </c>
      <c r="Z706" s="3">
        <v>0.44150319999999998</v>
      </c>
      <c r="AA706" s="3">
        <v>0.45298620000000001</v>
      </c>
      <c r="AB706" s="3">
        <v>0.46385470000000001</v>
      </c>
      <c r="AC706" s="3">
        <v>0.47418290000000002</v>
      </c>
      <c r="AD706" s="3">
        <v>0.48401100000000002</v>
      </c>
      <c r="AE706" s="3">
        <v>0.49337029999999998</v>
      </c>
      <c r="AF706" s="3">
        <v>0.50229199999999996</v>
      </c>
      <c r="AG706" s="3">
        <v>0.51080709999999996</v>
      </c>
      <c r="AH706" s="3">
        <v>0.51894689999999999</v>
      </c>
      <c r="AI706" s="3">
        <v>0.52674240000000006</v>
      </c>
      <c r="AJ706" s="3">
        <v>0.5342249</v>
      </c>
      <c r="AK706" s="3">
        <v>0.5414255</v>
      </c>
      <c r="AL706" s="3">
        <v>0.54837530000000001</v>
      </c>
      <c r="AM706" s="3">
        <v>0.55510550000000003</v>
      </c>
      <c r="AN706" s="3">
        <v>0.56164729999999996</v>
      </c>
      <c r="AO706" s="3">
        <v>0.56802839999999999</v>
      </c>
      <c r="AP706" s="3">
        <v>0.57426169999999999</v>
      </c>
      <c r="AQ706" s="3">
        <v>0.58035619999999999</v>
      </c>
      <c r="AR706" s="3">
        <v>0.58632070000000003</v>
      </c>
      <c r="AS706" s="3">
        <v>0.59216400000000002</v>
      </c>
      <c r="AT706" s="3">
        <v>0.59789510000000001</v>
      </c>
      <c r="AU706" s="3">
        <v>0.60352260000000002</v>
      </c>
      <c r="AV706" s="3">
        <v>0.60905560000000003</v>
      </c>
      <c r="AW706" s="3">
        <v>0.61450280000000002</v>
      </c>
      <c r="AX706" s="3">
        <v>0.61987309999999995</v>
      </c>
      <c r="AY706" s="3">
        <v>0.62517540000000005</v>
      </c>
      <c r="AZ706" s="3">
        <v>0.63041849999999999</v>
      </c>
      <c r="BA706" s="3">
        <v>0.63561009999999996</v>
      </c>
      <c r="BB706" s="3">
        <v>0.64075260000000001</v>
      </c>
      <c r="BC706" s="3">
        <v>0.64584699999999995</v>
      </c>
      <c r="BD706" s="3">
        <v>0.65089430000000004</v>
      </c>
      <c r="BE706" s="3">
        <v>0.65589549999999996</v>
      </c>
      <c r="BF706" s="3">
        <v>0.66085159999999998</v>
      </c>
      <c r="BG706" s="3">
        <v>0.66576360000000001</v>
      </c>
      <c r="BH706" s="3">
        <v>0.67063249999999996</v>
      </c>
      <c r="BI706" s="3">
        <v>0.67545920000000004</v>
      </c>
      <c r="BJ706" s="3">
        <v>0.68024479999999998</v>
      </c>
      <c r="BK706" s="3">
        <v>0.68499019999999999</v>
      </c>
      <c r="BL706" s="3">
        <v>0.68969650000000005</v>
      </c>
      <c r="BM706" s="3" t="e">
        <v>#N/A</v>
      </c>
      <c r="BN706" s="3" t="e">
        <v>#N/A</v>
      </c>
    </row>
    <row r="707" spans="1:66" x14ac:dyDescent="0.35">
      <c r="A707" s="5">
        <f t="shared" si="10"/>
        <v>44445</v>
      </c>
      <c r="B707" t="s">
        <v>784</v>
      </c>
      <c r="C707" s="2">
        <v>0.1</v>
      </c>
      <c r="D707" s="2">
        <v>5.0299999999999997E-2</v>
      </c>
      <c r="E707" s="3">
        <v>5.09229E-2</v>
      </c>
      <c r="F707" s="3">
        <v>5.5909100000000003E-2</v>
      </c>
      <c r="G707" s="3">
        <v>6.5364000000000005E-2</v>
      </c>
      <c r="H707" s="3">
        <v>7.8419500000000003E-2</v>
      </c>
      <c r="I707" s="3">
        <v>9.6166600000000005E-2</v>
      </c>
      <c r="J707" s="3">
        <v>0.1185248</v>
      </c>
      <c r="K707" s="3">
        <v>0.14363600000000001</v>
      </c>
      <c r="L707" s="3">
        <v>0.1692082</v>
      </c>
      <c r="M707" s="3">
        <v>0.1935761</v>
      </c>
      <c r="N707" s="3">
        <v>0.21688550000000001</v>
      </c>
      <c r="O707" s="3">
        <v>0.23970079999999999</v>
      </c>
      <c r="P707" s="3">
        <v>0.26190609999999998</v>
      </c>
      <c r="Q707" s="3">
        <v>0.28307850000000001</v>
      </c>
      <c r="R707" s="3">
        <v>0.3031354</v>
      </c>
      <c r="S707" s="3">
        <v>0.3220982</v>
      </c>
      <c r="T707" s="3">
        <v>0.33998800000000001</v>
      </c>
      <c r="U707" s="3">
        <v>0.35682619999999998</v>
      </c>
      <c r="V707" s="3">
        <v>0.37263400000000002</v>
      </c>
      <c r="W707" s="3">
        <v>0.38744299999999998</v>
      </c>
      <c r="X707" s="3">
        <v>0.40132030000000002</v>
      </c>
      <c r="Y707" s="3">
        <v>0.41434110000000002</v>
      </c>
      <c r="Z707" s="3">
        <v>0.42658010000000002</v>
      </c>
      <c r="AA707" s="3">
        <v>0.43811230000000001</v>
      </c>
      <c r="AB707" s="3">
        <v>0.44901259999999998</v>
      </c>
      <c r="AC707" s="3">
        <v>0.45934900000000001</v>
      </c>
      <c r="AD707" s="3">
        <v>0.46916160000000001</v>
      </c>
      <c r="AE707" s="3">
        <v>0.4784834</v>
      </c>
      <c r="AF707" s="3">
        <v>0.48734749999999999</v>
      </c>
      <c r="AG707" s="3">
        <v>0.49578709999999998</v>
      </c>
      <c r="AH707" s="3">
        <v>0.50383520000000004</v>
      </c>
      <c r="AI707" s="3">
        <v>0.51152489999999995</v>
      </c>
      <c r="AJ707" s="3">
        <v>0.51888939999999995</v>
      </c>
      <c r="AK707" s="3">
        <v>0.52596169999999998</v>
      </c>
      <c r="AL707" s="3">
        <v>0.53277490000000005</v>
      </c>
      <c r="AM707" s="3">
        <v>0.53936220000000001</v>
      </c>
      <c r="AN707" s="3">
        <v>0.54575660000000004</v>
      </c>
      <c r="AO707" s="3">
        <v>0.55198729999999996</v>
      </c>
      <c r="AP707" s="3">
        <v>0.55806650000000002</v>
      </c>
      <c r="AQ707" s="3">
        <v>0.56400150000000004</v>
      </c>
      <c r="AR707" s="3">
        <v>0.56979979999999997</v>
      </c>
      <c r="AS707" s="3">
        <v>0.5754686</v>
      </c>
      <c r="AT707" s="3">
        <v>0.58101550000000002</v>
      </c>
      <c r="AU707" s="3">
        <v>0.58644770000000002</v>
      </c>
      <c r="AV707" s="3">
        <v>0.59177259999999998</v>
      </c>
      <c r="AW707" s="3">
        <v>0.59699769999999996</v>
      </c>
      <c r="AX707" s="3">
        <v>0.60213039999999995</v>
      </c>
      <c r="AY707" s="3">
        <v>0.60717790000000005</v>
      </c>
      <c r="AZ707" s="3">
        <v>0.61214769999999996</v>
      </c>
      <c r="BA707" s="3">
        <v>0.61704650000000005</v>
      </c>
      <c r="BB707" s="3">
        <v>0.62187769999999998</v>
      </c>
      <c r="BC707" s="3">
        <v>0.62664330000000001</v>
      </c>
      <c r="BD707" s="3">
        <v>0.63134570000000001</v>
      </c>
      <c r="BE707" s="3">
        <v>0.63598690000000002</v>
      </c>
      <c r="BF707" s="3">
        <v>0.6405691</v>
      </c>
      <c r="BG707" s="3">
        <v>0.64509439999999996</v>
      </c>
      <c r="BH707" s="3">
        <v>0.64956510000000001</v>
      </c>
      <c r="BI707" s="3">
        <v>0.65398319999999999</v>
      </c>
      <c r="BJ707" s="3">
        <v>0.65835100000000002</v>
      </c>
      <c r="BK707" s="3">
        <v>0.66267069999999995</v>
      </c>
      <c r="BL707" s="3">
        <v>0.66694430000000005</v>
      </c>
      <c r="BM707" s="3" t="e">
        <v>#N/A</v>
      </c>
      <c r="BN707" s="3" t="e">
        <v>#N/A</v>
      </c>
    </row>
    <row r="708" spans="1:66" x14ac:dyDescent="0.35">
      <c r="A708" s="5">
        <f t="shared" si="10"/>
        <v>44446</v>
      </c>
      <c r="B708" t="s">
        <v>785</v>
      </c>
      <c r="C708" s="2">
        <v>0.1</v>
      </c>
      <c r="D708" s="2">
        <v>5.0700000000000002E-2</v>
      </c>
      <c r="E708" s="3">
        <v>5.2855699999999999E-2</v>
      </c>
      <c r="F708" s="3">
        <v>5.5934900000000003E-2</v>
      </c>
      <c r="G708" s="3">
        <v>6.1924699999999999E-2</v>
      </c>
      <c r="H708" s="3">
        <v>7.4941800000000003E-2</v>
      </c>
      <c r="I708" s="3">
        <v>9.5998E-2</v>
      </c>
      <c r="J708" s="3">
        <v>0.1215074</v>
      </c>
      <c r="K708" s="3">
        <v>0.14862520000000001</v>
      </c>
      <c r="L708" s="3">
        <v>0.1758025</v>
      </c>
      <c r="M708" s="3">
        <v>0.20191529999999999</v>
      </c>
      <c r="N708" s="3">
        <v>0.2271434</v>
      </c>
      <c r="O708" s="3">
        <v>0.25194630000000001</v>
      </c>
      <c r="P708" s="3">
        <v>0.27619320000000003</v>
      </c>
      <c r="Q708" s="3">
        <v>0.2994714</v>
      </c>
      <c r="R708" s="3">
        <v>0.3216753</v>
      </c>
      <c r="S708" s="3">
        <v>0.3427925</v>
      </c>
      <c r="T708" s="3">
        <v>0.36281079999999999</v>
      </c>
      <c r="U708" s="3">
        <v>0.3817179</v>
      </c>
      <c r="V708" s="3">
        <v>0.39950160000000001</v>
      </c>
      <c r="W708" s="3">
        <v>0.41616350000000002</v>
      </c>
      <c r="X708" s="3">
        <v>0.43175400000000003</v>
      </c>
      <c r="Y708" s="3">
        <v>0.44633390000000001</v>
      </c>
      <c r="Z708" s="3">
        <v>0.45996399999999998</v>
      </c>
      <c r="AA708" s="3">
        <v>0.47270499999999999</v>
      </c>
      <c r="AB708" s="3">
        <v>0.48461759999999998</v>
      </c>
      <c r="AC708" s="3">
        <v>0.49575999999999998</v>
      </c>
      <c r="AD708" s="3">
        <v>0.50617900000000005</v>
      </c>
      <c r="AE708" s="3">
        <v>0.51591880000000001</v>
      </c>
      <c r="AF708" s="3">
        <v>0.52502360000000003</v>
      </c>
      <c r="AG708" s="3">
        <v>0.5335375</v>
      </c>
      <c r="AH708" s="3">
        <v>0.54150480000000001</v>
      </c>
      <c r="AI708" s="3">
        <v>0.5489695</v>
      </c>
      <c r="AJ708" s="3">
        <v>0.55597589999999997</v>
      </c>
      <c r="AK708" s="3">
        <v>0.56256819999999996</v>
      </c>
      <c r="AL708" s="3">
        <v>0.56879040000000003</v>
      </c>
      <c r="AM708" s="3">
        <v>0.57468680000000005</v>
      </c>
      <c r="AN708" s="3">
        <v>0.58030159999999997</v>
      </c>
      <c r="AO708" s="3">
        <v>0.58567610000000003</v>
      </c>
      <c r="AP708" s="3">
        <v>0.59083669999999999</v>
      </c>
      <c r="AQ708" s="3">
        <v>0.59580489999999997</v>
      </c>
      <c r="AR708" s="3">
        <v>0.60060199999999997</v>
      </c>
      <c r="AS708" s="3">
        <v>0.6052495</v>
      </c>
      <c r="AT708" s="3">
        <v>0.60976870000000005</v>
      </c>
      <c r="AU708" s="3">
        <v>0.61418110000000004</v>
      </c>
      <c r="AV708" s="3">
        <v>0.61850799999999995</v>
      </c>
      <c r="AW708" s="3">
        <v>0.62277079999999996</v>
      </c>
      <c r="AX708" s="3">
        <v>0.62699090000000002</v>
      </c>
      <c r="AY708" s="3">
        <v>0.63118969999999996</v>
      </c>
      <c r="AZ708" s="3">
        <v>0.63538870000000003</v>
      </c>
      <c r="BA708" s="3">
        <v>0.63960640000000002</v>
      </c>
      <c r="BB708" s="3">
        <v>0.64384850000000005</v>
      </c>
      <c r="BC708" s="3">
        <v>0.64811649999999998</v>
      </c>
      <c r="BD708" s="3">
        <v>0.65241190000000004</v>
      </c>
      <c r="BE708" s="3">
        <v>0.65673619999999999</v>
      </c>
      <c r="BF708" s="3">
        <v>0.66109099999999998</v>
      </c>
      <c r="BG708" s="3">
        <v>0.66547780000000001</v>
      </c>
      <c r="BH708" s="3">
        <v>0.66989810000000005</v>
      </c>
      <c r="BI708" s="3">
        <v>0.6743536</v>
      </c>
      <c r="BJ708" s="3">
        <v>0.67884560000000005</v>
      </c>
      <c r="BK708" s="3">
        <v>0.68337579999999998</v>
      </c>
      <c r="BL708" s="3">
        <v>0.68794560000000005</v>
      </c>
      <c r="BM708" s="3" t="e">
        <v>#N/A</v>
      </c>
      <c r="BN708" s="3" t="e">
        <v>#N/A</v>
      </c>
    </row>
    <row r="709" spans="1:66" x14ac:dyDescent="0.35">
      <c r="A709" s="5">
        <f t="shared" si="10"/>
        <v>44447</v>
      </c>
      <c r="B709" t="s">
        <v>786</v>
      </c>
      <c r="C709" s="2">
        <v>0.1</v>
      </c>
      <c r="D709" s="2">
        <v>5.0500000000000003E-2</v>
      </c>
      <c r="E709" s="3">
        <v>5.0473299999999999E-2</v>
      </c>
      <c r="F709" s="3">
        <v>5.3985400000000003E-2</v>
      </c>
      <c r="G709" s="3">
        <v>6.3229300000000002E-2</v>
      </c>
      <c r="H709" s="3">
        <v>8.1112799999999999E-2</v>
      </c>
      <c r="I709" s="3">
        <v>0.1069425</v>
      </c>
      <c r="J709" s="3">
        <v>0.13729230000000001</v>
      </c>
      <c r="K709" s="3">
        <v>0.16959730000000001</v>
      </c>
      <c r="L709" s="3">
        <v>0.20234930000000001</v>
      </c>
      <c r="M709" s="3">
        <v>0.23435739999999999</v>
      </c>
      <c r="N709" s="3">
        <v>0.2647659</v>
      </c>
      <c r="O709" s="3">
        <v>0.29308149999999999</v>
      </c>
      <c r="P709" s="3">
        <v>0.31916109999999998</v>
      </c>
      <c r="Q709" s="3">
        <v>0.3431787</v>
      </c>
      <c r="R709" s="3">
        <v>0.36531200000000003</v>
      </c>
      <c r="S709" s="3">
        <v>0.38572269999999997</v>
      </c>
      <c r="T709" s="3">
        <v>0.4045724</v>
      </c>
      <c r="U709" s="3">
        <v>0.42202279999999998</v>
      </c>
      <c r="V709" s="3">
        <v>0.4382356</v>
      </c>
      <c r="W709" s="3">
        <v>0.45335540000000002</v>
      </c>
      <c r="X709" s="3">
        <v>0.4674683</v>
      </c>
      <c r="Y709" s="3">
        <v>0.48064750000000001</v>
      </c>
      <c r="Z709" s="3">
        <v>0.49296620000000002</v>
      </c>
      <c r="AA709" s="3">
        <v>0.50449790000000005</v>
      </c>
      <c r="AB709" s="3">
        <v>0.51531579999999999</v>
      </c>
      <c r="AC709" s="3">
        <v>0.52548760000000005</v>
      </c>
      <c r="AD709" s="3">
        <v>0.53505860000000005</v>
      </c>
      <c r="AE709" s="3">
        <v>0.54406860000000001</v>
      </c>
      <c r="AF709" s="3">
        <v>0.55255730000000003</v>
      </c>
      <c r="AG709" s="3">
        <v>0.56056450000000002</v>
      </c>
      <c r="AH709" s="3">
        <v>0.56812969999999996</v>
      </c>
      <c r="AI709" s="3">
        <v>0.5752929</v>
      </c>
      <c r="AJ709" s="3">
        <v>0.58209359999999999</v>
      </c>
      <c r="AK709" s="3">
        <v>0.58857170000000003</v>
      </c>
      <c r="AL709" s="3">
        <v>0.59476689999999999</v>
      </c>
      <c r="AM709" s="3">
        <v>0.6007188</v>
      </c>
      <c r="AN709" s="3">
        <v>0.60646719999999998</v>
      </c>
      <c r="AO709" s="3">
        <v>0.61204789999999998</v>
      </c>
      <c r="AP709" s="3">
        <v>0.61747730000000001</v>
      </c>
      <c r="AQ709" s="3">
        <v>0.62276580000000004</v>
      </c>
      <c r="AR709" s="3">
        <v>0.62792400000000004</v>
      </c>
      <c r="AS709" s="3">
        <v>0.63296229999999998</v>
      </c>
      <c r="AT709" s="3">
        <v>0.63789119999999999</v>
      </c>
      <c r="AU709" s="3">
        <v>0.64272130000000005</v>
      </c>
      <c r="AV709" s="3">
        <v>0.64746309999999996</v>
      </c>
      <c r="AW709" s="3">
        <v>0.65212689999999995</v>
      </c>
      <c r="AX709" s="3">
        <v>0.65672350000000002</v>
      </c>
      <c r="AY709" s="3">
        <v>0.66126309999999999</v>
      </c>
      <c r="AZ709" s="3">
        <v>0.66575640000000003</v>
      </c>
      <c r="BA709" s="3">
        <v>0.67021249999999999</v>
      </c>
      <c r="BB709" s="3">
        <v>0.67463510000000004</v>
      </c>
      <c r="BC709" s="3">
        <v>0.67902629999999997</v>
      </c>
      <c r="BD709" s="3">
        <v>0.68338810000000005</v>
      </c>
      <c r="BE709" s="3">
        <v>0.68772259999999996</v>
      </c>
      <c r="BF709" s="3">
        <v>0.69203190000000003</v>
      </c>
      <c r="BG709" s="3">
        <v>0.6963182</v>
      </c>
      <c r="BH709" s="3">
        <v>0.70058330000000002</v>
      </c>
      <c r="BI709" s="3">
        <v>0.7048295</v>
      </c>
      <c r="BJ709" s="3">
        <v>0.70905890000000005</v>
      </c>
      <c r="BK709" s="3">
        <v>0.71327339999999995</v>
      </c>
      <c r="BL709" s="3">
        <v>0.71747519999999998</v>
      </c>
      <c r="BM709" s="3" t="e">
        <v>#N/A</v>
      </c>
      <c r="BN709" s="3" t="e">
        <v>#N/A</v>
      </c>
    </row>
    <row r="710" spans="1:66" x14ac:dyDescent="0.35">
      <c r="A710" s="5">
        <f t="shared" si="10"/>
        <v>44448</v>
      </c>
      <c r="B710" t="s">
        <v>787</v>
      </c>
      <c r="C710" s="2">
        <v>0.1</v>
      </c>
      <c r="D710" s="2">
        <v>5.0299999999999997E-2</v>
      </c>
      <c r="E710" s="3">
        <v>4.9626200000000002E-2</v>
      </c>
      <c r="F710" s="3">
        <v>5.1409900000000001E-2</v>
      </c>
      <c r="G710" s="3">
        <v>6.23441E-2</v>
      </c>
      <c r="H710" s="3">
        <v>8.4102999999999997E-2</v>
      </c>
      <c r="I710" s="3">
        <v>0.1137098</v>
      </c>
      <c r="J710" s="3">
        <v>0.14727009999999999</v>
      </c>
      <c r="K710" s="3">
        <v>0.1819364</v>
      </c>
      <c r="L710" s="3">
        <v>0.2160416</v>
      </c>
      <c r="M710" s="3">
        <v>0.2485183</v>
      </c>
      <c r="N710" s="3">
        <v>0.27875319999999998</v>
      </c>
      <c r="O710" s="3">
        <v>0.3065697</v>
      </c>
      <c r="P710" s="3">
        <v>0.33194370000000001</v>
      </c>
      <c r="Q710" s="3">
        <v>0.35515160000000001</v>
      </c>
      <c r="R710" s="3">
        <v>0.37643549999999998</v>
      </c>
      <c r="S710" s="3">
        <v>0.39600920000000001</v>
      </c>
      <c r="T710" s="3">
        <v>0.41408630000000002</v>
      </c>
      <c r="U710" s="3">
        <v>0.43088070000000001</v>
      </c>
      <c r="V710" s="3">
        <v>0.44660610000000001</v>
      </c>
      <c r="W710" s="3">
        <v>0.46144030000000003</v>
      </c>
      <c r="X710" s="3">
        <v>0.47543770000000002</v>
      </c>
      <c r="Y710" s="3">
        <v>0.4886258</v>
      </c>
      <c r="Z710" s="3">
        <v>0.50103249999999999</v>
      </c>
      <c r="AA710" s="3">
        <v>0.51268519999999995</v>
      </c>
      <c r="AB710" s="3">
        <v>0.52361170000000001</v>
      </c>
      <c r="AC710" s="3">
        <v>0.53384120000000002</v>
      </c>
      <c r="AD710" s="3">
        <v>0.54341139999999999</v>
      </c>
      <c r="AE710" s="3">
        <v>0.55236229999999997</v>
      </c>
      <c r="AF710" s="3">
        <v>0.56073390000000001</v>
      </c>
      <c r="AG710" s="3">
        <v>0.56856629999999997</v>
      </c>
      <c r="AH710" s="3">
        <v>0.57589970000000001</v>
      </c>
      <c r="AI710" s="3">
        <v>0.58277389999999996</v>
      </c>
      <c r="AJ710" s="3">
        <v>0.58922909999999995</v>
      </c>
      <c r="AK710" s="3">
        <v>0.59530539999999998</v>
      </c>
      <c r="AL710" s="3">
        <v>0.60104279999999999</v>
      </c>
      <c r="AM710" s="3">
        <v>0.6064813</v>
      </c>
      <c r="AN710" s="3">
        <v>0.61166109999999996</v>
      </c>
      <c r="AO710" s="3">
        <v>0.61661860000000002</v>
      </c>
      <c r="AP710" s="3">
        <v>0.62137509999999996</v>
      </c>
      <c r="AQ710" s="3">
        <v>0.62594740000000004</v>
      </c>
      <c r="AR710" s="3">
        <v>0.63035249999999998</v>
      </c>
      <c r="AS710" s="3">
        <v>0.63460720000000004</v>
      </c>
      <c r="AT710" s="3">
        <v>0.63872839999999997</v>
      </c>
      <c r="AU710" s="3">
        <v>0.64273309999999995</v>
      </c>
      <c r="AV710" s="3">
        <v>0.64663820000000005</v>
      </c>
      <c r="AW710" s="3">
        <v>0.65046040000000005</v>
      </c>
      <c r="AX710" s="3">
        <v>0.65421680000000004</v>
      </c>
      <c r="AY710" s="3">
        <v>0.65792430000000002</v>
      </c>
      <c r="AZ710" s="3">
        <v>0.66159970000000001</v>
      </c>
      <c r="BA710" s="3">
        <v>0.6652576</v>
      </c>
      <c r="BB710" s="3">
        <v>0.66890249999999996</v>
      </c>
      <c r="BC710" s="3">
        <v>0.67253589999999996</v>
      </c>
      <c r="BD710" s="3">
        <v>0.67615950000000002</v>
      </c>
      <c r="BE710" s="3">
        <v>0.67977480000000001</v>
      </c>
      <c r="BF710" s="3">
        <v>0.68338339999999997</v>
      </c>
      <c r="BG710" s="3">
        <v>0.68698689999999996</v>
      </c>
      <c r="BH710" s="3">
        <v>0.6905869</v>
      </c>
      <c r="BI710" s="3">
        <v>0.6941851</v>
      </c>
      <c r="BJ710" s="3">
        <v>0.69778300000000004</v>
      </c>
      <c r="BK710" s="3">
        <v>0.70138219999999996</v>
      </c>
      <c r="BL710" s="3">
        <v>0.70498419999999995</v>
      </c>
      <c r="BM710" s="3" t="e">
        <v>#N/A</v>
      </c>
      <c r="BN710" s="3" t="e">
        <v>#N/A</v>
      </c>
    </row>
    <row r="711" spans="1:66" x14ac:dyDescent="0.35">
      <c r="A711" s="5">
        <f t="shared" si="10"/>
        <v>44449</v>
      </c>
      <c r="B711" t="s">
        <v>788</v>
      </c>
      <c r="C711" s="2">
        <v>0.1</v>
      </c>
      <c r="D711" s="2">
        <v>5.0900000000000001E-2</v>
      </c>
      <c r="E711" s="3">
        <v>5.4478400000000003E-2</v>
      </c>
      <c r="F711" s="3">
        <v>5.6442699999999998E-2</v>
      </c>
      <c r="G711" s="3">
        <v>6.3124E-2</v>
      </c>
      <c r="H711" s="3">
        <v>7.9776600000000003E-2</v>
      </c>
      <c r="I711" s="3">
        <v>0.107001</v>
      </c>
      <c r="J711" s="3">
        <v>0.14055509999999999</v>
      </c>
      <c r="K711" s="3">
        <v>0.1764664</v>
      </c>
      <c r="L711" s="3">
        <v>0.21223549999999999</v>
      </c>
      <c r="M711" s="3">
        <v>0.24642149999999999</v>
      </c>
      <c r="N711" s="3">
        <v>0.27827279999999999</v>
      </c>
      <c r="O711" s="3">
        <v>0.30752289999999999</v>
      </c>
      <c r="P711" s="3">
        <v>0.33413599999999999</v>
      </c>
      <c r="Q711" s="3">
        <v>0.35826599999999997</v>
      </c>
      <c r="R711" s="3">
        <v>0.38017279999999998</v>
      </c>
      <c r="S711" s="3">
        <v>0.4001382</v>
      </c>
      <c r="T711" s="3">
        <v>0.41844350000000002</v>
      </c>
      <c r="U711" s="3">
        <v>0.43537029999999999</v>
      </c>
      <c r="V711" s="3">
        <v>0.4512002</v>
      </c>
      <c r="W711" s="3">
        <v>0.46616879999999999</v>
      </c>
      <c r="X711" s="3">
        <v>0.48035290000000003</v>
      </c>
      <c r="Y711" s="3">
        <v>0.49379529999999999</v>
      </c>
      <c r="Z711" s="3">
        <v>0.50653859999999995</v>
      </c>
      <c r="AA711" s="3">
        <v>0.51862580000000003</v>
      </c>
      <c r="AB711" s="3">
        <v>0.53009930000000005</v>
      </c>
      <c r="AC711" s="3">
        <v>0.54099920000000001</v>
      </c>
      <c r="AD711" s="3">
        <v>0.55135299999999998</v>
      </c>
      <c r="AE711" s="3">
        <v>0.56118480000000004</v>
      </c>
      <c r="AF711" s="3">
        <v>0.57051870000000005</v>
      </c>
      <c r="AG711" s="3">
        <v>0.57937870000000002</v>
      </c>
      <c r="AH711" s="3">
        <v>0.58778909999999995</v>
      </c>
      <c r="AI711" s="3">
        <v>0.59577380000000002</v>
      </c>
      <c r="AJ711" s="3">
        <v>0.60335700000000003</v>
      </c>
      <c r="AK711" s="3">
        <v>0.61056279999999996</v>
      </c>
      <c r="AL711" s="3">
        <v>0.6174153</v>
      </c>
      <c r="AM711" s="3">
        <v>0.62393849999999995</v>
      </c>
      <c r="AN711" s="3">
        <v>0.63015670000000001</v>
      </c>
      <c r="AO711" s="3">
        <v>0.63609280000000001</v>
      </c>
      <c r="AP711" s="3">
        <v>0.64176540000000004</v>
      </c>
      <c r="AQ711" s="3">
        <v>0.64719179999999998</v>
      </c>
      <c r="AR711" s="3">
        <v>0.6523892</v>
      </c>
      <c r="AS711" s="3">
        <v>0.65737500000000004</v>
      </c>
      <c r="AT711" s="3">
        <v>0.66216620000000004</v>
      </c>
      <c r="AU711" s="3">
        <v>0.66678040000000005</v>
      </c>
      <c r="AV711" s="3">
        <v>0.67123469999999996</v>
      </c>
      <c r="AW711" s="3">
        <v>0.67554630000000004</v>
      </c>
      <c r="AX711" s="3">
        <v>0.67973269999999997</v>
      </c>
      <c r="AY711" s="3">
        <v>0.6838109</v>
      </c>
      <c r="AZ711" s="3">
        <v>0.68779840000000003</v>
      </c>
      <c r="BA711" s="3">
        <v>0.69171059999999995</v>
      </c>
      <c r="BB711" s="3">
        <v>0.69555540000000005</v>
      </c>
      <c r="BC711" s="3">
        <v>0.69933860000000003</v>
      </c>
      <c r="BD711" s="3">
        <v>0.70306579999999996</v>
      </c>
      <c r="BE711" s="3">
        <v>0.70674289999999995</v>
      </c>
      <c r="BF711" s="3">
        <v>0.71037550000000005</v>
      </c>
      <c r="BG711" s="3">
        <v>0.71396939999999998</v>
      </c>
      <c r="BH711" s="3">
        <v>0.71753029999999995</v>
      </c>
      <c r="BI711" s="3">
        <v>0.72106400000000004</v>
      </c>
      <c r="BJ711" s="3">
        <v>0.7245762</v>
      </c>
      <c r="BK711" s="3">
        <v>0.72807259999999996</v>
      </c>
      <c r="BL711" s="3">
        <v>0.73155899999999996</v>
      </c>
      <c r="BM711" s="3" t="e">
        <v>#N/A</v>
      </c>
      <c r="BN711" s="3" t="e">
        <v>#N/A</v>
      </c>
    </row>
    <row r="712" spans="1:66" x14ac:dyDescent="0.35">
      <c r="A712" s="5">
        <f t="shared" si="10"/>
        <v>44452</v>
      </c>
      <c r="B712" t="s">
        <v>789</v>
      </c>
      <c r="C712" s="2">
        <v>0.1</v>
      </c>
      <c r="D712" s="2">
        <v>5.0599999999999999E-2</v>
      </c>
      <c r="E712" s="3">
        <v>4.1390200000000002E-2</v>
      </c>
      <c r="F712" s="3">
        <v>4.9997800000000002E-2</v>
      </c>
      <c r="G712" s="3">
        <v>6.6732399999999997E-2</v>
      </c>
      <c r="H712" s="3">
        <v>9.2251700000000006E-2</v>
      </c>
      <c r="I712" s="3">
        <v>0.1226262</v>
      </c>
      <c r="J712" s="3">
        <v>0.15404209999999999</v>
      </c>
      <c r="K712" s="3">
        <v>0.1855986</v>
      </c>
      <c r="L712" s="3">
        <v>0.21720990000000001</v>
      </c>
      <c r="M712" s="3">
        <v>0.2479267</v>
      </c>
      <c r="N712" s="3">
        <v>0.27707270000000001</v>
      </c>
      <c r="O712" s="3">
        <v>0.30445820000000001</v>
      </c>
      <c r="P712" s="3">
        <v>0.33010719999999999</v>
      </c>
      <c r="Q712" s="3">
        <v>0.35406330000000003</v>
      </c>
      <c r="R712" s="3">
        <v>0.37641950000000002</v>
      </c>
      <c r="S712" s="3">
        <v>0.39728279999999999</v>
      </c>
      <c r="T712" s="3">
        <v>0.41676000000000002</v>
      </c>
      <c r="U712" s="3">
        <v>0.43495830000000002</v>
      </c>
      <c r="V712" s="3">
        <v>0.45198460000000001</v>
      </c>
      <c r="W712" s="3">
        <v>0.46793699999999999</v>
      </c>
      <c r="X712" s="3">
        <v>0.48288360000000002</v>
      </c>
      <c r="Y712" s="3">
        <v>0.49688579999999999</v>
      </c>
      <c r="Z712" s="3">
        <v>0.51000509999999999</v>
      </c>
      <c r="AA712" s="3">
        <v>0.52230290000000001</v>
      </c>
      <c r="AB712" s="3">
        <v>0.53384069999999995</v>
      </c>
      <c r="AC712" s="3">
        <v>0.54467580000000004</v>
      </c>
      <c r="AD712" s="3">
        <v>0.55484999999999995</v>
      </c>
      <c r="AE712" s="3">
        <v>0.56440060000000003</v>
      </c>
      <c r="AF712" s="3">
        <v>0.57336529999999997</v>
      </c>
      <c r="AG712" s="3">
        <v>0.58178160000000001</v>
      </c>
      <c r="AH712" s="3">
        <v>0.58968710000000002</v>
      </c>
      <c r="AI712" s="3">
        <v>0.59711939999999997</v>
      </c>
      <c r="AJ712" s="3">
        <v>0.60411590000000004</v>
      </c>
      <c r="AK712" s="3">
        <v>0.61071430000000004</v>
      </c>
      <c r="AL712" s="3">
        <v>0.61695199999999994</v>
      </c>
      <c r="AM712" s="3">
        <v>0.6228667</v>
      </c>
      <c r="AN712" s="3">
        <v>0.6284959</v>
      </c>
      <c r="AO712" s="3">
        <v>0.63387380000000004</v>
      </c>
      <c r="AP712" s="3">
        <v>0.63901929999999996</v>
      </c>
      <c r="AQ712" s="3">
        <v>0.6439473</v>
      </c>
      <c r="AR712" s="3">
        <v>0.64867249999999999</v>
      </c>
      <c r="AS712" s="3">
        <v>0.65320990000000001</v>
      </c>
      <c r="AT712" s="3">
        <v>0.65757429999999994</v>
      </c>
      <c r="AU712" s="3">
        <v>0.66178049999999999</v>
      </c>
      <c r="AV712" s="3">
        <v>0.66584339999999997</v>
      </c>
      <c r="AW712" s="3">
        <v>0.66977770000000003</v>
      </c>
      <c r="AX712" s="3">
        <v>0.67359829999999998</v>
      </c>
      <c r="AY712" s="3">
        <v>0.67732009999999998</v>
      </c>
      <c r="AZ712" s="3">
        <v>0.68095779999999995</v>
      </c>
      <c r="BA712" s="3">
        <v>0.68452519999999994</v>
      </c>
      <c r="BB712" s="3">
        <v>0.68803000000000003</v>
      </c>
      <c r="BC712" s="3">
        <v>0.69147780000000003</v>
      </c>
      <c r="BD712" s="3">
        <v>0.6948742</v>
      </c>
      <c r="BE712" s="3">
        <v>0.69822479999999998</v>
      </c>
      <c r="BF712" s="3">
        <v>0.70153540000000003</v>
      </c>
      <c r="BG712" s="3">
        <v>0.70481159999999998</v>
      </c>
      <c r="BH712" s="3">
        <v>0.70805890000000005</v>
      </c>
      <c r="BI712" s="3">
        <v>0.711283</v>
      </c>
      <c r="BJ712" s="3">
        <v>0.71448959999999995</v>
      </c>
      <c r="BK712" s="3">
        <v>0.71768430000000005</v>
      </c>
      <c r="BL712" s="3">
        <v>0.72087279999999998</v>
      </c>
      <c r="BM712" s="3" t="e">
        <v>#N/A</v>
      </c>
      <c r="BN712" s="3" t="e">
        <v>#N/A</v>
      </c>
    </row>
    <row r="713" spans="1:66" x14ac:dyDescent="0.35">
      <c r="A713" s="5">
        <f t="shared" si="10"/>
        <v>44453</v>
      </c>
      <c r="B713" t="s">
        <v>790</v>
      </c>
      <c r="C713" s="2">
        <v>0.1</v>
      </c>
      <c r="D713" s="2">
        <v>4.99E-2</v>
      </c>
      <c r="E713" s="3">
        <v>5.2712700000000001E-2</v>
      </c>
      <c r="F713" s="3">
        <v>6.0651700000000003E-2</v>
      </c>
      <c r="G713" s="3">
        <v>7.2318999999999994E-2</v>
      </c>
      <c r="H713" s="3">
        <v>9.0658000000000002E-2</v>
      </c>
      <c r="I713" s="3">
        <v>0.11735429999999999</v>
      </c>
      <c r="J713" s="3">
        <v>0.15029870000000001</v>
      </c>
      <c r="K713" s="3">
        <v>0.18683259999999999</v>
      </c>
      <c r="L713" s="3">
        <v>0.22466179999999999</v>
      </c>
      <c r="M713" s="3">
        <v>0.2616694</v>
      </c>
      <c r="N713" s="3">
        <v>0.29657169999999999</v>
      </c>
      <c r="O713" s="3">
        <v>0.3286983</v>
      </c>
      <c r="P713" s="3">
        <v>0.35794809999999999</v>
      </c>
      <c r="Q713" s="3">
        <v>0.38462200000000002</v>
      </c>
      <c r="R713" s="3">
        <v>0.40897470000000002</v>
      </c>
      <c r="S713" s="3">
        <v>0.43122690000000002</v>
      </c>
      <c r="T713" s="3">
        <v>0.45159899999999997</v>
      </c>
      <c r="U713" s="3">
        <v>0.4703118</v>
      </c>
      <c r="V713" s="3">
        <v>0.48758580000000001</v>
      </c>
      <c r="W713" s="3">
        <v>0.50361160000000005</v>
      </c>
      <c r="X713" s="3">
        <v>0.5184763</v>
      </c>
      <c r="Y713" s="3">
        <v>0.53224459999999996</v>
      </c>
      <c r="Z713" s="3">
        <v>0.5449811</v>
      </c>
      <c r="AA713" s="3">
        <v>0.55675059999999998</v>
      </c>
      <c r="AB713" s="3">
        <v>0.56761760000000006</v>
      </c>
      <c r="AC713" s="3">
        <v>0.57764510000000002</v>
      </c>
      <c r="AD713" s="3">
        <v>0.58688759999999995</v>
      </c>
      <c r="AE713" s="3">
        <v>0.59539799999999998</v>
      </c>
      <c r="AF713" s="3">
        <v>0.60322909999999996</v>
      </c>
      <c r="AG713" s="3">
        <v>0.61043369999999997</v>
      </c>
      <c r="AH713" s="3">
        <v>0.61706450000000002</v>
      </c>
      <c r="AI713" s="3">
        <v>0.62317420000000001</v>
      </c>
      <c r="AJ713" s="3">
        <v>0.62881580000000004</v>
      </c>
      <c r="AK713" s="3">
        <v>0.63404199999999999</v>
      </c>
      <c r="AL713" s="3">
        <v>0.63890550000000002</v>
      </c>
      <c r="AM713" s="3">
        <v>0.64345909999999995</v>
      </c>
      <c r="AN713" s="3">
        <v>0.64775559999999999</v>
      </c>
      <c r="AO713" s="3">
        <v>0.65184319999999996</v>
      </c>
      <c r="AP713" s="3">
        <v>0.65574440000000001</v>
      </c>
      <c r="AQ713" s="3">
        <v>0.65947339999999999</v>
      </c>
      <c r="AR713" s="3">
        <v>0.66304450000000004</v>
      </c>
      <c r="AS713" s="3">
        <v>0.66647179999999995</v>
      </c>
      <c r="AT713" s="3">
        <v>0.66976959999999996</v>
      </c>
      <c r="AU713" s="3">
        <v>0.67295190000000005</v>
      </c>
      <c r="AV713" s="3">
        <v>0.676033</v>
      </c>
      <c r="AW713" s="3">
        <v>0.67902700000000005</v>
      </c>
      <c r="AX713" s="3">
        <v>0.6819482</v>
      </c>
      <c r="AY713" s="3">
        <v>0.68481069999999999</v>
      </c>
      <c r="AZ713" s="3">
        <v>0.68762869999999998</v>
      </c>
      <c r="BA713" s="3">
        <v>0.69041490000000005</v>
      </c>
      <c r="BB713" s="3">
        <v>0.69317470000000003</v>
      </c>
      <c r="BC713" s="3">
        <v>0.69591119999999995</v>
      </c>
      <c r="BD713" s="3">
        <v>0.69862749999999996</v>
      </c>
      <c r="BE713" s="3">
        <v>0.70132689999999998</v>
      </c>
      <c r="BF713" s="3">
        <v>0.70401250000000004</v>
      </c>
      <c r="BG713" s="3">
        <v>0.70668750000000002</v>
      </c>
      <c r="BH713" s="3">
        <v>0.70935499999999996</v>
      </c>
      <c r="BI713" s="3">
        <v>0.71201820000000005</v>
      </c>
      <c r="BJ713" s="3">
        <v>0.71468030000000005</v>
      </c>
      <c r="BK713" s="3">
        <v>0.71734430000000005</v>
      </c>
      <c r="BL713" s="3">
        <v>0.72001349999999997</v>
      </c>
      <c r="BM713" s="3" t="e">
        <v>#N/A</v>
      </c>
      <c r="BN713" s="3" t="e">
        <v>#N/A</v>
      </c>
    </row>
    <row r="714" spans="1:66" x14ac:dyDescent="0.35">
      <c r="A714" s="5">
        <f t="shared" si="10"/>
        <v>44454</v>
      </c>
      <c r="B714" t="s">
        <v>791</v>
      </c>
      <c r="C714" s="2">
        <v>0.1</v>
      </c>
      <c r="D714" s="2">
        <v>4.99E-2</v>
      </c>
      <c r="E714" s="3">
        <v>5.06782E-2</v>
      </c>
      <c r="F714" s="3">
        <v>5.5208300000000002E-2</v>
      </c>
      <c r="G714" s="3">
        <v>6.7928500000000003E-2</v>
      </c>
      <c r="H714" s="3">
        <v>9.1510300000000003E-2</v>
      </c>
      <c r="I714" s="3">
        <v>0.1237226</v>
      </c>
      <c r="J714" s="3">
        <v>0.16026560000000001</v>
      </c>
      <c r="K714" s="3">
        <v>0.19839509999999999</v>
      </c>
      <c r="L714" s="3">
        <v>0.2364002</v>
      </c>
      <c r="M714" s="3">
        <v>0.27303329999999998</v>
      </c>
      <c r="N714" s="3">
        <v>0.30761650000000001</v>
      </c>
      <c r="O714" s="3">
        <v>0.33980519999999997</v>
      </c>
      <c r="P714" s="3">
        <v>0.36954399999999998</v>
      </c>
      <c r="Q714" s="3">
        <v>0.39694550000000001</v>
      </c>
      <c r="R714" s="3">
        <v>0.4221973</v>
      </c>
      <c r="S714" s="3">
        <v>0.4454996</v>
      </c>
      <c r="T714" s="3">
        <v>0.46705279999999999</v>
      </c>
      <c r="U714" s="3">
        <v>0.48705690000000001</v>
      </c>
      <c r="V714" s="3">
        <v>0.5057123</v>
      </c>
      <c r="W714" s="3">
        <v>0.52319119999999997</v>
      </c>
      <c r="X714" s="3">
        <v>0.53956990000000005</v>
      </c>
      <c r="Y714" s="3">
        <v>0.5549037</v>
      </c>
      <c r="Z714" s="3">
        <v>0.56924799999999998</v>
      </c>
      <c r="AA714" s="3">
        <v>0.58265829999999996</v>
      </c>
      <c r="AB714" s="3">
        <v>0.59518979999999999</v>
      </c>
      <c r="AC714" s="3">
        <v>0.60689649999999995</v>
      </c>
      <c r="AD714" s="3">
        <v>0.61782590000000004</v>
      </c>
      <c r="AE714" s="3">
        <v>0.62802389999999997</v>
      </c>
      <c r="AF714" s="3">
        <v>0.63753649999999995</v>
      </c>
      <c r="AG714" s="3">
        <v>0.64640960000000003</v>
      </c>
      <c r="AH714" s="3">
        <v>0.65468919999999997</v>
      </c>
      <c r="AI714" s="3">
        <v>0.66242129999999999</v>
      </c>
      <c r="AJ714" s="3">
        <v>0.66965180000000002</v>
      </c>
      <c r="AK714" s="3">
        <v>0.67642679999999999</v>
      </c>
      <c r="AL714" s="3">
        <v>0.68279199999999995</v>
      </c>
      <c r="AM714" s="3">
        <v>0.68879360000000001</v>
      </c>
      <c r="AN714" s="3">
        <v>0.69447740000000002</v>
      </c>
      <c r="AO714" s="3">
        <v>0.69988510000000004</v>
      </c>
      <c r="AP714" s="3">
        <v>0.70503689999999997</v>
      </c>
      <c r="AQ714" s="3">
        <v>0.70994659999999998</v>
      </c>
      <c r="AR714" s="3">
        <v>0.71462820000000005</v>
      </c>
      <c r="AS714" s="3">
        <v>0.71909529999999999</v>
      </c>
      <c r="AT714" s="3">
        <v>0.72336180000000005</v>
      </c>
      <c r="AU714" s="3">
        <v>0.72744149999999996</v>
      </c>
      <c r="AV714" s="3">
        <v>0.7313482</v>
      </c>
      <c r="AW714" s="3">
        <v>0.73509570000000002</v>
      </c>
      <c r="AX714" s="3">
        <v>0.73869779999999996</v>
      </c>
      <c r="AY714" s="3">
        <v>0.7421683</v>
      </c>
      <c r="AZ714" s="3">
        <v>0.74552110000000005</v>
      </c>
      <c r="BA714" s="3">
        <v>0.74876869999999995</v>
      </c>
      <c r="BB714" s="3">
        <v>0.75191810000000003</v>
      </c>
      <c r="BC714" s="3">
        <v>0.75497460000000005</v>
      </c>
      <c r="BD714" s="3">
        <v>0.7579437</v>
      </c>
      <c r="BE714" s="3">
        <v>0.76083089999999998</v>
      </c>
      <c r="BF714" s="3">
        <v>0.76364160000000003</v>
      </c>
      <c r="BG714" s="3">
        <v>0.76638110000000004</v>
      </c>
      <c r="BH714" s="3">
        <v>0.76905500000000004</v>
      </c>
      <c r="BI714" s="3">
        <v>0.77166869999999999</v>
      </c>
      <c r="BJ714" s="3">
        <v>0.77422760000000002</v>
      </c>
      <c r="BK714" s="3">
        <v>0.77673700000000001</v>
      </c>
      <c r="BL714" s="3">
        <v>0.77920259999999997</v>
      </c>
      <c r="BM714" s="3" t="e">
        <v>#N/A</v>
      </c>
      <c r="BN714" s="3" t="e">
        <v>#N/A</v>
      </c>
    </row>
    <row r="715" spans="1:66" x14ac:dyDescent="0.35">
      <c r="A715" s="5">
        <f t="shared" si="10"/>
        <v>44455</v>
      </c>
      <c r="B715" t="s">
        <v>792</v>
      </c>
      <c r="C715" s="2">
        <v>0.1</v>
      </c>
      <c r="D715" s="2">
        <v>5.0099999999999999E-2</v>
      </c>
      <c r="E715" s="3">
        <v>5.3203E-2</v>
      </c>
      <c r="F715" s="3">
        <v>5.8581800000000003E-2</v>
      </c>
      <c r="G715" s="3">
        <v>7.0526400000000003E-2</v>
      </c>
      <c r="H715" s="3">
        <v>9.3101600000000007E-2</v>
      </c>
      <c r="I715" s="3">
        <v>0.12534210000000001</v>
      </c>
      <c r="J715" s="3">
        <v>0.1629447</v>
      </c>
      <c r="K715" s="3">
        <v>0.20284070000000001</v>
      </c>
      <c r="L715" s="3">
        <v>0.24289369999999999</v>
      </c>
      <c r="M715" s="3">
        <v>0.28156170000000003</v>
      </c>
      <c r="N715" s="3">
        <v>0.31799460000000002</v>
      </c>
      <c r="O715" s="3">
        <v>0.35191119999999998</v>
      </c>
      <c r="P715" s="3">
        <v>0.38332149999999998</v>
      </c>
      <c r="Q715" s="3">
        <v>0.4126302</v>
      </c>
      <c r="R715" s="3">
        <v>0.4400309</v>
      </c>
      <c r="S715" s="3">
        <v>0.46563719999999997</v>
      </c>
      <c r="T715" s="3">
        <v>0.48956290000000002</v>
      </c>
      <c r="U715" s="3">
        <v>0.51192159999999998</v>
      </c>
      <c r="V715" s="3">
        <v>0.53282700000000005</v>
      </c>
      <c r="W715" s="3">
        <v>0.55238290000000001</v>
      </c>
      <c r="X715" s="3">
        <v>0.57065869999999996</v>
      </c>
      <c r="Y715" s="3">
        <v>0.58771649999999998</v>
      </c>
      <c r="Z715" s="3">
        <v>0.6036184</v>
      </c>
      <c r="AA715" s="3">
        <v>0.61842640000000004</v>
      </c>
      <c r="AB715" s="3">
        <v>0.63220270000000001</v>
      </c>
      <c r="AC715" s="3">
        <v>0.64500840000000004</v>
      </c>
      <c r="AD715" s="3">
        <v>0.65690029999999999</v>
      </c>
      <c r="AE715" s="3">
        <v>0.66793400000000003</v>
      </c>
      <c r="AF715" s="3">
        <v>0.67816489999999996</v>
      </c>
      <c r="AG715" s="3">
        <v>0.68764860000000005</v>
      </c>
      <c r="AH715" s="3">
        <v>0.69644050000000002</v>
      </c>
      <c r="AI715" s="3">
        <v>0.70459620000000001</v>
      </c>
      <c r="AJ715" s="3">
        <v>0.71217109999999995</v>
      </c>
      <c r="AK715" s="3">
        <v>0.71922079999999999</v>
      </c>
      <c r="AL715" s="3">
        <v>0.72580080000000002</v>
      </c>
      <c r="AM715" s="3">
        <v>0.73196649999999996</v>
      </c>
      <c r="AN715" s="3">
        <v>0.73777349999999997</v>
      </c>
      <c r="AO715" s="3">
        <v>0.74327129999999997</v>
      </c>
      <c r="AP715" s="3">
        <v>0.74848340000000002</v>
      </c>
      <c r="AQ715" s="3">
        <v>0.75342589999999998</v>
      </c>
      <c r="AR715" s="3">
        <v>0.75811490000000004</v>
      </c>
      <c r="AS715" s="3">
        <v>0.76256679999999999</v>
      </c>
      <c r="AT715" s="3">
        <v>0.76679759999999997</v>
      </c>
      <c r="AU715" s="3">
        <v>0.77082349999999999</v>
      </c>
      <c r="AV715" s="3">
        <v>0.77466069999999998</v>
      </c>
      <c r="AW715" s="3">
        <v>0.7783255</v>
      </c>
      <c r="AX715" s="3">
        <v>0.78183389999999997</v>
      </c>
      <c r="AY715" s="3">
        <v>0.78520210000000001</v>
      </c>
      <c r="AZ715" s="3">
        <v>0.78844630000000004</v>
      </c>
      <c r="BA715" s="3">
        <v>0.79158130000000004</v>
      </c>
      <c r="BB715" s="3">
        <v>0.79461519999999997</v>
      </c>
      <c r="BC715" s="3">
        <v>0.7975546</v>
      </c>
      <c r="BD715" s="3">
        <v>0.80040579999999995</v>
      </c>
      <c r="BE715" s="3">
        <v>0.80317539999999998</v>
      </c>
      <c r="BF715" s="3">
        <v>0.80586979999999997</v>
      </c>
      <c r="BG715" s="3">
        <v>0.80849539999999998</v>
      </c>
      <c r="BH715" s="3">
        <v>0.81105870000000002</v>
      </c>
      <c r="BI715" s="3">
        <v>0.81356609999999996</v>
      </c>
      <c r="BJ715" s="3">
        <v>0.81602410000000003</v>
      </c>
      <c r="BK715" s="3">
        <v>0.81843920000000003</v>
      </c>
      <c r="BL715" s="3">
        <v>0.82081780000000004</v>
      </c>
      <c r="BM715" s="3" t="e">
        <v>#N/A</v>
      </c>
      <c r="BN715" s="3" t="e">
        <v>#N/A</v>
      </c>
    </row>
    <row r="716" spans="1:66" x14ac:dyDescent="0.35">
      <c r="A716" s="5">
        <f t="shared" si="10"/>
        <v>44456</v>
      </c>
      <c r="B716" t="s">
        <v>793</v>
      </c>
      <c r="C716" s="2">
        <v>0.1</v>
      </c>
      <c r="D716" s="2">
        <v>5.0200000000000002E-2</v>
      </c>
      <c r="E716" s="3">
        <v>5.1815699999999999E-2</v>
      </c>
      <c r="F716" s="3">
        <v>5.75559E-2</v>
      </c>
      <c r="G716" s="3">
        <v>7.2581199999999998E-2</v>
      </c>
      <c r="H716" s="3">
        <v>9.8344299999999996E-2</v>
      </c>
      <c r="I716" s="3">
        <v>0.1316088</v>
      </c>
      <c r="J716" s="3">
        <v>0.1684804</v>
      </c>
      <c r="K716" s="3">
        <v>0.20673929999999999</v>
      </c>
      <c r="L716" s="3">
        <v>0.2451586</v>
      </c>
      <c r="M716" s="3">
        <v>0.28282819999999997</v>
      </c>
      <c r="N716" s="3">
        <v>0.31908540000000002</v>
      </c>
      <c r="O716" s="3">
        <v>0.35348210000000002</v>
      </c>
      <c r="P716" s="3">
        <v>0.38579340000000001</v>
      </c>
      <c r="Q716" s="3">
        <v>0.41607739999999999</v>
      </c>
      <c r="R716" s="3">
        <v>0.44447439999999999</v>
      </c>
      <c r="S716" s="3">
        <v>0.47113169999999999</v>
      </c>
      <c r="T716" s="3">
        <v>0.496197</v>
      </c>
      <c r="U716" s="3">
        <v>0.51981750000000004</v>
      </c>
      <c r="V716" s="3">
        <v>0.54214079999999998</v>
      </c>
      <c r="W716" s="3">
        <v>0.56328869999999998</v>
      </c>
      <c r="X716" s="3">
        <v>0.58329470000000005</v>
      </c>
      <c r="Y716" s="3">
        <v>0.60217359999999998</v>
      </c>
      <c r="Z716" s="3">
        <v>0.61993969999999998</v>
      </c>
      <c r="AA716" s="3">
        <v>0.63660760000000005</v>
      </c>
      <c r="AB716" s="3">
        <v>0.65219199999999999</v>
      </c>
      <c r="AC716" s="3">
        <v>0.66671320000000001</v>
      </c>
      <c r="AD716" s="3">
        <v>0.68021810000000005</v>
      </c>
      <c r="AE716" s="3">
        <v>0.69276079999999995</v>
      </c>
      <c r="AF716" s="3">
        <v>0.7043952</v>
      </c>
      <c r="AG716" s="3">
        <v>0.71517549999999996</v>
      </c>
      <c r="AH716" s="3">
        <v>0.72515560000000001</v>
      </c>
      <c r="AI716" s="3">
        <v>0.73438970000000003</v>
      </c>
      <c r="AJ716" s="3">
        <v>0.74293169999999997</v>
      </c>
      <c r="AK716" s="3">
        <v>0.75083580000000005</v>
      </c>
      <c r="AL716" s="3">
        <v>0.75815589999999999</v>
      </c>
      <c r="AM716" s="3">
        <v>0.76494609999999996</v>
      </c>
      <c r="AN716" s="3">
        <v>0.77126050000000002</v>
      </c>
      <c r="AO716" s="3">
        <v>0.77714910000000004</v>
      </c>
      <c r="AP716" s="3">
        <v>0.78264460000000002</v>
      </c>
      <c r="AQ716" s="3">
        <v>0.7877748</v>
      </c>
      <c r="AR716" s="3">
        <v>0.79256749999999998</v>
      </c>
      <c r="AS716" s="3">
        <v>0.79705040000000005</v>
      </c>
      <c r="AT716" s="3">
        <v>0.80125139999999995</v>
      </c>
      <c r="AU716" s="3">
        <v>0.80519830000000003</v>
      </c>
      <c r="AV716" s="3">
        <v>0.8089189</v>
      </c>
      <c r="AW716" s="3">
        <v>0.81244090000000002</v>
      </c>
      <c r="AX716" s="3">
        <v>0.81579230000000003</v>
      </c>
      <c r="AY716" s="3">
        <v>0.81900070000000003</v>
      </c>
      <c r="AZ716" s="3">
        <v>0.82209399999999999</v>
      </c>
      <c r="BA716" s="3">
        <v>0.82509699999999997</v>
      </c>
      <c r="BB716" s="3">
        <v>0.8280208</v>
      </c>
      <c r="BC716" s="3">
        <v>0.83087310000000003</v>
      </c>
      <c r="BD716" s="3">
        <v>0.83366130000000005</v>
      </c>
      <c r="BE716" s="3">
        <v>0.8363931</v>
      </c>
      <c r="BF716" s="3">
        <v>0.83907580000000004</v>
      </c>
      <c r="BG716" s="3">
        <v>0.84171720000000005</v>
      </c>
      <c r="BH716" s="3">
        <v>0.84432470000000004</v>
      </c>
      <c r="BI716" s="3">
        <v>0.84690580000000004</v>
      </c>
      <c r="BJ716" s="3">
        <v>0.84946809999999995</v>
      </c>
      <c r="BK716" s="3">
        <v>0.85201910000000003</v>
      </c>
      <c r="BL716" s="3">
        <v>0.85456639999999995</v>
      </c>
      <c r="BM716" s="3" t="e">
        <v>#N/A</v>
      </c>
      <c r="BN716" s="3" t="e">
        <v>#N/A</v>
      </c>
    </row>
    <row r="717" spans="1:66" x14ac:dyDescent="0.35">
      <c r="A717" s="5">
        <f t="shared" si="10"/>
        <v>44459</v>
      </c>
      <c r="B717" t="s">
        <v>794</v>
      </c>
      <c r="C717" s="2">
        <v>0.1</v>
      </c>
      <c r="D717" s="2">
        <v>0.05</v>
      </c>
      <c r="E717" s="3">
        <v>5.3434000000000002E-2</v>
      </c>
      <c r="F717" s="3">
        <v>6.0061400000000001E-2</v>
      </c>
      <c r="G717" s="3">
        <v>7.3907200000000006E-2</v>
      </c>
      <c r="H717" s="3">
        <v>9.7619899999999996E-2</v>
      </c>
      <c r="I717" s="3">
        <v>0.1292683</v>
      </c>
      <c r="J717" s="3">
        <v>0.16511310000000001</v>
      </c>
      <c r="K717" s="3">
        <v>0.2025845</v>
      </c>
      <c r="L717" s="3">
        <v>0.2398988</v>
      </c>
      <c r="M717" s="3">
        <v>0.27584029999999998</v>
      </c>
      <c r="N717" s="3">
        <v>0.30970720000000002</v>
      </c>
      <c r="O717" s="3">
        <v>0.34109430000000002</v>
      </c>
      <c r="P717" s="3">
        <v>0.36996709999999999</v>
      </c>
      <c r="Q717" s="3">
        <v>0.3966325</v>
      </c>
      <c r="R717" s="3">
        <v>0.42133359999999997</v>
      </c>
      <c r="S717" s="3">
        <v>0.44427450000000002</v>
      </c>
      <c r="T717" s="3">
        <v>0.46565899999999999</v>
      </c>
      <c r="U717" s="3">
        <v>0.48569099999999998</v>
      </c>
      <c r="V717" s="3">
        <v>0.50457470000000004</v>
      </c>
      <c r="W717" s="3">
        <v>0.52247750000000004</v>
      </c>
      <c r="X717" s="3">
        <v>0.53944199999999998</v>
      </c>
      <c r="Y717" s="3">
        <v>0.55548379999999997</v>
      </c>
      <c r="Z717" s="3">
        <v>0.57061819999999996</v>
      </c>
      <c r="AA717" s="3">
        <v>0.58486090000000002</v>
      </c>
      <c r="AB717" s="3">
        <v>0.59822730000000002</v>
      </c>
      <c r="AC717" s="3">
        <v>0.61073789999999994</v>
      </c>
      <c r="AD717" s="3">
        <v>0.62243199999999999</v>
      </c>
      <c r="AE717" s="3">
        <v>0.63335410000000003</v>
      </c>
      <c r="AF717" s="3">
        <v>0.64354849999999997</v>
      </c>
      <c r="AG717" s="3">
        <v>0.65305970000000002</v>
      </c>
      <c r="AH717" s="3">
        <v>0.66193190000000002</v>
      </c>
      <c r="AI717" s="3">
        <v>0.67020959999999996</v>
      </c>
      <c r="AJ717" s="3">
        <v>0.67793700000000001</v>
      </c>
      <c r="AK717" s="3">
        <v>0.68515859999999995</v>
      </c>
      <c r="AL717" s="3">
        <v>0.6919187</v>
      </c>
      <c r="AM717" s="3">
        <v>0.69826169999999999</v>
      </c>
      <c r="AN717" s="3">
        <v>0.70423190000000002</v>
      </c>
      <c r="AO717" s="3">
        <v>0.70987</v>
      </c>
      <c r="AP717" s="3">
        <v>0.71520039999999996</v>
      </c>
      <c r="AQ717" s="3">
        <v>0.72024310000000002</v>
      </c>
      <c r="AR717" s="3">
        <v>0.72501800000000005</v>
      </c>
      <c r="AS717" s="3">
        <v>0.72954509999999995</v>
      </c>
      <c r="AT717" s="3">
        <v>0.73384419999999995</v>
      </c>
      <c r="AU717" s="3">
        <v>0.73793529999999996</v>
      </c>
      <c r="AV717" s="3">
        <v>0.74183829999999995</v>
      </c>
      <c r="AW717" s="3">
        <v>0.74557320000000005</v>
      </c>
      <c r="AX717" s="3">
        <v>0.74915980000000004</v>
      </c>
      <c r="AY717" s="3">
        <v>0.75261820000000001</v>
      </c>
      <c r="AZ717" s="3">
        <v>0.75596819999999998</v>
      </c>
      <c r="BA717" s="3">
        <v>0.75922809999999996</v>
      </c>
      <c r="BB717" s="3">
        <v>0.76240680000000005</v>
      </c>
      <c r="BC717" s="3">
        <v>0.76551009999999997</v>
      </c>
      <c r="BD717" s="3">
        <v>0.7685438</v>
      </c>
      <c r="BE717" s="3">
        <v>0.77151369999999997</v>
      </c>
      <c r="BF717" s="3">
        <v>0.77442569999999999</v>
      </c>
      <c r="BG717" s="3">
        <v>0.77728560000000002</v>
      </c>
      <c r="BH717" s="3">
        <v>0.78009910000000005</v>
      </c>
      <c r="BI717" s="3">
        <v>0.78287209999999996</v>
      </c>
      <c r="BJ717" s="3">
        <v>0.78561049999999999</v>
      </c>
      <c r="BK717" s="3">
        <v>0.78831989999999996</v>
      </c>
      <c r="BL717" s="3">
        <v>0.79100630000000005</v>
      </c>
      <c r="BM717" s="3" t="e">
        <v>#N/A</v>
      </c>
      <c r="BN717" s="3" t="e">
        <v>#N/A</v>
      </c>
    </row>
    <row r="718" spans="1:66" x14ac:dyDescent="0.35">
      <c r="A718" s="5">
        <f t="shared" ref="A718:A781" si="11">+A713+7</f>
        <v>44460</v>
      </c>
      <c r="B718" t="s">
        <v>795</v>
      </c>
      <c r="C718" s="2">
        <v>0.1</v>
      </c>
      <c r="D718" s="2">
        <v>0.05</v>
      </c>
      <c r="E718" s="3">
        <v>5.6095699999999998E-2</v>
      </c>
      <c r="F718" s="3">
        <v>5.9176800000000002E-2</v>
      </c>
      <c r="G718" s="3">
        <v>7.1129800000000007E-2</v>
      </c>
      <c r="H718" s="3">
        <v>9.6504199999999998E-2</v>
      </c>
      <c r="I718" s="3">
        <v>0.13130629999999999</v>
      </c>
      <c r="J718" s="3">
        <v>0.1703885</v>
      </c>
      <c r="K718" s="3">
        <v>0.21068899999999999</v>
      </c>
      <c r="L718" s="3">
        <v>0.25037579999999998</v>
      </c>
      <c r="M718" s="3">
        <v>0.28825770000000001</v>
      </c>
      <c r="N718" s="3">
        <v>0.32372230000000002</v>
      </c>
      <c r="O718" s="3">
        <v>0.35632350000000002</v>
      </c>
      <c r="P718" s="3">
        <v>0.38599159999999999</v>
      </c>
      <c r="Q718" s="3">
        <v>0.41305180000000002</v>
      </c>
      <c r="R718" s="3">
        <v>0.43779790000000002</v>
      </c>
      <c r="S718" s="3">
        <v>0.46049210000000002</v>
      </c>
      <c r="T718" s="3">
        <v>0.48139680000000001</v>
      </c>
      <c r="U718" s="3">
        <v>0.50077439999999995</v>
      </c>
      <c r="V718" s="3">
        <v>0.51888699999999999</v>
      </c>
      <c r="W718" s="3">
        <v>0.53595720000000002</v>
      </c>
      <c r="X718" s="3">
        <v>0.55206960000000005</v>
      </c>
      <c r="Y718" s="3">
        <v>0.56727919999999998</v>
      </c>
      <c r="Z718" s="3">
        <v>0.58164110000000002</v>
      </c>
      <c r="AA718" s="3">
        <v>0.59521029999999997</v>
      </c>
      <c r="AB718" s="3">
        <v>0.60804170000000002</v>
      </c>
      <c r="AC718" s="3">
        <v>0.62018649999999997</v>
      </c>
      <c r="AD718" s="3">
        <v>0.63167969999999996</v>
      </c>
      <c r="AE718" s="3">
        <v>0.64255269999999998</v>
      </c>
      <c r="AF718" s="3">
        <v>0.65283670000000005</v>
      </c>
      <c r="AG718" s="3">
        <v>0.66256280000000001</v>
      </c>
      <c r="AH718" s="3">
        <v>0.67176239999999998</v>
      </c>
      <c r="AI718" s="3">
        <v>0.68046649999999997</v>
      </c>
      <c r="AJ718" s="3">
        <v>0.6887065</v>
      </c>
      <c r="AK718" s="3">
        <v>0.69651350000000001</v>
      </c>
      <c r="AL718" s="3">
        <v>0.70391879999999996</v>
      </c>
      <c r="AM718" s="3">
        <v>0.71095370000000002</v>
      </c>
      <c r="AN718" s="3">
        <v>0.71764919999999999</v>
      </c>
      <c r="AO718" s="3">
        <v>0.72403479999999998</v>
      </c>
      <c r="AP718" s="3">
        <v>0.73012969999999999</v>
      </c>
      <c r="AQ718" s="3">
        <v>0.73594999999999999</v>
      </c>
      <c r="AR718" s="3">
        <v>0.74151140000000004</v>
      </c>
      <c r="AS718" s="3">
        <v>0.74682979999999999</v>
      </c>
      <c r="AT718" s="3">
        <v>0.75192130000000001</v>
      </c>
      <c r="AU718" s="3">
        <v>0.75680159999999996</v>
      </c>
      <c r="AV718" s="3">
        <v>0.76148680000000002</v>
      </c>
      <c r="AW718" s="3">
        <v>0.76599260000000002</v>
      </c>
      <c r="AX718" s="3">
        <v>0.77033510000000005</v>
      </c>
      <c r="AY718" s="3">
        <v>0.7745301</v>
      </c>
      <c r="AZ718" s="3">
        <v>0.77859350000000005</v>
      </c>
      <c r="BA718" s="3">
        <v>0.78254009999999996</v>
      </c>
      <c r="BB718" s="3">
        <v>0.78637860000000004</v>
      </c>
      <c r="BC718" s="3">
        <v>0.79011600000000004</v>
      </c>
      <c r="BD718" s="3">
        <v>0.79375949999999995</v>
      </c>
      <c r="BE718" s="3">
        <v>0.79731600000000002</v>
      </c>
      <c r="BF718" s="3">
        <v>0.80079259999999997</v>
      </c>
      <c r="BG718" s="3">
        <v>0.80419629999999998</v>
      </c>
      <c r="BH718" s="3">
        <v>0.80753410000000003</v>
      </c>
      <c r="BI718" s="3">
        <v>0.81081300000000001</v>
      </c>
      <c r="BJ718" s="3">
        <v>0.81404019999999999</v>
      </c>
      <c r="BK718" s="3">
        <v>0.81722249999999996</v>
      </c>
      <c r="BL718" s="3">
        <v>0.82036710000000002</v>
      </c>
      <c r="BM718" s="3" t="e">
        <v>#N/A</v>
      </c>
      <c r="BN718" s="3" t="e">
        <v>#N/A</v>
      </c>
    </row>
    <row r="719" spans="1:66" x14ac:dyDescent="0.35">
      <c r="A719" s="5">
        <f t="shared" si="11"/>
        <v>44461</v>
      </c>
      <c r="B719" t="s">
        <v>796</v>
      </c>
      <c r="C719" s="2">
        <v>0.1</v>
      </c>
      <c r="D719" s="2">
        <v>4.99E-2</v>
      </c>
      <c r="E719" s="3">
        <v>5.3819400000000003E-2</v>
      </c>
      <c r="F719" s="3">
        <v>6.4195500000000003E-2</v>
      </c>
      <c r="G719" s="3">
        <v>7.96351E-2</v>
      </c>
      <c r="H719" s="3">
        <v>0.1037154</v>
      </c>
      <c r="I719" s="3">
        <v>0.1359206</v>
      </c>
      <c r="J719" s="3">
        <v>0.17322280000000001</v>
      </c>
      <c r="K719" s="3">
        <v>0.21342530000000001</v>
      </c>
      <c r="L719" s="3">
        <v>0.25446220000000003</v>
      </c>
      <c r="M719" s="3">
        <v>0.2945681</v>
      </c>
      <c r="N719" s="3">
        <v>0.33250730000000001</v>
      </c>
      <c r="O719" s="3">
        <v>0.36738690000000002</v>
      </c>
      <c r="P719" s="3">
        <v>0.39893770000000001</v>
      </c>
      <c r="Q719" s="3">
        <v>0.42750519999999997</v>
      </c>
      <c r="R719" s="3">
        <v>0.45342179999999999</v>
      </c>
      <c r="S719" s="3">
        <v>0.47698390000000002</v>
      </c>
      <c r="T719" s="3">
        <v>0.49848809999999999</v>
      </c>
      <c r="U719" s="3">
        <v>0.518231</v>
      </c>
      <c r="V719" s="3">
        <v>0.53650900000000001</v>
      </c>
      <c r="W719" s="3">
        <v>0.55357520000000005</v>
      </c>
      <c r="X719" s="3">
        <v>0.5695325</v>
      </c>
      <c r="Y719" s="3">
        <v>0.58445130000000001</v>
      </c>
      <c r="Z719" s="3">
        <v>0.59840230000000005</v>
      </c>
      <c r="AA719" s="3">
        <v>0.61145579999999999</v>
      </c>
      <c r="AB719" s="3">
        <v>0.62368259999999998</v>
      </c>
      <c r="AC719" s="3">
        <v>0.63514709999999996</v>
      </c>
      <c r="AD719" s="3">
        <v>0.64589070000000004</v>
      </c>
      <c r="AE719" s="3">
        <v>0.65594889999999995</v>
      </c>
      <c r="AF719" s="3">
        <v>0.66535710000000003</v>
      </c>
      <c r="AG719" s="3">
        <v>0.67415069999999999</v>
      </c>
      <c r="AH719" s="3">
        <v>0.68236520000000001</v>
      </c>
      <c r="AI719" s="3">
        <v>0.69003610000000004</v>
      </c>
      <c r="AJ719" s="3">
        <v>0.69719869999999995</v>
      </c>
      <c r="AK719" s="3">
        <v>0.70388859999999998</v>
      </c>
      <c r="AL719" s="3">
        <v>0.71014109999999997</v>
      </c>
      <c r="AM719" s="3">
        <v>0.71599179999999996</v>
      </c>
      <c r="AN719" s="3">
        <v>0.72147600000000001</v>
      </c>
      <c r="AO719" s="3">
        <v>0.72662740000000003</v>
      </c>
      <c r="AP719" s="3">
        <v>0.73147010000000001</v>
      </c>
      <c r="AQ719" s="3">
        <v>0.7360255</v>
      </c>
      <c r="AR719" s="3">
        <v>0.74031519999999995</v>
      </c>
      <c r="AS719" s="3">
        <v>0.74436049999999998</v>
      </c>
      <c r="AT719" s="3">
        <v>0.74818289999999998</v>
      </c>
      <c r="AU719" s="3">
        <v>0.75180369999999996</v>
      </c>
      <c r="AV719" s="3">
        <v>0.75524449999999999</v>
      </c>
      <c r="AW719" s="3">
        <v>0.75852649999999999</v>
      </c>
      <c r="AX719" s="3">
        <v>0.76167130000000005</v>
      </c>
      <c r="AY719" s="3">
        <v>0.7647003</v>
      </c>
      <c r="AZ719" s="3">
        <v>0.76763479999999995</v>
      </c>
      <c r="BA719" s="3">
        <v>0.77049429999999997</v>
      </c>
      <c r="BB719" s="3">
        <v>0.77328859999999999</v>
      </c>
      <c r="BC719" s="3">
        <v>0.77602530000000003</v>
      </c>
      <c r="BD719" s="3">
        <v>0.77871159999999995</v>
      </c>
      <c r="BE719" s="3">
        <v>0.78135509999999997</v>
      </c>
      <c r="BF719" s="3">
        <v>0.78396319999999997</v>
      </c>
      <c r="BG719" s="3">
        <v>0.78654329999999995</v>
      </c>
      <c r="BH719" s="3">
        <v>0.78910279999999999</v>
      </c>
      <c r="BI719" s="3">
        <v>0.79164900000000005</v>
      </c>
      <c r="BJ719" s="3">
        <v>0.79418949999999999</v>
      </c>
      <c r="BK719" s="3">
        <v>0.79673170000000004</v>
      </c>
      <c r="BL719" s="3">
        <v>0.79928290000000002</v>
      </c>
      <c r="BM719" s="3" t="e">
        <v>#N/A</v>
      </c>
      <c r="BN719" s="3" t="e">
        <v>#N/A</v>
      </c>
    </row>
    <row r="720" spans="1:66" x14ac:dyDescent="0.35">
      <c r="A720" s="5">
        <f t="shared" si="11"/>
        <v>44462</v>
      </c>
      <c r="B720" t="s">
        <v>797</v>
      </c>
      <c r="C720" s="2">
        <v>0.1</v>
      </c>
      <c r="D720" s="2">
        <v>4.9000000000000002E-2</v>
      </c>
      <c r="E720" s="3">
        <v>5.6318899999999998E-2</v>
      </c>
      <c r="F720" s="3">
        <v>7.9323099999999994E-2</v>
      </c>
      <c r="G720" s="3">
        <v>0.1093399</v>
      </c>
      <c r="H720" s="3">
        <v>0.15027679999999999</v>
      </c>
      <c r="I720" s="3">
        <v>0.20003090000000001</v>
      </c>
      <c r="J720" s="3">
        <v>0.25407489999999999</v>
      </c>
      <c r="K720" s="3">
        <v>0.30874170000000001</v>
      </c>
      <c r="L720" s="3">
        <v>0.36094959999999998</v>
      </c>
      <c r="M720" s="3">
        <v>0.40894019999999998</v>
      </c>
      <c r="N720" s="3">
        <v>0.45202350000000002</v>
      </c>
      <c r="O720" s="3">
        <v>0.49021209999999998</v>
      </c>
      <c r="P720" s="3">
        <v>0.52377119999999999</v>
      </c>
      <c r="Q720" s="3">
        <v>0.55344709999999997</v>
      </c>
      <c r="R720" s="3">
        <v>0.57973019999999997</v>
      </c>
      <c r="S720" s="3">
        <v>0.60301249999999995</v>
      </c>
      <c r="T720" s="3">
        <v>0.6236855</v>
      </c>
      <c r="U720" s="3">
        <v>0.64214099999999996</v>
      </c>
      <c r="V720" s="3">
        <v>0.65877079999999999</v>
      </c>
      <c r="W720" s="3">
        <v>0.67391880000000004</v>
      </c>
      <c r="X720" s="3">
        <v>0.68776369999999998</v>
      </c>
      <c r="Y720" s="3">
        <v>0.70044879999999998</v>
      </c>
      <c r="Z720" s="3">
        <v>0.71211720000000001</v>
      </c>
      <c r="AA720" s="3">
        <v>0.7229122</v>
      </c>
      <c r="AB720" s="3">
        <v>0.73297690000000004</v>
      </c>
      <c r="AC720" s="3">
        <v>0.74243899999999996</v>
      </c>
      <c r="AD720" s="3">
        <v>0.75135050000000003</v>
      </c>
      <c r="AE720" s="3">
        <v>0.75974030000000004</v>
      </c>
      <c r="AF720" s="3">
        <v>0.76763760000000003</v>
      </c>
      <c r="AG720" s="3">
        <v>0.77507110000000001</v>
      </c>
      <c r="AH720" s="3">
        <v>0.78207000000000004</v>
      </c>
      <c r="AI720" s="3">
        <v>0.78866320000000001</v>
      </c>
      <c r="AJ720" s="3">
        <v>0.79487969999999997</v>
      </c>
      <c r="AK720" s="3">
        <v>0.80074840000000003</v>
      </c>
      <c r="AL720" s="3">
        <v>0.80629830000000002</v>
      </c>
      <c r="AM720" s="3">
        <v>0.81155840000000001</v>
      </c>
      <c r="AN720" s="3">
        <v>0.81655770000000005</v>
      </c>
      <c r="AO720" s="3">
        <v>0.82132280000000002</v>
      </c>
      <c r="AP720" s="3">
        <v>0.82586970000000004</v>
      </c>
      <c r="AQ720" s="3">
        <v>0.8302117</v>
      </c>
      <c r="AR720" s="3">
        <v>0.83436180000000004</v>
      </c>
      <c r="AS720" s="3">
        <v>0.83833340000000001</v>
      </c>
      <c r="AT720" s="3">
        <v>0.84213959999999999</v>
      </c>
      <c r="AU720" s="3">
        <v>0.84579349999999998</v>
      </c>
      <c r="AV720" s="3">
        <v>0.84930839999999996</v>
      </c>
      <c r="AW720" s="3">
        <v>0.85269740000000005</v>
      </c>
      <c r="AX720" s="3">
        <v>0.85597369999999995</v>
      </c>
      <c r="AY720" s="3">
        <v>0.85915050000000004</v>
      </c>
      <c r="AZ720" s="3">
        <v>0.86224100000000004</v>
      </c>
      <c r="BA720" s="3">
        <v>0.86525730000000001</v>
      </c>
      <c r="BB720" s="3">
        <v>0.8682067</v>
      </c>
      <c r="BC720" s="3">
        <v>0.87109519999999996</v>
      </c>
      <c r="BD720" s="3">
        <v>0.87392899999999996</v>
      </c>
      <c r="BE720" s="3">
        <v>0.87671390000000005</v>
      </c>
      <c r="BF720" s="3">
        <v>0.87945609999999996</v>
      </c>
      <c r="BG720" s="3">
        <v>0.88216159999999999</v>
      </c>
      <c r="BH720" s="3">
        <v>0.88483639999999997</v>
      </c>
      <c r="BI720" s="3">
        <v>0.88748660000000001</v>
      </c>
      <c r="BJ720" s="3">
        <v>0.89011819999999997</v>
      </c>
      <c r="BK720" s="3">
        <v>0.89273709999999995</v>
      </c>
      <c r="BL720" s="3">
        <v>0.89534959999999997</v>
      </c>
      <c r="BM720" s="3" t="e">
        <v>#N/A</v>
      </c>
      <c r="BN720" s="3" t="e">
        <v>#N/A</v>
      </c>
    </row>
    <row r="721" spans="1:66" x14ac:dyDescent="0.35">
      <c r="A721" s="5">
        <f t="shared" si="11"/>
        <v>44463</v>
      </c>
      <c r="B721" t="s">
        <v>798</v>
      </c>
      <c r="C721" s="2">
        <v>0.1</v>
      </c>
      <c r="D721" s="2">
        <v>0.05</v>
      </c>
      <c r="E721" s="3">
        <v>5.6146099999999997E-2</v>
      </c>
      <c r="F721" s="3">
        <v>8.3217100000000002E-2</v>
      </c>
      <c r="G721" s="3">
        <v>0.1178438</v>
      </c>
      <c r="H721" s="3">
        <v>0.16087029999999999</v>
      </c>
      <c r="I721" s="3">
        <v>0.20852490000000001</v>
      </c>
      <c r="J721" s="3">
        <v>0.25730560000000002</v>
      </c>
      <c r="K721" s="3">
        <v>0.30534270000000002</v>
      </c>
      <c r="L721" s="3">
        <v>0.35125200000000001</v>
      </c>
      <c r="M721" s="3">
        <v>0.39418429999999999</v>
      </c>
      <c r="N721" s="3">
        <v>0.43380370000000001</v>
      </c>
      <c r="O721" s="3">
        <v>0.46998790000000001</v>
      </c>
      <c r="P721" s="3">
        <v>0.50277289999999997</v>
      </c>
      <c r="Q721" s="3">
        <v>0.53239329999999996</v>
      </c>
      <c r="R721" s="3">
        <v>0.55910910000000003</v>
      </c>
      <c r="S721" s="3">
        <v>0.583175</v>
      </c>
      <c r="T721" s="3">
        <v>0.60484570000000004</v>
      </c>
      <c r="U721" s="3">
        <v>0.62437589999999998</v>
      </c>
      <c r="V721" s="3">
        <v>0.64202040000000005</v>
      </c>
      <c r="W721" s="3">
        <v>0.65801540000000003</v>
      </c>
      <c r="X721" s="3">
        <v>0.67253359999999995</v>
      </c>
      <c r="Y721" s="3">
        <v>0.68573399999999995</v>
      </c>
      <c r="Z721" s="3">
        <v>0.69777560000000005</v>
      </c>
      <c r="AA721" s="3">
        <v>0.70881749999999999</v>
      </c>
      <c r="AB721" s="3">
        <v>0.7190185</v>
      </c>
      <c r="AC721" s="3">
        <v>0.72852059999999996</v>
      </c>
      <c r="AD721" s="3">
        <v>0.73738939999999997</v>
      </c>
      <c r="AE721" s="3">
        <v>0.74566980000000005</v>
      </c>
      <c r="AF721" s="3">
        <v>0.75340660000000004</v>
      </c>
      <c r="AG721" s="3">
        <v>0.7606446</v>
      </c>
      <c r="AH721" s="3">
        <v>0.76742860000000002</v>
      </c>
      <c r="AI721" s="3">
        <v>0.77380340000000003</v>
      </c>
      <c r="AJ721" s="3">
        <v>0.7798138</v>
      </c>
      <c r="AK721" s="3">
        <v>0.78550469999999994</v>
      </c>
      <c r="AL721" s="3">
        <v>0.79092079999999998</v>
      </c>
      <c r="AM721" s="3">
        <v>0.79610689999999995</v>
      </c>
      <c r="AN721" s="3">
        <v>0.80110789999999998</v>
      </c>
      <c r="AO721" s="3">
        <v>0.80596310000000004</v>
      </c>
      <c r="AP721" s="3">
        <v>0.81068799999999996</v>
      </c>
      <c r="AQ721" s="3">
        <v>0.81529110000000005</v>
      </c>
      <c r="AR721" s="3">
        <v>0.81978130000000005</v>
      </c>
      <c r="AS721" s="3">
        <v>0.82416730000000005</v>
      </c>
      <c r="AT721" s="3">
        <v>0.82845789999999997</v>
      </c>
      <c r="AU721" s="3">
        <v>0.83266169999999995</v>
      </c>
      <c r="AV721" s="3">
        <v>0.83678759999999996</v>
      </c>
      <c r="AW721" s="3">
        <v>0.84084420000000004</v>
      </c>
      <c r="AX721" s="3">
        <v>0.84484040000000005</v>
      </c>
      <c r="AY721" s="3">
        <v>0.84878480000000001</v>
      </c>
      <c r="AZ721" s="3">
        <v>0.8526861</v>
      </c>
      <c r="BA721" s="3">
        <v>0.85655210000000004</v>
      </c>
      <c r="BB721" s="3">
        <v>0.86038590000000004</v>
      </c>
      <c r="BC721" s="3">
        <v>0.86418910000000004</v>
      </c>
      <c r="BD721" s="3">
        <v>0.8679635</v>
      </c>
      <c r="BE721" s="3">
        <v>0.87171089999999996</v>
      </c>
      <c r="BF721" s="3">
        <v>0.87543309999999996</v>
      </c>
      <c r="BG721" s="3">
        <v>0.87913169999999996</v>
      </c>
      <c r="BH721" s="3">
        <v>0.88280860000000005</v>
      </c>
      <c r="BI721" s="3">
        <v>0.88646559999999996</v>
      </c>
      <c r="BJ721" s="3">
        <v>0.89010429999999996</v>
      </c>
      <c r="BK721" s="3">
        <v>0.89372660000000004</v>
      </c>
      <c r="BL721" s="3">
        <v>0.89733410000000002</v>
      </c>
      <c r="BM721" s="3" t="e">
        <v>#N/A</v>
      </c>
      <c r="BN721" s="3" t="e">
        <v>#N/A</v>
      </c>
    </row>
    <row r="722" spans="1:66" x14ac:dyDescent="0.35">
      <c r="A722" s="5">
        <f t="shared" si="11"/>
        <v>44466</v>
      </c>
      <c r="B722" t="s">
        <v>799</v>
      </c>
      <c r="C722" s="2">
        <v>0.1</v>
      </c>
      <c r="D722" s="2">
        <v>4.9599999999999998E-2</v>
      </c>
      <c r="E722" s="3">
        <v>5.4842200000000001E-2</v>
      </c>
      <c r="F722" s="3">
        <v>7.9277299999999995E-2</v>
      </c>
      <c r="G722" s="3">
        <v>0.1137199</v>
      </c>
      <c r="H722" s="3">
        <v>0.15940309999999999</v>
      </c>
      <c r="I722" s="3">
        <v>0.2108391</v>
      </c>
      <c r="J722" s="3">
        <v>0.26286229999999999</v>
      </c>
      <c r="K722" s="3">
        <v>0.31292619999999999</v>
      </c>
      <c r="L722" s="3">
        <v>0.35982409999999998</v>
      </c>
      <c r="M722" s="3">
        <v>0.403113</v>
      </c>
      <c r="N722" s="3">
        <v>0.44276589999999999</v>
      </c>
      <c r="O722" s="3">
        <v>0.47877769999999997</v>
      </c>
      <c r="P722" s="3">
        <v>0.51136890000000002</v>
      </c>
      <c r="Q722" s="3">
        <v>0.54084160000000003</v>
      </c>
      <c r="R722" s="3">
        <v>0.56746669999999999</v>
      </c>
      <c r="S722" s="3">
        <v>0.59150440000000004</v>
      </c>
      <c r="T722" s="3">
        <v>0.61321499999999995</v>
      </c>
      <c r="U722" s="3">
        <v>0.6328587</v>
      </c>
      <c r="V722" s="3">
        <v>0.65069589999999999</v>
      </c>
      <c r="W722" s="3">
        <v>0.66696509999999998</v>
      </c>
      <c r="X722" s="3">
        <v>0.68183039999999995</v>
      </c>
      <c r="Y722" s="3">
        <v>0.69543960000000005</v>
      </c>
      <c r="Z722" s="3">
        <v>0.70794080000000004</v>
      </c>
      <c r="AA722" s="3">
        <v>0.7194817</v>
      </c>
      <c r="AB722" s="3">
        <v>0.73021029999999998</v>
      </c>
      <c r="AC722" s="3">
        <v>0.74025719999999995</v>
      </c>
      <c r="AD722" s="3">
        <v>0.74968420000000002</v>
      </c>
      <c r="AE722" s="3">
        <v>0.75853539999999997</v>
      </c>
      <c r="AF722" s="3">
        <v>0.76685539999999996</v>
      </c>
      <c r="AG722" s="3">
        <v>0.7746885</v>
      </c>
      <c r="AH722" s="3">
        <v>0.78207910000000003</v>
      </c>
      <c r="AI722" s="3">
        <v>0.78907159999999998</v>
      </c>
      <c r="AJ722" s="3">
        <v>0.79571029999999998</v>
      </c>
      <c r="AK722" s="3">
        <v>0.80203959999999996</v>
      </c>
      <c r="AL722" s="3">
        <v>0.80810400000000004</v>
      </c>
      <c r="AM722" s="3">
        <v>0.81394770000000005</v>
      </c>
      <c r="AN722" s="3">
        <v>0.81961510000000004</v>
      </c>
      <c r="AO722" s="3">
        <v>0.82514520000000002</v>
      </c>
      <c r="AP722" s="3">
        <v>0.83055250000000003</v>
      </c>
      <c r="AQ722" s="3">
        <v>0.8358447</v>
      </c>
      <c r="AR722" s="3">
        <v>0.84102960000000004</v>
      </c>
      <c r="AS722" s="3">
        <v>0.84611519999999996</v>
      </c>
      <c r="AT722" s="3">
        <v>0.85110920000000001</v>
      </c>
      <c r="AU722" s="3">
        <v>0.85601939999999999</v>
      </c>
      <c r="AV722" s="3">
        <v>0.86085370000000005</v>
      </c>
      <c r="AW722" s="3">
        <v>0.86561980000000005</v>
      </c>
      <c r="AX722" s="3">
        <v>0.87032549999999997</v>
      </c>
      <c r="AY722" s="3">
        <v>0.87497879999999995</v>
      </c>
      <c r="AZ722" s="3">
        <v>0.87958729999999996</v>
      </c>
      <c r="BA722" s="3">
        <v>0.88415820000000001</v>
      </c>
      <c r="BB722" s="3">
        <v>0.88869410000000004</v>
      </c>
      <c r="BC722" s="3">
        <v>0.89319630000000005</v>
      </c>
      <c r="BD722" s="3">
        <v>0.89766610000000002</v>
      </c>
      <c r="BE722" s="3">
        <v>0.90210480000000004</v>
      </c>
      <c r="BF722" s="3">
        <v>0.90651369999999998</v>
      </c>
      <c r="BG722" s="3">
        <v>0.91089399999999998</v>
      </c>
      <c r="BH722" s="3">
        <v>0.91524720000000004</v>
      </c>
      <c r="BI722" s="3">
        <v>0.91957429999999996</v>
      </c>
      <c r="BJ722" s="3">
        <v>0.92387680000000005</v>
      </c>
      <c r="BK722" s="3">
        <v>0.92815590000000003</v>
      </c>
      <c r="BL722" s="3">
        <v>0.93241289999999999</v>
      </c>
      <c r="BM722" s="3" t="e">
        <v>#N/A</v>
      </c>
      <c r="BN722" s="3" t="e">
        <v>#N/A</v>
      </c>
    </row>
    <row r="723" spans="1:66" x14ac:dyDescent="0.35">
      <c r="A723" s="5">
        <f t="shared" si="11"/>
        <v>44467</v>
      </c>
      <c r="B723" t="s">
        <v>800</v>
      </c>
      <c r="C723" s="2">
        <v>0.1</v>
      </c>
      <c r="D723" s="2">
        <v>4.9500000000000002E-2</v>
      </c>
      <c r="E723" s="3">
        <v>5.9348600000000001E-2</v>
      </c>
      <c r="F723" s="3">
        <v>9.2602599999999993E-2</v>
      </c>
      <c r="G723" s="3">
        <v>0.13199569999999999</v>
      </c>
      <c r="H723" s="3">
        <v>0.17956359999999999</v>
      </c>
      <c r="I723" s="3">
        <v>0.23100100000000001</v>
      </c>
      <c r="J723" s="3">
        <v>0.28244229999999998</v>
      </c>
      <c r="K723" s="3">
        <v>0.3328409</v>
      </c>
      <c r="L723" s="3">
        <v>0.38187009999999999</v>
      </c>
      <c r="M723" s="3">
        <v>0.42889240000000001</v>
      </c>
      <c r="N723" s="3">
        <v>0.47345120000000002</v>
      </c>
      <c r="O723" s="3">
        <v>0.51493080000000002</v>
      </c>
      <c r="P723" s="3">
        <v>0.552929</v>
      </c>
      <c r="Q723" s="3">
        <v>0.58696510000000002</v>
      </c>
      <c r="R723" s="3">
        <v>0.61720660000000005</v>
      </c>
      <c r="S723" s="3">
        <v>0.64400820000000003</v>
      </c>
      <c r="T723" s="3">
        <v>0.66772469999999995</v>
      </c>
      <c r="U723" s="3">
        <v>0.68871070000000001</v>
      </c>
      <c r="V723" s="3">
        <v>0.70732099999999998</v>
      </c>
      <c r="W723" s="3">
        <v>0.72388470000000005</v>
      </c>
      <c r="X723" s="3">
        <v>0.7386433</v>
      </c>
      <c r="Y723" s="3">
        <v>0.75181880000000001</v>
      </c>
      <c r="Z723" s="3">
        <v>0.76363360000000002</v>
      </c>
      <c r="AA723" s="3">
        <v>0.7743101</v>
      </c>
      <c r="AB723" s="3">
        <v>0.7840703</v>
      </c>
      <c r="AC723" s="3">
        <v>0.79310809999999998</v>
      </c>
      <c r="AD723" s="3">
        <v>0.80150189999999999</v>
      </c>
      <c r="AE723" s="3">
        <v>0.80930199999999997</v>
      </c>
      <c r="AF723" s="3">
        <v>0.81655820000000001</v>
      </c>
      <c r="AG723" s="3">
        <v>0.82332059999999996</v>
      </c>
      <c r="AH723" s="3">
        <v>0.82963920000000002</v>
      </c>
      <c r="AI723" s="3">
        <v>0.83556410000000003</v>
      </c>
      <c r="AJ723" s="3">
        <v>0.84114520000000004</v>
      </c>
      <c r="AK723" s="3">
        <v>0.84643250000000003</v>
      </c>
      <c r="AL723" s="3">
        <v>0.85147600000000001</v>
      </c>
      <c r="AM723" s="3">
        <v>0.85632580000000003</v>
      </c>
      <c r="AN723" s="3">
        <v>0.86103189999999996</v>
      </c>
      <c r="AO723" s="3">
        <v>0.86563909999999999</v>
      </c>
      <c r="AP723" s="3">
        <v>0.87016349999999998</v>
      </c>
      <c r="AQ723" s="3">
        <v>0.87461199999999995</v>
      </c>
      <c r="AR723" s="3">
        <v>0.87899130000000003</v>
      </c>
      <c r="AS723" s="3">
        <v>0.88330819999999999</v>
      </c>
      <c r="AT723" s="3">
        <v>0.88756939999999995</v>
      </c>
      <c r="AU723" s="3">
        <v>0.89178179999999996</v>
      </c>
      <c r="AV723" s="3">
        <v>0.89595199999999997</v>
      </c>
      <c r="AW723" s="3">
        <v>0.90008690000000002</v>
      </c>
      <c r="AX723" s="3">
        <v>0.90419309999999997</v>
      </c>
      <c r="AY723" s="3">
        <v>0.90827749999999996</v>
      </c>
      <c r="AZ723" s="3">
        <v>0.91234680000000001</v>
      </c>
      <c r="BA723" s="3">
        <v>0.91640679999999997</v>
      </c>
      <c r="BB723" s="3">
        <v>0.92045900000000003</v>
      </c>
      <c r="BC723" s="3">
        <v>0.92450339999999998</v>
      </c>
      <c r="BD723" s="3">
        <v>0.92854000000000003</v>
      </c>
      <c r="BE723" s="3">
        <v>0.93256890000000003</v>
      </c>
      <c r="BF723" s="3">
        <v>0.93659020000000004</v>
      </c>
      <c r="BG723" s="3">
        <v>0.94060379999999999</v>
      </c>
      <c r="BH723" s="3">
        <v>0.94460980000000005</v>
      </c>
      <c r="BI723" s="3">
        <v>0.94860840000000002</v>
      </c>
      <c r="BJ723" s="3">
        <v>0.95259939999999999</v>
      </c>
      <c r="BK723" s="3">
        <v>0.95658299999999996</v>
      </c>
      <c r="BL723" s="3">
        <v>0.9605593</v>
      </c>
      <c r="BM723" s="3" t="e">
        <v>#N/A</v>
      </c>
      <c r="BN723" s="3" t="e">
        <v>#N/A</v>
      </c>
    </row>
    <row r="724" spans="1:66" x14ac:dyDescent="0.35">
      <c r="A724" s="5">
        <f t="shared" si="11"/>
        <v>44468</v>
      </c>
      <c r="B724" t="s">
        <v>801</v>
      </c>
      <c r="C724" s="2">
        <v>0.1</v>
      </c>
      <c r="D724" s="2">
        <v>4.9299999999999997E-2</v>
      </c>
      <c r="E724" s="3">
        <v>6.6189399999999995E-2</v>
      </c>
      <c r="F724" s="3">
        <v>0.11388520000000001</v>
      </c>
      <c r="G724" s="3">
        <v>0.16419710000000001</v>
      </c>
      <c r="H724" s="3">
        <v>0.2197817</v>
      </c>
      <c r="I724" s="3">
        <v>0.27671869999999998</v>
      </c>
      <c r="J724" s="3">
        <v>0.3315342</v>
      </c>
      <c r="K724" s="3">
        <v>0.38397979999999998</v>
      </c>
      <c r="L724" s="3">
        <v>0.43454340000000002</v>
      </c>
      <c r="M724" s="3">
        <v>0.48298439999999998</v>
      </c>
      <c r="N724" s="3">
        <v>0.52887090000000003</v>
      </c>
      <c r="O724" s="3">
        <v>0.57136050000000005</v>
      </c>
      <c r="P724" s="3">
        <v>0.60965820000000004</v>
      </c>
      <c r="Q724" s="3">
        <v>0.64278880000000005</v>
      </c>
      <c r="R724" s="3">
        <v>0.67084690000000002</v>
      </c>
      <c r="S724" s="3">
        <v>0.69422980000000001</v>
      </c>
      <c r="T724" s="3">
        <v>0.7133351</v>
      </c>
      <c r="U724" s="3">
        <v>0.72856030000000005</v>
      </c>
      <c r="V724" s="3">
        <v>0.74030300000000004</v>
      </c>
      <c r="W724" s="3">
        <v>0.74899839999999995</v>
      </c>
      <c r="X724" s="3">
        <v>0.75521249999999995</v>
      </c>
      <c r="Y724" s="3">
        <v>0.75953899999999996</v>
      </c>
      <c r="Z724" s="3">
        <v>0.76257189999999997</v>
      </c>
      <c r="AA724" s="3">
        <v>0.76490530000000001</v>
      </c>
      <c r="AB724" s="3">
        <v>0.76713290000000001</v>
      </c>
      <c r="AC724" s="3">
        <v>0.76974480000000001</v>
      </c>
      <c r="AD724" s="3">
        <v>0.77281569999999999</v>
      </c>
      <c r="AE724" s="3">
        <v>0.77631640000000002</v>
      </c>
      <c r="AF724" s="3">
        <v>0.78021770000000001</v>
      </c>
      <c r="AG724" s="3">
        <v>0.78449020000000003</v>
      </c>
      <c r="AH724" s="3">
        <v>0.78910469999999999</v>
      </c>
      <c r="AI724" s="3">
        <v>0.79403210000000002</v>
      </c>
      <c r="AJ724" s="3">
        <v>0.79924309999999998</v>
      </c>
      <c r="AK724" s="3">
        <v>0.80470850000000005</v>
      </c>
      <c r="AL724" s="3">
        <v>0.81039910000000004</v>
      </c>
      <c r="AM724" s="3">
        <v>0.8162855</v>
      </c>
      <c r="AN724" s="3">
        <v>0.82233860000000003</v>
      </c>
      <c r="AO724" s="3">
        <v>0.82852979999999998</v>
      </c>
      <c r="AP724" s="3">
        <v>0.83483300000000005</v>
      </c>
      <c r="AQ724" s="3">
        <v>0.84122330000000001</v>
      </c>
      <c r="AR724" s="3">
        <v>0.84767550000000003</v>
      </c>
      <c r="AS724" s="3">
        <v>0.85416460000000005</v>
      </c>
      <c r="AT724" s="3">
        <v>0.86066549999999997</v>
      </c>
      <c r="AU724" s="3">
        <v>0.86715310000000001</v>
      </c>
      <c r="AV724" s="3">
        <v>0.8736024</v>
      </c>
      <c r="AW724" s="3">
        <v>0.8799882</v>
      </c>
      <c r="AX724" s="3">
        <v>0.88628549999999995</v>
      </c>
      <c r="AY724" s="3">
        <v>0.89246919999999996</v>
      </c>
      <c r="AZ724" s="3">
        <v>0.89851420000000004</v>
      </c>
      <c r="BA724" s="3">
        <v>0.90440089999999995</v>
      </c>
      <c r="BB724" s="3">
        <v>0.91013330000000003</v>
      </c>
      <c r="BC724" s="3">
        <v>0.91572180000000003</v>
      </c>
      <c r="BD724" s="3">
        <v>0.92117720000000003</v>
      </c>
      <c r="BE724" s="3">
        <v>0.9265099</v>
      </c>
      <c r="BF724" s="3">
        <v>0.93173070000000002</v>
      </c>
      <c r="BG724" s="3">
        <v>0.93684990000000001</v>
      </c>
      <c r="BH724" s="3">
        <v>0.9418782</v>
      </c>
      <c r="BI724" s="3">
        <v>0.94682630000000001</v>
      </c>
      <c r="BJ724" s="3">
        <v>0.95170449999999995</v>
      </c>
      <c r="BK724" s="3">
        <v>0.95652360000000003</v>
      </c>
      <c r="BL724" s="3">
        <v>0.96129410000000004</v>
      </c>
      <c r="BM724" s="3" t="e">
        <v>#N/A</v>
      </c>
      <c r="BN724" s="3" t="e">
        <v>#N/A</v>
      </c>
    </row>
    <row r="725" spans="1:66" x14ac:dyDescent="0.35">
      <c r="A725" s="5">
        <f t="shared" si="11"/>
        <v>44469</v>
      </c>
      <c r="B725" t="s">
        <v>802</v>
      </c>
      <c r="C725" s="2">
        <v>0.1</v>
      </c>
      <c r="D725" s="2">
        <v>4.7899999999999998E-2</v>
      </c>
      <c r="E725" s="3">
        <v>6.6021399999999994E-2</v>
      </c>
      <c r="F725" s="3">
        <v>0.1117047</v>
      </c>
      <c r="G725" s="3">
        <v>0.15832350000000001</v>
      </c>
      <c r="H725" s="3">
        <v>0.20966489999999999</v>
      </c>
      <c r="I725" s="3">
        <v>0.26319989999999999</v>
      </c>
      <c r="J725" s="3">
        <v>0.31576500000000002</v>
      </c>
      <c r="K725" s="3">
        <v>0.36688349999999997</v>
      </c>
      <c r="L725" s="3">
        <v>0.41606969999999999</v>
      </c>
      <c r="M725" s="3">
        <v>0.46256520000000001</v>
      </c>
      <c r="N725" s="3">
        <v>0.50592879999999996</v>
      </c>
      <c r="O725" s="3">
        <v>0.54563289999999998</v>
      </c>
      <c r="P725" s="3">
        <v>0.58125199999999999</v>
      </c>
      <c r="Q725" s="3">
        <v>0.61275559999999996</v>
      </c>
      <c r="R725" s="3">
        <v>0.64050980000000002</v>
      </c>
      <c r="S725" s="3">
        <v>0.66496060000000001</v>
      </c>
      <c r="T725" s="3">
        <v>0.68655440000000001</v>
      </c>
      <c r="U725" s="3">
        <v>0.70573719999999995</v>
      </c>
      <c r="V725" s="3">
        <v>0.72295520000000002</v>
      </c>
      <c r="W725" s="3">
        <v>0.7386028</v>
      </c>
      <c r="X725" s="3">
        <v>0.75287669999999995</v>
      </c>
      <c r="Y725" s="3">
        <v>0.76592680000000002</v>
      </c>
      <c r="Z725" s="3">
        <v>0.77790280000000001</v>
      </c>
      <c r="AA725" s="3">
        <v>0.78895459999999995</v>
      </c>
      <c r="AB725" s="3">
        <v>0.7992319</v>
      </c>
      <c r="AC725" s="3">
        <v>0.80886910000000001</v>
      </c>
      <c r="AD725" s="3">
        <v>0.81792489999999995</v>
      </c>
      <c r="AE725" s="3">
        <v>0.82643509999999998</v>
      </c>
      <c r="AF725" s="3">
        <v>0.83443560000000006</v>
      </c>
      <c r="AG725" s="3">
        <v>0.84196199999999999</v>
      </c>
      <c r="AH725" s="3">
        <v>0.84905010000000003</v>
      </c>
      <c r="AI725" s="3">
        <v>0.85573580000000005</v>
      </c>
      <c r="AJ725" s="3">
        <v>0.86205469999999995</v>
      </c>
      <c r="AK725" s="3">
        <v>0.8680428</v>
      </c>
      <c r="AL725" s="3">
        <v>0.8737357</v>
      </c>
      <c r="AM725" s="3">
        <v>0.87916930000000004</v>
      </c>
      <c r="AN725" s="3">
        <v>0.88437920000000003</v>
      </c>
      <c r="AO725" s="3">
        <v>0.88939800000000002</v>
      </c>
      <c r="AP725" s="3">
        <v>0.8942426</v>
      </c>
      <c r="AQ725" s="3">
        <v>0.89892620000000001</v>
      </c>
      <c r="AR725" s="3">
        <v>0.90346150000000003</v>
      </c>
      <c r="AS725" s="3">
        <v>0.90786169999999999</v>
      </c>
      <c r="AT725" s="3">
        <v>0.91213960000000005</v>
      </c>
      <c r="AU725" s="3">
        <v>0.91630820000000002</v>
      </c>
      <c r="AV725" s="3">
        <v>0.92038050000000005</v>
      </c>
      <c r="AW725" s="3">
        <v>0.92436940000000001</v>
      </c>
      <c r="AX725" s="3">
        <v>0.92828790000000005</v>
      </c>
      <c r="AY725" s="3">
        <v>0.93214889999999995</v>
      </c>
      <c r="AZ725" s="3">
        <v>0.93596550000000001</v>
      </c>
      <c r="BA725" s="3">
        <v>0.93974899999999995</v>
      </c>
      <c r="BB725" s="3">
        <v>0.94350420000000002</v>
      </c>
      <c r="BC725" s="3">
        <v>0.94723389999999996</v>
      </c>
      <c r="BD725" s="3">
        <v>0.95094109999999998</v>
      </c>
      <c r="BE725" s="3">
        <v>0.95462860000000005</v>
      </c>
      <c r="BF725" s="3">
        <v>0.95829940000000002</v>
      </c>
      <c r="BG725" s="3">
        <v>0.96195620000000004</v>
      </c>
      <c r="BH725" s="3">
        <v>0.96560190000000001</v>
      </c>
      <c r="BI725" s="3">
        <v>0.96923950000000003</v>
      </c>
      <c r="BJ725" s="3">
        <v>0.97287179999999995</v>
      </c>
      <c r="BK725" s="3">
        <v>0.97650170000000003</v>
      </c>
      <c r="BL725" s="3">
        <v>0.98013209999999995</v>
      </c>
      <c r="BM725" s="3" t="e">
        <v>#N/A</v>
      </c>
      <c r="BN725" s="3" t="e">
        <v>#N/A</v>
      </c>
    </row>
    <row r="726" spans="1:66" x14ac:dyDescent="0.35">
      <c r="A726" s="5">
        <f t="shared" si="11"/>
        <v>44470</v>
      </c>
      <c r="B726" t="s">
        <v>803</v>
      </c>
      <c r="C726" s="2">
        <v>0.1</v>
      </c>
      <c r="D726" s="2">
        <v>0.05</v>
      </c>
      <c r="E726" s="3">
        <v>6.2602599999999994E-2</v>
      </c>
      <c r="F726" s="3">
        <v>0.10388749999999999</v>
      </c>
      <c r="G726" s="3">
        <v>0.1487839</v>
      </c>
      <c r="H726" s="3">
        <v>0.20014509999999999</v>
      </c>
      <c r="I726" s="3">
        <v>0.25426710000000002</v>
      </c>
      <c r="J726" s="3">
        <v>0.30719659999999999</v>
      </c>
      <c r="K726" s="3">
        <v>0.35805239999999999</v>
      </c>
      <c r="L726" s="3">
        <v>0.4064121</v>
      </c>
      <c r="M726" s="3">
        <v>0.4517833</v>
      </c>
      <c r="N726" s="3">
        <v>0.49387599999999998</v>
      </c>
      <c r="O726" s="3">
        <v>0.53229950000000004</v>
      </c>
      <c r="P726" s="3">
        <v>0.56686259999999999</v>
      </c>
      <c r="Q726" s="3">
        <v>0.59744390000000003</v>
      </c>
      <c r="R726" s="3">
        <v>0.62436060000000004</v>
      </c>
      <c r="S726" s="3">
        <v>0.64807099999999995</v>
      </c>
      <c r="T726" s="3">
        <v>0.66903319999999999</v>
      </c>
      <c r="U726" s="3">
        <v>0.68770569999999998</v>
      </c>
      <c r="V726" s="3">
        <v>0.70454660000000002</v>
      </c>
      <c r="W726" s="3">
        <v>0.71996720000000003</v>
      </c>
      <c r="X726" s="3">
        <v>0.73416139999999996</v>
      </c>
      <c r="Y726" s="3">
        <v>0.74725949999999997</v>
      </c>
      <c r="Z726" s="3">
        <v>0.75939219999999996</v>
      </c>
      <c r="AA726" s="3">
        <v>0.77068999999999999</v>
      </c>
      <c r="AB726" s="3">
        <v>0.78128350000000002</v>
      </c>
      <c r="AC726" s="3">
        <v>0.7912882</v>
      </c>
      <c r="AD726" s="3">
        <v>0.8007533</v>
      </c>
      <c r="AE726" s="3">
        <v>0.80970929999999997</v>
      </c>
      <c r="AF726" s="3">
        <v>0.818187</v>
      </c>
      <c r="AG726" s="3">
        <v>0.82621730000000004</v>
      </c>
      <c r="AH726" s="3">
        <v>0.83383070000000004</v>
      </c>
      <c r="AI726" s="3">
        <v>0.84105810000000003</v>
      </c>
      <c r="AJ726" s="3">
        <v>0.84793010000000002</v>
      </c>
      <c r="AK726" s="3">
        <v>0.8544775</v>
      </c>
      <c r="AL726" s="3">
        <v>0.86073109999999997</v>
      </c>
      <c r="AM726" s="3">
        <v>0.86672150000000003</v>
      </c>
      <c r="AN726" s="3">
        <v>0.87247949999999996</v>
      </c>
      <c r="AO726" s="3">
        <v>0.87803330000000002</v>
      </c>
      <c r="AP726" s="3">
        <v>0.88340019999999997</v>
      </c>
      <c r="AQ726" s="3">
        <v>0.88859449999999995</v>
      </c>
      <c r="AR726" s="3">
        <v>0.89363049999999999</v>
      </c>
      <c r="AS726" s="3">
        <v>0.89852220000000005</v>
      </c>
      <c r="AT726" s="3">
        <v>0.90328410000000003</v>
      </c>
      <c r="AU726" s="3">
        <v>0.90793029999999997</v>
      </c>
      <c r="AV726" s="3">
        <v>0.91247520000000004</v>
      </c>
      <c r="AW726" s="3">
        <v>0.91693290000000005</v>
      </c>
      <c r="AX726" s="3">
        <v>0.92131770000000002</v>
      </c>
      <c r="AY726" s="3">
        <v>0.92564380000000002</v>
      </c>
      <c r="AZ726" s="3">
        <v>0.92992549999999996</v>
      </c>
      <c r="BA726" s="3">
        <v>0.93417539999999999</v>
      </c>
      <c r="BB726" s="3">
        <v>0.93839790000000001</v>
      </c>
      <c r="BC726" s="3">
        <v>0.94259550000000003</v>
      </c>
      <c r="BD726" s="3">
        <v>0.94677069999999997</v>
      </c>
      <c r="BE726" s="3">
        <v>0.95092589999999999</v>
      </c>
      <c r="BF726" s="3">
        <v>0.95506360000000001</v>
      </c>
      <c r="BG726" s="3">
        <v>0.95918610000000004</v>
      </c>
      <c r="BH726" s="3">
        <v>0.96329609999999999</v>
      </c>
      <c r="BI726" s="3">
        <v>0.96739569999999997</v>
      </c>
      <c r="BJ726" s="3">
        <v>0.97148769999999995</v>
      </c>
      <c r="BK726" s="3">
        <v>0.97557430000000001</v>
      </c>
      <c r="BL726" s="3">
        <v>0.97965800000000003</v>
      </c>
      <c r="BM726" s="3" t="e">
        <v>#N/A</v>
      </c>
      <c r="BN726" s="3" t="e">
        <v>#N/A</v>
      </c>
    </row>
    <row r="727" spans="1:66" x14ac:dyDescent="0.35">
      <c r="A727" s="5">
        <f t="shared" si="11"/>
        <v>44473</v>
      </c>
      <c r="B727" t="s">
        <v>804</v>
      </c>
      <c r="C727" s="2">
        <v>0.1</v>
      </c>
      <c r="D727" s="2">
        <v>5.0299999999999997E-2</v>
      </c>
      <c r="E727" s="3">
        <v>6.3320699999999994E-2</v>
      </c>
      <c r="F727" s="3">
        <v>0.10387540000000001</v>
      </c>
      <c r="G727" s="3">
        <v>0.14647869999999999</v>
      </c>
      <c r="H727" s="3">
        <v>0.1942576</v>
      </c>
      <c r="I727" s="3">
        <v>0.24430399999999999</v>
      </c>
      <c r="J727" s="3">
        <v>0.29368689999999997</v>
      </c>
      <c r="K727" s="3">
        <v>0.34211839999999999</v>
      </c>
      <c r="L727" s="3">
        <v>0.389208</v>
      </c>
      <c r="M727" s="3">
        <v>0.43406919999999999</v>
      </c>
      <c r="N727" s="3">
        <v>0.47604659999999999</v>
      </c>
      <c r="O727" s="3">
        <v>0.51444599999999996</v>
      </c>
      <c r="P727" s="3">
        <v>0.54896420000000001</v>
      </c>
      <c r="Q727" s="3">
        <v>0.57962420000000003</v>
      </c>
      <c r="R727" s="3">
        <v>0.60676050000000004</v>
      </c>
      <c r="S727" s="3">
        <v>0.63077399999999995</v>
      </c>
      <c r="T727" s="3">
        <v>0.65206569999999997</v>
      </c>
      <c r="U727" s="3">
        <v>0.67103679999999999</v>
      </c>
      <c r="V727" s="3">
        <v>0.68808820000000004</v>
      </c>
      <c r="W727" s="3">
        <v>0.70358109999999996</v>
      </c>
      <c r="X727" s="3">
        <v>0.71772519999999995</v>
      </c>
      <c r="Y727" s="3">
        <v>0.73069390000000001</v>
      </c>
      <c r="Z727" s="3">
        <v>0.74266080000000001</v>
      </c>
      <c r="AA727" s="3">
        <v>0.75379949999999996</v>
      </c>
      <c r="AB727" s="3">
        <v>0.76428339999999995</v>
      </c>
      <c r="AC727" s="3">
        <v>0.77426130000000004</v>
      </c>
      <c r="AD727" s="3">
        <v>0.78378340000000002</v>
      </c>
      <c r="AE727" s="3">
        <v>0.79287510000000005</v>
      </c>
      <c r="AF727" s="3">
        <v>0.80156179999999999</v>
      </c>
      <c r="AG727" s="3">
        <v>0.8098689</v>
      </c>
      <c r="AH727" s="3">
        <v>0.81782180000000004</v>
      </c>
      <c r="AI727" s="3">
        <v>0.82544589999999995</v>
      </c>
      <c r="AJ727" s="3">
        <v>0.83276669999999997</v>
      </c>
      <c r="AK727" s="3">
        <v>0.83980949999999999</v>
      </c>
      <c r="AL727" s="3">
        <v>0.84659980000000001</v>
      </c>
      <c r="AM727" s="3">
        <v>0.853163</v>
      </c>
      <c r="AN727" s="3">
        <v>0.85952450000000002</v>
      </c>
      <c r="AO727" s="3">
        <v>0.86570749999999996</v>
      </c>
      <c r="AP727" s="3">
        <v>0.87172550000000004</v>
      </c>
      <c r="AQ727" s="3">
        <v>0.87758910000000001</v>
      </c>
      <c r="AR727" s="3">
        <v>0.88330920000000002</v>
      </c>
      <c r="AS727" s="3">
        <v>0.88889660000000004</v>
      </c>
      <c r="AT727" s="3">
        <v>0.89436190000000004</v>
      </c>
      <c r="AU727" s="3">
        <v>0.89971599999999996</v>
      </c>
      <c r="AV727" s="3">
        <v>0.90496960000000004</v>
      </c>
      <c r="AW727" s="3">
        <v>0.91013350000000004</v>
      </c>
      <c r="AX727" s="3">
        <v>0.91521839999999999</v>
      </c>
      <c r="AY727" s="3">
        <v>0.92023509999999997</v>
      </c>
      <c r="AZ727" s="3">
        <v>0.92519430000000003</v>
      </c>
      <c r="BA727" s="3">
        <v>0.93010610000000005</v>
      </c>
      <c r="BB727" s="3">
        <v>0.93497580000000002</v>
      </c>
      <c r="BC727" s="3">
        <v>0.93980770000000002</v>
      </c>
      <c r="BD727" s="3">
        <v>0.94460569999999999</v>
      </c>
      <c r="BE727" s="3">
        <v>0.94937400000000005</v>
      </c>
      <c r="BF727" s="3">
        <v>0.95411659999999998</v>
      </c>
      <c r="BG727" s="3">
        <v>0.95883750000000001</v>
      </c>
      <c r="BH727" s="3">
        <v>0.96354090000000003</v>
      </c>
      <c r="BI727" s="3">
        <v>0.96823079999999995</v>
      </c>
      <c r="BJ727" s="3">
        <v>0.97291130000000003</v>
      </c>
      <c r="BK727" s="3">
        <v>0.97758650000000002</v>
      </c>
      <c r="BL727" s="3">
        <v>0.98226029999999998</v>
      </c>
      <c r="BM727" s="3" t="e">
        <v>#N/A</v>
      </c>
      <c r="BN727" s="3" t="e">
        <v>#N/A</v>
      </c>
    </row>
    <row r="728" spans="1:66" x14ac:dyDescent="0.35">
      <c r="A728" s="5">
        <f t="shared" si="11"/>
        <v>44474</v>
      </c>
      <c r="B728" t="s">
        <v>805</v>
      </c>
      <c r="C728" s="2">
        <v>0.1</v>
      </c>
      <c r="D728" s="2">
        <v>5.0500000000000003E-2</v>
      </c>
      <c r="E728" s="3">
        <v>7.3952699999999996E-2</v>
      </c>
      <c r="F728" s="3">
        <v>0.13128619999999999</v>
      </c>
      <c r="G728" s="3">
        <v>0.1837888</v>
      </c>
      <c r="H728" s="3">
        <v>0.2373236</v>
      </c>
      <c r="I728" s="3">
        <v>0.29141260000000002</v>
      </c>
      <c r="J728" s="3">
        <v>0.3441746</v>
      </c>
      <c r="K728" s="3">
        <v>0.39558219999999999</v>
      </c>
      <c r="L728" s="3">
        <v>0.44541419999999998</v>
      </c>
      <c r="M728" s="3">
        <v>0.49296509999999999</v>
      </c>
      <c r="N728" s="3">
        <v>0.53769270000000002</v>
      </c>
      <c r="O728" s="3">
        <v>0.57879449999999999</v>
      </c>
      <c r="P728" s="3">
        <v>0.61557399999999995</v>
      </c>
      <c r="Q728" s="3">
        <v>0.64720239999999996</v>
      </c>
      <c r="R728" s="3">
        <v>0.67403310000000005</v>
      </c>
      <c r="S728" s="3">
        <v>0.69675050000000005</v>
      </c>
      <c r="T728" s="3">
        <v>0.71603910000000004</v>
      </c>
      <c r="U728" s="3">
        <v>0.7325834</v>
      </c>
      <c r="V728" s="3">
        <v>0.74706799999999995</v>
      </c>
      <c r="W728" s="3">
        <v>0.76009729999999998</v>
      </c>
      <c r="X728" s="3">
        <v>0.77197190000000004</v>
      </c>
      <c r="Y728" s="3">
        <v>0.7829197</v>
      </c>
      <c r="Z728" s="3">
        <v>0.79316880000000001</v>
      </c>
      <c r="AA728" s="3">
        <v>0.80294699999999997</v>
      </c>
      <c r="AB728" s="3">
        <v>0.81248260000000005</v>
      </c>
      <c r="AC728" s="3">
        <v>0.82196279999999999</v>
      </c>
      <c r="AD728" s="3">
        <v>0.8314125</v>
      </c>
      <c r="AE728" s="3">
        <v>0.84081609999999996</v>
      </c>
      <c r="AF728" s="3">
        <v>0.85015790000000002</v>
      </c>
      <c r="AG728" s="3">
        <v>0.85942209999999997</v>
      </c>
      <c r="AH728" s="3">
        <v>0.86859299999999995</v>
      </c>
      <c r="AI728" s="3">
        <v>0.87765499999999996</v>
      </c>
      <c r="AJ728" s="3">
        <v>0.88659239999999995</v>
      </c>
      <c r="AK728" s="3">
        <v>0.89538930000000005</v>
      </c>
      <c r="AL728" s="3">
        <v>0.90403020000000001</v>
      </c>
      <c r="AM728" s="3">
        <v>0.91249930000000001</v>
      </c>
      <c r="AN728" s="3">
        <v>0.92078099999999996</v>
      </c>
      <c r="AO728" s="3">
        <v>0.92886219999999997</v>
      </c>
      <c r="AP728" s="3">
        <v>0.93674489999999999</v>
      </c>
      <c r="AQ728" s="3">
        <v>0.94443600000000005</v>
      </c>
      <c r="AR728" s="3">
        <v>0.95194259999999997</v>
      </c>
      <c r="AS728" s="3">
        <v>0.9592714</v>
      </c>
      <c r="AT728" s="3">
        <v>0.96642939999999999</v>
      </c>
      <c r="AU728" s="3">
        <v>0.97342360000000006</v>
      </c>
      <c r="AV728" s="3">
        <v>0.98026089999999999</v>
      </c>
      <c r="AW728" s="3">
        <v>0.98694820000000005</v>
      </c>
      <c r="AX728" s="3">
        <v>0.9934925</v>
      </c>
      <c r="AY728" s="3">
        <v>0.99990060000000003</v>
      </c>
      <c r="AZ728" s="3">
        <v>1.0061795</v>
      </c>
      <c r="BA728" s="3">
        <v>1.0123362</v>
      </c>
      <c r="BB728" s="3">
        <v>1.0183778000000001</v>
      </c>
      <c r="BC728" s="3">
        <v>1.0243116000000001</v>
      </c>
      <c r="BD728" s="3">
        <v>1.0301446000000001</v>
      </c>
      <c r="BE728" s="3">
        <v>1.0358843</v>
      </c>
      <c r="BF728" s="3">
        <v>1.0415376999999999</v>
      </c>
      <c r="BG728" s="3">
        <v>1.0471121000000001</v>
      </c>
      <c r="BH728" s="3">
        <v>1.0526146999999999</v>
      </c>
      <c r="BI728" s="3">
        <v>1.0580527</v>
      </c>
      <c r="BJ728" s="3">
        <v>1.0634333</v>
      </c>
      <c r="BK728" s="3">
        <v>1.0687637000000001</v>
      </c>
      <c r="BL728" s="3">
        <v>1.0740512</v>
      </c>
      <c r="BM728" s="3" t="e">
        <v>#N/A</v>
      </c>
      <c r="BN728" s="3" t="e">
        <v>#N/A</v>
      </c>
    </row>
    <row r="729" spans="1:66" x14ac:dyDescent="0.35">
      <c r="A729" s="5">
        <f t="shared" si="11"/>
        <v>44475</v>
      </c>
      <c r="B729" t="s">
        <v>806</v>
      </c>
      <c r="C729" s="2">
        <v>0.1</v>
      </c>
      <c r="D729" s="2">
        <v>5.1299999999999998E-2</v>
      </c>
      <c r="E729" s="3">
        <v>8.1895399999999993E-2</v>
      </c>
      <c r="F729" s="3">
        <v>0.13453999999999999</v>
      </c>
      <c r="G729" s="3">
        <v>0.1877685</v>
      </c>
      <c r="H729" s="3">
        <v>0.24595900000000001</v>
      </c>
      <c r="I729" s="3">
        <v>0.30602089999999998</v>
      </c>
      <c r="J729" s="3">
        <v>0.36418820000000002</v>
      </c>
      <c r="K729" s="3">
        <v>0.41939169999999998</v>
      </c>
      <c r="L729" s="3">
        <v>0.47091729999999998</v>
      </c>
      <c r="M729" s="3">
        <v>0.5180766</v>
      </c>
      <c r="N729" s="3">
        <v>0.56064559999999997</v>
      </c>
      <c r="O729" s="3">
        <v>0.59857490000000002</v>
      </c>
      <c r="P729" s="3">
        <v>0.63183460000000002</v>
      </c>
      <c r="Q729" s="3">
        <v>0.66089580000000003</v>
      </c>
      <c r="R729" s="3">
        <v>0.68624940000000001</v>
      </c>
      <c r="S729" s="3">
        <v>0.70835369999999998</v>
      </c>
      <c r="T729" s="3">
        <v>0.72766719999999996</v>
      </c>
      <c r="U729" s="3">
        <v>0.74464830000000004</v>
      </c>
      <c r="V729" s="3">
        <v>0.75975530000000002</v>
      </c>
      <c r="W729" s="3">
        <v>0.77339630000000004</v>
      </c>
      <c r="X729" s="3">
        <v>0.78578709999999996</v>
      </c>
      <c r="Y729" s="3">
        <v>0.79709810000000003</v>
      </c>
      <c r="Z729" s="3">
        <v>0.80749970000000004</v>
      </c>
      <c r="AA729" s="3">
        <v>0.81716219999999995</v>
      </c>
      <c r="AB729" s="3">
        <v>0.82625590000000004</v>
      </c>
      <c r="AC729" s="3">
        <v>0.83492679999999997</v>
      </c>
      <c r="AD729" s="3">
        <v>0.84322379999999997</v>
      </c>
      <c r="AE729" s="3">
        <v>0.85117120000000002</v>
      </c>
      <c r="AF729" s="3">
        <v>0.85879369999999999</v>
      </c>
      <c r="AG729" s="3">
        <v>0.86611570000000004</v>
      </c>
      <c r="AH729" s="3">
        <v>0.87316170000000004</v>
      </c>
      <c r="AI729" s="3">
        <v>0.87995619999999997</v>
      </c>
      <c r="AJ729" s="3">
        <v>0.88652359999999997</v>
      </c>
      <c r="AK729" s="3">
        <v>0.89288860000000003</v>
      </c>
      <c r="AL729" s="3">
        <v>0.89907559999999997</v>
      </c>
      <c r="AM729" s="3">
        <v>0.90510900000000005</v>
      </c>
      <c r="AN729" s="3">
        <v>0.91101339999999997</v>
      </c>
      <c r="AO729" s="3">
        <v>0.91681100000000004</v>
      </c>
      <c r="AP729" s="3">
        <v>0.92251240000000001</v>
      </c>
      <c r="AQ729" s="3">
        <v>0.92812519999999998</v>
      </c>
      <c r="AR729" s="3">
        <v>0.9336565</v>
      </c>
      <c r="AS729" s="3">
        <v>0.93911370000000005</v>
      </c>
      <c r="AT729" s="3">
        <v>0.94450420000000002</v>
      </c>
      <c r="AU729" s="3">
        <v>0.94983530000000005</v>
      </c>
      <c r="AV729" s="3">
        <v>0.95511429999999997</v>
      </c>
      <c r="AW729" s="3">
        <v>0.96034850000000005</v>
      </c>
      <c r="AX729" s="3">
        <v>0.96554530000000005</v>
      </c>
      <c r="AY729" s="3">
        <v>0.97071200000000002</v>
      </c>
      <c r="AZ729" s="3">
        <v>0.9758559</v>
      </c>
      <c r="BA729" s="3">
        <v>0.98098350000000001</v>
      </c>
      <c r="BB729" s="3">
        <v>0.98609749999999996</v>
      </c>
      <c r="BC729" s="3">
        <v>0.99119939999999995</v>
      </c>
      <c r="BD729" s="3">
        <v>0.99629089999999998</v>
      </c>
      <c r="BE729" s="3">
        <v>1.0013734999999999</v>
      </c>
      <c r="BF729" s="3">
        <v>1.0064489999999999</v>
      </c>
      <c r="BG729" s="3">
        <v>1.0115187999999999</v>
      </c>
      <c r="BH729" s="3">
        <v>1.0165846000000001</v>
      </c>
      <c r="BI729" s="3">
        <v>1.0216479000000001</v>
      </c>
      <c r="BJ729" s="3">
        <v>1.0267105000000001</v>
      </c>
      <c r="BK729" s="3">
        <v>1.0317738999999999</v>
      </c>
      <c r="BL729" s="3">
        <v>1.0368396</v>
      </c>
      <c r="BM729" s="3" t="e">
        <v>#N/A</v>
      </c>
      <c r="BN729" s="3" t="e">
        <v>#N/A</v>
      </c>
    </row>
    <row r="730" spans="1:66" x14ac:dyDescent="0.35">
      <c r="A730" s="5">
        <f t="shared" si="11"/>
        <v>44476</v>
      </c>
      <c r="B730" t="s">
        <v>807</v>
      </c>
      <c r="C730" s="2">
        <v>0.1</v>
      </c>
      <c r="D730" s="2">
        <v>5.1200000000000002E-2</v>
      </c>
      <c r="E730" s="3">
        <v>7.2354100000000005E-2</v>
      </c>
      <c r="F730" s="3">
        <v>0.1218921</v>
      </c>
      <c r="G730" s="3">
        <v>0.18206259999999999</v>
      </c>
      <c r="H730" s="3">
        <v>0.25222159999999999</v>
      </c>
      <c r="I730" s="3">
        <v>0.32443529999999998</v>
      </c>
      <c r="J730" s="3">
        <v>0.39254119999999998</v>
      </c>
      <c r="K730" s="3">
        <v>0.45461360000000001</v>
      </c>
      <c r="L730" s="3">
        <v>0.50989519999999999</v>
      </c>
      <c r="M730" s="3">
        <v>0.55835259999999998</v>
      </c>
      <c r="N730" s="3">
        <v>0.60056299999999996</v>
      </c>
      <c r="O730" s="3">
        <v>0.63715500000000003</v>
      </c>
      <c r="P730" s="3">
        <v>0.66871689999999995</v>
      </c>
      <c r="Q730" s="3">
        <v>0.69610519999999998</v>
      </c>
      <c r="R730" s="3">
        <v>0.71986760000000005</v>
      </c>
      <c r="S730" s="3">
        <v>0.74044810000000005</v>
      </c>
      <c r="T730" s="3">
        <v>0.75829049999999998</v>
      </c>
      <c r="U730" s="3">
        <v>0.7738389</v>
      </c>
      <c r="V730" s="3">
        <v>0.78753720000000005</v>
      </c>
      <c r="W730" s="3">
        <v>0.79979710000000004</v>
      </c>
      <c r="X730" s="3">
        <v>0.81084769999999995</v>
      </c>
      <c r="Y730" s="3">
        <v>0.82085370000000002</v>
      </c>
      <c r="Z730" s="3">
        <v>0.82997960000000004</v>
      </c>
      <c r="AA730" s="3">
        <v>0.83839030000000003</v>
      </c>
      <c r="AB730" s="3">
        <v>0.84625030000000001</v>
      </c>
      <c r="AC730" s="3">
        <v>0.85370539999999995</v>
      </c>
      <c r="AD730" s="3">
        <v>0.86080869999999998</v>
      </c>
      <c r="AE730" s="3">
        <v>0.8675851</v>
      </c>
      <c r="AF730" s="3">
        <v>0.87405980000000005</v>
      </c>
      <c r="AG730" s="3">
        <v>0.88025770000000003</v>
      </c>
      <c r="AH730" s="3">
        <v>0.88620379999999999</v>
      </c>
      <c r="AI730" s="3">
        <v>0.89192309999999997</v>
      </c>
      <c r="AJ730" s="3">
        <v>0.89744060000000003</v>
      </c>
      <c r="AK730" s="3">
        <v>0.90278130000000001</v>
      </c>
      <c r="AL730" s="3">
        <v>0.90797030000000001</v>
      </c>
      <c r="AM730" s="3">
        <v>0.91303239999999997</v>
      </c>
      <c r="AN730" s="3">
        <v>0.91799280000000005</v>
      </c>
      <c r="AO730" s="3">
        <v>0.92287379999999997</v>
      </c>
      <c r="AP730" s="3">
        <v>0.92768689999999998</v>
      </c>
      <c r="AQ730" s="3">
        <v>0.93244020000000005</v>
      </c>
      <c r="AR730" s="3">
        <v>0.93714189999999997</v>
      </c>
      <c r="AS730" s="3">
        <v>0.94180039999999998</v>
      </c>
      <c r="AT730" s="3">
        <v>0.94642380000000004</v>
      </c>
      <c r="AU730" s="3">
        <v>0.95102039999999999</v>
      </c>
      <c r="AV730" s="3">
        <v>0.95559839999999996</v>
      </c>
      <c r="AW730" s="3">
        <v>0.96016599999999996</v>
      </c>
      <c r="AX730" s="3">
        <v>0.96473149999999996</v>
      </c>
      <c r="AY730" s="3">
        <v>0.96930309999999997</v>
      </c>
      <c r="AZ730" s="3">
        <v>0.97388909999999995</v>
      </c>
      <c r="BA730" s="3">
        <v>0.97849629999999999</v>
      </c>
      <c r="BB730" s="3">
        <v>0.98312619999999995</v>
      </c>
      <c r="BC730" s="3">
        <v>0.9877785</v>
      </c>
      <c r="BD730" s="3">
        <v>0.99245300000000003</v>
      </c>
      <c r="BE730" s="3">
        <v>0.99714950000000002</v>
      </c>
      <c r="BF730" s="3">
        <v>1.0018677</v>
      </c>
      <c r="BG730" s="3">
        <v>1.0066075000000001</v>
      </c>
      <c r="BH730" s="3">
        <v>1.0113684999999999</v>
      </c>
      <c r="BI730" s="3">
        <v>1.0161507000000001</v>
      </c>
      <c r="BJ730" s="3">
        <v>1.0209537</v>
      </c>
      <c r="BK730" s="3">
        <v>1.0257772999999999</v>
      </c>
      <c r="BL730" s="3">
        <v>1.0306213</v>
      </c>
      <c r="BM730" s="3" t="e">
        <v>#N/A</v>
      </c>
      <c r="BN730" s="3" t="e">
        <v>#N/A</v>
      </c>
    </row>
    <row r="731" spans="1:66" x14ac:dyDescent="0.35">
      <c r="A731" s="5">
        <f t="shared" si="11"/>
        <v>44477</v>
      </c>
      <c r="B731" t="s">
        <v>808</v>
      </c>
      <c r="C731" s="2">
        <v>0.1</v>
      </c>
      <c r="D731" s="2">
        <v>5.0700000000000002E-2</v>
      </c>
      <c r="E731" s="3">
        <v>7.7637600000000001E-2</v>
      </c>
      <c r="F731" s="3">
        <v>0.1383278</v>
      </c>
      <c r="G731" s="3">
        <v>0.2088448</v>
      </c>
      <c r="H731" s="3">
        <v>0.2897769</v>
      </c>
      <c r="I731" s="3">
        <v>0.3727511</v>
      </c>
      <c r="J731" s="3">
        <v>0.45048919999999998</v>
      </c>
      <c r="K731" s="3">
        <v>0.5203354</v>
      </c>
      <c r="L731" s="3">
        <v>0.58136339999999997</v>
      </c>
      <c r="M731" s="3">
        <v>0.63385139999999995</v>
      </c>
      <c r="N731" s="3">
        <v>0.67894560000000004</v>
      </c>
      <c r="O731" s="3">
        <v>0.7176207</v>
      </c>
      <c r="P731" s="3">
        <v>0.75073389999999995</v>
      </c>
      <c r="Q731" s="3">
        <v>0.77909200000000001</v>
      </c>
      <c r="R731" s="3">
        <v>0.80329349999999999</v>
      </c>
      <c r="S731" s="3">
        <v>0.82387319999999997</v>
      </c>
      <c r="T731" s="3">
        <v>0.84136599999999995</v>
      </c>
      <c r="U731" s="3">
        <v>0.85630660000000003</v>
      </c>
      <c r="V731" s="3">
        <v>0.8692299</v>
      </c>
      <c r="W731" s="3">
        <v>0.88062530000000006</v>
      </c>
      <c r="X731" s="3">
        <v>0.89074940000000002</v>
      </c>
      <c r="Y731" s="3">
        <v>0.89978409999999998</v>
      </c>
      <c r="Z731" s="3">
        <v>0.90791160000000004</v>
      </c>
      <c r="AA731" s="3">
        <v>0.91531390000000001</v>
      </c>
      <c r="AB731" s="3">
        <v>0.92217320000000003</v>
      </c>
      <c r="AC731" s="3">
        <v>0.92864869999999999</v>
      </c>
      <c r="AD731" s="3">
        <v>0.93479909999999999</v>
      </c>
      <c r="AE731" s="3">
        <v>0.94065540000000003</v>
      </c>
      <c r="AF731" s="3">
        <v>0.94624830000000004</v>
      </c>
      <c r="AG731" s="3">
        <v>0.95160889999999998</v>
      </c>
      <c r="AH731" s="3">
        <v>0.95676799999999995</v>
      </c>
      <c r="AI731" s="3">
        <v>0.96175650000000001</v>
      </c>
      <c r="AJ731" s="3">
        <v>0.96660539999999995</v>
      </c>
      <c r="AK731" s="3">
        <v>0.97134549999999997</v>
      </c>
      <c r="AL731" s="3">
        <v>0.97600779999999998</v>
      </c>
      <c r="AM731" s="3">
        <v>0.98062320000000003</v>
      </c>
      <c r="AN731" s="3">
        <v>0.98522259999999995</v>
      </c>
      <c r="AO731" s="3">
        <v>0.98983270000000001</v>
      </c>
      <c r="AP731" s="3">
        <v>0.9944617</v>
      </c>
      <c r="AQ731" s="3">
        <v>0.99911249999999996</v>
      </c>
      <c r="AR731" s="3">
        <v>1.0037883999999999</v>
      </c>
      <c r="AS731" s="3">
        <v>1.0084922999999999</v>
      </c>
      <c r="AT731" s="3">
        <v>1.0132272</v>
      </c>
      <c r="AU731" s="3">
        <v>1.0179963000000001</v>
      </c>
      <c r="AV731" s="3">
        <v>1.0228025999999999</v>
      </c>
      <c r="AW731" s="3">
        <v>1.0276491000000001</v>
      </c>
      <c r="AX731" s="3">
        <v>1.0325389</v>
      </c>
      <c r="AY731" s="3">
        <v>1.0374751</v>
      </c>
      <c r="AZ731" s="3">
        <v>1.0424606999999999</v>
      </c>
      <c r="BA731" s="3">
        <v>1.0474977000000001</v>
      </c>
      <c r="BB731" s="3">
        <v>1.0525833</v>
      </c>
      <c r="BC731" s="3">
        <v>1.0577136</v>
      </c>
      <c r="BD731" s="3">
        <v>1.0628846000000001</v>
      </c>
      <c r="BE731" s="3">
        <v>1.0680923</v>
      </c>
      <c r="BF731" s="3">
        <v>1.0733326000000001</v>
      </c>
      <c r="BG731" s="3">
        <v>1.0786015</v>
      </c>
      <c r="BH731" s="3">
        <v>1.0838950000000001</v>
      </c>
      <c r="BI731" s="3">
        <v>1.0892092</v>
      </c>
      <c r="BJ731" s="3">
        <v>1.0945399</v>
      </c>
      <c r="BK731" s="3">
        <v>1.0998832999999999</v>
      </c>
      <c r="BL731" s="3">
        <v>1.1052352000000001</v>
      </c>
      <c r="BM731" s="3" t="e">
        <v>#N/A</v>
      </c>
      <c r="BN731" s="3" t="e">
        <v>#N/A</v>
      </c>
    </row>
    <row r="732" spans="1:66" x14ac:dyDescent="0.35">
      <c r="A732" s="5">
        <f t="shared" si="11"/>
        <v>44480</v>
      </c>
      <c r="B732" t="s">
        <v>809</v>
      </c>
      <c r="C732" s="2">
        <v>0.1</v>
      </c>
      <c r="D732" s="2">
        <v>5.0500000000000003E-2</v>
      </c>
      <c r="E732" s="3">
        <v>9.5205999999999999E-2</v>
      </c>
      <c r="F732" s="3">
        <v>0.1871756</v>
      </c>
      <c r="G732" s="3">
        <v>0.28774230000000001</v>
      </c>
      <c r="H732" s="3">
        <v>0.38902100000000001</v>
      </c>
      <c r="I732" s="3">
        <v>0.48179889999999997</v>
      </c>
      <c r="J732" s="3">
        <v>0.56206699999999998</v>
      </c>
      <c r="K732" s="3">
        <v>0.63069459999999999</v>
      </c>
      <c r="L732" s="3">
        <v>0.68950750000000005</v>
      </c>
      <c r="M732" s="3">
        <v>0.73992829999999998</v>
      </c>
      <c r="N732" s="3">
        <v>0.78363170000000004</v>
      </c>
      <c r="O732" s="3">
        <v>0.82151059999999998</v>
      </c>
      <c r="P732" s="3">
        <v>0.85422129999999996</v>
      </c>
      <c r="Q732" s="3">
        <v>0.8822508</v>
      </c>
      <c r="R732" s="3">
        <v>0.90606260000000005</v>
      </c>
      <c r="S732" s="3">
        <v>0.92612740000000005</v>
      </c>
      <c r="T732" s="3">
        <v>0.94291579999999997</v>
      </c>
      <c r="U732" s="3">
        <v>0.95689869999999999</v>
      </c>
      <c r="V732" s="3">
        <v>0.96854660000000004</v>
      </c>
      <c r="W732" s="3">
        <v>0.97828340000000003</v>
      </c>
      <c r="X732" s="3">
        <v>0.98635439999999996</v>
      </c>
      <c r="Y732" s="3">
        <v>0.99296220000000002</v>
      </c>
      <c r="Z732" s="3">
        <v>0.99830969999999997</v>
      </c>
      <c r="AA732" s="3">
        <v>1.0025995999999999</v>
      </c>
      <c r="AB732" s="3">
        <v>1.0060346</v>
      </c>
      <c r="AC732" s="3">
        <v>1.0087957000000001</v>
      </c>
      <c r="AD732" s="3">
        <v>1.0109766</v>
      </c>
      <c r="AE732" s="3">
        <v>1.0126493000000001</v>
      </c>
      <c r="AF732" s="3">
        <v>1.0138856999999999</v>
      </c>
      <c r="AG732" s="3">
        <v>1.0147577000000001</v>
      </c>
      <c r="AH732" s="3">
        <v>1.0153373999999999</v>
      </c>
      <c r="AI732" s="3">
        <v>1.0156965</v>
      </c>
      <c r="AJ732" s="3">
        <v>1.0159071</v>
      </c>
      <c r="AK732" s="3">
        <v>1.0160411</v>
      </c>
      <c r="AL732" s="3">
        <v>1.0161705000000001</v>
      </c>
      <c r="AM732" s="3">
        <v>1.0163671999999999</v>
      </c>
      <c r="AN732" s="3">
        <v>1.0167031</v>
      </c>
      <c r="AO732" s="3">
        <v>1.0172401</v>
      </c>
      <c r="AP732" s="3">
        <v>1.0179952000000001</v>
      </c>
      <c r="AQ732" s="3">
        <v>1.0189735</v>
      </c>
      <c r="AR732" s="3">
        <v>1.0201796000000001</v>
      </c>
      <c r="AS732" s="3">
        <v>1.0216183999999999</v>
      </c>
      <c r="AT732" s="3">
        <v>1.0232947999999999</v>
      </c>
      <c r="AU732" s="3">
        <v>1.0252136000000001</v>
      </c>
      <c r="AV732" s="3">
        <v>1.0273795999999999</v>
      </c>
      <c r="AW732" s="3">
        <v>1.0297976</v>
      </c>
      <c r="AX732" s="3">
        <v>1.0324726</v>
      </c>
      <c r="AY732" s="3">
        <v>1.0354091999999999</v>
      </c>
      <c r="AZ732" s="3">
        <v>1.0386124000000001</v>
      </c>
      <c r="BA732" s="3">
        <v>1.0420845999999999</v>
      </c>
      <c r="BB732" s="3">
        <v>1.0458148</v>
      </c>
      <c r="BC732" s="3">
        <v>1.0497879000000001</v>
      </c>
      <c r="BD732" s="3">
        <v>1.0539885</v>
      </c>
      <c r="BE732" s="3">
        <v>1.0584013999999999</v>
      </c>
      <c r="BF732" s="3">
        <v>1.0630113000000001</v>
      </c>
      <c r="BG732" s="3">
        <v>1.0678029</v>
      </c>
      <c r="BH732" s="3">
        <v>1.0727609</v>
      </c>
      <c r="BI732" s="3">
        <v>1.0778700999999999</v>
      </c>
      <c r="BJ732" s="3">
        <v>1.0831151999999999</v>
      </c>
      <c r="BK732" s="3">
        <v>1.0884809</v>
      </c>
      <c r="BL732" s="3">
        <v>1.0939519</v>
      </c>
      <c r="BM732" s="3" t="e">
        <v>#N/A</v>
      </c>
      <c r="BN732" s="3" t="e">
        <v>#N/A</v>
      </c>
    </row>
    <row r="733" spans="1:66" x14ac:dyDescent="0.35">
      <c r="A733" s="5">
        <f t="shared" si="11"/>
        <v>44481</v>
      </c>
      <c r="B733" t="s">
        <v>810</v>
      </c>
      <c r="C733" s="2">
        <v>0.1</v>
      </c>
      <c r="D733" s="2">
        <v>5.1400000000000001E-2</v>
      </c>
      <c r="E733" s="3">
        <v>0.10049139999999999</v>
      </c>
      <c r="F733" s="3">
        <v>0.1887778</v>
      </c>
      <c r="G733" s="3">
        <v>0.28487639999999997</v>
      </c>
      <c r="H733" s="3">
        <v>0.38155119999999998</v>
      </c>
      <c r="I733" s="3">
        <v>0.47046700000000002</v>
      </c>
      <c r="J733" s="3">
        <v>0.54871550000000002</v>
      </c>
      <c r="K733" s="3">
        <v>0.61639809999999995</v>
      </c>
      <c r="L733" s="3">
        <v>0.67483249999999995</v>
      </c>
      <c r="M733" s="3">
        <v>0.72518439999999995</v>
      </c>
      <c r="N733" s="3">
        <v>0.768818</v>
      </c>
      <c r="O733" s="3">
        <v>0.80648050000000004</v>
      </c>
      <c r="P733" s="3">
        <v>0.83873569999999997</v>
      </c>
      <c r="Q733" s="3">
        <v>0.86612789999999995</v>
      </c>
      <c r="R733" s="3">
        <v>0.88918569999999997</v>
      </c>
      <c r="S733" s="3">
        <v>0.90843510000000005</v>
      </c>
      <c r="T733" s="3">
        <v>0.92440219999999995</v>
      </c>
      <c r="U733" s="3">
        <v>0.93761280000000002</v>
      </c>
      <c r="V733" s="3">
        <v>0.94859300000000002</v>
      </c>
      <c r="W733" s="3">
        <v>0.9578063</v>
      </c>
      <c r="X733" s="3">
        <v>0.96547830000000001</v>
      </c>
      <c r="Y733" s="3">
        <v>0.97177789999999997</v>
      </c>
      <c r="Z733" s="3">
        <v>0.97687409999999997</v>
      </c>
      <c r="AA733" s="3">
        <v>0.98093589999999997</v>
      </c>
      <c r="AB733" s="3">
        <v>0.98413229999999996</v>
      </c>
      <c r="AC733" s="3">
        <v>0.98661540000000003</v>
      </c>
      <c r="AD733" s="3">
        <v>0.98847030000000002</v>
      </c>
      <c r="AE733" s="3">
        <v>0.98976509999999995</v>
      </c>
      <c r="AF733" s="3">
        <v>0.99056820000000001</v>
      </c>
      <c r="AG733" s="3">
        <v>0.99094760000000004</v>
      </c>
      <c r="AH733" s="3">
        <v>0.99097179999999996</v>
      </c>
      <c r="AI733" s="3">
        <v>0.9907087</v>
      </c>
      <c r="AJ733" s="3">
        <v>0.99022679999999996</v>
      </c>
      <c r="AK733" s="3">
        <v>0.98959419999999998</v>
      </c>
      <c r="AL733" s="3">
        <v>0.98887899999999995</v>
      </c>
      <c r="AM733" s="3">
        <v>0.98814970000000002</v>
      </c>
      <c r="AN733" s="3">
        <v>0.98747430000000003</v>
      </c>
      <c r="AO733" s="3">
        <v>0.98691419999999996</v>
      </c>
      <c r="AP733" s="3">
        <v>0.98649339999999996</v>
      </c>
      <c r="AQ733" s="3">
        <v>0.98622370000000004</v>
      </c>
      <c r="AR733" s="3">
        <v>0.98611649999999995</v>
      </c>
      <c r="AS733" s="3">
        <v>0.98618360000000005</v>
      </c>
      <c r="AT733" s="3">
        <v>0.98643639999999999</v>
      </c>
      <c r="AU733" s="3">
        <v>0.98688670000000001</v>
      </c>
      <c r="AV733" s="3">
        <v>0.98754600000000003</v>
      </c>
      <c r="AW733" s="3">
        <v>0.98842600000000003</v>
      </c>
      <c r="AX733" s="3">
        <v>0.98953820000000003</v>
      </c>
      <c r="AY733" s="3">
        <v>0.99089419999999995</v>
      </c>
      <c r="AZ733" s="3">
        <v>0.99250570000000005</v>
      </c>
      <c r="BA733" s="3">
        <v>0.99438119999999997</v>
      </c>
      <c r="BB733" s="3">
        <v>0.99651380000000001</v>
      </c>
      <c r="BC733" s="3">
        <v>0.99889209999999995</v>
      </c>
      <c r="BD733" s="3">
        <v>1.0015048</v>
      </c>
      <c r="BE733" s="3">
        <v>1.0043404</v>
      </c>
      <c r="BF733" s="3">
        <v>1.0073875999999999</v>
      </c>
      <c r="BG733" s="3">
        <v>1.0106348999999999</v>
      </c>
      <c r="BH733" s="3">
        <v>1.0140708</v>
      </c>
      <c r="BI733" s="3">
        <v>1.0176841000000001</v>
      </c>
      <c r="BJ733" s="3">
        <v>1.0214631999999999</v>
      </c>
      <c r="BK733" s="3">
        <v>1.0253966999999999</v>
      </c>
      <c r="BL733" s="3">
        <v>1.0294734000000001</v>
      </c>
      <c r="BM733" s="3" t="e">
        <v>#N/A</v>
      </c>
      <c r="BN733" s="3" t="e">
        <v>#N/A</v>
      </c>
    </row>
    <row r="734" spans="1:66" x14ac:dyDescent="0.35">
      <c r="A734" s="5">
        <f t="shared" si="11"/>
        <v>44482</v>
      </c>
      <c r="B734" t="s">
        <v>811</v>
      </c>
      <c r="C734" s="2">
        <v>0.1</v>
      </c>
      <c r="D734" s="2">
        <v>5.0799999999999998E-2</v>
      </c>
      <c r="E734" s="3">
        <v>0.1070358</v>
      </c>
      <c r="F734" s="3">
        <v>0.1998963</v>
      </c>
      <c r="G734" s="3">
        <v>0.29951349999999999</v>
      </c>
      <c r="H734" s="3">
        <v>0.39784930000000002</v>
      </c>
      <c r="I734" s="3">
        <v>0.48717490000000002</v>
      </c>
      <c r="J734" s="3">
        <v>0.56530380000000002</v>
      </c>
      <c r="K734" s="3">
        <v>0.63336650000000005</v>
      </c>
      <c r="L734" s="3">
        <v>0.69311310000000004</v>
      </c>
      <c r="M734" s="3">
        <v>0.74567660000000002</v>
      </c>
      <c r="N734" s="3">
        <v>0.79179109999999997</v>
      </c>
      <c r="O734" s="3">
        <v>0.83190609999999998</v>
      </c>
      <c r="P734" s="3">
        <v>0.86615260000000005</v>
      </c>
      <c r="Q734" s="3">
        <v>0.89486080000000001</v>
      </c>
      <c r="R734" s="3">
        <v>0.91855889999999996</v>
      </c>
      <c r="S734" s="3">
        <v>0.93780680000000005</v>
      </c>
      <c r="T734" s="3">
        <v>0.95316460000000003</v>
      </c>
      <c r="U734" s="3">
        <v>0.96519200000000005</v>
      </c>
      <c r="V734" s="3">
        <v>0.97444920000000002</v>
      </c>
      <c r="W734" s="3">
        <v>0.98144560000000003</v>
      </c>
      <c r="X734" s="3">
        <v>0.98649849999999994</v>
      </c>
      <c r="Y734" s="3">
        <v>0.98987970000000003</v>
      </c>
      <c r="Z734" s="3">
        <v>0.99186059999999998</v>
      </c>
      <c r="AA734" s="3">
        <v>0.99271310000000001</v>
      </c>
      <c r="AB734" s="3">
        <v>0.99270879999999995</v>
      </c>
      <c r="AC734" s="3">
        <v>0.99208580000000002</v>
      </c>
      <c r="AD734" s="3">
        <v>0.99094919999999997</v>
      </c>
      <c r="AE734" s="3">
        <v>0.98937019999999998</v>
      </c>
      <c r="AF734" s="3">
        <v>0.98742039999999998</v>
      </c>
      <c r="AG734" s="3">
        <v>0.98517120000000002</v>
      </c>
      <c r="AH734" s="3">
        <v>0.98269399999999996</v>
      </c>
      <c r="AI734" s="3">
        <v>0.98006040000000005</v>
      </c>
      <c r="AJ734" s="3">
        <v>0.97734180000000004</v>
      </c>
      <c r="AK734" s="3">
        <v>0.97460950000000002</v>
      </c>
      <c r="AL734" s="3">
        <v>0.9719352</v>
      </c>
      <c r="AM734" s="3">
        <v>0.96939019999999998</v>
      </c>
      <c r="AN734" s="3">
        <v>0.96704590000000001</v>
      </c>
      <c r="AO734" s="3">
        <v>0.9649645</v>
      </c>
      <c r="AP734" s="3">
        <v>0.96316159999999995</v>
      </c>
      <c r="AQ734" s="3">
        <v>0.96163920000000003</v>
      </c>
      <c r="AR734" s="3">
        <v>0.960399</v>
      </c>
      <c r="AS734" s="3">
        <v>0.95944289999999999</v>
      </c>
      <c r="AT734" s="3">
        <v>0.95877270000000003</v>
      </c>
      <c r="AU734" s="3">
        <v>0.95839010000000002</v>
      </c>
      <c r="AV734" s="3">
        <v>0.95829699999999995</v>
      </c>
      <c r="AW734" s="3">
        <v>0.95849519999999999</v>
      </c>
      <c r="AX734" s="3">
        <v>0.95898649999999996</v>
      </c>
      <c r="AY734" s="3">
        <v>0.95977270000000003</v>
      </c>
      <c r="AZ734" s="3">
        <v>0.96085560000000003</v>
      </c>
      <c r="BA734" s="3">
        <v>0.9622347</v>
      </c>
      <c r="BB734" s="3">
        <v>0.9638989</v>
      </c>
      <c r="BC734" s="3">
        <v>0.96583430000000003</v>
      </c>
      <c r="BD734" s="3">
        <v>0.96802690000000002</v>
      </c>
      <c r="BE734" s="3">
        <v>0.97046270000000001</v>
      </c>
      <c r="BF734" s="3">
        <v>0.97312779999999999</v>
      </c>
      <c r="BG734" s="3">
        <v>0.97600819999999999</v>
      </c>
      <c r="BH734" s="3">
        <v>0.97909009999999996</v>
      </c>
      <c r="BI734" s="3">
        <v>0.98235939999999999</v>
      </c>
      <c r="BJ734" s="3">
        <v>0.98580230000000002</v>
      </c>
      <c r="BK734" s="3">
        <v>0.98940470000000003</v>
      </c>
      <c r="BL734" s="3">
        <v>0.9931527</v>
      </c>
      <c r="BM734" s="3" t="e">
        <v>#N/A</v>
      </c>
      <c r="BN734" s="3" t="e">
        <v>#N/A</v>
      </c>
    </row>
    <row r="735" spans="1:66" x14ac:dyDescent="0.35">
      <c r="A735" s="5">
        <f t="shared" si="11"/>
        <v>44483</v>
      </c>
      <c r="B735" t="s">
        <v>812</v>
      </c>
      <c r="C735" s="2">
        <v>0.1</v>
      </c>
      <c r="D735" s="2">
        <v>5.0799999999999998E-2</v>
      </c>
      <c r="E735" s="3">
        <v>9.8379800000000003E-2</v>
      </c>
      <c r="F735" s="3">
        <v>0.1881361</v>
      </c>
      <c r="G735" s="3">
        <v>0.2852365</v>
      </c>
      <c r="H735" s="3">
        <v>0.37881759999999998</v>
      </c>
      <c r="I735" s="3">
        <v>0.461754</v>
      </c>
      <c r="J735" s="3">
        <v>0.5327113</v>
      </c>
      <c r="K735" s="3">
        <v>0.59381640000000002</v>
      </c>
      <c r="L735" s="3">
        <v>0.64741040000000005</v>
      </c>
      <c r="M735" s="3">
        <v>0.69521849999999996</v>
      </c>
      <c r="N735" s="3">
        <v>0.73822600000000005</v>
      </c>
      <c r="O735" s="3">
        <v>0.77671650000000003</v>
      </c>
      <c r="P735" s="3">
        <v>0.81060639999999995</v>
      </c>
      <c r="Q735" s="3">
        <v>0.83971260000000003</v>
      </c>
      <c r="R735" s="3">
        <v>0.86432149999999996</v>
      </c>
      <c r="S735" s="3">
        <v>0.88484799999999997</v>
      </c>
      <c r="T735" s="3">
        <v>0.90170700000000004</v>
      </c>
      <c r="U735" s="3">
        <v>0.9153135</v>
      </c>
      <c r="V735" s="3">
        <v>0.92608250000000003</v>
      </c>
      <c r="W735" s="3">
        <v>0.93440310000000004</v>
      </c>
      <c r="X735" s="3">
        <v>0.94056660000000003</v>
      </c>
      <c r="Y735" s="3">
        <v>0.94484069999999998</v>
      </c>
      <c r="Z735" s="3">
        <v>0.94749329999999998</v>
      </c>
      <c r="AA735" s="3">
        <v>0.94879239999999998</v>
      </c>
      <c r="AB735" s="3">
        <v>0.94900569999999995</v>
      </c>
      <c r="AC735" s="3">
        <v>0.94837700000000003</v>
      </c>
      <c r="AD735" s="3">
        <v>0.94703289999999996</v>
      </c>
      <c r="AE735" s="3">
        <v>0.94506449999999997</v>
      </c>
      <c r="AF735" s="3">
        <v>0.94256249999999997</v>
      </c>
      <c r="AG735" s="3">
        <v>0.93961790000000001</v>
      </c>
      <c r="AH735" s="3">
        <v>0.93632170000000003</v>
      </c>
      <c r="AI735" s="3">
        <v>0.93276479999999995</v>
      </c>
      <c r="AJ735" s="3">
        <v>0.92903800000000003</v>
      </c>
      <c r="AK735" s="3">
        <v>0.92523239999999995</v>
      </c>
      <c r="AL735" s="3">
        <v>0.92143889999999995</v>
      </c>
      <c r="AM735" s="3">
        <v>0.91774840000000002</v>
      </c>
      <c r="AN735" s="3">
        <v>0.9142517</v>
      </c>
      <c r="AO735" s="3">
        <v>0.91102660000000002</v>
      </c>
      <c r="AP735" s="3">
        <v>0.90809189999999995</v>
      </c>
      <c r="AQ735" s="3">
        <v>0.90545019999999998</v>
      </c>
      <c r="AR735" s="3">
        <v>0.90310420000000002</v>
      </c>
      <c r="AS735" s="3">
        <v>0.90105659999999999</v>
      </c>
      <c r="AT735" s="3">
        <v>0.8993099</v>
      </c>
      <c r="AU735" s="3">
        <v>0.89786690000000002</v>
      </c>
      <c r="AV735" s="3">
        <v>0.89673009999999997</v>
      </c>
      <c r="AW735" s="3">
        <v>0.89590230000000004</v>
      </c>
      <c r="AX735" s="3">
        <v>0.89538609999999996</v>
      </c>
      <c r="AY735" s="3">
        <v>0.89518410000000004</v>
      </c>
      <c r="AZ735" s="3">
        <v>0.89529899999999996</v>
      </c>
      <c r="BA735" s="3">
        <v>0.89573069999999999</v>
      </c>
      <c r="BB735" s="3">
        <v>0.89646749999999997</v>
      </c>
      <c r="BC735" s="3">
        <v>0.89749420000000002</v>
      </c>
      <c r="BD735" s="3">
        <v>0.89879580000000003</v>
      </c>
      <c r="BE735" s="3">
        <v>0.90035730000000003</v>
      </c>
      <c r="BF735" s="3">
        <v>0.90216350000000001</v>
      </c>
      <c r="BG735" s="3">
        <v>0.90419939999999999</v>
      </c>
      <c r="BH735" s="3">
        <v>0.90644999999999998</v>
      </c>
      <c r="BI735" s="3">
        <v>0.90890009999999999</v>
      </c>
      <c r="BJ735" s="3">
        <v>0.91153459999999997</v>
      </c>
      <c r="BK735" s="3">
        <v>0.9143386</v>
      </c>
      <c r="BL735" s="3">
        <v>0.91729700000000003</v>
      </c>
      <c r="BM735" s="3" t="e">
        <v>#N/A</v>
      </c>
      <c r="BN735" s="3" t="e">
        <v>#N/A</v>
      </c>
    </row>
    <row r="736" spans="1:66" x14ac:dyDescent="0.35">
      <c r="A736" s="5">
        <f t="shared" si="11"/>
        <v>44484</v>
      </c>
      <c r="B736" t="s">
        <v>813</v>
      </c>
      <c r="C736" s="2">
        <v>0.1</v>
      </c>
      <c r="D736" s="2">
        <v>5.0200000000000002E-2</v>
      </c>
      <c r="E736" s="3">
        <v>0.11135970000000001</v>
      </c>
      <c r="F736" s="3">
        <v>0.20175280000000001</v>
      </c>
      <c r="G736" s="3">
        <v>0.29955140000000002</v>
      </c>
      <c r="H736" s="3">
        <v>0.39447690000000002</v>
      </c>
      <c r="I736" s="3">
        <v>0.48054479999999999</v>
      </c>
      <c r="J736" s="3">
        <v>0.55671060000000006</v>
      </c>
      <c r="K736" s="3">
        <v>0.62458029999999998</v>
      </c>
      <c r="L736" s="3">
        <v>0.68490589999999996</v>
      </c>
      <c r="M736" s="3">
        <v>0.73847309999999999</v>
      </c>
      <c r="N736" s="3">
        <v>0.78589609999999999</v>
      </c>
      <c r="O736" s="3">
        <v>0.82750420000000002</v>
      </c>
      <c r="P736" s="3">
        <v>0.86364819999999998</v>
      </c>
      <c r="Q736" s="3">
        <v>0.89490709999999996</v>
      </c>
      <c r="R736" s="3">
        <v>0.92170010000000002</v>
      </c>
      <c r="S736" s="3">
        <v>0.9443762</v>
      </c>
      <c r="T736" s="3">
        <v>0.96328449999999999</v>
      </c>
      <c r="U736" s="3">
        <v>0.97877400000000003</v>
      </c>
      <c r="V736" s="3">
        <v>0.99119369999999996</v>
      </c>
      <c r="W736" s="3">
        <v>1.0008876</v>
      </c>
      <c r="X736" s="3">
        <v>1.0081770000000001</v>
      </c>
      <c r="Y736" s="3">
        <v>1.0133761999999999</v>
      </c>
      <c r="Z736" s="3">
        <v>1.0167998</v>
      </c>
      <c r="AA736" s="3">
        <v>1.0187622000000001</v>
      </c>
      <c r="AB736" s="3">
        <v>1.0195778</v>
      </c>
      <c r="AC736" s="3">
        <v>1.0195276</v>
      </c>
      <c r="AD736" s="3">
        <v>1.018743</v>
      </c>
      <c r="AE736" s="3">
        <v>1.0173148999999999</v>
      </c>
      <c r="AF736" s="3">
        <v>1.0153338000000001</v>
      </c>
      <c r="AG736" s="3">
        <v>1.0128903</v>
      </c>
      <c r="AH736" s="3">
        <v>1.0100752</v>
      </c>
      <c r="AI736" s="3">
        <v>1.0069789</v>
      </c>
      <c r="AJ736" s="3">
        <v>1.0036921999999999</v>
      </c>
      <c r="AK736" s="3">
        <v>1.0003055999999999</v>
      </c>
      <c r="AL736" s="3">
        <v>0.99690990000000002</v>
      </c>
      <c r="AM736" s="3">
        <v>0.99359549999999996</v>
      </c>
      <c r="AN736" s="3">
        <v>0.99045320000000003</v>
      </c>
      <c r="AO736" s="3">
        <v>0.98756010000000005</v>
      </c>
      <c r="AP736" s="3">
        <v>0.98493359999999996</v>
      </c>
      <c r="AQ736" s="3">
        <v>0.98257450000000002</v>
      </c>
      <c r="AR736" s="3">
        <v>0.98048389999999996</v>
      </c>
      <c r="AS736" s="3">
        <v>0.97866260000000005</v>
      </c>
      <c r="AT736" s="3">
        <v>0.97711159999999997</v>
      </c>
      <c r="AU736" s="3">
        <v>0.97583189999999997</v>
      </c>
      <c r="AV736" s="3">
        <v>0.97482429999999998</v>
      </c>
      <c r="AW736" s="3">
        <v>0.97408980000000001</v>
      </c>
      <c r="AX736" s="3">
        <v>0.97362930000000003</v>
      </c>
      <c r="AY736" s="3">
        <v>0.97344370000000002</v>
      </c>
      <c r="AZ736" s="3">
        <v>0.97353400000000001</v>
      </c>
      <c r="BA736" s="3">
        <v>0.97389950000000003</v>
      </c>
      <c r="BB736" s="3">
        <v>0.97453210000000001</v>
      </c>
      <c r="BC736" s="3">
        <v>0.97542189999999995</v>
      </c>
      <c r="BD736" s="3">
        <v>0.9765587</v>
      </c>
      <c r="BE736" s="3">
        <v>0.97793269999999999</v>
      </c>
      <c r="BF736" s="3">
        <v>0.97953369999999995</v>
      </c>
      <c r="BG736" s="3">
        <v>0.98135170000000005</v>
      </c>
      <c r="BH736" s="3">
        <v>0.98337669999999999</v>
      </c>
      <c r="BI736" s="3">
        <v>0.9855988</v>
      </c>
      <c r="BJ736" s="3">
        <v>0.98800779999999999</v>
      </c>
      <c r="BK736" s="3">
        <v>0.99059370000000002</v>
      </c>
      <c r="BL736" s="3">
        <v>0.99334659999999997</v>
      </c>
      <c r="BM736" s="3" t="e">
        <v>#N/A</v>
      </c>
      <c r="BN736" s="3" t="e">
        <v>#N/A</v>
      </c>
    </row>
    <row r="737" spans="1:66" x14ac:dyDescent="0.35">
      <c r="A737" s="5">
        <f t="shared" si="11"/>
        <v>44487</v>
      </c>
      <c r="B737" t="s">
        <v>814</v>
      </c>
      <c r="C737" s="2">
        <v>0.1</v>
      </c>
      <c r="D737" s="2">
        <v>5.04E-2</v>
      </c>
      <c r="E737" s="3">
        <v>0.21508569999999999</v>
      </c>
      <c r="F737" s="3">
        <v>0.35771340000000001</v>
      </c>
      <c r="G737" s="3">
        <v>0.4876373</v>
      </c>
      <c r="H737" s="3">
        <v>0.60759730000000001</v>
      </c>
      <c r="I737" s="3">
        <v>0.71148400000000001</v>
      </c>
      <c r="J737" s="3">
        <v>0.7988383</v>
      </c>
      <c r="K737" s="3">
        <v>0.87348380000000003</v>
      </c>
      <c r="L737" s="3">
        <v>0.93835400000000002</v>
      </c>
      <c r="M737" s="3">
        <v>0.99536049999999998</v>
      </c>
      <c r="N737" s="3">
        <v>1.0458628000000001</v>
      </c>
      <c r="O737" s="3">
        <v>1.0900049999999999</v>
      </c>
      <c r="P737" s="3">
        <v>1.1275738</v>
      </c>
      <c r="Q737" s="3">
        <v>1.1579124000000001</v>
      </c>
      <c r="R737" s="3">
        <v>1.1813484999999999</v>
      </c>
      <c r="S737" s="3">
        <v>1.1985105</v>
      </c>
      <c r="T737" s="3">
        <v>1.2100268999999999</v>
      </c>
      <c r="U737" s="3">
        <v>1.2165262999999999</v>
      </c>
      <c r="V737" s="3">
        <v>1.2186371</v>
      </c>
      <c r="W737" s="3">
        <v>1.2169726000000001</v>
      </c>
      <c r="X737" s="3">
        <v>1.2120869999999999</v>
      </c>
      <c r="Y737" s="3">
        <v>1.2045205999999999</v>
      </c>
      <c r="Z737" s="3">
        <v>1.1948136</v>
      </c>
      <c r="AA737" s="3">
        <v>1.1835064</v>
      </c>
      <c r="AB737" s="3">
        <v>1.1711392</v>
      </c>
      <c r="AC737" s="3">
        <v>1.1581792</v>
      </c>
      <c r="AD737" s="3">
        <v>1.144801</v>
      </c>
      <c r="AE737" s="3">
        <v>1.1311055999999999</v>
      </c>
      <c r="AF737" s="3">
        <v>1.1171945999999999</v>
      </c>
      <c r="AG737" s="3">
        <v>1.1031693</v>
      </c>
      <c r="AH737" s="3">
        <v>1.0891308</v>
      </c>
      <c r="AI737" s="3">
        <v>1.0751805999999999</v>
      </c>
      <c r="AJ737" s="3">
        <v>1.06142</v>
      </c>
      <c r="AK737" s="3">
        <v>1.0479502000000001</v>
      </c>
      <c r="AL737" s="3">
        <v>1.0348725999999999</v>
      </c>
      <c r="AM737" s="3">
        <v>1.0222886</v>
      </c>
      <c r="AN737" s="3">
        <v>1.0102994000000001</v>
      </c>
      <c r="AO737" s="3">
        <v>0.99899130000000003</v>
      </c>
      <c r="AP737" s="3">
        <v>0.98838459999999995</v>
      </c>
      <c r="AQ737" s="3">
        <v>0.97848109999999999</v>
      </c>
      <c r="AR737" s="3">
        <v>0.96928289999999995</v>
      </c>
      <c r="AS737" s="3">
        <v>0.96079179999999997</v>
      </c>
      <c r="AT737" s="3">
        <v>0.95300989999999997</v>
      </c>
      <c r="AU737" s="3">
        <v>0.94593890000000003</v>
      </c>
      <c r="AV737" s="3">
        <v>0.939581</v>
      </c>
      <c r="AW737" s="3">
        <v>0.93393789999999999</v>
      </c>
      <c r="AX737" s="3">
        <v>0.9290117</v>
      </c>
      <c r="AY737" s="3">
        <v>0.92480419999999997</v>
      </c>
      <c r="AZ737" s="3">
        <v>0.92131750000000001</v>
      </c>
      <c r="BA737" s="3">
        <v>0.91854959999999997</v>
      </c>
      <c r="BB737" s="3">
        <v>0.91647789999999996</v>
      </c>
      <c r="BC737" s="3">
        <v>0.91507289999999997</v>
      </c>
      <c r="BD737" s="3">
        <v>0.91430489999999998</v>
      </c>
      <c r="BE737" s="3">
        <v>0.91414459999999997</v>
      </c>
      <c r="BF737" s="3">
        <v>0.91456219999999999</v>
      </c>
      <c r="BG737" s="3">
        <v>0.91552829999999996</v>
      </c>
      <c r="BH737" s="3">
        <v>0.91701339999999998</v>
      </c>
      <c r="BI737" s="3">
        <v>0.91898780000000002</v>
      </c>
      <c r="BJ737" s="3">
        <v>0.92142210000000002</v>
      </c>
      <c r="BK737" s="3">
        <v>0.92428659999999996</v>
      </c>
      <c r="BL737" s="3">
        <v>0.92755189999999998</v>
      </c>
      <c r="BM737" s="3" t="e">
        <v>#N/A</v>
      </c>
      <c r="BN737" s="3" t="e">
        <v>#N/A</v>
      </c>
    </row>
    <row r="738" spans="1:66" x14ac:dyDescent="0.35">
      <c r="A738" s="5">
        <f t="shared" si="11"/>
        <v>44488</v>
      </c>
      <c r="B738" t="s">
        <v>815</v>
      </c>
      <c r="C738" s="2">
        <v>0.1</v>
      </c>
      <c r="D738" s="2">
        <v>4.99E-2</v>
      </c>
      <c r="E738" s="3">
        <v>0.24594450000000001</v>
      </c>
      <c r="F738" s="3">
        <v>0.34987000000000001</v>
      </c>
      <c r="G738" s="3">
        <v>0.47210920000000001</v>
      </c>
      <c r="H738" s="3">
        <v>0.5959757</v>
      </c>
      <c r="I738" s="3">
        <v>0.70648960000000005</v>
      </c>
      <c r="J738" s="3">
        <v>0.80048649999999999</v>
      </c>
      <c r="K738" s="3">
        <v>0.87946500000000005</v>
      </c>
      <c r="L738" s="3">
        <v>0.94682580000000005</v>
      </c>
      <c r="M738" s="3">
        <v>1.0050364000000001</v>
      </c>
      <c r="N738" s="3">
        <v>1.0558141999999999</v>
      </c>
      <c r="O738" s="3">
        <v>1.0996570000000001</v>
      </c>
      <c r="P738" s="3">
        <v>1.1366879999999999</v>
      </c>
      <c r="Q738" s="3">
        <v>1.1667202000000001</v>
      </c>
      <c r="R738" s="3">
        <v>1.1902162000000001</v>
      </c>
      <c r="S738" s="3">
        <v>1.2078344000000001</v>
      </c>
      <c r="T738" s="3">
        <v>1.2202332</v>
      </c>
      <c r="U738" s="3">
        <v>1.2280711</v>
      </c>
      <c r="V738" s="3">
        <v>1.2320066000000001</v>
      </c>
      <c r="W738" s="3">
        <v>1.2326528999999999</v>
      </c>
      <c r="X738" s="3">
        <v>1.2304516999999999</v>
      </c>
      <c r="Y738" s="3">
        <v>1.2258036000000001</v>
      </c>
      <c r="Z738" s="3">
        <v>1.2191091999999999</v>
      </c>
      <c r="AA738" s="3">
        <v>1.2107692000000001</v>
      </c>
      <c r="AB738" s="3">
        <v>1.2011844</v>
      </c>
      <c r="AC738" s="3">
        <v>1.1907091000000001</v>
      </c>
      <c r="AD738" s="3">
        <v>1.1795134</v>
      </c>
      <c r="AE738" s="3">
        <v>1.167721</v>
      </c>
      <c r="AF738" s="3">
        <v>1.1554557999999999</v>
      </c>
      <c r="AG738" s="3">
        <v>1.1428415999999999</v>
      </c>
      <c r="AH738" s="3">
        <v>1.1300021</v>
      </c>
      <c r="AI738" s="3">
        <v>1.1170613</v>
      </c>
      <c r="AJ738" s="3">
        <v>1.1041428</v>
      </c>
      <c r="AK738" s="3">
        <v>1.0913705</v>
      </c>
      <c r="AL738" s="3">
        <v>1.0788682999999999</v>
      </c>
      <c r="AM738" s="3">
        <v>1.0667599000000001</v>
      </c>
      <c r="AN738" s="3">
        <v>1.0551691000000001</v>
      </c>
      <c r="AO738" s="3">
        <v>1.0442043999999999</v>
      </c>
      <c r="AP738" s="3">
        <v>1.0338919</v>
      </c>
      <c r="AQ738" s="3">
        <v>1.02423</v>
      </c>
      <c r="AR738" s="3">
        <v>1.0152171999999999</v>
      </c>
      <c r="AS738" s="3">
        <v>1.0068518</v>
      </c>
      <c r="AT738" s="3">
        <v>0.99913220000000003</v>
      </c>
      <c r="AU738" s="3">
        <v>0.99205679999999996</v>
      </c>
      <c r="AV738" s="3">
        <v>0.9856241</v>
      </c>
      <c r="AW738" s="3">
        <v>0.9798325</v>
      </c>
      <c r="AX738" s="3">
        <v>0.97468030000000005</v>
      </c>
      <c r="AY738" s="3">
        <v>0.97016599999999997</v>
      </c>
      <c r="AZ738" s="3">
        <v>0.96628789999999998</v>
      </c>
      <c r="BA738" s="3">
        <v>0.96304069999999997</v>
      </c>
      <c r="BB738" s="3">
        <v>0.96040040000000004</v>
      </c>
      <c r="BC738" s="3">
        <v>0.9583372</v>
      </c>
      <c r="BD738" s="3">
        <v>0.95682140000000004</v>
      </c>
      <c r="BE738" s="3">
        <v>0.95582339999999999</v>
      </c>
      <c r="BF738" s="3">
        <v>0.95531339999999998</v>
      </c>
      <c r="BG738" s="3">
        <v>0.9552619</v>
      </c>
      <c r="BH738" s="3">
        <v>0.95563889999999996</v>
      </c>
      <c r="BI738" s="3">
        <v>0.95641500000000002</v>
      </c>
      <c r="BJ738" s="3">
        <v>0.95756039999999998</v>
      </c>
      <c r="BK738" s="3">
        <v>0.95904529999999999</v>
      </c>
      <c r="BL738" s="3">
        <v>0.96084009999999997</v>
      </c>
      <c r="BM738" s="3" t="e">
        <v>#N/A</v>
      </c>
      <c r="BN738" s="3" t="e">
        <v>#N/A</v>
      </c>
    </row>
    <row r="739" spans="1:66" x14ac:dyDescent="0.35">
      <c r="A739" s="5">
        <f t="shared" si="11"/>
        <v>44489</v>
      </c>
      <c r="B739" t="s">
        <v>816</v>
      </c>
      <c r="C739" s="2">
        <v>0.1</v>
      </c>
      <c r="D739" s="2">
        <v>5.0099999999999999E-2</v>
      </c>
      <c r="E739" s="3">
        <v>0.2474548</v>
      </c>
      <c r="F739" s="3">
        <v>0.3420512</v>
      </c>
      <c r="G739" s="3">
        <v>0.45408920000000003</v>
      </c>
      <c r="H739" s="3">
        <v>0.56629030000000002</v>
      </c>
      <c r="I739" s="3">
        <v>0.6664428</v>
      </c>
      <c r="J739" s="3">
        <v>0.75218700000000005</v>
      </c>
      <c r="K739" s="3">
        <v>0.82514620000000005</v>
      </c>
      <c r="L739" s="3">
        <v>0.88798670000000002</v>
      </c>
      <c r="M739" s="3">
        <v>0.94268090000000004</v>
      </c>
      <c r="N739" s="3">
        <v>0.99052530000000005</v>
      </c>
      <c r="O739" s="3">
        <v>1.0320878</v>
      </c>
      <c r="P739" s="3">
        <v>1.0673018999999999</v>
      </c>
      <c r="Q739" s="3">
        <v>1.0960525000000001</v>
      </c>
      <c r="R739" s="3">
        <v>1.1187851</v>
      </c>
      <c r="S739" s="3">
        <v>1.136088</v>
      </c>
      <c r="T739" s="3">
        <v>1.1485493</v>
      </c>
      <c r="U739" s="3">
        <v>1.1567575000000001</v>
      </c>
      <c r="V739" s="3">
        <v>1.1613007</v>
      </c>
      <c r="W739" s="3">
        <v>1.1627400000000001</v>
      </c>
      <c r="X739" s="3">
        <v>1.1615323</v>
      </c>
      <c r="Y739" s="3">
        <v>1.1581098999999999</v>
      </c>
      <c r="Z739" s="3">
        <v>1.1529050999999999</v>
      </c>
      <c r="AA739" s="3">
        <v>1.14635</v>
      </c>
      <c r="AB739" s="3">
        <v>1.1388771</v>
      </c>
      <c r="AC739" s="3">
        <v>1.1308611</v>
      </c>
      <c r="AD739" s="3">
        <v>1.1224479999999999</v>
      </c>
      <c r="AE739" s="3">
        <v>1.1137262999999999</v>
      </c>
      <c r="AF739" s="3">
        <v>1.1047844</v>
      </c>
      <c r="AG739" s="3">
        <v>1.0957108</v>
      </c>
      <c r="AH739" s="3">
        <v>1.0865940999999999</v>
      </c>
      <c r="AI739" s="3">
        <v>1.0775227999999999</v>
      </c>
      <c r="AJ739" s="3">
        <v>1.0685853000000001</v>
      </c>
      <c r="AK739" s="3">
        <v>1.0598702</v>
      </c>
      <c r="AL739" s="3">
        <v>1.051466</v>
      </c>
      <c r="AM739" s="3">
        <v>1.0434612000000001</v>
      </c>
      <c r="AN739" s="3">
        <v>1.0359442999999999</v>
      </c>
      <c r="AO739" s="3">
        <v>1.0289899</v>
      </c>
      <c r="AP739" s="3">
        <v>1.0226057</v>
      </c>
      <c r="AQ739" s="3">
        <v>1.0167784</v>
      </c>
      <c r="AR739" s="3">
        <v>1.0114951000000001</v>
      </c>
      <c r="AS739" s="3">
        <v>1.0067425999999999</v>
      </c>
      <c r="AT739" s="3">
        <v>1.0025081</v>
      </c>
      <c r="AU739" s="3">
        <v>0.99877839999999996</v>
      </c>
      <c r="AV739" s="3">
        <v>0.99554039999999999</v>
      </c>
      <c r="AW739" s="3">
        <v>0.99278120000000003</v>
      </c>
      <c r="AX739" s="3">
        <v>0.99048769999999997</v>
      </c>
      <c r="AY739" s="3">
        <v>0.9886469</v>
      </c>
      <c r="AZ739" s="3">
        <v>0.9872457</v>
      </c>
      <c r="BA739" s="3">
        <v>0.98626990000000003</v>
      </c>
      <c r="BB739" s="3">
        <v>0.98570069999999999</v>
      </c>
      <c r="BC739" s="3">
        <v>0.98551789999999995</v>
      </c>
      <c r="BD739" s="3">
        <v>0.9857011</v>
      </c>
      <c r="BE739" s="3">
        <v>0.98623019999999995</v>
      </c>
      <c r="BF739" s="3">
        <v>0.98708490000000004</v>
      </c>
      <c r="BG739" s="3">
        <v>0.98824500000000004</v>
      </c>
      <c r="BH739" s="3">
        <v>0.98969019999999996</v>
      </c>
      <c r="BI739" s="3">
        <v>0.99140030000000001</v>
      </c>
      <c r="BJ739" s="3">
        <v>0.99335510000000005</v>
      </c>
      <c r="BK739" s="3">
        <v>0.99553429999999998</v>
      </c>
      <c r="BL739" s="3">
        <v>0.99791770000000002</v>
      </c>
      <c r="BM739" s="3" t="e">
        <v>#N/A</v>
      </c>
      <c r="BN739" s="3" t="e">
        <v>#N/A</v>
      </c>
    </row>
    <row r="740" spans="1:66" x14ac:dyDescent="0.35">
      <c r="A740" s="5">
        <f t="shared" si="11"/>
        <v>44490</v>
      </c>
      <c r="B740" t="s">
        <v>817</v>
      </c>
      <c r="C740" s="2">
        <v>0.1</v>
      </c>
      <c r="D740" s="2">
        <v>0.05</v>
      </c>
      <c r="E740" s="3">
        <v>0.21885070000000001</v>
      </c>
      <c r="F740" s="3">
        <v>0.34812480000000001</v>
      </c>
      <c r="G740" s="3">
        <v>0.46055259999999998</v>
      </c>
      <c r="H740" s="3">
        <v>0.56389900000000004</v>
      </c>
      <c r="I740" s="3">
        <v>0.65701589999999999</v>
      </c>
      <c r="J740" s="3">
        <v>0.74000739999999998</v>
      </c>
      <c r="K740" s="3">
        <v>0.81416480000000002</v>
      </c>
      <c r="L740" s="3">
        <v>0.88059390000000004</v>
      </c>
      <c r="M740" s="3">
        <v>0.94009330000000002</v>
      </c>
      <c r="N740" s="3">
        <v>0.99297780000000002</v>
      </c>
      <c r="O740" s="3">
        <v>1.0391904999999999</v>
      </c>
      <c r="P740" s="3">
        <v>1.0785176999999999</v>
      </c>
      <c r="Q740" s="3">
        <v>1.1106065000000001</v>
      </c>
      <c r="R740" s="3">
        <v>1.1359442</v>
      </c>
      <c r="S740" s="3">
        <v>1.1552532</v>
      </c>
      <c r="T740" s="3">
        <v>1.1692553999999999</v>
      </c>
      <c r="U740" s="3">
        <v>1.1786730000000001</v>
      </c>
      <c r="V740" s="3">
        <v>1.1842280999999999</v>
      </c>
      <c r="W740" s="3">
        <v>1.1866017</v>
      </c>
      <c r="X740" s="3">
        <v>1.1863174999999999</v>
      </c>
      <c r="Y740" s="3">
        <v>1.1838624</v>
      </c>
      <c r="Z740" s="3">
        <v>1.1797230000000001</v>
      </c>
      <c r="AA740" s="3">
        <v>1.1743859000000001</v>
      </c>
      <c r="AB740" s="3">
        <v>1.1683376999999999</v>
      </c>
      <c r="AC740" s="3">
        <v>1.1620064000000001</v>
      </c>
      <c r="AD740" s="3">
        <v>1.1555336</v>
      </c>
      <c r="AE740" s="3">
        <v>1.1489737</v>
      </c>
      <c r="AF740" s="3">
        <v>1.1423814000000001</v>
      </c>
      <c r="AG740" s="3">
        <v>1.1358111</v>
      </c>
      <c r="AH740" s="3">
        <v>1.1293172</v>
      </c>
      <c r="AI740" s="3">
        <v>1.1229544</v>
      </c>
      <c r="AJ740" s="3">
        <v>1.1167769999999999</v>
      </c>
      <c r="AK740" s="3">
        <v>1.1108396</v>
      </c>
      <c r="AL740" s="3">
        <v>1.1051967</v>
      </c>
      <c r="AM740" s="3">
        <v>1.0999028</v>
      </c>
      <c r="AN740" s="3">
        <v>1.0950124000000001</v>
      </c>
      <c r="AO740" s="3">
        <v>1.0905695</v>
      </c>
      <c r="AP740" s="3">
        <v>1.0865720999999999</v>
      </c>
      <c r="AQ740" s="3">
        <v>1.0830055000000001</v>
      </c>
      <c r="AR740" s="3">
        <v>1.0798549</v>
      </c>
      <c r="AS740" s="3">
        <v>1.0771056000000001</v>
      </c>
      <c r="AT740" s="3">
        <v>1.0747428000000001</v>
      </c>
      <c r="AU740" s="3">
        <v>1.0727519000000001</v>
      </c>
      <c r="AV740" s="3">
        <v>1.0711181000000001</v>
      </c>
      <c r="AW740" s="3">
        <v>1.0698266000000001</v>
      </c>
      <c r="AX740" s="3">
        <v>1.0688626000000001</v>
      </c>
      <c r="AY740" s="3">
        <v>1.0682115999999999</v>
      </c>
      <c r="AZ740" s="3">
        <v>1.0678586000000001</v>
      </c>
      <c r="BA740" s="3">
        <v>1.0677897000000001</v>
      </c>
      <c r="BB740" s="3">
        <v>1.067993</v>
      </c>
      <c r="BC740" s="3">
        <v>1.0684575999999999</v>
      </c>
      <c r="BD740" s="3">
        <v>1.0691727</v>
      </c>
      <c r="BE740" s="3">
        <v>1.0701271999999999</v>
      </c>
      <c r="BF740" s="3">
        <v>1.0713102999999999</v>
      </c>
      <c r="BG740" s="3">
        <v>1.0727108999999999</v>
      </c>
      <c r="BH740" s="3">
        <v>1.0743180999999999</v>
      </c>
      <c r="BI740" s="3">
        <v>1.0761209</v>
      </c>
      <c r="BJ740" s="3">
        <v>1.0781084999999999</v>
      </c>
      <c r="BK740" s="3">
        <v>1.0802697999999999</v>
      </c>
      <c r="BL740" s="3">
        <v>1.0825939</v>
      </c>
      <c r="BM740" s="3" t="e">
        <v>#N/A</v>
      </c>
      <c r="BN740" s="3" t="e">
        <v>#N/A</v>
      </c>
    </row>
    <row r="741" spans="1:66" x14ac:dyDescent="0.35">
      <c r="A741" s="5">
        <f t="shared" si="11"/>
        <v>44491</v>
      </c>
      <c r="B741" t="s">
        <v>818</v>
      </c>
      <c r="C741" s="2">
        <v>0.1</v>
      </c>
      <c r="D741" s="2">
        <v>0.05</v>
      </c>
      <c r="E741" s="3">
        <v>0.19704160000000001</v>
      </c>
      <c r="F741" s="3">
        <v>0.31498280000000001</v>
      </c>
      <c r="G741" s="3">
        <v>0.42923539999999999</v>
      </c>
      <c r="H741" s="3">
        <v>0.53731090000000004</v>
      </c>
      <c r="I741" s="3">
        <v>0.63408319999999996</v>
      </c>
      <c r="J741" s="3">
        <v>0.71919529999999998</v>
      </c>
      <c r="K741" s="3">
        <v>0.79415630000000004</v>
      </c>
      <c r="L741" s="3">
        <v>0.86024009999999995</v>
      </c>
      <c r="M741" s="3">
        <v>0.91845330000000003</v>
      </c>
      <c r="N741" s="3">
        <v>0.96947119999999998</v>
      </c>
      <c r="O741" s="3">
        <v>1.0135048</v>
      </c>
      <c r="P741" s="3">
        <v>1.0507477000000001</v>
      </c>
      <c r="Q741" s="3">
        <v>1.0811675999999999</v>
      </c>
      <c r="R741" s="3">
        <v>1.1052628</v>
      </c>
      <c r="S741" s="3">
        <v>1.1237250999999999</v>
      </c>
      <c r="T741" s="3">
        <v>1.1372462000000001</v>
      </c>
      <c r="U741" s="3">
        <v>1.1465179999999999</v>
      </c>
      <c r="V741" s="3">
        <v>1.1522321</v>
      </c>
      <c r="W741" s="3">
        <v>1.1550379</v>
      </c>
      <c r="X741" s="3">
        <v>1.1553874</v>
      </c>
      <c r="Y741" s="3">
        <v>1.1536754</v>
      </c>
      <c r="Z741" s="3">
        <v>1.1502966999999999</v>
      </c>
      <c r="AA741" s="3">
        <v>1.1456462000000001</v>
      </c>
      <c r="AB741" s="3">
        <v>1.1401188</v>
      </c>
      <c r="AC741" s="3">
        <v>1.1340619999999999</v>
      </c>
      <c r="AD741" s="3">
        <v>1.1276147000000001</v>
      </c>
      <c r="AE741" s="3">
        <v>1.1208583999999999</v>
      </c>
      <c r="AF741" s="3">
        <v>1.1138744</v>
      </c>
      <c r="AG741" s="3">
        <v>1.106744</v>
      </c>
      <c r="AH741" s="3">
        <v>1.0995486999999999</v>
      </c>
      <c r="AI741" s="3">
        <v>1.0923697999999999</v>
      </c>
      <c r="AJ741" s="3">
        <v>1.0852885999999999</v>
      </c>
      <c r="AK741" s="3">
        <v>1.0783866</v>
      </c>
      <c r="AL741" s="3">
        <v>1.0717452000000001</v>
      </c>
      <c r="AM741" s="3">
        <v>1.0654456000000001</v>
      </c>
      <c r="AN741" s="3">
        <v>1.0595692999999999</v>
      </c>
      <c r="AO741" s="3">
        <v>1.0541822000000001</v>
      </c>
      <c r="AP741" s="3">
        <v>1.0492824000000001</v>
      </c>
      <c r="AQ741" s="3">
        <v>1.0448492</v>
      </c>
      <c r="AR741" s="3">
        <v>1.0408618000000001</v>
      </c>
      <c r="AS741" s="3">
        <v>1.0372995</v>
      </c>
      <c r="AT741" s="3">
        <v>1.0341416000000001</v>
      </c>
      <c r="AU741" s="3">
        <v>1.0313675</v>
      </c>
      <c r="AV741" s="3">
        <v>1.0289562999999999</v>
      </c>
      <c r="AW741" s="3">
        <v>1.0268873999999999</v>
      </c>
      <c r="AX741" s="3">
        <v>1.0251399999999999</v>
      </c>
      <c r="AY741" s="3">
        <v>1.0236935</v>
      </c>
      <c r="AZ741" s="3">
        <v>1.0225272000000001</v>
      </c>
      <c r="BA741" s="3">
        <v>1.0216213999999999</v>
      </c>
      <c r="BB741" s="3">
        <v>1.0209619000000001</v>
      </c>
      <c r="BC741" s="3">
        <v>1.0205360000000001</v>
      </c>
      <c r="BD741" s="3">
        <v>1.0203308</v>
      </c>
      <c r="BE741" s="3">
        <v>1.0203335</v>
      </c>
      <c r="BF741" s="3">
        <v>1.0205314000000001</v>
      </c>
      <c r="BG741" s="3">
        <v>1.0209115</v>
      </c>
      <c r="BH741" s="3">
        <v>1.0214611</v>
      </c>
      <c r="BI741" s="3">
        <v>1.0221673</v>
      </c>
      <c r="BJ741" s="3">
        <v>1.0230174999999999</v>
      </c>
      <c r="BK741" s="3">
        <v>1.0239986000000001</v>
      </c>
      <c r="BL741" s="3">
        <v>1.0250980000000001</v>
      </c>
      <c r="BM741" s="3" t="e">
        <v>#N/A</v>
      </c>
      <c r="BN741" s="3" t="e">
        <v>#N/A</v>
      </c>
    </row>
    <row r="742" spans="1:66" x14ac:dyDescent="0.35">
      <c r="A742" s="5">
        <f t="shared" si="11"/>
        <v>44494</v>
      </c>
      <c r="B742" t="s">
        <v>819</v>
      </c>
      <c r="C742" s="2">
        <v>0.1</v>
      </c>
      <c r="D742" s="2">
        <v>4.9799999999999997E-2</v>
      </c>
      <c r="E742" s="3">
        <v>0.2077252</v>
      </c>
      <c r="F742" s="3">
        <v>0.29990790000000001</v>
      </c>
      <c r="G742" s="3">
        <v>0.40607019999999999</v>
      </c>
      <c r="H742" s="3">
        <v>0.51254560000000005</v>
      </c>
      <c r="I742" s="3">
        <v>0.60800279999999995</v>
      </c>
      <c r="J742" s="3">
        <v>0.69111880000000003</v>
      </c>
      <c r="K742" s="3">
        <v>0.76377669999999998</v>
      </c>
      <c r="L742" s="3">
        <v>0.82801199999999997</v>
      </c>
      <c r="M742" s="3">
        <v>0.88501580000000002</v>
      </c>
      <c r="N742" s="3">
        <v>0.93548260000000005</v>
      </c>
      <c r="O742" s="3">
        <v>0.97936880000000004</v>
      </c>
      <c r="P742" s="3">
        <v>1.0167751</v>
      </c>
      <c r="Q742" s="3">
        <v>1.0477786</v>
      </c>
      <c r="R742" s="3">
        <v>1.0728734</v>
      </c>
      <c r="S742" s="3">
        <v>1.0926745</v>
      </c>
      <c r="T742" s="3">
        <v>1.1077973000000001</v>
      </c>
      <c r="U742" s="3">
        <v>1.1188571</v>
      </c>
      <c r="V742" s="3">
        <v>1.1264689999999999</v>
      </c>
      <c r="W742" s="3">
        <v>1.1312065</v>
      </c>
      <c r="X742" s="3">
        <v>1.1334831999999999</v>
      </c>
      <c r="Y742" s="3">
        <v>1.133675</v>
      </c>
      <c r="Z742" s="3">
        <v>1.1321576</v>
      </c>
      <c r="AA742" s="3">
        <v>1.1293067999999999</v>
      </c>
      <c r="AB742" s="3">
        <v>1.1254985</v>
      </c>
      <c r="AC742" s="3">
        <v>1.1210576999999999</v>
      </c>
      <c r="AD742" s="3">
        <v>1.1161075</v>
      </c>
      <c r="AE742" s="3">
        <v>1.1107203999999999</v>
      </c>
      <c r="AF742" s="3">
        <v>1.1049686999999999</v>
      </c>
      <c r="AG742" s="3">
        <v>1.0989249999999999</v>
      </c>
      <c r="AH742" s="3">
        <v>1.0926615</v>
      </c>
      <c r="AI742" s="3">
        <v>1.0862509</v>
      </c>
      <c r="AJ742" s="3">
        <v>1.0797654000000001</v>
      </c>
      <c r="AK742" s="3">
        <v>1.0732775000000001</v>
      </c>
      <c r="AL742" s="3">
        <v>1.0668597</v>
      </c>
      <c r="AM742" s="3">
        <v>1.0605844</v>
      </c>
      <c r="AN742" s="3">
        <v>1.0545241000000001</v>
      </c>
      <c r="AO742" s="3">
        <v>1.0487405000000001</v>
      </c>
      <c r="AP742" s="3">
        <v>1.0432489</v>
      </c>
      <c r="AQ742" s="3">
        <v>1.0380516</v>
      </c>
      <c r="AR742" s="3">
        <v>1.0331509999999999</v>
      </c>
      <c r="AS742" s="3">
        <v>1.0285495</v>
      </c>
      <c r="AT742" s="3">
        <v>1.0242492999999999</v>
      </c>
      <c r="AU742" s="3">
        <v>1.0202528</v>
      </c>
      <c r="AV742" s="3">
        <v>1.0165622999999999</v>
      </c>
      <c r="AW742" s="3">
        <v>1.0131802000000001</v>
      </c>
      <c r="AX742" s="3">
        <v>1.0101088</v>
      </c>
      <c r="AY742" s="3">
        <v>1.0073505</v>
      </c>
      <c r="AZ742" s="3">
        <v>1.0049075000000001</v>
      </c>
      <c r="BA742" s="3">
        <v>1.0027809999999999</v>
      </c>
      <c r="BB742" s="3">
        <v>1.0009650999999999</v>
      </c>
      <c r="BC742" s="3">
        <v>0.9994516</v>
      </c>
      <c r="BD742" s="3">
        <v>0.99823240000000002</v>
      </c>
      <c r="BE742" s="3">
        <v>0.99729920000000005</v>
      </c>
      <c r="BF742" s="3">
        <v>0.99664390000000003</v>
      </c>
      <c r="BG742" s="3">
        <v>0.99625839999999999</v>
      </c>
      <c r="BH742" s="3">
        <v>0.99613439999999998</v>
      </c>
      <c r="BI742" s="3">
        <v>0.99626369999999997</v>
      </c>
      <c r="BJ742" s="3">
        <v>0.99663829999999998</v>
      </c>
      <c r="BK742" s="3">
        <v>0.99724990000000002</v>
      </c>
      <c r="BL742" s="3">
        <v>0.99809029999999999</v>
      </c>
      <c r="BM742" s="3" t="e">
        <v>#N/A</v>
      </c>
      <c r="BN742" s="3" t="e">
        <v>#N/A</v>
      </c>
    </row>
    <row r="743" spans="1:66" x14ac:dyDescent="0.35">
      <c r="A743" s="5">
        <f t="shared" si="11"/>
        <v>44495</v>
      </c>
      <c r="B743" t="s">
        <v>820</v>
      </c>
      <c r="C743" s="2">
        <v>0.1</v>
      </c>
      <c r="D743" s="2">
        <v>4.9799999999999997E-2</v>
      </c>
      <c r="E743" s="3">
        <v>0.1905271</v>
      </c>
      <c r="F743" s="3">
        <v>0.28472140000000001</v>
      </c>
      <c r="G743" s="3">
        <v>0.39178069999999998</v>
      </c>
      <c r="H743" s="3">
        <v>0.49691829999999998</v>
      </c>
      <c r="I743" s="3">
        <v>0.58922890000000006</v>
      </c>
      <c r="J743" s="3">
        <v>0.66938209999999998</v>
      </c>
      <c r="K743" s="3">
        <v>0.74005180000000004</v>
      </c>
      <c r="L743" s="3">
        <v>0.8036626</v>
      </c>
      <c r="M743" s="3">
        <v>0.86133090000000001</v>
      </c>
      <c r="N743" s="3">
        <v>0.91334459999999995</v>
      </c>
      <c r="O743" s="3">
        <v>0.95932519999999999</v>
      </c>
      <c r="P743" s="3">
        <v>0.99901910000000005</v>
      </c>
      <c r="Q743" s="3">
        <v>1.0321904</v>
      </c>
      <c r="R743" s="3">
        <v>1.0592083999999999</v>
      </c>
      <c r="S743" s="3">
        <v>1.0806085999999999</v>
      </c>
      <c r="T743" s="3">
        <v>1.0969266</v>
      </c>
      <c r="U743" s="3">
        <v>1.1086982000000001</v>
      </c>
      <c r="V743" s="3">
        <v>1.1164589</v>
      </c>
      <c r="W743" s="3">
        <v>1.1207346</v>
      </c>
      <c r="X743" s="3">
        <v>1.1220151</v>
      </c>
      <c r="Y743" s="3">
        <v>1.120781</v>
      </c>
      <c r="Z743" s="3">
        <v>1.1175132000000001</v>
      </c>
      <c r="AA743" s="3">
        <v>1.1126925000000001</v>
      </c>
      <c r="AB743" s="3">
        <v>1.1067997999999999</v>
      </c>
      <c r="AC743" s="3">
        <v>1.1002502999999999</v>
      </c>
      <c r="AD743" s="3">
        <v>1.0931963</v>
      </c>
      <c r="AE743" s="3">
        <v>1.0857247999999999</v>
      </c>
      <c r="AF743" s="3">
        <v>1.0779226</v>
      </c>
      <c r="AG743" s="3">
        <v>1.0698764999999999</v>
      </c>
      <c r="AH743" s="3">
        <v>1.0616732</v>
      </c>
      <c r="AI743" s="3">
        <v>1.0533998</v>
      </c>
      <c r="AJ743" s="3">
        <v>1.0451428</v>
      </c>
      <c r="AK743" s="3">
        <v>1.0369892999999999</v>
      </c>
      <c r="AL743" s="3">
        <v>1.029026</v>
      </c>
      <c r="AM743" s="3">
        <v>1.0213397</v>
      </c>
      <c r="AN743" s="3">
        <v>1.0140172000000001</v>
      </c>
      <c r="AO743" s="3">
        <v>1.0071337</v>
      </c>
      <c r="AP743" s="3">
        <v>1.0007007000000001</v>
      </c>
      <c r="AQ743" s="3">
        <v>0.9947085</v>
      </c>
      <c r="AR743" s="3">
        <v>0.98914749999999996</v>
      </c>
      <c r="AS743" s="3">
        <v>0.98400799999999999</v>
      </c>
      <c r="AT743" s="3">
        <v>0.97928029999999999</v>
      </c>
      <c r="AU743" s="3">
        <v>0.97495480000000001</v>
      </c>
      <c r="AV743" s="3">
        <v>0.97102169999999999</v>
      </c>
      <c r="AW743" s="3">
        <v>0.96747150000000004</v>
      </c>
      <c r="AX743" s="3">
        <v>0.9642944</v>
      </c>
      <c r="AY743" s="3">
        <v>0.96148069999999997</v>
      </c>
      <c r="AZ743" s="3">
        <v>0.95902080000000001</v>
      </c>
      <c r="BA743" s="3">
        <v>0.95690459999999999</v>
      </c>
      <c r="BB743" s="3">
        <v>0.95512019999999997</v>
      </c>
      <c r="BC743" s="3">
        <v>0.95365480000000002</v>
      </c>
      <c r="BD743" s="3">
        <v>0.95249609999999996</v>
      </c>
      <c r="BE743" s="3">
        <v>0.95163129999999996</v>
      </c>
      <c r="BF743" s="3">
        <v>0.95104789999999995</v>
      </c>
      <c r="BG743" s="3">
        <v>0.95073339999999995</v>
      </c>
      <c r="BH743" s="3">
        <v>0.9506751</v>
      </c>
      <c r="BI743" s="3">
        <v>0.95086040000000005</v>
      </c>
      <c r="BJ743" s="3">
        <v>0.95127689999999998</v>
      </c>
      <c r="BK743" s="3">
        <v>0.95191190000000003</v>
      </c>
      <c r="BL743" s="3">
        <v>0.95275279999999996</v>
      </c>
      <c r="BM743" s="3" t="e">
        <v>#N/A</v>
      </c>
      <c r="BN743" s="3" t="e">
        <v>#N/A</v>
      </c>
    </row>
    <row r="744" spans="1:66" x14ac:dyDescent="0.35">
      <c r="A744" s="5">
        <f t="shared" si="11"/>
        <v>44496</v>
      </c>
      <c r="B744" t="s">
        <v>821</v>
      </c>
      <c r="C744" s="2">
        <v>0.1</v>
      </c>
      <c r="D744" s="2">
        <v>4.8500000000000001E-2</v>
      </c>
      <c r="E744" s="3">
        <v>0.2200868</v>
      </c>
      <c r="F744" s="3">
        <v>0.33391799999999999</v>
      </c>
      <c r="G744" s="3">
        <v>0.46408640000000001</v>
      </c>
      <c r="H744" s="3">
        <v>0.59384669999999995</v>
      </c>
      <c r="I744" s="3">
        <v>0.70748929999999999</v>
      </c>
      <c r="J744" s="3">
        <v>0.80274270000000003</v>
      </c>
      <c r="K744" s="3">
        <v>0.88147529999999996</v>
      </c>
      <c r="L744" s="3">
        <v>0.94682160000000004</v>
      </c>
      <c r="M744" s="3">
        <v>1.0016457999999999</v>
      </c>
      <c r="N744" s="3">
        <v>1.0478810000000001</v>
      </c>
      <c r="O744" s="3">
        <v>1.0869055999999999</v>
      </c>
      <c r="P744" s="3">
        <v>1.1193848</v>
      </c>
      <c r="Q744" s="3">
        <v>1.1460138</v>
      </c>
      <c r="R744" s="3">
        <v>1.1673252999999999</v>
      </c>
      <c r="S744" s="3">
        <v>1.1837899999999999</v>
      </c>
      <c r="T744" s="3">
        <v>1.1958785000000001</v>
      </c>
      <c r="U744" s="3">
        <v>1.2040614000000001</v>
      </c>
      <c r="V744" s="3">
        <v>1.2088091999999999</v>
      </c>
      <c r="W744" s="3">
        <v>1.2105534</v>
      </c>
      <c r="X744" s="3">
        <v>1.2095765999999999</v>
      </c>
      <c r="Y744" s="3">
        <v>1.2061263</v>
      </c>
      <c r="Z744" s="3">
        <v>1.2004494999999999</v>
      </c>
      <c r="AA744" s="3">
        <v>1.1927937</v>
      </c>
      <c r="AB744" s="3">
        <v>1.1834058999999999</v>
      </c>
      <c r="AC744" s="3">
        <v>1.1725205999999999</v>
      </c>
      <c r="AD744" s="3">
        <v>1.1603199</v>
      </c>
      <c r="AE744" s="3">
        <v>1.146973</v>
      </c>
      <c r="AF744" s="3">
        <v>1.132649</v>
      </c>
      <c r="AG744" s="3">
        <v>1.1175172</v>
      </c>
      <c r="AH744" s="3">
        <v>1.1017467000000001</v>
      </c>
      <c r="AI744" s="3">
        <v>1.0855067</v>
      </c>
      <c r="AJ744" s="3">
        <v>1.0689664000000001</v>
      </c>
      <c r="AK744" s="3">
        <v>1.052295</v>
      </c>
      <c r="AL744" s="3">
        <v>1.0356616999999999</v>
      </c>
      <c r="AM744" s="3">
        <v>1.0192356</v>
      </c>
      <c r="AN744" s="3">
        <v>1.0031859999999999</v>
      </c>
      <c r="AO744" s="3">
        <v>0.98766100000000001</v>
      </c>
      <c r="AP744" s="3">
        <v>0.97270659999999998</v>
      </c>
      <c r="AQ744" s="3">
        <v>0.95833780000000002</v>
      </c>
      <c r="AR744" s="3">
        <v>0.9445692</v>
      </c>
      <c r="AS744" s="3">
        <v>0.93141580000000002</v>
      </c>
      <c r="AT744" s="3">
        <v>0.9188925</v>
      </c>
      <c r="AU744" s="3">
        <v>0.90701410000000005</v>
      </c>
      <c r="AV744" s="3">
        <v>0.89579549999999997</v>
      </c>
      <c r="AW744" s="3">
        <v>0.88525140000000002</v>
      </c>
      <c r="AX744" s="3">
        <v>0.87539690000000003</v>
      </c>
      <c r="AY744" s="3">
        <v>0.86624659999999998</v>
      </c>
      <c r="AZ744" s="3">
        <v>0.85781549999999995</v>
      </c>
      <c r="BA744" s="3">
        <v>0.85011159999999997</v>
      </c>
      <c r="BB744" s="3">
        <v>0.84311190000000003</v>
      </c>
      <c r="BC744" s="3">
        <v>0.83678529999999995</v>
      </c>
      <c r="BD744" s="3">
        <v>0.83110059999999997</v>
      </c>
      <c r="BE744" s="3">
        <v>0.8260265</v>
      </c>
      <c r="BF744" s="3">
        <v>0.82153180000000003</v>
      </c>
      <c r="BG744" s="3">
        <v>0.81758529999999996</v>
      </c>
      <c r="BH744" s="3">
        <v>0.81415570000000004</v>
      </c>
      <c r="BI744" s="3">
        <v>0.81121180000000004</v>
      </c>
      <c r="BJ744" s="3">
        <v>0.80872239999999995</v>
      </c>
      <c r="BK744" s="3">
        <v>0.80665620000000005</v>
      </c>
      <c r="BL744" s="3">
        <v>0.80498199999999998</v>
      </c>
      <c r="BM744" s="3" t="e">
        <v>#N/A</v>
      </c>
      <c r="BN744" s="3" t="e">
        <v>#N/A</v>
      </c>
    </row>
    <row r="745" spans="1:66" x14ac:dyDescent="0.35">
      <c r="A745" s="5">
        <f t="shared" si="11"/>
        <v>44497</v>
      </c>
      <c r="B745" t="s">
        <v>822</v>
      </c>
      <c r="C745" s="2">
        <v>0.1</v>
      </c>
      <c r="D745" s="2">
        <v>4.8099999999999997E-2</v>
      </c>
      <c r="E745" s="3">
        <v>0.2202828</v>
      </c>
      <c r="F745" s="3">
        <v>0.33815450000000002</v>
      </c>
      <c r="G745" s="3">
        <v>0.47040490000000001</v>
      </c>
      <c r="H745" s="3">
        <v>0.60271980000000003</v>
      </c>
      <c r="I745" s="3">
        <v>0.72187570000000001</v>
      </c>
      <c r="J745" s="3">
        <v>0.82583419999999996</v>
      </c>
      <c r="K745" s="3">
        <v>0.91602119999999998</v>
      </c>
      <c r="L745" s="3">
        <v>0.99375000000000002</v>
      </c>
      <c r="M745" s="3">
        <v>1.0601149000000001</v>
      </c>
      <c r="N745" s="3">
        <v>1.1157286</v>
      </c>
      <c r="O745" s="3">
        <v>1.1611210000000001</v>
      </c>
      <c r="P745" s="3">
        <v>1.1965857</v>
      </c>
      <c r="Q745" s="3">
        <v>1.2224737999999999</v>
      </c>
      <c r="R745" s="3">
        <v>1.2399363999999999</v>
      </c>
      <c r="S745" s="3">
        <v>1.2503299000000001</v>
      </c>
      <c r="T745" s="3">
        <v>1.2550102999999999</v>
      </c>
      <c r="U745" s="3">
        <v>1.2553338999999999</v>
      </c>
      <c r="V745" s="3">
        <v>1.2526569999999999</v>
      </c>
      <c r="W745" s="3">
        <v>1.2481281</v>
      </c>
      <c r="X745" s="3">
        <v>1.2421059999999999</v>
      </c>
      <c r="Y745" s="3">
        <v>1.2347613</v>
      </c>
      <c r="Z745" s="3">
        <v>1.2262645999999999</v>
      </c>
      <c r="AA745" s="3">
        <v>1.2167866000000001</v>
      </c>
      <c r="AB745" s="3">
        <v>1.2064979</v>
      </c>
      <c r="AC745" s="3">
        <v>1.1955559</v>
      </c>
      <c r="AD745" s="3">
        <v>1.1840533</v>
      </c>
      <c r="AE745" s="3">
        <v>1.1720630000000001</v>
      </c>
      <c r="AF745" s="3">
        <v>1.1596580000000001</v>
      </c>
      <c r="AG745" s="3">
        <v>1.1469114</v>
      </c>
      <c r="AH745" s="3">
        <v>1.1338961999999999</v>
      </c>
      <c r="AI745" s="3">
        <v>1.1206853000000001</v>
      </c>
      <c r="AJ745" s="3">
        <v>1.1073516999999999</v>
      </c>
      <c r="AK745" s="3">
        <v>1.0939684000000001</v>
      </c>
      <c r="AL745" s="3">
        <v>1.0806085000000001</v>
      </c>
      <c r="AM745" s="3">
        <v>1.0673448999999999</v>
      </c>
      <c r="AN745" s="3">
        <v>1.0542505</v>
      </c>
      <c r="AO745" s="3">
        <v>1.0413905999999999</v>
      </c>
      <c r="AP745" s="3">
        <v>1.0287949000000001</v>
      </c>
      <c r="AQ745" s="3">
        <v>1.0164835999999999</v>
      </c>
      <c r="AR745" s="3">
        <v>1.0044770000000001</v>
      </c>
      <c r="AS745" s="3">
        <v>0.99279530000000005</v>
      </c>
      <c r="AT745" s="3">
        <v>0.98145870000000002</v>
      </c>
      <c r="AU745" s="3">
        <v>0.9704874</v>
      </c>
      <c r="AV745" s="3">
        <v>0.95990149999999996</v>
      </c>
      <c r="AW745" s="3">
        <v>0.94972140000000005</v>
      </c>
      <c r="AX745" s="3">
        <v>0.9399672</v>
      </c>
      <c r="AY745" s="3">
        <v>0.93065920000000002</v>
      </c>
      <c r="AZ745" s="3">
        <v>0.92181749999999996</v>
      </c>
      <c r="BA745" s="3">
        <v>0.91345719999999997</v>
      </c>
      <c r="BB745" s="3">
        <v>0.90557069999999995</v>
      </c>
      <c r="BC745" s="3">
        <v>0.89814430000000001</v>
      </c>
      <c r="BD745" s="3">
        <v>0.89116410000000001</v>
      </c>
      <c r="BE745" s="3">
        <v>0.88461630000000002</v>
      </c>
      <c r="BF745" s="3">
        <v>0.87848700000000002</v>
      </c>
      <c r="BG745" s="3">
        <v>0.87276240000000005</v>
      </c>
      <c r="BH745" s="3">
        <v>0.86742870000000005</v>
      </c>
      <c r="BI745" s="3">
        <v>0.86247220000000002</v>
      </c>
      <c r="BJ745" s="3">
        <v>0.8578789</v>
      </c>
      <c r="BK745" s="3">
        <v>0.85363500000000003</v>
      </c>
      <c r="BL745" s="3">
        <v>0.84972669999999995</v>
      </c>
      <c r="BM745" s="3" t="e">
        <v>#N/A</v>
      </c>
      <c r="BN745" s="3" t="e">
        <v>#N/A</v>
      </c>
    </row>
    <row r="746" spans="1:66" x14ac:dyDescent="0.35">
      <c r="A746" s="5">
        <f t="shared" si="11"/>
        <v>44498</v>
      </c>
      <c r="B746" t="s">
        <v>823</v>
      </c>
      <c r="C746" s="2">
        <v>0.1</v>
      </c>
      <c r="D746" s="2">
        <v>5.0299999999999997E-2</v>
      </c>
      <c r="E746" s="3">
        <v>0.20965529999999999</v>
      </c>
      <c r="F746" s="3">
        <v>0.31103029999999998</v>
      </c>
      <c r="G746" s="3">
        <v>0.44329299999999999</v>
      </c>
      <c r="H746" s="3">
        <v>0.58471819999999997</v>
      </c>
      <c r="I746" s="3">
        <v>0.71455210000000002</v>
      </c>
      <c r="J746" s="3">
        <v>0.82787029999999995</v>
      </c>
      <c r="K746" s="3">
        <v>0.92539450000000001</v>
      </c>
      <c r="L746" s="3">
        <v>1.0081522000000001</v>
      </c>
      <c r="M746" s="3">
        <v>1.0779015000000001</v>
      </c>
      <c r="N746" s="3">
        <v>1.1361618</v>
      </c>
      <c r="O746" s="3">
        <v>1.1841372999999999</v>
      </c>
      <c r="P746" s="3">
        <v>1.2229462</v>
      </c>
      <c r="Q746" s="3">
        <v>1.2537512</v>
      </c>
      <c r="R746" s="3">
        <v>1.2774361000000001</v>
      </c>
      <c r="S746" s="3">
        <v>1.2947892000000001</v>
      </c>
      <c r="T746" s="3">
        <v>1.3065989</v>
      </c>
      <c r="U746" s="3">
        <v>1.3136536000000001</v>
      </c>
      <c r="V746" s="3">
        <v>1.3167418</v>
      </c>
      <c r="W746" s="3">
        <v>1.3165994000000001</v>
      </c>
      <c r="X746" s="3">
        <v>1.3136939000000001</v>
      </c>
      <c r="Y746" s="3">
        <v>1.3084072</v>
      </c>
      <c r="Z746" s="3">
        <v>1.301121</v>
      </c>
      <c r="AA746" s="3">
        <v>1.2922169999999999</v>
      </c>
      <c r="AB746" s="3">
        <v>1.2820769999999999</v>
      </c>
      <c r="AC746" s="3">
        <v>1.2710399999999999</v>
      </c>
      <c r="AD746" s="3">
        <v>1.2592566999999999</v>
      </c>
      <c r="AE746" s="3">
        <v>1.2468256</v>
      </c>
      <c r="AF746" s="3">
        <v>1.2338453</v>
      </c>
      <c r="AG746" s="3">
        <v>1.2204146</v>
      </c>
      <c r="AH746" s="3">
        <v>1.2066319000000001</v>
      </c>
      <c r="AI746" s="3">
        <v>1.1925958999999999</v>
      </c>
      <c r="AJ746" s="3">
        <v>1.1784051</v>
      </c>
      <c r="AK746" s="3">
        <v>1.1641583</v>
      </c>
      <c r="AL746" s="3">
        <v>1.1499539999999999</v>
      </c>
      <c r="AM746" s="3">
        <v>1.1358908000000001</v>
      </c>
      <c r="AN746" s="3">
        <v>1.1220673000000001</v>
      </c>
      <c r="AO746" s="3">
        <v>1.1085684</v>
      </c>
      <c r="AP746" s="3">
        <v>1.0954188</v>
      </c>
      <c r="AQ746" s="3">
        <v>1.0826262</v>
      </c>
      <c r="AR746" s="3">
        <v>1.0701986000000001</v>
      </c>
      <c r="AS746" s="3">
        <v>1.0581438000000001</v>
      </c>
      <c r="AT746" s="3">
        <v>1.0464697999999999</v>
      </c>
      <c r="AU746" s="3">
        <v>1.0351843999999999</v>
      </c>
      <c r="AV746" s="3">
        <v>1.0242955</v>
      </c>
      <c r="AW746" s="3">
        <v>1.013811</v>
      </c>
      <c r="AX746" s="3">
        <v>1.0037388</v>
      </c>
      <c r="AY746" s="3">
        <v>0.99408680000000005</v>
      </c>
      <c r="AZ746" s="3">
        <v>0.98486280000000004</v>
      </c>
      <c r="BA746" s="3">
        <v>0.97607219999999995</v>
      </c>
      <c r="BB746" s="3">
        <v>0.9677095</v>
      </c>
      <c r="BC746" s="3">
        <v>0.95976609999999996</v>
      </c>
      <c r="BD746" s="3">
        <v>0.9522332</v>
      </c>
      <c r="BE746" s="3">
        <v>0.9451022</v>
      </c>
      <c r="BF746" s="3">
        <v>0.93836450000000005</v>
      </c>
      <c r="BG746" s="3">
        <v>0.93201149999999999</v>
      </c>
      <c r="BH746" s="3">
        <v>0.92603449999999998</v>
      </c>
      <c r="BI746" s="3">
        <v>0.92042500000000005</v>
      </c>
      <c r="BJ746" s="3">
        <v>0.91517409999999999</v>
      </c>
      <c r="BK746" s="3">
        <v>0.91027340000000001</v>
      </c>
      <c r="BL746" s="3">
        <v>0.90571420000000002</v>
      </c>
      <c r="BM746" s="3" t="e">
        <v>#N/A</v>
      </c>
      <c r="BN746" s="3" t="e">
        <v>#N/A</v>
      </c>
    </row>
    <row r="747" spans="1:66" x14ac:dyDescent="0.35">
      <c r="A747" s="5">
        <f t="shared" si="11"/>
        <v>44501</v>
      </c>
      <c r="B747" t="s">
        <v>824</v>
      </c>
      <c r="C747" s="2">
        <v>0.1</v>
      </c>
      <c r="D747" s="2">
        <v>4.7699999999999999E-2</v>
      </c>
      <c r="E747" s="3">
        <v>0.21981129999999999</v>
      </c>
      <c r="F747" s="3">
        <v>0.33320260000000002</v>
      </c>
      <c r="G747" s="3">
        <v>0.46080320000000002</v>
      </c>
      <c r="H747" s="3">
        <v>0.59168929999999997</v>
      </c>
      <c r="I747" s="3">
        <v>0.71394760000000002</v>
      </c>
      <c r="J747" s="3">
        <v>0.82423239999999998</v>
      </c>
      <c r="K747" s="3">
        <v>0.92151959999999999</v>
      </c>
      <c r="L747" s="3">
        <v>1.0049793</v>
      </c>
      <c r="M747" s="3">
        <v>1.0754731</v>
      </c>
      <c r="N747" s="3">
        <v>1.1339528999999999</v>
      </c>
      <c r="O747" s="3">
        <v>1.1814594</v>
      </c>
      <c r="P747" s="3">
        <v>1.2194058999999999</v>
      </c>
      <c r="Q747" s="3">
        <v>1.2495826999999999</v>
      </c>
      <c r="R747" s="3">
        <v>1.2729858000000001</v>
      </c>
      <c r="S747" s="3">
        <v>1.2903720999999999</v>
      </c>
      <c r="T747" s="3">
        <v>1.3024985</v>
      </c>
      <c r="U747" s="3">
        <v>1.3101219</v>
      </c>
      <c r="V747" s="3">
        <v>1.3139993999999999</v>
      </c>
      <c r="W747" s="3">
        <v>1.3148097000000001</v>
      </c>
      <c r="X747" s="3">
        <v>1.312934</v>
      </c>
      <c r="Y747" s="3">
        <v>1.3086827000000001</v>
      </c>
      <c r="Z747" s="3">
        <v>1.3023659999999999</v>
      </c>
      <c r="AA747" s="3">
        <v>1.2942944999999999</v>
      </c>
      <c r="AB747" s="3">
        <v>1.2847782999999999</v>
      </c>
      <c r="AC747" s="3">
        <v>1.2740975999999999</v>
      </c>
      <c r="AD747" s="3">
        <v>1.2624105999999999</v>
      </c>
      <c r="AE747" s="3">
        <v>1.2498457000000001</v>
      </c>
      <c r="AF747" s="3">
        <v>1.2365307000000001</v>
      </c>
      <c r="AG747" s="3">
        <v>1.2225937</v>
      </c>
      <c r="AH747" s="3">
        <v>1.2081630000000001</v>
      </c>
      <c r="AI747" s="3">
        <v>1.1933663999999999</v>
      </c>
      <c r="AJ747" s="3">
        <v>1.1783322000000001</v>
      </c>
      <c r="AK747" s="3">
        <v>1.1631883000000001</v>
      </c>
      <c r="AL747" s="3">
        <v>1.1480627999999999</v>
      </c>
      <c r="AM747" s="3">
        <v>1.1330838999999999</v>
      </c>
      <c r="AN747" s="3">
        <v>1.1183795999999999</v>
      </c>
      <c r="AO747" s="3">
        <v>1.1040597999999999</v>
      </c>
      <c r="AP747" s="3">
        <v>1.0901548999999999</v>
      </c>
      <c r="AQ747" s="3">
        <v>1.0766731</v>
      </c>
      <c r="AR747" s="3">
        <v>1.0636227</v>
      </c>
      <c r="AS747" s="3">
        <v>1.0510119</v>
      </c>
      <c r="AT747" s="3">
        <v>1.0388489999999999</v>
      </c>
      <c r="AU747" s="3">
        <v>1.0271421000000001</v>
      </c>
      <c r="AV747" s="3">
        <v>1.0158997000000001</v>
      </c>
      <c r="AW747" s="3">
        <v>1.0051298</v>
      </c>
      <c r="AX747" s="3">
        <v>0.99484090000000003</v>
      </c>
      <c r="AY747" s="3">
        <v>0.98504100000000006</v>
      </c>
      <c r="AZ747" s="3">
        <v>0.97573860000000001</v>
      </c>
      <c r="BA747" s="3">
        <v>0.96693899999999999</v>
      </c>
      <c r="BB747" s="3">
        <v>0.9586327</v>
      </c>
      <c r="BC747" s="3">
        <v>0.95080529999999996</v>
      </c>
      <c r="BD747" s="3">
        <v>0.94344220000000001</v>
      </c>
      <c r="BE747" s="3">
        <v>0.9365289</v>
      </c>
      <c r="BF747" s="3">
        <v>0.93005090000000001</v>
      </c>
      <c r="BG747" s="3">
        <v>0.92399359999999997</v>
      </c>
      <c r="BH747" s="3">
        <v>0.91834260000000001</v>
      </c>
      <c r="BI747" s="3">
        <v>0.91308330000000004</v>
      </c>
      <c r="BJ747" s="3">
        <v>0.90820129999999999</v>
      </c>
      <c r="BK747" s="3">
        <v>0.90368190000000004</v>
      </c>
      <c r="BL747" s="3">
        <v>0.8995107</v>
      </c>
      <c r="BM747" s="3" t="e">
        <v>#N/A</v>
      </c>
      <c r="BN747" s="3" t="e">
        <v>#N/A</v>
      </c>
    </row>
    <row r="748" spans="1:66" x14ac:dyDescent="0.35">
      <c r="A748" s="5">
        <f t="shared" si="11"/>
        <v>44502</v>
      </c>
      <c r="B748" t="s">
        <v>825</v>
      </c>
      <c r="C748" s="2">
        <v>0.1</v>
      </c>
      <c r="D748" s="2">
        <v>4.8000000000000001E-2</v>
      </c>
      <c r="E748" s="3">
        <v>0.21890609999999999</v>
      </c>
      <c r="F748" s="3">
        <v>0.31867479999999998</v>
      </c>
      <c r="G748" s="3">
        <v>0.43611070000000002</v>
      </c>
      <c r="H748" s="3">
        <v>0.55832479999999995</v>
      </c>
      <c r="I748" s="3">
        <v>0.67003970000000002</v>
      </c>
      <c r="J748" s="3">
        <v>0.76773519999999995</v>
      </c>
      <c r="K748" s="3">
        <v>0.85168169999999999</v>
      </c>
      <c r="L748" s="3">
        <v>0.92400899999999997</v>
      </c>
      <c r="M748" s="3">
        <v>0.98648159999999996</v>
      </c>
      <c r="N748" s="3">
        <v>1.0399811999999999</v>
      </c>
      <c r="O748" s="3">
        <v>1.0848776</v>
      </c>
      <c r="P748" s="3">
        <v>1.1219862</v>
      </c>
      <c r="Q748" s="3">
        <v>1.1525377000000001</v>
      </c>
      <c r="R748" s="3">
        <v>1.1772670000000001</v>
      </c>
      <c r="S748" s="3">
        <v>1.1967547000000001</v>
      </c>
      <c r="T748" s="3">
        <v>1.2115815999999999</v>
      </c>
      <c r="U748" s="3">
        <v>1.2223284000000001</v>
      </c>
      <c r="V748" s="3">
        <v>1.2295758000000001</v>
      </c>
      <c r="W748" s="3">
        <v>1.2338484999999999</v>
      </c>
      <c r="X748" s="3">
        <v>1.2354780999999999</v>
      </c>
      <c r="Y748" s="3">
        <v>1.2347542</v>
      </c>
      <c r="Z748" s="3">
        <v>1.2319667000000001</v>
      </c>
      <c r="AA748" s="3">
        <v>1.2274054000000001</v>
      </c>
      <c r="AB748" s="3">
        <v>1.2213601999999999</v>
      </c>
      <c r="AC748" s="3">
        <v>1.2140932</v>
      </c>
      <c r="AD748" s="3">
        <v>1.2057564999999999</v>
      </c>
      <c r="AE748" s="3">
        <v>1.1964745999999999</v>
      </c>
      <c r="AF748" s="3">
        <v>1.1863721</v>
      </c>
      <c r="AG748" s="3">
        <v>1.1755735</v>
      </c>
      <c r="AH748" s="3">
        <v>1.1642032</v>
      </c>
      <c r="AI748" s="3">
        <v>1.1523858</v>
      </c>
      <c r="AJ748" s="3">
        <v>1.1402459</v>
      </c>
      <c r="AK748" s="3">
        <v>1.1279078</v>
      </c>
      <c r="AL748" s="3">
        <v>1.1154961000000001</v>
      </c>
      <c r="AM748" s="3">
        <v>1.1031352999999999</v>
      </c>
      <c r="AN748" s="3">
        <v>1.0909500000000001</v>
      </c>
      <c r="AO748" s="3">
        <v>1.0790508000000001</v>
      </c>
      <c r="AP748" s="3">
        <v>1.067474</v>
      </c>
      <c r="AQ748" s="3">
        <v>1.0562309999999999</v>
      </c>
      <c r="AR748" s="3">
        <v>1.0453330999999999</v>
      </c>
      <c r="AS748" s="3">
        <v>1.0347915999999999</v>
      </c>
      <c r="AT748" s="3">
        <v>1.0246179</v>
      </c>
      <c r="AU748" s="3">
        <v>1.0148231999999999</v>
      </c>
      <c r="AV748" s="3">
        <v>1.0054189</v>
      </c>
      <c r="AW748" s="3">
        <v>0.99641639999999998</v>
      </c>
      <c r="AX748" s="3">
        <v>0.98782689999999995</v>
      </c>
      <c r="AY748" s="3">
        <v>0.97966169999999997</v>
      </c>
      <c r="AZ748" s="3">
        <v>0.97193229999999997</v>
      </c>
      <c r="BA748" s="3">
        <v>0.96464700000000003</v>
      </c>
      <c r="BB748" s="3">
        <v>0.95780030000000005</v>
      </c>
      <c r="BC748" s="3">
        <v>0.95138230000000001</v>
      </c>
      <c r="BD748" s="3">
        <v>0.94538299999999997</v>
      </c>
      <c r="BE748" s="3">
        <v>0.93979270000000004</v>
      </c>
      <c r="BF748" s="3">
        <v>0.93460149999999997</v>
      </c>
      <c r="BG748" s="3">
        <v>0.92979940000000005</v>
      </c>
      <c r="BH748" s="3">
        <v>0.92537670000000005</v>
      </c>
      <c r="BI748" s="3">
        <v>0.92132340000000001</v>
      </c>
      <c r="BJ748" s="3">
        <v>0.91762969999999999</v>
      </c>
      <c r="BK748" s="3">
        <v>0.91428569999999998</v>
      </c>
      <c r="BL748" s="3">
        <v>0.91128140000000002</v>
      </c>
      <c r="BM748" s="3" t="e">
        <v>#N/A</v>
      </c>
      <c r="BN748" s="3" t="e">
        <v>#N/A</v>
      </c>
    </row>
    <row r="749" spans="1:66" x14ac:dyDescent="0.35">
      <c r="A749" s="5">
        <f t="shared" si="11"/>
        <v>44503</v>
      </c>
      <c r="B749" t="s">
        <v>826</v>
      </c>
      <c r="C749" s="2">
        <v>0.1</v>
      </c>
      <c r="D749" s="2">
        <v>4.8099999999999997E-2</v>
      </c>
      <c r="E749" s="3">
        <v>0.2233783</v>
      </c>
      <c r="F749" s="3">
        <v>0.337951</v>
      </c>
      <c r="G749" s="3">
        <v>0.46290160000000002</v>
      </c>
      <c r="H749" s="3">
        <v>0.58461289999999999</v>
      </c>
      <c r="I749" s="3">
        <v>0.69252720000000001</v>
      </c>
      <c r="J749" s="3">
        <v>0.78745560000000003</v>
      </c>
      <c r="K749" s="3">
        <v>0.8719268</v>
      </c>
      <c r="L749" s="3">
        <v>0.94753469999999995</v>
      </c>
      <c r="M749" s="3">
        <v>1.0149760999999999</v>
      </c>
      <c r="N749" s="3">
        <v>1.0739821000000001</v>
      </c>
      <c r="O749" s="3">
        <v>1.1244708999999999</v>
      </c>
      <c r="P749" s="3">
        <v>1.1665757000000001</v>
      </c>
      <c r="Q749" s="3">
        <v>1.2010239</v>
      </c>
      <c r="R749" s="3">
        <v>1.2285918</v>
      </c>
      <c r="S749" s="3">
        <v>1.2500301</v>
      </c>
      <c r="T749" s="3">
        <v>1.2660895000000001</v>
      </c>
      <c r="U749" s="3">
        <v>1.2775208</v>
      </c>
      <c r="V749" s="3">
        <v>1.2850746</v>
      </c>
      <c r="W749" s="3">
        <v>1.2894186000000001</v>
      </c>
      <c r="X749" s="3">
        <v>1.2909330000000001</v>
      </c>
      <c r="Y749" s="3">
        <v>1.2899362000000001</v>
      </c>
      <c r="Z749" s="3">
        <v>1.2867468</v>
      </c>
      <c r="AA749" s="3">
        <v>1.2816832</v>
      </c>
      <c r="AB749" s="3">
        <v>1.2750638000000001</v>
      </c>
      <c r="AC749" s="3">
        <v>1.2671758</v>
      </c>
      <c r="AD749" s="3">
        <v>1.2581808999999999</v>
      </c>
      <c r="AE749" s="3">
        <v>1.2482097000000001</v>
      </c>
      <c r="AF749" s="3">
        <v>1.2373927</v>
      </c>
      <c r="AG749" s="3">
        <v>1.2258605</v>
      </c>
      <c r="AH749" s="3">
        <v>1.2137435000000001</v>
      </c>
      <c r="AI749" s="3">
        <v>1.2011722</v>
      </c>
      <c r="AJ749" s="3">
        <v>1.1882773</v>
      </c>
      <c r="AK749" s="3">
        <v>1.1751891999999999</v>
      </c>
      <c r="AL749" s="3">
        <v>1.1620383000000001</v>
      </c>
      <c r="AM749" s="3">
        <v>1.1489554</v>
      </c>
      <c r="AN749" s="3">
        <v>1.1360707000000001</v>
      </c>
      <c r="AO749" s="3">
        <v>1.1234991000000001</v>
      </c>
      <c r="AP749" s="3">
        <v>1.1112774000000001</v>
      </c>
      <c r="AQ749" s="3">
        <v>1.0994192</v>
      </c>
      <c r="AR749" s="3">
        <v>1.0879378</v>
      </c>
      <c r="AS749" s="3">
        <v>1.0768466999999999</v>
      </c>
      <c r="AT749" s="3">
        <v>1.0661593</v>
      </c>
      <c r="AU749" s="3">
        <v>1.0558890999999999</v>
      </c>
      <c r="AV749" s="3">
        <v>1.0460495000000001</v>
      </c>
      <c r="AW749" s="3">
        <v>1.0366538000000001</v>
      </c>
      <c r="AX749" s="3">
        <v>1.0277156000000001</v>
      </c>
      <c r="AY749" s="3">
        <v>1.0192483000000001</v>
      </c>
      <c r="AZ749" s="3">
        <v>1.0112652</v>
      </c>
      <c r="BA749" s="3">
        <v>1.0037756</v>
      </c>
      <c r="BB749" s="3">
        <v>0.99676929999999997</v>
      </c>
      <c r="BC749" s="3">
        <v>0.99023099999999997</v>
      </c>
      <c r="BD749" s="3">
        <v>0.98414539999999995</v>
      </c>
      <c r="BE749" s="3">
        <v>0.97849710000000001</v>
      </c>
      <c r="BF749" s="3">
        <v>0.97327090000000005</v>
      </c>
      <c r="BG749" s="3">
        <v>0.96845150000000002</v>
      </c>
      <c r="BH749" s="3">
        <v>0.96402339999999997</v>
      </c>
      <c r="BI749" s="3">
        <v>0.95997140000000003</v>
      </c>
      <c r="BJ749" s="3">
        <v>0.95628020000000002</v>
      </c>
      <c r="BK749" s="3">
        <v>0.95293430000000001</v>
      </c>
      <c r="BL749" s="3">
        <v>0.94991859999999995</v>
      </c>
      <c r="BM749" s="3" t="e">
        <v>#N/A</v>
      </c>
      <c r="BN749" s="3" t="e">
        <v>#N/A</v>
      </c>
    </row>
    <row r="750" spans="1:66" x14ac:dyDescent="0.35">
      <c r="A750" s="5">
        <f t="shared" si="11"/>
        <v>44504</v>
      </c>
      <c r="B750" t="s">
        <v>827</v>
      </c>
      <c r="C750" s="2">
        <v>0.1</v>
      </c>
      <c r="D750" s="2">
        <v>4.8300000000000003E-2</v>
      </c>
      <c r="E750" s="3">
        <v>7.4403800000000006E-2</v>
      </c>
      <c r="F750" s="3">
        <v>0.17474770000000001</v>
      </c>
      <c r="G750" s="3">
        <v>0.2806052</v>
      </c>
      <c r="H750" s="3">
        <v>0.38394460000000002</v>
      </c>
      <c r="I750" s="3">
        <v>0.47858030000000001</v>
      </c>
      <c r="J750" s="3">
        <v>0.56513460000000004</v>
      </c>
      <c r="K750" s="3">
        <v>0.6443065</v>
      </c>
      <c r="L750" s="3">
        <v>0.7155319</v>
      </c>
      <c r="M750" s="3">
        <v>0.77883740000000001</v>
      </c>
      <c r="N750" s="3">
        <v>0.83410039999999996</v>
      </c>
      <c r="O750" s="3">
        <v>0.88153009999999998</v>
      </c>
      <c r="P750" s="3">
        <v>0.92163090000000003</v>
      </c>
      <c r="Q750" s="3">
        <v>0.95530590000000004</v>
      </c>
      <c r="R750" s="3">
        <v>0.98323839999999996</v>
      </c>
      <c r="S750" s="3">
        <v>1.0060293</v>
      </c>
      <c r="T750" s="3">
        <v>1.0242796000000001</v>
      </c>
      <c r="U750" s="3">
        <v>1.0385901</v>
      </c>
      <c r="V750" s="3">
        <v>1.0495619</v>
      </c>
      <c r="W750" s="3">
        <v>1.0577344</v>
      </c>
      <c r="X750" s="3">
        <v>1.0634347</v>
      </c>
      <c r="Y750" s="3">
        <v>1.0669441</v>
      </c>
      <c r="Z750" s="3">
        <v>1.0685439999999999</v>
      </c>
      <c r="AA750" s="3">
        <v>1.0685157999999999</v>
      </c>
      <c r="AB750" s="3">
        <v>1.0671408</v>
      </c>
      <c r="AC750" s="3">
        <v>1.0646764</v>
      </c>
      <c r="AD750" s="3">
        <v>1.0612623999999999</v>
      </c>
      <c r="AE750" s="3">
        <v>1.0570032</v>
      </c>
      <c r="AF750" s="3">
        <v>1.052003</v>
      </c>
      <c r="AG750" s="3">
        <v>1.0463661</v>
      </c>
      <c r="AH750" s="3">
        <v>1.0401967000000001</v>
      </c>
      <c r="AI750" s="3">
        <v>1.0335992000000001</v>
      </c>
      <c r="AJ750" s="3">
        <v>1.0266778000000001</v>
      </c>
      <c r="AK750" s="3">
        <v>1.0195368</v>
      </c>
      <c r="AL750" s="3">
        <v>1.0122804000000001</v>
      </c>
      <c r="AM750" s="3">
        <v>1.0050129000000001</v>
      </c>
      <c r="AN750" s="3">
        <v>0.99783860000000002</v>
      </c>
      <c r="AO750" s="3">
        <v>0.99084729999999999</v>
      </c>
      <c r="AP750" s="3">
        <v>0.98406570000000004</v>
      </c>
      <c r="AQ750" s="3">
        <v>0.97750280000000001</v>
      </c>
      <c r="AR750" s="3">
        <v>0.97116749999999996</v>
      </c>
      <c r="AS750" s="3">
        <v>0.96506910000000001</v>
      </c>
      <c r="AT750" s="3">
        <v>0.95921639999999997</v>
      </c>
      <c r="AU750" s="3">
        <v>0.95361859999999998</v>
      </c>
      <c r="AV750" s="3">
        <v>0.94828469999999998</v>
      </c>
      <c r="AW750" s="3">
        <v>0.94322379999999995</v>
      </c>
      <c r="AX750" s="3">
        <v>0.93844479999999997</v>
      </c>
      <c r="AY750" s="3">
        <v>0.93395689999999998</v>
      </c>
      <c r="AZ750" s="3">
        <v>0.92976910000000001</v>
      </c>
      <c r="BA750" s="3">
        <v>0.92588789999999999</v>
      </c>
      <c r="BB750" s="3">
        <v>0.92230860000000003</v>
      </c>
      <c r="BC750" s="3">
        <v>0.91902329999999999</v>
      </c>
      <c r="BD750" s="3">
        <v>0.91602430000000001</v>
      </c>
      <c r="BE750" s="3">
        <v>0.91330370000000005</v>
      </c>
      <c r="BF750" s="3">
        <v>0.91085369999999999</v>
      </c>
      <c r="BG750" s="3">
        <v>0.90866650000000004</v>
      </c>
      <c r="BH750" s="3">
        <v>0.90673420000000005</v>
      </c>
      <c r="BI750" s="3">
        <v>0.90504899999999999</v>
      </c>
      <c r="BJ750" s="3">
        <v>0.90360320000000005</v>
      </c>
      <c r="BK750" s="3">
        <v>0.90238879999999999</v>
      </c>
      <c r="BL750" s="3">
        <v>0.90139809999999998</v>
      </c>
      <c r="BM750" s="3" t="e">
        <v>#N/A</v>
      </c>
      <c r="BN750" s="3" t="e">
        <v>#N/A</v>
      </c>
    </row>
    <row r="751" spans="1:66" x14ac:dyDescent="0.35">
      <c r="A751" s="5">
        <f t="shared" si="11"/>
        <v>44505</v>
      </c>
      <c r="B751" t="s">
        <v>828</v>
      </c>
      <c r="C751" s="2">
        <v>0.1</v>
      </c>
      <c r="D751" s="2">
        <v>4.6800000000000001E-2</v>
      </c>
      <c r="E751" s="3">
        <v>7.7898099999999998E-2</v>
      </c>
      <c r="F751" s="3">
        <v>0.1747339</v>
      </c>
      <c r="G751" s="3">
        <v>0.2717059</v>
      </c>
      <c r="H751" s="3">
        <v>0.36403410000000003</v>
      </c>
      <c r="I751" s="3">
        <v>0.44945839999999998</v>
      </c>
      <c r="J751" s="3">
        <v>0.53033759999999996</v>
      </c>
      <c r="K751" s="3">
        <v>0.60690940000000004</v>
      </c>
      <c r="L751" s="3">
        <v>0.67726719999999996</v>
      </c>
      <c r="M751" s="3">
        <v>0.74015869999999995</v>
      </c>
      <c r="N751" s="3">
        <v>0.79470039999999997</v>
      </c>
      <c r="O751" s="3">
        <v>0.84068200000000004</v>
      </c>
      <c r="P751" s="3">
        <v>0.87874589999999997</v>
      </c>
      <c r="Q751" s="3">
        <v>0.91007760000000004</v>
      </c>
      <c r="R751" s="3">
        <v>0.93551309999999999</v>
      </c>
      <c r="S751" s="3">
        <v>0.95574619999999999</v>
      </c>
      <c r="T751" s="3">
        <v>0.97147079999999997</v>
      </c>
      <c r="U751" s="3">
        <v>0.98338099999999995</v>
      </c>
      <c r="V751" s="3">
        <v>0.99217040000000001</v>
      </c>
      <c r="W751" s="3">
        <v>0.99844770000000005</v>
      </c>
      <c r="X751" s="3">
        <v>1.0025261000000001</v>
      </c>
      <c r="Y751" s="3">
        <v>1.0046552</v>
      </c>
      <c r="Z751" s="3">
        <v>1.0050848999999999</v>
      </c>
      <c r="AA751" s="3">
        <v>1.0040647</v>
      </c>
      <c r="AB751" s="3">
        <v>1.0018445</v>
      </c>
      <c r="AC751" s="3">
        <v>0.99864949999999997</v>
      </c>
      <c r="AD751" s="3">
        <v>0.99459770000000003</v>
      </c>
      <c r="AE751" s="3">
        <v>0.98977700000000002</v>
      </c>
      <c r="AF751" s="3">
        <v>0.98427569999999998</v>
      </c>
      <c r="AG751" s="3">
        <v>0.97818190000000005</v>
      </c>
      <c r="AH751" s="3">
        <v>0.9715838</v>
      </c>
      <c r="AI751" s="3">
        <v>0.96456949999999997</v>
      </c>
      <c r="AJ751" s="3">
        <v>0.9572271</v>
      </c>
      <c r="AK751" s="3">
        <v>0.94964479999999996</v>
      </c>
      <c r="AL751" s="3">
        <v>0.94191080000000005</v>
      </c>
      <c r="AM751" s="3">
        <v>0.93411310000000003</v>
      </c>
      <c r="AN751" s="3">
        <v>0.92634000000000005</v>
      </c>
      <c r="AO751" s="3">
        <v>0.91866809999999999</v>
      </c>
      <c r="AP751" s="3">
        <v>0.91112340000000003</v>
      </c>
      <c r="AQ751" s="3">
        <v>0.90371800000000002</v>
      </c>
      <c r="AR751" s="3">
        <v>0.89646400000000004</v>
      </c>
      <c r="AS751" s="3">
        <v>0.88937330000000003</v>
      </c>
      <c r="AT751" s="3">
        <v>0.88245810000000002</v>
      </c>
      <c r="AU751" s="3">
        <v>0.87573029999999996</v>
      </c>
      <c r="AV751" s="3">
        <v>0.86920220000000004</v>
      </c>
      <c r="AW751" s="3">
        <v>0.86288560000000003</v>
      </c>
      <c r="AX751" s="3">
        <v>0.85679269999999996</v>
      </c>
      <c r="AY751" s="3">
        <v>0.85093549999999996</v>
      </c>
      <c r="AZ751" s="3">
        <v>0.84532609999999997</v>
      </c>
      <c r="BA751" s="3">
        <v>0.83997409999999995</v>
      </c>
      <c r="BB751" s="3">
        <v>0.83487909999999999</v>
      </c>
      <c r="BC751" s="3">
        <v>0.83003760000000004</v>
      </c>
      <c r="BD751" s="3">
        <v>0.82544609999999996</v>
      </c>
      <c r="BE751" s="3">
        <v>0.82110139999999998</v>
      </c>
      <c r="BF751" s="3">
        <v>0.81699999999999995</v>
      </c>
      <c r="BG751" s="3">
        <v>0.81313840000000004</v>
      </c>
      <c r="BH751" s="3">
        <v>0.80951329999999999</v>
      </c>
      <c r="BI751" s="3">
        <v>0.80612130000000004</v>
      </c>
      <c r="BJ751" s="3">
        <v>0.80295890000000003</v>
      </c>
      <c r="BK751" s="3">
        <v>0.80002280000000003</v>
      </c>
      <c r="BL751" s="3">
        <v>0.7973095</v>
      </c>
      <c r="BM751" s="3" t="e">
        <v>#N/A</v>
      </c>
      <c r="BN751" s="3" t="e">
        <v>#N/A</v>
      </c>
    </row>
    <row r="752" spans="1:66" x14ac:dyDescent="0.35">
      <c r="A752" s="5">
        <f t="shared" si="11"/>
        <v>44508</v>
      </c>
      <c r="B752" t="s">
        <v>829</v>
      </c>
      <c r="C752" s="2">
        <v>0.1</v>
      </c>
      <c r="D752" s="2">
        <v>4.6699999999999998E-2</v>
      </c>
      <c r="E752" s="3">
        <v>8.6332300000000001E-2</v>
      </c>
      <c r="F752" s="3">
        <v>0.1973221</v>
      </c>
      <c r="G752" s="3">
        <v>0.30585200000000001</v>
      </c>
      <c r="H752" s="3">
        <v>0.4090625</v>
      </c>
      <c r="I752" s="3">
        <v>0.50497000000000003</v>
      </c>
      <c r="J752" s="3">
        <v>0.59455809999999998</v>
      </c>
      <c r="K752" s="3">
        <v>0.67745390000000005</v>
      </c>
      <c r="L752" s="3">
        <v>0.75186030000000004</v>
      </c>
      <c r="M752" s="3">
        <v>0.81694</v>
      </c>
      <c r="N752" s="3">
        <v>0.87240150000000005</v>
      </c>
      <c r="O752" s="3">
        <v>0.91861559999999998</v>
      </c>
      <c r="P752" s="3">
        <v>0.95673549999999996</v>
      </c>
      <c r="Q752" s="3">
        <v>0.9884809</v>
      </c>
      <c r="R752" s="3">
        <v>1.0147154</v>
      </c>
      <c r="S752" s="3">
        <v>1.0360377999999999</v>
      </c>
      <c r="T752" s="3">
        <v>1.0530469</v>
      </c>
      <c r="U752" s="3">
        <v>1.0663415000000001</v>
      </c>
      <c r="V752" s="3">
        <v>1.0765203000000001</v>
      </c>
      <c r="W752" s="3">
        <v>1.0840939999999999</v>
      </c>
      <c r="X752" s="3">
        <v>1.089269</v>
      </c>
      <c r="Y752" s="3">
        <v>1.0921860000000001</v>
      </c>
      <c r="Z752" s="3">
        <v>1.0929859</v>
      </c>
      <c r="AA752" s="3">
        <v>1.0918093</v>
      </c>
      <c r="AB752" s="3">
        <v>1.088797</v>
      </c>
      <c r="AC752" s="3">
        <v>1.0840936999999999</v>
      </c>
      <c r="AD752" s="3">
        <v>1.0778589999999999</v>
      </c>
      <c r="AE752" s="3">
        <v>1.0702564999999999</v>
      </c>
      <c r="AF752" s="3">
        <v>1.0614498000000001</v>
      </c>
      <c r="AG752" s="3">
        <v>1.0516023000000001</v>
      </c>
      <c r="AH752" s="3">
        <v>1.0408777</v>
      </c>
      <c r="AI752" s="3">
        <v>1.0294394</v>
      </c>
      <c r="AJ752" s="3">
        <v>1.0174510999999999</v>
      </c>
      <c r="AK752" s="3">
        <v>1.0050762</v>
      </c>
      <c r="AL752" s="3">
        <v>0.99247819999999998</v>
      </c>
      <c r="AM752" s="3">
        <v>0.97982080000000005</v>
      </c>
      <c r="AN752" s="3">
        <v>0.96726749999999995</v>
      </c>
      <c r="AO752" s="3">
        <v>0.95496080000000005</v>
      </c>
      <c r="AP752" s="3">
        <v>0.94295099999999998</v>
      </c>
      <c r="AQ752" s="3">
        <v>0.93126279999999995</v>
      </c>
      <c r="AR752" s="3">
        <v>0.91992070000000004</v>
      </c>
      <c r="AS752" s="3">
        <v>0.90894969999999997</v>
      </c>
      <c r="AT752" s="3">
        <v>0.89837420000000001</v>
      </c>
      <c r="AU752" s="3">
        <v>0.88821899999999998</v>
      </c>
      <c r="AV752" s="3">
        <v>0.87850879999999998</v>
      </c>
      <c r="AW752" s="3">
        <v>0.86926829999999999</v>
      </c>
      <c r="AX752" s="3">
        <v>0.86052220000000001</v>
      </c>
      <c r="AY752" s="3">
        <v>0.85229509999999997</v>
      </c>
      <c r="AZ752" s="3">
        <v>0.84461180000000002</v>
      </c>
      <c r="BA752" s="3">
        <v>0.83749130000000005</v>
      </c>
      <c r="BB752" s="3">
        <v>0.83092220000000006</v>
      </c>
      <c r="BC752" s="3">
        <v>0.82488289999999997</v>
      </c>
      <c r="BD752" s="3">
        <v>0.81935170000000002</v>
      </c>
      <c r="BE752" s="3">
        <v>0.81430720000000001</v>
      </c>
      <c r="BF752" s="3">
        <v>0.80972759999999999</v>
      </c>
      <c r="BG752" s="3">
        <v>0.80559139999999996</v>
      </c>
      <c r="BH752" s="3">
        <v>0.80187699999999995</v>
      </c>
      <c r="BI752" s="3">
        <v>0.79856269999999996</v>
      </c>
      <c r="BJ752" s="3">
        <v>0.79562699999999997</v>
      </c>
      <c r="BK752" s="3">
        <v>0.79304830000000004</v>
      </c>
      <c r="BL752" s="3">
        <v>0.79080479999999997</v>
      </c>
      <c r="BM752" s="3" t="e">
        <v>#N/A</v>
      </c>
      <c r="BN752" s="3" t="e">
        <v>#N/A</v>
      </c>
    </row>
    <row r="753" spans="1:66" x14ac:dyDescent="0.35">
      <c r="A753" s="5">
        <f t="shared" si="11"/>
        <v>44509</v>
      </c>
      <c r="B753" t="s">
        <v>830</v>
      </c>
      <c r="C753" s="2">
        <v>0.1</v>
      </c>
      <c r="D753" s="2">
        <v>4.6800000000000001E-2</v>
      </c>
      <c r="E753" s="3">
        <v>8.4795800000000005E-2</v>
      </c>
      <c r="F753" s="3">
        <v>0.19147330000000001</v>
      </c>
      <c r="G753" s="3">
        <v>0.29717670000000002</v>
      </c>
      <c r="H753" s="3">
        <v>0.39978439999999998</v>
      </c>
      <c r="I753" s="3">
        <v>0.49738579999999999</v>
      </c>
      <c r="J753" s="3">
        <v>0.59027200000000002</v>
      </c>
      <c r="K753" s="3">
        <v>0.6771182</v>
      </c>
      <c r="L753" s="3">
        <v>0.75604950000000004</v>
      </c>
      <c r="M753" s="3">
        <v>0.82594020000000001</v>
      </c>
      <c r="N753" s="3">
        <v>0.88666520000000004</v>
      </c>
      <c r="O753" s="3">
        <v>0.93846739999999995</v>
      </c>
      <c r="P753" s="3">
        <v>0.98231409999999997</v>
      </c>
      <c r="Q753" s="3">
        <v>1.0197588</v>
      </c>
      <c r="R753" s="3">
        <v>1.051501</v>
      </c>
      <c r="S753" s="3">
        <v>1.0779803999999999</v>
      </c>
      <c r="T753" s="3">
        <v>1.0996367</v>
      </c>
      <c r="U753" s="3">
        <v>1.1169098</v>
      </c>
      <c r="V753" s="3">
        <v>1.1302392999999999</v>
      </c>
      <c r="W753" s="3">
        <v>1.1400256</v>
      </c>
      <c r="X753" s="3">
        <v>1.1465337</v>
      </c>
      <c r="Y753" s="3">
        <v>1.1499988999999999</v>
      </c>
      <c r="Z753" s="3">
        <v>1.1506567999999999</v>
      </c>
      <c r="AA753" s="3">
        <v>1.1487430999999999</v>
      </c>
      <c r="AB753" s="3">
        <v>1.1444931</v>
      </c>
      <c r="AC753" s="3">
        <v>1.1381363</v>
      </c>
      <c r="AD753" s="3">
        <v>1.1298779000000001</v>
      </c>
      <c r="AE753" s="3">
        <v>1.1199166</v>
      </c>
      <c r="AF753" s="3">
        <v>1.1084514999999999</v>
      </c>
      <c r="AG753" s="3">
        <v>1.0956815</v>
      </c>
      <c r="AH753" s="3">
        <v>1.0818056</v>
      </c>
      <c r="AI753" s="3">
        <v>1.0670227000000001</v>
      </c>
      <c r="AJ753" s="3">
        <v>1.0515318</v>
      </c>
      <c r="AK753" s="3">
        <v>1.0355316999999999</v>
      </c>
      <c r="AL753" s="3">
        <v>1.0192213999999999</v>
      </c>
      <c r="AM753" s="3">
        <v>1.0027999999999999</v>
      </c>
      <c r="AN753" s="3">
        <v>0.98646619999999996</v>
      </c>
      <c r="AO753" s="3">
        <v>0.97039779999999998</v>
      </c>
      <c r="AP753" s="3">
        <v>0.95465710000000004</v>
      </c>
      <c r="AQ753" s="3">
        <v>0.93926790000000004</v>
      </c>
      <c r="AR753" s="3">
        <v>0.92425400000000002</v>
      </c>
      <c r="AS753" s="3">
        <v>0.90963919999999998</v>
      </c>
      <c r="AT753" s="3">
        <v>0.8954474</v>
      </c>
      <c r="AU753" s="3">
        <v>0.88170230000000005</v>
      </c>
      <c r="AV753" s="3">
        <v>0.86842770000000002</v>
      </c>
      <c r="AW753" s="3">
        <v>0.85564739999999995</v>
      </c>
      <c r="AX753" s="3">
        <v>0.8433851</v>
      </c>
      <c r="AY753" s="3">
        <v>0.83166479999999998</v>
      </c>
      <c r="AZ753" s="3">
        <v>0.82051019999999997</v>
      </c>
      <c r="BA753" s="3">
        <v>0.80993939999999998</v>
      </c>
      <c r="BB753" s="3">
        <v>0.79994319999999997</v>
      </c>
      <c r="BC753" s="3">
        <v>0.79050419999999999</v>
      </c>
      <c r="BD753" s="3">
        <v>0.78160479999999999</v>
      </c>
      <c r="BE753" s="3">
        <v>0.77322749999999996</v>
      </c>
      <c r="BF753" s="3">
        <v>0.7653546</v>
      </c>
      <c r="BG753" s="3">
        <v>0.7579688</v>
      </c>
      <c r="BH753" s="3">
        <v>0.75105239999999995</v>
      </c>
      <c r="BI753" s="3">
        <v>0.74458789999999997</v>
      </c>
      <c r="BJ753" s="3">
        <v>0.73855769999999998</v>
      </c>
      <c r="BK753" s="3">
        <v>0.7329445</v>
      </c>
      <c r="BL753" s="3">
        <v>0.72773049999999995</v>
      </c>
      <c r="BM753" s="3" t="e">
        <v>#N/A</v>
      </c>
      <c r="BN753" s="3" t="e">
        <v>#N/A</v>
      </c>
    </row>
    <row r="754" spans="1:66" x14ac:dyDescent="0.35">
      <c r="A754" s="5">
        <f t="shared" si="11"/>
        <v>44510</v>
      </c>
      <c r="B754" t="s">
        <v>831</v>
      </c>
      <c r="C754" s="2">
        <v>0.1</v>
      </c>
      <c r="D754" s="2">
        <v>4.65E-2</v>
      </c>
      <c r="E754" s="3">
        <v>8.6853899999999998E-2</v>
      </c>
      <c r="F754" s="3">
        <v>0.2011136</v>
      </c>
      <c r="G754" s="3">
        <v>0.31454209999999999</v>
      </c>
      <c r="H754" s="3">
        <v>0.42617359999999999</v>
      </c>
      <c r="I754" s="3">
        <v>0.53376710000000005</v>
      </c>
      <c r="J754" s="3">
        <v>0.63689609999999997</v>
      </c>
      <c r="K754" s="3">
        <v>0.73387069999999999</v>
      </c>
      <c r="L754" s="3">
        <v>0.82281040000000005</v>
      </c>
      <c r="M754" s="3">
        <v>0.90287320000000004</v>
      </c>
      <c r="N754" s="3">
        <v>0.97361940000000002</v>
      </c>
      <c r="O754" s="3">
        <v>1.0350596000000001</v>
      </c>
      <c r="P754" s="3">
        <v>1.0873134</v>
      </c>
      <c r="Q754" s="3">
        <v>1.1312297</v>
      </c>
      <c r="R754" s="3">
        <v>1.1675990999999999</v>
      </c>
      <c r="S754" s="3">
        <v>1.197147</v>
      </c>
      <c r="T754" s="3">
        <v>1.2205986</v>
      </c>
      <c r="U754" s="3">
        <v>1.2386793</v>
      </c>
      <c r="V754" s="3">
        <v>1.2521142999999999</v>
      </c>
      <c r="W754" s="3">
        <v>1.2615638</v>
      </c>
      <c r="X754" s="3">
        <v>1.267463</v>
      </c>
      <c r="Y754" s="3">
        <v>1.2701988</v>
      </c>
      <c r="Z754" s="3">
        <v>1.2701579000000001</v>
      </c>
      <c r="AA754" s="3">
        <v>1.2677271999999999</v>
      </c>
      <c r="AB754" s="3">
        <v>1.2632935000000001</v>
      </c>
      <c r="AC754" s="3">
        <v>1.2572037</v>
      </c>
      <c r="AD754" s="3">
        <v>1.2496463</v>
      </c>
      <c r="AE754" s="3">
        <v>1.2407699000000001</v>
      </c>
      <c r="AF754" s="3">
        <v>1.2307229</v>
      </c>
      <c r="AG754" s="3">
        <v>1.2196539</v>
      </c>
      <c r="AH754" s="3">
        <v>1.2077116000000001</v>
      </c>
      <c r="AI754" s="3">
        <v>1.1950445999999999</v>
      </c>
      <c r="AJ754" s="3">
        <v>1.1818013000000001</v>
      </c>
      <c r="AK754" s="3">
        <v>1.1681303999999999</v>
      </c>
      <c r="AL754" s="3">
        <v>1.1541805000000001</v>
      </c>
      <c r="AM754" s="3">
        <v>1.1400999999999999</v>
      </c>
      <c r="AN754" s="3">
        <v>1.1260376999999999</v>
      </c>
      <c r="AO754" s="3">
        <v>1.112125</v>
      </c>
      <c r="AP754" s="3">
        <v>1.0984096000000001</v>
      </c>
      <c r="AQ754" s="3">
        <v>1.0849142000000001</v>
      </c>
      <c r="AR754" s="3">
        <v>1.0716612000000001</v>
      </c>
      <c r="AS754" s="3">
        <v>1.0586728999999999</v>
      </c>
      <c r="AT754" s="3">
        <v>1.0459719999999999</v>
      </c>
      <c r="AU754" s="3">
        <v>1.0335809</v>
      </c>
      <c r="AV754" s="3">
        <v>1.021522</v>
      </c>
      <c r="AW754" s="3">
        <v>1.0098178</v>
      </c>
      <c r="AX754" s="3">
        <v>0.99849069999999995</v>
      </c>
      <c r="AY754" s="3">
        <v>0.98756330000000003</v>
      </c>
      <c r="AZ754" s="3">
        <v>0.97705799999999998</v>
      </c>
      <c r="BA754" s="3">
        <v>0.96699250000000003</v>
      </c>
      <c r="BB754" s="3">
        <v>0.95736370000000004</v>
      </c>
      <c r="BC754" s="3">
        <v>0.94816259999999997</v>
      </c>
      <c r="BD754" s="3">
        <v>0.9393802</v>
      </c>
      <c r="BE754" s="3">
        <v>0.93100769999999999</v>
      </c>
      <c r="BF754" s="3">
        <v>0.92303610000000003</v>
      </c>
      <c r="BG754" s="3">
        <v>0.91545650000000001</v>
      </c>
      <c r="BH754" s="3">
        <v>0.90825990000000001</v>
      </c>
      <c r="BI754" s="3">
        <v>0.9014373</v>
      </c>
      <c r="BJ754" s="3">
        <v>0.89497990000000005</v>
      </c>
      <c r="BK754" s="3">
        <v>0.88887870000000002</v>
      </c>
      <c r="BL754" s="3">
        <v>0.88312480000000004</v>
      </c>
      <c r="BM754" s="3" t="e">
        <v>#N/A</v>
      </c>
      <c r="BN754" s="3" t="e">
        <v>#N/A</v>
      </c>
    </row>
    <row r="755" spans="1:66" x14ac:dyDescent="0.35">
      <c r="A755" s="5">
        <f t="shared" si="11"/>
        <v>44511</v>
      </c>
      <c r="B755" t="s">
        <v>832</v>
      </c>
      <c r="C755" s="2">
        <v>0.1</v>
      </c>
      <c r="D755" s="2">
        <v>4.6600000000000003E-2</v>
      </c>
      <c r="E755" s="3">
        <v>8.7381799999999996E-2</v>
      </c>
      <c r="F755" s="3">
        <v>0.2012815</v>
      </c>
      <c r="G755" s="3">
        <v>0.30955480000000002</v>
      </c>
      <c r="H755" s="3">
        <v>0.41469850000000003</v>
      </c>
      <c r="I755" s="3">
        <v>0.51812879999999994</v>
      </c>
      <c r="J755" s="3">
        <v>0.62064470000000005</v>
      </c>
      <c r="K755" s="3">
        <v>0.71992880000000004</v>
      </c>
      <c r="L755" s="3">
        <v>0.81257009999999996</v>
      </c>
      <c r="M755" s="3">
        <v>0.89682139999999999</v>
      </c>
      <c r="N755" s="3">
        <v>0.97167119999999996</v>
      </c>
      <c r="O755" s="3">
        <v>1.0368953000000001</v>
      </c>
      <c r="P755" s="3">
        <v>1.0927690000000001</v>
      </c>
      <c r="Q755" s="3">
        <v>1.1401551000000001</v>
      </c>
      <c r="R755" s="3">
        <v>1.1798054</v>
      </c>
      <c r="S755" s="3">
        <v>1.2124086000000001</v>
      </c>
      <c r="T755" s="3">
        <v>1.238653</v>
      </c>
      <c r="U755" s="3">
        <v>1.2592272</v>
      </c>
      <c r="V755" s="3">
        <v>1.2748196000000001</v>
      </c>
      <c r="W755" s="3">
        <v>1.2860674000000001</v>
      </c>
      <c r="X755" s="3">
        <v>1.2934303</v>
      </c>
      <c r="Y755" s="3">
        <v>1.2973296999999999</v>
      </c>
      <c r="Z755" s="3">
        <v>1.2981872000000001</v>
      </c>
      <c r="AA755" s="3">
        <v>1.2964241999999999</v>
      </c>
      <c r="AB755" s="3">
        <v>1.2924621999999999</v>
      </c>
      <c r="AC755" s="3">
        <v>1.2866880999999999</v>
      </c>
      <c r="AD755" s="3">
        <v>1.2793199</v>
      </c>
      <c r="AE755" s="3">
        <v>1.2705245000000001</v>
      </c>
      <c r="AF755" s="3">
        <v>1.2604683999999999</v>
      </c>
      <c r="AG755" s="3">
        <v>1.2493183999999999</v>
      </c>
      <c r="AH755" s="3">
        <v>1.2372413</v>
      </c>
      <c r="AI755" s="3">
        <v>1.2244037000000001</v>
      </c>
      <c r="AJ755" s="3">
        <v>1.2109723999999999</v>
      </c>
      <c r="AK755" s="3">
        <v>1.1971141000000001</v>
      </c>
      <c r="AL755" s="3">
        <v>1.1829954</v>
      </c>
      <c r="AM755" s="3">
        <v>1.1687832</v>
      </c>
      <c r="AN755" s="3">
        <v>1.1546441000000001</v>
      </c>
      <c r="AO755" s="3">
        <v>1.140722</v>
      </c>
      <c r="AP755" s="3">
        <v>1.1270606999999999</v>
      </c>
      <c r="AQ755" s="3">
        <v>1.1136759000000001</v>
      </c>
      <c r="AR755" s="3">
        <v>1.1005834000000001</v>
      </c>
      <c r="AS755" s="3">
        <v>1.0877992999999999</v>
      </c>
      <c r="AT755" s="3">
        <v>1.0753393</v>
      </c>
      <c r="AU755" s="3">
        <v>1.0632193000000001</v>
      </c>
      <c r="AV755" s="3">
        <v>1.0514551000000001</v>
      </c>
      <c r="AW755" s="3">
        <v>1.0400627</v>
      </c>
      <c r="AX755" s="3">
        <v>1.0290579</v>
      </c>
      <c r="AY755" s="3">
        <v>1.0184565999999999</v>
      </c>
      <c r="AZ755" s="3">
        <v>1.0082747000000001</v>
      </c>
      <c r="BA755" s="3">
        <v>0.99852379999999996</v>
      </c>
      <c r="BB755" s="3">
        <v>0.98919729999999995</v>
      </c>
      <c r="BC755" s="3">
        <v>0.98028369999999998</v>
      </c>
      <c r="BD755" s="3">
        <v>0.9717713</v>
      </c>
      <c r="BE755" s="3">
        <v>0.96364830000000001</v>
      </c>
      <c r="BF755" s="3">
        <v>0.95590319999999995</v>
      </c>
      <c r="BG755" s="3">
        <v>0.94852440000000005</v>
      </c>
      <c r="BH755" s="3">
        <v>0.9415</v>
      </c>
      <c r="BI755" s="3">
        <v>0.93481860000000006</v>
      </c>
      <c r="BJ755" s="3">
        <v>0.92846850000000003</v>
      </c>
      <c r="BK755" s="3">
        <v>0.92243799999999998</v>
      </c>
      <c r="BL755" s="3">
        <v>0.91671539999999996</v>
      </c>
      <c r="BM755" s="3" t="e">
        <v>#N/A</v>
      </c>
      <c r="BN755" s="3" t="e">
        <v>#N/A</v>
      </c>
    </row>
    <row r="756" spans="1:66" x14ac:dyDescent="0.35">
      <c r="A756" s="5">
        <f t="shared" si="11"/>
        <v>44512</v>
      </c>
      <c r="B756" t="s">
        <v>833</v>
      </c>
      <c r="C756" s="2">
        <v>0.1</v>
      </c>
      <c r="D756" s="2">
        <v>4.7E-2</v>
      </c>
      <c r="E756" s="3">
        <v>8.7649299999999999E-2</v>
      </c>
      <c r="F756" s="3">
        <v>0.199182</v>
      </c>
      <c r="G756" s="3">
        <v>0.30542079999999999</v>
      </c>
      <c r="H756" s="3">
        <v>0.40984969999999998</v>
      </c>
      <c r="I756" s="3">
        <v>0.51424340000000002</v>
      </c>
      <c r="J756" s="3">
        <v>0.61869649999999998</v>
      </c>
      <c r="K756" s="3">
        <v>0.72019129999999998</v>
      </c>
      <c r="L756" s="3">
        <v>0.81475750000000002</v>
      </c>
      <c r="M756" s="3">
        <v>0.90012049999999999</v>
      </c>
      <c r="N756" s="3">
        <v>0.97496249999999995</v>
      </c>
      <c r="O756" s="3">
        <v>1.0388336</v>
      </c>
      <c r="P756" s="3">
        <v>1.0922548000000001</v>
      </c>
      <c r="Q756" s="3">
        <v>1.1362574000000001</v>
      </c>
      <c r="R756" s="3">
        <v>1.1718392</v>
      </c>
      <c r="S756" s="3">
        <v>1.1999622000000001</v>
      </c>
      <c r="T756" s="3">
        <v>1.2215887000000001</v>
      </c>
      <c r="U756" s="3">
        <v>1.237681</v>
      </c>
      <c r="V756" s="3">
        <v>1.2492011999999999</v>
      </c>
      <c r="W756" s="3">
        <v>1.2569933</v>
      </c>
      <c r="X756" s="3">
        <v>1.2614938</v>
      </c>
      <c r="Y756" s="3">
        <v>1.2630509999999999</v>
      </c>
      <c r="Z756" s="3">
        <v>1.2620137</v>
      </c>
      <c r="AA756" s="3">
        <v>1.2587301</v>
      </c>
      <c r="AB756" s="3">
        <v>1.2535489</v>
      </c>
      <c r="AC756" s="3">
        <v>1.2467885999999999</v>
      </c>
      <c r="AD756" s="3">
        <v>1.2386358</v>
      </c>
      <c r="AE756" s="3">
        <v>1.2292407000000001</v>
      </c>
      <c r="AF756" s="3">
        <v>1.2187535</v>
      </c>
      <c r="AG756" s="3">
        <v>1.2073242</v>
      </c>
      <c r="AH756" s="3">
        <v>1.1951031999999999</v>
      </c>
      <c r="AI756" s="3">
        <v>1.1822404</v>
      </c>
      <c r="AJ756" s="3">
        <v>1.1688862</v>
      </c>
      <c r="AK756" s="3">
        <v>1.1551906999999999</v>
      </c>
      <c r="AL756" s="3">
        <v>1.1413040000000001</v>
      </c>
      <c r="AM756" s="3">
        <v>1.1273763000000001</v>
      </c>
      <c r="AN756" s="3">
        <v>1.1135577999999999</v>
      </c>
      <c r="AO756" s="3">
        <v>1.0999785</v>
      </c>
      <c r="AP756" s="3">
        <v>1.0866798</v>
      </c>
      <c r="AQ756" s="3">
        <v>1.0736783000000001</v>
      </c>
      <c r="AR756" s="3">
        <v>1.060991</v>
      </c>
      <c r="AS756" s="3">
        <v>1.0486344999999999</v>
      </c>
      <c r="AT756" s="3">
        <v>1.0366257999999999</v>
      </c>
      <c r="AU756" s="3">
        <v>1.0249815</v>
      </c>
      <c r="AV756" s="3">
        <v>1.0137183999999999</v>
      </c>
      <c r="AW756" s="3">
        <v>1.0028534</v>
      </c>
      <c r="AX756" s="3">
        <v>0.99240329999999999</v>
      </c>
      <c r="AY756" s="3">
        <v>0.98238479999999995</v>
      </c>
      <c r="AZ756" s="3">
        <v>0.97281470000000003</v>
      </c>
      <c r="BA756" s="3">
        <v>0.96370509999999998</v>
      </c>
      <c r="BB756" s="3">
        <v>0.95504739999999999</v>
      </c>
      <c r="BC756" s="3">
        <v>0.94682719999999998</v>
      </c>
      <c r="BD756" s="3">
        <v>0.93903009999999998</v>
      </c>
      <c r="BE756" s="3">
        <v>0.93164179999999996</v>
      </c>
      <c r="BF756" s="3">
        <v>0.92464789999999997</v>
      </c>
      <c r="BG756" s="3">
        <v>0.91803389999999996</v>
      </c>
      <c r="BH756" s="3">
        <v>0.91178570000000003</v>
      </c>
      <c r="BI756" s="3">
        <v>0.90588869999999999</v>
      </c>
      <c r="BJ756" s="3">
        <v>0.90032860000000003</v>
      </c>
      <c r="BK756" s="3">
        <v>0.89509110000000003</v>
      </c>
      <c r="BL756" s="3">
        <v>0.89016169999999994</v>
      </c>
      <c r="BM756" s="3" t="e">
        <v>#N/A</v>
      </c>
      <c r="BN756" s="3" t="e">
        <v>#N/A</v>
      </c>
    </row>
    <row r="757" spans="1:66" x14ac:dyDescent="0.35">
      <c r="A757" s="5">
        <f t="shared" si="11"/>
        <v>44515</v>
      </c>
      <c r="B757" t="s">
        <v>834</v>
      </c>
      <c r="C757" s="2">
        <v>0.1</v>
      </c>
      <c r="D757" s="2">
        <v>4.7300000000000002E-2</v>
      </c>
      <c r="E757" s="3">
        <v>9.6950700000000001E-2</v>
      </c>
      <c r="F757" s="3">
        <v>0.21745929999999999</v>
      </c>
      <c r="G757" s="3">
        <v>0.32600200000000001</v>
      </c>
      <c r="H757" s="3">
        <v>0.42889139999999998</v>
      </c>
      <c r="I757" s="3">
        <v>0.53127559999999996</v>
      </c>
      <c r="J757" s="3">
        <v>0.63390780000000002</v>
      </c>
      <c r="K757" s="3">
        <v>0.73359379999999996</v>
      </c>
      <c r="L757" s="3">
        <v>0.82587849999999996</v>
      </c>
      <c r="M757" s="3">
        <v>0.90792779999999995</v>
      </c>
      <c r="N757" s="3">
        <v>0.97837750000000001</v>
      </c>
      <c r="O757" s="3">
        <v>1.0372022000000001</v>
      </c>
      <c r="P757" s="3">
        <v>1.0856129000000001</v>
      </c>
      <c r="Q757" s="3">
        <v>1.1257459000000001</v>
      </c>
      <c r="R757" s="3">
        <v>1.1587297999999999</v>
      </c>
      <c r="S757" s="3">
        <v>1.1853648999999999</v>
      </c>
      <c r="T757" s="3">
        <v>1.2064520999999999</v>
      </c>
      <c r="U757" s="3">
        <v>1.2227918</v>
      </c>
      <c r="V757" s="3">
        <v>1.2351846</v>
      </c>
      <c r="W757" s="3">
        <v>1.2443316</v>
      </c>
      <c r="X757" s="3">
        <v>1.2505904999999999</v>
      </c>
      <c r="Y757" s="3">
        <v>1.2542453</v>
      </c>
      <c r="Z757" s="3">
        <v>1.2555795000000001</v>
      </c>
      <c r="AA757" s="3">
        <v>1.2548771000000001</v>
      </c>
      <c r="AB757" s="3">
        <v>1.2524218</v>
      </c>
      <c r="AC757" s="3">
        <v>1.2484723</v>
      </c>
      <c r="AD757" s="3">
        <v>1.2431877</v>
      </c>
      <c r="AE757" s="3">
        <v>1.2367017</v>
      </c>
      <c r="AF757" s="3">
        <v>1.2291483000000001</v>
      </c>
      <c r="AG757" s="3">
        <v>1.2206614</v>
      </c>
      <c r="AH757" s="3">
        <v>1.2113749</v>
      </c>
      <c r="AI757" s="3">
        <v>1.2014227</v>
      </c>
      <c r="AJ757" s="3">
        <v>1.1909387</v>
      </c>
      <c r="AK757" s="3">
        <v>1.1800568</v>
      </c>
      <c r="AL757" s="3">
        <v>1.1689109</v>
      </c>
      <c r="AM757" s="3">
        <v>1.157635</v>
      </c>
      <c r="AN757" s="3">
        <v>1.1463629</v>
      </c>
      <c r="AO757" s="3">
        <v>1.1352111</v>
      </c>
      <c r="AP757" s="3">
        <v>1.1242186999999999</v>
      </c>
      <c r="AQ757" s="3">
        <v>1.1134037000000001</v>
      </c>
      <c r="AR757" s="3">
        <v>1.1027838999999999</v>
      </c>
      <c r="AS757" s="3">
        <v>1.0923772</v>
      </c>
      <c r="AT757" s="3">
        <v>1.0822016000000001</v>
      </c>
      <c r="AU757" s="3">
        <v>1.0722750000000001</v>
      </c>
      <c r="AV757" s="3">
        <v>1.0626152</v>
      </c>
      <c r="AW757" s="3">
        <v>1.0532401</v>
      </c>
      <c r="AX757" s="3">
        <v>1.0441676</v>
      </c>
      <c r="AY757" s="3">
        <v>1.0354156999999999</v>
      </c>
      <c r="AZ757" s="3">
        <v>1.0270022000000001</v>
      </c>
      <c r="BA757" s="3">
        <v>1.0189419</v>
      </c>
      <c r="BB757" s="3">
        <v>1.0112327000000001</v>
      </c>
      <c r="BC757" s="3">
        <v>1.0038670000000001</v>
      </c>
      <c r="BD757" s="3">
        <v>0.99683710000000003</v>
      </c>
      <c r="BE757" s="3">
        <v>0.99013530000000005</v>
      </c>
      <c r="BF757" s="3">
        <v>0.98375389999999996</v>
      </c>
      <c r="BG757" s="3">
        <v>0.97768529999999998</v>
      </c>
      <c r="BH757" s="3">
        <v>0.9719217</v>
      </c>
      <c r="BI757" s="3">
        <v>0.96645539999999996</v>
      </c>
      <c r="BJ757" s="3">
        <v>0.96127879999999999</v>
      </c>
      <c r="BK757" s="3">
        <v>0.95638420000000002</v>
      </c>
      <c r="BL757" s="3">
        <v>0.95176380000000005</v>
      </c>
      <c r="BM757" s="3" t="e">
        <v>#N/A</v>
      </c>
      <c r="BN757" s="3" t="e">
        <v>#N/A</v>
      </c>
    </row>
    <row r="758" spans="1:66" x14ac:dyDescent="0.35">
      <c r="A758" s="5">
        <f t="shared" si="11"/>
        <v>44516</v>
      </c>
      <c r="B758" t="s">
        <v>835</v>
      </c>
      <c r="C758" s="2">
        <v>0.1</v>
      </c>
      <c r="D758" s="2">
        <v>4.65E-2</v>
      </c>
      <c r="E758" s="3">
        <v>0.1032421</v>
      </c>
      <c r="F758" s="3">
        <v>0.2362465</v>
      </c>
      <c r="G758" s="3">
        <v>0.3558113</v>
      </c>
      <c r="H758" s="3">
        <v>0.46958860000000002</v>
      </c>
      <c r="I758" s="3">
        <v>0.58150100000000005</v>
      </c>
      <c r="J758" s="3">
        <v>0.6913608</v>
      </c>
      <c r="K758" s="3">
        <v>0.79622669999999995</v>
      </c>
      <c r="L758" s="3">
        <v>0.89264699999999997</v>
      </c>
      <c r="M758" s="3">
        <v>0.97820039999999997</v>
      </c>
      <c r="N758" s="3">
        <v>1.0521469000000001</v>
      </c>
      <c r="O758" s="3">
        <v>1.1144830999999999</v>
      </c>
      <c r="P758" s="3">
        <v>1.1662311999999999</v>
      </c>
      <c r="Q758" s="3">
        <v>1.2092841999999999</v>
      </c>
      <c r="R758" s="3">
        <v>1.2447245</v>
      </c>
      <c r="S758" s="3">
        <v>1.2733698</v>
      </c>
      <c r="T758" s="3">
        <v>1.2960377999999999</v>
      </c>
      <c r="U758" s="3">
        <v>1.3135462</v>
      </c>
      <c r="V758" s="3">
        <v>1.3267129</v>
      </c>
      <c r="W758" s="3">
        <v>1.3362598000000001</v>
      </c>
      <c r="X758" s="3">
        <v>1.3425787</v>
      </c>
      <c r="Y758" s="3">
        <v>1.3459901999999999</v>
      </c>
      <c r="Z758" s="3">
        <v>1.3468146000000001</v>
      </c>
      <c r="AA758" s="3">
        <v>1.3453725999999999</v>
      </c>
      <c r="AB758" s="3">
        <v>1.3419846</v>
      </c>
      <c r="AC758" s="3">
        <v>1.336943</v>
      </c>
      <c r="AD758" s="3">
        <v>1.3304263000000001</v>
      </c>
      <c r="AE758" s="3">
        <v>1.3225852</v>
      </c>
      <c r="AF758" s="3">
        <v>1.3135699000000001</v>
      </c>
      <c r="AG758" s="3">
        <v>1.303531</v>
      </c>
      <c r="AH758" s="3">
        <v>1.2926188000000001</v>
      </c>
      <c r="AI758" s="3">
        <v>1.2809838</v>
      </c>
      <c r="AJ758" s="3">
        <v>1.2687763999999999</v>
      </c>
      <c r="AK758" s="3">
        <v>1.2561471</v>
      </c>
      <c r="AL758" s="3">
        <v>1.2432462</v>
      </c>
      <c r="AM758" s="3">
        <v>1.2302242000000001</v>
      </c>
      <c r="AN758" s="3">
        <v>1.2172316000000001</v>
      </c>
      <c r="AO758" s="3">
        <v>1.2044025</v>
      </c>
      <c r="AP758" s="3">
        <v>1.1917838999999999</v>
      </c>
      <c r="AQ758" s="3">
        <v>1.1793935</v>
      </c>
      <c r="AR758" s="3">
        <v>1.1672488000000001</v>
      </c>
      <c r="AS758" s="3">
        <v>1.1553675999999999</v>
      </c>
      <c r="AT758" s="3">
        <v>1.1437675</v>
      </c>
      <c r="AU758" s="3">
        <v>1.1324661</v>
      </c>
      <c r="AV758" s="3">
        <v>1.1214811</v>
      </c>
      <c r="AW758" s="3">
        <v>1.1108302000000001</v>
      </c>
      <c r="AX758" s="3">
        <v>1.1005308</v>
      </c>
      <c r="AY758" s="3">
        <v>1.0906009000000001</v>
      </c>
      <c r="AZ758" s="3">
        <v>1.0810578</v>
      </c>
      <c r="BA758" s="3">
        <v>1.0719156999999999</v>
      </c>
      <c r="BB758" s="3">
        <v>1.0631702000000001</v>
      </c>
      <c r="BC758" s="3">
        <v>1.0548118</v>
      </c>
      <c r="BD758" s="3">
        <v>1.0468305</v>
      </c>
      <c r="BE758" s="3">
        <v>1.0392169</v>
      </c>
      <c r="BF758" s="3">
        <v>1.0319609999999999</v>
      </c>
      <c r="BG758" s="3">
        <v>1.0250532999999999</v>
      </c>
      <c r="BH758" s="3">
        <v>1.0184839999999999</v>
      </c>
      <c r="BI758" s="3">
        <v>1.0122433</v>
      </c>
      <c r="BJ758" s="3">
        <v>1.0063215999999999</v>
      </c>
      <c r="BK758" s="3">
        <v>1.0007092</v>
      </c>
      <c r="BL758" s="3">
        <v>0.99539630000000001</v>
      </c>
      <c r="BM758" s="3" t="e">
        <v>#N/A</v>
      </c>
      <c r="BN758" s="3" t="e">
        <v>#N/A</v>
      </c>
    </row>
    <row r="759" spans="1:66" x14ac:dyDescent="0.35">
      <c r="A759" s="5">
        <f t="shared" si="11"/>
        <v>44517</v>
      </c>
      <c r="B759" t="s">
        <v>836</v>
      </c>
      <c r="C759" s="2">
        <v>0.1</v>
      </c>
      <c r="D759" s="2">
        <v>4.6899999999999997E-2</v>
      </c>
      <c r="E759" s="3">
        <v>0.1089695</v>
      </c>
      <c r="F759" s="3">
        <v>0.2294794</v>
      </c>
      <c r="G759" s="3">
        <v>0.33674330000000002</v>
      </c>
      <c r="H759" s="3">
        <v>0.43793470000000001</v>
      </c>
      <c r="I759" s="3">
        <v>0.53864409999999996</v>
      </c>
      <c r="J759" s="3">
        <v>0.63984600000000003</v>
      </c>
      <c r="K759" s="3">
        <v>0.73868420000000001</v>
      </c>
      <c r="L759" s="3">
        <v>0.83106089999999999</v>
      </c>
      <c r="M759" s="3">
        <v>0.91407799999999995</v>
      </c>
      <c r="N759" s="3">
        <v>0.98637260000000004</v>
      </c>
      <c r="O759" s="3">
        <v>1.0480434000000001</v>
      </c>
      <c r="P759" s="3">
        <v>1.0996885999999999</v>
      </c>
      <c r="Q759" s="3">
        <v>1.1431685</v>
      </c>
      <c r="R759" s="3">
        <v>1.1794335</v>
      </c>
      <c r="S759" s="3">
        <v>1.2091087</v>
      </c>
      <c r="T759" s="3">
        <v>1.2328189000000001</v>
      </c>
      <c r="U759" s="3">
        <v>1.2511892</v>
      </c>
      <c r="V759" s="3">
        <v>1.2648446</v>
      </c>
      <c r="W759" s="3">
        <v>1.2743734</v>
      </c>
      <c r="X759" s="3">
        <v>1.2802378000000001</v>
      </c>
      <c r="Y759" s="3">
        <v>1.2828729000000001</v>
      </c>
      <c r="Z759" s="3">
        <v>1.2827135000000001</v>
      </c>
      <c r="AA759" s="3">
        <v>1.2801947</v>
      </c>
      <c r="AB759" s="3">
        <v>1.2757514000000001</v>
      </c>
      <c r="AC759" s="3">
        <v>1.2697712000000001</v>
      </c>
      <c r="AD759" s="3">
        <v>1.2624518</v>
      </c>
      <c r="AE759" s="3">
        <v>1.2539435000000001</v>
      </c>
      <c r="AF759" s="3">
        <v>1.2443966</v>
      </c>
      <c r="AG759" s="3">
        <v>1.2339614000000001</v>
      </c>
      <c r="AH759" s="3">
        <v>1.2227882999999999</v>
      </c>
      <c r="AI759" s="3">
        <v>1.2110274000000001</v>
      </c>
      <c r="AJ759" s="3">
        <v>1.1988291</v>
      </c>
      <c r="AK759" s="3">
        <v>1.1863437999999999</v>
      </c>
      <c r="AL759" s="3">
        <v>1.1737215999999999</v>
      </c>
      <c r="AM759" s="3">
        <v>1.1611130000000001</v>
      </c>
      <c r="AN759" s="3">
        <v>1.1486681000000001</v>
      </c>
      <c r="AO759" s="3">
        <v>1.1365175999999999</v>
      </c>
      <c r="AP759" s="3">
        <v>1.1246957</v>
      </c>
      <c r="AQ759" s="3">
        <v>1.1132074999999999</v>
      </c>
      <c r="AR759" s="3">
        <v>1.1020578000000001</v>
      </c>
      <c r="AS759" s="3">
        <v>1.0912516999999999</v>
      </c>
      <c r="AT759" s="3">
        <v>1.0807941999999999</v>
      </c>
      <c r="AU759" s="3">
        <v>1.0706901</v>
      </c>
      <c r="AV759" s="3">
        <v>1.0609446</v>
      </c>
      <c r="AW759" s="3">
        <v>1.0515626</v>
      </c>
      <c r="AX759" s="3">
        <v>1.0425489999999999</v>
      </c>
      <c r="AY759" s="3">
        <v>1.0339088000000001</v>
      </c>
      <c r="AZ759" s="3">
        <v>1.0256471</v>
      </c>
      <c r="BA759" s="3">
        <v>1.0177662000000001</v>
      </c>
      <c r="BB759" s="3">
        <v>1.0102574</v>
      </c>
      <c r="BC759" s="3">
        <v>1.0031087999999999</v>
      </c>
      <c r="BD759" s="3">
        <v>0.99630850000000004</v>
      </c>
      <c r="BE759" s="3">
        <v>0.98984470000000002</v>
      </c>
      <c r="BF759" s="3">
        <v>0.98370559999999996</v>
      </c>
      <c r="BG759" s="3">
        <v>0.97787919999999995</v>
      </c>
      <c r="BH759" s="3">
        <v>0.97235369999999999</v>
      </c>
      <c r="BI759" s="3">
        <v>0.96711709999999995</v>
      </c>
      <c r="BJ759" s="3">
        <v>0.96215779999999995</v>
      </c>
      <c r="BK759" s="3">
        <v>0.95746370000000003</v>
      </c>
      <c r="BL759" s="3">
        <v>0.95302310000000001</v>
      </c>
      <c r="BM759" s="3" t="e">
        <v>#N/A</v>
      </c>
      <c r="BN759" s="3" t="e">
        <v>#N/A</v>
      </c>
    </row>
    <row r="760" spans="1:66" x14ac:dyDescent="0.35">
      <c r="A760" s="5">
        <f t="shared" si="11"/>
        <v>44518</v>
      </c>
      <c r="B760" t="s">
        <v>837</v>
      </c>
      <c r="C760" s="2">
        <v>0.1</v>
      </c>
      <c r="D760" s="2">
        <v>4.6699999999999998E-2</v>
      </c>
      <c r="E760" s="3">
        <v>0.1128329</v>
      </c>
      <c r="F760" s="3">
        <v>0.23153409999999999</v>
      </c>
      <c r="G760" s="3">
        <v>0.33956760000000002</v>
      </c>
      <c r="H760" s="3">
        <v>0.4407413</v>
      </c>
      <c r="I760" s="3">
        <v>0.5385067</v>
      </c>
      <c r="J760" s="3">
        <v>0.63366940000000005</v>
      </c>
      <c r="K760" s="3">
        <v>0.72474269999999996</v>
      </c>
      <c r="L760" s="3">
        <v>0.80949950000000004</v>
      </c>
      <c r="M760" s="3">
        <v>0.88638079999999997</v>
      </c>
      <c r="N760" s="3">
        <v>0.9542001</v>
      </c>
      <c r="O760" s="3">
        <v>1.0125782000000001</v>
      </c>
      <c r="P760" s="3">
        <v>1.0616622</v>
      </c>
      <c r="Q760" s="3">
        <v>1.1023238</v>
      </c>
      <c r="R760" s="3">
        <v>1.1353856</v>
      </c>
      <c r="S760" s="3">
        <v>1.1616146000000001</v>
      </c>
      <c r="T760" s="3">
        <v>1.1817774999999999</v>
      </c>
      <c r="U760" s="3">
        <v>1.1966410999999999</v>
      </c>
      <c r="V760" s="3">
        <v>1.2069722000000001</v>
      </c>
      <c r="W760" s="3">
        <v>1.2134769999999999</v>
      </c>
      <c r="X760" s="3">
        <v>1.2166531</v>
      </c>
      <c r="Y760" s="3">
        <v>1.2169527</v>
      </c>
      <c r="Z760" s="3">
        <v>1.2148284</v>
      </c>
      <c r="AA760" s="3">
        <v>1.2107323999999999</v>
      </c>
      <c r="AB760" s="3">
        <v>1.2051172000000001</v>
      </c>
      <c r="AC760" s="3">
        <v>1.1983887</v>
      </c>
      <c r="AD760" s="3">
        <v>1.1907266000000001</v>
      </c>
      <c r="AE760" s="3">
        <v>1.1822417000000001</v>
      </c>
      <c r="AF760" s="3">
        <v>1.1730449000000001</v>
      </c>
      <c r="AG760" s="3">
        <v>1.1632469000000001</v>
      </c>
      <c r="AH760" s="3">
        <v>1.1529585</v>
      </c>
      <c r="AI760" s="3">
        <v>1.1422905000000001</v>
      </c>
      <c r="AJ760" s="3">
        <v>1.1313538000000001</v>
      </c>
      <c r="AK760" s="3">
        <v>1.1202589999999999</v>
      </c>
      <c r="AL760" s="3">
        <v>1.1091172</v>
      </c>
      <c r="AM760" s="3">
        <v>1.0980388999999999</v>
      </c>
      <c r="AN760" s="3">
        <v>1.0871351</v>
      </c>
      <c r="AO760" s="3">
        <v>1.0765</v>
      </c>
      <c r="AP760" s="3">
        <v>1.0661541999999999</v>
      </c>
      <c r="AQ760" s="3">
        <v>1.0560982000000001</v>
      </c>
      <c r="AR760" s="3">
        <v>1.0463327</v>
      </c>
      <c r="AS760" s="3">
        <v>1.0368580999999999</v>
      </c>
      <c r="AT760" s="3">
        <v>1.0276749999999999</v>
      </c>
      <c r="AU760" s="3">
        <v>1.0187838</v>
      </c>
      <c r="AV760" s="3">
        <v>1.0101850000000001</v>
      </c>
      <c r="AW760" s="3">
        <v>1.0018792000000001</v>
      </c>
      <c r="AX760" s="3">
        <v>0.9938669</v>
      </c>
      <c r="AY760" s="3">
        <v>0.98614860000000004</v>
      </c>
      <c r="AZ760" s="3">
        <v>0.97872479999999995</v>
      </c>
      <c r="BA760" s="3">
        <v>0.97159479999999998</v>
      </c>
      <c r="BB760" s="3">
        <v>0.96475230000000001</v>
      </c>
      <c r="BC760" s="3">
        <v>0.95818939999999997</v>
      </c>
      <c r="BD760" s="3">
        <v>0.95189840000000003</v>
      </c>
      <c r="BE760" s="3">
        <v>0.94587140000000003</v>
      </c>
      <c r="BF760" s="3">
        <v>0.94010059999999995</v>
      </c>
      <c r="BG760" s="3">
        <v>0.93457829999999997</v>
      </c>
      <c r="BH760" s="3">
        <v>0.92929649999999997</v>
      </c>
      <c r="BI760" s="3">
        <v>0.9242475</v>
      </c>
      <c r="BJ760" s="3">
        <v>0.9194234</v>
      </c>
      <c r="BK760" s="3">
        <v>0.91481650000000003</v>
      </c>
      <c r="BL760" s="3">
        <v>0.91041899999999998</v>
      </c>
      <c r="BM760" s="3" t="e">
        <v>#N/A</v>
      </c>
      <c r="BN760" s="3" t="e">
        <v>#N/A</v>
      </c>
    </row>
    <row r="761" spans="1:66" x14ac:dyDescent="0.35">
      <c r="A761" s="5">
        <f t="shared" si="11"/>
        <v>44519</v>
      </c>
      <c r="B761" t="s">
        <v>838</v>
      </c>
      <c r="C761" s="2">
        <v>0.1</v>
      </c>
      <c r="D761" s="2">
        <v>4.6399999999999997E-2</v>
      </c>
      <c r="E761" s="3">
        <v>0.1188288</v>
      </c>
      <c r="F761" s="3">
        <v>0.22988169999999999</v>
      </c>
      <c r="G761" s="3">
        <v>0.3285671</v>
      </c>
      <c r="H761" s="3">
        <v>0.42048140000000001</v>
      </c>
      <c r="I761" s="3">
        <v>0.51201359999999996</v>
      </c>
      <c r="J761" s="3">
        <v>0.60501660000000002</v>
      </c>
      <c r="K761" s="3">
        <v>0.69703930000000003</v>
      </c>
      <c r="L761" s="3">
        <v>0.78444930000000002</v>
      </c>
      <c r="M761" s="3">
        <v>0.86453950000000002</v>
      </c>
      <c r="N761" s="3">
        <v>0.93551359999999995</v>
      </c>
      <c r="O761" s="3">
        <v>0.99651160000000005</v>
      </c>
      <c r="P761" s="3">
        <v>1.0475992000000001</v>
      </c>
      <c r="Q761" s="3">
        <v>1.0892698000000001</v>
      </c>
      <c r="R761" s="3">
        <v>1.1224263000000001</v>
      </c>
      <c r="S761" s="3">
        <v>1.1480836999999999</v>
      </c>
      <c r="T761" s="3">
        <v>1.167257</v>
      </c>
      <c r="U761" s="3">
        <v>1.1809613000000001</v>
      </c>
      <c r="V761" s="3">
        <v>1.1902116</v>
      </c>
      <c r="W761" s="3">
        <v>1.1959063999999999</v>
      </c>
      <c r="X761" s="3">
        <v>1.1985425000000001</v>
      </c>
      <c r="Y761" s="3">
        <v>1.1985298</v>
      </c>
      <c r="Z761" s="3">
        <v>1.1962782999999999</v>
      </c>
      <c r="AA761" s="3">
        <v>1.1921980999999999</v>
      </c>
      <c r="AB761" s="3">
        <v>1.1866989999999999</v>
      </c>
      <c r="AC761" s="3">
        <v>1.1801442</v>
      </c>
      <c r="AD761" s="3">
        <v>1.1726890999999999</v>
      </c>
      <c r="AE761" s="3">
        <v>1.1644319999999999</v>
      </c>
      <c r="AF761" s="3">
        <v>1.1554711</v>
      </c>
      <c r="AG761" s="3">
        <v>1.1459047</v>
      </c>
      <c r="AH761" s="3">
        <v>1.1358311999999999</v>
      </c>
      <c r="AI761" s="3">
        <v>1.1253485999999999</v>
      </c>
      <c r="AJ761" s="3">
        <v>1.1145554</v>
      </c>
      <c r="AK761" s="3">
        <v>1.1035497000000001</v>
      </c>
      <c r="AL761" s="3">
        <v>1.0924297999999999</v>
      </c>
      <c r="AM761" s="3">
        <v>1.0812941</v>
      </c>
      <c r="AN761" s="3">
        <v>1.0702406</v>
      </c>
      <c r="AO761" s="3">
        <v>1.0593547000000001</v>
      </c>
      <c r="AP761" s="3">
        <v>1.0486635</v>
      </c>
      <c r="AQ761" s="3">
        <v>1.0381783</v>
      </c>
      <c r="AR761" s="3">
        <v>1.0279103000000001</v>
      </c>
      <c r="AS761" s="3">
        <v>1.0178708000000001</v>
      </c>
      <c r="AT761" s="3">
        <v>1.0080711</v>
      </c>
      <c r="AU761" s="3">
        <v>0.99852240000000003</v>
      </c>
      <c r="AV761" s="3">
        <v>0.98923589999999995</v>
      </c>
      <c r="AW761" s="3">
        <v>0.98022299999999996</v>
      </c>
      <c r="AX761" s="3">
        <v>0.97149490000000005</v>
      </c>
      <c r="AY761" s="3">
        <v>0.9630628</v>
      </c>
      <c r="AZ761" s="3">
        <v>0.95493799999999995</v>
      </c>
      <c r="BA761" s="3">
        <v>0.94712890000000005</v>
      </c>
      <c r="BB761" s="3">
        <v>0.93963200000000002</v>
      </c>
      <c r="BC761" s="3">
        <v>0.93244000000000005</v>
      </c>
      <c r="BD761" s="3">
        <v>0.92554599999999998</v>
      </c>
      <c r="BE761" s="3">
        <v>0.91894279999999995</v>
      </c>
      <c r="BF761" s="3">
        <v>0.91262339999999997</v>
      </c>
      <c r="BG761" s="3">
        <v>0.90658059999999996</v>
      </c>
      <c r="BH761" s="3">
        <v>0.90080749999999998</v>
      </c>
      <c r="BI761" s="3">
        <v>0.8952968</v>
      </c>
      <c r="BJ761" s="3">
        <v>0.89004170000000005</v>
      </c>
      <c r="BK761" s="3">
        <v>0.88503489999999996</v>
      </c>
      <c r="BL761" s="3">
        <v>0.88026930000000003</v>
      </c>
      <c r="BM761" s="3" t="e">
        <v>#N/A</v>
      </c>
      <c r="BN761" s="3" t="e">
        <v>#N/A</v>
      </c>
    </row>
    <row r="762" spans="1:66" x14ac:dyDescent="0.35">
      <c r="A762" s="5">
        <f t="shared" si="11"/>
        <v>44522</v>
      </c>
      <c r="B762" t="s">
        <v>2041</v>
      </c>
      <c r="C762" s="2">
        <v>0.1</v>
      </c>
      <c r="D762" s="2">
        <v>4.6800000000000001E-2</v>
      </c>
      <c r="E762" s="3">
        <v>0.12695329999999999</v>
      </c>
      <c r="F762" s="3">
        <v>0.2344839</v>
      </c>
      <c r="G762" s="3">
        <v>0.33542499999999997</v>
      </c>
      <c r="H762" s="3">
        <v>0.43462630000000002</v>
      </c>
      <c r="I762" s="3">
        <v>0.53720599999999996</v>
      </c>
      <c r="J762" s="3">
        <v>0.64220410000000006</v>
      </c>
      <c r="K762" s="3">
        <v>0.74435680000000004</v>
      </c>
      <c r="L762" s="3">
        <v>0.83883050000000003</v>
      </c>
      <c r="M762" s="3">
        <v>0.92288669999999995</v>
      </c>
      <c r="N762" s="3">
        <v>0.99524820000000003</v>
      </c>
      <c r="O762" s="3">
        <v>1.0558521999999999</v>
      </c>
      <c r="P762" s="3">
        <v>1.1056859000000001</v>
      </c>
      <c r="Q762" s="3">
        <v>1.1465506000000001</v>
      </c>
      <c r="R762" s="3">
        <v>1.1795576999999999</v>
      </c>
      <c r="S762" s="3">
        <v>1.2055823999999999</v>
      </c>
      <c r="T762" s="3">
        <v>1.2254997000000001</v>
      </c>
      <c r="U762" s="3">
        <v>1.2401846999999999</v>
      </c>
      <c r="V762" s="3">
        <v>1.2505124999999999</v>
      </c>
      <c r="W762" s="3">
        <v>1.2572597000000001</v>
      </c>
      <c r="X762" s="3">
        <v>1.2608623999999999</v>
      </c>
      <c r="Y762" s="3">
        <v>1.2616833000000001</v>
      </c>
      <c r="Z762" s="3">
        <v>1.2600853999999999</v>
      </c>
      <c r="AA762" s="3">
        <v>1.2564313</v>
      </c>
      <c r="AB762" s="3">
        <v>1.2510839</v>
      </c>
      <c r="AC762" s="3">
        <v>1.2443675999999999</v>
      </c>
      <c r="AD762" s="3">
        <v>1.236453</v>
      </c>
      <c r="AE762" s="3">
        <v>1.2274727000000001</v>
      </c>
      <c r="AF762" s="3">
        <v>1.2175587000000001</v>
      </c>
      <c r="AG762" s="3">
        <v>1.2068435</v>
      </c>
      <c r="AH762" s="3">
        <v>1.1954594000000001</v>
      </c>
      <c r="AI762" s="3">
        <v>1.1835386999999999</v>
      </c>
      <c r="AJ762" s="3">
        <v>1.1712138000000001</v>
      </c>
      <c r="AK762" s="3">
        <v>1.1586167999999999</v>
      </c>
      <c r="AL762" s="3">
        <v>1.1458803</v>
      </c>
      <c r="AM762" s="3">
        <v>1.1331363999999999</v>
      </c>
      <c r="AN762" s="3">
        <v>1.1205175000000001</v>
      </c>
      <c r="AO762" s="3">
        <v>1.1081376000000001</v>
      </c>
      <c r="AP762" s="3">
        <v>1.0960297000000001</v>
      </c>
      <c r="AQ762" s="3">
        <v>1.0842042999999999</v>
      </c>
      <c r="AR762" s="3">
        <v>1.0726723</v>
      </c>
      <c r="AS762" s="3">
        <v>1.0614440999999999</v>
      </c>
      <c r="AT762" s="3">
        <v>1.0505304</v>
      </c>
      <c r="AU762" s="3">
        <v>1.0399419999999999</v>
      </c>
      <c r="AV762" s="3">
        <v>1.0296894000000001</v>
      </c>
      <c r="AW762" s="3">
        <v>1.0197832</v>
      </c>
      <c r="AX762" s="3">
        <v>1.0102342</v>
      </c>
      <c r="AY762" s="3">
        <v>1.0010528999999999</v>
      </c>
      <c r="AZ762" s="3">
        <v>0.99224999999999997</v>
      </c>
      <c r="BA762" s="3">
        <v>0.98383359999999997</v>
      </c>
      <c r="BB762" s="3">
        <v>0.97579729999999998</v>
      </c>
      <c r="BC762" s="3">
        <v>0.96813020000000005</v>
      </c>
      <c r="BD762" s="3">
        <v>0.96082129999999999</v>
      </c>
      <c r="BE762" s="3">
        <v>0.95385960000000003</v>
      </c>
      <c r="BF762" s="3">
        <v>0.94723409999999997</v>
      </c>
      <c r="BG762" s="3">
        <v>0.94093369999999998</v>
      </c>
      <c r="BH762" s="3">
        <v>0.93494759999999999</v>
      </c>
      <c r="BI762" s="3">
        <v>0.9292646</v>
      </c>
      <c r="BJ762" s="3">
        <v>0.92387390000000003</v>
      </c>
      <c r="BK762" s="3">
        <v>0.91876429999999998</v>
      </c>
      <c r="BL762" s="3">
        <v>0.91392490000000004</v>
      </c>
      <c r="BM762" s="3" t="e">
        <v>#N/A</v>
      </c>
      <c r="BN762" s="3" t="e">
        <v>#N/A</v>
      </c>
    </row>
    <row r="763" spans="1:66" x14ac:dyDescent="0.35">
      <c r="A763" s="5">
        <f t="shared" si="11"/>
        <v>44523</v>
      </c>
      <c r="B763" t="s">
        <v>2042</v>
      </c>
      <c r="C763" s="2">
        <v>0.1</v>
      </c>
      <c r="D763" s="2">
        <v>4.6600000000000003E-2</v>
      </c>
      <c r="E763" s="3">
        <v>0.1348866</v>
      </c>
      <c r="F763" s="3">
        <v>0.240616</v>
      </c>
      <c r="G763" s="3">
        <v>0.33958050000000001</v>
      </c>
      <c r="H763" s="3">
        <v>0.437888</v>
      </c>
      <c r="I763" s="3">
        <v>0.54034479999999996</v>
      </c>
      <c r="J763" s="3">
        <v>0.64526220000000001</v>
      </c>
      <c r="K763" s="3">
        <v>0.74736000000000002</v>
      </c>
      <c r="L763" s="3">
        <v>0.84212659999999995</v>
      </c>
      <c r="M763" s="3">
        <v>0.92664270000000004</v>
      </c>
      <c r="N763" s="3">
        <v>0.99994459999999996</v>
      </c>
      <c r="O763" s="3">
        <v>1.0620455</v>
      </c>
      <c r="P763" s="3">
        <v>1.1139238</v>
      </c>
      <c r="Q763" s="3">
        <v>1.1574066999999999</v>
      </c>
      <c r="R763" s="3">
        <v>1.1935036000000001</v>
      </c>
      <c r="S763" s="3">
        <v>1.2229577</v>
      </c>
      <c r="T763" s="3">
        <v>1.2465119</v>
      </c>
      <c r="U763" s="3">
        <v>1.2649093</v>
      </c>
      <c r="V763" s="3">
        <v>1.2788927999999999</v>
      </c>
      <c r="W763" s="3">
        <v>1.2891248</v>
      </c>
      <c r="X763" s="3">
        <v>1.2959902999999999</v>
      </c>
      <c r="Y763" s="3">
        <v>1.2998139</v>
      </c>
      <c r="Z763" s="3">
        <v>1.3009206</v>
      </c>
      <c r="AA763" s="3">
        <v>1.2996350999999999</v>
      </c>
      <c r="AB763" s="3">
        <v>1.2962825</v>
      </c>
      <c r="AC763" s="3">
        <v>1.2911611000000001</v>
      </c>
      <c r="AD763" s="3">
        <v>1.2844644999999999</v>
      </c>
      <c r="AE763" s="3">
        <v>1.2763599999999999</v>
      </c>
      <c r="AF763" s="3">
        <v>1.2670147</v>
      </c>
      <c r="AG763" s="3">
        <v>1.2565959</v>
      </c>
      <c r="AH763" s="3">
        <v>1.2452707000000001</v>
      </c>
      <c r="AI763" s="3">
        <v>1.2332063</v>
      </c>
      <c r="AJ763" s="3">
        <v>1.2205701</v>
      </c>
      <c r="AK763" s="3">
        <v>1.2075290999999999</v>
      </c>
      <c r="AL763" s="3">
        <v>1.1942507</v>
      </c>
      <c r="AM763" s="3">
        <v>1.1809019000000001</v>
      </c>
      <c r="AN763" s="3">
        <v>1.1676500999999999</v>
      </c>
      <c r="AO763" s="3">
        <v>1.1546434999999999</v>
      </c>
      <c r="AP763" s="3">
        <v>1.1419284999999999</v>
      </c>
      <c r="AQ763" s="3">
        <v>1.1295173999999999</v>
      </c>
      <c r="AR763" s="3">
        <v>1.1174223999999999</v>
      </c>
      <c r="AS763" s="3">
        <v>1.1056558000000001</v>
      </c>
      <c r="AT763" s="3">
        <v>1.0942296</v>
      </c>
      <c r="AU763" s="3">
        <v>1.0831563</v>
      </c>
      <c r="AV763" s="3">
        <v>1.0724480000000001</v>
      </c>
      <c r="AW763" s="3">
        <v>1.0621168000000001</v>
      </c>
      <c r="AX763" s="3">
        <v>1.0521752</v>
      </c>
      <c r="AY763" s="3">
        <v>1.0426352000000001</v>
      </c>
      <c r="AZ763" s="3">
        <v>1.0335091999999999</v>
      </c>
      <c r="BA763" s="3">
        <v>1.0248055</v>
      </c>
      <c r="BB763" s="3">
        <v>1.0165150000000001</v>
      </c>
      <c r="BC763" s="3">
        <v>1.0086225</v>
      </c>
      <c r="BD763" s="3">
        <v>1.0011133000000001</v>
      </c>
      <c r="BE763" s="3">
        <v>0.99397259999999998</v>
      </c>
      <c r="BF763" s="3">
        <v>0.98718530000000004</v>
      </c>
      <c r="BG763" s="3">
        <v>0.98073659999999996</v>
      </c>
      <c r="BH763" s="3">
        <v>0.97461160000000002</v>
      </c>
      <c r="BI763" s="3">
        <v>0.96879550000000003</v>
      </c>
      <c r="BJ763" s="3">
        <v>0.9632733</v>
      </c>
      <c r="BK763" s="3">
        <v>0.9580303</v>
      </c>
      <c r="BL763" s="3">
        <v>0.95305139999999999</v>
      </c>
      <c r="BM763" s="3" t="e">
        <v>#N/A</v>
      </c>
      <c r="BN763" s="3" t="e">
        <v>#N/A</v>
      </c>
    </row>
    <row r="764" spans="1:66" x14ac:dyDescent="0.35">
      <c r="A764" s="5">
        <f t="shared" si="11"/>
        <v>44524</v>
      </c>
      <c r="B764" t="s">
        <v>2043</v>
      </c>
      <c r="C764" s="2">
        <v>0.1</v>
      </c>
      <c r="D764" s="2">
        <v>4.6199999999999998E-2</v>
      </c>
      <c r="E764" s="3">
        <v>0.1315096</v>
      </c>
      <c r="F764" s="3">
        <v>0.23428280000000001</v>
      </c>
      <c r="G764" s="3">
        <v>0.33323789999999998</v>
      </c>
      <c r="H764" s="3">
        <v>0.43165409999999999</v>
      </c>
      <c r="I764" s="3">
        <v>0.5333755</v>
      </c>
      <c r="J764" s="3">
        <v>0.63714680000000001</v>
      </c>
      <c r="K764" s="3">
        <v>0.73818519999999999</v>
      </c>
      <c r="L764" s="3">
        <v>0.83218579999999998</v>
      </c>
      <c r="M764" s="3">
        <v>0.9163249</v>
      </c>
      <c r="N764" s="3">
        <v>0.98941460000000003</v>
      </c>
      <c r="O764" s="3">
        <v>1.0517813</v>
      </c>
      <c r="P764" s="3">
        <v>1.1040893000000001</v>
      </c>
      <c r="Q764" s="3">
        <v>1.147813</v>
      </c>
      <c r="R764" s="3">
        <v>1.1839553</v>
      </c>
      <c r="S764" s="3">
        <v>1.2133385999999999</v>
      </c>
      <c r="T764" s="3">
        <v>1.2367849</v>
      </c>
      <c r="U764" s="3">
        <v>1.2551167000000001</v>
      </c>
      <c r="V764" s="3">
        <v>1.2691561</v>
      </c>
      <c r="W764" s="3">
        <v>1.2796259999999999</v>
      </c>
      <c r="X764" s="3">
        <v>1.2869060000000001</v>
      </c>
      <c r="Y764" s="3">
        <v>1.2913018999999999</v>
      </c>
      <c r="Z764" s="3">
        <v>1.2931196</v>
      </c>
      <c r="AA764" s="3">
        <v>1.2926647</v>
      </c>
      <c r="AB764" s="3">
        <v>1.2902429</v>
      </c>
      <c r="AC764" s="3">
        <v>1.2861347000000001</v>
      </c>
      <c r="AD764" s="3">
        <v>1.2805183</v>
      </c>
      <c r="AE764" s="3">
        <v>1.2735468999999999</v>
      </c>
      <c r="AF764" s="3">
        <v>1.2653733</v>
      </c>
      <c r="AG764" s="3">
        <v>1.2561504999999999</v>
      </c>
      <c r="AH764" s="3">
        <v>1.2460315</v>
      </c>
      <c r="AI764" s="3">
        <v>1.2351692999999999</v>
      </c>
      <c r="AJ764" s="3">
        <v>1.2237167</v>
      </c>
      <c r="AK764" s="3">
        <v>1.2118268999999999</v>
      </c>
      <c r="AL764" s="3">
        <v>1.1996528</v>
      </c>
      <c r="AM764" s="3">
        <v>1.1873473000000001</v>
      </c>
      <c r="AN764" s="3">
        <v>1.1750634</v>
      </c>
      <c r="AO764" s="3">
        <v>1.1629358000000001</v>
      </c>
      <c r="AP764" s="3">
        <v>1.1510100999999999</v>
      </c>
      <c r="AQ764" s="3">
        <v>1.1393044999999999</v>
      </c>
      <c r="AR764" s="3">
        <v>1.1278376999999999</v>
      </c>
      <c r="AS764" s="3">
        <v>1.1166278000000001</v>
      </c>
      <c r="AT764" s="3">
        <v>1.1056935000000001</v>
      </c>
      <c r="AU764" s="3">
        <v>1.0950530000000001</v>
      </c>
      <c r="AV764" s="3">
        <v>1.0847247</v>
      </c>
      <c r="AW764" s="3">
        <v>1.0747271</v>
      </c>
      <c r="AX764" s="3">
        <v>1.0650786000000001</v>
      </c>
      <c r="AY764" s="3">
        <v>1.0557976</v>
      </c>
      <c r="AZ764" s="3">
        <v>1.0469025000000001</v>
      </c>
      <c r="BA764" s="3">
        <v>1.0384068</v>
      </c>
      <c r="BB764" s="3">
        <v>1.0303023</v>
      </c>
      <c r="BC764" s="3">
        <v>1.0225749</v>
      </c>
      <c r="BD764" s="3">
        <v>1.0152105</v>
      </c>
      <c r="BE764" s="3">
        <v>1.008195</v>
      </c>
      <c r="BF764" s="3">
        <v>1.0015141999999999</v>
      </c>
      <c r="BG764" s="3">
        <v>0.99515399999999998</v>
      </c>
      <c r="BH764" s="3">
        <v>0.98910030000000004</v>
      </c>
      <c r="BI764" s="3">
        <v>0.98333899999999996</v>
      </c>
      <c r="BJ764" s="3">
        <v>0.9778559</v>
      </c>
      <c r="BK764" s="3">
        <v>0.97263690000000003</v>
      </c>
      <c r="BL764" s="3">
        <v>0.96766790000000003</v>
      </c>
      <c r="BM764" s="3" t="e">
        <v>#N/A</v>
      </c>
      <c r="BN764" s="3" t="e">
        <v>#N/A</v>
      </c>
    </row>
    <row r="765" spans="1:66" x14ac:dyDescent="0.35">
      <c r="A765" s="5">
        <f t="shared" si="11"/>
        <v>44525</v>
      </c>
      <c r="B765" t="s">
        <v>2088</v>
      </c>
      <c r="C765" s="2">
        <v>0.1</v>
      </c>
      <c r="D765" s="2">
        <v>4.65E-2</v>
      </c>
      <c r="E765" s="3">
        <v>0.13558690000000001</v>
      </c>
      <c r="F765" s="3">
        <v>0.23577799999999999</v>
      </c>
      <c r="G765" s="3">
        <v>0.3351344</v>
      </c>
      <c r="H765" s="3">
        <v>0.43435459999999998</v>
      </c>
      <c r="I765" s="3">
        <v>0.53555960000000002</v>
      </c>
      <c r="J765" s="3">
        <v>0.63710310000000003</v>
      </c>
      <c r="K765" s="3">
        <v>0.73476269999999999</v>
      </c>
      <c r="L765" s="3">
        <v>0.82518360000000002</v>
      </c>
      <c r="M765" s="3">
        <v>0.90651380000000004</v>
      </c>
      <c r="N765" s="3">
        <v>0.97769640000000002</v>
      </c>
      <c r="O765" s="3">
        <v>1.0386892999999999</v>
      </c>
      <c r="P765" s="3">
        <v>1.0898661000000001</v>
      </c>
      <c r="Q765" s="3">
        <v>1.132266</v>
      </c>
      <c r="R765" s="3">
        <v>1.1668523</v>
      </c>
      <c r="S765" s="3">
        <v>1.1945262000000001</v>
      </c>
      <c r="T765" s="3">
        <v>1.2161891</v>
      </c>
      <c r="U765" s="3">
        <v>1.2327421000000001</v>
      </c>
      <c r="V765" s="3">
        <v>1.2450865</v>
      </c>
      <c r="W765" s="3">
        <v>1.2540121</v>
      </c>
      <c r="X765" s="3">
        <v>1.2599231</v>
      </c>
      <c r="Y765" s="3">
        <v>1.2631406999999999</v>
      </c>
      <c r="Z765" s="3">
        <v>1.2639864000000001</v>
      </c>
      <c r="AA765" s="3">
        <v>1.2627813000000001</v>
      </c>
      <c r="AB765" s="3">
        <v>1.2598467</v>
      </c>
      <c r="AC765" s="3">
        <v>1.2554776000000001</v>
      </c>
      <c r="AD765" s="3">
        <v>1.2498406</v>
      </c>
      <c r="AE765" s="3">
        <v>1.2430635000000001</v>
      </c>
      <c r="AF765" s="3">
        <v>1.2352738000000001</v>
      </c>
      <c r="AG765" s="3">
        <v>1.2265991999999999</v>
      </c>
      <c r="AH765" s="3">
        <v>1.2171673999999999</v>
      </c>
      <c r="AI765" s="3">
        <v>1.207106</v>
      </c>
      <c r="AJ765" s="3">
        <v>1.1965427</v>
      </c>
      <c r="AK765" s="3">
        <v>1.185605</v>
      </c>
      <c r="AL765" s="3">
        <v>1.1744207</v>
      </c>
      <c r="AM765" s="3">
        <v>1.1631174</v>
      </c>
      <c r="AN765" s="3">
        <v>1.1518227000000001</v>
      </c>
      <c r="AO765" s="3">
        <v>1.1406472000000001</v>
      </c>
      <c r="AP765" s="3">
        <v>1.1296264</v>
      </c>
      <c r="AQ765" s="3">
        <v>1.1187748</v>
      </c>
      <c r="AR765" s="3">
        <v>1.1081072000000001</v>
      </c>
      <c r="AS765" s="3">
        <v>1.0976380999999999</v>
      </c>
      <c r="AT765" s="3">
        <v>1.0873823</v>
      </c>
      <c r="AU765" s="3">
        <v>1.0773543000000001</v>
      </c>
      <c r="AV765" s="3">
        <v>1.0675688000000001</v>
      </c>
      <c r="AW765" s="3">
        <v>1.0580404000000001</v>
      </c>
      <c r="AX765" s="3">
        <v>1.0487838</v>
      </c>
      <c r="AY765" s="3">
        <v>1.0398136</v>
      </c>
      <c r="AZ765" s="3">
        <v>1.0311444000000001</v>
      </c>
      <c r="BA765" s="3">
        <v>1.0227875</v>
      </c>
      <c r="BB765" s="3">
        <v>1.0147382</v>
      </c>
      <c r="BC765" s="3">
        <v>1.0069877</v>
      </c>
      <c r="BD765" s="3">
        <v>0.99952730000000001</v>
      </c>
      <c r="BE765" s="3">
        <v>0.99234809999999996</v>
      </c>
      <c r="BF765" s="3">
        <v>0.98544140000000002</v>
      </c>
      <c r="BG765" s="3">
        <v>0.97879819999999995</v>
      </c>
      <c r="BH765" s="3">
        <v>0.97240990000000005</v>
      </c>
      <c r="BI765" s="3">
        <v>0.96626749999999995</v>
      </c>
      <c r="BJ765" s="3">
        <v>0.96036239999999995</v>
      </c>
      <c r="BK765" s="3">
        <v>0.95468560000000002</v>
      </c>
      <c r="BL765" s="3">
        <v>0.94922830000000002</v>
      </c>
      <c r="BM765" s="3" t="e">
        <v>#N/A</v>
      </c>
      <c r="BN765" s="3" t="e">
        <v>#N/A</v>
      </c>
    </row>
    <row r="766" spans="1:66" x14ac:dyDescent="0.35">
      <c r="A766" s="5">
        <f t="shared" si="11"/>
        <v>44526</v>
      </c>
      <c r="B766" t="s">
        <v>2089</v>
      </c>
      <c r="C766" s="2">
        <v>0.1</v>
      </c>
      <c r="D766" s="2">
        <v>4.6100000000000002E-2</v>
      </c>
      <c r="E766" s="3">
        <v>0.1117006</v>
      </c>
      <c r="F766" s="3">
        <v>0.19448119999999999</v>
      </c>
      <c r="G766" s="3">
        <v>0.27967229999999998</v>
      </c>
      <c r="H766" s="3">
        <v>0.36533579999999999</v>
      </c>
      <c r="I766" s="3">
        <v>0.45480739999999997</v>
      </c>
      <c r="J766" s="3">
        <v>0.54783769999999998</v>
      </c>
      <c r="K766" s="3">
        <v>0.64022460000000003</v>
      </c>
      <c r="L766" s="3">
        <v>0.72744260000000005</v>
      </c>
      <c r="M766" s="3">
        <v>0.80627139999999997</v>
      </c>
      <c r="N766" s="3">
        <v>0.87494439999999996</v>
      </c>
      <c r="O766" s="3">
        <v>0.93315859999999995</v>
      </c>
      <c r="P766" s="3">
        <v>0.98169010000000001</v>
      </c>
      <c r="Q766" s="3">
        <v>1.0223538000000001</v>
      </c>
      <c r="R766" s="3">
        <v>1.0561919</v>
      </c>
      <c r="S766" s="3">
        <v>1.0839312999999999</v>
      </c>
      <c r="T766" s="3">
        <v>1.1062984</v>
      </c>
      <c r="U766" s="3">
        <v>1.1240197999999999</v>
      </c>
      <c r="V766" s="3">
        <v>1.1378220999999999</v>
      </c>
      <c r="W766" s="3">
        <v>1.1483398</v>
      </c>
      <c r="X766" s="3">
        <v>1.1558895</v>
      </c>
      <c r="Y766" s="3">
        <v>1.1607197</v>
      </c>
      <c r="Z766" s="3">
        <v>1.1630786</v>
      </c>
      <c r="AA766" s="3">
        <v>1.1632145</v>
      </c>
      <c r="AB766" s="3">
        <v>1.1613757</v>
      </c>
      <c r="AC766" s="3">
        <v>1.1577964000000001</v>
      </c>
      <c r="AD766" s="3">
        <v>1.1526486</v>
      </c>
      <c r="AE766" s="3">
        <v>1.1460874000000001</v>
      </c>
      <c r="AF766" s="3">
        <v>1.1382677000000001</v>
      </c>
      <c r="AG766" s="3">
        <v>1.1293443999999999</v>
      </c>
      <c r="AH766" s="3">
        <v>1.1194725000000001</v>
      </c>
      <c r="AI766" s="3">
        <v>1.1088068</v>
      </c>
      <c r="AJ766" s="3">
        <v>1.0975025</v>
      </c>
      <c r="AK766" s="3">
        <v>1.0857143</v>
      </c>
      <c r="AL766" s="3">
        <v>1.0735972</v>
      </c>
      <c r="AM766" s="3">
        <v>1.0613063</v>
      </c>
      <c r="AN766" s="3">
        <v>1.0489964000000001</v>
      </c>
      <c r="AO766" s="3">
        <v>1.0368014000000001</v>
      </c>
      <c r="AP766" s="3">
        <v>1.0247626000000001</v>
      </c>
      <c r="AQ766" s="3">
        <v>1.0128953999999999</v>
      </c>
      <c r="AR766" s="3">
        <v>1.0012155</v>
      </c>
      <c r="AS766" s="3">
        <v>0.98973840000000002</v>
      </c>
      <c r="AT766" s="3">
        <v>0.97847969999999995</v>
      </c>
      <c r="AU766" s="3">
        <v>0.96745499999999995</v>
      </c>
      <c r="AV766" s="3">
        <v>0.95667970000000002</v>
      </c>
      <c r="AW766" s="3">
        <v>0.94616960000000006</v>
      </c>
      <c r="AX766" s="3">
        <v>0.93594010000000005</v>
      </c>
      <c r="AY766" s="3">
        <v>0.92600680000000002</v>
      </c>
      <c r="AZ766" s="3">
        <v>0.91638529999999996</v>
      </c>
      <c r="BA766" s="3">
        <v>0.90708730000000004</v>
      </c>
      <c r="BB766" s="3">
        <v>0.89810760000000001</v>
      </c>
      <c r="BC766" s="3">
        <v>0.88943649999999996</v>
      </c>
      <c r="BD766" s="3">
        <v>0.88106410000000002</v>
      </c>
      <c r="BE766" s="3">
        <v>0.8729806</v>
      </c>
      <c r="BF766" s="3">
        <v>0.8651761</v>
      </c>
      <c r="BG766" s="3">
        <v>0.85764090000000004</v>
      </c>
      <c r="BH766" s="3">
        <v>0.85036509999999998</v>
      </c>
      <c r="BI766" s="3">
        <v>0.8433389</v>
      </c>
      <c r="BJ766" s="3">
        <v>0.83655250000000003</v>
      </c>
      <c r="BK766" s="3">
        <v>0.82999599999999996</v>
      </c>
      <c r="BL766" s="3">
        <v>0.82365960000000005</v>
      </c>
      <c r="BM766" s="3" t="e">
        <v>#N/A</v>
      </c>
      <c r="BN766" s="3" t="e">
        <v>#N/A</v>
      </c>
    </row>
    <row r="767" spans="1:66" x14ac:dyDescent="0.35">
      <c r="A767" s="5">
        <f t="shared" si="11"/>
        <v>44529</v>
      </c>
      <c r="B767" t="s">
        <v>2090</v>
      </c>
      <c r="C767" s="2">
        <v>0.1</v>
      </c>
      <c r="D767" s="2">
        <v>4.6399999999999997E-2</v>
      </c>
      <c r="E767" s="3">
        <v>0.1241162</v>
      </c>
      <c r="F767" s="3">
        <v>0.20522370000000001</v>
      </c>
      <c r="G767" s="3">
        <v>0.29549819999999999</v>
      </c>
      <c r="H767" s="3">
        <v>0.38610329999999998</v>
      </c>
      <c r="I767" s="3">
        <v>0.47828739999999997</v>
      </c>
      <c r="J767" s="3">
        <v>0.57156859999999998</v>
      </c>
      <c r="K767" s="3">
        <v>0.66211929999999997</v>
      </c>
      <c r="L767" s="3">
        <v>0.74665590000000004</v>
      </c>
      <c r="M767" s="3">
        <v>0.82310300000000003</v>
      </c>
      <c r="N767" s="3">
        <v>0.89052169999999997</v>
      </c>
      <c r="O767" s="3">
        <v>0.94868969999999997</v>
      </c>
      <c r="P767" s="3">
        <v>0.99822029999999995</v>
      </c>
      <c r="Q767" s="3">
        <v>1.0401800000000001</v>
      </c>
      <c r="R767" s="3">
        <v>1.075329</v>
      </c>
      <c r="S767" s="3">
        <v>1.1043225000000001</v>
      </c>
      <c r="T767" s="3">
        <v>1.1278158</v>
      </c>
      <c r="U767" s="3">
        <v>1.1464641</v>
      </c>
      <c r="V767" s="3">
        <v>1.1609227</v>
      </c>
      <c r="W767" s="3">
        <v>1.1717895</v>
      </c>
      <c r="X767" s="3">
        <v>1.1794437</v>
      </c>
      <c r="Y767" s="3">
        <v>1.1842127</v>
      </c>
      <c r="Z767" s="3">
        <v>1.1864238</v>
      </c>
      <c r="AA767" s="3">
        <v>1.1864044</v>
      </c>
      <c r="AB767" s="3">
        <v>1.1844817000000001</v>
      </c>
      <c r="AC767" s="3">
        <v>1.1809512</v>
      </c>
      <c r="AD767" s="3">
        <v>1.1759811</v>
      </c>
      <c r="AE767" s="3">
        <v>1.1697077</v>
      </c>
      <c r="AF767" s="3">
        <v>1.1622674</v>
      </c>
      <c r="AG767" s="3">
        <v>1.1537964000000001</v>
      </c>
      <c r="AH767" s="3">
        <v>1.1444312999999999</v>
      </c>
      <c r="AI767" s="3">
        <v>1.1343080999999999</v>
      </c>
      <c r="AJ767" s="3">
        <v>1.1235634000000001</v>
      </c>
      <c r="AK767" s="3">
        <v>1.1123334</v>
      </c>
      <c r="AL767" s="3">
        <v>1.1007545000000001</v>
      </c>
      <c r="AM767" s="3">
        <v>1.0889629000000001</v>
      </c>
      <c r="AN767" s="3">
        <v>1.0770951</v>
      </c>
      <c r="AO767" s="3">
        <v>1.0652701</v>
      </c>
      <c r="AP767" s="3">
        <v>1.0535307</v>
      </c>
      <c r="AQ767" s="3">
        <v>1.0418985000000001</v>
      </c>
      <c r="AR767" s="3">
        <v>1.0303952000000001</v>
      </c>
      <c r="AS767" s="3">
        <v>1.0190427</v>
      </c>
      <c r="AT767" s="3">
        <v>1.0078625000000001</v>
      </c>
      <c r="AU767" s="3">
        <v>0.9968764</v>
      </c>
      <c r="AV767" s="3">
        <v>0.98610600000000004</v>
      </c>
      <c r="AW767" s="3">
        <v>0.97557320000000003</v>
      </c>
      <c r="AX767" s="3">
        <v>0.96529960000000004</v>
      </c>
      <c r="AY767" s="3">
        <v>0.95530689999999996</v>
      </c>
      <c r="AZ767" s="3">
        <v>0.94561680000000004</v>
      </c>
      <c r="BA767" s="3">
        <v>0.93624779999999996</v>
      </c>
      <c r="BB767" s="3">
        <v>0.92720130000000001</v>
      </c>
      <c r="BC767" s="3">
        <v>0.91847270000000003</v>
      </c>
      <c r="BD767" s="3">
        <v>0.91005760000000002</v>
      </c>
      <c r="BE767" s="3">
        <v>0.90195159999999996</v>
      </c>
      <c r="BF767" s="3">
        <v>0.89415020000000001</v>
      </c>
      <c r="BG767" s="3">
        <v>0.88664889999999996</v>
      </c>
      <c r="BH767" s="3">
        <v>0.87944319999999998</v>
      </c>
      <c r="BI767" s="3">
        <v>0.87252879999999999</v>
      </c>
      <c r="BJ767" s="3">
        <v>0.86590100000000003</v>
      </c>
      <c r="BK767" s="3">
        <v>0.85955550000000003</v>
      </c>
      <c r="BL767" s="3">
        <v>0.85348780000000002</v>
      </c>
      <c r="BM767" s="3" t="e">
        <v>#N/A</v>
      </c>
      <c r="BN767" s="3" t="e">
        <v>#N/A</v>
      </c>
    </row>
    <row r="768" spans="1:66" x14ac:dyDescent="0.35">
      <c r="A768" s="5">
        <f t="shared" si="11"/>
        <v>44530</v>
      </c>
      <c r="B768" t="s">
        <v>2091</v>
      </c>
      <c r="C768" s="2">
        <v>0.1</v>
      </c>
      <c r="D768" s="2">
        <v>4.5499999999999999E-2</v>
      </c>
      <c r="E768" s="3">
        <v>0.12587419999999999</v>
      </c>
      <c r="F768" s="3">
        <v>0.20617150000000001</v>
      </c>
      <c r="G768" s="3">
        <v>0.29728860000000001</v>
      </c>
      <c r="H768" s="3">
        <v>0.39208310000000002</v>
      </c>
      <c r="I768" s="3">
        <v>0.49168119999999998</v>
      </c>
      <c r="J768" s="3">
        <v>0.59296919999999997</v>
      </c>
      <c r="K768" s="3">
        <v>0.6901214</v>
      </c>
      <c r="L768" s="3">
        <v>0.77973979999999998</v>
      </c>
      <c r="M768" s="3">
        <v>0.85942589999999996</v>
      </c>
      <c r="N768" s="3">
        <v>0.9285793</v>
      </c>
      <c r="O768" s="3">
        <v>0.98734460000000002</v>
      </c>
      <c r="P768" s="3">
        <v>1.0367751999999999</v>
      </c>
      <c r="Q768" s="3">
        <v>1.0787340999999999</v>
      </c>
      <c r="R768" s="3">
        <v>1.1140549</v>
      </c>
      <c r="S768" s="3">
        <v>1.1432509</v>
      </c>
      <c r="T768" s="3">
        <v>1.1668349</v>
      </c>
      <c r="U768" s="3">
        <v>1.1853199999999999</v>
      </c>
      <c r="V768" s="3">
        <v>1.1992193</v>
      </c>
      <c r="W768" s="3">
        <v>1.2090202000000001</v>
      </c>
      <c r="X768" s="3">
        <v>1.2151122000000001</v>
      </c>
      <c r="Y768" s="3">
        <v>1.2178618000000001</v>
      </c>
      <c r="Z768" s="3">
        <v>1.2176353</v>
      </c>
      <c r="AA768" s="3">
        <v>1.2147991</v>
      </c>
      <c r="AB768" s="3">
        <v>1.2097195999999999</v>
      </c>
      <c r="AC768" s="3">
        <v>1.2027311000000001</v>
      </c>
      <c r="AD768" s="3">
        <v>1.1940396</v>
      </c>
      <c r="AE768" s="3">
        <v>1.1838191</v>
      </c>
      <c r="AF768" s="3">
        <v>1.1722436000000001</v>
      </c>
      <c r="AG768" s="3">
        <v>1.1594869999999999</v>
      </c>
      <c r="AH768" s="3">
        <v>1.1457231999999999</v>
      </c>
      <c r="AI768" s="3">
        <v>1.1311262</v>
      </c>
      <c r="AJ768" s="3">
        <v>1.1158699999999999</v>
      </c>
      <c r="AK768" s="3">
        <v>1.1001285999999999</v>
      </c>
      <c r="AL768" s="3">
        <v>1.0840757999999999</v>
      </c>
      <c r="AM768" s="3">
        <v>1.0678858</v>
      </c>
      <c r="AN768" s="3">
        <v>1.0517323000000001</v>
      </c>
      <c r="AO768" s="3">
        <v>1.0357707</v>
      </c>
      <c r="AP768" s="3">
        <v>1.0200552000000001</v>
      </c>
      <c r="AQ768" s="3">
        <v>1.0046063000000001</v>
      </c>
      <c r="AR768" s="3">
        <v>0.9894444</v>
      </c>
      <c r="AS768" s="3">
        <v>0.97458990000000001</v>
      </c>
      <c r="AT768" s="3">
        <v>0.96006340000000001</v>
      </c>
      <c r="AU768" s="3">
        <v>0.94588510000000003</v>
      </c>
      <c r="AV768" s="3">
        <v>0.93207549999999995</v>
      </c>
      <c r="AW768" s="3">
        <v>0.91865520000000001</v>
      </c>
      <c r="AX768" s="3">
        <v>0.90564440000000002</v>
      </c>
      <c r="AY768" s="3">
        <v>0.89306359999999996</v>
      </c>
      <c r="AZ768" s="3">
        <v>0.88093330000000003</v>
      </c>
      <c r="BA768" s="3">
        <v>0.86926970000000003</v>
      </c>
      <c r="BB768" s="3">
        <v>0.85806830000000001</v>
      </c>
      <c r="BC768" s="3">
        <v>0.84731840000000003</v>
      </c>
      <c r="BD768" s="3">
        <v>0.83700929999999996</v>
      </c>
      <c r="BE768" s="3">
        <v>0.82713040000000004</v>
      </c>
      <c r="BF768" s="3">
        <v>0.81767100000000004</v>
      </c>
      <c r="BG768" s="3">
        <v>0.80862020000000001</v>
      </c>
      <c r="BH768" s="3">
        <v>0.79996750000000005</v>
      </c>
      <c r="BI768" s="3">
        <v>0.79170220000000002</v>
      </c>
      <c r="BJ768" s="3">
        <v>0.78381350000000005</v>
      </c>
      <c r="BK768" s="3">
        <v>0.7762907</v>
      </c>
      <c r="BL768" s="3">
        <v>0.76912320000000001</v>
      </c>
      <c r="BM768" s="3" t="e">
        <v>#N/A</v>
      </c>
      <c r="BN768" s="3" t="e">
        <v>#N/A</v>
      </c>
    </row>
    <row r="769" spans="1:66" x14ac:dyDescent="0.35">
      <c r="A769" s="5">
        <f t="shared" si="11"/>
        <v>44531</v>
      </c>
      <c r="B769" t="s">
        <v>2092</v>
      </c>
      <c r="C769" s="2">
        <v>0.1</v>
      </c>
      <c r="D769" s="2">
        <v>4.5900000000000003E-2</v>
      </c>
      <c r="E769" s="3">
        <v>0.13703609999999999</v>
      </c>
      <c r="F769" s="3">
        <v>0.21893799999999999</v>
      </c>
      <c r="G769" s="3">
        <v>0.31668190000000002</v>
      </c>
      <c r="H769" s="3">
        <v>0.4165587</v>
      </c>
      <c r="I769" s="3">
        <v>0.51561330000000005</v>
      </c>
      <c r="J769" s="3">
        <v>0.6112689</v>
      </c>
      <c r="K769" s="3">
        <v>0.69991789999999998</v>
      </c>
      <c r="L769" s="3">
        <v>0.77982870000000004</v>
      </c>
      <c r="M769" s="3">
        <v>0.84996830000000001</v>
      </c>
      <c r="N769" s="3">
        <v>0.91037100000000004</v>
      </c>
      <c r="O769" s="3">
        <v>0.96180189999999999</v>
      </c>
      <c r="P769" s="3">
        <v>1.0050893000000001</v>
      </c>
      <c r="Q769" s="3">
        <v>1.0417544000000001</v>
      </c>
      <c r="R769" s="3">
        <v>1.0725445</v>
      </c>
      <c r="S769" s="3">
        <v>1.0979441999999999</v>
      </c>
      <c r="T769" s="3">
        <v>1.1184384999999999</v>
      </c>
      <c r="U769" s="3">
        <v>1.1345122000000001</v>
      </c>
      <c r="V769" s="3">
        <v>1.1466499999999999</v>
      </c>
      <c r="W769" s="3">
        <v>1.1553042</v>
      </c>
      <c r="X769" s="3">
        <v>1.1608031000000001</v>
      </c>
      <c r="Y769" s="3">
        <v>1.1634454000000001</v>
      </c>
      <c r="Z769" s="3">
        <v>1.1635298000000001</v>
      </c>
      <c r="AA769" s="3">
        <v>1.1613549999999999</v>
      </c>
      <c r="AB769" s="3">
        <v>1.1572198</v>
      </c>
      <c r="AC769" s="3">
        <v>1.1513982</v>
      </c>
      <c r="AD769" s="3">
        <v>1.1440655</v>
      </c>
      <c r="AE769" s="3">
        <v>1.1353721999999999</v>
      </c>
      <c r="AF769" s="3">
        <v>1.1254687999999999</v>
      </c>
      <c r="AG769" s="3">
        <v>1.114506</v>
      </c>
      <c r="AH769" s="3">
        <v>1.1026342</v>
      </c>
      <c r="AI769" s="3">
        <v>1.090004</v>
      </c>
      <c r="AJ769" s="3">
        <v>1.0767659999999999</v>
      </c>
      <c r="AK769" s="3">
        <v>1.0630706999999999</v>
      </c>
      <c r="AL769" s="3">
        <v>1.0490687999999999</v>
      </c>
      <c r="AM769" s="3">
        <v>1.0349105999999999</v>
      </c>
      <c r="AN769" s="3">
        <v>1.0207468</v>
      </c>
      <c r="AO769" s="3">
        <v>1.0067102999999999</v>
      </c>
      <c r="AP769" s="3">
        <v>0.99284749999999999</v>
      </c>
      <c r="AQ769" s="3">
        <v>0.97917869999999996</v>
      </c>
      <c r="AR769" s="3">
        <v>0.96572409999999997</v>
      </c>
      <c r="AS769" s="3">
        <v>0.95250400000000002</v>
      </c>
      <c r="AT769" s="3">
        <v>0.9395386</v>
      </c>
      <c r="AU769" s="3">
        <v>0.92684809999999995</v>
      </c>
      <c r="AV769" s="3">
        <v>0.91445279999999995</v>
      </c>
      <c r="AW769" s="3">
        <v>0.90237290000000003</v>
      </c>
      <c r="AX769" s="3">
        <v>0.89062870000000005</v>
      </c>
      <c r="AY769" s="3">
        <v>0.87924040000000003</v>
      </c>
      <c r="AZ769" s="3">
        <v>0.86822820000000001</v>
      </c>
      <c r="BA769" s="3">
        <v>0.85760800000000004</v>
      </c>
      <c r="BB769" s="3">
        <v>0.84737649999999998</v>
      </c>
      <c r="BC769" s="3">
        <v>0.83752470000000001</v>
      </c>
      <c r="BD769" s="3">
        <v>0.82804409999999995</v>
      </c>
      <c r="BE769" s="3">
        <v>0.81892589999999998</v>
      </c>
      <c r="BF769" s="3">
        <v>0.81016129999999997</v>
      </c>
      <c r="BG769" s="3">
        <v>0.80174160000000005</v>
      </c>
      <c r="BH769" s="3">
        <v>0.79365799999999997</v>
      </c>
      <c r="BI769" s="3">
        <v>0.78590190000000004</v>
      </c>
      <c r="BJ769" s="3">
        <v>0.7784645</v>
      </c>
      <c r="BK769" s="3">
        <v>0.7713371</v>
      </c>
      <c r="BL769" s="3">
        <v>0.76451089999999999</v>
      </c>
      <c r="BM769" s="3">
        <v>0.72941400000000001</v>
      </c>
      <c r="BN769" s="3">
        <v>0.70310609999999996</v>
      </c>
    </row>
    <row r="770" spans="1:66" x14ac:dyDescent="0.35">
      <c r="A770" s="5">
        <f t="shared" si="11"/>
        <v>44532</v>
      </c>
      <c r="B770" t="s">
        <v>2093</v>
      </c>
      <c r="C770" s="2">
        <v>0.1</v>
      </c>
      <c r="D770" s="2">
        <v>4.5699999999999998E-2</v>
      </c>
      <c r="E770" s="3">
        <v>0.1294814</v>
      </c>
      <c r="F770" s="3">
        <v>0.21072440000000001</v>
      </c>
      <c r="G770" s="3">
        <v>0.31224350000000001</v>
      </c>
      <c r="H770" s="3">
        <v>0.41777350000000002</v>
      </c>
      <c r="I770" s="3">
        <v>0.52181900000000003</v>
      </c>
      <c r="J770" s="3">
        <v>0.62031780000000003</v>
      </c>
      <c r="K770" s="3">
        <v>0.71044390000000002</v>
      </c>
      <c r="L770" s="3">
        <v>0.79180620000000002</v>
      </c>
      <c r="M770" s="3">
        <v>0.86365990000000004</v>
      </c>
      <c r="N770" s="3">
        <v>0.92577779999999998</v>
      </c>
      <c r="O770" s="3">
        <v>0.97838820000000004</v>
      </c>
      <c r="P770" s="3">
        <v>1.0221754999999999</v>
      </c>
      <c r="Q770" s="3">
        <v>1.0584834000000001</v>
      </c>
      <c r="R770" s="3">
        <v>1.0881578000000001</v>
      </c>
      <c r="S770" s="3">
        <v>1.1118699000000001</v>
      </c>
      <c r="T770" s="3">
        <v>1.1302908</v>
      </c>
      <c r="U770" s="3">
        <v>1.1440918</v>
      </c>
      <c r="V770" s="3">
        <v>1.1539440999999999</v>
      </c>
      <c r="W770" s="3">
        <v>1.1604569</v>
      </c>
      <c r="X770" s="3">
        <v>1.1640037999999999</v>
      </c>
      <c r="Y770" s="3">
        <v>1.1649023000000001</v>
      </c>
      <c r="Z770" s="3">
        <v>1.1634698999999999</v>
      </c>
      <c r="AA770" s="3">
        <v>1.1600239999999999</v>
      </c>
      <c r="AB770" s="3">
        <v>1.1548821</v>
      </c>
      <c r="AC770" s="3">
        <v>1.1483356</v>
      </c>
      <c r="AD770" s="3">
        <v>1.1405489</v>
      </c>
      <c r="AE770" s="3">
        <v>1.1316477</v>
      </c>
      <c r="AF770" s="3">
        <v>1.1217577999999999</v>
      </c>
      <c r="AG770" s="3">
        <v>1.1110047999999999</v>
      </c>
      <c r="AH770" s="3">
        <v>1.0995146</v>
      </c>
      <c r="AI770" s="3">
        <v>1.0874128000000001</v>
      </c>
      <c r="AJ770" s="3">
        <v>1.0748251</v>
      </c>
      <c r="AK770" s="3">
        <v>1.0618774</v>
      </c>
      <c r="AL770" s="3">
        <v>1.0486952</v>
      </c>
      <c r="AM770" s="3">
        <v>1.0354044</v>
      </c>
      <c r="AN770" s="3">
        <v>1.0221306999999999</v>
      </c>
      <c r="AO770" s="3">
        <v>1.0089834</v>
      </c>
      <c r="AP770" s="3">
        <v>0.996</v>
      </c>
      <c r="AQ770" s="3">
        <v>0.98319789999999996</v>
      </c>
      <c r="AR770" s="3">
        <v>0.97059490000000004</v>
      </c>
      <c r="AS770" s="3">
        <v>0.95820819999999995</v>
      </c>
      <c r="AT770" s="3">
        <v>0.94605550000000005</v>
      </c>
      <c r="AU770" s="3">
        <v>0.93415440000000005</v>
      </c>
      <c r="AV770" s="3">
        <v>0.92252219999999996</v>
      </c>
      <c r="AW770" s="3">
        <v>0.91117669999999995</v>
      </c>
      <c r="AX770" s="3">
        <v>0.90013520000000002</v>
      </c>
      <c r="AY770" s="3">
        <v>0.88941530000000002</v>
      </c>
      <c r="AZ770" s="3">
        <v>0.87903450000000005</v>
      </c>
      <c r="BA770" s="3">
        <v>0.86900679999999997</v>
      </c>
      <c r="BB770" s="3">
        <v>0.85932980000000003</v>
      </c>
      <c r="BC770" s="3">
        <v>0.8499968</v>
      </c>
      <c r="BD770" s="3">
        <v>0.841001</v>
      </c>
      <c r="BE770" s="3">
        <v>0.83233570000000001</v>
      </c>
      <c r="BF770" s="3">
        <v>0.82399409999999995</v>
      </c>
      <c r="BG770" s="3">
        <v>0.81596959999999996</v>
      </c>
      <c r="BH770" s="3">
        <v>0.80825530000000001</v>
      </c>
      <c r="BI770" s="3">
        <v>0.80084460000000002</v>
      </c>
      <c r="BJ770" s="3">
        <v>0.79373059999999995</v>
      </c>
      <c r="BK770" s="3">
        <v>0.78690680000000002</v>
      </c>
      <c r="BL770" s="3">
        <v>0.78036620000000001</v>
      </c>
      <c r="BM770" s="3">
        <v>0.74668469999999998</v>
      </c>
      <c r="BN770" s="3">
        <v>0.72144379999999997</v>
      </c>
    </row>
    <row r="771" spans="1:66" x14ac:dyDescent="0.35">
      <c r="A771" s="5">
        <f t="shared" si="11"/>
        <v>44533</v>
      </c>
      <c r="B771" t="s">
        <v>2094</v>
      </c>
      <c r="C771" s="2">
        <v>0.1</v>
      </c>
      <c r="D771" s="2">
        <v>4.5699999999999998E-2</v>
      </c>
      <c r="E771" s="3">
        <v>0.10182040000000001</v>
      </c>
      <c r="F771" s="3">
        <v>0.1805061</v>
      </c>
      <c r="G771" s="3">
        <v>0.27417659999999999</v>
      </c>
      <c r="H771" s="3">
        <v>0.37053520000000001</v>
      </c>
      <c r="I771" s="3">
        <v>0.4672152</v>
      </c>
      <c r="J771" s="3">
        <v>0.56101080000000003</v>
      </c>
      <c r="K771" s="3">
        <v>0.64848919999999999</v>
      </c>
      <c r="L771" s="3">
        <v>0.72793569999999996</v>
      </c>
      <c r="M771" s="3">
        <v>0.79789370000000004</v>
      </c>
      <c r="N771" s="3">
        <v>0.85759660000000004</v>
      </c>
      <c r="O771" s="3">
        <v>0.90751809999999999</v>
      </c>
      <c r="P771" s="3">
        <v>0.94869309999999996</v>
      </c>
      <c r="Q771" s="3">
        <v>0.98307290000000003</v>
      </c>
      <c r="R771" s="3">
        <v>1.0116285</v>
      </c>
      <c r="S771" s="3">
        <v>1.0349374</v>
      </c>
      <c r="T771" s="3">
        <v>1.0535771</v>
      </c>
      <c r="U771" s="3">
        <v>1.0681248000000001</v>
      </c>
      <c r="V771" s="3">
        <v>1.0791580000000001</v>
      </c>
      <c r="W771" s="3">
        <v>1.0872025000000001</v>
      </c>
      <c r="X771" s="3">
        <v>1.0925449</v>
      </c>
      <c r="Y771" s="3">
        <v>1.0954027</v>
      </c>
      <c r="Z771" s="3">
        <v>1.0959931000000001</v>
      </c>
      <c r="AA771" s="3">
        <v>1.0945336000000001</v>
      </c>
      <c r="AB771" s="3">
        <v>1.0912413999999999</v>
      </c>
      <c r="AC771" s="3">
        <v>1.0863217000000001</v>
      </c>
      <c r="AD771" s="3">
        <v>1.0799251000000001</v>
      </c>
      <c r="AE771" s="3">
        <v>1.072187</v>
      </c>
      <c r="AF771" s="3">
        <v>1.0632432000000001</v>
      </c>
      <c r="AG771" s="3">
        <v>1.0532292000000001</v>
      </c>
      <c r="AH771" s="3">
        <v>1.0422804999999999</v>
      </c>
      <c r="AI771" s="3">
        <v>1.0305329000000001</v>
      </c>
      <c r="AJ771" s="3">
        <v>1.0181218000000001</v>
      </c>
      <c r="AK771" s="3">
        <v>1.0051829000000001</v>
      </c>
      <c r="AL771" s="3">
        <v>0.99185179999999995</v>
      </c>
      <c r="AM771" s="3">
        <v>0.97826400000000002</v>
      </c>
      <c r="AN771" s="3">
        <v>0.9645551</v>
      </c>
      <c r="AO771" s="3">
        <v>0.95084480000000005</v>
      </c>
      <c r="AP771" s="3">
        <v>0.93718210000000002</v>
      </c>
      <c r="AQ771" s="3">
        <v>0.92359670000000005</v>
      </c>
      <c r="AR771" s="3">
        <v>0.91011799999999998</v>
      </c>
      <c r="AS771" s="3">
        <v>0.89677580000000001</v>
      </c>
      <c r="AT771" s="3">
        <v>0.88359960000000004</v>
      </c>
      <c r="AU771" s="3">
        <v>0.87061900000000003</v>
      </c>
      <c r="AV771" s="3">
        <v>0.85786370000000001</v>
      </c>
      <c r="AW771" s="3">
        <v>0.84536319999999998</v>
      </c>
      <c r="AX771" s="3">
        <v>0.83314710000000003</v>
      </c>
      <c r="AY771" s="3">
        <v>0.821245</v>
      </c>
      <c r="AZ771" s="3">
        <v>0.80968660000000003</v>
      </c>
      <c r="BA771" s="3">
        <v>0.79849669999999995</v>
      </c>
      <c r="BB771" s="3">
        <v>0.78767849999999995</v>
      </c>
      <c r="BC771" s="3">
        <v>0.77722959999999996</v>
      </c>
      <c r="BD771" s="3">
        <v>0.76714769999999999</v>
      </c>
      <c r="BE771" s="3">
        <v>0.7574301</v>
      </c>
      <c r="BF771" s="3">
        <v>0.74807440000000003</v>
      </c>
      <c r="BG771" s="3">
        <v>0.73907809999999996</v>
      </c>
      <c r="BH771" s="3">
        <v>0.73043880000000005</v>
      </c>
      <c r="BI771" s="3">
        <v>0.72215399999999996</v>
      </c>
      <c r="BJ771" s="3">
        <v>0.71422110000000005</v>
      </c>
      <c r="BK771" s="3">
        <v>0.70663779999999998</v>
      </c>
      <c r="BL771" s="3">
        <v>0.69940150000000001</v>
      </c>
      <c r="BM771" s="3">
        <v>0.66293210000000002</v>
      </c>
      <c r="BN771" s="3">
        <v>0.63711600000000002</v>
      </c>
    </row>
    <row r="772" spans="1:66" x14ac:dyDescent="0.35">
      <c r="A772" s="5">
        <f t="shared" si="11"/>
        <v>44536</v>
      </c>
      <c r="B772" t="s">
        <v>2095</v>
      </c>
      <c r="C772" s="2">
        <v>0.1</v>
      </c>
      <c r="D772" s="2">
        <v>4.5600000000000002E-2</v>
      </c>
      <c r="E772" s="3">
        <v>0.1195034</v>
      </c>
      <c r="F772" s="3">
        <v>0.20064969999999999</v>
      </c>
      <c r="G772" s="3">
        <v>0.29872320000000002</v>
      </c>
      <c r="H772" s="3">
        <v>0.3995071</v>
      </c>
      <c r="I772" s="3">
        <v>0.4980504</v>
      </c>
      <c r="J772" s="3">
        <v>0.59070020000000001</v>
      </c>
      <c r="K772" s="3">
        <v>0.67427990000000004</v>
      </c>
      <c r="L772" s="3">
        <v>0.74812730000000005</v>
      </c>
      <c r="M772" s="3">
        <v>0.81194639999999996</v>
      </c>
      <c r="N772" s="3">
        <v>0.86643020000000004</v>
      </c>
      <c r="O772" s="3">
        <v>0.91206120000000002</v>
      </c>
      <c r="P772" s="3">
        <v>0.94979089999999999</v>
      </c>
      <c r="Q772" s="3">
        <v>0.98095310000000002</v>
      </c>
      <c r="R772" s="3">
        <v>1.0063002000000001</v>
      </c>
      <c r="S772" s="3">
        <v>1.0264093000000001</v>
      </c>
      <c r="T772" s="3">
        <v>1.0418573</v>
      </c>
      <c r="U772" s="3">
        <v>1.0532212999999999</v>
      </c>
      <c r="V772" s="3">
        <v>1.0610782999999999</v>
      </c>
      <c r="W772" s="3">
        <v>1.0659603</v>
      </c>
      <c r="X772" s="3">
        <v>1.0682284</v>
      </c>
      <c r="Y772" s="3">
        <v>1.0682027000000001</v>
      </c>
      <c r="Z772" s="3">
        <v>1.0662034</v>
      </c>
      <c r="AA772" s="3">
        <v>1.0625507999999999</v>
      </c>
      <c r="AB772" s="3">
        <v>1.0575650999999999</v>
      </c>
      <c r="AC772" s="3">
        <v>1.0515273000000001</v>
      </c>
      <c r="AD772" s="3">
        <v>1.0445609</v>
      </c>
      <c r="AE772" s="3">
        <v>1.0367502</v>
      </c>
      <c r="AF772" s="3">
        <v>1.0281795</v>
      </c>
      <c r="AG772" s="3">
        <v>1.0189330999999999</v>
      </c>
      <c r="AH772" s="3">
        <v>1.0090953</v>
      </c>
      <c r="AI772" s="3">
        <v>0.99875040000000004</v>
      </c>
      <c r="AJ772" s="3">
        <v>0.98798260000000004</v>
      </c>
      <c r="AK772" s="3">
        <v>0.97687630000000003</v>
      </c>
      <c r="AL772" s="3">
        <v>0.96551580000000004</v>
      </c>
      <c r="AM772" s="3">
        <v>0.95398519999999998</v>
      </c>
      <c r="AN772" s="3">
        <v>0.94236900000000001</v>
      </c>
      <c r="AO772" s="3">
        <v>0.93074170000000001</v>
      </c>
      <c r="AP772" s="3">
        <v>0.91913529999999999</v>
      </c>
      <c r="AQ772" s="3">
        <v>0.90756990000000004</v>
      </c>
      <c r="AR772" s="3">
        <v>0.89606569999999997</v>
      </c>
      <c r="AS772" s="3">
        <v>0.88464290000000001</v>
      </c>
      <c r="AT772" s="3">
        <v>0.87332149999999997</v>
      </c>
      <c r="AU772" s="3">
        <v>0.86212180000000005</v>
      </c>
      <c r="AV772" s="3">
        <v>0.85106380000000004</v>
      </c>
      <c r="AW772" s="3">
        <v>0.84016780000000002</v>
      </c>
      <c r="AX772" s="3">
        <v>0.82945400000000002</v>
      </c>
      <c r="AY772" s="3">
        <v>0.81894239999999996</v>
      </c>
      <c r="AZ772" s="3">
        <v>0.80865319999999996</v>
      </c>
      <c r="BA772" s="3">
        <v>0.79860469999999995</v>
      </c>
      <c r="BB772" s="3">
        <v>0.78880550000000005</v>
      </c>
      <c r="BC772" s="3">
        <v>0.77926079999999998</v>
      </c>
      <c r="BD772" s="3">
        <v>0.76997559999999998</v>
      </c>
      <c r="BE772" s="3">
        <v>0.76095520000000005</v>
      </c>
      <c r="BF772" s="3">
        <v>0.75220489999999995</v>
      </c>
      <c r="BG772" s="3">
        <v>0.74372970000000005</v>
      </c>
      <c r="BH772" s="3">
        <v>0.73553489999999999</v>
      </c>
      <c r="BI772" s="3">
        <v>0.72762559999999998</v>
      </c>
      <c r="BJ772" s="3">
        <v>0.72000710000000001</v>
      </c>
      <c r="BK772" s="3">
        <v>0.71268450000000005</v>
      </c>
      <c r="BL772" s="3">
        <v>0.70566309999999999</v>
      </c>
      <c r="BM772" s="3">
        <v>0.66976690000000005</v>
      </c>
      <c r="BN772" s="3">
        <v>0.64367830000000004</v>
      </c>
    </row>
    <row r="773" spans="1:66" x14ac:dyDescent="0.35">
      <c r="A773" s="5">
        <f t="shared" si="11"/>
        <v>44537</v>
      </c>
      <c r="B773" t="s">
        <v>2097</v>
      </c>
      <c r="C773" s="2">
        <v>0.1</v>
      </c>
      <c r="D773" s="2">
        <v>4.53E-2</v>
      </c>
      <c r="E773" s="3">
        <v>0.12882930000000001</v>
      </c>
      <c r="F773" s="3">
        <v>0.21153859999999999</v>
      </c>
      <c r="G773" s="3">
        <v>0.30540020000000001</v>
      </c>
      <c r="H773" s="3">
        <v>0.40053349999999999</v>
      </c>
      <c r="I773" s="3">
        <v>0.49498569999999997</v>
      </c>
      <c r="J773" s="3">
        <v>0.58585880000000001</v>
      </c>
      <c r="K773" s="3">
        <v>0.66928759999999998</v>
      </c>
      <c r="L773" s="3">
        <v>0.74350629999999995</v>
      </c>
      <c r="M773" s="3">
        <v>0.80752000000000002</v>
      </c>
      <c r="N773" s="3">
        <v>0.8616838</v>
      </c>
      <c r="O773" s="3">
        <v>0.90655660000000005</v>
      </c>
      <c r="P773" s="3">
        <v>0.94333469999999997</v>
      </c>
      <c r="Q773" s="3">
        <v>0.97379380000000004</v>
      </c>
      <c r="R773" s="3">
        <v>0.99884790000000001</v>
      </c>
      <c r="S773" s="3">
        <v>1.0191490000000001</v>
      </c>
      <c r="T773" s="3">
        <v>1.0353494999999999</v>
      </c>
      <c r="U773" s="3">
        <v>1.0481014</v>
      </c>
      <c r="V773" s="3">
        <v>1.0580571000000001</v>
      </c>
      <c r="W773" s="3">
        <v>1.0657715000000001</v>
      </c>
      <c r="X773" s="3">
        <v>1.0714296000000001</v>
      </c>
      <c r="Y773" s="3">
        <v>1.0751284000000001</v>
      </c>
      <c r="Z773" s="3">
        <v>1.0769648999999999</v>
      </c>
      <c r="AA773" s="3">
        <v>1.0770360000000001</v>
      </c>
      <c r="AB773" s="3">
        <v>1.0754387000000001</v>
      </c>
      <c r="AC773" s="3">
        <v>1.0722735000000001</v>
      </c>
      <c r="AD773" s="3">
        <v>1.0676555999999999</v>
      </c>
      <c r="AE773" s="3">
        <v>1.0617038000000001</v>
      </c>
      <c r="AF773" s="3">
        <v>1.0545367999999999</v>
      </c>
      <c r="AG773" s="3">
        <v>1.0462735000000001</v>
      </c>
      <c r="AH773" s="3">
        <v>1.0370325</v>
      </c>
      <c r="AI773" s="3">
        <v>1.0269326000000001</v>
      </c>
      <c r="AJ773" s="3">
        <v>1.0160927</v>
      </c>
      <c r="AK773" s="3">
        <v>1.0046314999999999</v>
      </c>
      <c r="AL773" s="3">
        <v>0.99266770000000004</v>
      </c>
      <c r="AM773" s="3">
        <v>0.98032019999999997</v>
      </c>
      <c r="AN773" s="3">
        <v>0.96770769999999995</v>
      </c>
      <c r="AO773" s="3">
        <v>0.95493910000000004</v>
      </c>
      <c r="AP773" s="3">
        <v>0.94207070000000004</v>
      </c>
      <c r="AQ773" s="3">
        <v>0.92914090000000005</v>
      </c>
      <c r="AR773" s="3">
        <v>0.91618809999999995</v>
      </c>
      <c r="AS773" s="3">
        <v>0.90325089999999997</v>
      </c>
      <c r="AT773" s="3">
        <v>0.89036780000000004</v>
      </c>
      <c r="AU773" s="3">
        <v>0.87757700000000005</v>
      </c>
      <c r="AV773" s="3">
        <v>0.86491720000000005</v>
      </c>
      <c r="AW773" s="3">
        <v>0.85242680000000004</v>
      </c>
      <c r="AX773" s="3">
        <v>0.84014420000000001</v>
      </c>
      <c r="AY773" s="3">
        <v>0.82810799999999996</v>
      </c>
      <c r="AZ773" s="3">
        <v>0.81635650000000004</v>
      </c>
      <c r="BA773" s="3">
        <v>0.80492300000000006</v>
      </c>
      <c r="BB773" s="3">
        <v>0.7938153</v>
      </c>
      <c r="BC773" s="3">
        <v>0.78303339999999999</v>
      </c>
      <c r="BD773" s="3">
        <v>0.77257730000000002</v>
      </c>
      <c r="BE773" s="3">
        <v>0.76244710000000004</v>
      </c>
      <c r="BF773" s="3">
        <v>0.75264279999999995</v>
      </c>
      <c r="BG773" s="3">
        <v>0.74316439999999995</v>
      </c>
      <c r="BH773" s="3">
        <v>0.73401190000000005</v>
      </c>
      <c r="BI773" s="3">
        <v>0.72518530000000003</v>
      </c>
      <c r="BJ773" s="3">
        <v>0.71668469999999995</v>
      </c>
      <c r="BK773" s="3">
        <v>0.70851010000000003</v>
      </c>
      <c r="BL773" s="3">
        <v>0.70066150000000005</v>
      </c>
      <c r="BM773" s="3">
        <v>0.66018920000000003</v>
      </c>
      <c r="BN773" s="3">
        <v>0.63007329999999995</v>
      </c>
    </row>
    <row r="774" spans="1:66" x14ac:dyDescent="0.35">
      <c r="A774" s="5">
        <f t="shared" si="11"/>
        <v>44538</v>
      </c>
      <c r="B774" t="s">
        <v>2098</v>
      </c>
      <c r="C774" s="2">
        <v>0.1</v>
      </c>
      <c r="D774" s="2">
        <v>4.5699999999999998E-2</v>
      </c>
      <c r="E774" s="3">
        <v>0.1137485</v>
      </c>
      <c r="F774" s="3">
        <v>0.1984813</v>
      </c>
      <c r="G774" s="3">
        <v>0.29073569999999999</v>
      </c>
      <c r="H774" s="3">
        <v>0.38483600000000001</v>
      </c>
      <c r="I774" s="3">
        <v>0.48105229999999999</v>
      </c>
      <c r="J774" s="3">
        <v>0.57660560000000005</v>
      </c>
      <c r="K774" s="3">
        <v>0.66618630000000001</v>
      </c>
      <c r="L774" s="3">
        <v>0.74606729999999999</v>
      </c>
      <c r="M774" s="3">
        <v>0.81428330000000004</v>
      </c>
      <c r="N774" s="3">
        <v>0.87081560000000002</v>
      </c>
      <c r="O774" s="3">
        <v>0.91677710000000001</v>
      </c>
      <c r="P774" s="3">
        <v>0.95358750000000003</v>
      </c>
      <c r="Q774" s="3">
        <v>0.9836897</v>
      </c>
      <c r="R774" s="3">
        <v>1.0081895000000001</v>
      </c>
      <c r="S774" s="3">
        <v>1.0277582000000001</v>
      </c>
      <c r="T774" s="3">
        <v>1.0430671</v>
      </c>
      <c r="U774" s="3">
        <v>1.0547876</v>
      </c>
      <c r="V774" s="3">
        <v>1.0635908999999999</v>
      </c>
      <c r="W774" s="3">
        <v>1.0700577</v>
      </c>
      <c r="X774" s="3">
        <v>1.0744239</v>
      </c>
      <c r="Y774" s="3">
        <v>1.0768431999999999</v>
      </c>
      <c r="Z774" s="3">
        <v>1.0774691999999999</v>
      </c>
      <c r="AA774" s="3">
        <v>1.0764558</v>
      </c>
      <c r="AB774" s="3">
        <v>1.0739565</v>
      </c>
      <c r="AC774" s="3">
        <v>1.0701178</v>
      </c>
      <c r="AD774" s="3">
        <v>1.0650571</v>
      </c>
      <c r="AE774" s="3">
        <v>1.0588846000000001</v>
      </c>
      <c r="AF774" s="3">
        <v>1.0517103000000001</v>
      </c>
      <c r="AG774" s="3">
        <v>1.0436443</v>
      </c>
      <c r="AH774" s="3">
        <v>1.0347968000000001</v>
      </c>
      <c r="AI774" s="3">
        <v>1.0252779000000001</v>
      </c>
      <c r="AJ774" s="3">
        <v>1.0151977000000001</v>
      </c>
      <c r="AK774" s="3">
        <v>1.0046663</v>
      </c>
      <c r="AL774" s="3">
        <v>0.99379379999999995</v>
      </c>
      <c r="AM774" s="3">
        <v>0.98269039999999996</v>
      </c>
      <c r="AN774" s="3">
        <v>0.97146619999999995</v>
      </c>
      <c r="AO774" s="3">
        <v>0.96021939999999995</v>
      </c>
      <c r="AP774" s="3">
        <v>0.94899129999999998</v>
      </c>
      <c r="AQ774" s="3">
        <v>0.93780549999999996</v>
      </c>
      <c r="AR774" s="3">
        <v>0.92668569999999995</v>
      </c>
      <c r="AS774" s="3">
        <v>0.91565549999999996</v>
      </c>
      <c r="AT774" s="3">
        <v>0.90473870000000001</v>
      </c>
      <c r="AU774" s="3">
        <v>0.89395880000000005</v>
      </c>
      <c r="AV774" s="3">
        <v>0.8833396</v>
      </c>
      <c r="AW774" s="3">
        <v>0.87290480000000004</v>
      </c>
      <c r="AX774" s="3">
        <v>0.86267799999999994</v>
      </c>
      <c r="AY774" s="3">
        <v>0.85268290000000002</v>
      </c>
      <c r="AZ774" s="3">
        <v>0.8429432</v>
      </c>
      <c r="BA774" s="3">
        <v>0.83347850000000001</v>
      </c>
      <c r="BB774" s="3">
        <v>0.824291</v>
      </c>
      <c r="BC774" s="3">
        <v>0.81537809999999999</v>
      </c>
      <c r="BD774" s="3">
        <v>0.80673709999999998</v>
      </c>
      <c r="BE774" s="3">
        <v>0.79836530000000006</v>
      </c>
      <c r="BF774" s="3">
        <v>0.79025990000000002</v>
      </c>
      <c r="BG774" s="3">
        <v>0.78241839999999996</v>
      </c>
      <c r="BH774" s="3">
        <v>0.77483800000000003</v>
      </c>
      <c r="BI774" s="3">
        <v>0.76751610000000003</v>
      </c>
      <c r="BJ774" s="3">
        <v>0.76044999999999996</v>
      </c>
      <c r="BK774" s="3">
        <v>0.753637</v>
      </c>
      <c r="BL774" s="3">
        <v>0.74707440000000003</v>
      </c>
      <c r="BM774" s="3">
        <v>0.71271240000000002</v>
      </c>
      <c r="BN774" s="3">
        <v>0.6861121</v>
      </c>
    </row>
    <row r="775" spans="1:66" x14ac:dyDescent="0.35">
      <c r="A775" s="5">
        <f t="shared" si="11"/>
        <v>44539</v>
      </c>
      <c r="B775" t="s">
        <v>2099</v>
      </c>
      <c r="C775" s="2">
        <v>0.1</v>
      </c>
      <c r="D775" s="2">
        <v>4.58E-2</v>
      </c>
      <c r="E775" s="3">
        <v>0.1111671</v>
      </c>
      <c r="F775" s="3">
        <v>0.19812370000000001</v>
      </c>
      <c r="G775" s="3">
        <v>0.29068470000000002</v>
      </c>
      <c r="H775" s="3">
        <v>0.38394689999999998</v>
      </c>
      <c r="I775" s="3">
        <v>0.47871819999999998</v>
      </c>
      <c r="J775" s="3">
        <v>0.57239220000000002</v>
      </c>
      <c r="K775" s="3">
        <v>0.66010480000000005</v>
      </c>
      <c r="L775" s="3">
        <v>0.73834750000000005</v>
      </c>
      <c r="M775" s="3">
        <v>0.80521600000000004</v>
      </c>
      <c r="N775" s="3">
        <v>0.86071149999999996</v>
      </c>
      <c r="O775" s="3">
        <v>0.90575269999999997</v>
      </c>
      <c r="P775" s="3">
        <v>0.94184310000000004</v>
      </c>
      <c r="Q775" s="3">
        <v>0.97126000000000001</v>
      </c>
      <c r="R775" s="3">
        <v>0.99502590000000002</v>
      </c>
      <c r="S775" s="3">
        <v>1.0137775</v>
      </c>
      <c r="T775" s="3">
        <v>1.0281515000000001</v>
      </c>
      <c r="U775" s="3">
        <v>1.0387846000000001</v>
      </c>
      <c r="V775" s="3">
        <v>1.0463134999999999</v>
      </c>
      <c r="W775" s="3">
        <v>1.0513026000000001</v>
      </c>
      <c r="X775" s="3">
        <v>1.0540404000000001</v>
      </c>
      <c r="Y775" s="3">
        <v>1.0547503</v>
      </c>
      <c r="Z775" s="3">
        <v>1.0536551000000001</v>
      </c>
      <c r="AA775" s="3">
        <v>1.050978</v>
      </c>
      <c r="AB775" s="3">
        <v>1.0469421000000001</v>
      </c>
      <c r="AC775" s="3">
        <v>1.0417533000000001</v>
      </c>
      <c r="AD775" s="3">
        <v>1.0355338999999999</v>
      </c>
      <c r="AE775" s="3">
        <v>1.0283807</v>
      </c>
      <c r="AF775" s="3">
        <v>1.0203906</v>
      </c>
      <c r="AG775" s="3">
        <v>1.0116603</v>
      </c>
      <c r="AH775" s="3">
        <v>1.0022865999999999</v>
      </c>
      <c r="AI775" s="3">
        <v>0.99236639999999998</v>
      </c>
      <c r="AJ775" s="3">
        <v>0.98199650000000005</v>
      </c>
      <c r="AK775" s="3">
        <v>0.97127370000000002</v>
      </c>
      <c r="AL775" s="3">
        <v>0.9602948</v>
      </c>
      <c r="AM775" s="3">
        <v>0.94915660000000002</v>
      </c>
      <c r="AN775" s="3">
        <v>0.93795600000000001</v>
      </c>
      <c r="AO775" s="3">
        <v>0.92677830000000005</v>
      </c>
      <c r="AP775" s="3">
        <v>0.91565790000000002</v>
      </c>
      <c r="AQ775" s="3">
        <v>0.90461559999999996</v>
      </c>
      <c r="AR775" s="3">
        <v>0.89367169999999996</v>
      </c>
      <c r="AS775" s="3">
        <v>0.88284700000000005</v>
      </c>
      <c r="AT775" s="3">
        <v>0.87216179999999999</v>
      </c>
      <c r="AU775" s="3">
        <v>0.86163679999999998</v>
      </c>
      <c r="AV775" s="3">
        <v>0.85129250000000001</v>
      </c>
      <c r="AW775" s="3">
        <v>0.84114940000000005</v>
      </c>
      <c r="AX775" s="3">
        <v>0.83122819999999997</v>
      </c>
      <c r="AY775" s="3">
        <v>0.82154930000000004</v>
      </c>
      <c r="AZ775" s="3">
        <v>0.81213329999999995</v>
      </c>
      <c r="BA775" s="3">
        <v>0.80299750000000003</v>
      </c>
      <c r="BB775" s="3">
        <v>0.79414470000000004</v>
      </c>
      <c r="BC775" s="3">
        <v>0.78557359999999998</v>
      </c>
      <c r="BD775" s="3">
        <v>0.7772829</v>
      </c>
      <c r="BE775" s="3">
        <v>0.76927160000000006</v>
      </c>
      <c r="BF775" s="3">
        <v>0.76153839999999995</v>
      </c>
      <c r="BG775" s="3">
        <v>0.75408200000000003</v>
      </c>
      <c r="BH775" s="3">
        <v>0.74690120000000004</v>
      </c>
      <c r="BI775" s="3">
        <v>0.73999490000000001</v>
      </c>
      <c r="BJ775" s="3">
        <v>0.73336179999999995</v>
      </c>
      <c r="BK775" s="3">
        <v>0.7270006</v>
      </c>
      <c r="BL775" s="3">
        <v>0.72091019999999995</v>
      </c>
      <c r="BM775" s="3">
        <v>0.68979349999999995</v>
      </c>
      <c r="BN775" s="3">
        <v>0.66695159999999998</v>
      </c>
    </row>
    <row r="776" spans="1:66" x14ac:dyDescent="0.35">
      <c r="A776" s="5">
        <f t="shared" si="11"/>
        <v>44540</v>
      </c>
      <c r="B776" t="s">
        <v>2100</v>
      </c>
      <c r="C776" s="2">
        <v>0.1</v>
      </c>
      <c r="D776" s="2">
        <v>4.5100000000000001E-2</v>
      </c>
      <c r="E776" s="3">
        <v>0.111639</v>
      </c>
      <c r="F776" s="3">
        <v>0.19687540000000001</v>
      </c>
      <c r="G776" s="3">
        <v>0.2875026</v>
      </c>
      <c r="H776" s="3">
        <v>0.37979030000000003</v>
      </c>
      <c r="I776" s="3">
        <v>0.4746862</v>
      </c>
      <c r="J776" s="3">
        <v>0.56899080000000002</v>
      </c>
      <c r="K776" s="3">
        <v>0.65709050000000002</v>
      </c>
      <c r="L776" s="3">
        <v>0.73492659999999999</v>
      </c>
      <c r="M776" s="3">
        <v>0.80060469999999995</v>
      </c>
      <c r="N776" s="3">
        <v>0.85396499999999997</v>
      </c>
      <c r="O776" s="3">
        <v>0.89635330000000002</v>
      </c>
      <c r="P776" s="3">
        <v>0.92954899999999996</v>
      </c>
      <c r="Q776" s="3">
        <v>0.95609330000000003</v>
      </c>
      <c r="R776" s="3">
        <v>0.97714469999999998</v>
      </c>
      <c r="S776" s="3">
        <v>0.99334880000000003</v>
      </c>
      <c r="T776" s="3">
        <v>1.0053506000000001</v>
      </c>
      <c r="U776" s="3">
        <v>1.0137955000000001</v>
      </c>
      <c r="V776" s="3">
        <v>1.0193285999999999</v>
      </c>
      <c r="W776" s="3">
        <v>1.0225321999999999</v>
      </c>
      <c r="X776" s="3">
        <v>1.0236961</v>
      </c>
      <c r="Y776" s="3">
        <v>1.0230250999999999</v>
      </c>
      <c r="Z776" s="3">
        <v>1.0207244</v>
      </c>
      <c r="AA776" s="3">
        <v>1.0169988000000001</v>
      </c>
      <c r="AB776" s="3">
        <v>1.0120534999999999</v>
      </c>
      <c r="AC776" s="3">
        <v>1.0060762999999999</v>
      </c>
      <c r="AD776" s="3">
        <v>0.9991797</v>
      </c>
      <c r="AE776" s="3">
        <v>0.99145530000000004</v>
      </c>
      <c r="AF776" s="3">
        <v>0.9829947</v>
      </c>
      <c r="AG776" s="3">
        <v>0.97388969999999997</v>
      </c>
      <c r="AH776" s="3">
        <v>0.96423199999999998</v>
      </c>
      <c r="AI776" s="3">
        <v>0.95411299999999999</v>
      </c>
      <c r="AJ776" s="3">
        <v>0.94362460000000004</v>
      </c>
      <c r="AK776" s="3">
        <v>0.93285830000000003</v>
      </c>
      <c r="AL776" s="3">
        <v>0.9219058</v>
      </c>
      <c r="AM776" s="3">
        <v>0.91085879999999997</v>
      </c>
      <c r="AN776" s="3">
        <v>0.89980899999999997</v>
      </c>
      <c r="AO776" s="3">
        <v>0.88883639999999997</v>
      </c>
      <c r="AP776" s="3">
        <v>0.87797080000000005</v>
      </c>
      <c r="AQ776" s="3">
        <v>0.867228</v>
      </c>
      <c r="AR776" s="3">
        <v>0.85662349999999998</v>
      </c>
      <c r="AS776" s="3">
        <v>0.84617310000000001</v>
      </c>
      <c r="AT776" s="3">
        <v>0.83589259999999999</v>
      </c>
      <c r="AU776" s="3">
        <v>0.82579749999999996</v>
      </c>
      <c r="AV776" s="3">
        <v>0.81590370000000001</v>
      </c>
      <c r="AW776" s="3">
        <v>0.80622689999999997</v>
      </c>
      <c r="AX776" s="3">
        <v>0.79678269999999995</v>
      </c>
      <c r="AY776" s="3">
        <v>0.78758680000000003</v>
      </c>
      <c r="AZ776" s="3">
        <v>0.77865499999999999</v>
      </c>
      <c r="BA776" s="3">
        <v>0.77000020000000002</v>
      </c>
      <c r="BB776" s="3">
        <v>0.76162339999999995</v>
      </c>
      <c r="BC776" s="3">
        <v>0.75352200000000003</v>
      </c>
      <c r="BD776" s="3">
        <v>0.74569350000000001</v>
      </c>
      <c r="BE776" s="3">
        <v>0.7381356</v>
      </c>
      <c r="BF776" s="3">
        <v>0.73084570000000004</v>
      </c>
      <c r="BG776" s="3">
        <v>0.7238213</v>
      </c>
      <c r="BH776" s="3">
        <v>0.71706009999999998</v>
      </c>
      <c r="BI776" s="3">
        <v>0.71055959999999996</v>
      </c>
      <c r="BJ776" s="3">
        <v>0.70431719999999998</v>
      </c>
      <c r="BK776" s="3">
        <v>0.69833049999999997</v>
      </c>
      <c r="BL776" s="3">
        <v>0.69259700000000002</v>
      </c>
      <c r="BM776" s="3">
        <v>0.6632477</v>
      </c>
      <c r="BN776" s="3">
        <v>0.64161239999999997</v>
      </c>
    </row>
    <row r="777" spans="1:66" x14ac:dyDescent="0.35">
      <c r="A777" s="5">
        <f t="shared" si="11"/>
        <v>44543</v>
      </c>
      <c r="B777" t="s">
        <v>2101</v>
      </c>
      <c r="C777" s="2">
        <v>0.1</v>
      </c>
      <c r="D777" s="2">
        <v>4.53E-2</v>
      </c>
      <c r="E777" s="3">
        <v>0.1138242</v>
      </c>
      <c r="F777" s="3">
        <v>0.20036370000000001</v>
      </c>
      <c r="G777" s="3">
        <v>0.28601090000000001</v>
      </c>
      <c r="H777" s="3">
        <v>0.37357059999999997</v>
      </c>
      <c r="I777" s="3">
        <v>0.4659546</v>
      </c>
      <c r="J777" s="3">
        <v>0.56006469999999997</v>
      </c>
      <c r="K777" s="3">
        <v>0.64937100000000003</v>
      </c>
      <c r="L777" s="3">
        <v>0.72889919999999997</v>
      </c>
      <c r="M777" s="3">
        <v>0.79575130000000005</v>
      </c>
      <c r="N777" s="3">
        <v>0.85026729999999995</v>
      </c>
      <c r="O777" s="3">
        <v>0.89349160000000005</v>
      </c>
      <c r="P777" s="3">
        <v>0.92743279999999995</v>
      </c>
      <c r="Q777" s="3">
        <v>0.95483819999999997</v>
      </c>
      <c r="R777" s="3">
        <v>0.97675449999999997</v>
      </c>
      <c r="S777" s="3">
        <v>0.99372939999999998</v>
      </c>
      <c r="T777" s="3">
        <v>1.0063103</v>
      </c>
      <c r="U777" s="3">
        <v>1.0150448999999999</v>
      </c>
      <c r="V777" s="3">
        <v>1.0204808000000001</v>
      </c>
      <c r="W777" s="3">
        <v>1.0231101</v>
      </c>
      <c r="X777" s="3">
        <v>1.023215</v>
      </c>
      <c r="Y777" s="3">
        <v>1.0210271</v>
      </c>
      <c r="Z777" s="3">
        <v>1.0167784</v>
      </c>
      <c r="AA777" s="3">
        <v>1.0107006999999999</v>
      </c>
      <c r="AB777" s="3">
        <v>1.0030258000000001</v>
      </c>
      <c r="AC777" s="3">
        <v>0.99397060000000004</v>
      </c>
      <c r="AD777" s="3">
        <v>0.98369200000000001</v>
      </c>
      <c r="AE777" s="3">
        <v>0.97233190000000003</v>
      </c>
      <c r="AF777" s="3">
        <v>0.96003240000000001</v>
      </c>
      <c r="AG777" s="3">
        <v>0.94693539999999998</v>
      </c>
      <c r="AH777" s="3">
        <v>0.93318279999999998</v>
      </c>
      <c r="AI777" s="3">
        <v>0.91891659999999997</v>
      </c>
      <c r="AJ777" s="3">
        <v>0.90427869999999999</v>
      </c>
      <c r="AK777" s="3">
        <v>0.88941110000000001</v>
      </c>
      <c r="AL777" s="3">
        <v>0.87445569999999995</v>
      </c>
      <c r="AM777" s="3">
        <v>0.8595545</v>
      </c>
      <c r="AN777" s="3">
        <v>0.84484950000000003</v>
      </c>
      <c r="AO777" s="3">
        <v>0.83046350000000002</v>
      </c>
      <c r="AP777" s="3">
        <v>0.81643569999999999</v>
      </c>
      <c r="AQ777" s="3">
        <v>0.8027822</v>
      </c>
      <c r="AR777" s="3">
        <v>0.78951899999999997</v>
      </c>
      <c r="AS777" s="3">
        <v>0.77666210000000002</v>
      </c>
      <c r="AT777" s="3">
        <v>0.7642274</v>
      </c>
      <c r="AU777" s="3">
        <v>0.75223110000000004</v>
      </c>
      <c r="AV777" s="3">
        <v>0.74068900000000004</v>
      </c>
      <c r="AW777" s="3">
        <v>0.72961730000000002</v>
      </c>
      <c r="AX777" s="3">
        <v>0.71903189999999995</v>
      </c>
      <c r="AY777" s="3">
        <v>0.70894889999999999</v>
      </c>
      <c r="AZ777" s="3">
        <v>0.69938429999999996</v>
      </c>
      <c r="BA777" s="3">
        <v>0.69035000000000002</v>
      </c>
      <c r="BB777" s="3">
        <v>0.68183570000000004</v>
      </c>
      <c r="BC777" s="3">
        <v>0.67382410000000004</v>
      </c>
      <c r="BD777" s="3">
        <v>0.66629729999999998</v>
      </c>
      <c r="BE777" s="3">
        <v>0.65923799999999999</v>
      </c>
      <c r="BF777" s="3">
        <v>0.6526284</v>
      </c>
      <c r="BG777" s="3">
        <v>0.64645109999999995</v>
      </c>
      <c r="BH777" s="3">
        <v>0.64068840000000005</v>
      </c>
      <c r="BI777" s="3">
        <v>0.63532279999999997</v>
      </c>
      <c r="BJ777" s="3">
        <v>0.63033660000000002</v>
      </c>
      <c r="BK777" s="3">
        <v>0.62571239999999995</v>
      </c>
      <c r="BL777" s="3">
        <v>0.62143250000000005</v>
      </c>
      <c r="BM777" s="3">
        <v>0.60207339999999998</v>
      </c>
      <c r="BN777" s="3">
        <v>0.5911341</v>
      </c>
    </row>
    <row r="778" spans="1:66" x14ac:dyDescent="0.35">
      <c r="A778" s="5">
        <f t="shared" si="11"/>
        <v>44544</v>
      </c>
      <c r="B778" t="s">
        <v>2102</v>
      </c>
      <c r="C778" s="2">
        <v>0.1</v>
      </c>
      <c r="D778" s="2">
        <v>4.53E-2</v>
      </c>
      <c r="E778" s="3">
        <v>0.1178303</v>
      </c>
      <c r="F778" s="3">
        <v>0.20983789999999999</v>
      </c>
      <c r="G778" s="3">
        <v>0.30488510000000002</v>
      </c>
      <c r="H778" s="3">
        <v>0.4012539</v>
      </c>
      <c r="I778" s="3">
        <v>0.49902580000000002</v>
      </c>
      <c r="J778" s="3">
        <v>0.59522750000000002</v>
      </c>
      <c r="K778" s="3">
        <v>0.68461890000000003</v>
      </c>
      <c r="L778" s="3">
        <v>0.76329599999999997</v>
      </c>
      <c r="M778" s="3">
        <v>0.82931999999999995</v>
      </c>
      <c r="N778" s="3">
        <v>0.88338510000000003</v>
      </c>
      <c r="O778" s="3">
        <v>0.92665850000000005</v>
      </c>
      <c r="P778" s="3">
        <v>0.96096440000000005</v>
      </c>
      <c r="Q778" s="3">
        <v>0.98873420000000001</v>
      </c>
      <c r="R778" s="3">
        <v>1.0109575</v>
      </c>
      <c r="S778" s="3">
        <v>1.0282047999999999</v>
      </c>
      <c r="T778" s="3">
        <v>1.0410467000000001</v>
      </c>
      <c r="U778" s="3">
        <v>1.0500537999999999</v>
      </c>
      <c r="V778" s="3">
        <v>1.0557965</v>
      </c>
      <c r="W778" s="3">
        <v>1.0587858999999999</v>
      </c>
      <c r="X778" s="3">
        <v>1.0593064000000001</v>
      </c>
      <c r="Y778" s="3">
        <v>1.0575882000000001</v>
      </c>
      <c r="Z778" s="3">
        <v>1.0538618</v>
      </c>
      <c r="AA778" s="3">
        <v>1.0483575999999999</v>
      </c>
      <c r="AB778" s="3">
        <v>1.0413057999999999</v>
      </c>
      <c r="AC778" s="3">
        <v>1.0329207</v>
      </c>
      <c r="AD778" s="3">
        <v>1.0233506999999999</v>
      </c>
      <c r="AE778" s="3">
        <v>1.0127283</v>
      </c>
      <c r="AF778" s="3">
        <v>1.0011858</v>
      </c>
      <c r="AG778" s="3">
        <v>0.9888555</v>
      </c>
      <c r="AH778" s="3">
        <v>0.97586980000000001</v>
      </c>
      <c r="AI778" s="3">
        <v>0.96236100000000002</v>
      </c>
      <c r="AJ778" s="3">
        <v>0.94846149999999996</v>
      </c>
      <c r="AK778" s="3">
        <v>0.93430349999999995</v>
      </c>
      <c r="AL778" s="3">
        <v>0.92001940000000004</v>
      </c>
      <c r="AM778" s="3">
        <v>0.90574160000000004</v>
      </c>
      <c r="AN778" s="3">
        <v>0.89160240000000002</v>
      </c>
      <c r="AO778" s="3">
        <v>0.87771980000000005</v>
      </c>
      <c r="AP778" s="3">
        <v>0.86413510000000004</v>
      </c>
      <c r="AQ778" s="3">
        <v>0.85086349999999999</v>
      </c>
      <c r="AR778" s="3">
        <v>0.83792060000000002</v>
      </c>
      <c r="AS778" s="3">
        <v>0.82532159999999999</v>
      </c>
      <c r="AT778" s="3">
        <v>0.81308190000000002</v>
      </c>
      <c r="AU778" s="3">
        <v>0.80121699999999996</v>
      </c>
      <c r="AV778" s="3">
        <v>0.7897421</v>
      </c>
      <c r="AW778" s="3">
        <v>0.7786727</v>
      </c>
      <c r="AX778" s="3">
        <v>0.76802420000000005</v>
      </c>
      <c r="AY778" s="3">
        <v>0.75781180000000004</v>
      </c>
      <c r="AZ778" s="3">
        <v>0.74805109999999997</v>
      </c>
      <c r="BA778" s="3">
        <v>0.73875349999999995</v>
      </c>
      <c r="BB778" s="3">
        <v>0.72991269999999997</v>
      </c>
      <c r="BC778" s="3">
        <v>0.72151639999999995</v>
      </c>
      <c r="BD778" s="3">
        <v>0.71355270000000004</v>
      </c>
      <c r="BE778" s="3">
        <v>0.7060092</v>
      </c>
      <c r="BF778" s="3">
        <v>0.69887410000000005</v>
      </c>
      <c r="BG778" s="3">
        <v>0.69213519999999995</v>
      </c>
      <c r="BH778" s="3">
        <v>0.68578030000000001</v>
      </c>
      <c r="BI778" s="3">
        <v>0.67979750000000005</v>
      </c>
      <c r="BJ778" s="3">
        <v>0.67417450000000001</v>
      </c>
      <c r="BK778" s="3">
        <v>0.66889929999999997</v>
      </c>
      <c r="BL778" s="3">
        <v>0.66395979999999999</v>
      </c>
      <c r="BM778" s="3">
        <v>0.64069310000000002</v>
      </c>
      <c r="BN778" s="3">
        <v>0.62645130000000004</v>
      </c>
    </row>
    <row r="779" spans="1:66" x14ac:dyDescent="0.35">
      <c r="A779" s="5">
        <f t="shared" si="11"/>
        <v>44545</v>
      </c>
      <c r="B779" t="s">
        <v>2103</v>
      </c>
      <c r="C779" s="2">
        <v>0.1</v>
      </c>
      <c r="D779" s="2">
        <v>4.4999999999999998E-2</v>
      </c>
      <c r="E779" s="3">
        <v>0.14313119999999999</v>
      </c>
      <c r="F779" s="3">
        <v>0.25297150000000002</v>
      </c>
      <c r="G779" s="3">
        <v>0.36233130000000002</v>
      </c>
      <c r="H779" s="3">
        <v>0.4691147</v>
      </c>
      <c r="I779" s="3">
        <v>0.57243940000000004</v>
      </c>
      <c r="J779" s="3">
        <v>0.66978340000000003</v>
      </c>
      <c r="K779" s="3">
        <v>0.75747819999999999</v>
      </c>
      <c r="L779" s="3">
        <v>0.83312569999999997</v>
      </c>
      <c r="M779" s="3">
        <v>0.89583930000000001</v>
      </c>
      <c r="N779" s="3">
        <v>0.94638500000000003</v>
      </c>
      <c r="O779" s="3">
        <v>0.98623640000000001</v>
      </c>
      <c r="P779" s="3">
        <v>1.0168984000000001</v>
      </c>
      <c r="Q779" s="3">
        <v>1.0406226000000001</v>
      </c>
      <c r="R779" s="3">
        <v>1.0585218000000001</v>
      </c>
      <c r="S779" s="3">
        <v>1.0713440999999999</v>
      </c>
      <c r="T779" s="3">
        <v>1.0798376000000001</v>
      </c>
      <c r="U779" s="3">
        <v>1.0847505</v>
      </c>
      <c r="V779" s="3">
        <v>1.0868309</v>
      </c>
      <c r="W779" s="3">
        <v>1.0867245999999999</v>
      </c>
      <c r="X779" s="3">
        <v>1.0846871</v>
      </c>
      <c r="Y779" s="3">
        <v>1.0808815000000001</v>
      </c>
      <c r="Z779" s="3">
        <v>1.0754707999999999</v>
      </c>
      <c r="AA779" s="3">
        <v>1.0686178</v>
      </c>
      <c r="AB779" s="3">
        <v>1.0604855</v>
      </c>
      <c r="AC779" s="3">
        <v>1.0512287</v>
      </c>
      <c r="AD779" s="3">
        <v>1.0409691999999999</v>
      </c>
      <c r="AE779" s="3">
        <v>1.0298206000000001</v>
      </c>
      <c r="AF779" s="3">
        <v>1.0178967000000001</v>
      </c>
      <c r="AG779" s="3">
        <v>1.0053112</v>
      </c>
      <c r="AH779" s="3">
        <v>0.99217759999999999</v>
      </c>
      <c r="AI779" s="3">
        <v>0.97860970000000003</v>
      </c>
      <c r="AJ779" s="3">
        <v>0.96472119999999995</v>
      </c>
      <c r="AK779" s="3">
        <v>0.95062570000000002</v>
      </c>
      <c r="AL779" s="3">
        <v>0.93643690000000002</v>
      </c>
      <c r="AM779" s="3">
        <v>0.92226850000000005</v>
      </c>
      <c r="AN779" s="3">
        <v>0.90823410000000004</v>
      </c>
      <c r="AO779" s="3">
        <v>0.89443470000000003</v>
      </c>
      <c r="AP779" s="3">
        <v>0.88090869999999999</v>
      </c>
      <c r="AQ779" s="3">
        <v>0.86767590000000006</v>
      </c>
      <c r="AR779" s="3">
        <v>0.85475590000000001</v>
      </c>
      <c r="AS779" s="3">
        <v>0.84216809999999998</v>
      </c>
      <c r="AT779" s="3">
        <v>0.82993240000000001</v>
      </c>
      <c r="AU779" s="3">
        <v>0.81806820000000002</v>
      </c>
      <c r="AV779" s="3">
        <v>0.80659510000000001</v>
      </c>
      <c r="AW779" s="3">
        <v>0.79553289999999999</v>
      </c>
      <c r="AX779" s="3">
        <v>0.78490110000000002</v>
      </c>
      <c r="AY779" s="3">
        <v>0.7747193</v>
      </c>
      <c r="AZ779" s="3">
        <v>0.76500710000000005</v>
      </c>
      <c r="BA779" s="3">
        <v>0.75577910000000004</v>
      </c>
      <c r="BB779" s="3">
        <v>0.7470272</v>
      </c>
      <c r="BC779" s="3">
        <v>0.73873750000000005</v>
      </c>
      <c r="BD779" s="3">
        <v>0.73089559999999998</v>
      </c>
      <c r="BE779" s="3">
        <v>0.72348760000000001</v>
      </c>
      <c r="BF779" s="3">
        <v>0.7164992</v>
      </c>
      <c r="BG779" s="3">
        <v>0.70991629999999994</v>
      </c>
      <c r="BH779" s="3">
        <v>0.70372489999999999</v>
      </c>
      <c r="BI779" s="3">
        <v>0.69791060000000005</v>
      </c>
      <c r="BJ779" s="3">
        <v>0.69245950000000001</v>
      </c>
      <c r="BK779" s="3">
        <v>0.68735729999999995</v>
      </c>
      <c r="BL779" s="3">
        <v>0.68258989999999997</v>
      </c>
      <c r="BM779" s="3">
        <v>0.66024510000000003</v>
      </c>
      <c r="BN779" s="3">
        <v>0.64651119999999995</v>
      </c>
    </row>
    <row r="780" spans="1:66" x14ac:dyDescent="0.35">
      <c r="A780" s="5">
        <f t="shared" si="11"/>
        <v>44546</v>
      </c>
      <c r="B780" t="s">
        <v>2104</v>
      </c>
      <c r="C780" s="2">
        <v>0.25</v>
      </c>
      <c r="D780" s="2">
        <v>0.16220000000000001</v>
      </c>
      <c r="E780" s="3">
        <v>0.21610599999999999</v>
      </c>
      <c r="F780" s="3">
        <v>0.3156177</v>
      </c>
      <c r="G780" s="3">
        <v>0.41957800000000001</v>
      </c>
      <c r="H780" s="3">
        <v>0.52430840000000001</v>
      </c>
      <c r="I780" s="3">
        <v>0.62510840000000001</v>
      </c>
      <c r="J780" s="3">
        <v>0.71743369999999995</v>
      </c>
      <c r="K780" s="3">
        <v>0.79801829999999996</v>
      </c>
      <c r="L780" s="3">
        <v>0.86581390000000003</v>
      </c>
      <c r="M780" s="3">
        <v>0.92136960000000001</v>
      </c>
      <c r="N780" s="3">
        <v>0.9663659</v>
      </c>
      <c r="O780" s="3">
        <v>1.0025698999999999</v>
      </c>
      <c r="P780" s="3">
        <v>1.0317375</v>
      </c>
      <c r="Q780" s="3">
        <v>1.0559897</v>
      </c>
      <c r="R780" s="3">
        <v>1.0760187999999999</v>
      </c>
      <c r="S780" s="3">
        <v>1.0921055</v>
      </c>
      <c r="T780" s="3">
        <v>1.1045308</v>
      </c>
      <c r="U780" s="3">
        <v>1.1135756000000001</v>
      </c>
      <c r="V780" s="3">
        <v>1.1195208000000001</v>
      </c>
      <c r="W780" s="3">
        <v>1.1226313999999999</v>
      </c>
      <c r="X780" s="3">
        <v>1.123111</v>
      </c>
      <c r="Y780" s="3">
        <v>1.1211488000000001</v>
      </c>
      <c r="Z780" s="3">
        <v>1.1169342</v>
      </c>
      <c r="AA780" s="3">
        <v>1.1106562</v>
      </c>
      <c r="AB780" s="3">
        <v>1.1025041</v>
      </c>
      <c r="AC780" s="3">
        <v>1.0926642</v>
      </c>
      <c r="AD780" s="3">
        <v>1.0813082999999999</v>
      </c>
      <c r="AE780" s="3">
        <v>1.0686038</v>
      </c>
      <c r="AF780" s="3">
        <v>1.0547181999999999</v>
      </c>
      <c r="AG780" s="3">
        <v>1.0398189</v>
      </c>
      <c r="AH780" s="3">
        <v>1.0240734</v>
      </c>
      <c r="AI780" s="3">
        <v>1.0076491000000001</v>
      </c>
      <c r="AJ780" s="3">
        <v>0.99071339999999997</v>
      </c>
      <c r="AK780" s="3">
        <v>0.97343389999999996</v>
      </c>
      <c r="AL780" s="3">
        <v>0.95597790000000005</v>
      </c>
      <c r="AM780" s="3">
        <v>0.93851300000000004</v>
      </c>
      <c r="AN780" s="3">
        <v>0.92120650000000004</v>
      </c>
      <c r="AO780" s="3">
        <v>0.90420409999999996</v>
      </c>
      <c r="AP780" s="3">
        <v>0.88755600000000001</v>
      </c>
      <c r="AQ780" s="3">
        <v>0.87128550000000005</v>
      </c>
      <c r="AR780" s="3">
        <v>0.85541630000000002</v>
      </c>
      <c r="AS780" s="3">
        <v>0.83997189999999999</v>
      </c>
      <c r="AT780" s="3">
        <v>0.82497580000000004</v>
      </c>
      <c r="AU780" s="3">
        <v>0.81045160000000005</v>
      </c>
      <c r="AV780" s="3">
        <v>0.79642279999999999</v>
      </c>
      <c r="AW780" s="3">
        <v>0.78291299999999997</v>
      </c>
      <c r="AX780" s="3">
        <v>0.76994560000000001</v>
      </c>
      <c r="AY780" s="3">
        <v>0.75754429999999995</v>
      </c>
      <c r="AZ780" s="3">
        <v>0.74573250000000002</v>
      </c>
      <c r="BA780" s="3">
        <v>0.73452759999999995</v>
      </c>
      <c r="BB780" s="3">
        <v>0.72391950000000005</v>
      </c>
      <c r="BC780" s="3">
        <v>0.71389029999999998</v>
      </c>
      <c r="BD780" s="3">
        <v>0.70442229999999995</v>
      </c>
      <c r="BE780" s="3">
        <v>0.69549780000000005</v>
      </c>
      <c r="BF780" s="3">
        <v>0.68709900000000002</v>
      </c>
      <c r="BG780" s="3">
        <v>0.67920820000000004</v>
      </c>
      <c r="BH780" s="3">
        <v>0.67180759999999995</v>
      </c>
      <c r="BI780" s="3">
        <v>0.66487949999999996</v>
      </c>
      <c r="BJ780" s="3">
        <v>0.65840609999999999</v>
      </c>
      <c r="BK780" s="3">
        <v>0.65236970000000005</v>
      </c>
      <c r="BL780" s="3">
        <v>0.64675249999999995</v>
      </c>
      <c r="BM780" s="3">
        <v>0.62092990000000003</v>
      </c>
      <c r="BN780" s="3">
        <v>0.60615759999999996</v>
      </c>
    </row>
    <row r="781" spans="1:66" x14ac:dyDescent="0.35">
      <c r="A781" s="5">
        <f t="shared" si="11"/>
        <v>44547</v>
      </c>
      <c r="B781" t="s">
        <v>2105</v>
      </c>
      <c r="C781" s="2">
        <v>0.25</v>
      </c>
      <c r="D781" s="2">
        <v>0.19370000000000001</v>
      </c>
      <c r="E781" s="3">
        <v>0.22080320000000001</v>
      </c>
      <c r="F781" s="3">
        <v>0.33373540000000002</v>
      </c>
      <c r="G781" s="3">
        <v>0.44249440000000001</v>
      </c>
      <c r="H781" s="3">
        <v>0.54634329999999998</v>
      </c>
      <c r="I781" s="3">
        <v>0.6443565</v>
      </c>
      <c r="J781" s="3">
        <v>0.73449929999999997</v>
      </c>
      <c r="K781" s="3">
        <v>0.8144479</v>
      </c>
      <c r="L781" s="3">
        <v>0.88283049999999996</v>
      </c>
      <c r="M781" s="3">
        <v>0.93955239999999995</v>
      </c>
      <c r="N781" s="3">
        <v>0.98537450000000004</v>
      </c>
      <c r="O781" s="3">
        <v>1.0217513</v>
      </c>
      <c r="P781" s="3">
        <v>1.0501244999999999</v>
      </c>
      <c r="Q781" s="3">
        <v>1.0722989999999999</v>
      </c>
      <c r="R781" s="3">
        <v>1.0891719</v>
      </c>
      <c r="S781" s="3">
        <v>1.1013101000000001</v>
      </c>
      <c r="T781" s="3">
        <v>1.1092801999999999</v>
      </c>
      <c r="U781" s="3">
        <v>1.1136492</v>
      </c>
      <c r="V781" s="3">
        <v>1.1149838000000001</v>
      </c>
      <c r="W781" s="3">
        <v>1.1138011000000001</v>
      </c>
      <c r="X781" s="3">
        <v>1.1103882</v>
      </c>
      <c r="Y781" s="3">
        <v>1.1049656999999999</v>
      </c>
      <c r="Z781" s="3">
        <v>1.0977536999999999</v>
      </c>
      <c r="AA781" s="3">
        <v>1.0889728000000001</v>
      </c>
      <c r="AB781" s="3">
        <v>1.0788434</v>
      </c>
      <c r="AC781" s="3">
        <v>1.0675713</v>
      </c>
      <c r="AD781" s="3">
        <v>1.0552979</v>
      </c>
      <c r="AE781" s="3">
        <v>1.0421469999999999</v>
      </c>
      <c r="AF781" s="3">
        <v>1.0282423000000001</v>
      </c>
      <c r="AG781" s="3">
        <v>1.0137073999999999</v>
      </c>
      <c r="AH781" s="3">
        <v>0.9986661</v>
      </c>
      <c r="AI781" s="3">
        <v>0.98324210000000001</v>
      </c>
      <c r="AJ781" s="3">
        <v>0.96755919999999995</v>
      </c>
      <c r="AK781" s="3">
        <v>0.9517409</v>
      </c>
      <c r="AL781" s="3">
        <v>0.9359111</v>
      </c>
      <c r="AM781" s="3">
        <v>0.92019340000000005</v>
      </c>
      <c r="AN781" s="3">
        <v>0.9047115</v>
      </c>
      <c r="AO781" s="3">
        <v>0.88957229999999998</v>
      </c>
      <c r="AP781" s="3">
        <v>0.87480809999999998</v>
      </c>
      <c r="AQ781" s="3">
        <v>0.86043049999999999</v>
      </c>
      <c r="AR781" s="3">
        <v>0.84645130000000002</v>
      </c>
      <c r="AS781" s="3">
        <v>0.83288220000000002</v>
      </c>
      <c r="AT781" s="3">
        <v>0.81973499999999999</v>
      </c>
      <c r="AU781" s="3">
        <v>0.80702130000000005</v>
      </c>
      <c r="AV781" s="3">
        <v>0.79475280000000004</v>
      </c>
      <c r="AW781" s="3">
        <v>0.78294129999999995</v>
      </c>
      <c r="AX781" s="3">
        <v>0.77159849999999996</v>
      </c>
      <c r="AY781" s="3">
        <v>0.76073610000000003</v>
      </c>
      <c r="AZ781" s="3">
        <v>0.75036579999999997</v>
      </c>
      <c r="BA781" s="3">
        <v>0.74049560000000003</v>
      </c>
      <c r="BB781" s="3">
        <v>0.73111649999999995</v>
      </c>
      <c r="BC781" s="3">
        <v>0.72221500000000005</v>
      </c>
      <c r="BD781" s="3">
        <v>0.71377760000000001</v>
      </c>
      <c r="BE781" s="3">
        <v>0.70579069999999999</v>
      </c>
      <c r="BF781" s="3">
        <v>0.69824079999999999</v>
      </c>
      <c r="BG781" s="3">
        <v>0.69111429999999996</v>
      </c>
      <c r="BH781" s="3">
        <v>0.68439779999999995</v>
      </c>
      <c r="BI781" s="3">
        <v>0.67807770000000001</v>
      </c>
      <c r="BJ781" s="3">
        <v>0.67214039999999997</v>
      </c>
      <c r="BK781" s="3">
        <v>0.66657250000000001</v>
      </c>
      <c r="BL781" s="3">
        <v>0.66136030000000001</v>
      </c>
      <c r="BM781" s="3">
        <v>0.63689019999999996</v>
      </c>
      <c r="BN781" s="3">
        <v>0.6223592</v>
      </c>
    </row>
    <row r="782" spans="1:66" x14ac:dyDescent="0.35">
      <c r="A782" s="5">
        <f t="shared" ref="A782:A847" si="12">+A777+7</f>
        <v>44550</v>
      </c>
      <c r="B782" t="s">
        <v>2106</v>
      </c>
      <c r="C782" s="2">
        <v>0.25</v>
      </c>
      <c r="D782" s="2">
        <v>0.1938</v>
      </c>
      <c r="E782" s="3">
        <v>0.2341753</v>
      </c>
      <c r="F782" s="3">
        <v>0.34880139999999998</v>
      </c>
      <c r="G782" s="3">
        <v>0.45508880000000002</v>
      </c>
      <c r="H782" s="3">
        <v>0.55692929999999996</v>
      </c>
      <c r="I782" s="3">
        <v>0.65487189999999995</v>
      </c>
      <c r="J782" s="3">
        <v>0.74609899999999996</v>
      </c>
      <c r="K782" s="3">
        <v>0.82734759999999996</v>
      </c>
      <c r="L782" s="3">
        <v>0.89665010000000001</v>
      </c>
      <c r="M782" s="3">
        <v>0.9532891</v>
      </c>
      <c r="N782" s="3">
        <v>0.99872079999999996</v>
      </c>
      <c r="O782" s="3">
        <v>1.0343088</v>
      </c>
      <c r="P782" s="3">
        <v>1.0619372</v>
      </c>
      <c r="Q782" s="3">
        <v>1.0839873</v>
      </c>
      <c r="R782" s="3">
        <v>1.1013508000000001</v>
      </c>
      <c r="S782" s="3">
        <v>1.1144909000000001</v>
      </c>
      <c r="T782" s="3">
        <v>1.1238709</v>
      </c>
      <c r="U782" s="3">
        <v>1.1299539000000001</v>
      </c>
      <c r="V782" s="3">
        <v>1.1332031</v>
      </c>
      <c r="W782" s="3">
        <v>1.1340349999999999</v>
      </c>
      <c r="X782" s="3">
        <v>1.1326879999999999</v>
      </c>
      <c r="Y782" s="3">
        <v>1.1293584000000001</v>
      </c>
      <c r="Z782" s="3">
        <v>1.1242422000000001</v>
      </c>
      <c r="AA782" s="3">
        <v>1.1175356000000001</v>
      </c>
      <c r="AB782" s="3">
        <v>1.1094347</v>
      </c>
      <c r="AC782" s="3">
        <v>1.1001226</v>
      </c>
      <c r="AD782" s="3">
        <v>1.0897294</v>
      </c>
      <c r="AE782" s="3">
        <v>1.0783723999999999</v>
      </c>
      <c r="AF782" s="3">
        <v>1.0661685999999999</v>
      </c>
      <c r="AG782" s="3">
        <v>1.0532349999999999</v>
      </c>
      <c r="AH782" s="3">
        <v>1.0396889</v>
      </c>
      <c r="AI782" s="3">
        <v>1.0256472999999999</v>
      </c>
      <c r="AJ782" s="3">
        <v>1.0112273000000001</v>
      </c>
      <c r="AK782" s="3">
        <v>0.99654609999999999</v>
      </c>
      <c r="AL782" s="3">
        <v>0.98172060000000005</v>
      </c>
      <c r="AM782" s="3">
        <v>0.96686810000000001</v>
      </c>
      <c r="AN782" s="3">
        <v>0.95210570000000005</v>
      </c>
      <c r="AO782" s="3">
        <v>0.93753589999999998</v>
      </c>
      <c r="AP782" s="3">
        <v>0.92319779999999996</v>
      </c>
      <c r="AQ782" s="3">
        <v>0.9091129</v>
      </c>
      <c r="AR782" s="3">
        <v>0.89530240000000005</v>
      </c>
      <c r="AS782" s="3">
        <v>0.88178780000000001</v>
      </c>
      <c r="AT782" s="3">
        <v>0.86859050000000004</v>
      </c>
      <c r="AU782" s="3">
        <v>0.85573189999999999</v>
      </c>
      <c r="AV782" s="3">
        <v>0.84323340000000002</v>
      </c>
      <c r="AW782" s="3">
        <v>0.83111639999999998</v>
      </c>
      <c r="AX782" s="3">
        <v>0.81940230000000003</v>
      </c>
      <c r="AY782" s="3">
        <v>0.80811259999999996</v>
      </c>
      <c r="AZ782" s="3">
        <v>0.79726850000000005</v>
      </c>
      <c r="BA782" s="3">
        <v>0.78688820000000004</v>
      </c>
      <c r="BB782" s="3">
        <v>0.77697110000000003</v>
      </c>
      <c r="BC782" s="3">
        <v>0.76751069999999999</v>
      </c>
      <c r="BD782" s="3">
        <v>0.75850039999999996</v>
      </c>
      <c r="BE782" s="3">
        <v>0.74993359999999998</v>
      </c>
      <c r="BF782" s="3">
        <v>0.74180380000000001</v>
      </c>
      <c r="BG782" s="3">
        <v>0.73410419999999998</v>
      </c>
      <c r="BH782" s="3">
        <v>0.72682840000000004</v>
      </c>
      <c r="BI782" s="3">
        <v>0.71996979999999999</v>
      </c>
      <c r="BJ782" s="3">
        <v>0.71352159999999998</v>
      </c>
      <c r="BK782" s="3">
        <v>0.70747749999999998</v>
      </c>
      <c r="BL782" s="3">
        <v>0.70183070000000003</v>
      </c>
      <c r="BM782" s="3">
        <v>0.67570509999999995</v>
      </c>
      <c r="BN782" s="3">
        <v>0.66087169999999995</v>
      </c>
    </row>
    <row r="783" spans="1:66" x14ac:dyDescent="0.35">
      <c r="A783" s="5">
        <f t="shared" si="12"/>
        <v>44551</v>
      </c>
      <c r="B783" t="s">
        <v>2107</v>
      </c>
      <c r="C783" s="2">
        <v>0.25</v>
      </c>
      <c r="D783" s="2">
        <v>0.19320000000000001</v>
      </c>
      <c r="E783" s="3">
        <v>0.2381916</v>
      </c>
      <c r="F783" s="3">
        <v>0.36570760000000002</v>
      </c>
      <c r="G783" s="3">
        <v>0.48309849999999999</v>
      </c>
      <c r="H783" s="3">
        <v>0.59152340000000003</v>
      </c>
      <c r="I783" s="3">
        <v>0.69382219999999994</v>
      </c>
      <c r="J783" s="3">
        <v>0.78961530000000002</v>
      </c>
      <c r="K783" s="3">
        <v>0.87632770000000004</v>
      </c>
      <c r="L783" s="3">
        <v>0.95171050000000001</v>
      </c>
      <c r="M783" s="3">
        <v>1.0146332</v>
      </c>
      <c r="N783" s="3">
        <v>1.066138</v>
      </c>
      <c r="O783" s="3">
        <v>1.1074657999999999</v>
      </c>
      <c r="P783" s="3">
        <v>1.1404562</v>
      </c>
      <c r="Q783" s="3">
        <v>1.1675515000000001</v>
      </c>
      <c r="R783" s="3">
        <v>1.1896774999999999</v>
      </c>
      <c r="S783" s="3">
        <v>1.2073210000000001</v>
      </c>
      <c r="T783" s="3">
        <v>1.2209688000000001</v>
      </c>
      <c r="U783" s="3">
        <v>1.2311078</v>
      </c>
      <c r="V783" s="3">
        <v>1.2382245999999999</v>
      </c>
      <c r="W783" s="3">
        <v>1.2427484</v>
      </c>
      <c r="X783" s="3">
        <v>1.2448884</v>
      </c>
      <c r="Y783" s="3">
        <v>1.2448017</v>
      </c>
      <c r="Z783" s="3">
        <v>1.242645</v>
      </c>
      <c r="AA783" s="3">
        <v>1.2385755000000001</v>
      </c>
      <c r="AB783" s="3">
        <v>1.23275</v>
      </c>
      <c r="AC783" s="3">
        <v>1.2253240999999999</v>
      </c>
      <c r="AD783" s="3">
        <v>1.2164478999999999</v>
      </c>
      <c r="AE783" s="3">
        <v>1.2062702000000001</v>
      </c>
      <c r="AF783" s="3">
        <v>1.1949396999999999</v>
      </c>
      <c r="AG783" s="3">
        <v>1.1826051</v>
      </c>
      <c r="AH783" s="3">
        <v>1.1694152</v>
      </c>
      <c r="AI783" s="3">
        <v>1.1555187</v>
      </c>
      <c r="AJ783" s="3">
        <v>1.1410643</v>
      </c>
      <c r="AK783" s="3">
        <v>1.1262008999999999</v>
      </c>
      <c r="AL783" s="3">
        <v>1.1110770000000001</v>
      </c>
      <c r="AM783" s="3">
        <v>1.0958414999999999</v>
      </c>
      <c r="AN783" s="3">
        <v>1.080643</v>
      </c>
      <c r="AO783" s="3">
        <v>1.0656152999999999</v>
      </c>
      <c r="AP783" s="3">
        <v>1.0508107</v>
      </c>
      <c r="AQ783" s="3">
        <v>1.0362543</v>
      </c>
      <c r="AR783" s="3">
        <v>1.0219711</v>
      </c>
      <c r="AS783" s="3">
        <v>1.0079863</v>
      </c>
      <c r="AT783" s="3">
        <v>0.99432500000000001</v>
      </c>
      <c r="AU783" s="3">
        <v>0.98101210000000005</v>
      </c>
      <c r="AV783" s="3">
        <v>0.96807279999999996</v>
      </c>
      <c r="AW783" s="3">
        <v>0.9555323</v>
      </c>
      <c r="AX783" s="3">
        <v>0.94341540000000002</v>
      </c>
      <c r="AY783" s="3">
        <v>0.93174749999999995</v>
      </c>
      <c r="AZ783" s="3">
        <v>0.92055339999999997</v>
      </c>
      <c r="BA783" s="3">
        <v>0.90985360000000004</v>
      </c>
      <c r="BB783" s="3">
        <v>0.89964540000000004</v>
      </c>
      <c r="BC783" s="3">
        <v>0.88991889999999996</v>
      </c>
      <c r="BD783" s="3">
        <v>0.88066429999999996</v>
      </c>
      <c r="BE783" s="3">
        <v>0.87187190000000003</v>
      </c>
      <c r="BF783" s="3">
        <v>0.86353199999999997</v>
      </c>
      <c r="BG783" s="3">
        <v>0.85563460000000002</v>
      </c>
      <c r="BH783" s="3">
        <v>0.84817010000000004</v>
      </c>
      <c r="BI783" s="3">
        <v>0.84112869999999995</v>
      </c>
      <c r="BJ783" s="3">
        <v>0.83450060000000004</v>
      </c>
      <c r="BK783" s="3">
        <v>0.82827589999999995</v>
      </c>
      <c r="BL783" s="3">
        <v>0.82244499999999998</v>
      </c>
      <c r="BM783" s="3">
        <v>0.79509839999999998</v>
      </c>
      <c r="BN783" s="3">
        <v>0.77896609999999999</v>
      </c>
    </row>
    <row r="784" spans="1:66" x14ac:dyDescent="0.35">
      <c r="A784" s="5">
        <f t="shared" si="12"/>
        <v>44552</v>
      </c>
      <c r="B784" t="s">
        <v>2108</v>
      </c>
      <c r="C784" s="2">
        <v>0.25</v>
      </c>
      <c r="D784" s="2">
        <v>0.19259999999999999</v>
      </c>
      <c r="E784" s="3">
        <v>0.24113989999999999</v>
      </c>
      <c r="F784" s="3">
        <v>0.3691468</v>
      </c>
      <c r="G784" s="3">
        <v>0.48383500000000002</v>
      </c>
      <c r="H784" s="3">
        <v>0.59179550000000003</v>
      </c>
      <c r="I784" s="3">
        <v>0.69633610000000001</v>
      </c>
      <c r="J784" s="3">
        <v>0.79572129999999996</v>
      </c>
      <c r="K784" s="3">
        <v>0.88632860000000002</v>
      </c>
      <c r="L784" s="3">
        <v>0.96490200000000004</v>
      </c>
      <c r="M784" s="3">
        <v>1.0301123999999999</v>
      </c>
      <c r="N784" s="3">
        <v>1.0829454000000001</v>
      </c>
      <c r="O784" s="3">
        <v>1.1252564</v>
      </c>
      <c r="P784" s="3">
        <v>1.1589278000000001</v>
      </c>
      <c r="Q784" s="3">
        <v>1.1868536999999999</v>
      </c>
      <c r="R784" s="3">
        <v>1.2100419</v>
      </c>
      <c r="S784" s="3">
        <v>1.2289140000000001</v>
      </c>
      <c r="T784" s="3">
        <v>1.2438917</v>
      </c>
      <c r="U784" s="3">
        <v>1.2553965</v>
      </c>
      <c r="V784" s="3">
        <v>1.2638499999999999</v>
      </c>
      <c r="W784" s="3">
        <v>1.2696248000000001</v>
      </c>
      <c r="X784" s="3">
        <v>1.2729059</v>
      </c>
      <c r="Y784" s="3">
        <v>1.2738335999999999</v>
      </c>
      <c r="Z784" s="3">
        <v>1.2725484</v>
      </c>
      <c r="AA784" s="3">
        <v>1.2691907</v>
      </c>
      <c r="AB784" s="3">
        <v>1.2639011</v>
      </c>
      <c r="AC784" s="3">
        <v>1.2568235999999999</v>
      </c>
      <c r="AD784" s="3">
        <v>1.2481173999999999</v>
      </c>
      <c r="AE784" s="3">
        <v>1.2379453</v>
      </c>
      <c r="AF784" s="3">
        <v>1.2264702000000001</v>
      </c>
      <c r="AG784" s="3">
        <v>1.2138549000000001</v>
      </c>
      <c r="AH784" s="3">
        <v>1.2002622999999999</v>
      </c>
      <c r="AI784" s="3">
        <v>1.1858552</v>
      </c>
      <c r="AJ784" s="3">
        <v>1.1707965</v>
      </c>
      <c r="AK784" s="3">
        <v>1.155249</v>
      </c>
      <c r="AL784" s="3">
        <v>1.1393755999999999</v>
      </c>
      <c r="AM784" s="3">
        <v>1.1233392</v>
      </c>
      <c r="AN784" s="3">
        <v>1.1073025000000001</v>
      </c>
      <c r="AO784" s="3">
        <v>1.0914097</v>
      </c>
      <c r="AP784" s="3">
        <v>1.0757136</v>
      </c>
      <c r="AQ784" s="3">
        <v>1.0602393999999999</v>
      </c>
      <c r="AR784" s="3">
        <v>1.0450120000000001</v>
      </c>
      <c r="AS784" s="3">
        <v>1.0300566</v>
      </c>
      <c r="AT784" s="3">
        <v>1.0153981000000001</v>
      </c>
      <c r="AU784" s="3">
        <v>1.0010616999999999</v>
      </c>
      <c r="AV784" s="3">
        <v>0.98707250000000002</v>
      </c>
      <c r="AW784" s="3">
        <v>0.97345530000000002</v>
      </c>
      <c r="AX784" s="3">
        <v>0.96023550000000002</v>
      </c>
      <c r="AY784" s="3">
        <v>0.94743790000000006</v>
      </c>
      <c r="AZ784" s="3">
        <v>0.93508769999999997</v>
      </c>
      <c r="BA784" s="3">
        <v>0.92320500000000005</v>
      </c>
      <c r="BB784" s="3">
        <v>0.91178809999999999</v>
      </c>
      <c r="BC784" s="3">
        <v>0.90082969999999996</v>
      </c>
      <c r="BD784" s="3">
        <v>0.8903219</v>
      </c>
      <c r="BE784" s="3">
        <v>0.88025739999999997</v>
      </c>
      <c r="BF784" s="3">
        <v>0.87062850000000003</v>
      </c>
      <c r="BG784" s="3">
        <v>0.86142750000000001</v>
      </c>
      <c r="BH784" s="3">
        <v>0.85264700000000004</v>
      </c>
      <c r="BI784" s="3">
        <v>0.84427940000000001</v>
      </c>
      <c r="BJ784" s="3">
        <v>0.83631710000000004</v>
      </c>
      <c r="BK784" s="3">
        <v>0.82875239999999994</v>
      </c>
      <c r="BL784" s="3">
        <v>0.82157789999999997</v>
      </c>
      <c r="BM784" s="3">
        <v>0.78627910000000001</v>
      </c>
      <c r="BN784" s="3">
        <v>0.76299479999999997</v>
      </c>
    </row>
    <row r="785" spans="1:66" x14ac:dyDescent="0.35">
      <c r="A785" s="5">
        <f t="shared" si="12"/>
        <v>44553</v>
      </c>
      <c r="B785" t="s">
        <v>2109</v>
      </c>
      <c r="C785" s="2">
        <v>0.25</v>
      </c>
      <c r="D785" s="2">
        <v>0.1928</v>
      </c>
      <c r="E785" s="3">
        <v>0.24550859999999999</v>
      </c>
      <c r="F785" s="3">
        <v>0.37527959999999999</v>
      </c>
      <c r="G785" s="3">
        <v>0.49359710000000001</v>
      </c>
      <c r="H785" s="3">
        <v>0.60625870000000004</v>
      </c>
      <c r="I785" s="3">
        <v>0.71543979999999996</v>
      </c>
      <c r="J785" s="3">
        <v>0.81839919999999999</v>
      </c>
      <c r="K785" s="3">
        <v>0.91115630000000003</v>
      </c>
      <c r="L785" s="3">
        <v>0.99024939999999995</v>
      </c>
      <c r="M785" s="3">
        <v>1.0543537000000001</v>
      </c>
      <c r="N785" s="3">
        <v>1.1047054000000001</v>
      </c>
      <c r="O785" s="3">
        <v>1.1433867</v>
      </c>
      <c r="P785" s="3">
        <v>1.1730081999999999</v>
      </c>
      <c r="Q785" s="3">
        <v>1.1973324000000001</v>
      </c>
      <c r="R785" s="3">
        <v>1.2175237999999999</v>
      </c>
      <c r="S785" s="3">
        <v>1.2339713999999999</v>
      </c>
      <c r="T785" s="3">
        <v>1.2470642000000001</v>
      </c>
      <c r="U785" s="3">
        <v>1.2571912999999999</v>
      </c>
      <c r="V785" s="3">
        <v>1.2647416</v>
      </c>
      <c r="W785" s="3">
        <v>1.2700518000000001</v>
      </c>
      <c r="X785" s="3">
        <v>1.2732593999999999</v>
      </c>
      <c r="Y785" s="3">
        <v>1.2744541</v>
      </c>
      <c r="Z785" s="3">
        <v>1.2737259999999999</v>
      </c>
      <c r="AA785" s="3">
        <v>1.2711650000000001</v>
      </c>
      <c r="AB785" s="3">
        <v>1.266861</v>
      </c>
      <c r="AC785" s="3">
        <v>1.2609097</v>
      </c>
      <c r="AD785" s="3">
        <v>1.2534405</v>
      </c>
      <c r="AE785" s="3">
        <v>1.2445955</v>
      </c>
      <c r="AF785" s="3">
        <v>1.2345166000000001</v>
      </c>
      <c r="AG785" s="3">
        <v>1.2233457999999999</v>
      </c>
      <c r="AH785" s="3">
        <v>1.2112251999999999</v>
      </c>
      <c r="AI785" s="3">
        <v>1.1982968000000001</v>
      </c>
      <c r="AJ785" s="3">
        <v>1.1847025</v>
      </c>
      <c r="AK785" s="3">
        <v>1.1705844000000001</v>
      </c>
      <c r="AL785" s="3">
        <v>1.1560845</v>
      </c>
      <c r="AM785" s="3">
        <v>1.1413447000000001</v>
      </c>
      <c r="AN785" s="3">
        <v>1.1265072</v>
      </c>
      <c r="AO785" s="3">
        <v>1.1116969000000001</v>
      </c>
      <c r="AP785" s="3">
        <v>1.0969647</v>
      </c>
      <c r="AQ785" s="3">
        <v>1.0823404999999999</v>
      </c>
      <c r="AR785" s="3">
        <v>1.0678544000000001</v>
      </c>
      <c r="AS785" s="3">
        <v>1.0535365999999999</v>
      </c>
      <c r="AT785" s="3">
        <v>1.0394171999999999</v>
      </c>
      <c r="AU785" s="3">
        <v>1.0255262999999999</v>
      </c>
      <c r="AV785" s="3">
        <v>1.0118939</v>
      </c>
      <c r="AW785" s="3">
        <v>0.9985501</v>
      </c>
      <c r="AX785" s="3">
        <v>0.98552510000000004</v>
      </c>
      <c r="AY785" s="3">
        <v>0.97284890000000002</v>
      </c>
      <c r="AZ785" s="3">
        <v>0.96055170000000001</v>
      </c>
      <c r="BA785" s="3">
        <v>0.94865880000000002</v>
      </c>
      <c r="BB785" s="3">
        <v>0.93717450000000002</v>
      </c>
      <c r="BC785" s="3">
        <v>0.92609730000000001</v>
      </c>
      <c r="BD785" s="3">
        <v>0.91542570000000001</v>
      </c>
      <c r="BE785" s="3">
        <v>0.90515820000000002</v>
      </c>
      <c r="BF785" s="3">
        <v>0.89529340000000002</v>
      </c>
      <c r="BG785" s="3">
        <v>0.88582970000000005</v>
      </c>
      <c r="BH785" s="3">
        <v>0.87676569999999998</v>
      </c>
      <c r="BI785" s="3">
        <v>0.86809979999999998</v>
      </c>
      <c r="BJ785" s="3">
        <v>0.85983069999999995</v>
      </c>
      <c r="BK785" s="3">
        <v>0.85195679999999996</v>
      </c>
      <c r="BL785" s="3">
        <v>0.84447660000000002</v>
      </c>
      <c r="BM785" s="3">
        <v>0.80755699999999997</v>
      </c>
      <c r="BN785" s="3">
        <v>0.78308390000000005</v>
      </c>
    </row>
    <row r="786" spans="1:66" x14ac:dyDescent="0.35">
      <c r="A786" s="5">
        <f t="shared" si="12"/>
        <v>44554</v>
      </c>
      <c r="B786" t="s">
        <v>2110</v>
      </c>
      <c r="C786" s="2">
        <v>0.25</v>
      </c>
      <c r="D786" s="2">
        <v>0.19289999999999999</v>
      </c>
      <c r="E786" s="3">
        <v>0.24574779999999999</v>
      </c>
      <c r="F786" s="3">
        <v>0.37584450000000003</v>
      </c>
      <c r="G786" s="3">
        <v>0.49342750000000002</v>
      </c>
      <c r="H786" s="3">
        <v>0.60561880000000001</v>
      </c>
      <c r="I786" s="3">
        <v>0.71414920000000004</v>
      </c>
      <c r="J786" s="3">
        <v>0.81603559999999997</v>
      </c>
      <c r="K786" s="3">
        <v>0.90851130000000002</v>
      </c>
      <c r="L786" s="3">
        <v>0.98919650000000003</v>
      </c>
      <c r="M786" s="3">
        <v>1.0570151999999999</v>
      </c>
      <c r="N786" s="3">
        <v>1.1123327000000001</v>
      </c>
      <c r="O786" s="3">
        <v>1.1566462</v>
      </c>
      <c r="P786" s="3">
        <v>1.1917395</v>
      </c>
      <c r="Q786" s="3">
        <v>1.2204583</v>
      </c>
      <c r="R786" s="3">
        <v>1.2440020000000001</v>
      </c>
      <c r="S786" s="3">
        <v>1.2628193000000001</v>
      </c>
      <c r="T786" s="3">
        <v>1.2773574000000001</v>
      </c>
      <c r="U786" s="3">
        <v>1.2880639</v>
      </c>
      <c r="V786" s="3">
        <v>1.2953859000000001</v>
      </c>
      <c r="W786" s="3">
        <v>1.2997407000000001</v>
      </c>
      <c r="X786" s="3">
        <v>1.3014047</v>
      </c>
      <c r="Y786" s="3">
        <v>1.3006139999999999</v>
      </c>
      <c r="Z786" s="3">
        <v>1.2976045</v>
      </c>
      <c r="AA786" s="3">
        <v>1.2926120000000001</v>
      </c>
      <c r="AB786" s="3">
        <v>1.2858725</v>
      </c>
      <c r="AC786" s="3">
        <v>1.2776101</v>
      </c>
      <c r="AD786" s="3">
        <v>1.2679857000000001</v>
      </c>
      <c r="AE786" s="3">
        <v>1.2571387000000001</v>
      </c>
      <c r="AF786" s="3">
        <v>1.245209</v>
      </c>
      <c r="AG786" s="3">
        <v>1.2323359</v>
      </c>
      <c r="AH786" s="3">
        <v>1.2186591</v>
      </c>
      <c r="AI786" s="3">
        <v>1.2043181000000001</v>
      </c>
      <c r="AJ786" s="3">
        <v>1.1894526999999999</v>
      </c>
      <c r="AK786" s="3">
        <v>1.1742022000000001</v>
      </c>
      <c r="AL786" s="3">
        <v>1.1587064</v>
      </c>
      <c r="AM786" s="3">
        <v>1.1431047000000001</v>
      </c>
      <c r="AN786" s="3">
        <v>1.1275367999999999</v>
      </c>
      <c r="AO786" s="3">
        <v>1.1121243999999999</v>
      </c>
      <c r="AP786" s="3">
        <v>1.0969097999999999</v>
      </c>
      <c r="AQ786" s="3">
        <v>1.0819136</v>
      </c>
      <c r="AR786" s="3">
        <v>1.0671565000000001</v>
      </c>
      <c r="AS786" s="3">
        <v>1.0526589</v>
      </c>
      <c r="AT786" s="3">
        <v>1.0384416000000001</v>
      </c>
      <c r="AU786" s="3">
        <v>1.0245249999999999</v>
      </c>
      <c r="AV786" s="3">
        <v>1.0109298</v>
      </c>
      <c r="AW786" s="3">
        <v>0.99767649999999997</v>
      </c>
      <c r="AX786" s="3">
        <v>0.98478569999999999</v>
      </c>
      <c r="AY786" s="3">
        <v>0.97227810000000003</v>
      </c>
      <c r="AZ786" s="3">
        <v>0.96017410000000003</v>
      </c>
      <c r="BA786" s="3">
        <v>0.94849079999999997</v>
      </c>
      <c r="BB786" s="3">
        <v>0.93722930000000004</v>
      </c>
      <c r="BC786" s="3">
        <v>0.92638600000000004</v>
      </c>
      <c r="BD786" s="3">
        <v>0.91595780000000004</v>
      </c>
      <c r="BE786" s="3">
        <v>0.90594129999999995</v>
      </c>
      <c r="BF786" s="3">
        <v>0.89633309999999999</v>
      </c>
      <c r="BG786" s="3">
        <v>0.88712979999999997</v>
      </c>
      <c r="BH786" s="3">
        <v>0.87832809999999994</v>
      </c>
      <c r="BI786" s="3">
        <v>0.86992480000000005</v>
      </c>
      <c r="BJ786" s="3">
        <v>0.86191629999999997</v>
      </c>
      <c r="BK786" s="3">
        <v>0.85429940000000004</v>
      </c>
      <c r="BL786" s="3">
        <v>0.84707060000000001</v>
      </c>
      <c r="BM786" s="3">
        <v>0.81149590000000005</v>
      </c>
      <c r="BN786" s="3">
        <v>0.78803800000000002</v>
      </c>
    </row>
    <row r="787" spans="1:66" x14ac:dyDescent="0.35">
      <c r="A787" s="5">
        <f t="shared" si="12"/>
        <v>44557</v>
      </c>
      <c r="B787" t="s">
        <v>2111</v>
      </c>
      <c r="C787" s="2">
        <v>0.25</v>
      </c>
      <c r="D787" s="2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  <c r="P787" s="3" t="e">
        <v>#N/A</v>
      </c>
      <c r="Q787" s="3" t="e">
        <v>#N/A</v>
      </c>
      <c r="R787" s="3" t="e">
        <v>#N/A</v>
      </c>
      <c r="S787" s="3" t="e">
        <v>#N/A</v>
      </c>
      <c r="T787" s="3" t="e">
        <v>#N/A</v>
      </c>
      <c r="U787" s="3" t="e">
        <v>#N/A</v>
      </c>
      <c r="V787" s="3" t="e">
        <v>#N/A</v>
      </c>
      <c r="W787" s="3" t="e">
        <v>#N/A</v>
      </c>
      <c r="X787" s="3" t="e">
        <v>#N/A</v>
      </c>
      <c r="Y787" s="3" t="e">
        <v>#N/A</v>
      </c>
      <c r="Z787" s="3" t="e">
        <v>#N/A</v>
      </c>
      <c r="AA787" s="3" t="e">
        <v>#N/A</v>
      </c>
      <c r="AB787" s="3" t="e">
        <v>#N/A</v>
      </c>
      <c r="AC787" s="3" t="e">
        <v>#N/A</v>
      </c>
      <c r="AD787" s="3" t="e">
        <v>#N/A</v>
      </c>
      <c r="AE787" s="3" t="e">
        <v>#N/A</v>
      </c>
      <c r="AF787" s="3" t="e">
        <v>#N/A</v>
      </c>
      <c r="AG787" s="3" t="e">
        <v>#N/A</v>
      </c>
      <c r="AH787" s="3" t="e">
        <v>#N/A</v>
      </c>
      <c r="AI787" s="3" t="e">
        <v>#N/A</v>
      </c>
      <c r="AJ787" s="3" t="e">
        <v>#N/A</v>
      </c>
      <c r="AK787" s="3" t="e">
        <v>#N/A</v>
      </c>
      <c r="AL787" s="3" t="e">
        <v>#N/A</v>
      </c>
      <c r="AM787" s="3" t="e">
        <v>#N/A</v>
      </c>
      <c r="AN787" s="3" t="e">
        <v>#N/A</v>
      </c>
      <c r="AO787" s="3" t="e">
        <v>#N/A</v>
      </c>
      <c r="AP787" s="3" t="e">
        <v>#N/A</v>
      </c>
      <c r="AQ787" s="3" t="e">
        <v>#N/A</v>
      </c>
      <c r="AR787" s="3" t="e">
        <v>#N/A</v>
      </c>
      <c r="AS787" s="3" t="e">
        <v>#N/A</v>
      </c>
      <c r="AT787" s="3" t="e">
        <v>#N/A</v>
      </c>
      <c r="AU787" s="3" t="e">
        <v>#N/A</v>
      </c>
      <c r="AV787" s="3" t="e">
        <v>#N/A</v>
      </c>
      <c r="AW787" s="3" t="e">
        <v>#N/A</v>
      </c>
      <c r="AX787" s="3" t="e">
        <v>#N/A</v>
      </c>
      <c r="AY787" s="3" t="e">
        <v>#N/A</v>
      </c>
      <c r="AZ787" s="3" t="e">
        <v>#N/A</v>
      </c>
      <c r="BA787" s="3" t="e">
        <v>#N/A</v>
      </c>
      <c r="BB787" s="3" t="e">
        <v>#N/A</v>
      </c>
      <c r="BC787" s="3" t="e">
        <v>#N/A</v>
      </c>
      <c r="BD787" s="3" t="e">
        <v>#N/A</v>
      </c>
      <c r="BE787" s="3" t="e">
        <v>#N/A</v>
      </c>
      <c r="BF787" s="3" t="e">
        <v>#N/A</v>
      </c>
      <c r="BG787" s="3" t="e">
        <v>#N/A</v>
      </c>
      <c r="BH787" s="3" t="e">
        <v>#N/A</v>
      </c>
      <c r="BI787" s="3" t="e">
        <v>#N/A</v>
      </c>
      <c r="BJ787" s="3" t="e">
        <v>#N/A</v>
      </c>
      <c r="BK787" s="3" t="e">
        <v>#N/A</v>
      </c>
      <c r="BL787" s="3" t="e">
        <v>#N/A</v>
      </c>
      <c r="BM787" s="3" t="e">
        <v>#N/A</v>
      </c>
      <c r="BN787" s="3" t="e">
        <v>#N/A</v>
      </c>
    </row>
    <row r="788" spans="1:66" x14ac:dyDescent="0.35">
      <c r="A788" s="5">
        <f t="shared" si="12"/>
        <v>44558</v>
      </c>
      <c r="B788" t="s">
        <v>2112</v>
      </c>
      <c r="C788" s="2">
        <v>0.25</v>
      </c>
      <c r="D788" s="2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  <c r="P788" s="3" t="e">
        <v>#N/A</v>
      </c>
      <c r="Q788" s="3" t="e">
        <v>#N/A</v>
      </c>
      <c r="R788" s="3" t="e">
        <v>#N/A</v>
      </c>
      <c r="S788" s="3" t="e">
        <v>#N/A</v>
      </c>
      <c r="T788" s="3" t="e">
        <v>#N/A</v>
      </c>
      <c r="U788" s="3" t="e">
        <v>#N/A</v>
      </c>
      <c r="V788" s="3" t="e">
        <v>#N/A</v>
      </c>
      <c r="W788" s="3" t="e">
        <v>#N/A</v>
      </c>
      <c r="X788" s="3" t="e">
        <v>#N/A</v>
      </c>
      <c r="Y788" s="3" t="e">
        <v>#N/A</v>
      </c>
      <c r="Z788" s="3" t="e">
        <v>#N/A</v>
      </c>
      <c r="AA788" s="3" t="e">
        <v>#N/A</v>
      </c>
      <c r="AB788" s="3" t="e">
        <v>#N/A</v>
      </c>
      <c r="AC788" s="3" t="e">
        <v>#N/A</v>
      </c>
      <c r="AD788" s="3" t="e">
        <v>#N/A</v>
      </c>
      <c r="AE788" s="3" t="e">
        <v>#N/A</v>
      </c>
      <c r="AF788" s="3" t="e">
        <v>#N/A</v>
      </c>
      <c r="AG788" s="3" t="e">
        <v>#N/A</v>
      </c>
      <c r="AH788" s="3" t="e">
        <v>#N/A</v>
      </c>
      <c r="AI788" s="3" t="e">
        <v>#N/A</v>
      </c>
      <c r="AJ788" s="3" t="e">
        <v>#N/A</v>
      </c>
      <c r="AK788" s="3" t="e">
        <v>#N/A</v>
      </c>
      <c r="AL788" s="3" t="e">
        <v>#N/A</v>
      </c>
      <c r="AM788" s="3" t="e">
        <v>#N/A</v>
      </c>
      <c r="AN788" s="3" t="e">
        <v>#N/A</v>
      </c>
      <c r="AO788" s="3" t="e">
        <v>#N/A</v>
      </c>
      <c r="AP788" s="3" t="e">
        <v>#N/A</v>
      </c>
      <c r="AQ788" s="3" t="e">
        <v>#N/A</v>
      </c>
      <c r="AR788" s="3" t="e">
        <v>#N/A</v>
      </c>
      <c r="AS788" s="3" t="e">
        <v>#N/A</v>
      </c>
      <c r="AT788" s="3" t="e">
        <v>#N/A</v>
      </c>
      <c r="AU788" s="3" t="e">
        <v>#N/A</v>
      </c>
      <c r="AV788" s="3" t="e">
        <v>#N/A</v>
      </c>
      <c r="AW788" s="3" t="e">
        <v>#N/A</v>
      </c>
      <c r="AX788" s="3" t="e">
        <v>#N/A</v>
      </c>
      <c r="AY788" s="3" t="e">
        <v>#N/A</v>
      </c>
      <c r="AZ788" s="3" t="e">
        <v>#N/A</v>
      </c>
      <c r="BA788" s="3" t="e">
        <v>#N/A</v>
      </c>
      <c r="BB788" s="3" t="e">
        <v>#N/A</v>
      </c>
      <c r="BC788" s="3" t="e">
        <v>#N/A</v>
      </c>
      <c r="BD788" s="3" t="e">
        <v>#N/A</v>
      </c>
      <c r="BE788" s="3" t="e">
        <v>#N/A</v>
      </c>
      <c r="BF788" s="3" t="e">
        <v>#N/A</v>
      </c>
      <c r="BG788" s="3" t="e">
        <v>#N/A</v>
      </c>
      <c r="BH788" s="3" t="e">
        <v>#N/A</v>
      </c>
      <c r="BI788" s="3" t="e">
        <v>#N/A</v>
      </c>
      <c r="BJ788" s="3" t="e">
        <v>#N/A</v>
      </c>
      <c r="BK788" s="3" t="e">
        <v>#N/A</v>
      </c>
      <c r="BL788" s="3" t="e">
        <v>#N/A</v>
      </c>
      <c r="BM788" s="3" t="e">
        <v>#N/A</v>
      </c>
      <c r="BN788" s="3" t="e">
        <v>#N/A</v>
      </c>
    </row>
    <row r="789" spans="1:66" x14ac:dyDescent="0.35">
      <c r="A789" s="5">
        <f t="shared" si="12"/>
        <v>44559</v>
      </c>
      <c r="B789" t="s">
        <v>2113</v>
      </c>
      <c r="C789" s="2">
        <v>0.25</v>
      </c>
      <c r="D789" s="2">
        <v>0.19220000000000001</v>
      </c>
      <c r="E789" s="3">
        <v>0.25620100000000001</v>
      </c>
      <c r="F789" s="3">
        <v>0.40015610000000001</v>
      </c>
      <c r="G789" s="3">
        <v>0.517316</v>
      </c>
      <c r="H789" s="3">
        <v>0.62347490000000005</v>
      </c>
      <c r="I789" s="3">
        <v>0.72663160000000004</v>
      </c>
      <c r="J789" s="3">
        <v>0.82564539999999997</v>
      </c>
      <c r="K789" s="3">
        <v>0.91711120000000002</v>
      </c>
      <c r="L789" s="3">
        <v>0.99782630000000005</v>
      </c>
      <c r="M789" s="3">
        <v>1.0659449000000001</v>
      </c>
      <c r="N789" s="3">
        <v>1.1223015000000001</v>
      </c>
      <c r="O789" s="3">
        <v>1.1684619999999999</v>
      </c>
      <c r="P789" s="3">
        <v>1.2060628</v>
      </c>
      <c r="Q789" s="3">
        <v>1.2376613999999999</v>
      </c>
      <c r="R789" s="3">
        <v>1.2642042</v>
      </c>
      <c r="S789" s="3">
        <v>1.2861354</v>
      </c>
      <c r="T789" s="3">
        <v>1.3038996</v>
      </c>
      <c r="U789" s="3">
        <v>1.317941</v>
      </c>
      <c r="V789" s="3">
        <v>1.3287040999999999</v>
      </c>
      <c r="W789" s="3">
        <v>1.3365849000000001</v>
      </c>
      <c r="X789" s="3">
        <v>1.3417958999999999</v>
      </c>
      <c r="Y789" s="3">
        <v>1.344506</v>
      </c>
      <c r="Z789" s="3">
        <v>1.3448838000000001</v>
      </c>
      <c r="AA789" s="3">
        <v>1.3430983000000001</v>
      </c>
      <c r="AB789" s="3">
        <v>1.3393181000000001</v>
      </c>
      <c r="AC789" s="3">
        <v>1.3337110999999999</v>
      </c>
      <c r="AD789" s="3">
        <v>1.3264408000000001</v>
      </c>
      <c r="AE789" s="3">
        <v>1.3176699000000001</v>
      </c>
      <c r="AF789" s="3">
        <v>1.3075611</v>
      </c>
      <c r="AG789" s="3">
        <v>1.2962768</v>
      </c>
      <c r="AH789" s="3">
        <v>1.2839798</v>
      </c>
      <c r="AI789" s="3">
        <v>1.2708326999999999</v>
      </c>
      <c r="AJ789" s="3">
        <v>1.2569980000000001</v>
      </c>
      <c r="AK789" s="3">
        <v>1.2426383999999999</v>
      </c>
      <c r="AL789" s="3">
        <v>1.2279165000000001</v>
      </c>
      <c r="AM789" s="3">
        <v>1.212995</v>
      </c>
      <c r="AN789" s="3">
        <v>1.1980363999999999</v>
      </c>
      <c r="AO789" s="3">
        <v>1.1831851</v>
      </c>
      <c r="AP789" s="3">
        <v>1.1684966000000001</v>
      </c>
      <c r="AQ789" s="3">
        <v>1.1539991999999999</v>
      </c>
      <c r="AR789" s="3">
        <v>1.1397215000000001</v>
      </c>
      <c r="AS789" s="3">
        <v>1.1256918</v>
      </c>
      <c r="AT789" s="3">
        <v>1.1119384999999999</v>
      </c>
      <c r="AU789" s="3">
        <v>1.0984901</v>
      </c>
      <c r="AV789" s="3">
        <v>1.0853748999999999</v>
      </c>
      <c r="AW789" s="3">
        <v>1.0726213</v>
      </c>
      <c r="AX789" s="3">
        <v>1.0602578</v>
      </c>
      <c r="AY789" s="3">
        <v>1.0483127999999999</v>
      </c>
      <c r="AZ789" s="3">
        <v>1.0368147000000001</v>
      </c>
      <c r="BA789" s="3">
        <v>1.0257863</v>
      </c>
      <c r="BB789" s="3">
        <v>1.0152266999999999</v>
      </c>
      <c r="BC789" s="3">
        <v>1.005128</v>
      </c>
      <c r="BD789" s="3">
        <v>0.99548250000000005</v>
      </c>
      <c r="BE789" s="3">
        <v>0.98628229999999995</v>
      </c>
      <c r="BF789" s="3">
        <v>0.97751969999999999</v>
      </c>
      <c r="BG789" s="3">
        <v>0.96918689999999996</v>
      </c>
      <c r="BH789" s="3">
        <v>0.96127609999999997</v>
      </c>
      <c r="BI789" s="3">
        <v>0.95377970000000001</v>
      </c>
      <c r="BJ789" s="3">
        <v>0.94668969999999997</v>
      </c>
      <c r="BK789" s="3">
        <v>0.93999840000000001</v>
      </c>
      <c r="BL789" s="3">
        <v>0.93369800000000003</v>
      </c>
      <c r="BM789" s="3">
        <v>0.90359440000000002</v>
      </c>
      <c r="BN789" s="3">
        <v>0.88514630000000005</v>
      </c>
    </row>
    <row r="790" spans="1:66" x14ac:dyDescent="0.35">
      <c r="A790" s="5">
        <f t="shared" si="12"/>
        <v>44560</v>
      </c>
      <c r="B790" t="s">
        <v>2114</v>
      </c>
      <c r="C790" s="2">
        <v>0.25</v>
      </c>
      <c r="D790" s="2">
        <v>0.19220000000000001</v>
      </c>
      <c r="E790" s="3">
        <v>0.25734259999999998</v>
      </c>
      <c r="F790" s="3">
        <v>0.3968295</v>
      </c>
      <c r="G790" s="3">
        <v>0.50948380000000004</v>
      </c>
      <c r="H790" s="3">
        <v>0.61363849999999998</v>
      </c>
      <c r="I790" s="3">
        <v>0.71614420000000001</v>
      </c>
      <c r="J790" s="3">
        <v>0.81352729999999995</v>
      </c>
      <c r="K790" s="3">
        <v>0.90247929999999998</v>
      </c>
      <c r="L790" s="3">
        <v>0.98012860000000002</v>
      </c>
      <c r="M790" s="3">
        <v>1.0450723</v>
      </c>
      <c r="N790" s="3">
        <v>1.0982394</v>
      </c>
      <c r="O790" s="3">
        <v>1.1409882</v>
      </c>
      <c r="P790" s="3">
        <v>1.175006</v>
      </c>
      <c r="Q790" s="3">
        <v>1.2027680999999999</v>
      </c>
      <c r="R790" s="3">
        <v>1.2253419999999999</v>
      </c>
      <c r="S790" s="3">
        <v>1.2433650999999999</v>
      </c>
      <c r="T790" s="3">
        <v>1.2574748</v>
      </c>
      <c r="U790" s="3">
        <v>1.2683087</v>
      </c>
      <c r="V790" s="3">
        <v>1.2765040000000001</v>
      </c>
      <c r="W790" s="3">
        <v>1.2825994000000001</v>
      </c>
      <c r="X790" s="3">
        <v>1.2867573000000001</v>
      </c>
      <c r="Y790" s="3">
        <v>1.2890508000000001</v>
      </c>
      <c r="Z790" s="3">
        <v>1.2895525999999999</v>
      </c>
      <c r="AA790" s="3">
        <v>1.2883358</v>
      </c>
      <c r="AB790" s="3">
        <v>1.2854733</v>
      </c>
      <c r="AC790" s="3">
        <v>1.2810444000000001</v>
      </c>
      <c r="AD790" s="3">
        <v>1.2751627000000001</v>
      </c>
      <c r="AE790" s="3">
        <v>1.2679530999999999</v>
      </c>
      <c r="AF790" s="3">
        <v>1.2595407000000001</v>
      </c>
      <c r="AG790" s="3">
        <v>1.2500506</v>
      </c>
      <c r="AH790" s="3">
        <v>1.2396077000000001</v>
      </c>
      <c r="AI790" s="3">
        <v>1.228337</v>
      </c>
      <c r="AJ790" s="3">
        <v>1.2163638000000001</v>
      </c>
      <c r="AK790" s="3">
        <v>1.2038127999999999</v>
      </c>
      <c r="AL790" s="3">
        <v>1.1908093</v>
      </c>
      <c r="AM790" s="3">
        <v>1.1774781999999999</v>
      </c>
      <c r="AN790" s="3">
        <v>1.1639446</v>
      </c>
      <c r="AO790" s="3">
        <v>1.1503205000000001</v>
      </c>
      <c r="AP790" s="3">
        <v>1.1366613999999999</v>
      </c>
      <c r="AQ790" s="3">
        <v>1.1230068</v>
      </c>
      <c r="AR790" s="3">
        <v>1.1093964000000001</v>
      </c>
      <c r="AS790" s="3">
        <v>1.0958698</v>
      </c>
      <c r="AT790" s="3">
        <v>1.0824666000000001</v>
      </c>
      <c r="AU790" s="3">
        <v>1.0692264</v>
      </c>
      <c r="AV790" s="3">
        <v>1.0561889</v>
      </c>
      <c r="AW790" s="3">
        <v>1.0433937</v>
      </c>
      <c r="AX790" s="3">
        <v>1.0308804</v>
      </c>
      <c r="AY790" s="3">
        <v>1.0186885999999999</v>
      </c>
      <c r="AZ790" s="3">
        <v>1.006858</v>
      </c>
      <c r="BA790" s="3">
        <v>0.99542220000000003</v>
      </c>
      <c r="BB790" s="3">
        <v>0.98438829999999999</v>
      </c>
      <c r="BC790" s="3">
        <v>0.97375610000000001</v>
      </c>
      <c r="BD790" s="3">
        <v>0.96352539999999998</v>
      </c>
      <c r="BE790" s="3">
        <v>0.95369619999999999</v>
      </c>
      <c r="BF790" s="3">
        <v>0.9442682</v>
      </c>
      <c r="BG790" s="3">
        <v>0.93524119999999999</v>
      </c>
      <c r="BH790" s="3">
        <v>0.92661499999999997</v>
      </c>
      <c r="BI790" s="3">
        <v>0.91838949999999997</v>
      </c>
      <c r="BJ790" s="3">
        <v>0.9105645</v>
      </c>
      <c r="BK790" s="3">
        <v>0.9031399</v>
      </c>
      <c r="BL790" s="3">
        <v>0.89611540000000001</v>
      </c>
      <c r="BM790" s="3">
        <v>0.86206780000000005</v>
      </c>
      <c r="BN790" s="3">
        <v>0.84059930000000005</v>
      </c>
    </row>
    <row r="791" spans="1:66" x14ac:dyDescent="0.35">
      <c r="A791" s="5">
        <f t="shared" si="12"/>
        <v>44561</v>
      </c>
      <c r="B791" t="s">
        <v>2115</v>
      </c>
      <c r="C791" s="2">
        <v>0.25</v>
      </c>
      <c r="D791" s="2">
        <v>0.19059999999999999</v>
      </c>
      <c r="E791" s="3">
        <v>0.26115090000000002</v>
      </c>
      <c r="F791" s="3">
        <v>0.39832459999999997</v>
      </c>
      <c r="G791" s="3">
        <v>0.50821490000000002</v>
      </c>
      <c r="H791" s="3">
        <v>0.61050389999999999</v>
      </c>
      <c r="I791" s="3">
        <v>0.70999630000000002</v>
      </c>
      <c r="J791" s="3">
        <v>0.80289250000000001</v>
      </c>
      <c r="K791" s="3">
        <v>0.88721939999999999</v>
      </c>
      <c r="L791" s="3">
        <v>0.96119359999999998</v>
      </c>
      <c r="M791" s="3">
        <v>1.0240136</v>
      </c>
      <c r="N791" s="3">
        <v>1.0765319</v>
      </c>
      <c r="O791" s="3">
        <v>1.1199018000000001</v>
      </c>
      <c r="P791" s="3">
        <v>1.1554306999999999</v>
      </c>
      <c r="Q791" s="3">
        <v>1.1842613</v>
      </c>
      <c r="R791" s="3">
        <v>1.2072303</v>
      </c>
      <c r="S791" s="3">
        <v>1.225085</v>
      </c>
      <c r="T791" s="3">
        <v>1.2385729999999999</v>
      </c>
      <c r="U791" s="3">
        <v>1.2484417000000001</v>
      </c>
      <c r="V791" s="3">
        <v>1.2554384999999999</v>
      </c>
      <c r="W791" s="3">
        <v>1.260195</v>
      </c>
      <c r="X791" s="3">
        <v>1.2629423</v>
      </c>
      <c r="Y791" s="3">
        <v>1.2638258</v>
      </c>
      <c r="Z791" s="3">
        <v>1.2629904000000001</v>
      </c>
      <c r="AA791" s="3">
        <v>1.2605812000000001</v>
      </c>
      <c r="AB791" s="3">
        <v>1.2567435</v>
      </c>
      <c r="AC791" s="3">
        <v>1.2516159</v>
      </c>
      <c r="AD791" s="3">
        <v>1.2453075</v>
      </c>
      <c r="AE791" s="3">
        <v>1.2379178</v>
      </c>
      <c r="AF791" s="3">
        <v>1.2295465000000001</v>
      </c>
      <c r="AG791" s="3">
        <v>1.2202933</v>
      </c>
      <c r="AH791" s="3">
        <v>1.2102577999999999</v>
      </c>
      <c r="AI791" s="3">
        <v>1.1995397000000001</v>
      </c>
      <c r="AJ791" s="3">
        <v>1.1882386</v>
      </c>
      <c r="AK791" s="3">
        <v>1.1764542</v>
      </c>
      <c r="AL791" s="3">
        <v>1.1642862</v>
      </c>
      <c r="AM791" s="3">
        <v>1.1518341999999999</v>
      </c>
      <c r="AN791" s="3">
        <v>1.1391978</v>
      </c>
      <c r="AO791" s="3">
        <v>1.1264672</v>
      </c>
      <c r="AP791" s="3">
        <v>1.1136908000000001</v>
      </c>
      <c r="AQ791" s="3">
        <v>1.1009051999999999</v>
      </c>
      <c r="AR791" s="3">
        <v>1.0881472000000001</v>
      </c>
      <c r="AS791" s="3">
        <v>1.0754534</v>
      </c>
      <c r="AT791" s="3">
        <v>1.0628607000000001</v>
      </c>
      <c r="AU791" s="3">
        <v>1.0504058000000001</v>
      </c>
      <c r="AV791" s="3">
        <v>1.0381252999999999</v>
      </c>
      <c r="AW791" s="3">
        <v>1.0260560999999999</v>
      </c>
      <c r="AX791" s="3">
        <v>1.0142347</v>
      </c>
      <c r="AY791" s="3">
        <v>1.0026980999999999</v>
      </c>
      <c r="AZ791" s="3">
        <v>0.9914828</v>
      </c>
      <c r="BA791" s="3">
        <v>0.98062050000000001</v>
      </c>
      <c r="BB791" s="3">
        <v>0.97011979999999998</v>
      </c>
      <c r="BC791" s="3">
        <v>0.95998320000000004</v>
      </c>
      <c r="BD791" s="3">
        <v>0.95021299999999997</v>
      </c>
      <c r="BE791" s="3">
        <v>0.94081159999999997</v>
      </c>
      <c r="BF791" s="3">
        <v>0.93178150000000004</v>
      </c>
      <c r="BG791" s="3">
        <v>0.92312510000000003</v>
      </c>
      <c r="BH791" s="3">
        <v>0.91484469999999996</v>
      </c>
      <c r="BI791" s="3">
        <v>0.90694269999999999</v>
      </c>
      <c r="BJ791" s="3">
        <v>0.89942160000000004</v>
      </c>
      <c r="BK791" s="3">
        <v>0.89228370000000001</v>
      </c>
      <c r="BL791" s="3">
        <v>0.88553139999999997</v>
      </c>
      <c r="BM791" s="3">
        <v>0.85290080000000001</v>
      </c>
      <c r="BN791" s="3">
        <v>0.8326346</v>
      </c>
    </row>
    <row r="792" spans="1:66" x14ac:dyDescent="0.35">
      <c r="A792" s="5">
        <f t="shared" si="12"/>
        <v>44564</v>
      </c>
      <c r="B792" t="s">
        <v>2116</v>
      </c>
      <c r="C792" s="2">
        <v>0.25</v>
      </c>
      <c r="D792" s="2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  <c r="P792" s="3" t="e">
        <v>#N/A</v>
      </c>
      <c r="Q792" s="3" t="e">
        <v>#N/A</v>
      </c>
      <c r="R792" s="3" t="e">
        <v>#N/A</v>
      </c>
      <c r="S792" s="3" t="e">
        <v>#N/A</v>
      </c>
      <c r="T792" s="3" t="e">
        <v>#N/A</v>
      </c>
      <c r="U792" s="3" t="e">
        <v>#N/A</v>
      </c>
      <c r="V792" s="3" t="e">
        <v>#N/A</v>
      </c>
      <c r="W792" s="3" t="e">
        <v>#N/A</v>
      </c>
      <c r="X792" s="3" t="e">
        <v>#N/A</v>
      </c>
      <c r="Y792" s="3" t="e">
        <v>#N/A</v>
      </c>
      <c r="Z792" s="3" t="e">
        <v>#N/A</v>
      </c>
      <c r="AA792" s="3" t="e">
        <v>#N/A</v>
      </c>
      <c r="AB792" s="3" t="e">
        <v>#N/A</v>
      </c>
      <c r="AC792" s="3" t="e">
        <v>#N/A</v>
      </c>
      <c r="AD792" s="3" t="e">
        <v>#N/A</v>
      </c>
      <c r="AE792" s="3" t="e">
        <v>#N/A</v>
      </c>
      <c r="AF792" s="3" t="e">
        <v>#N/A</v>
      </c>
      <c r="AG792" s="3" t="e">
        <v>#N/A</v>
      </c>
      <c r="AH792" s="3" t="e">
        <v>#N/A</v>
      </c>
      <c r="AI792" s="3" t="e">
        <v>#N/A</v>
      </c>
      <c r="AJ792" s="3" t="e">
        <v>#N/A</v>
      </c>
      <c r="AK792" s="3" t="e">
        <v>#N/A</v>
      </c>
      <c r="AL792" s="3" t="e">
        <v>#N/A</v>
      </c>
      <c r="AM792" s="3" t="e">
        <v>#N/A</v>
      </c>
      <c r="AN792" s="3" t="e">
        <v>#N/A</v>
      </c>
      <c r="AO792" s="3" t="e">
        <v>#N/A</v>
      </c>
      <c r="AP792" s="3" t="e">
        <v>#N/A</v>
      </c>
      <c r="AQ792" s="3" t="e">
        <v>#N/A</v>
      </c>
      <c r="AR792" s="3" t="e">
        <v>#N/A</v>
      </c>
      <c r="AS792" s="3" t="e">
        <v>#N/A</v>
      </c>
      <c r="AT792" s="3" t="e">
        <v>#N/A</v>
      </c>
      <c r="AU792" s="3" t="e">
        <v>#N/A</v>
      </c>
      <c r="AV792" s="3" t="e">
        <v>#N/A</v>
      </c>
      <c r="AW792" s="3" t="e">
        <v>#N/A</v>
      </c>
      <c r="AX792" s="3" t="e">
        <v>#N/A</v>
      </c>
      <c r="AY792" s="3" t="e">
        <v>#N/A</v>
      </c>
      <c r="AZ792" s="3" t="e">
        <v>#N/A</v>
      </c>
      <c r="BA792" s="3" t="e">
        <v>#N/A</v>
      </c>
      <c r="BB792" s="3" t="e">
        <v>#N/A</v>
      </c>
      <c r="BC792" s="3" t="e">
        <v>#N/A</v>
      </c>
      <c r="BD792" s="3" t="e">
        <v>#N/A</v>
      </c>
      <c r="BE792" s="3" t="e">
        <v>#N/A</v>
      </c>
      <c r="BF792" s="3" t="e">
        <v>#N/A</v>
      </c>
      <c r="BG792" s="3" t="e">
        <v>#N/A</v>
      </c>
      <c r="BH792" s="3" t="e">
        <v>#N/A</v>
      </c>
      <c r="BI792" s="3" t="e">
        <v>#N/A</v>
      </c>
      <c r="BJ792" s="3" t="e">
        <v>#N/A</v>
      </c>
      <c r="BK792" s="3" t="e">
        <v>#N/A</v>
      </c>
      <c r="BL792" s="3" t="e">
        <v>#N/A</v>
      </c>
      <c r="BM792" s="3" t="e">
        <v>#N/A</v>
      </c>
      <c r="BN792" s="3" t="e">
        <v>#N/A</v>
      </c>
    </row>
    <row r="793" spans="1:66" x14ac:dyDescent="0.35">
      <c r="A793" s="5">
        <f t="shared" si="12"/>
        <v>44565</v>
      </c>
      <c r="B793" t="s">
        <v>2117</v>
      </c>
      <c r="C793" s="2">
        <v>0.25</v>
      </c>
      <c r="D793" s="2">
        <v>0.19470000000000001</v>
      </c>
      <c r="E793" s="3">
        <v>0.2791187</v>
      </c>
      <c r="F793" s="3">
        <v>0.42840830000000002</v>
      </c>
      <c r="G793" s="3">
        <v>0.54453910000000005</v>
      </c>
      <c r="H793" s="3">
        <v>0.64720820000000001</v>
      </c>
      <c r="I793" s="3">
        <v>0.74325180000000002</v>
      </c>
      <c r="J793" s="3">
        <v>0.83195140000000001</v>
      </c>
      <c r="K793" s="3">
        <v>0.91258660000000003</v>
      </c>
      <c r="L793" s="3">
        <v>0.98416720000000002</v>
      </c>
      <c r="M793" s="3">
        <v>1.0459395</v>
      </c>
      <c r="N793" s="3">
        <v>1.0986445</v>
      </c>
      <c r="O793" s="3">
        <v>1.1431408000000001</v>
      </c>
      <c r="P793" s="3">
        <v>1.1805307</v>
      </c>
      <c r="Q793" s="3">
        <v>1.2124128000000001</v>
      </c>
      <c r="R793" s="3">
        <v>1.2394521000000001</v>
      </c>
      <c r="S793" s="3">
        <v>1.2620316</v>
      </c>
      <c r="T793" s="3">
        <v>1.2805346</v>
      </c>
      <c r="U793" s="3">
        <v>1.2953440000000001</v>
      </c>
      <c r="V793" s="3">
        <v>1.3068431</v>
      </c>
      <c r="W793" s="3">
        <v>1.315385</v>
      </c>
      <c r="X793" s="3">
        <v>1.3212193999999999</v>
      </c>
      <c r="Y793" s="3">
        <v>1.3245738</v>
      </c>
      <c r="Z793" s="3">
        <v>1.3256756999999999</v>
      </c>
      <c r="AA793" s="3">
        <v>1.3247525</v>
      </c>
      <c r="AB793" s="3">
        <v>1.3220316999999999</v>
      </c>
      <c r="AC793" s="3">
        <v>1.3177258000000001</v>
      </c>
      <c r="AD793" s="3">
        <v>1.3119874</v>
      </c>
      <c r="AE793" s="3">
        <v>1.3049541</v>
      </c>
      <c r="AF793" s="3">
        <v>1.2967636</v>
      </c>
      <c r="AG793" s="3">
        <v>1.2875535</v>
      </c>
      <c r="AH793" s="3">
        <v>1.2774616000000001</v>
      </c>
      <c r="AI793" s="3">
        <v>1.2666253999999999</v>
      </c>
      <c r="AJ793" s="3">
        <v>1.2551827</v>
      </c>
      <c r="AK793" s="3">
        <v>1.243271</v>
      </c>
      <c r="AL793" s="3">
        <v>1.2310281000000001</v>
      </c>
      <c r="AM793" s="3">
        <v>1.2185915</v>
      </c>
      <c r="AN793" s="3">
        <v>1.206099</v>
      </c>
      <c r="AO793" s="3">
        <v>1.1936743000000001</v>
      </c>
      <c r="AP793" s="3">
        <v>1.1813663999999999</v>
      </c>
      <c r="AQ793" s="3">
        <v>1.1691993000000001</v>
      </c>
      <c r="AR793" s="3">
        <v>1.157197</v>
      </c>
      <c r="AS793" s="3">
        <v>1.1453834000000001</v>
      </c>
      <c r="AT793" s="3">
        <v>1.1337824000000001</v>
      </c>
      <c r="AU793" s="3">
        <v>1.1224179999999999</v>
      </c>
      <c r="AV793" s="3">
        <v>1.1113142</v>
      </c>
      <c r="AW793" s="3">
        <v>1.1004948999999999</v>
      </c>
      <c r="AX793" s="3">
        <v>1.0899840000000001</v>
      </c>
      <c r="AY793" s="3">
        <v>1.0798055</v>
      </c>
      <c r="AZ793" s="3">
        <v>1.0699833000000001</v>
      </c>
      <c r="BA793" s="3">
        <v>1.060538</v>
      </c>
      <c r="BB793" s="3">
        <v>1.0514730999999999</v>
      </c>
      <c r="BC793" s="3">
        <v>1.0427873000000001</v>
      </c>
      <c r="BD793" s="3">
        <v>1.0344791</v>
      </c>
      <c r="BE793" s="3">
        <v>1.0265469</v>
      </c>
      <c r="BF793" s="3">
        <v>1.0189893999999999</v>
      </c>
      <c r="BG793" s="3">
        <v>1.0118050999999999</v>
      </c>
      <c r="BH793" s="3">
        <v>1.0049925</v>
      </c>
      <c r="BI793" s="3">
        <v>0.9985501</v>
      </c>
      <c r="BJ793" s="3">
        <v>0.99247649999999998</v>
      </c>
      <c r="BK793" s="3">
        <v>0.98677020000000004</v>
      </c>
      <c r="BL793" s="3">
        <v>0.98142980000000002</v>
      </c>
      <c r="BM793" s="3">
        <v>0.95673490000000005</v>
      </c>
      <c r="BN793" s="3">
        <v>0.94330499999999995</v>
      </c>
    </row>
    <row r="794" spans="1:66" x14ac:dyDescent="0.35">
      <c r="A794" s="5">
        <f t="shared" si="12"/>
        <v>44566</v>
      </c>
      <c r="B794" t="s">
        <v>2118</v>
      </c>
      <c r="C794" s="2">
        <v>0.25</v>
      </c>
      <c r="D794" s="2">
        <v>0.1948</v>
      </c>
      <c r="E794" s="3">
        <v>0.28779349999999998</v>
      </c>
      <c r="F794" s="3">
        <v>0.42304750000000002</v>
      </c>
      <c r="G794" s="3">
        <v>0.53702879999999997</v>
      </c>
      <c r="H794" s="3">
        <v>0.64359250000000001</v>
      </c>
      <c r="I794" s="3">
        <v>0.74497760000000002</v>
      </c>
      <c r="J794" s="3">
        <v>0.83801899999999996</v>
      </c>
      <c r="K794" s="3">
        <v>0.92165419999999998</v>
      </c>
      <c r="L794" s="3">
        <v>0.99527069999999995</v>
      </c>
      <c r="M794" s="3">
        <v>1.0587198</v>
      </c>
      <c r="N794" s="3">
        <v>1.1129230999999999</v>
      </c>
      <c r="O794" s="3">
        <v>1.1591448</v>
      </c>
      <c r="P794" s="3">
        <v>1.1982755</v>
      </c>
      <c r="Q794" s="3">
        <v>1.2318165000000001</v>
      </c>
      <c r="R794" s="3">
        <v>1.2603873999999999</v>
      </c>
      <c r="S794" s="3">
        <v>1.2843211999999999</v>
      </c>
      <c r="T794" s="3">
        <v>1.3039510999999999</v>
      </c>
      <c r="U794" s="3">
        <v>1.3196102000000001</v>
      </c>
      <c r="V794" s="3">
        <v>1.3316315000000001</v>
      </c>
      <c r="W794" s="3">
        <v>1.3403383</v>
      </c>
      <c r="X794" s="3">
        <v>1.3460196</v>
      </c>
      <c r="Y794" s="3">
        <v>1.3489575</v>
      </c>
      <c r="Z794" s="3">
        <v>1.3494335</v>
      </c>
      <c r="AA794" s="3">
        <v>1.3477296000000001</v>
      </c>
      <c r="AB794" s="3">
        <v>1.3441274999999999</v>
      </c>
      <c r="AC794" s="3">
        <v>1.3388865999999999</v>
      </c>
      <c r="AD794" s="3">
        <v>1.3321753999999999</v>
      </c>
      <c r="AE794" s="3">
        <v>1.3241403</v>
      </c>
      <c r="AF794" s="3">
        <v>1.3149274</v>
      </c>
      <c r="AG794" s="3">
        <v>1.3046827999999999</v>
      </c>
      <c r="AH794" s="3">
        <v>1.2935527</v>
      </c>
      <c r="AI794" s="3">
        <v>1.2816833999999999</v>
      </c>
      <c r="AJ794" s="3">
        <v>1.2692209999999999</v>
      </c>
      <c r="AK794" s="3">
        <v>1.2563116000000001</v>
      </c>
      <c r="AL794" s="3">
        <v>1.2431014</v>
      </c>
      <c r="AM794" s="3">
        <v>1.2297366999999999</v>
      </c>
      <c r="AN794" s="3">
        <v>1.2163634999999999</v>
      </c>
      <c r="AO794" s="3">
        <v>1.2031114000000001</v>
      </c>
      <c r="AP794" s="3">
        <v>1.1900286</v>
      </c>
      <c r="AQ794" s="3">
        <v>1.1771387</v>
      </c>
      <c r="AR794" s="3">
        <v>1.1644650999999999</v>
      </c>
      <c r="AS794" s="3">
        <v>1.1520314</v>
      </c>
      <c r="AT794" s="3">
        <v>1.139861</v>
      </c>
      <c r="AU794" s="3">
        <v>1.1279775000000001</v>
      </c>
      <c r="AV794" s="3">
        <v>1.1164044</v>
      </c>
      <c r="AW794" s="3">
        <v>1.1051652000000001</v>
      </c>
      <c r="AX794" s="3">
        <v>1.0942833000000001</v>
      </c>
      <c r="AY794" s="3">
        <v>1.0837824</v>
      </c>
      <c r="AZ794" s="3">
        <v>1.0736859999999999</v>
      </c>
      <c r="BA794" s="3">
        <v>1.0640132</v>
      </c>
      <c r="BB794" s="3">
        <v>1.0547647</v>
      </c>
      <c r="BC794" s="3">
        <v>1.0459358000000001</v>
      </c>
      <c r="BD794" s="3">
        <v>1.0375220999999999</v>
      </c>
      <c r="BE794" s="3">
        <v>1.0295189</v>
      </c>
      <c r="BF794" s="3">
        <v>1.0219216</v>
      </c>
      <c r="BG794" s="3">
        <v>1.0147257000000001</v>
      </c>
      <c r="BH794" s="3">
        <v>1.0079264999999999</v>
      </c>
      <c r="BI794" s="3">
        <v>1.0015194999999999</v>
      </c>
      <c r="BJ794" s="3">
        <v>0.9955001</v>
      </c>
      <c r="BK794" s="3">
        <v>0.98986370000000001</v>
      </c>
      <c r="BL794" s="3">
        <v>0.98460579999999998</v>
      </c>
      <c r="BM794" s="3">
        <v>0.96052110000000002</v>
      </c>
      <c r="BN794" s="3">
        <v>0.94752700000000001</v>
      </c>
    </row>
    <row r="795" spans="1:66" x14ac:dyDescent="0.35">
      <c r="A795" s="5">
        <f t="shared" si="12"/>
        <v>44567</v>
      </c>
      <c r="B795" t="s">
        <v>2119</v>
      </c>
      <c r="C795" s="2">
        <v>0.25</v>
      </c>
      <c r="D795" s="2">
        <v>0.19470000000000001</v>
      </c>
      <c r="E795" s="3">
        <v>0.29414400000000002</v>
      </c>
      <c r="F795" s="3">
        <v>0.43238789999999999</v>
      </c>
      <c r="G795" s="3">
        <v>0.54943799999999998</v>
      </c>
      <c r="H795" s="3">
        <v>0.66112230000000005</v>
      </c>
      <c r="I795" s="3">
        <v>0.76940160000000002</v>
      </c>
      <c r="J795" s="3">
        <v>0.86953190000000002</v>
      </c>
      <c r="K795" s="3">
        <v>0.95898030000000001</v>
      </c>
      <c r="L795" s="3">
        <v>1.0364108000000001</v>
      </c>
      <c r="M795" s="3">
        <v>1.1020323000000001</v>
      </c>
      <c r="N795" s="3">
        <v>1.1573209</v>
      </c>
      <c r="O795" s="3">
        <v>1.2039229</v>
      </c>
      <c r="P795" s="3">
        <v>1.2431973999999999</v>
      </c>
      <c r="Q795" s="3">
        <v>1.2768497000000001</v>
      </c>
      <c r="R795" s="3">
        <v>1.3055114000000001</v>
      </c>
      <c r="S795" s="3">
        <v>1.3294980999999999</v>
      </c>
      <c r="T795" s="3">
        <v>1.3491253999999999</v>
      </c>
      <c r="U795" s="3">
        <v>1.3647088000000001</v>
      </c>
      <c r="V795" s="3">
        <v>1.3765642</v>
      </c>
      <c r="W795" s="3">
        <v>1.3850088</v>
      </c>
      <c r="X795" s="3">
        <v>1.3903667</v>
      </c>
      <c r="Y795" s="3">
        <v>1.392963</v>
      </c>
      <c r="Z795" s="3">
        <v>1.3931229000000001</v>
      </c>
      <c r="AA795" s="3">
        <v>1.3911716999999999</v>
      </c>
      <c r="AB795" s="3">
        <v>1.3874346</v>
      </c>
      <c r="AC795" s="3">
        <v>1.3822112</v>
      </c>
      <c r="AD795" s="3">
        <v>1.3756759999999999</v>
      </c>
      <c r="AE795" s="3">
        <v>1.3679653000000001</v>
      </c>
      <c r="AF795" s="3">
        <v>1.3592157</v>
      </c>
      <c r="AG795" s="3">
        <v>1.3495634999999999</v>
      </c>
      <c r="AH795" s="3">
        <v>1.3391451000000001</v>
      </c>
      <c r="AI795" s="3">
        <v>1.3280970000000001</v>
      </c>
      <c r="AJ795" s="3">
        <v>1.3165555</v>
      </c>
      <c r="AK795" s="3">
        <v>1.3046571</v>
      </c>
      <c r="AL795" s="3">
        <v>1.2925382000000001</v>
      </c>
      <c r="AM795" s="3">
        <v>1.2803351999999999</v>
      </c>
      <c r="AN795" s="3">
        <v>1.2681845</v>
      </c>
      <c r="AO795" s="3">
        <v>1.2562039</v>
      </c>
      <c r="AP795" s="3">
        <v>1.2444291000000001</v>
      </c>
      <c r="AQ795" s="3">
        <v>1.2328733000000001</v>
      </c>
      <c r="AR795" s="3">
        <v>1.2215495000000001</v>
      </c>
      <c r="AS795" s="3">
        <v>1.2104706999999999</v>
      </c>
      <c r="AT795" s="3">
        <v>1.1996500000000001</v>
      </c>
      <c r="AU795" s="3">
        <v>1.1891004999999999</v>
      </c>
      <c r="AV795" s="3">
        <v>1.1788352</v>
      </c>
      <c r="AW795" s="3">
        <v>1.1688672</v>
      </c>
      <c r="AX795" s="3">
        <v>1.1592096000000001</v>
      </c>
      <c r="AY795" s="3">
        <v>1.1498754</v>
      </c>
      <c r="AZ795" s="3">
        <v>1.1408777000000001</v>
      </c>
      <c r="BA795" s="3">
        <v>1.1322272</v>
      </c>
      <c r="BB795" s="3">
        <v>1.1239243000000001</v>
      </c>
      <c r="BC795" s="3">
        <v>1.1159664</v>
      </c>
      <c r="BD795" s="3">
        <v>1.1083510000000001</v>
      </c>
      <c r="BE795" s="3">
        <v>1.1010755000000001</v>
      </c>
      <c r="BF795" s="3">
        <v>1.0941375</v>
      </c>
      <c r="BG795" s="3">
        <v>1.0875344</v>
      </c>
      <c r="BH795" s="3">
        <v>1.0812636</v>
      </c>
      <c r="BI795" s="3">
        <v>1.0753227999999999</v>
      </c>
      <c r="BJ795" s="3">
        <v>1.0697091999999999</v>
      </c>
      <c r="BK795" s="3">
        <v>1.0644203999999999</v>
      </c>
      <c r="BL795" s="3">
        <v>1.0594539000000001</v>
      </c>
      <c r="BM795" s="3">
        <v>1.0360997000000001</v>
      </c>
      <c r="BN795" s="3">
        <v>1.0226118</v>
      </c>
    </row>
    <row r="796" spans="1:66" x14ac:dyDescent="0.35">
      <c r="A796" s="5">
        <f t="shared" si="12"/>
        <v>44568</v>
      </c>
      <c r="B796" t="s">
        <v>2120</v>
      </c>
      <c r="C796" s="2">
        <v>0.25</v>
      </c>
      <c r="D796" s="2">
        <v>0.19500000000000001</v>
      </c>
      <c r="E796" s="3">
        <v>0.29936699999999999</v>
      </c>
      <c r="F796" s="3">
        <v>0.43521520000000002</v>
      </c>
      <c r="G796" s="3">
        <v>0.55063150000000005</v>
      </c>
      <c r="H796" s="3">
        <v>0.66002590000000005</v>
      </c>
      <c r="I796" s="3">
        <v>0.76519570000000003</v>
      </c>
      <c r="J796" s="3">
        <v>0.86293399999999998</v>
      </c>
      <c r="K796" s="3">
        <v>0.95187089999999996</v>
      </c>
      <c r="L796" s="3">
        <v>1.030635</v>
      </c>
      <c r="M796" s="3">
        <v>1.0986118</v>
      </c>
      <c r="N796" s="3">
        <v>1.1564615</v>
      </c>
      <c r="O796" s="3">
        <v>1.2051818000000001</v>
      </c>
      <c r="P796" s="3">
        <v>1.2459918000000001</v>
      </c>
      <c r="Q796" s="3">
        <v>1.2805154999999999</v>
      </c>
      <c r="R796" s="3">
        <v>1.3095279</v>
      </c>
      <c r="S796" s="3">
        <v>1.3335035</v>
      </c>
      <c r="T796" s="3">
        <v>1.3529163</v>
      </c>
      <c r="U796" s="3">
        <v>1.3682406</v>
      </c>
      <c r="V796" s="3">
        <v>1.3799507</v>
      </c>
      <c r="W796" s="3">
        <v>1.388485</v>
      </c>
      <c r="X796" s="3">
        <v>1.3941595</v>
      </c>
      <c r="Y796" s="3">
        <v>1.3972636000000001</v>
      </c>
      <c r="Z796" s="3">
        <v>1.3980865</v>
      </c>
      <c r="AA796" s="3">
        <v>1.3969176999999999</v>
      </c>
      <c r="AB796" s="3">
        <v>1.3940465</v>
      </c>
      <c r="AC796" s="3">
        <v>1.3897379999999999</v>
      </c>
      <c r="AD796" s="3">
        <v>1.3841498999999999</v>
      </c>
      <c r="AE796" s="3">
        <v>1.3774101999999999</v>
      </c>
      <c r="AF796" s="3">
        <v>1.3696470999999999</v>
      </c>
      <c r="AG796" s="3">
        <v>1.3609884999999999</v>
      </c>
      <c r="AH796" s="3">
        <v>1.3515626000000001</v>
      </c>
      <c r="AI796" s="3">
        <v>1.3414974</v>
      </c>
      <c r="AJ796" s="3">
        <v>1.330921</v>
      </c>
      <c r="AK796" s="3">
        <v>1.3199615</v>
      </c>
      <c r="AL796" s="3">
        <v>1.3087470000000001</v>
      </c>
      <c r="AM796" s="3">
        <v>1.2974055</v>
      </c>
      <c r="AN796" s="3">
        <v>1.2860651000000001</v>
      </c>
      <c r="AO796" s="3">
        <v>1.2748371000000001</v>
      </c>
      <c r="AP796" s="3">
        <v>1.2637586000000001</v>
      </c>
      <c r="AQ796" s="3">
        <v>1.2528463999999999</v>
      </c>
      <c r="AR796" s="3">
        <v>1.2421173000000001</v>
      </c>
      <c r="AS796" s="3">
        <v>1.2315879000000001</v>
      </c>
      <c r="AT796" s="3">
        <v>1.2212749000000001</v>
      </c>
      <c r="AU796" s="3">
        <v>1.2111951999999999</v>
      </c>
      <c r="AV796" s="3">
        <v>1.2013654</v>
      </c>
      <c r="AW796" s="3">
        <v>1.1918023</v>
      </c>
      <c r="AX796" s="3">
        <v>1.1825224999999999</v>
      </c>
      <c r="AY796" s="3">
        <v>1.1735428999999999</v>
      </c>
      <c r="AZ796" s="3">
        <v>1.1648801</v>
      </c>
      <c r="BA796" s="3">
        <v>1.1565479999999999</v>
      </c>
      <c r="BB796" s="3">
        <v>1.1485479000000001</v>
      </c>
      <c r="BC796" s="3">
        <v>1.1408773999999999</v>
      </c>
      <c r="BD796" s="3">
        <v>1.1335344000000001</v>
      </c>
      <c r="BE796" s="3">
        <v>1.1265164999999999</v>
      </c>
      <c r="BF796" s="3">
        <v>1.1198215</v>
      </c>
      <c r="BG796" s="3">
        <v>1.1134472</v>
      </c>
      <c r="BH796" s="3">
        <v>1.1073913</v>
      </c>
      <c r="BI796" s="3">
        <v>1.1016513999999999</v>
      </c>
      <c r="BJ796" s="3">
        <v>1.0962255000000001</v>
      </c>
      <c r="BK796" s="3">
        <v>1.0911112000000001</v>
      </c>
      <c r="BL796" s="3">
        <v>1.0863062000000001</v>
      </c>
      <c r="BM796" s="3">
        <v>1.0636821999999999</v>
      </c>
      <c r="BN796" s="3">
        <v>1.0506291000000001</v>
      </c>
    </row>
    <row r="797" spans="1:66" x14ac:dyDescent="0.35">
      <c r="A797" s="5">
        <f t="shared" si="12"/>
        <v>44571</v>
      </c>
      <c r="B797" t="s">
        <v>2121</v>
      </c>
      <c r="C797" s="2">
        <v>0.25</v>
      </c>
      <c r="D797" s="2">
        <v>0.1948</v>
      </c>
      <c r="E797" s="3">
        <v>0.32337389999999999</v>
      </c>
      <c r="F797" s="3">
        <v>0.44928430000000003</v>
      </c>
      <c r="G797" s="3">
        <v>0.55950409999999995</v>
      </c>
      <c r="H797" s="3">
        <v>0.6674331</v>
      </c>
      <c r="I797" s="3">
        <v>0.77374310000000002</v>
      </c>
      <c r="J797" s="3">
        <v>0.87385959999999996</v>
      </c>
      <c r="K797" s="3">
        <v>0.96499190000000001</v>
      </c>
      <c r="L797" s="3">
        <v>1.0455163999999999</v>
      </c>
      <c r="M797" s="3">
        <v>1.1145573</v>
      </c>
      <c r="N797" s="3">
        <v>1.1728955000000001</v>
      </c>
      <c r="O797" s="3">
        <v>1.2213301999999999</v>
      </c>
      <c r="P797" s="3">
        <v>1.2611431</v>
      </c>
      <c r="Q797" s="3">
        <v>1.2946625</v>
      </c>
      <c r="R797" s="3">
        <v>1.3228044999999999</v>
      </c>
      <c r="S797" s="3">
        <v>1.3460300000000001</v>
      </c>
      <c r="T797" s="3">
        <v>1.3647996</v>
      </c>
      <c r="U797" s="3">
        <v>1.3795740999999999</v>
      </c>
      <c r="V797" s="3">
        <v>1.3908141999999999</v>
      </c>
      <c r="W797" s="3">
        <v>1.3989480000000001</v>
      </c>
      <c r="X797" s="3">
        <v>1.4042908000000001</v>
      </c>
      <c r="Y797" s="3">
        <v>1.4071335</v>
      </c>
      <c r="Z797" s="3">
        <v>1.4077671</v>
      </c>
      <c r="AA797" s="3">
        <v>1.4064827</v>
      </c>
      <c r="AB797" s="3">
        <v>1.4035711</v>
      </c>
      <c r="AC797" s="3">
        <v>1.3992955</v>
      </c>
      <c r="AD797" s="3">
        <v>1.3938067999999999</v>
      </c>
      <c r="AE797" s="3">
        <v>1.3872283999999999</v>
      </c>
      <c r="AF797" s="3">
        <v>1.3796834</v>
      </c>
      <c r="AG797" s="3">
        <v>1.3712949999999999</v>
      </c>
      <c r="AH797" s="3">
        <v>1.3621863999999999</v>
      </c>
      <c r="AI797" s="3">
        <v>1.3524807000000001</v>
      </c>
      <c r="AJ797" s="3">
        <v>1.3423012000000001</v>
      </c>
      <c r="AK797" s="3">
        <v>1.331771</v>
      </c>
      <c r="AL797" s="3">
        <v>1.3210132999999999</v>
      </c>
      <c r="AM797" s="3">
        <v>1.3101512</v>
      </c>
      <c r="AN797" s="3">
        <v>1.2993081</v>
      </c>
      <c r="AO797" s="3">
        <v>1.2885905</v>
      </c>
      <c r="AP797" s="3">
        <v>1.2780322</v>
      </c>
      <c r="AQ797" s="3">
        <v>1.267647</v>
      </c>
      <c r="AR797" s="3">
        <v>1.2574486</v>
      </c>
      <c r="AS797" s="3">
        <v>1.2474506999999999</v>
      </c>
      <c r="AT797" s="3">
        <v>1.2376670000000001</v>
      </c>
      <c r="AU797" s="3">
        <v>1.2281112000000001</v>
      </c>
      <c r="AV797" s="3">
        <v>1.2187971</v>
      </c>
      <c r="AW797" s="3">
        <v>1.2097382999999999</v>
      </c>
      <c r="AX797" s="3">
        <v>1.2009486</v>
      </c>
      <c r="AY797" s="3">
        <v>1.1924416</v>
      </c>
      <c r="AZ797" s="3">
        <v>1.1842311999999999</v>
      </c>
      <c r="BA797" s="3">
        <v>1.1763291</v>
      </c>
      <c r="BB797" s="3">
        <v>1.1687377000000001</v>
      </c>
      <c r="BC797" s="3">
        <v>1.1614561999999999</v>
      </c>
      <c r="BD797" s="3">
        <v>1.1544835</v>
      </c>
      <c r="BE797" s="3">
        <v>1.1478187</v>
      </c>
      <c r="BF797" s="3">
        <v>1.1414609</v>
      </c>
      <c r="BG797" s="3">
        <v>1.1354090999999999</v>
      </c>
      <c r="BH797" s="3">
        <v>1.1296625</v>
      </c>
      <c r="BI797" s="3">
        <v>1.1242201000000001</v>
      </c>
      <c r="BJ797" s="3">
        <v>1.119081</v>
      </c>
      <c r="BK797" s="3">
        <v>1.1142441999999999</v>
      </c>
      <c r="BL797" s="3">
        <v>1.1097087999999999</v>
      </c>
      <c r="BM797" s="3">
        <v>1.0885564999999999</v>
      </c>
      <c r="BN797" s="3">
        <v>1.0766865999999999</v>
      </c>
    </row>
    <row r="798" spans="1:66" x14ac:dyDescent="0.35">
      <c r="A798" s="5">
        <f t="shared" si="12"/>
        <v>44572</v>
      </c>
      <c r="B798" t="s">
        <v>2122</v>
      </c>
      <c r="C798" s="2">
        <v>0.25</v>
      </c>
      <c r="D798" s="2">
        <v>0.19520000000000001</v>
      </c>
      <c r="E798" s="3">
        <v>0.33420719999999998</v>
      </c>
      <c r="F798" s="3">
        <v>0.4580591</v>
      </c>
      <c r="G798" s="3">
        <v>0.56624359999999996</v>
      </c>
      <c r="H798" s="3">
        <v>0.6727476</v>
      </c>
      <c r="I798" s="3">
        <v>0.77859179999999995</v>
      </c>
      <c r="J798" s="3">
        <v>0.87903160000000002</v>
      </c>
      <c r="K798" s="3">
        <v>0.97031710000000004</v>
      </c>
      <c r="L798" s="3">
        <v>1.0506055999999999</v>
      </c>
      <c r="M798" s="3">
        <v>1.1193507</v>
      </c>
      <c r="N798" s="3">
        <v>1.1775815999999999</v>
      </c>
      <c r="O798" s="3">
        <v>1.2262998000000001</v>
      </c>
      <c r="P798" s="3">
        <v>1.2666799</v>
      </c>
      <c r="Q798" s="3">
        <v>1.3001883999999999</v>
      </c>
      <c r="R798" s="3">
        <v>1.3276384000000001</v>
      </c>
      <c r="S798" s="3">
        <v>1.3496509000000001</v>
      </c>
      <c r="T798" s="3">
        <v>1.3668469000000001</v>
      </c>
      <c r="U798" s="3">
        <v>1.3798474000000001</v>
      </c>
      <c r="V798" s="3">
        <v>1.3892736000000001</v>
      </c>
      <c r="W798" s="3">
        <v>1.3956845</v>
      </c>
      <c r="X798" s="3">
        <v>1.3994249999999999</v>
      </c>
      <c r="Y798" s="3">
        <v>1.4007942</v>
      </c>
      <c r="Z798" s="3">
        <v>1.4000908999999999</v>
      </c>
      <c r="AA798" s="3">
        <v>1.3976139999999999</v>
      </c>
      <c r="AB798" s="3">
        <v>1.3936624</v>
      </c>
      <c r="AC798" s="3">
        <v>1.3885031000000001</v>
      </c>
      <c r="AD798" s="3">
        <v>1.3822749000000001</v>
      </c>
      <c r="AE798" s="3">
        <v>1.3750845</v>
      </c>
      <c r="AF798" s="3">
        <v>1.3670386999999999</v>
      </c>
      <c r="AG798" s="3">
        <v>1.3582444</v>
      </c>
      <c r="AH798" s="3">
        <v>1.3488084</v>
      </c>
      <c r="AI798" s="3">
        <v>1.3388374000000001</v>
      </c>
      <c r="AJ798" s="3">
        <v>1.3284383</v>
      </c>
      <c r="AK798" s="3">
        <v>1.3177178000000001</v>
      </c>
      <c r="AL798" s="3">
        <v>1.3067827999999999</v>
      </c>
      <c r="AM798" s="3">
        <v>1.2957401</v>
      </c>
      <c r="AN798" s="3">
        <v>1.2846964000000001</v>
      </c>
      <c r="AO798" s="3">
        <v>1.2737474</v>
      </c>
      <c r="AP798" s="3">
        <v>1.2629286</v>
      </c>
      <c r="AQ798" s="3">
        <v>1.2522551</v>
      </c>
      <c r="AR798" s="3">
        <v>1.2417422</v>
      </c>
      <c r="AS798" s="3">
        <v>1.2314050999999999</v>
      </c>
      <c r="AT798" s="3">
        <v>1.2212590999999999</v>
      </c>
      <c r="AU798" s="3">
        <v>1.2113194</v>
      </c>
      <c r="AV798" s="3">
        <v>1.2016012</v>
      </c>
      <c r="AW798" s="3">
        <v>1.1921198</v>
      </c>
      <c r="AX798" s="3">
        <v>1.1828905000000001</v>
      </c>
      <c r="AY798" s="3">
        <v>1.1739284000000001</v>
      </c>
      <c r="AZ798" s="3">
        <v>1.1652487</v>
      </c>
      <c r="BA798" s="3">
        <v>1.1568647000000001</v>
      </c>
      <c r="BB798" s="3">
        <v>1.148779</v>
      </c>
      <c r="BC798" s="3">
        <v>1.1409912</v>
      </c>
      <c r="BD798" s="3">
        <v>1.1335009</v>
      </c>
      <c r="BE798" s="3">
        <v>1.1263078</v>
      </c>
      <c r="BF798" s="3">
        <v>1.1194113999999999</v>
      </c>
      <c r="BG798" s="3">
        <v>1.1128111999999999</v>
      </c>
      <c r="BH798" s="3">
        <v>1.1065069999999999</v>
      </c>
      <c r="BI798" s="3">
        <v>1.1004982000000001</v>
      </c>
      <c r="BJ798" s="3">
        <v>1.0947845</v>
      </c>
      <c r="BK798" s="3">
        <v>1.0893655</v>
      </c>
      <c r="BL798" s="3">
        <v>1.0842407999999999</v>
      </c>
      <c r="BM798" s="3">
        <v>1.0594709</v>
      </c>
      <c r="BN798" s="3">
        <v>1.0441130000000001</v>
      </c>
    </row>
    <row r="799" spans="1:66" x14ac:dyDescent="0.35">
      <c r="A799" s="5">
        <f t="shared" si="12"/>
        <v>44573</v>
      </c>
      <c r="B799" t="s">
        <v>2123</v>
      </c>
      <c r="C799" s="2">
        <v>0.25</v>
      </c>
      <c r="D799" s="2">
        <v>0.1958</v>
      </c>
      <c r="E799" s="3">
        <v>0.34388239999999998</v>
      </c>
      <c r="F799" s="3">
        <v>0.46135110000000001</v>
      </c>
      <c r="G799" s="3">
        <v>0.56665889999999997</v>
      </c>
      <c r="H799" s="3">
        <v>0.67190269999999996</v>
      </c>
      <c r="I799" s="3">
        <v>0.77617829999999999</v>
      </c>
      <c r="J799" s="3">
        <v>0.87363800000000003</v>
      </c>
      <c r="K799" s="3">
        <v>0.9603971</v>
      </c>
      <c r="L799" s="3">
        <v>1.0349568</v>
      </c>
      <c r="M799" s="3">
        <v>1.0973904000000001</v>
      </c>
      <c r="N799" s="3">
        <v>1.1488798</v>
      </c>
      <c r="O799" s="3">
        <v>1.1910577</v>
      </c>
      <c r="P799" s="3">
        <v>1.2252432</v>
      </c>
      <c r="Q799" s="3">
        <v>1.2534620000000001</v>
      </c>
      <c r="R799" s="3">
        <v>1.2765734</v>
      </c>
      <c r="S799" s="3">
        <v>1.2950676999999999</v>
      </c>
      <c r="T799" s="3">
        <v>1.3094355</v>
      </c>
      <c r="U799" s="3">
        <v>1.3201674999999999</v>
      </c>
      <c r="V799" s="3">
        <v>1.3277540999999999</v>
      </c>
      <c r="W799" s="3">
        <v>1.3326423999999999</v>
      </c>
      <c r="X799" s="3">
        <v>1.3351294</v>
      </c>
      <c r="Y799" s="3">
        <v>1.3354798000000001</v>
      </c>
      <c r="Z799" s="3">
        <v>1.333958</v>
      </c>
      <c r="AA799" s="3">
        <v>1.3308289</v>
      </c>
      <c r="AB799" s="3">
        <v>1.3263568999999999</v>
      </c>
      <c r="AC799" s="3">
        <v>1.3207796999999999</v>
      </c>
      <c r="AD799" s="3">
        <v>1.3142275000000001</v>
      </c>
      <c r="AE799" s="3">
        <v>1.3068032000000001</v>
      </c>
      <c r="AF799" s="3">
        <v>1.2986099</v>
      </c>
      <c r="AG799" s="3">
        <v>1.2897508</v>
      </c>
      <c r="AH799" s="3">
        <v>1.2803290000000001</v>
      </c>
      <c r="AI799" s="3">
        <v>1.2704473999999999</v>
      </c>
      <c r="AJ799" s="3">
        <v>1.2602093000000001</v>
      </c>
      <c r="AK799" s="3">
        <v>1.2497176999999999</v>
      </c>
      <c r="AL799" s="3">
        <v>1.2390756000000001</v>
      </c>
      <c r="AM799" s="3">
        <v>1.2283862999999999</v>
      </c>
      <c r="AN799" s="3">
        <v>1.2177526999999999</v>
      </c>
      <c r="AO799" s="3">
        <v>1.2072655000000001</v>
      </c>
      <c r="AP799" s="3">
        <v>1.1969543</v>
      </c>
      <c r="AQ799" s="3">
        <v>1.1868301999999999</v>
      </c>
      <c r="AR799" s="3">
        <v>1.1769044</v>
      </c>
      <c r="AS799" s="3">
        <v>1.1671879000000001</v>
      </c>
      <c r="AT799" s="3">
        <v>1.1576918</v>
      </c>
      <c r="AU799" s="3">
        <v>1.1484273</v>
      </c>
      <c r="AV799" s="3">
        <v>1.1394055999999999</v>
      </c>
      <c r="AW799" s="3">
        <v>1.1306376</v>
      </c>
      <c r="AX799" s="3">
        <v>1.1221344</v>
      </c>
      <c r="AY799" s="3">
        <v>1.1139074</v>
      </c>
      <c r="AZ799" s="3">
        <v>1.1059673999999999</v>
      </c>
      <c r="BA799" s="3">
        <v>1.0983236000000001</v>
      </c>
      <c r="BB799" s="3">
        <v>1.0909761</v>
      </c>
      <c r="BC799" s="3">
        <v>1.0839224000000001</v>
      </c>
      <c r="BD799" s="3">
        <v>1.0771601</v>
      </c>
      <c r="BE799" s="3">
        <v>1.0706868</v>
      </c>
      <c r="BF799" s="3">
        <v>1.0645001000000001</v>
      </c>
      <c r="BG799" s="3">
        <v>1.0585975999999999</v>
      </c>
      <c r="BH799" s="3">
        <v>1.0529769</v>
      </c>
      <c r="BI799" s="3">
        <v>1.0476354000000001</v>
      </c>
      <c r="BJ799" s="3">
        <v>1.0425709000000001</v>
      </c>
      <c r="BK799" s="3">
        <v>1.0377809</v>
      </c>
      <c r="BL799" s="3">
        <v>1.033263</v>
      </c>
      <c r="BM799" s="3">
        <v>1.0115940000000001</v>
      </c>
      <c r="BN799" s="3">
        <v>0.99826420000000005</v>
      </c>
    </row>
    <row r="800" spans="1:66" x14ac:dyDescent="0.35">
      <c r="A800" s="5">
        <f t="shared" si="12"/>
        <v>44574</v>
      </c>
      <c r="B800" t="s">
        <v>2124</v>
      </c>
      <c r="C800" s="2">
        <v>0.25</v>
      </c>
      <c r="D800" s="2">
        <v>0.19589999999999999</v>
      </c>
      <c r="E800" s="3">
        <v>0.34860560000000002</v>
      </c>
      <c r="F800" s="3">
        <v>0.4580109</v>
      </c>
      <c r="G800" s="3">
        <v>0.55727499999999996</v>
      </c>
      <c r="H800" s="3">
        <v>0.6585685</v>
      </c>
      <c r="I800" s="3">
        <v>0.76060320000000003</v>
      </c>
      <c r="J800" s="3">
        <v>0.85663489999999998</v>
      </c>
      <c r="K800" s="3">
        <v>0.94207870000000005</v>
      </c>
      <c r="L800" s="3">
        <v>1.0151672</v>
      </c>
      <c r="M800" s="3">
        <v>1.0761158</v>
      </c>
      <c r="N800" s="3">
        <v>1.1262448</v>
      </c>
      <c r="O800" s="3">
        <v>1.1671739000000001</v>
      </c>
      <c r="P800" s="3">
        <v>1.2003912000000001</v>
      </c>
      <c r="Q800" s="3">
        <v>1.2278107</v>
      </c>
      <c r="R800" s="3">
        <v>1.2502336999999999</v>
      </c>
      <c r="S800" s="3">
        <v>1.2681317000000001</v>
      </c>
      <c r="T800" s="3">
        <v>1.2819765000000001</v>
      </c>
      <c r="U800" s="3">
        <v>1.2922397000000001</v>
      </c>
      <c r="V800" s="3">
        <v>1.2993931000000001</v>
      </c>
      <c r="W800" s="3">
        <v>1.303871</v>
      </c>
      <c r="X800" s="3">
        <v>1.3059784999999999</v>
      </c>
      <c r="Y800" s="3">
        <v>1.3059932999999999</v>
      </c>
      <c r="Z800" s="3">
        <v>1.3041928</v>
      </c>
      <c r="AA800" s="3">
        <v>1.3008544</v>
      </c>
      <c r="AB800" s="3">
        <v>1.2962556000000001</v>
      </c>
      <c r="AC800" s="3">
        <v>1.2906493999999999</v>
      </c>
      <c r="AD800" s="3">
        <v>1.2841688</v>
      </c>
      <c r="AE800" s="3">
        <v>1.2769104</v>
      </c>
      <c r="AF800" s="3">
        <v>1.2689710999999999</v>
      </c>
      <c r="AG800" s="3">
        <v>1.2604473</v>
      </c>
      <c r="AH800" s="3">
        <v>1.2514357</v>
      </c>
      <c r="AI800" s="3">
        <v>1.2420331</v>
      </c>
      <c r="AJ800" s="3">
        <v>1.2323360000000001</v>
      </c>
      <c r="AK800" s="3">
        <v>1.2224410999999999</v>
      </c>
      <c r="AL800" s="3">
        <v>1.212445</v>
      </c>
      <c r="AM800" s="3">
        <v>1.2024444000000001</v>
      </c>
      <c r="AN800" s="3">
        <v>1.192536</v>
      </c>
      <c r="AO800" s="3">
        <v>1.1828026</v>
      </c>
      <c r="AP800" s="3">
        <v>1.1732666</v>
      </c>
      <c r="AQ800" s="3">
        <v>1.1639336</v>
      </c>
      <c r="AR800" s="3">
        <v>1.1548091</v>
      </c>
      <c r="AS800" s="3">
        <v>1.1458988000000001</v>
      </c>
      <c r="AT800" s="3">
        <v>1.1372081999999999</v>
      </c>
      <c r="AU800" s="3">
        <v>1.1287429</v>
      </c>
      <c r="AV800" s="3">
        <v>1.1205084000000001</v>
      </c>
      <c r="AW800" s="3">
        <v>1.1125105</v>
      </c>
      <c r="AX800" s="3">
        <v>1.1047545999999999</v>
      </c>
      <c r="AY800" s="3">
        <v>1.0972462999999999</v>
      </c>
      <c r="AZ800" s="3">
        <v>1.0899913000000001</v>
      </c>
      <c r="BA800" s="3">
        <v>1.0829937999999999</v>
      </c>
      <c r="BB800" s="3">
        <v>1.0762524</v>
      </c>
      <c r="BC800" s="3">
        <v>1.0697642000000001</v>
      </c>
      <c r="BD800" s="3">
        <v>1.063526</v>
      </c>
      <c r="BE800" s="3">
        <v>1.0575349999999999</v>
      </c>
      <c r="BF800" s="3">
        <v>1.0517881</v>
      </c>
      <c r="BG800" s="3">
        <v>1.0462823999999999</v>
      </c>
      <c r="BH800" s="3">
        <v>1.0410147999999999</v>
      </c>
      <c r="BI800" s="3">
        <v>1.0359822999999999</v>
      </c>
      <c r="BJ800" s="3">
        <v>1.0311821000000001</v>
      </c>
      <c r="BK800" s="3">
        <v>1.0266109999999999</v>
      </c>
      <c r="BL800" s="3">
        <v>1.0222659999999999</v>
      </c>
      <c r="BM800" s="3">
        <v>1.0007577000000001</v>
      </c>
      <c r="BN800" s="3">
        <v>0.98650959999999999</v>
      </c>
    </row>
    <row r="801" spans="1:66" x14ac:dyDescent="0.35">
      <c r="A801" s="5">
        <f t="shared" si="12"/>
        <v>44575</v>
      </c>
      <c r="B801" t="s">
        <v>2125</v>
      </c>
      <c r="C801" s="2">
        <v>0.25</v>
      </c>
      <c r="D801" s="2">
        <v>0.19589999999999999</v>
      </c>
      <c r="E801" s="3">
        <v>0.36264259999999998</v>
      </c>
      <c r="F801" s="3">
        <v>0.46897810000000001</v>
      </c>
      <c r="G801" s="3">
        <v>0.56958730000000002</v>
      </c>
      <c r="H801" s="3">
        <v>0.6729465</v>
      </c>
      <c r="I801" s="3">
        <v>0.7768524</v>
      </c>
      <c r="J801" s="3">
        <v>0.87476319999999996</v>
      </c>
      <c r="K801" s="3">
        <v>0.96226230000000001</v>
      </c>
      <c r="L801" s="3">
        <v>1.0375232999999999</v>
      </c>
      <c r="M801" s="3">
        <v>1.1006587000000001</v>
      </c>
      <c r="N801" s="3">
        <v>1.1530047999999999</v>
      </c>
      <c r="O801" s="3">
        <v>1.1960602</v>
      </c>
      <c r="P801" s="3">
        <v>1.2313642</v>
      </c>
      <c r="Q801" s="3">
        <v>1.2606326000000001</v>
      </c>
      <c r="R801" s="3">
        <v>1.2846770999999999</v>
      </c>
      <c r="S801" s="3">
        <v>1.3040058999999999</v>
      </c>
      <c r="T801" s="3">
        <v>1.3191269999999999</v>
      </c>
      <c r="U801" s="3">
        <v>1.3305484000000001</v>
      </c>
      <c r="V801" s="3">
        <v>1.3387783</v>
      </c>
      <c r="W801" s="3">
        <v>1.3442797</v>
      </c>
      <c r="X801" s="3">
        <v>1.3473607000000001</v>
      </c>
      <c r="Y801" s="3">
        <v>1.3482955999999999</v>
      </c>
      <c r="Z801" s="3">
        <v>1.347359</v>
      </c>
      <c r="AA801" s="3">
        <v>1.3448253999999999</v>
      </c>
      <c r="AB801" s="3">
        <v>1.3409693</v>
      </c>
      <c r="AC801" s="3">
        <v>1.3360392000000001</v>
      </c>
      <c r="AD801" s="3">
        <v>1.3301692000000001</v>
      </c>
      <c r="AE801" s="3">
        <v>1.3234618</v>
      </c>
      <c r="AF801" s="3">
        <v>1.3160194999999999</v>
      </c>
      <c r="AG801" s="3">
        <v>1.3079445999999999</v>
      </c>
      <c r="AH801" s="3">
        <v>1.2993397</v>
      </c>
      <c r="AI801" s="3">
        <v>1.2903072</v>
      </c>
      <c r="AJ801" s="3">
        <v>1.2809497000000001</v>
      </c>
      <c r="AK801" s="3">
        <v>1.2713695</v>
      </c>
      <c r="AL801" s="3">
        <v>1.2616692</v>
      </c>
      <c r="AM801" s="3">
        <v>1.2519511000000001</v>
      </c>
      <c r="AN801" s="3">
        <v>1.2423179</v>
      </c>
      <c r="AO801" s="3">
        <v>1.2328574000000001</v>
      </c>
      <c r="AP801" s="3">
        <v>1.2235936999999999</v>
      </c>
      <c r="AQ801" s="3">
        <v>1.2145332</v>
      </c>
      <c r="AR801" s="3">
        <v>1.2056823000000001</v>
      </c>
      <c r="AS801" s="3">
        <v>1.1970474</v>
      </c>
      <c r="AT801" s="3">
        <v>1.1886349</v>
      </c>
      <c r="AU801" s="3">
        <v>1.1804511</v>
      </c>
      <c r="AV801" s="3">
        <v>1.1725026000000001</v>
      </c>
      <c r="AW801" s="3">
        <v>1.1647957</v>
      </c>
      <c r="AX801" s="3">
        <v>1.1573367999999999</v>
      </c>
      <c r="AY801" s="3">
        <v>1.1501322</v>
      </c>
      <c r="AZ801" s="3">
        <v>1.1431884999999999</v>
      </c>
      <c r="BA801" s="3">
        <v>1.1365105</v>
      </c>
      <c r="BB801" s="3">
        <v>1.1300967</v>
      </c>
      <c r="BC801" s="3">
        <v>1.1239440999999999</v>
      </c>
      <c r="BD801" s="3">
        <v>1.1180493</v>
      </c>
      <c r="BE801" s="3">
        <v>1.1124092000000001</v>
      </c>
      <c r="BF801" s="3">
        <v>1.1070205</v>
      </c>
      <c r="BG801" s="3">
        <v>1.1018801</v>
      </c>
      <c r="BH801" s="3">
        <v>1.0969846000000001</v>
      </c>
      <c r="BI801" s="3">
        <v>1.0923309999999999</v>
      </c>
      <c r="BJ801" s="3">
        <v>1.0879160000000001</v>
      </c>
      <c r="BK801" s="3">
        <v>1.0837363</v>
      </c>
      <c r="BL801" s="3">
        <v>1.0797888</v>
      </c>
      <c r="BM801" s="3">
        <v>1.0607314999999999</v>
      </c>
      <c r="BN801" s="3">
        <v>1.0488111</v>
      </c>
    </row>
    <row r="802" spans="1:66" x14ac:dyDescent="0.35">
      <c r="A802" s="5">
        <f t="shared" si="12"/>
        <v>44578</v>
      </c>
      <c r="B802" t="s">
        <v>2126</v>
      </c>
      <c r="C802" s="2">
        <v>0.25</v>
      </c>
      <c r="D802" s="2">
        <v>0.19600000000000001</v>
      </c>
      <c r="E802" s="3">
        <v>0.38990750000000002</v>
      </c>
      <c r="F802" s="3">
        <v>0.47691210000000001</v>
      </c>
      <c r="G802" s="3">
        <v>0.57795319999999994</v>
      </c>
      <c r="H802" s="3">
        <v>0.68820919999999997</v>
      </c>
      <c r="I802" s="3">
        <v>0.7976721</v>
      </c>
      <c r="J802" s="3">
        <v>0.89848240000000001</v>
      </c>
      <c r="K802" s="3">
        <v>0.98687230000000004</v>
      </c>
      <c r="L802" s="3">
        <v>1.0621297999999999</v>
      </c>
      <c r="M802" s="3">
        <v>1.1250355000000001</v>
      </c>
      <c r="N802" s="3">
        <v>1.1778111</v>
      </c>
      <c r="O802" s="3">
        <v>1.2221903999999999</v>
      </c>
      <c r="P802" s="3">
        <v>1.2596575000000001</v>
      </c>
      <c r="Q802" s="3">
        <v>1.2914684000000001</v>
      </c>
      <c r="R802" s="3">
        <v>1.3181761000000001</v>
      </c>
      <c r="S802" s="3">
        <v>1.3401611</v>
      </c>
      <c r="T802" s="3">
        <v>1.3578041000000001</v>
      </c>
      <c r="U802" s="3">
        <v>1.3714858000000001</v>
      </c>
      <c r="V802" s="3">
        <v>1.3815866999999999</v>
      </c>
      <c r="W802" s="3">
        <v>1.3884772000000001</v>
      </c>
      <c r="X802" s="3">
        <v>1.3924917999999999</v>
      </c>
      <c r="Y802" s="3">
        <v>1.3939570999999999</v>
      </c>
      <c r="Z802" s="3">
        <v>1.3932</v>
      </c>
      <c r="AA802" s="3">
        <v>1.3905472000000001</v>
      </c>
      <c r="AB802" s="3">
        <v>1.3863255000000001</v>
      </c>
      <c r="AC802" s="3">
        <v>1.3808275000000001</v>
      </c>
      <c r="AD802" s="3">
        <v>1.3742095000000001</v>
      </c>
      <c r="AE802" s="3">
        <v>1.3665936000000001</v>
      </c>
      <c r="AF802" s="3">
        <v>1.3581018</v>
      </c>
      <c r="AG802" s="3">
        <v>1.3488561999999999</v>
      </c>
      <c r="AH802" s="3">
        <v>1.3389791</v>
      </c>
      <c r="AI802" s="3">
        <v>1.3285924</v>
      </c>
      <c r="AJ802" s="3">
        <v>1.3178182000000001</v>
      </c>
      <c r="AK802" s="3">
        <v>1.3067788</v>
      </c>
      <c r="AL802" s="3">
        <v>1.2955961</v>
      </c>
      <c r="AM802" s="3">
        <v>1.2843924</v>
      </c>
      <c r="AN802" s="3">
        <v>1.2732896</v>
      </c>
      <c r="AO802" s="3">
        <v>1.2623932</v>
      </c>
      <c r="AP802" s="3">
        <v>1.2517347000000001</v>
      </c>
      <c r="AQ802" s="3">
        <v>1.2413254</v>
      </c>
      <c r="AR802" s="3">
        <v>1.2311764000000001</v>
      </c>
      <c r="AS802" s="3">
        <v>1.2212989000000001</v>
      </c>
      <c r="AT802" s="3">
        <v>1.2117041</v>
      </c>
      <c r="AU802" s="3">
        <v>1.2024032</v>
      </c>
      <c r="AV802" s="3">
        <v>1.1934073999999999</v>
      </c>
      <c r="AW802" s="3">
        <v>1.1847278999999999</v>
      </c>
      <c r="AX802" s="3">
        <v>1.1763758</v>
      </c>
      <c r="AY802" s="3">
        <v>1.1683623999999999</v>
      </c>
      <c r="AZ802" s="3">
        <v>1.1606989000000001</v>
      </c>
      <c r="BA802" s="3">
        <v>1.1533944</v>
      </c>
      <c r="BB802" s="3">
        <v>1.146447</v>
      </c>
      <c r="BC802" s="3">
        <v>1.1398509999999999</v>
      </c>
      <c r="BD802" s="3">
        <v>1.1336008</v>
      </c>
      <c r="BE802" s="3">
        <v>1.1276907</v>
      </c>
      <c r="BF802" s="3">
        <v>1.1221152000000001</v>
      </c>
      <c r="BG802" s="3">
        <v>1.1168685</v>
      </c>
      <c r="BH802" s="3">
        <v>1.1119451</v>
      </c>
      <c r="BI802" s="3">
        <v>1.1073392</v>
      </c>
      <c r="BJ802" s="3">
        <v>1.1030453</v>
      </c>
      <c r="BK802" s="3">
        <v>1.0990576000000001</v>
      </c>
      <c r="BL802" s="3">
        <v>1.0953706999999999</v>
      </c>
      <c r="BM802" s="3">
        <v>1.0790439999999999</v>
      </c>
      <c r="BN802" s="3">
        <v>1.0708762999999999</v>
      </c>
    </row>
    <row r="803" spans="1:66" x14ac:dyDescent="0.35">
      <c r="A803" s="5">
        <f t="shared" si="12"/>
        <v>44579</v>
      </c>
      <c r="B803" t="s">
        <v>2127</v>
      </c>
      <c r="C803" s="2">
        <v>0.25</v>
      </c>
      <c r="D803" s="2">
        <v>0.19589999999999999</v>
      </c>
      <c r="E803" s="3">
        <v>0.3981459</v>
      </c>
      <c r="F803" s="3">
        <v>0.48073250000000001</v>
      </c>
      <c r="G803" s="3">
        <v>0.58498000000000006</v>
      </c>
      <c r="H803" s="3">
        <v>0.70092829999999995</v>
      </c>
      <c r="I803" s="3">
        <v>0.81606440000000002</v>
      </c>
      <c r="J803" s="3">
        <v>0.92195510000000003</v>
      </c>
      <c r="K803" s="3">
        <v>1.0141382000000001</v>
      </c>
      <c r="L803" s="3">
        <v>1.0921289999999999</v>
      </c>
      <c r="M803" s="3">
        <v>1.157068</v>
      </c>
      <c r="N803" s="3">
        <v>1.2112449000000001</v>
      </c>
      <c r="O803" s="3">
        <v>1.2564449</v>
      </c>
      <c r="P803" s="3">
        <v>1.2941611</v>
      </c>
      <c r="Q803" s="3">
        <v>1.3258299</v>
      </c>
      <c r="R803" s="3">
        <v>1.3521082</v>
      </c>
      <c r="S803" s="3">
        <v>1.373445</v>
      </c>
      <c r="T803" s="3">
        <v>1.3902897999999999</v>
      </c>
      <c r="U803" s="3">
        <v>1.4030917999999999</v>
      </c>
      <c r="V803" s="3">
        <v>1.4123002</v>
      </c>
      <c r="W803" s="3">
        <v>1.4183467999999999</v>
      </c>
      <c r="X803" s="3">
        <v>1.4216021999999999</v>
      </c>
      <c r="Y803" s="3">
        <v>1.4224239999999999</v>
      </c>
      <c r="Z803" s="3">
        <v>1.4211697999999999</v>
      </c>
      <c r="AA803" s="3">
        <v>1.4181973000000001</v>
      </c>
      <c r="AB803" s="3">
        <v>1.413864</v>
      </c>
      <c r="AC803" s="3">
        <v>1.4084854</v>
      </c>
      <c r="AD803" s="3">
        <v>1.4022082</v>
      </c>
      <c r="AE803" s="3">
        <v>1.3951370000000001</v>
      </c>
      <c r="AF803" s="3">
        <v>1.3873762999999999</v>
      </c>
      <c r="AG803" s="3">
        <v>1.3790308</v>
      </c>
      <c r="AH803" s="3">
        <v>1.3702049999999999</v>
      </c>
      <c r="AI803" s="3">
        <v>1.3610035</v>
      </c>
      <c r="AJ803" s="3">
        <v>1.3515307999999999</v>
      </c>
      <c r="AK803" s="3">
        <v>1.3418916000000001</v>
      </c>
      <c r="AL803" s="3">
        <v>1.3321904</v>
      </c>
      <c r="AM803" s="3">
        <v>1.3225317999999999</v>
      </c>
      <c r="AN803" s="3">
        <v>1.3130203</v>
      </c>
      <c r="AO803" s="3">
        <v>1.3037479999999999</v>
      </c>
      <c r="AP803" s="3">
        <v>1.2947389</v>
      </c>
      <c r="AQ803" s="3">
        <v>1.2859943</v>
      </c>
      <c r="AR803" s="3">
        <v>1.2775156000000001</v>
      </c>
      <c r="AS803" s="3">
        <v>1.269304</v>
      </c>
      <c r="AT803" s="3">
        <v>1.2613608999999999</v>
      </c>
      <c r="AU803" s="3">
        <v>1.2536875000000001</v>
      </c>
      <c r="AV803" s="3">
        <v>1.2462852</v>
      </c>
      <c r="AW803" s="3">
        <v>1.2391553</v>
      </c>
      <c r="AX803" s="3">
        <v>1.2322991000000001</v>
      </c>
      <c r="AY803" s="3">
        <v>1.2257179</v>
      </c>
      <c r="AZ803" s="3">
        <v>1.2194130000000001</v>
      </c>
      <c r="BA803" s="3">
        <v>1.2133848</v>
      </c>
      <c r="BB803" s="3">
        <v>1.2076298000000001</v>
      </c>
      <c r="BC803" s="3">
        <v>1.2021428999999999</v>
      </c>
      <c r="BD803" s="3">
        <v>1.1969194999999999</v>
      </c>
      <c r="BE803" s="3">
        <v>1.1919545</v>
      </c>
      <c r="BF803" s="3">
        <v>1.187243</v>
      </c>
      <c r="BG803" s="3">
        <v>1.1827802999999999</v>
      </c>
      <c r="BH803" s="3">
        <v>1.1785612999999999</v>
      </c>
      <c r="BI803" s="3">
        <v>1.1745812</v>
      </c>
      <c r="BJ803" s="3">
        <v>1.1708352</v>
      </c>
      <c r="BK803" s="3">
        <v>1.1673182</v>
      </c>
      <c r="BL803" s="3">
        <v>1.1640254999999999</v>
      </c>
      <c r="BM803" s="3">
        <v>1.1486324000000001</v>
      </c>
      <c r="BN803" s="3">
        <v>1.1396424999999999</v>
      </c>
    </row>
    <row r="804" spans="1:66" x14ac:dyDescent="0.35">
      <c r="A804" s="5">
        <f t="shared" si="12"/>
        <v>44580</v>
      </c>
      <c r="B804" t="s">
        <v>2129</v>
      </c>
      <c r="C804" s="2">
        <v>0.25</v>
      </c>
      <c r="D804" s="2">
        <v>0.19639999999999999</v>
      </c>
      <c r="E804" s="3">
        <v>0.42900169999999999</v>
      </c>
      <c r="F804" s="3">
        <v>0.51000129999999999</v>
      </c>
      <c r="G804" s="3">
        <v>0.61651259999999997</v>
      </c>
      <c r="H804" s="3">
        <v>0.73747600000000002</v>
      </c>
      <c r="I804" s="3">
        <v>0.85853159999999995</v>
      </c>
      <c r="J804" s="3">
        <v>0.9694682</v>
      </c>
      <c r="K804" s="3">
        <v>1.0650571</v>
      </c>
      <c r="L804" s="3">
        <v>1.1445178</v>
      </c>
      <c r="M804" s="3">
        <v>1.2093518000000001</v>
      </c>
      <c r="N804" s="3">
        <v>1.2620145</v>
      </c>
      <c r="O804" s="3">
        <v>1.3050801000000001</v>
      </c>
      <c r="P804" s="3">
        <v>1.3403780999999999</v>
      </c>
      <c r="Q804" s="3">
        <v>1.3700988999999999</v>
      </c>
      <c r="R804" s="3">
        <v>1.3949777999999999</v>
      </c>
      <c r="S804" s="3">
        <v>1.4153205</v>
      </c>
      <c r="T804" s="3">
        <v>1.4314327</v>
      </c>
      <c r="U804" s="3">
        <v>1.4436201</v>
      </c>
      <c r="V804" s="3">
        <v>1.4521884</v>
      </c>
      <c r="W804" s="3">
        <v>1.4574541000000001</v>
      </c>
      <c r="X804" s="3">
        <v>1.4597722</v>
      </c>
      <c r="Y804" s="3">
        <v>1.4595054999999999</v>
      </c>
      <c r="Z804" s="3">
        <v>1.4570168999999999</v>
      </c>
      <c r="AA804" s="3">
        <v>1.4526695000000001</v>
      </c>
      <c r="AB804" s="3">
        <v>1.4468261</v>
      </c>
      <c r="AC804" s="3">
        <v>1.4398097000000001</v>
      </c>
      <c r="AD804" s="3">
        <v>1.4317823000000001</v>
      </c>
      <c r="AE804" s="3">
        <v>1.4228664</v>
      </c>
      <c r="AF804" s="3">
        <v>1.4131838000000001</v>
      </c>
      <c r="AG804" s="3">
        <v>1.402857</v>
      </c>
      <c r="AH804" s="3">
        <v>1.3920079000000001</v>
      </c>
      <c r="AI804" s="3">
        <v>1.3807588</v>
      </c>
      <c r="AJ804" s="3">
        <v>1.3692318000000001</v>
      </c>
      <c r="AK804" s="3">
        <v>1.3575491</v>
      </c>
      <c r="AL804" s="3">
        <v>1.3458327999999999</v>
      </c>
      <c r="AM804" s="3">
        <v>1.3342050999999999</v>
      </c>
      <c r="AN804" s="3">
        <v>1.3227882</v>
      </c>
      <c r="AO804" s="3">
        <v>1.3116874000000001</v>
      </c>
      <c r="AP804" s="3">
        <v>1.3009265999999999</v>
      </c>
      <c r="AQ804" s="3">
        <v>1.2905047000000001</v>
      </c>
      <c r="AR804" s="3">
        <v>1.2804207000000001</v>
      </c>
      <c r="AS804" s="3">
        <v>1.2706735</v>
      </c>
      <c r="AT804" s="3">
        <v>1.2612622</v>
      </c>
      <c r="AU804" s="3">
        <v>1.2521857000000001</v>
      </c>
      <c r="AV804" s="3">
        <v>1.2434429</v>
      </c>
      <c r="AW804" s="3">
        <v>1.2350329</v>
      </c>
      <c r="AX804" s="3">
        <v>1.2269544999999999</v>
      </c>
      <c r="AY804" s="3">
        <v>1.2192067</v>
      </c>
      <c r="AZ804" s="3">
        <v>1.2117886</v>
      </c>
      <c r="BA804" s="3">
        <v>1.2046981000000001</v>
      </c>
      <c r="BB804" s="3">
        <v>1.1979289</v>
      </c>
      <c r="BC804" s="3">
        <v>1.1914737</v>
      </c>
      <c r="BD804" s="3">
        <v>1.1853251</v>
      </c>
      <c r="BE804" s="3">
        <v>1.1794757</v>
      </c>
      <c r="BF804" s="3">
        <v>1.1739181000000001</v>
      </c>
      <c r="BG804" s="3">
        <v>1.1686448</v>
      </c>
      <c r="BH804" s="3">
        <v>1.1636485999999999</v>
      </c>
      <c r="BI804" s="3">
        <v>1.1589218999999999</v>
      </c>
      <c r="BJ804" s="3">
        <v>1.1544574999999999</v>
      </c>
      <c r="BK804" s="3">
        <v>1.1502479000000001</v>
      </c>
      <c r="BL804" s="3">
        <v>1.1462855999999999</v>
      </c>
      <c r="BM804" s="3">
        <v>1.1273046</v>
      </c>
      <c r="BN804" s="3">
        <v>1.1154341999999999</v>
      </c>
    </row>
    <row r="805" spans="1:66" x14ac:dyDescent="0.35">
      <c r="A805" s="5">
        <f t="shared" si="12"/>
        <v>44581</v>
      </c>
      <c r="B805" t="s">
        <v>2130</v>
      </c>
      <c r="C805" s="2">
        <v>0.25</v>
      </c>
      <c r="D805" s="2">
        <v>0.1966</v>
      </c>
      <c r="E805" s="3">
        <v>0.43385420000000002</v>
      </c>
      <c r="F805" s="3">
        <v>0.50642120000000002</v>
      </c>
      <c r="G805" s="3">
        <v>0.61068909999999998</v>
      </c>
      <c r="H805" s="3">
        <v>0.7318173</v>
      </c>
      <c r="I805" s="3">
        <v>0.85323629999999995</v>
      </c>
      <c r="J805" s="3">
        <v>0.96385980000000004</v>
      </c>
      <c r="K805" s="3">
        <v>1.0589021000000001</v>
      </c>
      <c r="L805" s="3">
        <v>1.1379868</v>
      </c>
      <c r="M805" s="3">
        <v>1.2032494</v>
      </c>
      <c r="N805" s="3">
        <v>1.2572730000000001</v>
      </c>
      <c r="O805" s="3">
        <v>1.3021498</v>
      </c>
      <c r="P805" s="3">
        <v>1.3392934000000001</v>
      </c>
      <c r="Q805" s="3">
        <v>1.3700383</v>
      </c>
      <c r="R805" s="3">
        <v>1.3950419000000001</v>
      </c>
      <c r="S805" s="3">
        <v>1.4147749000000001</v>
      </c>
      <c r="T805" s="3">
        <v>1.429708</v>
      </c>
      <c r="U805" s="3">
        <v>1.440312</v>
      </c>
      <c r="V805" s="3">
        <v>1.4470577</v>
      </c>
      <c r="W805" s="3">
        <v>1.4504028</v>
      </c>
      <c r="X805" s="3">
        <v>1.45076</v>
      </c>
      <c r="Y805" s="3">
        <v>1.4485323000000001</v>
      </c>
      <c r="Z805" s="3">
        <v>1.4441229</v>
      </c>
      <c r="AA805" s="3">
        <v>1.4379348000000001</v>
      </c>
      <c r="AB805" s="3">
        <v>1.4303710999999999</v>
      </c>
      <c r="AC805" s="3">
        <v>1.4217948</v>
      </c>
      <c r="AD805" s="3">
        <v>1.4123736</v>
      </c>
      <c r="AE805" s="3">
        <v>1.4022159000000001</v>
      </c>
      <c r="AF805" s="3">
        <v>1.3914301</v>
      </c>
      <c r="AG805" s="3">
        <v>1.3801243999999999</v>
      </c>
      <c r="AH805" s="3">
        <v>1.3684073999999999</v>
      </c>
      <c r="AI805" s="3">
        <v>1.3563871999999999</v>
      </c>
      <c r="AJ805" s="3">
        <v>1.3441723000000001</v>
      </c>
      <c r="AK805" s="3">
        <v>1.331871</v>
      </c>
      <c r="AL805" s="3">
        <v>1.3195916000000001</v>
      </c>
      <c r="AM805" s="3">
        <v>1.3074425000000001</v>
      </c>
      <c r="AN805" s="3">
        <v>1.2955321</v>
      </c>
      <c r="AO805" s="3">
        <v>1.283952</v>
      </c>
      <c r="AP805" s="3">
        <v>1.2727200999999999</v>
      </c>
      <c r="AQ805" s="3">
        <v>1.2618339000000001</v>
      </c>
      <c r="AR805" s="3">
        <v>1.2512912</v>
      </c>
      <c r="AS805" s="3">
        <v>1.2410893000000001</v>
      </c>
      <c r="AT805" s="3">
        <v>1.2312259999999999</v>
      </c>
      <c r="AU805" s="3">
        <v>1.2216986999999999</v>
      </c>
      <c r="AV805" s="3">
        <v>1.2125051</v>
      </c>
      <c r="AW805" s="3">
        <v>1.2036427999999999</v>
      </c>
      <c r="AX805" s="3">
        <v>1.1951092000000001</v>
      </c>
      <c r="AY805" s="3">
        <v>1.1869019999999999</v>
      </c>
      <c r="AZ805" s="3">
        <v>1.1790187000000001</v>
      </c>
      <c r="BA805" s="3">
        <v>1.1714563</v>
      </c>
      <c r="BB805" s="3">
        <v>1.1642089</v>
      </c>
      <c r="BC805" s="3">
        <v>1.1572697999999999</v>
      </c>
      <c r="BD805" s="3">
        <v>1.1506323000000001</v>
      </c>
      <c r="BE805" s="3">
        <v>1.1442896</v>
      </c>
      <c r="BF805" s="3">
        <v>1.1382352</v>
      </c>
      <c r="BG805" s="3">
        <v>1.1324623</v>
      </c>
      <c r="BH805" s="3">
        <v>1.1269643</v>
      </c>
      <c r="BI805" s="3">
        <v>1.1217344</v>
      </c>
      <c r="BJ805" s="3">
        <v>1.1167659000000001</v>
      </c>
      <c r="BK805" s="3">
        <v>1.1120521999999999</v>
      </c>
      <c r="BL805" s="3">
        <v>1.1075866000000001</v>
      </c>
      <c r="BM805" s="3">
        <v>1.0856711999999999</v>
      </c>
      <c r="BN805" s="3">
        <v>1.0712633</v>
      </c>
    </row>
    <row r="806" spans="1:66" x14ac:dyDescent="0.35">
      <c r="A806" s="5">
        <f t="shared" si="12"/>
        <v>44582</v>
      </c>
      <c r="B806" t="s">
        <v>2131</v>
      </c>
      <c r="C806" s="2">
        <v>0.25</v>
      </c>
      <c r="D806" s="2">
        <v>0.19670000000000001</v>
      </c>
      <c r="E806" s="3">
        <v>0.42397420000000002</v>
      </c>
      <c r="F806" s="3">
        <v>0.49881239999999999</v>
      </c>
      <c r="G806" s="3">
        <v>0.60437989999999997</v>
      </c>
      <c r="H806" s="3">
        <v>0.72363460000000002</v>
      </c>
      <c r="I806" s="3">
        <v>0.84024469999999996</v>
      </c>
      <c r="J806" s="3">
        <v>0.94486829999999999</v>
      </c>
      <c r="K806" s="3">
        <v>1.0337685999999999</v>
      </c>
      <c r="L806" s="3">
        <v>1.1072492</v>
      </c>
      <c r="M806" s="3">
        <v>1.1678137</v>
      </c>
      <c r="N806" s="3">
        <v>1.2182093000000001</v>
      </c>
      <c r="O806" s="3">
        <v>1.2603784</v>
      </c>
      <c r="P806" s="3">
        <v>1.2956652</v>
      </c>
      <c r="Q806" s="3">
        <v>1.3250782999999999</v>
      </c>
      <c r="R806" s="3">
        <v>1.3491366</v>
      </c>
      <c r="S806" s="3">
        <v>1.3682205000000001</v>
      </c>
      <c r="T806" s="3">
        <v>1.3827103999999999</v>
      </c>
      <c r="U806" s="3">
        <v>1.3929866</v>
      </c>
      <c r="V806" s="3">
        <v>1.3994293</v>
      </c>
      <c r="W806" s="3">
        <v>1.4024272</v>
      </c>
      <c r="X806" s="3">
        <v>1.4023971</v>
      </c>
      <c r="Y806" s="3">
        <v>1.3997618000000001</v>
      </c>
      <c r="Z806" s="3">
        <v>1.3949442999999999</v>
      </c>
      <c r="AA806" s="3">
        <v>1.3883675</v>
      </c>
      <c r="AB806" s="3">
        <v>1.3804544000000001</v>
      </c>
      <c r="AC806" s="3">
        <v>1.3715801000000001</v>
      </c>
      <c r="AD806" s="3">
        <v>1.3619091999999999</v>
      </c>
      <c r="AE806" s="3">
        <v>1.351548</v>
      </c>
      <c r="AF806" s="3">
        <v>1.340603</v>
      </c>
      <c r="AG806" s="3">
        <v>1.3291805999999999</v>
      </c>
      <c r="AH806" s="3">
        <v>1.3173870999999999</v>
      </c>
      <c r="AI806" s="3">
        <v>1.3053291</v>
      </c>
      <c r="AJ806" s="3">
        <v>1.2931128999999999</v>
      </c>
      <c r="AK806" s="3">
        <v>1.2808449</v>
      </c>
      <c r="AL806" s="3">
        <v>1.2686314999999999</v>
      </c>
      <c r="AM806" s="3">
        <v>1.2565790999999999</v>
      </c>
      <c r="AN806" s="3">
        <v>1.2447942000000001</v>
      </c>
      <c r="AO806" s="3">
        <v>1.2333656</v>
      </c>
      <c r="AP806" s="3">
        <v>1.2223047</v>
      </c>
      <c r="AQ806" s="3">
        <v>1.2116015</v>
      </c>
      <c r="AR806" s="3">
        <v>1.2012461000000001</v>
      </c>
      <c r="AS806" s="3">
        <v>1.1912285</v>
      </c>
      <c r="AT806" s="3">
        <v>1.1815388</v>
      </c>
      <c r="AU806" s="3">
        <v>1.172167</v>
      </c>
      <c r="AV806" s="3">
        <v>1.1631031999999999</v>
      </c>
      <c r="AW806" s="3">
        <v>1.1543372999999999</v>
      </c>
      <c r="AX806" s="3">
        <v>1.1458594</v>
      </c>
      <c r="AY806" s="3">
        <v>1.1376596000000001</v>
      </c>
      <c r="AZ806" s="3">
        <v>1.1297279</v>
      </c>
      <c r="BA806" s="3">
        <v>1.1220553</v>
      </c>
      <c r="BB806" s="3">
        <v>1.1146370000000001</v>
      </c>
      <c r="BC806" s="3">
        <v>1.1074694</v>
      </c>
      <c r="BD806" s="3">
        <v>1.1005488000000001</v>
      </c>
      <c r="BE806" s="3">
        <v>1.0938715999999999</v>
      </c>
      <c r="BF806" s="3">
        <v>1.0874343</v>
      </c>
      <c r="BG806" s="3">
        <v>1.0812330999999999</v>
      </c>
      <c r="BH806" s="3">
        <v>1.0752645000000001</v>
      </c>
      <c r="BI806" s="3">
        <v>1.0695247999999999</v>
      </c>
      <c r="BJ806" s="3">
        <v>1.0640103999999999</v>
      </c>
      <c r="BK806" s="3">
        <v>1.0587176</v>
      </c>
      <c r="BL806" s="3">
        <v>1.0536430000000001</v>
      </c>
      <c r="BM806" s="3">
        <v>1.0276400000000001</v>
      </c>
      <c r="BN806" s="3">
        <v>1.0089915</v>
      </c>
    </row>
    <row r="807" spans="1:66" x14ac:dyDescent="0.35">
      <c r="A807" s="5">
        <f t="shared" si="12"/>
        <v>44585</v>
      </c>
      <c r="B807" t="s">
        <v>2132</v>
      </c>
      <c r="C807" s="2">
        <v>0.25</v>
      </c>
      <c r="D807" s="2">
        <v>0.19550000000000001</v>
      </c>
      <c r="E807" s="3">
        <v>0.42731849999999999</v>
      </c>
      <c r="F807" s="3">
        <v>0.51386790000000004</v>
      </c>
      <c r="G807" s="3">
        <v>0.62432770000000004</v>
      </c>
      <c r="H807" s="3">
        <v>0.74297469999999999</v>
      </c>
      <c r="I807" s="3">
        <v>0.85472130000000002</v>
      </c>
      <c r="J807" s="3">
        <v>0.95244799999999996</v>
      </c>
      <c r="K807" s="3">
        <v>1.0344217</v>
      </c>
      <c r="L807" s="3">
        <v>1.1020547999999999</v>
      </c>
      <c r="M807" s="3">
        <v>1.157899</v>
      </c>
      <c r="N807" s="3">
        <v>1.2048633</v>
      </c>
      <c r="O807" s="3">
        <v>1.2446842</v>
      </c>
      <c r="P807" s="3">
        <v>1.2787124999999999</v>
      </c>
      <c r="Q807" s="3">
        <v>1.3078156999999999</v>
      </c>
      <c r="R807" s="3">
        <v>1.3323761000000001</v>
      </c>
      <c r="S807" s="3">
        <v>1.3526895999999999</v>
      </c>
      <c r="T807" s="3">
        <v>1.3690517</v>
      </c>
      <c r="U807" s="3">
        <v>1.3817581000000001</v>
      </c>
      <c r="V807" s="3">
        <v>1.3911046</v>
      </c>
      <c r="W807" s="3">
        <v>1.3973802</v>
      </c>
      <c r="X807" s="3">
        <v>1.4008508</v>
      </c>
      <c r="Y807" s="3">
        <v>1.4017776</v>
      </c>
      <c r="Z807" s="3">
        <v>1.4004215</v>
      </c>
      <c r="AA807" s="3">
        <v>1.3970435999999999</v>
      </c>
      <c r="AB807" s="3">
        <v>1.3919048999999999</v>
      </c>
      <c r="AC807" s="3">
        <v>1.3852462000000001</v>
      </c>
      <c r="AD807" s="3">
        <v>1.3772272000000001</v>
      </c>
      <c r="AE807" s="3">
        <v>1.3679870999999999</v>
      </c>
      <c r="AF807" s="3">
        <v>1.3576653999999999</v>
      </c>
      <c r="AG807" s="3">
        <v>1.3464012999999999</v>
      </c>
      <c r="AH807" s="3">
        <v>1.3343342</v>
      </c>
      <c r="AI807" s="3">
        <v>1.3216034999999999</v>
      </c>
      <c r="AJ807" s="3">
        <v>1.3083486</v>
      </c>
      <c r="AK807" s="3">
        <v>1.2947086000000001</v>
      </c>
      <c r="AL807" s="3">
        <v>1.2808231000000001</v>
      </c>
      <c r="AM807" s="3">
        <v>1.2668313</v>
      </c>
      <c r="AN807" s="3">
        <v>1.2528725000000001</v>
      </c>
      <c r="AO807" s="3">
        <v>1.2390684000000001</v>
      </c>
      <c r="AP807" s="3">
        <v>1.2254615</v>
      </c>
      <c r="AQ807" s="3">
        <v>1.2120728000000001</v>
      </c>
      <c r="AR807" s="3">
        <v>1.1989232000000001</v>
      </c>
      <c r="AS807" s="3">
        <v>1.1860336</v>
      </c>
      <c r="AT807" s="3">
        <v>1.1734249000000001</v>
      </c>
      <c r="AU807" s="3">
        <v>1.1611182</v>
      </c>
      <c r="AV807" s="3">
        <v>1.1491342</v>
      </c>
      <c r="AW807" s="3">
        <v>1.137494</v>
      </c>
      <c r="AX807" s="3">
        <v>1.1262184</v>
      </c>
      <c r="AY807" s="3">
        <v>1.1153283000000001</v>
      </c>
      <c r="AZ807" s="3">
        <v>1.1048448</v>
      </c>
      <c r="BA807" s="3">
        <v>1.0947851</v>
      </c>
      <c r="BB807" s="3">
        <v>1.0851476</v>
      </c>
      <c r="BC807" s="3">
        <v>1.0759242</v>
      </c>
      <c r="BD807" s="3">
        <v>1.0671066</v>
      </c>
      <c r="BE807" s="3">
        <v>1.0586868</v>
      </c>
      <c r="BF807" s="3">
        <v>1.0506567</v>
      </c>
      <c r="BG807" s="3">
        <v>1.0430082000000001</v>
      </c>
      <c r="BH807" s="3">
        <v>1.035733</v>
      </c>
      <c r="BI807" s="3">
        <v>1.0288231000000001</v>
      </c>
      <c r="BJ807" s="3">
        <v>1.0222704</v>
      </c>
      <c r="BK807" s="3">
        <v>1.0160667999999999</v>
      </c>
      <c r="BL807" s="3">
        <v>1.0102040000000001</v>
      </c>
      <c r="BM807" s="3">
        <v>0.98169640000000002</v>
      </c>
      <c r="BN807" s="3">
        <v>0.9631982</v>
      </c>
    </row>
    <row r="808" spans="1:66" x14ac:dyDescent="0.35">
      <c r="A808" s="5">
        <f t="shared" si="12"/>
        <v>44586</v>
      </c>
      <c r="B808" t="s">
        <v>2133</v>
      </c>
      <c r="C808" s="2">
        <v>0.25</v>
      </c>
      <c r="D808" s="2">
        <v>0.19539999999999999</v>
      </c>
      <c r="E808" s="3">
        <v>0.43199169999999998</v>
      </c>
      <c r="F808" s="3">
        <v>0.52303040000000001</v>
      </c>
      <c r="G808" s="3">
        <v>0.63686810000000005</v>
      </c>
      <c r="H808" s="3">
        <v>0.75897840000000005</v>
      </c>
      <c r="I808" s="3">
        <v>0.87416309999999997</v>
      </c>
      <c r="J808" s="3">
        <v>0.97538239999999998</v>
      </c>
      <c r="K808" s="3">
        <v>1.0605640000000001</v>
      </c>
      <c r="L808" s="3">
        <v>1.1315508999999999</v>
      </c>
      <c r="M808" s="3">
        <v>1.1910871999999999</v>
      </c>
      <c r="N808" s="3">
        <v>1.2418625999999999</v>
      </c>
      <c r="O808" s="3">
        <v>1.2853995</v>
      </c>
      <c r="P808" s="3">
        <v>1.3227382000000001</v>
      </c>
      <c r="Q808" s="3">
        <v>1.3543684</v>
      </c>
      <c r="R808" s="3">
        <v>1.3806312000000001</v>
      </c>
      <c r="S808" s="3">
        <v>1.4018725999999999</v>
      </c>
      <c r="T808" s="3">
        <v>1.4184388000000001</v>
      </c>
      <c r="U808" s="3">
        <v>1.4306757999999999</v>
      </c>
      <c r="V808" s="3">
        <v>1.4389297000000001</v>
      </c>
      <c r="W808" s="3">
        <v>1.4435575</v>
      </c>
      <c r="X808" s="3">
        <v>1.4449547</v>
      </c>
      <c r="Y808" s="3">
        <v>1.4435249000000001</v>
      </c>
      <c r="Z808" s="3">
        <v>1.4396717000000001</v>
      </c>
      <c r="AA808" s="3">
        <v>1.4337986</v>
      </c>
      <c r="AB808" s="3">
        <v>1.4263093</v>
      </c>
      <c r="AC808" s="3">
        <v>1.4175616</v>
      </c>
      <c r="AD808" s="3">
        <v>1.4077302</v>
      </c>
      <c r="AE808" s="3">
        <v>1.3969442000000001</v>
      </c>
      <c r="AF808" s="3">
        <v>1.3853324</v>
      </c>
      <c r="AG808" s="3">
        <v>1.3730237999999999</v>
      </c>
      <c r="AH808" s="3">
        <v>1.3601472999999999</v>
      </c>
      <c r="AI808" s="3">
        <v>1.3468321000000001</v>
      </c>
      <c r="AJ808" s="3">
        <v>1.3332069</v>
      </c>
      <c r="AK808" s="3">
        <v>1.3194007000000001</v>
      </c>
      <c r="AL808" s="3">
        <v>1.3055426000000001</v>
      </c>
      <c r="AM808" s="3">
        <v>1.2917615</v>
      </c>
      <c r="AN808" s="3">
        <v>1.2781863</v>
      </c>
      <c r="AO808" s="3">
        <v>1.2649307999999999</v>
      </c>
      <c r="AP808" s="3">
        <v>1.2520268999999999</v>
      </c>
      <c r="AQ808" s="3">
        <v>1.2394791000000001</v>
      </c>
      <c r="AR808" s="3">
        <v>1.2272919</v>
      </c>
      <c r="AS808" s="3">
        <v>1.2154697000000001</v>
      </c>
      <c r="AT808" s="3">
        <v>1.2040171</v>
      </c>
      <c r="AU808" s="3">
        <v>1.1929384000000001</v>
      </c>
      <c r="AV808" s="3">
        <v>1.1822382</v>
      </c>
      <c r="AW808" s="3">
        <v>1.1719208999999999</v>
      </c>
      <c r="AX808" s="3">
        <v>1.161991</v>
      </c>
      <c r="AY808" s="3">
        <v>1.1524529999999999</v>
      </c>
      <c r="AZ808" s="3">
        <v>1.1433112999999999</v>
      </c>
      <c r="BA808" s="3">
        <v>1.1345684</v>
      </c>
      <c r="BB808" s="3">
        <v>1.1262175999999999</v>
      </c>
      <c r="BC808" s="3">
        <v>1.1182489</v>
      </c>
      <c r="BD808" s="3">
        <v>1.1106526999999999</v>
      </c>
      <c r="BE808" s="3">
        <v>1.1034193000000001</v>
      </c>
      <c r="BF808" s="3">
        <v>1.0965388</v>
      </c>
      <c r="BG808" s="3">
        <v>1.0900015999999999</v>
      </c>
      <c r="BH808" s="3">
        <v>1.0837977999999999</v>
      </c>
      <c r="BI808" s="3">
        <v>1.0779178</v>
      </c>
      <c r="BJ808" s="3">
        <v>1.0723517</v>
      </c>
      <c r="BK808" s="3">
        <v>1.0670899</v>
      </c>
      <c r="BL808" s="3">
        <v>1.0621225000000001</v>
      </c>
      <c r="BM808" s="3">
        <v>1.0379676</v>
      </c>
      <c r="BN808" s="3">
        <v>1.0220258</v>
      </c>
    </row>
    <row r="809" spans="1:66" x14ac:dyDescent="0.35">
      <c r="A809" s="5">
        <f t="shared" si="12"/>
        <v>44587</v>
      </c>
      <c r="B809" t="s">
        <v>2134</v>
      </c>
      <c r="C809" s="2">
        <v>0.25</v>
      </c>
      <c r="D809" s="2">
        <v>0.1956</v>
      </c>
      <c r="E809" s="3">
        <v>0.43299979999999999</v>
      </c>
      <c r="F809" s="3">
        <v>0.52827100000000005</v>
      </c>
      <c r="G809" s="3">
        <v>0.6439551</v>
      </c>
      <c r="H809" s="3">
        <v>0.76767799999999997</v>
      </c>
      <c r="I809" s="3">
        <v>0.88518520000000001</v>
      </c>
      <c r="J809" s="3">
        <v>0.98946599999999996</v>
      </c>
      <c r="K809" s="3">
        <v>1.0782676</v>
      </c>
      <c r="L809" s="3">
        <v>1.1525596</v>
      </c>
      <c r="M809" s="3">
        <v>1.2147292000000001</v>
      </c>
      <c r="N809" s="3">
        <v>1.2671220000000001</v>
      </c>
      <c r="O809" s="3">
        <v>1.3115684000000001</v>
      </c>
      <c r="P809" s="3">
        <v>1.3491503</v>
      </c>
      <c r="Q809" s="3">
        <v>1.3808669</v>
      </c>
      <c r="R809" s="3">
        <v>1.4072264000000001</v>
      </c>
      <c r="S809" s="3">
        <v>1.4285943999999999</v>
      </c>
      <c r="T809" s="3">
        <v>1.4453364</v>
      </c>
      <c r="U809" s="3">
        <v>1.4578180999999999</v>
      </c>
      <c r="V809" s="3">
        <v>1.466405</v>
      </c>
      <c r="W809" s="3">
        <v>1.4714640000000001</v>
      </c>
      <c r="X809" s="3">
        <v>1.4733665</v>
      </c>
      <c r="Y809" s="3">
        <v>1.4724851000000001</v>
      </c>
      <c r="Z809" s="3">
        <v>1.4691921999999999</v>
      </c>
      <c r="AA809" s="3">
        <v>1.4638602999999999</v>
      </c>
      <c r="AB809" s="3">
        <v>1.4568619</v>
      </c>
      <c r="AC809" s="3">
        <v>1.448529</v>
      </c>
      <c r="AD809" s="3">
        <v>1.4390316000000001</v>
      </c>
      <c r="AE809" s="3">
        <v>1.4284992000000001</v>
      </c>
      <c r="AF809" s="3">
        <v>1.4170615</v>
      </c>
      <c r="AG809" s="3">
        <v>1.4048479</v>
      </c>
      <c r="AH809" s="3">
        <v>1.3919881000000001</v>
      </c>
      <c r="AI809" s="3">
        <v>1.3786115999999999</v>
      </c>
      <c r="AJ809" s="3">
        <v>1.3648479</v>
      </c>
      <c r="AK809" s="3">
        <v>1.3508266</v>
      </c>
      <c r="AL809" s="3">
        <v>1.3366773000000001</v>
      </c>
      <c r="AM809" s="3">
        <v>1.3225294999999999</v>
      </c>
      <c r="AN809" s="3">
        <v>1.3085127999999999</v>
      </c>
      <c r="AO809" s="3">
        <v>1.2947413000000001</v>
      </c>
      <c r="AP809" s="3">
        <v>1.2812538</v>
      </c>
      <c r="AQ809" s="3">
        <v>1.2680663000000001</v>
      </c>
      <c r="AR809" s="3">
        <v>1.2551946</v>
      </c>
      <c r="AS809" s="3">
        <v>1.2426547999999999</v>
      </c>
      <c r="AT809" s="3">
        <v>1.2304626000000001</v>
      </c>
      <c r="AU809" s="3">
        <v>1.2186341000000001</v>
      </c>
      <c r="AV809" s="3">
        <v>1.2071851</v>
      </c>
      <c r="AW809" s="3">
        <v>1.1961316</v>
      </c>
      <c r="AX809" s="3">
        <v>1.1854895000000001</v>
      </c>
      <c r="AY809" s="3">
        <v>1.1752746000000001</v>
      </c>
      <c r="AZ809" s="3">
        <v>1.1655031</v>
      </c>
      <c r="BA809" s="3">
        <v>1.156188</v>
      </c>
      <c r="BB809" s="3">
        <v>1.1473306000000001</v>
      </c>
      <c r="BC809" s="3">
        <v>1.1389288</v>
      </c>
      <c r="BD809" s="3">
        <v>1.1309807000000001</v>
      </c>
      <c r="BE809" s="3">
        <v>1.1234842</v>
      </c>
      <c r="BF809" s="3">
        <v>1.1164373000000001</v>
      </c>
      <c r="BG809" s="3">
        <v>1.1098380000000001</v>
      </c>
      <c r="BH809" s="3">
        <v>1.1036840999999999</v>
      </c>
      <c r="BI809" s="3">
        <v>1.0979737000000001</v>
      </c>
      <c r="BJ809" s="3">
        <v>1.0927047000000001</v>
      </c>
      <c r="BK809" s="3">
        <v>1.0878751</v>
      </c>
      <c r="BL809" s="3">
        <v>1.0834828999999999</v>
      </c>
      <c r="BM809" s="3">
        <v>1.0654741999999999</v>
      </c>
      <c r="BN809" s="3">
        <v>1.0582944000000001</v>
      </c>
    </row>
    <row r="810" spans="1:66" x14ac:dyDescent="0.35">
      <c r="A810" s="5">
        <f t="shared" si="12"/>
        <v>44588</v>
      </c>
      <c r="B810" t="s">
        <v>2135</v>
      </c>
      <c r="C810" s="2">
        <v>0.25</v>
      </c>
      <c r="D810" s="2">
        <v>0.19570000000000001</v>
      </c>
      <c r="E810" s="3">
        <v>0.44623659999999998</v>
      </c>
      <c r="F810" s="3">
        <v>0.5541007</v>
      </c>
      <c r="G810" s="3">
        <v>0.67695649999999996</v>
      </c>
      <c r="H810" s="3">
        <v>0.8047069</v>
      </c>
      <c r="I810" s="3">
        <v>0.92613190000000001</v>
      </c>
      <c r="J810" s="3">
        <v>1.0349956</v>
      </c>
      <c r="K810" s="3">
        <v>1.1287275999999999</v>
      </c>
      <c r="L810" s="3">
        <v>1.2076127000000001</v>
      </c>
      <c r="M810" s="3">
        <v>1.2737590000000001</v>
      </c>
      <c r="N810" s="3">
        <v>1.3294075000000001</v>
      </c>
      <c r="O810" s="3">
        <v>1.3762342000000001</v>
      </c>
      <c r="P810" s="3">
        <v>1.4153165000000001</v>
      </c>
      <c r="Q810" s="3">
        <v>1.4475457</v>
      </c>
      <c r="R810" s="3">
        <v>1.4734718</v>
      </c>
      <c r="S810" s="3">
        <v>1.4935567999999999</v>
      </c>
      <c r="T810" s="3">
        <v>1.5082627</v>
      </c>
      <c r="U810" s="3">
        <v>1.5180514000000001</v>
      </c>
      <c r="V810" s="3">
        <v>1.5233851</v>
      </c>
      <c r="W810" s="3">
        <v>1.5247318000000001</v>
      </c>
      <c r="X810" s="3">
        <v>1.5225808999999999</v>
      </c>
      <c r="Y810" s="3">
        <v>1.5174266000000001</v>
      </c>
      <c r="Z810" s="3">
        <v>1.5097628000000001</v>
      </c>
      <c r="AA810" s="3">
        <v>1.5000834999999999</v>
      </c>
      <c r="AB810" s="3">
        <v>1.4888828999999999</v>
      </c>
      <c r="AC810" s="3">
        <v>1.4766039</v>
      </c>
      <c r="AD810" s="3">
        <v>1.4634411000000001</v>
      </c>
      <c r="AE810" s="3">
        <v>1.4495136</v>
      </c>
      <c r="AF810" s="3">
        <v>1.4349403000000001</v>
      </c>
      <c r="AG810" s="3">
        <v>1.4198402999999999</v>
      </c>
      <c r="AH810" s="3">
        <v>1.4043325</v>
      </c>
      <c r="AI810" s="3">
        <v>1.388536</v>
      </c>
      <c r="AJ810" s="3">
        <v>1.3725696999999999</v>
      </c>
      <c r="AK810" s="3">
        <v>1.3565525</v>
      </c>
      <c r="AL810" s="3">
        <v>1.3406035999999999</v>
      </c>
      <c r="AM810" s="3">
        <v>1.3248419</v>
      </c>
      <c r="AN810" s="3">
        <v>1.3093864</v>
      </c>
      <c r="AO810" s="3">
        <v>1.2943388</v>
      </c>
      <c r="AP810" s="3">
        <v>1.2797243</v>
      </c>
      <c r="AQ810" s="3">
        <v>1.2655472000000001</v>
      </c>
      <c r="AR810" s="3">
        <v>1.2518118</v>
      </c>
      <c r="AS810" s="3">
        <v>1.2385221</v>
      </c>
      <c r="AT810" s="3">
        <v>1.2256826000000001</v>
      </c>
      <c r="AU810" s="3">
        <v>1.2132973</v>
      </c>
      <c r="AV810" s="3">
        <v>1.2013704999999999</v>
      </c>
      <c r="AW810" s="3">
        <v>1.1899063999999999</v>
      </c>
      <c r="AX810" s="3">
        <v>1.1789092999999999</v>
      </c>
      <c r="AY810" s="3">
        <v>1.1683832999999999</v>
      </c>
      <c r="AZ810" s="3">
        <v>1.1583327000000001</v>
      </c>
      <c r="BA810" s="3">
        <v>1.1487609999999999</v>
      </c>
      <c r="BB810" s="3">
        <v>1.1396689</v>
      </c>
      <c r="BC810" s="3">
        <v>1.1310560000000001</v>
      </c>
      <c r="BD810" s="3">
        <v>1.1229221</v>
      </c>
      <c r="BE810" s="3">
        <v>1.1152668999999999</v>
      </c>
      <c r="BF810" s="3">
        <v>1.1080904</v>
      </c>
      <c r="BG810" s="3">
        <v>1.1013921</v>
      </c>
      <c r="BH810" s="3">
        <v>1.0951717999999999</v>
      </c>
      <c r="BI810" s="3">
        <v>1.0894294</v>
      </c>
      <c r="BJ810" s="3">
        <v>1.0841645</v>
      </c>
      <c r="BK810" s="3">
        <v>1.079377</v>
      </c>
      <c r="BL810" s="3">
        <v>1.0750664999999999</v>
      </c>
      <c r="BM810" s="3">
        <v>1.0581718</v>
      </c>
      <c r="BN810" s="3">
        <v>1.0521001999999999</v>
      </c>
    </row>
    <row r="811" spans="1:66" x14ac:dyDescent="0.35">
      <c r="A811" s="5">
        <f t="shared" si="12"/>
        <v>44589</v>
      </c>
      <c r="B811" t="s">
        <v>2136</v>
      </c>
      <c r="C811" s="2">
        <v>0.25</v>
      </c>
      <c r="D811" s="2">
        <v>0.19570000000000001</v>
      </c>
      <c r="E811" s="3">
        <v>0.44920939999999998</v>
      </c>
      <c r="F811" s="3">
        <v>0.56112300000000004</v>
      </c>
      <c r="G811" s="3">
        <v>0.69003979999999998</v>
      </c>
      <c r="H811" s="3">
        <v>0.82430519999999996</v>
      </c>
      <c r="I811" s="3">
        <v>0.9508875</v>
      </c>
      <c r="J811" s="3">
        <v>1.0633504</v>
      </c>
      <c r="K811" s="3">
        <v>1.1591321999999999</v>
      </c>
      <c r="L811" s="3">
        <v>1.2385466000000001</v>
      </c>
      <c r="M811" s="3">
        <v>1.3041290999999999</v>
      </c>
      <c r="N811" s="3">
        <v>1.3586019</v>
      </c>
      <c r="O811" s="3">
        <v>1.4039073</v>
      </c>
      <c r="P811" s="3">
        <v>1.4414522000000001</v>
      </c>
      <c r="Q811" s="3">
        <v>1.4722691000000001</v>
      </c>
      <c r="R811" s="3">
        <v>1.4969634000000001</v>
      </c>
      <c r="S811" s="3">
        <v>1.5160264000000001</v>
      </c>
      <c r="T811" s="3">
        <v>1.5299494</v>
      </c>
      <c r="U811" s="3">
        <v>1.5392234</v>
      </c>
      <c r="V811" s="3">
        <v>1.5443399</v>
      </c>
      <c r="W811" s="3">
        <v>1.5457794</v>
      </c>
      <c r="X811" s="3">
        <v>1.5439860999999999</v>
      </c>
      <c r="Y811" s="3">
        <v>1.5393962000000001</v>
      </c>
      <c r="Z811" s="3">
        <v>1.5324462000000001</v>
      </c>
      <c r="AA811" s="3">
        <v>1.5235722</v>
      </c>
      <c r="AB811" s="3">
        <v>1.5132106000000001</v>
      </c>
      <c r="AC811" s="3">
        <v>1.5017513</v>
      </c>
      <c r="AD811" s="3">
        <v>1.4893798</v>
      </c>
      <c r="AE811" s="3">
        <v>1.4762249000000001</v>
      </c>
      <c r="AF811" s="3">
        <v>1.4624157</v>
      </c>
      <c r="AG811" s="3">
        <v>1.448081</v>
      </c>
      <c r="AH811" s="3">
        <v>1.4333499000000001</v>
      </c>
      <c r="AI811" s="3">
        <v>1.4183513000000001</v>
      </c>
      <c r="AJ811" s="3">
        <v>1.4032142000000001</v>
      </c>
      <c r="AK811" s="3">
        <v>1.3880675</v>
      </c>
      <c r="AL811" s="3">
        <v>1.3730401999999999</v>
      </c>
      <c r="AM811" s="3">
        <v>1.3582612000000001</v>
      </c>
      <c r="AN811" s="3">
        <v>1.3438595</v>
      </c>
      <c r="AO811" s="3">
        <v>1.3299430999999999</v>
      </c>
      <c r="AP811" s="3">
        <v>1.3165277</v>
      </c>
      <c r="AQ811" s="3">
        <v>1.3036034999999999</v>
      </c>
      <c r="AR811" s="3">
        <v>1.2911608000000001</v>
      </c>
      <c r="AS811" s="3">
        <v>1.2791897000000001</v>
      </c>
      <c r="AT811" s="3">
        <v>1.2676803999999999</v>
      </c>
      <c r="AU811" s="3">
        <v>1.2566231000000001</v>
      </c>
      <c r="AV811" s="3">
        <v>1.246008</v>
      </c>
      <c r="AW811" s="3">
        <v>1.2358254</v>
      </c>
      <c r="AX811" s="3">
        <v>1.2260655</v>
      </c>
      <c r="AY811" s="3">
        <v>1.2167184</v>
      </c>
      <c r="AZ811" s="3">
        <v>1.2077743000000001</v>
      </c>
      <c r="BA811" s="3">
        <v>1.1992229000000001</v>
      </c>
      <c r="BB811" s="3">
        <v>1.1910517</v>
      </c>
      <c r="BC811" s="3">
        <v>1.1832472999999999</v>
      </c>
      <c r="BD811" s="3">
        <v>1.1757966</v>
      </c>
      <c r="BE811" s="3">
        <v>1.1686862</v>
      </c>
      <c r="BF811" s="3">
        <v>1.1619029000000001</v>
      </c>
      <c r="BG811" s="3">
        <v>1.1554335</v>
      </c>
      <c r="BH811" s="3">
        <v>1.1492647</v>
      </c>
      <c r="BI811" s="3">
        <v>1.1433833</v>
      </c>
      <c r="BJ811" s="3">
        <v>1.1377759999999999</v>
      </c>
      <c r="BK811" s="3">
        <v>1.1324295</v>
      </c>
      <c r="BL811" s="3">
        <v>1.1273306999999999</v>
      </c>
      <c r="BM811" s="3">
        <v>1.1014625</v>
      </c>
      <c r="BN811" s="3">
        <v>1.0827880000000001</v>
      </c>
    </row>
    <row r="812" spans="1:66" x14ac:dyDescent="0.35">
      <c r="A812" s="5">
        <f t="shared" si="12"/>
        <v>44592</v>
      </c>
      <c r="B812" t="s">
        <v>2137</v>
      </c>
      <c r="C812" s="2">
        <v>0.25</v>
      </c>
      <c r="D812" s="2">
        <v>0.19889999999999999</v>
      </c>
      <c r="E812" s="3">
        <v>0.46518229999999999</v>
      </c>
      <c r="F812" s="3">
        <v>0.58769000000000005</v>
      </c>
      <c r="G812" s="3">
        <v>0.7270392</v>
      </c>
      <c r="H812" s="3">
        <v>0.87099150000000003</v>
      </c>
      <c r="I812" s="3">
        <v>1.0040891999999999</v>
      </c>
      <c r="J812" s="3">
        <v>1.1197732</v>
      </c>
      <c r="K812" s="3">
        <v>1.2167857</v>
      </c>
      <c r="L812" s="3">
        <v>1.2970545</v>
      </c>
      <c r="M812" s="3">
        <v>1.3651579</v>
      </c>
      <c r="N812" s="3">
        <v>1.4245968</v>
      </c>
      <c r="O812" s="3">
        <v>1.4770783000000001</v>
      </c>
      <c r="P812" s="3">
        <v>1.5230672000000001</v>
      </c>
      <c r="Q812" s="3">
        <v>1.561682</v>
      </c>
      <c r="R812" s="3">
        <v>1.5930344000000001</v>
      </c>
      <c r="S812" s="3">
        <v>1.6176092</v>
      </c>
      <c r="T812" s="3">
        <v>1.6358915000000001</v>
      </c>
      <c r="U812" s="3">
        <v>1.6483661999999999</v>
      </c>
      <c r="V812" s="3">
        <v>1.6555181999999999</v>
      </c>
      <c r="W812" s="3">
        <v>1.6578527000000001</v>
      </c>
      <c r="X812" s="3">
        <v>1.6559451999999999</v>
      </c>
      <c r="Y812" s="3">
        <v>1.6503859000000001</v>
      </c>
      <c r="Z812" s="3">
        <v>1.6417653000000001</v>
      </c>
      <c r="AA812" s="3">
        <v>1.6306738999999999</v>
      </c>
      <c r="AB812" s="3">
        <v>1.6177018999999999</v>
      </c>
      <c r="AC812" s="3">
        <v>1.6033679000000001</v>
      </c>
      <c r="AD812" s="3">
        <v>1.5879022</v>
      </c>
      <c r="AE812" s="3">
        <v>1.5714634000000001</v>
      </c>
      <c r="AF812" s="3">
        <v>1.5542098</v>
      </c>
      <c r="AG812" s="3">
        <v>1.5363</v>
      </c>
      <c r="AH812" s="3">
        <v>1.5178921999999999</v>
      </c>
      <c r="AI812" s="3">
        <v>1.4991451</v>
      </c>
      <c r="AJ812" s="3">
        <v>1.4802169999999999</v>
      </c>
      <c r="AK812" s="3">
        <v>1.4612662999999999</v>
      </c>
      <c r="AL812" s="3">
        <v>1.4424516000000001</v>
      </c>
      <c r="AM812" s="3">
        <v>1.4239312</v>
      </c>
      <c r="AN812" s="3">
        <v>1.4058636</v>
      </c>
      <c r="AO812" s="3">
        <v>1.3883829999999999</v>
      </c>
      <c r="AP812" s="3">
        <v>1.3715168</v>
      </c>
      <c r="AQ812" s="3">
        <v>1.3552626000000001</v>
      </c>
      <c r="AR812" s="3">
        <v>1.3396184</v>
      </c>
      <c r="AS812" s="3">
        <v>1.3245819999999999</v>
      </c>
      <c r="AT812" s="3">
        <v>1.3101510999999999</v>
      </c>
      <c r="AU812" s="3">
        <v>1.2963235</v>
      </c>
      <c r="AV812" s="3">
        <v>1.2830971</v>
      </c>
      <c r="AW812" s="3">
        <v>1.2704696</v>
      </c>
      <c r="AX812" s="3">
        <v>1.2584389</v>
      </c>
      <c r="AY812" s="3">
        <v>1.2470026999999999</v>
      </c>
      <c r="AZ812" s="3">
        <v>1.2361588999999999</v>
      </c>
      <c r="BA812" s="3">
        <v>1.2259032000000001</v>
      </c>
      <c r="BB812" s="3">
        <v>1.2162196000000001</v>
      </c>
      <c r="BC812" s="3">
        <v>1.2070884</v>
      </c>
      <c r="BD812" s="3">
        <v>1.1984900000000001</v>
      </c>
      <c r="BE812" s="3">
        <v>1.1904045000000001</v>
      </c>
      <c r="BF812" s="3">
        <v>1.1828122000000001</v>
      </c>
      <c r="BG812" s="3">
        <v>1.1756934999999999</v>
      </c>
      <c r="BH812" s="3">
        <v>1.1690285</v>
      </c>
      <c r="BI812" s="3">
        <v>1.1627977</v>
      </c>
      <c r="BJ812" s="3">
        <v>1.1569811000000001</v>
      </c>
      <c r="BK812" s="3">
        <v>1.1515591000000001</v>
      </c>
      <c r="BL812" s="3">
        <v>1.1465118999999999</v>
      </c>
      <c r="BM812" s="3">
        <v>1.1232268000000001</v>
      </c>
      <c r="BN812" s="3">
        <v>1.1098787999999999</v>
      </c>
    </row>
    <row r="813" spans="1:66" x14ac:dyDescent="0.35">
      <c r="A813" s="5">
        <f t="shared" si="12"/>
        <v>44593</v>
      </c>
      <c r="B813" t="s">
        <v>2138</v>
      </c>
      <c r="C813" s="2">
        <v>0.25</v>
      </c>
      <c r="D813" s="2">
        <v>0.19570000000000001</v>
      </c>
      <c r="E813" s="3">
        <v>0.46970040000000002</v>
      </c>
      <c r="F813" s="3">
        <v>0.59266059999999998</v>
      </c>
      <c r="G813" s="3">
        <v>0.72879430000000001</v>
      </c>
      <c r="H813" s="3">
        <v>0.86696030000000002</v>
      </c>
      <c r="I813" s="3">
        <v>0.99389479999999997</v>
      </c>
      <c r="J813" s="3">
        <v>1.104117</v>
      </c>
      <c r="K813" s="3">
        <v>1.1971943</v>
      </c>
      <c r="L813" s="3">
        <v>1.2753519</v>
      </c>
      <c r="M813" s="3">
        <v>1.3418833999999999</v>
      </c>
      <c r="N813" s="3">
        <v>1.3996230000000001</v>
      </c>
      <c r="O813" s="3">
        <v>1.4498758</v>
      </c>
      <c r="P813" s="3">
        <v>1.4934236999999999</v>
      </c>
      <c r="Q813" s="3">
        <v>1.5302855</v>
      </c>
      <c r="R813" s="3">
        <v>1.5607177000000001</v>
      </c>
      <c r="S813" s="3">
        <v>1.5851</v>
      </c>
      <c r="T813" s="3">
        <v>1.6038121000000001</v>
      </c>
      <c r="U813" s="3">
        <v>1.6172337999999999</v>
      </c>
      <c r="V813" s="3">
        <v>1.6257447</v>
      </c>
      <c r="W813" s="3">
        <v>1.6297482000000001</v>
      </c>
      <c r="X813" s="3">
        <v>1.6297295999999999</v>
      </c>
      <c r="Y813" s="3">
        <v>1.6261915</v>
      </c>
      <c r="Z813" s="3">
        <v>1.6196368000000001</v>
      </c>
      <c r="AA813" s="3">
        <v>1.6105681999999999</v>
      </c>
      <c r="AB813" s="3">
        <v>1.5994884</v>
      </c>
      <c r="AC813" s="3">
        <v>1.5868452</v>
      </c>
      <c r="AD813" s="3">
        <v>1.5728658</v>
      </c>
      <c r="AE813" s="3">
        <v>1.5577224999999999</v>
      </c>
      <c r="AF813" s="3">
        <v>1.5415874000000001</v>
      </c>
      <c r="AG813" s="3">
        <v>1.5246327</v>
      </c>
      <c r="AH813" s="3">
        <v>1.5070304999999999</v>
      </c>
      <c r="AI813" s="3">
        <v>1.4889532000000001</v>
      </c>
      <c r="AJ813" s="3">
        <v>1.4705729000000001</v>
      </c>
      <c r="AK813" s="3">
        <v>1.4520618000000001</v>
      </c>
      <c r="AL813" s="3">
        <v>1.433592</v>
      </c>
      <c r="AM813" s="3">
        <v>1.4153358</v>
      </c>
      <c r="AN813" s="3">
        <v>1.3974654</v>
      </c>
      <c r="AO813" s="3">
        <v>1.3801319999999999</v>
      </c>
      <c r="AP813" s="3">
        <v>1.3633740000000001</v>
      </c>
      <c r="AQ813" s="3">
        <v>1.3471919000000001</v>
      </c>
      <c r="AR813" s="3">
        <v>1.3315862999999999</v>
      </c>
      <c r="AS813" s="3">
        <v>1.3165576999999999</v>
      </c>
      <c r="AT813" s="3">
        <v>1.3021067</v>
      </c>
      <c r="AU813" s="3">
        <v>1.2882336000000001</v>
      </c>
      <c r="AV813" s="3">
        <v>1.2749391999999999</v>
      </c>
      <c r="AW813" s="3">
        <v>1.2622239</v>
      </c>
      <c r="AX813" s="3">
        <v>1.2500882</v>
      </c>
      <c r="AY813" s="3">
        <v>1.2385326999999999</v>
      </c>
      <c r="AZ813" s="3">
        <v>1.2275578</v>
      </c>
      <c r="BA813" s="3">
        <v>1.2171615</v>
      </c>
      <c r="BB813" s="3">
        <v>1.2073285</v>
      </c>
      <c r="BC813" s="3">
        <v>1.1980394999999999</v>
      </c>
      <c r="BD813" s="3">
        <v>1.1892752</v>
      </c>
      <c r="BE813" s="3">
        <v>1.1810164000000001</v>
      </c>
      <c r="BF813" s="3">
        <v>1.1732438999999999</v>
      </c>
      <c r="BG813" s="3">
        <v>1.1659383999999999</v>
      </c>
      <c r="BH813" s="3">
        <v>1.1590806</v>
      </c>
      <c r="BI813" s="3">
        <v>1.1526513</v>
      </c>
      <c r="BJ813" s="3">
        <v>1.1466312999999999</v>
      </c>
      <c r="BK813" s="3">
        <v>1.1410012</v>
      </c>
      <c r="BL813" s="3">
        <v>1.1357417999999999</v>
      </c>
      <c r="BM813" s="3">
        <v>1.1111374000000001</v>
      </c>
      <c r="BN813" s="3">
        <v>1.0965119000000001</v>
      </c>
    </row>
    <row r="814" spans="1:66" x14ac:dyDescent="0.35">
      <c r="A814" s="5">
        <f t="shared" si="12"/>
        <v>44594</v>
      </c>
      <c r="B814" t="s">
        <v>2139</v>
      </c>
      <c r="C814" s="2">
        <v>0.25</v>
      </c>
      <c r="D814" s="2">
        <v>0.19600000000000001</v>
      </c>
      <c r="E814" s="3">
        <v>0.47466730000000001</v>
      </c>
      <c r="F814" s="3">
        <v>0.59827859999999999</v>
      </c>
      <c r="G814" s="3">
        <v>0.73058699999999999</v>
      </c>
      <c r="H814" s="3">
        <v>0.86032540000000002</v>
      </c>
      <c r="I814" s="3">
        <v>0.97807310000000003</v>
      </c>
      <c r="J814" s="3">
        <v>1.0820031000000001</v>
      </c>
      <c r="K814" s="3">
        <v>1.1715500000000001</v>
      </c>
      <c r="L814" s="3">
        <v>1.2479705000000001</v>
      </c>
      <c r="M814" s="3">
        <v>1.3137473</v>
      </c>
      <c r="N814" s="3">
        <v>1.3710815999999999</v>
      </c>
      <c r="O814" s="3">
        <v>1.4211068</v>
      </c>
      <c r="P814" s="3">
        <v>1.4644923000000001</v>
      </c>
      <c r="Q814" s="3">
        <v>1.5011904</v>
      </c>
      <c r="R814" s="3">
        <v>1.5314506000000001</v>
      </c>
      <c r="S814" s="3">
        <v>1.5556513999999999</v>
      </c>
      <c r="T814" s="3">
        <v>1.5741712000000001</v>
      </c>
      <c r="U814" s="3">
        <v>1.5873885999999999</v>
      </c>
      <c r="V814" s="3">
        <v>1.5956821000000001</v>
      </c>
      <c r="W814" s="3">
        <v>1.5994579</v>
      </c>
      <c r="X814" s="3">
        <v>1.5992189999999999</v>
      </c>
      <c r="Y814" s="3">
        <v>1.5954885999999999</v>
      </c>
      <c r="Z814" s="3">
        <v>1.5887903999999999</v>
      </c>
      <c r="AA814" s="3">
        <v>1.5796478</v>
      </c>
      <c r="AB814" s="3">
        <v>1.5685842999999999</v>
      </c>
      <c r="AC814" s="3">
        <v>1.5560628999999999</v>
      </c>
      <c r="AD814" s="3">
        <v>1.5423043000000001</v>
      </c>
      <c r="AE814" s="3">
        <v>1.5274688000000001</v>
      </c>
      <c r="AF814" s="3">
        <v>1.5117166</v>
      </c>
      <c r="AG814" s="3">
        <v>1.4952080000000001</v>
      </c>
      <c r="AH814" s="3">
        <v>1.4781032999999999</v>
      </c>
      <c r="AI814" s="3">
        <v>1.4605626</v>
      </c>
      <c r="AJ814" s="3">
        <v>1.4427463</v>
      </c>
      <c r="AK814" s="3">
        <v>1.4248145000000001</v>
      </c>
      <c r="AL814" s="3">
        <v>1.4069275999999999</v>
      </c>
      <c r="AM814" s="3">
        <v>1.3892458000000001</v>
      </c>
      <c r="AN814" s="3">
        <v>1.3719292999999999</v>
      </c>
      <c r="AO814" s="3">
        <v>1.3551165999999999</v>
      </c>
      <c r="AP814" s="3">
        <v>1.33884</v>
      </c>
      <c r="AQ814" s="3">
        <v>1.3230995000000001</v>
      </c>
      <c r="AR814" s="3">
        <v>1.3078951000000001</v>
      </c>
      <c r="AS814" s="3">
        <v>1.2932268</v>
      </c>
      <c r="AT814" s="3">
        <v>1.2790946000000001</v>
      </c>
      <c r="AU814" s="3">
        <v>1.2654984</v>
      </c>
      <c r="AV814" s="3">
        <v>1.2524382999999999</v>
      </c>
      <c r="AW814" s="3">
        <v>1.2399142999999999</v>
      </c>
      <c r="AX814" s="3">
        <v>1.2279262</v>
      </c>
      <c r="AY814" s="3">
        <v>1.2164741999999999</v>
      </c>
      <c r="AZ814" s="3">
        <v>1.2055583000000001</v>
      </c>
      <c r="BA814" s="3">
        <v>1.1951759</v>
      </c>
      <c r="BB814" s="3">
        <v>1.1853138000000001</v>
      </c>
      <c r="BC814" s="3">
        <v>1.1759557</v>
      </c>
      <c r="BD814" s="3">
        <v>1.1670853999999999</v>
      </c>
      <c r="BE814" s="3">
        <v>1.1586866</v>
      </c>
      <c r="BF814" s="3">
        <v>1.1507432</v>
      </c>
      <c r="BG814" s="3">
        <v>1.1432386999999999</v>
      </c>
      <c r="BH814" s="3">
        <v>1.1361570000000001</v>
      </c>
      <c r="BI814" s="3">
        <v>1.1294819</v>
      </c>
      <c r="BJ814" s="3">
        <v>1.1231968999999999</v>
      </c>
      <c r="BK814" s="3">
        <v>1.1172861000000001</v>
      </c>
      <c r="BL814" s="3">
        <v>1.1117329</v>
      </c>
      <c r="BM814" s="3">
        <v>1.0851895</v>
      </c>
      <c r="BN814" s="3">
        <v>1.0684771</v>
      </c>
    </row>
    <row r="815" spans="1:66" x14ac:dyDescent="0.35">
      <c r="A815" s="5">
        <f t="shared" si="12"/>
        <v>44595</v>
      </c>
      <c r="B815" t="s">
        <v>2140</v>
      </c>
      <c r="C815" s="2">
        <v>0.5</v>
      </c>
      <c r="D815" s="2">
        <v>0.44030000000000002</v>
      </c>
      <c r="E815" s="3">
        <v>0.51266179999999995</v>
      </c>
      <c r="F815" s="3">
        <v>0.71656580000000003</v>
      </c>
      <c r="G815" s="3">
        <v>0.9100724</v>
      </c>
      <c r="H815" s="3">
        <v>1.0783984</v>
      </c>
      <c r="I815" s="3">
        <v>1.2143501000000001</v>
      </c>
      <c r="J815" s="3">
        <v>1.3218387</v>
      </c>
      <c r="K815" s="3">
        <v>1.4064939999999999</v>
      </c>
      <c r="L815" s="3">
        <v>1.4737704</v>
      </c>
      <c r="M815" s="3">
        <v>1.5291634000000001</v>
      </c>
      <c r="N815" s="3">
        <v>1.5759000999999999</v>
      </c>
      <c r="O815" s="3">
        <v>1.6156638999999999</v>
      </c>
      <c r="P815" s="3">
        <v>1.6489688</v>
      </c>
      <c r="Q815" s="3">
        <v>1.6754811999999999</v>
      </c>
      <c r="R815" s="3">
        <v>1.6955108000000001</v>
      </c>
      <c r="S815" s="3">
        <v>1.7095784999999999</v>
      </c>
      <c r="T815" s="3">
        <v>1.7182056000000001</v>
      </c>
      <c r="U815" s="3">
        <v>1.7219131000000001</v>
      </c>
      <c r="V815" s="3">
        <v>1.7212221999999999</v>
      </c>
      <c r="W815" s="3">
        <v>1.7166592000000001</v>
      </c>
      <c r="X815" s="3">
        <v>1.7087692000000001</v>
      </c>
      <c r="Y815" s="3">
        <v>1.6981013</v>
      </c>
      <c r="Z815" s="3">
        <v>1.6852045</v>
      </c>
      <c r="AA815" s="3">
        <v>1.6706278000000001</v>
      </c>
      <c r="AB815" s="3">
        <v>1.6549202999999999</v>
      </c>
      <c r="AC815" s="3">
        <v>1.6385696999999999</v>
      </c>
      <c r="AD815" s="3">
        <v>1.6217652</v>
      </c>
      <c r="AE815" s="3">
        <v>1.6046047000000001</v>
      </c>
      <c r="AF815" s="3">
        <v>1.5871865999999999</v>
      </c>
      <c r="AG815" s="3">
        <v>1.5696087999999999</v>
      </c>
      <c r="AH815" s="3">
        <v>1.5519696000000001</v>
      </c>
      <c r="AI815" s="3">
        <v>1.534367</v>
      </c>
      <c r="AJ815" s="3">
        <v>1.5168991999999999</v>
      </c>
      <c r="AK815" s="3">
        <v>1.4996643999999999</v>
      </c>
      <c r="AL815" s="3">
        <v>1.4827606</v>
      </c>
      <c r="AM815" s="3">
        <v>1.466286</v>
      </c>
      <c r="AN815" s="3">
        <v>1.4503387999999999</v>
      </c>
      <c r="AO815" s="3">
        <v>1.4349999</v>
      </c>
      <c r="AP815" s="3">
        <v>1.4202755</v>
      </c>
      <c r="AQ815" s="3">
        <v>1.4061505999999999</v>
      </c>
      <c r="AR815" s="3">
        <v>1.3926105</v>
      </c>
      <c r="AS815" s="3">
        <v>1.3796404</v>
      </c>
      <c r="AT815" s="3">
        <v>1.3672255</v>
      </c>
      <c r="AU815" s="3">
        <v>1.3553508999999999</v>
      </c>
      <c r="AV815" s="3">
        <v>1.3440019999999999</v>
      </c>
      <c r="AW815" s="3">
        <v>1.3331637999999999</v>
      </c>
      <c r="AX815" s="3">
        <v>1.3228215999999999</v>
      </c>
      <c r="AY815" s="3">
        <v>1.3129606</v>
      </c>
      <c r="AZ815" s="3">
        <v>1.303566</v>
      </c>
      <c r="BA815" s="3">
        <v>1.2946232</v>
      </c>
      <c r="BB815" s="3">
        <v>1.2861186</v>
      </c>
      <c r="BC815" s="3">
        <v>1.2780389000000001</v>
      </c>
      <c r="BD815" s="3">
        <v>1.2703708</v>
      </c>
      <c r="BE815" s="3">
        <v>1.263101</v>
      </c>
      <c r="BF815" s="3">
        <v>1.256216</v>
      </c>
      <c r="BG815" s="3">
        <v>1.2497027000000001</v>
      </c>
      <c r="BH815" s="3">
        <v>1.2435476999999999</v>
      </c>
      <c r="BI815" s="3">
        <v>1.2377376</v>
      </c>
      <c r="BJ815" s="3">
        <v>1.2322592000000001</v>
      </c>
      <c r="BK815" s="3">
        <v>1.2270991</v>
      </c>
      <c r="BL815" s="3">
        <v>1.2222440000000001</v>
      </c>
      <c r="BM815" s="3">
        <v>1.1989091000000001</v>
      </c>
      <c r="BN815" s="3">
        <v>1.1840268</v>
      </c>
    </row>
    <row r="816" spans="1:66" x14ac:dyDescent="0.35">
      <c r="A816" s="5">
        <f t="shared" si="12"/>
        <v>44596</v>
      </c>
      <c r="B816" t="s">
        <v>2141</v>
      </c>
      <c r="C816" s="2">
        <v>0.5</v>
      </c>
      <c r="D816" s="2">
        <v>0.44529999999999997</v>
      </c>
      <c r="E816" s="3">
        <v>0.53991440000000002</v>
      </c>
      <c r="F816" s="3">
        <v>0.77540019999999998</v>
      </c>
      <c r="G816" s="3">
        <v>0.99352779999999996</v>
      </c>
      <c r="H816" s="3">
        <v>1.1791087</v>
      </c>
      <c r="I816" s="3">
        <v>1.3239951999999999</v>
      </c>
      <c r="J816" s="3">
        <v>1.4341408</v>
      </c>
      <c r="K816" s="3">
        <v>1.5190707000000001</v>
      </c>
      <c r="L816" s="3">
        <v>1.5867666</v>
      </c>
      <c r="M816" s="3">
        <v>1.6435873000000001</v>
      </c>
      <c r="N816" s="3">
        <v>1.6925604000000001</v>
      </c>
      <c r="O816" s="3">
        <v>1.7344569000000001</v>
      </c>
      <c r="P816" s="3">
        <v>1.7690235000000001</v>
      </c>
      <c r="Q816" s="3">
        <v>1.7947214</v>
      </c>
      <c r="R816" s="3">
        <v>1.8118734999999999</v>
      </c>
      <c r="S816" s="3">
        <v>1.8214912000000001</v>
      </c>
      <c r="T816" s="3">
        <v>1.8245861999999999</v>
      </c>
      <c r="U816" s="3">
        <v>1.8221700999999999</v>
      </c>
      <c r="V816" s="3">
        <v>1.8152543999999999</v>
      </c>
      <c r="W816" s="3">
        <v>1.8047595999999999</v>
      </c>
      <c r="X816" s="3">
        <v>1.7912908999999999</v>
      </c>
      <c r="Y816" s="3">
        <v>1.7753857</v>
      </c>
      <c r="Z816" s="3">
        <v>1.7575814000000001</v>
      </c>
      <c r="AA816" s="3">
        <v>1.7384154000000001</v>
      </c>
      <c r="AB816" s="3">
        <v>1.7184250999999999</v>
      </c>
      <c r="AC816" s="3">
        <v>1.6980781</v>
      </c>
      <c r="AD816" s="3">
        <v>1.6775340000000001</v>
      </c>
      <c r="AE816" s="3">
        <v>1.6568673</v>
      </c>
      <c r="AF816" s="3">
        <v>1.6361526</v>
      </c>
      <c r="AG816" s="3">
        <v>1.6154644</v>
      </c>
      <c r="AH816" s="3">
        <v>1.5948773999999999</v>
      </c>
      <c r="AI816" s="3">
        <v>1.5744659999999999</v>
      </c>
      <c r="AJ816" s="3">
        <v>1.5543047999999999</v>
      </c>
      <c r="AK816" s="3">
        <v>1.5344684</v>
      </c>
      <c r="AL816" s="3">
        <v>1.5150313</v>
      </c>
      <c r="AM816" s="3">
        <v>1.4960681</v>
      </c>
      <c r="AN816" s="3">
        <v>1.4776533999999999</v>
      </c>
      <c r="AO816" s="3">
        <v>1.4598498</v>
      </c>
      <c r="AP816" s="3">
        <v>1.4426683</v>
      </c>
      <c r="AQ816" s="3">
        <v>1.4261052999999999</v>
      </c>
      <c r="AR816" s="3">
        <v>1.4101572</v>
      </c>
      <c r="AS816" s="3">
        <v>1.3948204</v>
      </c>
      <c r="AT816" s="3">
        <v>1.3800915</v>
      </c>
      <c r="AU816" s="3">
        <v>1.3659667</v>
      </c>
      <c r="AV816" s="3">
        <v>1.3524427000000001</v>
      </c>
      <c r="AW816" s="3">
        <v>1.3395158</v>
      </c>
      <c r="AX816" s="3">
        <v>1.3271824999999999</v>
      </c>
      <c r="AY816" s="3">
        <v>1.3154393</v>
      </c>
      <c r="AZ816" s="3">
        <v>1.3042825</v>
      </c>
      <c r="BA816" s="3">
        <v>1.2937064</v>
      </c>
      <c r="BB816" s="3">
        <v>1.2836954</v>
      </c>
      <c r="BC816" s="3">
        <v>1.2742312</v>
      </c>
      <c r="BD816" s="3">
        <v>1.2652954000000001</v>
      </c>
      <c r="BE816" s="3">
        <v>1.2568699000000001</v>
      </c>
      <c r="BF816" s="3">
        <v>1.2489361999999999</v>
      </c>
      <c r="BG816" s="3">
        <v>1.241476</v>
      </c>
      <c r="BH816" s="3">
        <v>1.2344710999999999</v>
      </c>
      <c r="BI816" s="3">
        <v>1.2279032000000001</v>
      </c>
      <c r="BJ816" s="3">
        <v>1.2217537999999999</v>
      </c>
      <c r="BK816" s="3">
        <v>1.2160048000000001</v>
      </c>
      <c r="BL816" s="3">
        <v>1.2106378</v>
      </c>
      <c r="BM816" s="3">
        <v>1.1855857000000001</v>
      </c>
      <c r="BN816" s="3">
        <v>1.1705999</v>
      </c>
    </row>
    <row r="817" spans="1:66" x14ac:dyDescent="0.35">
      <c r="A817" s="5">
        <f t="shared" si="12"/>
        <v>44599</v>
      </c>
      <c r="B817" t="s">
        <v>2142</v>
      </c>
      <c r="C817" s="2">
        <v>0.5</v>
      </c>
      <c r="D817" s="2">
        <v>0.44569999999999999</v>
      </c>
      <c r="E817" s="3">
        <v>0.54305689999999995</v>
      </c>
      <c r="F817" s="3">
        <v>0.78027420000000003</v>
      </c>
      <c r="G817" s="3">
        <v>0.9916703</v>
      </c>
      <c r="H817" s="3">
        <v>1.1711338</v>
      </c>
      <c r="I817" s="3">
        <v>1.3151716</v>
      </c>
      <c r="J817" s="3">
        <v>1.4272575999999999</v>
      </c>
      <c r="K817" s="3">
        <v>1.5149583</v>
      </c>
      <c r="L817" s="3">
        <v>1.5847826</v>
      </c>
      <c r="M817" s="3">
        <v>1.6422787999999999</v>
      </c>
      <c r="N817" s="3">
        <v>1.6905916000000001</v>
      </c>
      <c r="O817" s="3">
        <v>1.7310768999999999</v>
      </c>
      <c r="P817" s="3">
        <v>1.7644111</v>
      </c>
      <c r="Q817" s="3">
        <v>1.7906295000000001</v>
      </c>
      <c r="R817" s="3">
        <v>1.8101308</v>
      </c>
      <c r="S817" s="3">
        <v>1.8234570000000001</v>
      </c>
      <c r="T817" s="3">
        <v>1.8311500999999999</v>
      </c>
      <c r="U817" s="3">
        <v>1.8337521000000001</v>
      </c>
      <c r="V817" s="3">
        <v>1.8318052</v>
      </c>
      <c r="W817" s="3">
        <v>1.8258443</v>
      </c>
      <c r="X817" s="3">
        <v>1.8163803000000001</v>
      </c>
      <c r="Y817" s="3">
        <v>1.8039189</v>
      </c>
      <c r="Z817" s="3">
        <v>1.7889656</v>
      </c>
      <c r="AA817" s="3">
        <v>1.7720263000000001</v>
      </c>
      <c r="AB817" s="3">
        <v>1.7536064</v>
      </c>
      <c r="AC817" s="3">
        <v>1.7341508999999999</v>
      </c>
      <c r="AD817" s="3">
        <v>1.713862</v>
      </c>
      <c r="AE817" s="3">
        <v>1.6928808</v>
      </c>
      <c r="AF817" s="3">
        <v>1.6713487</v>
      </c>
      <c r="AG817" s="3">
        <v>1.6494070000000001</v>
      </c>
      <c r="AH817" s="3">
        <v>1.627197</v>
      </c>
      <c r="AI817" s="3">
        <v>1.6048601</v>
      </c>
      <c r="AJ817" s="3">
        <v>1.5825376</v>
      </c>
      <c r="AK817" s="3">
        <v>1.5603707</v>
      </c>
      <c r="AL817" s="3">
        <v>1.5385006999999999</v>
      </c>
      <c r="AM817" s="3">
        <v>1.5170691000000001</v>
      </c>
      <c r="AN817" s="3">
        <v>1.4962171</v>
      </c>
      <c r="AO817" s="3">
        <v>1.4760641000000001</v>
      </c>
      <c r="AP817" s="3">
        <v>1.4566334000000001</v>
      </c>
      <c r="AQ817" s="3">
        <v>1.4379215000000001</v>
      </c>
      <c r="AR817" s="3">
        <v>1.4199249</v>
      </c>
      <c r="AS817" s="3">
        <v>1.4026400999999999</v>
      </c>
      <c r="AT817" s="3">
        <v>1.3860638999999999</v>
      </c>
      <c r="AU817" s="3">
        <v>1.3701924999999999</v>
      </c>
      <c r="AV817" s="3">
        <v>1.3550226999999999</v>
      </c>
      <c r="AW817" s="3">
        <v>1.340551</v>
      </c>
      <c r="AX817" s="3">
        <v>1.3267739999999999</v>
      </c>
      <c r="AY817" s="3">
        <v>1.3136881</v>
      </c>
      <c r="AZ817" s="3">
        <v>1.3012899</v>
      </c>
      <c r="BA817" s="3">
        <v>1.2895737</v>
      </c>
      <c r="BB817" s="3">
        <v>1.2785211999999999</v>
      </c>
      <c r="BC817" s="3">
        <v>1.2681098</v>
      </c>
      <c r="BD817" s="3">
        <v>1.2583171</v>
      </c>
      <c r="BE817" s="3">
        <v>1.2491207</v>
      </c>
      <c r="BF817" s="3">
        <v>1.2404979</v>
      </c>
      <c r="BG817" s="3">
        <v>1.2324264</v>
      </c>
      <c r="BH817" s="3">
        <v>1.2248836000000001</v>
      </c>
      <c r="BI817" s="3">
        <v>1.2178469999999999</v>
      </c>
      <c r="BJ817" s="3">
        <v>1.2112942</v>
      </c>
      <c r="BK817" s="3">
        <v>1.2052027000000001</v>
      </c>
      <c r="BL817" s="3">
        <v>1.1995499000000001</v>
      </c>
      <c r="BM817" s="3">
        <v>1.1738047</v>
      </c>
      <c r="BN817" s="3">
        <v>1.1595162000000001</v>
      </c>
    </row>
    <row r="818" spans="1:66" x14ac:dyDescent="0.35">
      <c r="A818" s="5">
        <f t="shared" si="12"/>
        <v>44600</v>
      </c>
      <c r="B818" t="s">
        <v>2145</v>
      </c>
      <c r="C818" s="2">
        <v>0.5</v>
      </c>
      <c r="D818" s="2">
        <v>0.44479999999999997</v>
      </c>
      <c r="E818" s="3">
        <v>0.5483114</v>
      </c>
      <c r="F818" s="3">
        <v>0.78802450000000002</v>
      </c>
      <c r="G818" s="3">
        <v>0.99986949999999997</v>
      </c>
      <c r="H818" s="3">
        <v>1.1815253999999999</v>
      </c>
      <c r="I818" s="3">
        <v>1.3300852000000001</v>
      </c>
      <c r="J818" s="3">
        <v>1.4485380000000001</v>
      </c>
      <c r="K818" s="3">
        <v>1.5434673000000001</v>
      </c>
      <c r="L818" s="3">
        <v>1.6209302999999999</v>
      </c>
      <c r="M818" s="3">
        <v>1.6858048999999999</v>
      </c>
      <c r="N818" s="3">
        <v>1.7413426999999999</v>
      </c>
      <c r="O818" s="3">
        <v>1.788729</v>
      </c>
      <c r="P818" s="3">
        <v>1.8284579999999999</v>
      </c>
      <c r="Q818" s="3">
        <v>1.8603156999999999</v>
      </c>
      <c r="R818" s="3">
        <v>1.8846700999999999</v>
      </c>
      <c r="S818" s="3">
        <v>1.9020931999999999</v>
      </c>
      <c r="T818" s="3">
        <v>1.9131571999999999</v>
      </c>
      <c r="U818" s="3">
        <v>1.9184341</v>
      </c>
      <c r="V818" s="3">
        <v>1.918496</v>
      </c>
      <c r="W818" s="3">
        <v>1.9139275</v>
      </c>
      <c r="X818" s="3">
        <v>1.9053575</v>
      </c>
      <c r="Y818" s="3">
        <v>1.8934238999999999</v>
      </c>
      <c r="Z818" s="3">
        <v>1.8787649</v>
      </c>
      <c r="AA818" s="3">
        <v>1.8620185</v>
      </c>
      <c r="AB818" s="3">
        <v>1.8438228000000001</v>
      </c>
      <c r="AC818" s="3">
        <v>1.8247310000000001</v>
      </c>
      <c r="AD818" s="3">
        <v>1.8049561999999999</v>
      </c>
      <c r="AE818" s="3">
        <v>1.7846268000000001</v>
      </c>
      <c r="AF818" s="3">
        <v>1.763871</v>
      </c>
      <c r="AG818" s="3">
        <v>1.7428170999999999</v>
      </c>
      <c r="AH818" s="3">
        <v>1.7215933999999999</v>
      </c>
      <c r="AI818" s="3">
        <v>1.7003280999999999</v>
      </c>
      <c r="AJ818" s="3">
        <v>1.6791495999999999</v>
      </c>
      <c r="AK818" s="3">
        <v>1.6581859999999999</v>
      </c>
      <c r="AL818" s="3">
        <v>1.6375656000000001</v>
      </c>
      <c r="AM818" s="3">
        <v>1.6174166999999999</v>
      </c>
      <c r="AN818" s="3">
        <v>1.5978676999999999</v>
      </c>
      <c r="AO818" s="3">
        <v>1.5790291999999999</v>
      </c>
      <c r="AP818" s="3">
        <v>1.5609181999999999</v>
      </c>
      <c r="AQ818" s="3">
        <v>1.54352</v>
      </c>
      <c r="AR818" s="3">
        <v>1.5268199</v>
      </c>
      <c r="AS818" s="3">
        <v>1.5108032</v>
      </c>
      <c r="AT818" s="3">
        <v>1.4954552000000001</v>
      </c>
      <c r="AU818" s="3">
        <v>1.4807612999999999</v>
      </c>
      <c r="AV818" s="3">
        <v>1.4667067</v>
      </c>
      <c r="AW818" s="3">
        <v>1.4532768</v>
      </c>
      <c r="AX818" s="3">
        <v>1.4404569</v>
      </c>
      <c r="AY818" s="3">
        <v>1.4282322999999999</v>
      </c>
      <c r="AZ818" s="3">
        <v>1.4165884</v>
      </c>
      <c r="BA818" s="3">
        <v>1.4055101000000001</v>
      </c>
      <c r="BB818" s="3">
        <v>1.3949819000000001</v>
      </c>
      <c r="BC818" s="3">
        <v>1.3849876000000001</v>
      </c>
      <c r="BD818" s="3">
        <v>1.3755112</v>
      </c>
      <c r="BE818" s="3">
        <v>1.3665366999999999</v>
      </c>
      <c r="BF818" s="3">
        <v>1.3580479999999999</v>
      </c>
      <c r="BG818" s="3">
        <v>1.3500291</v>
      </c>
      <c r="BH818" s="3">
        <v>1.3424639</v>
      </c>
      <c r="BI818" s="3">
        <v>1.3353364000000001</v>
      </c>
      <c r="BJ818" s="3">
        <v>1.3286305</v>
      </c>
      <c r="BK818" s="3">
        <v>1.3223303</v>
      </c>
      <c r="BL818" s="3">
        <v>1.3164197</v>
      </c>
      <c r="BM818" s="3">
        <v>1.2883742</v>
      </c>
      <c r="BN818" s="3">
        <v>1.2711347</v>
      </c>
    </row>
    <row r="819" spans="1:66" x14ac:dyDescent="0.35">
      <c r="A819" s="5">
        <f t="shared" si="12"/>
        <v>44601</v>
      </c>
      <c r="B819" t="s">
        <v>2146</v>
      </c>
      <c r="C819" s="2">
        <v>0.5</v>
      </c>
      <c r="D819" s="2">
        <v>0.44500000000000001</v>
      </c>
      <c r="E819" s="3">
        <v>0.54813049999999996</v>
      </c>
      <c r="F819" s="3">
        <v>0.78319000000000005</v>
      </c>
      <c r="G819" s="3">
        <v>0.99112469999999997</v>
      </c>
      <c r="H819" s="3">
        <v>1.1719776</v>
      </c>
      <c r="I819" s="3">
        <v>1.321928</v>
      </c>
      <c r="J819" s="3">
        <v>1.4427985999999999</v>
      </c>
      <c r="K819" s="3">
        <v>1.5389638000000001</v>
      </c>
      <c r="L819" s="3">
        <v>1.6160193</v>
      </c>
      <c r="M819" s="3">
        <v>1.6792115000000001</v>
      </c>
      <c r="N819" s="3">
        <v>1.7322529</v>
      </c>
      <c r="O819" s="3">
        <v>1.7768809999999999</v>
      </c>
      <c r="P819" s="3">
        <v>1.8139668</v>
      </c>
      <c r="Q819" s="3">
        <v>1.8436011000000001</v>
      </c>
      <c r="R819" s="3">
        <v>1.8662160999999999</v>
      </c>
      <c r="S819" s="3">
        <v>1.8823799999999999</v>
      </c>
      <c r="T819" s="3">
        <v>1.8926609999999999</v>
      </c>
      <c r="U819" s="3">
        <v>1.8976272999999999</v>
      </c>
      <c r="V819" s="3">
        <v>1.8978473</v>
      </c>
      <c r="W819" s="3">
        <v>1.8938792</v>
      </c>
      <c r="X819" s="3">
        <v>1.8862471999999999</v>
      </c>
      <c r="Y819" s="3">
        <v>1.8754679999999999</v>
      </c>
      <c r="Z819" s="3">
        <v>1.8620582999999999</v>
      </c>
      <c r="AA819" s="3">
        <v>1.8465349</v>
      </c>
      <c r="AB819" s="3">
        <v>1.8294144999999999</v>
      </c>
      <c r="AC819" s="3">
        <v>1.8111512999999999</v>
      </c>
      <c r="AD819" s="3">
        <v>1.7919498</v>
      </c>
      <c r="AE819" s="3">
        <v>1.7719518000000001</v>
      </c>
      <c r="AF819" s="3">
        <v>1.7512992000000001</v>
      </c>
      <c r="AG819" s="3">
        <v>1.7301339</v>
      </c>
      <c r="AH819" s="3">
        <v>1.7085977000000001</v>
      </c>
      <c r="AI819" s="3">
        <v>1.6868326</v>
      </c>
      <c r="AJ819" s="3">
        <v>1.6649803000000001</v>
      </c>
      <c r="AK819" s="3">
        <v>1.6431829</v>
      </c>
      <c r="AL819" s="3">
        <v>1.6215822</v>
      </c>
      <c r="AM819" s="3">
        <v>1.60032</v>
      </c>
      <c r="AN819" s="3">
        <v>1.5795383000000001</v>
      </c>
      <c r="AO819" s="3">
        <v>1.5593595</v>
      </c>
      <c r="AP819" s="3">
        <v>1.5398113</v>
      </c>
      <c r="AQ819" s="3">
        <v>1.5208926</v>
      </c>
      <c r="AR819" s="3">
        <v>1.5026024</v>
      </c>
      <c r="AS819" s="3">
        <v>1.4849395999999999</v>
      </c>
      <c r="AT819" s="3">
        <v>1.467903</v>
      </c>
      <c r="AU819" s="3">
        <v>1.4514917000000001</v>
      </c>
      <c r="AV819" s="3">
        <v>1.4357044000000001</v>
      </c>
      <c r="AW819" s="3">
        <v>1.4205402</v>
      </c>
      <c r="AX819" s="3">
        <v>1.4059979</v>
      </c>
      <c r="AY819" s="3">
        <v>1.3920764000000001</v>
      </c>
      <c r="AZ819" s="3">
        <v>1.3787746000000001</v>
      </c>
      <c r="BA819" s="3">
        <v>1.3660892</v>
      </c>
      <c r="BB819" s="3">
        <v>1.3540061999999999</v>
      </c>
      <c r="BC819" s="3">
        <v>1.342509</v>
      </c>
      <c r="BD819" s="3">
        <v>1.3315809000000001</v>
      </c>
      <c r="BE819" s="3">
        <v>1.3212052000000001</v>
      </c>
      <c r="BF819" s="3">
        <v>1.3113653000000001</v>
      </c>
      <c r="BG819" s="3">
        <v>1.3020442999999999</v>
      </c>
      <c r="BH819" s="3">
        <v>1.2932257</v>
      </c>
      <c r="BI819" s="3">
        <v>1.2848927000000001</v>
      </c>
      <c r="BJ819" s="3">
        <v>1.2770287</v>
      </c>
      <c r="BK819" s="3">
        <v>1.269617</v>
      </c>
      <c r="BL819" s="3">
        <v>1.2626408</v>
      </c>
      <c r="BM819" s="3">
        <v>1.2291234</v>
      </c>
      <c r="BN819" s="3">
        <v>1.2078515000000001</v>
      </c>
    </row>
    <row r="820" spans="1:66" x14ac:dyDescent="0.35">
      <c r="A820" s="5">
        <f t="shared" si="12"/>
        <v>44602</v>
      </c>
      <c r="B820" t="s">
        <v>2147</v>
      </c>
      <c r="C820" s="2">
        <v>0.5</v>
      </c>
      <c r="D820" s="2">
        <v>0.44550000000000001</v>
      </c>
      <c r="E820" s="3">
        <v>0.58318700000000001</v>
      </c>
      <c r="F820" s="3">
        <v>0.8677127</v>
      </c>
      <c r="G820" s="3">
        <v>1.1209777000000001</v>
      </c>
      <c r="H820" s="3">
        <v>1.3383007</v>
      </c>
      <c r="I820" s="3">
        <v>1.5127755000000001</v>
      </c>
      <c r="J820" s="3">
        <v>1.6470701999999999</v>
      </c>
      <c r="K820" s="3">
        <v>1.7495830000000001</v>
      </c>
      <c r="L820" s="3">
        <v>1.8287142999999999</v>
      </c>
      <c r="M820" s="3">
        <v>1.8921603</v>
      </c>
      <c r="N820" s="3">
        <v>1.9446030999999999</v>
      </c>
      <c r="O820" s="3">
        <v>1.9885843000000001</v>
      </c>
      <c r="P820" s="3">
        <v>2.0250379000000001</v>
      </c>
      <c r="Q820" s="3">
        <v>2.0542680999999998</v>
      </c>
      <c r="R820" s="3">
        <v>2.0766735999999999</v>
      </c>
      <c r="S820" s="3">
        <v>2.0926963000000001</v>
      </c>
      <c r="T820" s="3">
        <v>2.1027786000000002</v>
      </c>
      <c r="U820" s="3">
        <v>2.1073624</v>
      </c>
      <c r="V820" s="3">
        <v>2.1068901000000002</v>
      </c>
      <c r="W820" s="3">
        <v>2.1018322999999999</v>
      </c>
      <c r="X820" s="3">
        <v>2.0927584000000001</v>
      </c>
      <c r="Y820" s="3">
        <v>2.0802592</v>
      </c>
      <c r="Z820" s="3">
        <v>2.0649251999999998</v>
      </c>
      <c r="AA820" s="3">
        <v>2.0473471999999999</v>
      </c>
      <c r="AB820" s="3">
        <v>2.0281158000000001</v>
      </c>
      <c r="AC820" s="3">
        <v>2.0077612</v>
      </c>
      <c r="AD820" s="3">
        <v>1.9865185999999999</v>
      </c>
      <c r="AE820" s="3">
        <v>1.9645334000000001</v>
      </c>
      <c r="AF820" s="3">
        <v>1.941951</v>
      </c>
      <c r="AG820" s="3">
        <v>1.9189168000000001</v>
      </c>
      <c r="AH820" s="3">
        <v>1.8955762</v>
      </c>
      <c r="AI820" s="3">
        <v>1.8720747</v>
      </c>
      <c r="AJ820" s="3">
        <v>1.8485575999999999</v>
      </c>
      <c r="AK820" s="3">
        <v>1.8251702999999999</v>
      </c>
      <c r="AL820" s="3">
        <v>1.8020582999999999</v>
      </c>
      <c r="AM820" s="3">
        <v>1.7793669999999999</v>
      </c>
      <c r="AN820" s="3">
        <v>1.7572417</v>
      </c>
      <c r="AO820" s="3">
        <v>1.7358043999999999</v>
      </c>
      <c r="AP820" s="3">
        <v>1.7150733</v>
      </c>
      <c r="AQ820" s="3">
        <v>1.6950381999999999</v>
      </c>
      <c r="AR820" s="3">
        <v>1.6756884999999999</v>
      </c>
      <c r="AS820" s="3">
        <v>1.6570141</v>
      </c>
      <c r="AT820" s="3">
        <v>1.6390043999999999</v>
      </c>
      <c r="AU820" s="3">
        <v>1.6216492</v>
      </c>
      <c r="AV820" s="3">
        <v>1.6049381</v>
      </c>
      <c r="AW820" s="3">
        <v>1.5888608</v>
      </c>
      <c r="AX820" s="3">
        <v>1.5734068999999999</v>
      </c>
      <c r="AY820" s="3">
        <v>1.5585659999999999</v>
      </c>
      <c r="AZ820" s="3">
        <v>1.5443277</v>
      </c>
      <c r="BA820" s="3">
        <v>1.530681</v>
      </c>
      <c r="BB820" s="3">
        <v>1.5176111999999999</v>
      </c>
      <c r="BC820" s="3">
        <v>1.5051026999999999</v>
      </c>
      <c r="BD820" s="3">
        <v>1.4931398</v>
      </c>
      <c r="BE820" s="3">
        <v>1.4817069</v>
      </c>
      <c r="BF820" s="3">
        <v>1.4707884</v>
      </c>
      <c r="BG820" s="3">
        <v>1.4603687000000001</v>
      </c>
      <c r="BH820" s="3">
        <v>1.4504321</v>
      </c>
      <c r="BI820" s="3">
        <v>1.440963</v>
      </c>
      <c r="BJ820" s="3">
        <v>1.4319459000000001</v>
      </c>
      <c r="BK820" s="3">
        <v>1.4233651</v>
      </c>
      <c r="BL820" s="3">
        <v>1.4152049</v>
      </c>
      <c r="BM820" s="3">
        <v>1.3743316999999999</v>
      </c>
      <c r="BN820" s="3">
        <v>1.3454467999999999</v>
      </c>
    </row>
    <row r="821" spans="1:66" x14ac:dyDescent="0.35">
      <c r="A821" s="5">
        <f t="shared" si="12"/>
        <v>44603</v>
      </c>
      <c r="B821" t="s">
        <v>2148</v>
      </c>
      <c r="C821" s="2">
        <v>0.5</v>
      </c>
      <c r="D821" s="2">
        <v>0.44519999999999998</v>
      </c>
      <c r="E821" s="3">
        <v>0.59892129999999999</v>
      </c>
      <c r="F821" s="3">
        <v>0.88638629999999996</v>
      </c>
      <c r="G821" s="3">
        <v>1.1356515</v>
      </c>
      <c r="H821" s="3">
        <v>1.3499226</v>
      </c>
      <c r="I821" s="3">
        <v>1.5240967000000001</v>
      </c>
      <c r="J821" s="3">
        <v>1.6592011</v>
      </c>
      <c r="K821" s="3">
        <v>1.7631102999999999</v>
      </c>
      <c r="L821" s="3">
        <v>1.8447404000000001</v>
      </c>
      <c r="M821" s="3">
        <v>1.9122648</v>
      </c>
      <c r="N821" s="3">
        <v>1.9703002999999999</v>
      </c>
      <c r="O821" s="3">
        <v>2.0206419000000002</v>
      </c>
      <c r="P821" s="3">
        <v>2.0634823</v>
      </c>
      <c r="Q821" s="3">
        <v>2.0977434000000001</v>
      </c>
      <c r="R821" s="3">
        <v>2.1235769000000002</v>
      </c>
      <c r="S821" s="3">
        <v>2.1416088000000002</v>
      </c>
      <c r="T821" s="3">
        <v>2.1524652</v>
      </c>
      <c r="U821" s="3">
        <v>2.1567721999999998</v>
      </c>
      <c r="V821" s="3">
        <v>2.1551559999999998</v>
      </c>
      <c r="W821" s="3">
        <v>2.1482511999999998</v>
      </c>
      <c r="X821" s="3">
        <v>2.1367224999999999</v>
      </c>
      <c r="Y821" s="3">
        <v>2.1212407</v>
      </c>
      <c r="Z821" s="3">
        <v>2.1024767</v>
      </c>
      <c r="AA821" s="3">
        <v>2.0811016000000002</v>
      </c>
      <c r="AB821" s="3">
        <v>2.0577861999999998</v>
      </c>
      <c r="AC821" s="3">
        <v>2.0331267999999998</v>
      </c>
      <c r="AD821" s="3">
        <v>2.0073894000000001</v>
      </c>
      <c r="AE821" s="3">
        <v>1.9807493</v>
      </c>
      <c r="AF821" s="3">
        <v>1.9533815000000001</v>
      </c>
      <c r="AG821" s="3">
        <v>1.9254610999999999</v>
      </c>
      <c r="AH821" s="3">
        <v>1.8971633999999999</v>
      </c>
      <c r="AI821" s="3">
        <v>1.8686634</v>
      </c>
      <c r="AJ821" s="3">
        <v>1.8401362000000001</v>
      </c>
      <c r="AK821" s="3">
        <v>1.8117570000000001</v>
      </c>
      <c r="AL821" s="3">
        <v>1.7837008000000001</v>
      </c>
      <c r="AM821" s="3">
        <v>1.7561429</v>
      </c>
      <c r="AN821" s="3">
        <v>1.7292582999999999</v>
      </c>
      <c r="AO821" s="3">
        <v>1.7031947999999999</v>
      </c>
      <c r="AP821" s="3">
        <v>1.6779793999999999</v>
      </c>
      <c r="AQ821" s="3">
        <v>1.6536058</v>
      </c>
      <c r="AR821" s="3">
        <v>1.6300678</v>
      </c>
      <c r="AS821" s="3">
        <v>1.607359</v>
      </c>
      <c r="AT821" s="3">
        <v>1.5854732</v>
      </c>
      <c r="AU821" s="3">
        <v>1.5644041</v>
      </c>
      <c r="AV821" s="3">
        <v>1.5441453000000001</v>
      </c>
      <c r="AW821" s="3">
        <v>1.5246906</v>
      </c>
      <c r="AX821" s="3">
        <v>1.5060336999999999</v>
      </c>
      <c r="AY821" s="3">
        <v>1.4881683000000001</v>
      </c>
      <c r="AZ821" s="3">
        <v>1.4710882000000001</v>
      </c>
      <c r="BA821" s="3">
        <v>1.4547840999999999</v>
      </c>
      <c r="BB821" s="3">
        <v>1.4392343999999999</v>
      </c>
      <c r="BC821" s="3">
        <v>1.4244140000000001</v>
      </c>
      <c r="BD821" s="3">
        <v>1.4102977999999999</v>
      </c>
      <c r="BE821" s="3">
        <v>1.3968605000000001</v>
      </c>
      <c r="BF821" s="3">
        <v>1.3840771999999999</v>
      </c>
      <c r="BG821" s="3">
        <v>1.3719227000000001</v>
      </c>
      <c r="BH821" s="3">
        <v>1.3603718</v>
      </c>
      <c r="BI821" s="3">
        <v>1.3493994</v>
      </c>
      <c r="BJ821" s="3">
        <v>1.3389804000000001</v>
      </c>
      <c r="BK821" s="3">
        <v>1.3290896000000001</v>
      </c>
      <c r="BL821" s="3">
        <v>1.3197019999999999</v>
      </c>
      <c r="BM821" s="3">
        <v>1.2729315000000001</v>
      </c>
      <c r="BN821" s="3">
        <v>1.2403487</v>
      </c>
    </row>
    <row r="822" spans="1:66" x14ac:dyDescent="0.35">
      <c r="A822" s="5">
        <f t="shared" si="12"/>
        <v>44606</v>
      </c>
      <c r="B822" t="s">
        <v>2149</v>
      </c>
      <c r="C822" s="2">
        <v>0.5</v>
      </c>
      <c r="D822" s="2">
        <v>0.44479999999999997</v>
      </c>
      <c r="E822" s="3">
        <v>0.61658460000000004</v>
      </c>
      <c r="F822" s="3">
        <v>0.9280562</v>
      </c>
      <c r="G822" s="3">
        <v>1.1904596000000001</v>
      </c>
      <c r="H822" s="3">
        <v>1.4116417000000001</v>
      </c>
      <c r="I822" s="3">
        <v>1.5898813999999999</v>
      </c>
      <c r="J822" s="3">
        <v>1.7277506</v>
      </c>
      <c r="K822" s="3">
        <v>1.8361616000000001</v>
      </c>
      <c r="L822" s="3">
        <v>1.9245298</v>
      </c>
      <c r="M822" s="3">
        <v>2.0003991000000001</v>
      </c>
      <c r="N822" s="3">
        <v>2.0677468999999999</v>
      </c>
      <c r="O822" s="3">
        <v>2.1275574000000002</v>
      </c>
      <c r="P822" s="3">
        <v>2.1793561000000001</v>
      </c>
      <c r="Q822" s="3">
        <v>2.2212258</v>
      </c>
      <c r="R822" s="3">
        <v>2.2531805999999999</v>
      </c>
      <c r="S822" s="3">
        <v>2.2758566999999998</v>
      </c>
      <c r="T822" s="3">
        <v>2.2898906999999999</v>
      </c>
      <c r="U822" s="3">
        <v>2.295919</v>
      </c>
      <c r="V822" s="3">
        <v>2.294578</v>
      </c>
      <c r="W822" s="3">
        <v>2.2865592000000001</v>
      </c>
      <c r="X822" s="3">
        <v>2.2727445999999998</v>
      </c>
      <c r="Y822" s="3">
        <v>2.254057</v>
      </c>
      <c r="Z822" s="3">
        <v>2.2314193000000002</v>
      </c>
      <c r="AA822" s="3">
        <v>2.2057543000000002</v>
      </c>
      <c r="AB822" s="3">
        <v>2.1779850999999999</v>
      </c>
      <c r="AC822" s="3">
        <v>2.1489107999999999</v>
      </c>
      <c r="AD822" s="3">
        <v>2.1188368</v>
      </c>
      <c r="AE822" s="3">
        <v>2.0879446000000002</v>
      </c>
      <c r="AF822" s="3">
        <v>2.0564160999999999</v>
      </c>
      <c r="AG822" s="3">
        <v>2.0244328999999999</v>
      </c>
      <c r="AH822" s="3">
        <v>1.9921766999999999</v>
      </c>
      <c r="AI822" s="3">
        <v>1.9598291000000001</v>
      </c>
      <c r="AJ822" s="3">
        <v>1.9275719</v>
      </c>
      <c r="AK822" s="3">
        <v>1.8955868</v>
      </c>
      <c r="AL822" s="3">
        <v>1.8640554</v>
      </c>
      <c r="AM822" s="3">
        <v>1.8331595000000001</v>
      </c>
      <c r="AN822" s="3">
        <v>1.8030805999999999</v>
      </c>
      <c r="AO822" s="3">
        <v>1.7739712000000001</v>
      </c>
      <c r="AP822" s="3">
        <v>1.7458533000000001</v>
      </c>
      <c r="AQ822" s="3">
        <v>1.7187133999999999</v>
      </c>
      <c r="AR822" s="3">
        <v>1.6925379</v>
      </c>
      <c r="AS822" s="3">
        <v>1.6673131000000001</v>
      </c>
      <c r="AT822" s="3">
        <v>1.6430254</v>
      </c>
      <c r="AU822" s="3">
        <v>1.6196611999999999</v>
      </c>
      <c r="AV822" s="3">
        <v>1.5972067999999999</v>
      </c>
      <c r="AW822" s="3">
        <v>1.5756486000000001</v>
      </c>
      <c r="AX822" s="3">
        <v>1.5549729000000001</v>
      </c>
      <c r="AY822" s="3">
        <v>1.5351663</v>
      </c>
      <c r="AZ822" s="3">
        <v>1.5162149</v>
      </c>
      <c r="BA822" s="3">
        <v>1.4981040999999999</v>
      </c>
      <c r="BB822" s="3">
        <v>1.480812</v>
      </c>
      <c r="BC822" s="3">
        <v>1.464315</v>
      </c>
      <c r="BD822" s="3">
        <v>1.4485892</v>
      </c>
      <c r="BE822" s="3">
        <v>1.4336106</v>
      </c>
      <c r="BF822" s="3">
        <v>1.4193556000000001</v>
      </c>
      <c r="BG822" s="3">
        <v>1.4058002000000001</v>
      </c>
      <c r="BH822" s="3">
        <v>1.3929205</v>
      </c>
      <c r="BI822" s="3">
        <v>1.3806928999999999</v>
      </c>
      <c r="BJ822" s="3">
        <v>1.3690933000000001</v>
      </c>
      <c r="BK822" s="3">
        <v>1.358098</v>
      </c>
      <c r="BL822" s="3">
        <v>1.3476831</v>
      </c>
      <c r="BM822" s="3">
        <v>1.2962807000000001</v>
      </c>
      <c r="BN822" s="3">
        <v>1.2611987</v>
      </c>
    </row>
    <row r="823" spans="1:66" x14ac:dyDescent="0.35">
      <c r="A823" s="5">
        <f t="shared" si="12"/>
        <v>44607</v>
      </c>
      <c r="B823" t="s">
        <v>2150</v>
      </c>
      <c r="C823" s="2">
        <v>0.5</v>
      </c>
      <c r="D823" s="2">
        <v>0.44500000000000001</v>
      </c>
      <c r="E823" s="3">
        <v>0.62280389999999997</v>
      </c>
      <c r="F823" s="3">
        <v>0.93145630000000001</v>
      </c>
      <c r="G823" s="3">
        <v>1.1810073000000001</v>
      </c>
      <c r="H823" s="3">
        <v>1.3841724</v>
      </c>
      <c r="I823" s="3">
        <v>1.5496705</v>
      </c>
      <c r="J823" s="3">
        <v>1.6833659000000001</v>
      </c>
      <c r="K823" s="3">
        <v>1.7940208</v>
      </c>
      <c r="L823" s="3">
        <v>1.8890043999999999</v>
      </c>
      <c r="M823" s="3">
        <v>1.9735929999999999</v>
      </c>
      <c r="N823" s="3">
        <v>2.0506638000000001</v>
      </c>
      <c r="O823" s="3">
        <v>2.1201647000000001</v>
      </c>
      <c r="P823" s="3">
        <v>2.1808226999999998</v>
      </c>
      <c r="Q823" s="3">
        <v>2.2297772999999999</v>
      </c>
      <c r="R823" s="3">
        <v>2.2670935000000001</v>
      </c>
      <c r="S823" s="3">
        <v>2.2937287</v>
      </c>
      <c r="T823" s="3">
        <v>2.3106403000000002</v>
      </c>
      <c r="U823" s="3">
        <v>2.3187856</v>
      </c>
      <c r="V823" s="3">
        <v>2.3191218999999998</v>
      </c>
      <c r="W823" s="3">
        <v>2.3126023999999998</v>
      </c>
      <c r="X823" s="3">
        <v>2.3001651999999999</v>
      </c>
      <c r="Y823" s="3">
        <v>2.2827454999999999</v>
      </c>
      <c r="Z823" s="3">
        <v>2.2612784000000001</v>
      </c>
      <c r="AA823" s="3">
        <v>2.2366988000000001</v>
      </c>
      <c r="AB823" s="3">
        <v>2.2099419999999999</v>
      </c>
      <c r="AC823" s="3">
        <v>2.1818170000000001</v>
      </c>
      <c r="AD823" s="3">
        <v>2.1526288</v>
      </c>
      <c r="AE823" s="3">
        <v>2.1225562999999998</v>
      </c>
      <c r="AF823" s="3">
        <v>2.0917783999999999</v>
      </c>
      <c r="AG823" s="3">
        <v>2.0604741999999998</v>
      </c>
      <c r="AH823" s="3">
        <v>2.0288225</v>
      </c>
      <c r="AI823" s="3">
        <v>1.9970024</v>
      </c>
      <c r="AJ823" s="3">
        <v>1.9651928000000001</v>
      </c>
      <c r="AK823" s="3">
        <v>1.9335726</v>
      </c>
      <c r="AL823" s="3">
        <v>1.9023208</v>
      </c>
      <c r="AM823" s="3">
        <v>1.8716164</v>
      </c>
      <c r="AN823" s="3">
        <v>1.8416383000000001</v>
      </c>
      <c r="AO823" s="3">
        <v>1.8125422</v>
      </c>
      <c r="AP823" s="3">
        <v>1.7843591999999999</v>
      </c>
      <c r="AQ823" s="3">
        <v>1.7570782</v>
      </c>
      <c r="AR823" s="3">
        <v>1.7306881999999999</v>
      </c>
      <c r="AS823" s="3">
        <v>1.7051782</v>
      </c>
      <c r="AT823" s="3">
        <v>1.6805374</v>
      </c>
      <c r="AU823" s="3">
        <v>1.6567546</v>
      </c>
      <c r="AV823" s="3">
        <v>1.6338189000000001</v>
      </c>
      <c r="AW823" s="3">
        <v>1.6117193000000001</v>
      </c>
      <c r="AX823" s="3">
        <v>1.5904448</v>
      </c>
      <c r="AY823" s="3">
        <v>1.5699844000000001</v>
      </c>
      <c r="AZ823" s="3">
        <v>1.5503271999999999</v>
      </c>
      <c r="BA823" s="3">
        <v>1.5314608000000001</v>
      </c>
      <c r="BB823" s="3">
        <v>1.5133667</v>
      </c>
      <c r="BC823" s="3">
        <v>1.4960245000000001</v>
      </c>
      <c r="BD823" s="3">
        <v>1.4794134999999999</v>
      </c>
      <c r="BE823" s="3">
        <v>1.4635134000000001</v>
      </c>
      <c r="BF823" s="3">
        <v>1.4483035</v>
      </c>
      <c r="BG823" s="3">
        <v>1.4337636</v>
      </c>
      <c r="BH823" s="3">
        <v>1.4198729000000001</v>
      </c>
      <c r="BI823" s="3">
        <v>1.4066112</v>
      </c>
      <c r="BJ823" s="3">
        <v>1.3939577999999999</v>
      </c>
      <c r="BK823" s="3">
        <v>1.3818923000000001</v>
      </c>
      <c r="BL823" s="3">
        <v>1.3703942</v>
      </c>
      <c r="BM823" s="3">
        <v>1.3124001999999999</v>
      </c>
      <c r="BN823" s="3">
        <v>1.2710454</v>
      </c>
    </row>
    <row r="824" spans="1:66" x14ac:dyDescent="0.35">
      <c r="A824" s="5">
        <f t="shared" si="12"/>
        <v>44608</v>
      </c>
      <c r="B824" t="s">
        <v>2151</v>
      </c>
      <c r="C824" s="2">
        <v>0.5</v>
      </c>
      <c r="D824" s="2">
        <v>0.44490000000000002</v>
      </c>
      <c r="E824" s="3">
        <v>0.6051839</v>
      </c>
      <c r="F824" s="3">
        <v>0.89302239999999999</v>
      </c>
      <c r="G824" s="3">
        <v>1.1219441999999999</v>
      </c>
      <c r="H824" s="3">
        <v>1.3109545</v>
      </c>
      <c r="I824" s="3">
        <v>1.4673069000000001</v>
      </c>
      <c r="J824" s="3">
        <v>1.5941406</v>
      </c>
      <c r="K824" s="3">
        <v>1.6965249</v>
      </c>
      <c r="L824" s="3">
        <v>1.7809074</v>
      </c>
      <c r="M824" s="3">
        <v>1.8526305000000001</v>
      </c>
      <c r="N824" s="3">
        <v>1.9150134000000001</v>
      </c>
      <c r="O824" s="3">
        <v>1.9691276</v>
      </c>
      <c r="P824" s="3">
        <v>2.0151444999999999</v>
      </c>
      <c r="Q824" s="3">
        <v>2.0526007000000002</v>
      </c>
      <c r="R824" s="3">
        <v>2.0817863000000001</v>
      </c>
      <c r="S824" s="3">
        <v>2.1032277000000001</v>
      </c>
      <c r="T824" s="3">
        <v>2.1174510999999998</v>
      </c>
      <c r="U824" s="3">
        <v>2.1249829999999998</v>
      </c>
      <c r="V824" s="3">
        <v>2.1263497999999998</v>
      </c>
      <c r="W824" s="3">
        <v>2.1221142999999998</v>
      </c>
      <c r="X824" s="3">
        <v>2.1129652000000001</v>
      </c>
      <c r="Y824" s="3">
        <v>2.0996182999999999</v>
      </c>
      <c r="Z824" s="3">
        <v>2.0827893999999998</v>
      </c>
      <c r="AA824" s="3">
        <v>2.0631944</v>
      </c>
      <c r="AB824" s="3">
        <v>2.0415489</v>
      </c>
      <c r="AC824" s="3">
        <v>2.0184795000000002</v>
      </c>
      <c r="AD824" s="3">
        <v>1.9942548</v>
      </c>
      <c r="AE824" s="3">
        <v>1.9690540999999999</v>
      </c>
      <c r="AF824" s="3">
        <v>1.9430567000000001</v>
      </c>
      <c r="AG824" s="3">
        <v>1.916442</v>
      </c>
      <c r="AH824" s="3">
        <v>1.8893891</v>
      </c>
      <c r="AI824" s="3">
        <v>1.8620774</v>
      </c>
      <c r="AJ824" s="3">
        <v>1.8346861999999999</v>
      </c>
      <c r="AK824" s="3">
        <v>1.8073948</v>
      </c>
      <c r="AL824" s="3">
        <v>1.7803823999999999</v>
      </c>
      <c r="AM824" s="3">
        <v>1.7538284</v>
      </c>
      <c r="AN824" s="3">
        <v>1.7279121</v>
      </c>
      <c r="AO824" s="3">
        <v>1.7027867999999999</v>
      </c>
      <c r="AP824" s="3">
        <v>1.6784805</v>
      </c>
      <c r="AQ824" s="3">
        <v>1.6549826000000001</v>
      </c>
      <c r="AR824" s="3">
        <v>1.6322825999999999</v>
      </c>
      <c r="AS824" s="3">
        <v>1.6103700999999999</v>
      </c>
      <c r="AT824" s="3">
        <v>1.5892344</v>
      </c>
      <c r="AU824" s="3">
        <v>1.5688651</v>
      </c>
      <c r="AV824" s="3">
        <v>1.5492516999999999</v>
      </c>
      <c r="AW824" s="3">
        <v>1.5303837</v>
      </c>
      <c r="AX824" s="3">
        <v>1.5122507000000001</v>
      </c>
      <c r="AY824" s="3">
        <v>1.4948418999999999</v>
      </c>
      <c r="AZ824" s="3">
        <v>1.4781470999999999</v>
      </c>
      <c r="BA824" s="3">
        <v>1.4621544</v>
      </c>
      <c r="BB824" s="3">
        <v>1.4468459</v>
      </c>
      <c r="BC824" s="3">
        <v>1.4322024</v>
      </c>
      <c r="BD824" s="3">
        <v>1.4182045999999999</v>
      </c>
      <c r="BE824" s="3">
        <v>1.4048331000000001</v>
      </c>
      <c r="BF824" s="3">
        <v>1.3920684000000001</v>
      </c>
      <c r="BG824" s="3">
        <v>1.3798914</v>
      </c>
      <c r="BH824" s="3">
        <v>1.3682827</v>
      </c>
      <c r="BI824" s="3">
        <v>1.3572228</v>
      </c>
      <c r="BJ824" s="3">
        <v>1.3466925000000001</v>
      </c>
      <c r="BK824" s="3">
        <v>1.3366724000000001</v>
      </c>
      <c r="BL824" s="3">
        <v>1.3271432000000001</v>
      </c>
      <c r="BM824" s="3">
        <v>1.2793991</v>
      </c>
      <c r="BN824" s="3">
        <v>1.2457041</v>
      </c>
    </row>
    <row r="825" spans="1:66" x14ac:dyDescent="0.35">
      <c r="A825" s="5">
        <f t="shared" si="12"/>
        <v>44609</v>
      </c>
      <c r="B825" t="s">
        <v>2152</v>
      </c>
      <c r="C825" s="2">
        <v>0.5</v>
      </c>
      <c r="D825" s="2">
        <v>0.44490000000000002</v>
      </c>
      <c r="E825" s="3">
        <v>0.60793620000000004</v>
      </c>
      <c r="F825" s="3">
        <v>0.89252569999999998</v>
      </c>
      <c r="G825" s="3">
        <v>1.1160471000000001</v>
      </c>
      <c r="H825" s="3">
        <v>1.2986677</v>
      </c>
      <c r="I825" s="3">
        <v>1.4487004000000001</v>
      </c>
      <c r="J825" s="3">
        <v>1.5694919000000001</v>
      </c>
      <c r="K825" s="3">
        <v>1.6663444999999999</v>
      </c>
      <c r="L825" s="3">
        <v>1.7451279</v>
      </c>
      <c r="M825" s="3">
        <v>1.8114667</v>
      </c>
      <c r="N825" s="3">
        <v>1.8686701999999999</v>
      </c>
      <c r="O825" s="3">
        <v>1.9183196</v>
      </c>
      <c r="P825" s="3">
        <v>1.9606631000000001</v>
      </c>
      <c r="Q825" s="3">
        <v>1.9953329</v>
      </c>
      <c r="R825" s="3">
        <v>2.0225190999999998</v>
      </c>
      <c r="S825" s="3">
        <v>2.0425827999999999</v>
      </c>
      <c r="T825" s="3">
        <v>2.0558846000000002</v>
      </c>
      <c r="U825" s="3">
        <v>2.0627854000000001</v>
      </c>
      <c r="V825" s="3">
        <v>2.0636461000000001</v>
      </c>
      <c r="W825" s="3">
        <v>2.0588967</v>
      </c>
      <c r="X825" s="3">
        <v>2.0492059</v>
      </c>
      <c r="Y825" s="3">
        <v>2.0352936000000001</v>
      </c>
      <c r="Z825" s="3">
        <v>2.0178799999999999</v>
      </c>
      <c r="AA825" s="3">
        <v>1.9976853000000001</v>
      </c>
      <c r="AB825" s="3">
        <v>1.9754294999999999</v>
      </c>
      <c r="AC825" s="3">
        <v>1.9517599999999999</v>
      </c>
      <c r="AD825" s="3">
        <v>1.9269704999999999</v>
      </c>
      <c r="AE825" s="3">
        <v>1.9012465999999999</v>
      </c>
      <c r="AF825" s="3">
        <v>1.8747741</v>
      </c>
      <c r="AG825" s="3">
        <v>1.8477389</v>
      </c>
      <c r="AH825" s="3">
        <v>1.8203266</v>
      </c>
      <c r="AI825" s="3">
        <v>1.7927230999999999</v>
      </c>
      <c r="AJ825" s="3">
        <v>1.7651140999999999</v>
      </c>
      <c r="AK825" s="3">
        <v>1.7376853999999999</v>
      </c>
      <c r="AL825" s="3">
        <v>1.7106228000000001</v>
      </c>
      <c r="AM825" s="3">
        <v>1.6841120000000001</v>
      </c>
      <c r="AN825" s="3">
        <v>1.6583387000000001</v>
      </c>
      <c r="AO825" s="3">
        <v>1.6334580000000001</v>
      </c>
      <c r="AP825" s="3">
        <v>1.6094887</v>
      </c>
      <c r="AQ825" s="3">
        <v>1.5864119000000001</v>
      </c>
      <c r="AR825" s="3">
        <v>1.5642092000000001</v>
      </c>
      <c r="AS825" s="3">
        <v>1.5428615999999999</v>
      </c>
      <c r="AT825" s="3">
        <v>1.5223504999999999</v>
      </c>
      <c r="AU825" s="3">
        <v>1.5026572</v>
      </c>
      <c r="AV825" s="3">
        <v>1.4837629000000001</v>
      </c>
      <c r="AW825" s="3">
        <v>1.465649</v>
      </c>
      <c r="AX825" s="3">
        <v>1.4482967</v>
      </c>
      <c r="AY825" s="3">
        <v>1.4316873999999999</v>
      </c>
      <c r="AZ825" s="3">
        <v>1.4158021000000001</v>
      </c>
      <c r="BA825" s="3">
        <v>1.4006219</v>
      </c>
      <c r="BB825" s="3">
        <v>1.3861254999999999</v>
      </c>
      <c r="BC825" s="3">
        <v>1.3722911</v>
      </c>
      <c r="BD825" s="3">
        <v>1.3590968000000001</v>
      </c>
      <c r="BE825" s="3">
        <v>1.3465210000000001</v>
      </c>
      <c r="BF825" s="3">
        <v>1.3345416999999999</v>
      </c>
      <c r="BG825" s="3">
        <v>1.3231373</v>
      </c>
      <c r="BH825" s="3">
        <v>1.3122859</v>
      </c>
      <c r="BI825" s="3">
        <v>1.3019657</v>
      </c>
      <c r="BJ825" s="3">
        <v>1.2921549999999999</v>
      </c>
      <c r="BK825" s="3">
        <v>1.2828318999999999</v>
      </c>
      <c r="BL825" s="3">
        <v>1.2739746000000001</v>
      </c>
      <c r="BM825" s="3">
        <v>1.2297282</v>
      </c>
      <c r="BN825" s="3">
        <v>1.1987897000000001</v>
      </c>
    </row>
    <row r="826" spans="1:66" x14ac:dyDescent="0.35">
      <c r="A826" s="5">
        <f t="shared" si="12"/>
        <v>44610</v>
      </c>
      <c r="B826" t="s">
        <v>2153</v>
      </c>
      <c r="C826" s="2">
        <v>0.5</v>
      </c>
      <c r="D826" s="2">
        <v>0.44529999999999997</v>
      </c>
      <c r="E826" s="3">
        <v>0.61634100000000003</v>
      </c>
      <c r="F826" s="3">
        <v>0.87906620000000002</v>
      </c>
      <c r="G826" s="3">
        <v>1.0873539000000001</v>
      </c>
      <c r="H826" s="3">
        <v>1.2581879</v>
      </c>
      <c r="I826" s="3">
        <v>1.3987487999999999</v>
      </c>
      <c r="J826" s="3">
        <v>1.5124734</v>
      </c>
      <c r="K826" s="3">
        <v>1.6043012000000001</v>
      </c>
      <c r="L826" s="3">
        <v>1.6793969</v>
      </c>
      <c r="M826" s="3">
        <v>1.7425584999999999</v>
      </c>
      <c r="N826" s="3">
        <v>1.7964580999999999</v>
      </c>
      <c r="O826" s="3">
        <v>1.8421388000000001</v>
      </c>
      <c r="P826" s="3">
        <v>1.8797881999999999</v>
      </c>
      <c r="Q826" s="3">
        <v>1.9088387</v>
      </c>
      <c r="R826" s="3">
        <v>1.9297092</v>
      </c>
      <c r="S826" s="3">
        <v>1.9431841999999999</v>
      </c>
      <c r="T826" s="3">
        <v>1.9500483</v>
      </c>
      <c r="U826" s="3">
        <v>1.9510862</v>
      </c>
      <c r="V826" s="3">
        <v>1.9470822999999999</v>
      </c>
      <c r="W826" s="3">
        <v>1.9387753999999999</v>
      </c>
      <c r="X826" s="3">
        <v>1.9267456000000001</v>
      </c>
      <c r="Y826" s="3">
        <v>1.9115386000000001</v>
      </c>
      <c r="Z826" s="3">
        <v>1.8937002999999999</v>
      </c>
      <c r="AA826" s="3">
        <v>1.8737767000000001</v>
      </c>
      <c r="AB826" s="3">
        <v>1.8523136</v>
      </c>
      <c r="AC826" s="3">
        <v>1.8297968</v>
      </c>
      <c r="AD826" s="3">
        <v>1.8064476</v>
      </c>
      <c r="AE826" s="3">
        <v>1.7824142999999999</v>
      </c>
      <c r="AF826" s="3">
        <v>1.7578450000000001</v>
      </c>
      <c r="AG826" s="3">
        <v>1.732888</v>
      </c>
      <c r="AH826" s="3">
        <v>1.7076914999999999</v>
      </c>
      <c r="AI826" s="3">
        <v>1.6824037000000001</v>
      </c>
      <c r="AJ826" s="3">
        <v>1.6571728999999999</v>
      </c>
      <c r="AK826" s="3">
        <v>1.6321471000000001</v>
      </c>
      <c r="AL826" s="3">
        <v>1.6074747</v>
      </c>
      <c r="AM826" s="3">
        <v>1.5833039</v>
      </c>
      <c r="AN826" s="3">
        <v>1.5597828</v>
      </c>
      <c r="AO826" s="3">
        <v>1.5370349000000001</v>
      </c>
      <c r="AP826" s="3">
        <v>1.5150741999999999</v>
      </c>
      <c r="AQ826" s="3">
        <v>1.4938844</v>
      </c>
      <c r="AR826" s="3">
        <v>1.4734491000000001</v>
      </c>
      <c r="AS826" s="3">
        <v>1.4537522</v>
      </c>
      <c r="AT826" s="3">
        <v>1.4347772999999999</v>
      </c>
      <c r="AU826" s="3">
        <v>1.4165083000000001</v>
      </c>
      <c r="AV826" s="3">
        <v>1.3989288</v>
      </c>
      <c r="AW826" s="3">
        <v>1.3820224999999999</v>
      </c>
      <c r="AX826" s="3">
        <v>1.3657733000000001</v>
      </c>
      <c r="AY826" s="3">
        <v>1.3501647000000001</v>
      </c>
      <c r="AZ826" s="3">
        <v>1.3351807</v>
      </c>
      <c r="BA826" s="3">
        <v>1.3208040999999999</v>
      </c>
      <c r="BB826" s="3">
        <v>1.3070155000000001</v>
      </c>
      <c r="BC826" s="3">
        <v>1.2937943000000001</v>
      </c>
      <c r="BD826" s="3">
        <v>1.28112</v>
      </c>
      <c r="BE826" s="3">
        <v>1.2689722000000001</v>
      </c>
      <c r="BF826" s="3">
        <v>1.2573304999999999</v>
      </c>
      <c r="BG826" s="3">
        <v>1.2461743000000001</v>
      </c>
      <c r="BH826" s="3">
        <v>1.2354832</v>
      </c>
      <c r="BI826" s="3">
        <v>1.2252368</v>
      </c>
      <c r="BJ826" s="3">
        <v>1.2154145999999999</v>
      </c>
      <c r="BK826" s="3">
        <v>1.2059960000000001</v>
      </c>
      <c r="BL826" s="3">
        <v>1.1969608</v>
      </c>
      <c r="BM826" s="3">
        <v>1.1501618</v>
      </c>
      <c r="BN826" s="3">
        <v>1.1150966</v>
      </c>
    </row>
    <row r="827" spans="1:66" x14ac:dyDescent="0.35">
      <c r="A827" s="5">
        <f t="shared" si="12"/>
        <v>44613</v>
      </c>
      <c r="B827" t="s">
        <v>2154</v>
      </c>
      <c r="C827" s="2">
        <v>0.5</v>
      </c>
      <c r="D827" s="2">
        <v>0.44419999999999998</v>
      </c>
      <c r="E827" s="3">
        <v>0.65729959999999998</v>
      </c>
      <c r="F827" s="3">
        <v>0.90747440000000001</v>
      </c>
      <c r="G827" s="3">
        <v>1.1117159999999999</v>
      </c>
      <c r="H827" s="3">
        <v>1.2823183</v>
      </c>
      <c r="I827" s="3">
        <v>1.4247437000000001</v>
      </c>
      <c r="J827" s="3">
        <v>1.5401373</v>
      </c>
      <c r="K827" s="3">
        <v>1.6329548</v>
      </c>
      <c r="L827" s="3">
        <v>1.7086831</v>
      </c>
      <c r="M827" s="3">
        <v>1.7726293</v>
      </c>
      <c r="N827" s="3">
        <v>1.8280166</v>
      </c>
      <c r="O827" s="3">
        <v>1.8761776999999999</v>
      </c>
      <c r="P827" s="3">
        <v>1.9174819999999999</v>
      </c>
      <c r="Q827" s="3">
        <v>1.951565</v>
      </c>
      <c r="R827" s="3">
        <v>1.9785564</v>
      </c>
      <c r="S827" s="3">
        <v>1.9987672000000001</v>
      </c>
      <c r="T827" s="3">
        <v>2.0125087000000002</v>
      </c>
      <c r="U827" s="3">
        <v>2.0200922000000001</v>
      </c>
      <c r="V827" s="3">
        <v>2.0218288000000002</v>
      </c>
      <c r="W827" s="3">
        <v>2.0180989999999999</v>
      </c>
      <c r="X827" s="3">
        <v>2.0095220999999999</v>
      </c>
      <c r="Y827" s="3">
        <v>1.9967691000000001</v>
      </c>
      <c r="Z827" s="3">
        <v>1.9805107</v>
      </c>
      <c r="AA827" s="3">
        <v>1.9614176999999999</v>
      </c>
      <c r="AB827" s="3">
        <v>1.940161</v>
      </c>
      <c r="AC827" s="3">
        <v>1.9173325000000001</v>
      </c>
      <c r="AD827" s="3">
        <v>1.8932081999999999</v>
      </c>
      <c r="AE827" s="3">
        <v>1.8679848999999999</v>
      </c>
      <c r="AF827" s="3">
        <v>1.8418596</v>
      </c>
      <c r="AG827" s="3">
        <v>1.8150293</v>
      </c>
      <c r="AH827" s="3">
        <v>1.7876909999999999</v>
      </c>
      <c r="AI827" s="3">
        <v>1.7600416999999999</v>
      </c>
      <c r="AJ827" s="3">
        <v>1.7322782000000001</v>
      </c>
      <c r="AK827" s="3">
        <v>1.7045976</v>
      </c>
      <c r="AL827" s="3">
        <v>1.6771967999999999</v>
      </c>
      <c r="AM827" s="3">
        <v>1.6502726999999999</v>
      </c>
      <c r="AN827" s="3">
        <v>1.6240224999999999</v>
      </c>
      <c r="AO827" s="3">
        <v>1.5986119000000001</v>
      </c>
      <c r="AP827" s="3">
        <v>1.5740696999999999</v>
      </c>
      <c r="AQ827" s="3">
        <v>1.5503868000000001</v>
      </c>
      <c r="AR827" s="3">
        <v>1.5275543</v>
      </c>
      <c r="AS827" s="3">
        <v>1.505563</v>
      </c>
      <c r="AT827" s="3">
        <v>1.4844037999999999</v>
      </c>
      <c r="AU827" s="3">
        <v>1.4640678</v>
      </c>
      <c r="AV827" s="3">
        <v>1.4445458</v>
      </c>
      <c r="AW827" s="3">
        <v>1.4258287999999999</v>
      </c>
      <c r="AX827" s="3">
        <v>1.4079075999999999</v>
      </c>
      <c r="AY827" s="3">
        <v>1.3907734</v>
      </c>
      <c r="AZ827" s="3">
        <v>1.3744168999999999</v>
      </c>
      <c r="BA827" s="3">
        <v>1.3588274</v>
      </c>
      <c r="BB827" s="3">
        <v>1.3439844999999999</v>
      </c>
      <c r="BC827" s="3">
        <v>1.3298646999999999</v>
      </c>
      <c r="BD827" s="3">
        <v>1.3164446000000001</v>
      </c>
      <c r="BE827" s="3">
        <v>1.3037006</v>
      </c>
      <c r="BF827" s="3">
        <v>1.2916093</v>
      </c>
      <c r="BG827" s="3">
        <v>1.2801471</v>
      </c>
      <c r="BH827" s="3">
        <v>1.2692905000000001</v>
      </c>
      <c r="BI827" s="3">
        <v>1.2590161</v>
      </c>
      <c r="BJ827" s="3">
        <v>1.2493003</v>
      </c>
      <c r="BK827" s="3">
        <v>1.2401196000000001</v>
      </c>
      <c r="BL827" s="3">
        <v>1.2314505</v>
      </c>
      <c r="BM827" s="3">
        <v>1.1891464</v>
      </c>
      <c r="BN827" s="3">
        <v>1.1610701000000001</v>
      </c>
    </row>
    <row r="828" spans="1:66" x14ac:dyDescent="0.35">
      <c r="A828" s="5">
        <f t="shared" si="12"/>
        <v>44614</v>
      </c>
      <c r="B828" t="s">
        <v>2155</v>
      </c>
      <c r="C828" s="2">
        <v>0.5</v>
      </c>
      <c r="D828" s="2">
        <v>0.44490000000000002</v>
      </c>
      <c r="E828" s="3">
        <v>0.65261329999999995</v>
      </c>
      <c r="F828" s="3">
        <v>0.88854849999999996</v>
      </c>
      <c r="G828" s="3">
        <v>1.0936186999999999</v>
      </c>
      <c r="H828" s="3">
        <v>1.2726725999999999</v>
      </c>
      <c r="I828" s="3">
        <v>1.4245393</v>
      </c>
      <c r="J828" s="3">
        <v>1.5477996000000001</v>
      </c>
      <c r="K828" s="3">
        <v>1.6469031000000001</v>
      </c>
      <c r="L828" s="3">
        <v>1.7283172</v>
      </c>
      <c r="M828" s="3">
        <v>1.7976064</v>
      </c>
      <c r="N828" s="3">
        <v>1.858481</v>
      </c>
      <c r="O828" s="3">
        <v>1.9121579</v>
      </c>
      <c r="P828" s="3">
        <v>1.9586774</v>
      </c>
      <c r="Q828" s="3">
        <v>1.9969595</v>
      </c>
      <c r="R828" s="3">
        <v>2.0270717</v>
      </c>
      <c r="S828" s="3">
        <v>2.0494615</v>
      </c>
      <c r="T828" s="3">
        <v>2.0645761</v>
      </c>
      <c r="U828" s="3">
        <v>2.0728626999999999</v>
      </c>
      <c r="V828" s="3">
        <v>2.0747686000000001</v>
      </c>
      <c r="W828" s="3">
        <v>2.070808</v>
      </c>
      <c r="X828" s="3">
        <v>2.0617257000000002</v>
      </c>
      <c r="Y828" s="3">
        <v>2.0483161000000001</v>
      </c>
      <c r="Z828" s="3">
        <v>2.0313739000000002</v>
      </c>
      <c r="AA828" s="3">
        <v>2.0116934999999998</v>
      </c>
      <c r="AB828" s="3">
        <v>1.9900694999999999</v>
      </c>
      <c r="AC828" s="3">
        <v>1.9671913999999999</v>
      </c>
      <c r="AD828" s="3">
        <v>1.9433285</v>
      </c>
      <c r="AE828" s="3">
        <v>1.9186451</v>
      </c>
      <c r="AF828" s="3">
        <v>1.8933055999999999</v>
      </c>
      <c r="AG828" s="3">
        <v>1.8674740999999999</v>
      </c>
      <c r="AH828" s="3">
        <v>1.8413151000000001</v>
      </c>
      <c r="AI828" s="3">
        <v>1.8149928</v>
      </c>
      <c r="AJ828" s="3">
        <v>1.7886715</v>
      </c>
      <c r="AK828" s="3">
        <v>1.7625154999999999</v>
      </c>
      <c r="AL828" s="3">
        <v>1.7366889999999999</v>
      </c>
      <c r="AM828" s="3">
        <v>1.7113564999999999</v>
      </c>
      <c r="AN828" s="3">
        <v>1.6866821999999999</v>
      </c>
      <c r="AO828" s="3">
        <v>1.6628080999999999</v>
      </c>
      <c r="AP828" s="3">
        <v>1.6397564</v>
      </c>
      <c r="AQ828" s="3">
        <v>1.6175089</v>
      </c>
      <c r="AR828" s="3">
        <v>1.5960475000000001</v>
      </c>
      <c r="AS828" s="3">
        <v>1.5753541</v>
      </c>
      <c r="AT828" s="3">
        <v>1.5554106000000001</v>
      </c>
      <c r="AU828" s="3">
        <v>1.5361988</v>
      </c>
      <c r="AV828" s="3">
        <v>1.5177007</v>
      </c>
      <c r="AW828" s="3">
        <v>1.4998981</v>
      </c>
      <c r="AX828" s="3">
        <v>1.4827729000000001</v>
      </c>
      <c r="AY828" s="3">
        <v>1.466307</v>
      </c>
      <c r="AZ828" s="3">
        <v>1.4504821999999999</v>
      </c>
      <c r="BA828" s="3">
        <v>1.4352811000000001</v>
      </c>
      <c r="BB828" s="3">
        <v>1.4206888</v>
      </c>
      <c r="BC828" s="3">
        <v>1.4066916</v>
      </c>
      <c r="BD828" s="3">
        <v>1.3932755999999999</v>
      </c>
      <c r="BE828" s="3">
        <v>1.3804270000000001</v>
      </c>
      <c r="BF828" s="3">
        <v>1.3681318</v>
      </c>
      <c r="BG828" s="3">
        <v>1.3563763</v>
      </c>
      <c r="BH828" s="3">
        <v>1.3451466999999999</v>
      </c>
      <c r="BI828" s="3">
        <v>1.3344290000000001</v>
      </c>
      <c r="BJ828" s="3">
        <v>1.3242094</v>
      </c>
      <c r="BK828" s="3">
        <v>1.3144741</v>
      </c>
      <c r="BL828" s="3">
        <v>1.3052092</v>
      </c>
      <c r="BM828" s="3">
        <v>1.2588889999999999</v>
      </c>
      <c r="BN828" s="3">
        <v>1.2270201999999999</v>
      </c>
    </row>
    <row r="829" spans="1:66" x14ac:dyDescent="0.35">
      <c r="A829" s="5">
        <f t="shared" si="12"/>
        <v>44615</v>
      </c>
      <c r="B829" t="s">
        <v>2156</v>
      </c>
      <c r="C829" s="2">
        <v>0.5</v>
      </c>
      <c r="D829" s="2">
        <v>0.4451</v>
      </c>
      <c r="E829" s="3">
        <v>0.64280959999999998</v>
      </c>
      <c r="F829" s="3">
        <v>0.8596163</v>
      </c>
      <c r="G829" s="3">
        <v>1.0542563</v>
      </c>
      <c r="H829" s="3">
        <v>1.2268269999999999</v>
      </c>
      <c r="I829" s="3">
        <v>1.3735025999999999</v>
      </c>
      <c r="J829" s="3">
        <v>1.4929488</v>
      </c>
      <c r="K829" s="3">
        <v>1.5891065</v>
      </c>
      <c r="L829" s="3">
        <v>1.6690088999999999</v>
      </c>
      <c r="M829" s="3">
        <v>1.7383002999999999</v>
      </c>
      <c r="N829" s="3">
        <v>1.8002803000000001</v>
      </c>
      <c r="O829" s="3">
        <v>1.8559000000000001</v>
      </c>
      <c r="P829" s="3">
        <v>1.9048487999999999</v>
      </c>
      <c r="Q829" s="3">
        <v>1.9457574</v>
      </c>
      <c r="R829" s="3">
        <v>1.9785953000000001</v>
      </c>
      <c r="S829" s="3">
        <v>2.0037479999999999</v>
      </c>
      <c r="T829" s="3">
        <v>2.0216009000000001</v>
      </c>
      <c r="U829" s="3">
        <v>2.0325392999999998</v>
      </c>
      <c r="V829" s="3">
        <v>2.0369487999999998</v>
      </c>
      <c r="W829" s="3">
        <v>2.0352967</v>
      </c>
      <c r="X829" s="3">
        <v>2.0283338</v>
      </c>
      <c r="Y829" s="3">
        <v>2.0168718000000001</v>
      </c>
      <c r="Z829" s="3">
        <v>2.0017225999999999</v>
      </c>
      <c r="AA829" s="3">
        <v>1.9836978000000001</v>
      </c>
      <c r="AB829" s="3">
        <v>1.9636093999999999</v>
      </c>
      <c r="AC829" s="3">
        <v>1.9421625</v>
      </c>
      <c r="AD829" s="3">
        <v>1.9196365</v>
      </c>
      <c r="AE829" s="3">
        <v>1.896204</v>
      </c>
      <c r="AF829" s="3">
        <v>1.8720378</v>
      </c>
      <c r="AG829" s="3">
        <v>1.8473107</v>
      </c>
      <c r="AH829" s="3">
        <v>1.8221955000000001</v>
      </c>
      <c r="AI829" s="3">
        <v>1.7968648</v>
      </c>
      <c r="AJ829" s="3">
        <v>1.7714915</v>
      </c>
      <c r="AK829" s="3">
        <v>1.7462481999999999</v>
      </c>
      <c r="AL829" s="3">
        <v>1.7213077999999999</v>
      </c>
      <c r="AM829" s="3">
        <v>1.6968429</v>
      </c>
      <c r="AN829" s="3">
        <v>1.6730265</v>
      </c>
      <c r="AO829" s="3">
        <v>1.6500056999999999</v>
      </c>
      <c r="AP829" s="3">
        <v>1.6278043</v>
      </c>
      <c r="AQ829" s="3">
        <v>1.6064084000000001</v>
      </c>
      <c r="AR829" s="3">
        <v>1.5858041</v>
      </c>
      <c r="AS829" s="3">
        <v>1.5659772000000001</v>
      </c>
      <c r="AT829" s="3">
        <v>1.5469139999999999</v>
      </c>
      <c r="AU829" s="3">
        <v>1.5286005</v>
      </c>
      <c r="AV829" s="3">
        <v>1.5110226</v>
      </c>
      <c r="AW829" s="3">
        <v>1.4941666</v>
      </c>
      <c r="AX829" s="3">
        <v>1.4780183</v>
      </c>
      <c r="AY829" s="3">
        <v>1.4625638000000001</v>
      </c>
      <c r="AZ829" s="3">
        <v>1.4477892999999999</v>
      </c>
      <c r="BA829" s="3">
        <v>1.4336802</v>
      </c>
      <c r="BB829" s="3">
        <v>1.4202201000000001</v>
      </c>
      <c r="BC829" s="3">
        <v>1.4073918000000001</v>
      </c>
      <c r="BD829" s="3">
        <v>1.3951781999999999</v>
      </c>
      <c r="BE829" s="3">
        <v>1.3835624</v>
      </c>
      <c r="BF829" s="3">
        <v>1.3725270000000001</v>
      </c>
      <c r="BG829" s="3">
        <v>1.3620551000000001</v>
      </c>
      <c r="BH829" s="3">
        <v>1.3521296</v>
      </c>
      <c r="BI829" s="3">
        <v>1.3427332999999999</v>
      </c>
      <c r="BJ829" s="3">
        <v>1.3338492</v>
      </c>
      <c r="BK829" s="3">
        <v>1.3254602</v>
      </c>
      <c r="BL829" s="3">
        <v>1.3175490000000001</v>
      </c>
      <c r="BM829" s="3">
        <v>1.2793080999999999</v>
      </c>
      <c r="BN829" s="3">
        <v>1.2548514</v>
      </c>
    </row>
    <row r="830" spans="1:66" x14ac:dyDescent="0.35">
      <c r="A830" s="5">
        <f t="shared" si="12"/>
        <v>44616</v>
      </c>
      <c r="B830" t="s">
        <v>2157</v>
      </c>
      <c r="C830" s="2">
        <v>0.5</v>
      </c>
      <c r="D830" s="2">
        <v>0.4451</v>
      </c>
      <c r="E830" s="3">
        <v>0.64278409999999997</v>
      </c>
      <c r="F830" s="3">
        <v>0.85265150000000001</v>
      </c>
      <c r="G830" s="3">
        <v>1.0473132999999999</v>
      </c>
      <c r="H830" s="3">
        <v>1.2213057</v>
      </c>
      <c r="I830" s="3">
        <v>1.3677256</v>
      </c>
      <c r="J830" s="3">
        <v>1.4845341000000001</v>
      </c>
      <c r="K830" s="3">
        <v>1.5772177000000001</v>
      </c>
      <c r="L830" s="3">
        <v>1.6540504</v>
      </c>
      <c r="M830" s="3">
        <v>1.7221599999999999</v>
      </c>
      <c r="N830" s="3">
        <v>1.7851836000000001</v>
      </c>
      <c r="O830" s="3">
        <v>1.8441414</v>
      </c>
      <c r="P830" s="3">
        <v>1.8980577000000001</v>
      </c>
      <c r="Q830" s="3">
        <v>1.9447650000000001</v>
      </c>
      <c r="R830" s="3">
        <v>1.9837988</v>
      </c>
      <c r="S830" s="3">
        <v>2.0151959000000002</v>
      </c>
      <c r="T830" s="3">
        <v>2.0389930000000001</v>
      </c>
      <c r="U830" s="3">
        <v>2.0552266000000001</v>
      </c>
      <c r="V830" s="3">
        <v>2.0639335999999999</v>
      </c>
      <c r="W830" s="3">
        <v>2.0653283999999998</v>
      </c>
      <c r="X830" s="3">
        <v>2.0602388</v>
      </c>
      <c r="Y830" s="3">
        <v>2.0496246999999999</v>
      </c>
      <c r="Z830" s="3">
        <v>2.0344460999999998</v>
      </c>
      <c r="AA830" s="3">
        <v>2.015663</v>
      </c>
      <c r="AB830" s="3">
        <v>1.9942352999999999</v>
      </c>
      <c r="AC830" s="3">
        <v>1.9710236999999999</v>
      </c>
      <c r="AD830" s="3">
        <v>1.9464039</v>
      </c>
      <c r="AE830" s="3">
        <v>1.9206045</v>
      </c>
      <c r="AF830" s="3">
        <v>1.8938538</v>
      </c>
      <c r="AG830" s="3">
        <v>1.8663802</v>
      </c>
      <c r="AH830" s="3">
        <v>1.8384119999999999</v>
      </c>
      <c r="AI830" s="3">
        <v>1.8101777999999999</v>
      </c>
      <c r="AJ830" s="3">
        <v>1.7819057</v>
      </c>
      <c r="AK830" s="3">
        <v>1.7538243</v>
      </c>
      <c r="AL830" s="3">
        <v>1.7261618999999999</v>
      </c>
      <c r="AM830" s="3">
        <v>1.699147</v>
      </c>
      <c r="AN830" s="3">
        <v>1.6730077999999999</v>
      </c>
      <c r="AO830" s="3">
        <v>1.6479341999999999</v>
      </c>
      <c r="AP830" s="3">
        <v>1.6239463000000001</v>
      </c>
      <c r="AQ830" s="3">
        <v>1.6010168</v>
      </c>
      <c r="AR830" s="3">
        <v>1.5791187</v>
      </c>
      <c r="AS830" s="3">
        <v>1.5582251</v>
      </c>
      <c r="AT830" s="3">
        <v>1.5383089000000001</v>
      </c>
      <c r="AU830" s="3">
        <v>1.5193430000000001</v>
      </c>
      <c r="AV830" s="3">
        <v>1.5013004999999999</v>
      </c>
      <c r="AW830" s="3">
        <v>1.4841542000000001</v>
      </c>
      <c r="AX830" s="3">
        <v>1.4678770999999999</v>
      </c>
      <c r="AY830" s="3">
        <v>1.4524421999999999</v>
      </c>
      <c r="AZ830" s="3">
        <v>1.4378225</v>
      </c>
      <c r="BA830" s="3">
        <v>1.4239907999999999</v>
      </c>
      <c r="BB830" s="3">
        <v>1.4109195000000001</v>
      </c>
      <c r="BC830" s="3">
        <v>1.3985809</v>
      </c>
      <c r="BD830" s="3">
        <v>1.3869472</v>
      </c>
      <c r="BE830" s="3">
        <v>1.3759907</v>
      </c>
      <c r="BF830" s="3">
        <v>1.3656836000000001</v>
      </c>
      <c r="BG830" s="3">
        <v>1.3559983</v>
      </c>
      <c r="BH830" s="3">
        <v>1.3469070000000001</v>
      </c>
      <c r="BI830" s="3">
        <v>1.3383818999999999</v>
      </c>
      <c r="BJ830" s="3">
        <v>1.3303954</v>
      </c>
      <c r="BK830" s="3">
        <v>1.3229196000000001</v>
      </c>
      <c r="BL830" s="3">
        <v>1.3159269</v>
      </c>
      <c r="BM830" s="3">
        <v>1.2830012</v>
      </c>
      <c r="BN830" s="3">
        <v>1.2631441000000001</v>
      </c>
    </row>
    <row r="831" spans="1:66" x14ac:dyDescent="0.35">
      <c r="A831" s="5">
        <f t="shared" si="12"/>
        <v>44617</v>
      </c>
      <c r="B831" t="s">
        <v>2158</v>
      </c>
      <c r="C831" s="2">
        <v>0.5</v>
      </c>
      <c r="D831" s="2">
        <v>0.44490000000000002</v>
      </c>
      <c r="E831" s="3">
        <v>0.66018270000000001</v>
      </c>
      <c r="F831" s="3">
        <v>0.85902330000000005</v>
      </c>
      <c r="G831" s="3">
        <v>1.0471166000000001</v>
      </c>
      <c r="H831" s="3">
        <v>1.2146760000000001</v>
      </c>
      <c r="I831" s="3">
        <v>1.3551016</v>
      </c>
      <c r="J831" s="3">
        <v>1.4677559</v>
      </c>
      <c r="K831" s="3">
        <v>1.5579059</v>
      </c>
      <c r="L831" s="3">
        <v>1.6328969</v>
      </c>
      <c r="M831" s="3">
        <v>1.6990616999999999</v>
      </c>
      <c r="N831" s="3">
        <v>1.7594848000000001</v>
      </c>
      <c r="O831" s="3">
        <v>1.8149649999999999</v>
      </c>
      <c r="P831" s="3">
        <v>1.8647073999999999</v>
      </c>
      <c r="Q831" s="3">
        <v>1.9067932999999999</v>
      </c>
      <c r="R831" s="3">
        <v>1.9409479999999999</v>
      </c>
      <c r="S831" s="3">
        <v>1.967487</v>
      </c>
      <c r="T831" s="3">
        <v>1.9867258999999999</v>
      </c>
      <c r="U831" s="3">
        <v>1.9989802000000001</v>
      </c>
      <c r="V831" s="3">
        <v>2.0045655999999998</v>
      </c>
      <c r="W831" s="3">
        <v>2.0039015999999998</v>
      </c>
      <c r="X831" s="3">
        <v>1.9977666999999999</v>
      </c>
      <c r="Y831" s="3">
        <v>1.9870166</v>
      </c>
      <c r="Z831" s="3">
        <v>1.9725074</v>
      </c>
      <c r="AA831" s="3">
        <v>1.9550947000000001</v>
      </c>
      <c r="AB831" s="3">
        <v>1.9356344000000001</v>
      </c>
      <c r="AC831" s="3">
        <v>1.9148795000000001</v>
      </c>
      <c r="AD831" s="3">
        <v>1.8931292</v>
      </c>
      <c r="AE831" s="3">
        <v>1.8705571000000001</v>
      </c>
      <c r="AF831" s="3">
        <v>1.847337</v>
      </c>
      <c r="AG831" s="3">
        <v>1.8236429000000001</v>
      </c>
      <c r="AH831" s="3">
        <v>1.7996483999999999</v>
      </c>
      <c r="AI831" s="3">
        <v>1.7755274000000001</v>
      </c>
      <c r="AJ831" s="3">
        <v>1.7514536000000001</v>
      </c>
      <c r="AK831" s="3">
        <v>1.7276009999999999</v>
      </c>
      <c r="AL831" s="3">
        <v>1.7041432000000001</v>
      </c>
      <c r="AM831" s="3">
        <v>1.6812541000000001</v>
      </c>
      <c r="AN831" s="3">
        <v>1.6591075</v>
      </c>
      <c r="AO831" s="3">
        <v>1.6378474000000001</v>
      </c>
      <c r="AP831" s="3">
        <v>1.6174869999999999</v>
      </c>
      <c r="AQ831" s="3">
        <v>1.5980030999999999</v>
      </c>
      <c r="AR831" s="3">
        <v>1.5793727</v>
      </c>
      <c r="AS831" s="3">
        <v>1.5615725</v>
      </c>
      <c r="AT831" s="3">
        <v>1.5445795</v>
      </c>
      <c r="AU831" s="3">
        <v>1.5283705999999999</v>
      </c>
      <c r="AV831" s="3">
        <v>1.5129227000000001</v>
      </c>
      <c r="AW831" s="3">
        <v>1.4982127000000001</v>
      </c>
      <c r="AX831" s="3">
        <v>1.4842173000000001</v>
      </c>
      <c r="AY831" s="3">
        <v>1.4709137000000001</v>
      </c>
      <c r="AZ831" s="3">
        <v>1.4582785</v>
      </c>
      <c r="BA831" s="3">
        <v>1.4462893000000001</v>
      </c>
      <c r="BB831" s="3">
        <v>1.4349258</v>
      </c>
      <c r="BC831" s="3">
        <v>1.4241684999999999</v>
      </c>
      <c r="BD831" s="3">
        <v>1.4139976999999999</v>
      </c>
      <c r="BE831" s="3">
        <v>1.4043939999999999</v>
      </c>
      <c r="BF831" s="3">
        <v>1.3953377</v>
      </c>
      <c r="BG831" s="3">
        <v>1.3868092000000001</v>
      </c>
      <c r="BH831" s="3">
        <v>1.3787891000000001</v>
      </c>
      <c r="BI831" s="3">
        <v>1.3712576999999999</v>
      </c>
      <c r="BJ831" s="3">
        <v>1.3641954999999999</v>
      </c>
      <c r="BK831" s="3">
        <v>1.3575828999999999</v>
      </c>
      <c r="BL831" s="3">
        <v>1.3514002000000001</v>
      </c>
      <c r="BM831" s="3">
        <v>1.3224982000000001</v>
      </c>
      <c r="BN831" s="3">
        <v>1.3057179999999999</v>
      </c>
    </row>
    <row r="832" spans="1:66" x14ac:dyDescent="0.35">
      <c r="A832" s="5">
        <f t="shared" si="12"/>
        <v>44620</v>
      </c>
      <c r="B832" t="s">
        <v>2159</v>
      </c>
      <c r="C832" s="2">
        <v>0.5</v>
      </c>
      <c r="D832" s="2">
        <v>0.4451</v>
      </c>
      <c r="E832" s="3">
        <v>0.67276630000000004</v>
      </c>
      <c r="F832" s="3">
        <v>0.84406400000000004</v>
      </c>
      <c r="G832" s="3">
        <v>1.0289417000000001</v>
      </c>
      <c r="H832" s="3">
        <v>1.1926943000000001</v>
      </c>
      <c r="I832" s="3">
        <v>1.3217623000000001</v>
      </c>
      <c r="J832" s="3">
        <v>1.4170081999999999</v>
      </c>
      <c r="K832" s="3">
        <v>1.4856403</v>
      </c>
      <c r="L832" s="3">
        <v>1.5387554999999999</v>
      </c>
      <c r="M832" s="3">
        <v>1.5852683999999999</v>
      </c>
      <c r="N832" s="3">
        <v>1.6297044999999999</v>
      </c>
      <c r="O832" s="3">
        <v>1.6728987</v>
      </c>
      <c r="P832" s="3">
        <v>1.7137967000000001</v>
      </c>
      <c r="Q832" s="3">
        <v>1.7501926000000001</v>
      </c>
      <c r="R832" s="3">
        <v>1.7813378</v>
      </c>
      <c r="S832" s="3">
        <v>1.8069473</v>
      </c>
      <c r="T832" s="3">
        <v>1.8267363000000001</v>
      </c>
      <c r="U832" s="3">
        <v>1.8404199999999999</v>
      </c>
      <c r="V832" s="3">
        <v>1.8477136000000001</v>
      </c>
      <c r="W832" s="3">
        <v>1.8485115999999999</v>
      </c>
      <c r="X832" s="3">
        <v>1.8435402999999999</v>
      </c>
      <c r="Y832" s="3">
        <v>1.8337669000000001</v>
      </c>
      <c r="Z832" s="3">
        <v>1.8201588</v>
      </c>
      <c r="AA832" s="3">
        <v>1.8036833000000001</v>
      </c>
      <c r="AB832" s="3">
        <v>1.7853076000000001</v>
      </c>
      <c r="AC832" s="3">
        <v>1.7658761000000001</v>
      </c>
      <c r="AD832" s="3">
        <v>1.7456898000000001</v>
      </c>
      <c r="AE832" s="3">
        <v>1.7248999</v>
      </c>
      <c r="AF832" s="3">
        <v>1.7036575</v>
      </c>
      <c r="AG832" s="3">
        <v>1.6821139000000001</v>
      </c>
      <c r="AH832" s="3">
        <v>1.6604201000000001</v>
      </c>
      <c r="AI832" s="3">
        <v>1.6387274999999999</v>
      </c>
      <c r="AJ832" s="3">
        <v>1.6171872</v>
      </c>
      <c r="AK832" s="3">
        <v>1.5959502999999999</v>
      </c>
      <c r="AL832" s="3">
        <v>1.5751679999999999</v>
      </c>
      <c r="AM832" s="3">
        <v>1.5549915000000001</v>
      </c>
      <c r="AN832" s="3">
        <v>1.5355721</v>
      </c>
      <c r="AO832" s="3">
        <v>1.5170322000000001</v>
      </c>
      <c r="AP832" s="3">
        <v>1.4993685999999999</v>
      </c>
      <c r="AQ832" s="3">
        <v>1.4825429999999999</v>
      </c>
      <c r="AR832" s="3">
        <v>1.4665174000000001</v>
      </c>
      <c r="AS832" s="3">
        <v>1.4512535</v>
      </c>
      <c r="AT832" s="3">
        <v>1.4367133000000001</v>
      </c>
      <c r="AU832" s="3">
        <v>1.4228585</v>
      </c>
      <c r="AV832" s="3">
        <v>1.4096511</v>
      </c>
      <c r="AW832" s="3">
        <v>1.3970528</v>
      </c>
      <c r="AX832" s="3">
        <v>1.3850255</v>
      </c>
      <c r="AY832" s="3">
        <v>1.3735310000000001</v>
      </c>
      <c r="AZ832" s="3">
        <v>1.3625312999999999</v>
      </c>
      <c r="BA832" s="3">
        <v>1.3519920000000001</v>
      </c>
      <c r="BB832" s="3">
        <v>1.3419002</v>
      </c>
      <c r="BC832" s="3">
        <v>1.3322498</v>
      </c>
      <c r="BD832" s="3">
        <v>1.3230348999999999</v>
      </c>
      <c r="BE832" s="3">
        <v>1.3142495999999999</v>
      </c>
      <c r="BF832" s="3">
        <v>1.3058879000000001</v>
      </c>
      <c r="BG832" s="3">
        <v>1.2979438999999999</v>
      </c>
      <c r="BH832" s="3">
        <v>1.2904115</v>
      </c>
      <c r="BI832" s="3">
        <v>1.283285</v>
      </c>
      <c r="BJ832" s="3">
        <v>1.2765582</v>
      </c>
      <c r="BK832" s="3">
        <v>1.2702252000000001</v>
      </c>
      <c r="BL832" s="3">
        <v>1.2642802</v>
      </c>
      <c r="BM832" s="3">
        <v>1.2363724</v>
      </c>
      <c r="BN832" s="3">
        <v>1.2206216999999999</v>
      </c>
    </row>
    <row r="833" spans="1:66" x14ac:dyDescent="0.35">
      <c r="A833" s="5">
        <f t="shared" si="12"/>
        <v>44621</v>
      </c>
      <c r="B833" t="s">
        <v>2160</v>
      </c>
      <c r="C833" s="2">
        <v>0.5</v>
      </c>
      <c r="D833" s="2">
        <v>0.4451</v>
      </c>
      <c r="E833" s="3">
        <v>0.64926700000000004</v>
      </c>
      <c r="F833" s="3">
        <v>0.80079540000000005</v>
      </c>
      <c r="G833" s="3">
        <v>0.96907200000000004</v>
      </c>
      <c r="H833" s="3">
        <v>1.118401</v>
      </c>
      <c r="I833" s="3">
        <v>1.2332566</v>
      </c>
      <c r="J833" s="3">
        <v>1.3150147999999999</v>
      </c>
      <c r="K833" s="3">
        <v>1.3718106000000001</v>
      </c>
      <c r="L833" s="3">
        <v>1.4141608999999999</v>
      </c>
      <c r="M833" s="3">
        <v>1.4497609</v>
      </c>
      <c r="N833" s="3">
        <v>1.4825839000000001</v>
      </c>
      <c r="O833" s="3">
        <v>1.5136987</v>
      </c>
      <c r="P833" s="3">
        <v>1.5424692</v>
      </c>
      <c r="Q833" s="3">
        <v>1.5669150999999999</v>
      </c>
      <c r="R833" s="3">
        <v>1.5863928</v>
      </c>
      <c r="S833" s="3">
        <v>1.6007118</v>
      </c>
      <c r="T833" s="3">
        <v>1.6096813999999999</v>
      </c>
      <c r="U833" s="3">
        <v>1.6131111</v>
      </c>
      <c r="V833" s="3">
        <v>1.6108104000000001</v>
      </c>
      <c r="W833" s="3">
        <v>1.6027552</v>
      </c>
      <c r="X833" s="3">
        <v>1.5896949</v>
      </c>
      <c r="Y833" s="3">
        <v>1.572603</v>
      </c>
      <c r="Z833" s="3">
        <v>1.5524529</v>
      </c>
      <c r="AA833" s="3">
        <v>1.5302179</v>
      </c>
      <c r="AB833" s="3">
        <v>1.5068714999999999</v>
      </c>
      <c r="AC833" s="3">
        <v>1.4832555999999999</v>
      </c>
      <c r="AD833" s="3">
        <v>1.4596306999999999</v>
      </c>
      <c r="AE833" s="3">
        <v>1.4360972999999999</v>
      </c>
      <c r="AF833" s="3">
        <v>1.4127558</v>
      </c>
      <c r="AG833" s="3">
        <v>1.3897067000000001</v>
      </c>
      <c r="AH833" s="3">
        <v>1.3670503000000001</v>
      </c>
      <c r="AI833" s="3">
        <v>1.3448871</v>
      </c>
      <c r="AJ833" s="3">
        <v>1.3233174000000001</v>
      </c>
      <c r="AK833" s="3">
        <v>1.3024416000000001</v>
      </c>
      <c r="AL833" s="3">
        <v>1.2823602000000001</v>
      </c>
      <c r="AM833" s="3">
        <v>1.2631736</v>
      </c>
      <c r="AN833" s="3">
        <v>1.2449821999999999</v>
      </c>
      <c r="AO833" s="3">
        <v>1.2278667000000001</v>
      </c>
      <c r="AP833" s="3">
        <v>1.2118024000000001</v>
      </c>
      <c r="AQ833" s="3">
        <v>1.1967292</v>
      </c>
      <c r="AR833" s="3">
        <v>1.1825867999999999</v>
      </c>
      <c r="AS833" s="3">
        <v>1.1693150999999999</v>
      </c>
      <c r="AT833" s="3">
        <v>1.1568539</v>
      </c>
      <c r="AU833" s="3">
        <v>1.145143</v>
      </c>
      <c r="AV833" s="3">
        <v>1.1341222</v>
      </c>
      <c r="AW833" s="3">
        <v>1.1237313</v>
      </c>
      <c r="AX833" s="3">
        <v>1.1139102000000001</v>
      </c>
      <c r="AY833" s="3">
        <v>1.1045986999999999</v>
      </c>
      <c r="AZ833" s="3">
        <v>1.0957364999999999</v>
      </c>
      <c r="BA833" s="3">
        <v>1.0872705</v>
      </c>
      <c r="BB833" s="3">
        <v>1.0791814</v>
      </c>
      <c r="BC833" s="3">
        <v>1.0714604000000001</v>
      </c>
      <c r="BD833" s="3">
        <v>1.0640984</v>
      </c>
      <c r="BE833" s="3">
        <v>1.0570866999999999</v>
      </c>
      <c r="BF833" s="3">
        <v>1.0504163</v>
      </c>
      <c r="BG833" s="3">
        <v>1.0440784000000001</v>
      </c>
      <c r="BH833" s="3">
        <v>1.0380639</v>
      </c>
      <c r="BI833" s="3">
        <v>1.0323640999999999</v>
      </c>
      <c r="BJ833" s="3">
        <v>1.0269699999999999</v>
      </c>
      <c r="BK833" s="3">
        <v>1.0218727000000001</v>
      </c>
      <c r="BL833" s="3">
        <v>1.0170634000000001</v>
      </c>
      <c r="BM833" s="3">
        <v>0.99390800000000001</v>
      </c>
      <c r="BN833" s="3">
        <v>0.97980049999999996</v>
      </c>
    </row>
    <row r="834" spans="1:66" x14ac:dyDescent="0.35">
      <c r="A834" s="5">
        <f t="shared" si="12"/>
        <v>44622</v>
      </c>
      <c r="B834" t="s">
        <v>2161</v>
      </c>
      <c r="C834" s="2">
        <v>0.5</v>
      </c>
      <c r="D834" s="2">
        <v>0.44500000000000001</v>
      </c>
      <c r="E834" s="3">
        <v>0.73309919999999995</v>
      </c>
      <c r="F834" s="3">
        <v>0.91480280000000003</v>
      </c>
      <c r="G834" s="3">
        <v>1.1120072000000001</v>
      </c>
      <c r="H834" s="3">
        <v>1.2824044999999999</v>
      </c>
      <c r="I834" s="3">
        <v>1.4140162000000001</v>
      </c>
      <c r="J834" s="3">
        <v>1.5110307999999999</v>
      </c>
      <c r="K834" s="3">
        <v>1.5814805000000001</v>
      </c>
      <c r="L834" s="3">
        <v>1.6357425000000001</v>
      </c>
      <c r="M834" s="3">
        <v>1.6816153</v>
      </c>
      <c r="N834" s="3">
        <v>1.7230673000000001</v>
      </c>
      <c r="O834" s="3">
        <v>1.7612261</v>
      </c>
      <c r="P834" s="3">
        <v>1.7955932999999999</v>
      </c>
      <c r="Q834" s="3">
        <v>1.8246255</v>
      </c>
      <c r="R834" s="3">
        <v>1.8478744</v>
      </c>
      <c r="S834" s="3">
        <v>1.8652542999999999</v>
      </c>
      <c r="T834" s="3">
        <v>1.8766795000000001</v>
      </c>
      <c r="U834" s="3">
        <v>1.8820642999999999</v>
      </c>
      <c r="V834" s="3">
        <v>1.8813230999999999</v>
      </c>
      <c r="W834" s="3">
        <v>1.8744867999999999</v>
      </c>
      <c r="X834" s="3">
        <v>1.8622479999999999</v>
      </c>
      <c r="Y834" s="3">
        <v>1.8455317</v>
      </c>
      <c r="Z834" s="3">
        <v>1.8252633</v>
      </c>
      <c r="AA834" s="3">
        <v>1.8023681</v>
      </c>
      <c r="AB834" s="3">
        <v>1.7777714</v>
      </c>
      <c r="AC834" s="3">
        <v>1.7523040999999999</v>
      </c>
      <c r="AD834" s="3">
        <v>1.7262873999999999</v>
      </c>
      <c r="AE834" s="3">
        <v>1.6998721999999999</v>
      </c>
      <c r="AF834" s="3">
        <v>1.6732089999999999</v>
      </c>
      <c r="AG834" s="3">
        <v>1.6464483000000001</v>
      </c>
      <c r="AH834" s="3">
        <v>1.6197406999999999</v>
      </c>
      <c r="AI834" s="3">
        <v>1.5932369</v>
      </c>
      <c r="AJ834" s="3">
        <v>1.5670873000000001</v>
      </c>
      <c r="AK834" s="3">
        <v>1.5414425</v>
      </c>
      <c r="AL834" s="3">
        <v>1.5164531000000001</v>
      </c>
      <c r="AM834" s="3">
        <v>1.4922696</v>
      </c>
      <c r="AN834" s="3">
        <v>1.4690426999999999</v>
      </c>
      <c r="AO834" s="3">
        <v>1.4468958999999999</v>
      </c>
      <c r="AP834" s="3">
        <v>1.4258207000000001</v>
      </c>
      <c r="AQ834" s="3">
        <v>1.405769</v>
      </c>
      <c r="AR834" s="3">
        <v>1.3866921000000001</v>
      </c>
      <c r="AS834" s="3">
        <v>1.3685417</v>
      </c>
      <c r="AT834" s="3">
        <v>1.3512694000000001</v>
      </c>
      <c r="AU834" s="3">
        <v>1.3348267</v>
      </c>
      <c r="AV834" s="3">
        <v>1.3191653000000001</v>
      </c>
      <c r="AW834" s="3">
        <v>1.3042366000000001</v>
      </c>
      <c r="AX834" s="3">
        <v>1.2899924</v>
      </c>
      <c r="AY834" s="3">
        <v>1.2763841</v>
      </c>
      <c r="AZ834" s="3">
        <v>1.2633633</v>
      </c>
      <c r="BA834" s="3">
        <v>1.2508870000000001</v>
      </c>
      <c r="BB834" s="3">
        <v>1.2389353999999999</v>
      </c>
      <c r="BC834" s="3">
        <v>1.2274955000000001</v>
      </c>
      <c r="BD834" s="3">
        <v>1.2165541</v>
      </c>
      <c r="BE834" s="3">
        <v>1.2060981</v>
      </c>
      <c r="BF834" s="3">
        <v>1.1961143000000001</v>
      </c>
      <c r="BG834" s="3">
        <v>1.1865895</v>
      </c>
      <c r="BH834" s="3">
        <v>1.1775106</v>
      </c>
      <c r="BI834" s="3">
        <v>1.1688645</v>
      </c>
      <c r="BJ834" s="3">
        <v>1.1606379</v>
      </c>
      <c r="BK834" s="3">
        <v>1.1528178</v>
      </c>
      <c r="BL834" s="3">
        <v>1.145391</v>
      </c>
      <c r="BM834" s="3">
        <v>1.1086185</v>
      </c>
      <c r="BN834" s="3">
        <v>1.0843008999999999</v>
      </c>
    </row>
    <row r="835" spans="1:66" x14ac:dyDescent="0.35">
      <c r="A835" s="5">
        <f t="shared" si="12"/>
        <v>44623</v>
      </c>
      <c r="B835" t="s">
        <v>2163</v>
      </c>
      <c r="C835" s="2">
        <v>0.5</v>
      </c>
      <c r="D835" s="2">
        <v>0.44519999999999998</v>
      </c>
      <c r="E835" s="3">
        <v>0.68388280000000001</v>
      </c>
      <c r="F835" s="3">
        <v>0.95994619999999997</v>
      </c>
      <c r="G835" s="3">
        <v>1.1672400000000001</v>
      </c>
      <c r="H835" s="3">
        <v>1.3182176999999999</v>
      </c>
      <c r="I835" s="3">
        <v>1.4328623</v>
      </c>
      <c r="J835" s="3">
        <v>1.5222906</v>
      </c>
      <c r="K835" s="3">
        <v>1.5935893999999999</v>
      </c>
      <c r="L835" s="3">
        <v>1.6535004</v>
      </c>
      <c r="M835" s="3">
        <v>1.7063292999999999</v>
      </c>
      <c r="N835" s="3">
        <v>1.7551726000000001</v>
      </c>
      <c r="O835" s="3">
        <v>1.8005481999999999</v>
      </c>
      <c r="P835" s="3">
        <v>1.8416678</v>
      </c>
      <c r="Q835" s="3">
        <v>1.8767062000000001</v>
      </c>
      <c r="R835" s="3">
        <v>1.9051525</v>
      </c>
      <c r="S835" s="3">
        <v>1.926938</v>
      </c>
      <c r="T835" s="3">
        <v>1.9419937</v>
      </c>
      <c r="U835" s="3">
        <v>1.9502508000000001</v>
      </c>
      <c r="V835" s="3">
        <v>1.9516404999999999</v>
      </c>
      <c r="W835" s="3">
        <v>1.9462348</v>
      </c>
      <c r="X835" s="3">
        <v>1.9348281000000001</v>
      </c>
      <c r="Y835" s="3">
        <v>1.9184455</v>
      </c>
      <c r="Z835" s="3">
        <v>1.8981121999999999</v>
      </c>
      <c r="AA835" s="3">
        <v>1.8748533999999999</v>
      </c>
      <c r="AB835" s="3">
        <v>1.8496942999999999</v>
      </c>
      <c r="AC835" s="3">
        <v>1.8235429000000001</v>
      </c>
      <c r="AD835" s="3">
        <v>1.7967360000000001</v>
      </c>
      <c r="AE835" s="3">
        <v>1.7694367</v>
      </c>
      <c r="AF835" s="3">
        <v>1.7418079</v>
      </c>
      <c r="AG835" s="3">
        <v>1.7140124999999999</v>
      </c>
      <c r="AH835" s="3">
        <v>1.6862136999999999</v>
      </c>
      <c r="AI835" s="3">
        <v>1.6585744</v>
      </c>
      <c r="AJ835" s="3">
        <v>1.6312576000000001</v>
      </c>
      <c r="AK835" s="3">
        <v>1.6044262</v>
      </c>
      <c r="AL835" s="3">
        <v>1.5782433</v>
      </c>
      <c r="AM835" s="3">
        <v>1.5528717999999999</v>
      </c>
      <c r="AN835" s="3">
        <v>1.5284747000000001</v>
      </c>
      <c r="AO835" s="3">
        <v>1.5051832999999999</v>
      </c>
      <c r="AP835" s="3">
        <v>1.4829882999999999</v>
      </c>
      <c r="AQ835" s="3">
        <v>1.4618420000000001</v>
      </c>
      <c r="AR835" s="3">
        <v>1.4416964999999999</v>
      </c>
      <c r="AS835" s="3">
        <v>1.4225038000000001</v>
      </c>
      <c r="AT835" s="3">
        <v>1.4042163000000001</v>
      </c>
      <c r="AU835" s="3">
        <v>1.3867859</v>
      </c>
      <c r="AV835" s="3">
        <v>1.3701649</v>
      </c>
      <c r="AW835" s="3">
        <v>1.3543054000000001</v>
      </c>
      <c r="AX835" s="3">
        <v>1.3391595000000001</v>
      </c>
      <c r="AY835" s="3">
        <v>1.3246792999999999</v>
      </c>
      <c r="AZ835" s="3">
        <v>1.3108171</v>
      </c>
      <c r="BA835" s="3">
        <v>1.2975303</v>
      </c>
      <c r="BB835" s="3">
        <v>1.2847991999999999</v>
      </c>
      <c r="BC835" s="3">
        <v>1.2726109999999999</v>
      </c>
      <c r="BD835" s="3">
        <v>1.2609524999999999</v>
      </c>
      <c r="BE835" s="3">
        <v>1.2498108000000001</v>
      </c>
      <c r="BF835" s="3">
        <v>1.2391726000000001</v>
      </c>
      <c r="BG835" s="3">
        <v>1.229025</v>
      </c>
      <c r="BH835" s="3">
        <v>1.2193548999999999</v>
      </c>
      <c r="BI835" s="3">
        <v>1.2101493000000001</v>
      </c>
      <c r="BJ835" s="3">
        <v>1.201395</v>
      </c>
      <c r="BK835" s="3">
        <v>1.1930791000000001</v>
      </c>
      <c r="BL835" s="3">
        <v>1.1851885</v>
      </c>
      <c r="BM835" s="3">
        <v>1.1462652</v>
      </c>
      <c r="BN835" s="3">
        <v>1.1207009999999999</v>
      </c>
    </row>
    <row r="836" spans="1:66" x14ac:dyDescent="0.35">
      <c r="A836" s="5">
        <f t="shared" si="12"/>
        <v>44624</v>
      </c>
      <c r="B836" t="s">
        <v>2164</v>
      </c>
      <c r="C836" s="2">
        <v>0.5</v>
      </c>
      <c r="D836" s="2">
        <v>0.44500000000000001</v>
      </c>
      <c r="E836" s="3">
        <v>0.73632399999999998</v>
      </c>
      <c r="F836" s="3">
        <v>0.91151219999999999</v>
      </c>
      <c r="G836" s="3">
        <v>1.1191167</v>
      </c>
      <c r="H836" s="3">
        <v>1.3020845000000001</v>
      </c>
      <c r="I836" s="3">
        <v>1.4420634000000001</v>
      </c>
      <c r="J836" s="3">
        <v>1.5436103999999999</v>
      </c>
      <c r="K836" s="3">
        <v>1.6173156</v>
      </c>
      <c r="L836" s="3">
        <v>1.6745846</v>
      </c>
      <c r="M836" s="3">
        <v>1.7237563</v>
      </c>
      <c r="N836" s="3">
        <v>1.7686621</v>
      </c>
      <c r="O836" s="3">
        <v>1.8101191999999999</v>
      </c>
      <c r="P836" s="3">
        <v>1.8475524000000001</v>
      </c>
      <c r="Q836" s="3">
        <v>1.8793023</v>
      </c>
      <c r="R836" s="3">
        <v>1.9048082</v>
      </c>
      <c r="S836" s="3">
        <v>1.9239854000000001</v>
      </c>
      <c r="T836" s="3">
        <v>1.9367494000000001</v>
      </c>
      <c r="U836" s="3">
        <v>1.9430155</v>
      </c>
      <c r="V836" s="3">
        <v>1.9426992999999999</v>
      </c>
      <c r="W836" s="3">
        <v>1.9358668000000001</v>
      </c>
      <c r="X836" s="3">
        <v>1.9232837</v>
      </c>
      <c r="Y836" s="3">
        <v>1.905918</v>
      </c>
      <c r="Z836" s="3">
        <v>1.8847379</v>
      </c>
      <c r="AA836" s="3">
        <v>1.8607117</v>
      </c>
      <c r="AB836" s="3">
        <v>1.8348074000000001</v>
      </c>
      <c r="AC836" s="3">
        <v>1.8078715000000001</v>
      </c>
      <c r="AD836" s="3">
        <v>1.7802119999999999</v>
      </c>
      <c r="AE836" s="3">
        <v>1.7519886</v>
      </c>
      <c r="AF836" s="3">
        <v>1.7233612</v>
      </c>
      <c r="AG836" s="3">
        <v>1.6944893000000001</v>
      </c>
      <c r="AH836" s="3">
        <v>1.6655327</v>
      </c>
      <c r="AI836" s="3">
        <v>1.6366512</v>
      </c>
      <c r="AJ836" s="3">
        <v>1.6080044</v>
      </c>
      <c r="AK836" s="3">
        <v>1.579752</v>
      </c>
      <c r="AL836" s="3">
        <v>1.5520537999999999</v>
      </c>
      <c r="AM836" s="3">
        <v>1.5250694</v>
      </c>
      <c r="AN836" s="3">
        <v>1.4989585999999999</v>
      </c>
      <c r="AO836" s="3">
        <v>1.4738521</v>
      </c>
      <c r="AP836" s="3">
        <v>1.4497523000000001</v>
      </c>
      <c r="AQ836" s="3">
        <v>1.4266262999999999</v>
      </c>
      <c r="AR836" s="3">
        <v>1.4044411999999999</v>
      </c>
      <c r="AS836" s="3">
        <v>1.3831642</v>
      </c>
      <c r="AT836" s="3">
        <v>1.3627621999999999</v>
      </c>
      <c r="AU836" s="3">
        <v>1.3432025999999999</v>
      </c>
      <c r="AV836" s="3">
        <v>1.3244522000000001</v>
      </c>
      <c r="AW836" s="3">
        <v>1.3064783</v>
      </c>
      <c r="AX836" s="3">
        <v>1.2892478999999999</v>
      </c>
      <c r="AY836" s="3">
        <v>1.2727280999999999</v>
      </c>
      <c r="AZ836" s="3">
        <v>1.2568861</v>
      </c>
      <c r="BA836" s="3">
        <v>1.2416921999999999</v>
      </c>
      <c r="BB836" s="3">
        <v>1.2271311</v>
      </c>
      <c r="BC836" s="3">
        <v>1.2131915</v>
      </c>
      <c r="BD836" s="3">
        <v>1.199862</v>
      </c>
      <c r="BE836" s="3">
        <v>1.1871315</v>
      </c>
      <c r="BF836" s="3">
        <v>1.1749885</v>
      </c>
      <c r="BG836" s="3">
        <v>1.1634218000000001</v>
      </c>
      <c r="BH836" s="3">
        <v>1.1524201000000001</v>
      </c>
      <c r="BI836" s="3">
        <v>1.141972</v>
      </c>
      <c r="BJ836" s="3">
        <v>1.1320661999999999</v>
      </c>
      <c r="BK836" s="3">
        <v>1.1226913999999999</v>
      </c>
      <c r="BL836" s="3">
        <v>1.1138363</v>
      </c>
      <c r="BM836" s="3">
        <v>1.0710192000000001</v>
      </c>
      <c r="BN836" s="3">
        <v>1.0442616</v>
      </c>
    </row>
    <row r="837" spans="1:66" x14ac:dyDescent="0.35">
      <c r="A837" s="5">
        <f t="shared" si="12"/>
        <v>44627</v>
      </c>
      <c r="B837" t="s">
        <v>2165</v>
      </c>
      <c r="C837" s="2">
        <v>0.5</v>
      </c>
      <c r="D837" s="2">
        <v>0.44479999999999997</v>
      </c>
      <c r="E837" s="3">
        <v>0.76084320000000005</v>
      </c>
      <c r="F837" s="3">
        <v>0.96482500000000004</v>
      </c>
      <c r="G837" s="3">
        <v>1.1902877999999999</v>
      </c>
      <c r="H837" s="3">
        <v>1.3857877000000001</v>
      </c>
      <c r="I837" s="3">
        <v>1.5334365000000001</v>
      </c>
      <c r="J837" s="3">
        <v>1.6390895000000001</v>
      </c>
      <c r="K837" s="3">
        <v>1.7150353</v>
      </c>
      <c r="L837" s="3">
        <v>1.774381</v>
      </c>
      <c r="M837" s="3">
        <v>1.8261826000000001</v>
      </c>
      <c r="N837" s="3">
        <v>1.8746981</v>
      </c>
      <c r="O837" s="3">
        <v>1.9207455</v>
      </c>
      <c r="P837" s="3">
        <v>1.9633099000000001</v>
      </c>
      <c r="Q837" s="3">
        <v>1.9999026</v>
      </c>
      <c r="R837" s="3">
        <v>2.0297950999999999</v>
      </c>
      <c r="S837" s="3">
        <v>2.0528374</v>
      </c>
      <c r="T837" s="3">
        <v>2.0688797999999999</v>
      </c>
      <c r="U837" s="3">
        <v>2.0777722000000001</v>
      </c>
      <c r="V837" s="3">
        <v>2.0793647000000002</v>
      </c>
      <c r="W837" s="3">
        <v>2.0736764999999999</v>
      </c>
      <c r="X837" s="3">
        <v>2.0615101</v>
      </c>
      <c r="Y837" s="3">
        <v>2.0438950999999999</v>
      </c>
      <c r="Z837" s="3">
        <v>2.0218609999999999</v>
      </c>
      <c r="AA837" s="3">
        <v>1.9964375999999999</v>
      </c>
      <c r="AB837" s="3">
        <v>1.9686543999999999</v>
      </c>
      <c r="AC837" s="3">
        <v>1.9394172000000001</v>
      </c>
      <c r="AD837" s="3">
        <v>1.9090849000000001</v>
      </c>
      <c r="AE837" s="3">
        <v>1.8778657000000001</v>
      </c>
      <c r="AF837" s="3">
        <v>1.8459675</v>
      </c>
      <c r="AG837" s="3">
        <v>1.8135984000000001</v>
      </c>
      <c r="AH837" s="3">
        <v>1.7809666</v>
      </c>
      <c r="AI837" s="3">
        <v>1.7482800000000001</v>
      </c>
      <c r="AJ837" s="3">
        <v>1.7157468</v>
      </c>
      <c r="AK837" s="3">
        <v>1.683575</v>
      </c>
      <c r="AL837" s="3">
        <v>1.6519727</v>
      </c>
      <c r="AM837" s="3">
        <v>1.621148</v>
      </c>
      <c r="AN837" s="3">
        <v>1.5913089</v>
      </c>
      <c r="AO837" s="3">
        <v>1.5626264999999999</v>
      </c>
      <c r="AP837" s="3">
        <v>1.5351083000000001</v>
      </c>
      <c r="AQ837" s="3">
        <v>1.5087169</v>
      </c>
      <c r="AR837" s="3">
        <v>1.4834147</v>
      </c>
      <c r="AS837" s="3">
        <v>1.4591642</v>
      </c>
      <c r="AT837" s="3">
        <v>1.4359278</v>
      </c>
      <c r="AU837" s="3">
        <v>1.4136682</v>
      </c>
      <c r="AV837" s="3">
        <v>1.3923477</v>
      </c>
      <c r="AW837" s="3">
        <v>1.3719288000000001</v>
      </c>
      <c r="AX837" s="3">
        <v>1.352374</v>
      </c>
      <c r="AY837" s="3">
        <v>1.3336458</v>
      </c>
      <c r="AZ837" s="3">
        <v>1.3157067</v>
      </c>
      <c r="BA837" s="3">
        <v>1.2985211999999999</v>
      </c>
      <c r="BB837" s="3">
        <v>1.2820649</v>
      </c>
      <c r="BC837" s="3">
        <v>1.2663172</v>
      </c>
      <c r="BD837" s="3">
        <v>1.2512573</v>
      </c>
      <c r="BE837" s="3">
        <v>1.2368645</v>
      </c>
      <c r="BF837" s="3">
        <v>1.2231182</v>
      </c>
      <c r="BG837" s="3">
        <v>1.2099977</v>
      </c>
      <c r="BH837" s="3">
        <v>1.1974823000000001</v>
      </c>
      <c r="BI837" s="3">
        <v>1.1855513</v>
      </c>
      <c r="BJ837" s="3">
        <v>1.1741839999999999</v>
      </c>
      <c r="BK837" s="3">
        <v>1.1633598000000001</v>
      </c>
      <c r="BL837" s="3">
        <v>1.1530579999999999</v>
      </c>
      <c r="BM837" s="3">
        <v>1.1014132000000001</v>
      </c>
      <c r="BN837" s="3">
        <v>1.0655391000000001</v>
      </c>
    </row>
    <row r="838" spans="1:66" x14ac:dyDescent="0.35">
      <c r="A838" s="5">
        <f t="shared" si="12"/>
        <v>44628</v>
      </c>
      <c r="B838" t="s">
        <v>2166</v>
      </c>
      <c r="C838" s="2">
        <v>0.5</v>
      </c>
      <c r="D838" s="2">
        <v>0.44440000000000002</v>
      </c>
      <c r="E838" s="3">
        <v>0.76396719999999996</v>
      </c>
      <c r="F838" s="3">
        <v>0.98240870000000002</v>
      </c>
      <c r="G838" s="3">
        <v>1.224146</v>
      </c>
      <c r="H838" s="3">
        <v>1.4355764</v>
      </c>
      <c r="I838" s="3">
        <v>1.597094</v>
      </c>
      <c r="J838" s="3">
        <v>1.7143946999999999</v>
      </c>
      <c r="K838" s="3">
        <v>1.7999167</v>
      </c>
      <c r="L838" s="3">
        <v>1.8673346</v>
      </c>
      <c r="M838" s="3">
        <v>1.9261010000000001</v>
      </c>
      <c r="N838" s="3">
        <v>1.9807900000000001</v>
      </c>
      <c r="O838" s="3">
        <v>2.0322887000000001</v>
      </c>
      <c r="P838" s="3">
        <v>2.0793691000000001</v>
      </c>
      <c r="Q838" s="3">
        <v>2.1192468999999998</v>
      </c>
      <c r="R838" s="3">
        <v>2.1511982000000001</v>
      </c>
      <c r="S838" s="3">
        <v>2.1751638</v>
      </c>
      <c r="T838" s="3">
        <v>2.1910845999999999</v>
      </c>
      <c r="U838" s="3">
        <v>2.1989013000000002</v>
      </c>
      <c r="V838" s="3">
        <v>2.1985549</v>
      </c>
      <c r="W838" s="3">
        <v>2.1901766999999999</v>
      </c>
      <c r="X838" s="3">
        <v>2.1747830000000001</v>
      </c>
      <c r="Y838" s="3">
        <v>2.1536458999999999</v>
      </c>
      <c r="Z838" s="3">
        <v>2.1280378999999998</v>
      </c>
      <c r="AA838" s="3">
        <v>2.0992313999999999</v>
      </c>
      <c r="AB838" s="3">
        <v>2.0684988</v>
      </c>
      <c r="AC838" s="3">
        <v>2.0369449999999998</v>
      </c>
      <c r="AD838" s="3">
        <v>2.0049353999999999</v>
      </c>
      <c r="AE838" s="3">
        <v>1.9726315000000001</v>
      </c>
      <c r="AF838" s="3">
        <v>1.9401948</v>
      </c>
      <c r="AG838" s="3">
        <v>1.9077866999999999</v>
      </c>
      <c r="AH838" s="3">
        <v>1.8755686</v>
      </c>
      <c r="AI838" s="3">
        <v>1.8437021</v>
      </c>
      <c r="AJ838" s="3">
        <v>1.8123486</v>
      </c>
      <c r="AK838" s="3">
        <v>1.7816695</v>
      </c>
      <c r="AL838" s="3">
        <v>1.7518263999999999</v>
      </c>
      <c r="AM838" s="3">
        <v>1.7229805</v>
      </c>
      <c r="AN838" s="3">
        <v>1.6952935</v>
      </c>
      <c r="AO838" s="3">
        <v>1.6688989999999999</v>
      </c>
      <c r="AP838" s="3">
        <v>1.6437816999999999</v>
      </c>
      <c r="AQ838" s="3">
        <v>1.6198759</v>
      </c>
      <c r="AR838" s="3">
        <v>1.5971162000000001</v>
      </c>
      <c r="AS838" s="3">
        <v>1.575437</v>
      </c>
      <c r="AT838" s="3">
        <v>1.5547728999999999</v>
      </c>
      <c r="AU838" s="3">
        <v>1.5350581999999999</v>
      </c>
      <c r="AV838" s="3">
        <v>1.5162275000000001</v>
      </c>
      <c r="AW838" s="3">
        <v>1.4982153</v>
      </c>
      <c r="AX838" s="3">
        <v>1.4809559000000001</v>
      </c>
      <c r="AY838" s="3">
        <v>1.4643839000000001</v>
      </c>
      <c r="AZ838" s="3">
        <v>1.4484338000000001</v>
      </c>
      <c r="BA838" s="3">
        <v>1.4330472999999999</v>
      </c>
      <c r="BB838" s="3">
        <v>1.418202</v>
      </c>
      <c r="BC838" s="3">
        <v>1.4038862000000001</v>
      </c>
      <c r="BD838" s="3">
        <v>1.3900884</v>
      </c>
      <c r="BE838" s="3">
        <v>1.376797</v>
      </c>
      <c r="BF838" s="3">
        <v>1.3640003000000001</v>
      </c>
      <c r="BG838" s="3">
        <v>1.3516866999999999</v>
      </c>
      <c r="BH838" s="3">
        <v>1.3398447</v>
      </c>
      <c r="BI838" s="3">
        <v>1.3284625999999999</v>
      </c>
      <c r="BJ838" s="3">
        <v>1.3175288000000001</v>
      </c>
      <c r="BK838" s="3">
        <v>1.3070318000000001</v>
      </c>
      <c r="BL838" s="3">
        <v>1.2969599000000001</v>
      </c>
      <c r="BM838" s="3">
        <v>1.2450619000000001</v>
      </c>
      <c r="BN838" s="3">
        <v>1.2070965</v>
      </c>
    </row>
    <row r="839" spans="1:66" x14ac:dyDescent="0.35">
      <c r="A839" s="5">
        <f t="shared" si="12"/>
        <v>44629</v>
      </c>
      <c r="B839" t="s">
        <v>2167</v>
      </c>
      <c r="C839" s="2">
        <v>0.5</v>
      </c>
      <c r="D839" s="2">
        <v>0.44440000000000002</v>
      </c>
      <c r="E839" s="3">
        <v>0.75570190000000004</v>
      </c>
      <c r="F839" s="3">
        <v>0.97064810000000001</v>
      </c>
      <c r="G839" s="3">
        <v>1.2095553000000001</v>
      </c>
      <c r="H839" s="3">
        <v>1.4250305999999999</v>
      </c>
      <c r="I839" s="3">
        <v>1.5966496999999999</v>
      </c>
      <c r="J839" s="3">
        <v>1.728251</v>
      </c>
      <c r="K839" s="3">
        <v>1.8288724000000001</v>
      </c>
      <c r="L839" s="3">
        <v>1.9095918999999999</v>
      </c>
      <c r="M839" s="3">
        <v>1.9787409</v>
      </c>
      <c r="N839" s="3">
        <v>2.0406572999999999</v>
      </c>
      <c r="O839" s="3">
        <v>2.0965907000000001</v>
      </c>
      <c r="P839" s="3">
        <v>2.1460984000000001</v>
      </c>
      <c r="Q839" s="3">
        <v>2.187627</v>
      </c>
      <c r="R839" s="3">
        <v>2.2208250999999999</v>
      </c>
      <c r="S839" s="3">
        <v>2.2457411999999999</v>
      </c>
      <c r="T839" s="3">
        <v>2.2624238999999999</v>
      </c>
      <c r="U839" s="3">
        <v>2.2709218999999998</v>
      </c>
      <c r="V839" s="3">
        <v>2.2712835999999998</v>
      </c>
      <c r="W839" s="3">
        <v>2.2636980000000002</v>
      </c>
      <c r="X839" s="3">
        <v>2.2491479000000001</v>
      </c>
      <c r="Y839" s="3">
        <v>2.2288960000000002</v>
      </c>
      <c r="Z839" s="3">
        <v>2.2042047999999999</v>
      </c>
      <c r="AA839" s="3">
        <v>2.1763371</v>
      </c>
      <c r="AB839" s="3">
        <v>2.1465554999999998</v>
      </c>
      <c r="AC839" s="3">
        <v>2.1159862</v>
      </c>
      <c r="AD839" s="3">
        <v>2.0850197000000001</v>
      </c>
      <c r="AE839" s="3">
        <v>2.0537996000000001</v>
      </c>
      <c r="AF839" s="3">
        <v>2.0224696999999998</v>
      </c>
      <c r="AG839" s="3">
        <v>1.9911737</v>
      </c>
      <c r="AH839" s="3">
        <v>1.9600552</v>
      </c>
      <c r="AI839" s="3">
        <v>1.9292578</v>
      </c>
      <c r="AJ839" s="3">
        <v>1.8989251</v>
      </c>
      <c r="AK839" s="3">
        <v>1.8692009000000001</v>
      </c>
      <c r="AL839" s="3">
        <v>1.8402288</v>
      </c>
      <c r="AM839" s="3">
        <v>1.8121524</v>
      </c>
      <c r="AN839" s="3">
        <v>1.7851154</v>
      </c>
      <c r="AO839" s="3">
        <v>1.7592333</v>
      </c>
      <c r="AP839" s="3">
        <v>1.7344846</v>
      </c>
      <c r="AQ839" s="3">
        <v>1.7108061999999999</v>
      </c>
      <c r="AR839" s="3">
        <v>1.6881348</v>
      </c>
      <c r="AS839" s="3">
        <v>1.6664072999999999</v>
      </c>
      <c r="AT839" s="3">
        <v>1.6455603999999999</v>
      </c>
      <c r="AU839" s="3">
        <v>1.6255310000000001</v>
      </c>
      <c r="AV839" s="3">
        <v>1.6062559000000001</v>
      </c>
      <c r="AW839" s="3">
        <v>1.5876718999999999</v>
      </c>
      <c r="AX839" s="3">
        <v>1.5697156999999999</v>
      </c>
      <c r="AY839" s="3">
        <v>1.5523241999999999</v>
      </c>
      <c r="AZ839" s="3">
        <v>1.5354342000000001</v>
      </c>
      <c r="BA839" s="3">
        <v>1.5189919000000001</v>
      </c>
      <c r="BB839" s="3">
        <v>1.5029851999999999</v>
      </c>
      <c r="BC839" s="3">
        <v>1.4874132</v>
      </c>
      <c r="BD839" s="3">
        <v>1.4722751999999999</v>
      </c>
      <c r="BE839" s="3">
        <v>1.4575704</v>
      </c>
      <c r="BF839" s="3">
        <v>1.4432982000000001</v>
      </c>
      <c r="BG839" s="3">
        <v>1.4294578</v>
      </c>
      <c r="BH839" s="3">
        <v>1.4160484</v>
      </c>
      <c r="BI839" s="3">
        <v>1.4030693000000001</v>
      </c>
      <c r="BJ839" s="3">
        <v>1.3905198000000001</v>
      </c>
      <c r="BK839" s="3">
        <v>1.3783989999999999</v>
      </c>
      <c r="BL839" s="3">
        <v>1.3667062999999999</v>
      </c>
      <c r="BM839" s="3">
        <v>1.3055737000000001</v>
      </c>
      <c r="BN839" s="3">
        <v>1.2601245999999999</v>
      </c>
    </row>
    <row r="840" spans="1:66" x14ac:dyDescent="0.35">
      <c r="A840" s="5">
        <f t="shared" si="12"/>
        <v>44630</v>
      </c>
      <c r="B840" t="s">
        <v>2168</v>
      </c>
      <c r="C840" s="2">
        <v>0.5</v>
      </c>
      <c r="D840" s="2">
        <v>0.4451</v>
      </c>
      <c r="E840" s="3">
        <v>0.75746219999999997</v>
      </c>
      <c r="F840" s="3">
        <v>0.97125669999999997</v>
      </c>
      <c r="G840" s="3">
        <v>1.2053693000000001</v>
      </c>
      <c r="H840" s="3">
        <v>1.4151263000000001</v>
      </c>
      <c r="I840" s="3">
        <v>1.582252</v>
      </c>
      <c r="J840" s="3">
        <v>1.7105755</v>
      </c>
      <c r="K840" s="3">
        <v>1.8099369999999999</v>
      </c>
      <c r="L840" s="3">
        <v>1.8899995999999999</v>
      </c>
      <c r="M840" s="3">
        <v>1.9587996999999999</v>
      </c>
      <c r="N840" s="3">
        <v>2.0202933000000001</v>
      </c>
      <c r="O840" s="3">
        <v>2.0758836000000001</v>
      </c>
      <c r="P840" s="3">
        <v>2.1251514999999999</v>
      </c>
      <c r="Q840" s="3">
        <v>2.1664957999999999</v>
      </c>
      <c r="R840" s="3">
        <v>2.1995401000000001</v>
      </c>
      <c r="S840" s="3">
        <v>2.2243118000000002</v>
      </c>
      <c r="T840" s="3">
        <v>2.2408383999999999</v>
      </c>
      <c r="U840" s="3">
        <v>2.2491474</v>
      </c>
      <c r="V840" s="3">
        <v>2.2492662999999999</v>
      </c>
      <c r="W840" s="3">
        <v>2.2413881999999998</v>
      </c>
      <c r="X840" s="3">
        <v>2.226556</v>
      </c>
      <c r="Y840" s="3">
        <v>2.2060837000000002</v>
      </c>
      <c r="Z840" s="3">
        <v>2.1812854000000002</v>
      </c>
      <c r="AA840" s="3">
        <v>2.1534751000000001</v>
      </c>
      <c r="AB840" s="3">
        <v>2.1239672000000001</v>
      </c>
      <c r="AC840" s="3">
        <v>2.0939144000000001</v>
      </c>
      <c r="AD840" s="3">
        <v>2.0636834999999998</v>
      </c>
      <c r="AE840" s="3">
        <v>2.0334021999999998</v>
      </c>
      <c r="AF840" s="3">
        <v>2.0031981000000001</v>
      </c>
      <c r="AG840" s="3">
        <v>1.9731985999999999</v>
      </c>
      <c r="AH840" s="3">
        <v>1.9435313999999999</v>
      </c>
      <c r="AI840" s="3">
        <v>1.9143239999999999</v>
      </c>
      <c r="AJ840" s="3">
        <v>1.885704</v>
      </c>
      <c r="AK840" s="3">
        <v>1.8577991</v>
      </c>
      <c r="AL840" s="3">
        <v>1.8307366</v>
      </c>
      <c r="AM840" s="3">
        <v>1.8046442</v>
      </c>
      <c r="AN840" s="3">
        <v>1.7796495999999999</v>
      </c>
      <c r="AO840" s="3">
        <v>1.7558506</v>
      </c>
      <c r="AP840" s="3">
        <v>1.7332147</v>
      </c>
      <c r="AQ840" s="3">
        <v>1.7116735000000001</v>
      </c>
      <c r="AR840" s="3">
        <v>1.6911582999999999</v>
      </c>
      <c r="AS840" s="3">
        <v>1.6716008</v>
      </c>
      <c r="AT840" s="3">
        <v>1.6529322</v>
      </c>
      <c r="AU840" s="3">
        <v>1.6350841</v>
      </c>
      <c r="AV840" s="3">
        <v>1.617988</v>
      </c>
      <c r="AW840" s="3">
        <v>1.6015752999999999</v>
      </c>
      <c r="AX840" s="3">
        <v>1.5857775999999999</v>
      </c>
      <c r="AY840" s="3">
        <v>1.5705260999999999</v>
      </c>
      <c r="AZ840" s="3">
        <v>1.5557525000000001</v>
      </c>
      <c r="BA840" s="3">
        <v>1.5413984000000001</v>
      </c>
      <c r="BB840" s="3">
        <v>1.5274506999999999</v>
      </c>
      <c r="BC840" s="3">
        <v>1.5139088999999999</v>
      </c>
      <c r="BD840" s="3">
        <v>1.5007721000000001</v>
      </c>
      <c r="BE840" s="3">
        <v>1.4880399</v>
      </c>
      <c r="BF840" s="3">
        <v>1.4757115999999999</v>
      </c>
      <c r="BG840" s="3">
        <v>1.4637865000000001</v>
      </c>
      <c r="BH840" s="3">
        <v>1.452264</v>
      </c>
      <c r="BI840" s="3">
        <v>1.4411434999999999</v>
      </c>
      <c r="BJ840" s="3">
        <v>1.4304243000000001</v>
      </c>
      <c r="BK840" s="3">
        <v>1.4201058</v>
      </c>
      <c r="BL840" s="3">
        <v>1.4101874000000001</v>
      </c>
      <c r="BM840" s="3">
        <v>1.3589762000000001</v>
      </c>
      <c r="BN840" s="3">
        <v>1.3216055</v>
      </c>
    </row>
    <row r="841" spans="1:66" x14ac:dyDescent="0.35">
      <c r="A841" s="5">
        <f t="shared" si="12"/>
        <v>44631</v>
      </c>
      <c r="B841" t="s">
        <v>2169</v>
      </c>
      <c r="C841" s="2">
        <v>0.5</v>
      </c>
      <c r="D841" s="2">
        <v>0.44490000000000002</v>
      </c>
      <c r="E841" s="3">
        <v>0.76076690000000002</v>
      </c>
      <c r="F841" s="3">
        <v>0.98199040000000004</v>
      </c>
      <c r="G841" s="3">
        <v>1.2225735</v>
      </c>
      <c r="H841" s="3">
        <v>1.4381016</v>
      </c>
      <c r="I841" s="3">
        <v>1.6089812999999999</v>
      </c>
      <c r="J841" s="3">
        <v>1.7390916000000001</v>
      </c>
      <c r="K841" s="3">
        <v>1.8392485999999999</v>
      </c>
      <c r="L841" s="3">
        <v>1.9208303</v>
      </c>
      <c r="M841" s="3">
        <v>1.9923553000000001</v>
      </c>
      <c r="N841" s="3">
        <v>2.0577215999999998</v>
      </c>
      <c r="O841" s="3">
        <v>2.1175166000000001</v>
      </c>
      <c r="P841" s="3">
        <v>2.1706921000000001</v>
      </c>
      <c r="Q841" s="3">
        <v>2.2142076999999998</v>
      </c>
      <c r="R841" s="3">
        <v>2.2474268999999998</v>
      </c>
      <c r="S841" s="3">
        <v>2.2707354999999998</v>
      </c>
      <c r="T841" s="3">
        <v>2.2845195999999999</v>
      </c>
      <c r="U841" s="3">
        <v>2.2891653999999999</v>
      </c>
      <c r="V841" s="3">
        <v>2.2850587999999998</v>
      </c>
      <c r="W841" s="3">
        <v>2.2727312</v>
      </c>
      <c r="X841" s="3">
        <v>2.2533862</v>
      </c>
      <c r="Y841" s="3">
        <v>2.2284226</v>
      </c>
      <c r="Z841" s="3">
        <v>2.1992392000000001</v>
      </c>
      <c r="AA841" s="3">
        <v>2.1672346999999998</v>
      </c>
      <c r="AB841" s="3">
        <v>2.1338078</v>
      </c>
      <c r="AC841" s="3">
        <v>2.1001617000000001</v>
      </c>
      <c r="AD841" s="3">
        <v>2.0666351000000001</v>
      </c>
      <c r="AE841" s="3">
        <v>2.0333287000000002</v>
      </c>
      <c r="AF841" s="3">
        <v>2.0003427</v>
      </c>
      <c r="AG841" s="3">
        <v>1.9677777999999999</v>
      </c>
      <c r="AH841" s="3">
        <v>1.9357343</v>
      </c>
      <c r="AI841" s="3">
        <v>1.9043129000000001</v>
      </c>
      <c r="AJ841" s="3">
        <v>1.8736138</v>
      </c>
      <c r="AK841" s="3">
        <v>1.8437376999999999</v>
      </c>
      <c r="AL841" s="3">
        <v>1.8147850000000001</v>
      </c>
      <c r="AM841" s="3">
        <v>1.7868561999999999</v>
      </c>
      <c r="AN841" s="3">
        <v>1.7600517</v>
      </c>
      <c r="AO841" s="3">
        <v>1.7344476</v>
      </c>
      <c r="AP841" s="3">
        <v>1.7100115</v>
      </c>
      <c r="AQ841" s="3">
        <v>1.6866814000000001</v>
      </c>
      <c r="AR841" s="3">
        <v>1.6643952</v>
      </c>
      <c r="AS841" s="3">
        <v>1.6430909</v>
      </c>
      <c r="AT841" s="3">
        <v>1.6227062000000001</v>
      </c>
      <c r="AU841" s="3">
        <v>1.6031791</v>
      </c>
      <c r="AV841" s="3">
        <v>1.5844476000000001</v>
      </c>
      <c r="AW841" s="3">
        <v>1.5664495000000001</v>
      </c>
      <c r="AX841" s="3">
        <v>1.5491227000000001</v>
      </c>
      <c r="AY841" s="3">
        <v>1.5324051999999999</v>
      </c>
      <c r="AZ841" s="3">
        <v>1.5162348999999999</v>
      </c>
      <c r="BA841" s="3">
        <v>1.5005586</v>
      </c>
      <c r="BB841" s="3">
        <v>1.4853635999999999</v>
      </c>
      <c r="BC841" s="3">
        <v>1.4706477</v>
      </c>
      <c r="BD841" s="3">
        <v>1.4564090999999999</v>
      </c>
      <c r="BE841" s="3">
        <v>1.4426458</v>
      </c>
      <c r="BF841" s="3">
        <v>1.4293560000000001</v>
      </c>
      <c r="BG841" s="3">
        <v>1.4165375</v>
      </c>
      <c r="BH841" s="3">
        <v>1.4041887</v>
      </c>
      <c r="BI841" s="3">
        <v>1.3923072999999999</v>
      </c>
      <c r="BJ841" s="3">
        <v>1.3808917000000001</v>
      </c>
      <c r="BK841" s="3">
        <v>1.3699397</v>
      </c>
      <c r="BL841" s="3">
        <v>1.3594495</v>
      </c>
      <c r="BM841" s="3">
        <v>1.3060075</v>
      </c>
      <c r="BN841" s="3">
        <v>1.2681575</v>
      </c>
    </row>
    <row r="842" spans="1:66" x14ac:dyDescent="0.35">
      <c r="A842" s="5">
        <f t="shared" si="12"/>
        <v>44634</v>
      </c>
      <c r="B842" t="s">
        <v>2170</v>
      </c>
      <c r="C842" s="2">
        <v>0.5</v>
      </c>
      <c r="D842" s="2">
        <v>0.44450000000000001</v>
      </c>
      <c r="E842" s="3">
        <v>0.78777399999999997</v>
      </c>
      <c r="F842" s="3">
        <v>1.0110030000000001</v>
      </c>
      <c r="G842" s="3">
        <v>1.2475499999999999</v>
      </c>
      <c r="H842" s="3">
        <v>1.4607044</v>
      </c>
      <c r="I842" s="3">
        <v>1.6328885</v>
      </c>
      <c r="J842" s="3">
        <v>1.7677693999999999</v>
      </c>
      <c r="K842" s="3">
        <v>1.8743810999999999</v>
      </c>
      <c r="L842" s="3">
        <v>1.9623660999999999</v>
      </c>
      <c r="M842" s="3">
        <v>2.0388552</v>
      </c>
      <c r="N842" s="3">
        <v>2.1075626999999999</v>
      </c>
      <c r="O842" s="3">
        <v>2.1693745999999998</v>
      </c>
      <c r="P842" s="3">
        <v>2.2236338</v>
      </c>
      <c r="Q842" s="3">
        <v>2.2683515999999999</v>
      </c>
      <c r="R842" s="3">
        <v>2.3032583999999998</v>
      </c>
      <c r="S842" s="3">
        <v>2.3286457999999999</v>
      </c>
      <c r="T842" s="3">
        <v>2.3448057000000002</v>
      </c>
      <c r="U842" s="3">
        <v>2.3520295</v>
      </c>
      <c r="V842" s="3">
        <v>2.3506089999999999</v>
      </c>
      <c r="W842" s="3">
        <v>2.3409859000000002</v>
      </c>
      <c r="X842" s="3">
        <v>2.3242988000000002</v>
      </c>
      <c r="Y842" s="3">
        <v>2.3018876000000001</v>
      </c>
      <c r="Z842" s="3">
        <v>2.2750925999999998</v>
      </c>
      <c r="AA842" s="3">
        <v>2.2452540000000001</v>
      </c>
      <c r="AB842" s="3">
        <v>2.2137120000000001</v>
      </c>
      <c r="AC842" s="3">
        <v>2.1816252999999999</v>
      </c>
      <c r="AD842" s="3">
        <v>2.1493517999999998</v>
      </c>
      <c r="AE842" s="3">
        <v>2.1170284000000001</v>
      </c>
      <c r="AF842" s="3">
        <v>2.0847918999999999</v>
      </c>
      <c r="AG842" s="3">
        <v>2.0527791999999998</v>
      </c>
      <c r="AH842" s="3">
        <v>2.0211269999999999</v>
      </c>
      <c r="AI842" s="3">
        <v>1.9899723</v>
      </c>
      <c r="AJ842" s="3">
        <v>1.959452</v>
      </c>
      <c r="AK842" s="3">
        <v>1.9297028000000001</v>
      </c>
      <c r="AL842" s="3">
        <v>1.9008617000000001</v>
      </c>
      <c r="AM842" s="3">
        <v>1.8730655</v>
      </c>
      <c r="AN842" s="3">
        <v>1.8464510000000001</v>
      </c>
      <c r="AO842" s="3">
        <v>1.8211246000000001</v>
      </c>
      <c r="AP842" s="3">
        <v>1.7970583</v>
      </c>
      <c r="AQ842" s="3">
        <v>1.7741865999999999</v>
      </c>
      <c r="AR842" s="3">
        <v>1.7524445</v>
      </c>
      <c r="AS842" s="3">
        <v>1.7317665</v>
      </c>
      <c r="AT842" s="3">
        <v>1.7120875</v>
      </c>
      <c r="AU842" s="3">
        <v>1.6933423000000001</v>
      </c>
      <c r="AV842" s="3">
        <v>1.6754654</v>
      </c>
      <c r="AW842" s="3">
        <v>1.6583918</v>
      </c>
      <c r="AX842" s="3">
        <v>1.6420561</v>
      </c>
      <c r="AY842" s="3">
        <v>1.6263931</v>
      </c>
      <c r="AZ842" s="3">
        <v>1.6113375000000001</v>
      </c>
      <c r="BA842" s="3">
        <v>1.5968309999999999</v>
      </c>
      <c r="BB842" s="3">
        <v>1.5828525</v>
      </c>
      <c r="BC842" s="3">
        <v>1.5693934</v>
      </c>
      <c r="BD842" s="3">
        <v>1.5564453</v>
      </c>
      <c r="BE842" s="3">
        <v>1.5439993999999999</v>
      </c>
      <c r="BF842" s="3">
        <v>1.5320473999999999</v>
      </c>
      <c r="BG842" s="3">
        <v>1.5205805999999999</v>
      </c>
      <c r="BH842" s="3">
        <v>1.5095904</v>
      </c>
      <c r="BI842" s="3">
        <v>1.4990683</v>
      </c>
      <c r="BJ842" s="3">
        <v>1.4890057999999999</v>
      </c>
      <c r="BK842" s="3">
        <v>1.4793943000000001</v>
      </c>
      <c r="BL842" s="3">
        <v>1.4702252</v>
      </c>
      <c r="BM842" s="3">
        <v>1.4240895</v>
      </c>
      <c r="BN842" s="3">
        <v>1.3921380999999999</v>
      </c>
    </row>
    <row r="843" spans="1:66" x14ac:dyDescent="0.35">
      <c r="A843" s="5">
        <f t="shared" si="12"/>
        <v>44635</v>
      </c>
      <c r="B843" t="s">
        <v>2171</v>
      </c>
      <c r="C843" s="2">
        <v>0.5</v>
      </c>
      <c r="D843" s="2">
        <v>0.44500000000000001</v>
      </c>
      <c r="E843" s="3">
        <v>0.79447610000000002</v>
      </c>
      <c r="F843" s="3">
        <v>1.0198834000000001</v>
      </c>
      <c r="G843" s="3">
        <v>1.2550596000000001</v>
      </c>
      <c r="H843" s="3">
        <v>1.4669270000000001</v>
      </c>
      <c r="I843" s="3">
        <v>1.6389020000000001</v>
      </c>
      <c r="J843" s="3">
        <v>1.7744896999999999</v>
      </c>
      <c r="K843" s="3">
        <v>1.8817168</v>
      </c>
      <c r="L843" s="3">
        <v>1.9694613999999999</v>
      </c>
      <c r="M843" s="3">
        <v>2.0444355000000001</v>
      </c>
      <c r="N843" s="3">
        <v>2.1105584999999998</v>
      </c>
      <c r="O843" s="3">
        <v>2.1692523000000001</v>
      </c>
      <c r="P843" s="3">
        <v>2.2202112999999999</v>
      </c>
      <c r="Q843" s="3">
        <v>2.2620062999999999</v>
      </c>
      <c r="R843" s="3">
        <v>2.2944762000000001</v>
      </c>
      <c r="S843" s="3">
        <v>2.3178728999999998</v>
      </c>
      <c r="T843" s="3">
        <v>2.3324484999999999</v>
      </c>
      <c r="U843" s="3">
        <v>2.3384550000000002</v>
      </c>
      <c r="V843" s="3">
        <v>2.3361443</v>
      </c>
      <c r="W843" s="3">
        <v>2.3259173999999998</v>
      </c>
      <c r="X843" s="3">
        <v>2.3088652999999999</v>
      </c>
      <c r="Y843" s="3">
        <v>2.2862790999999998</v>
      </c>
      <c r="Z843" s="3">
        <v>2.2594500000000002</v>
      </c>
      <c r="AA843" s="3">
        <v>2.2296692999999999</v>
      </c>
      <c r="AB843" s="3">
        <v>2.1982279</v>
      </c>
      <c r="AC843" s="3">
        <v>2.1662439</v>
      </c>
      <c r="AD843" s="3">
        <v>2.1340704000000001</v>
      </c>
      <c r="AE843" s="3">
        <v>2.1018496999999998</v>
      </c>
      <c r="AF843" s="3">
        <v>2.0697239000000001</v>
      </c>
      <c r="AG843" s="3">
        <v>2.0378352</v>
      </c>
      <c r="AH843" s="3">
        <v>2.0063257999999999</v>
      </c>
      <c r="AI843" s="3">
        <v>1.975338</v>
      </c>
      <c r="AJ843" s="3">
        <v>1.9450137000000001</v>
      </c>
      <c r="AK843" s="3">
        <v>1.9154954</v>
      </c>
      <c r="AL843" s="3">
        <v>1.8869251</v>
      </c>
      <c r="AM843" s="3">
        <v>1.859445</v>
      </c>
      <c r="AN843" s="3">
        <v>1.8331974</v>
      </c>
      <c r="AO843" s="3">
        <v>1.8082985</v>
      </c>
      <c r="AP843" s="3">
        <v>1.7847246999999999</v>
      </c>
      <c r="AQ843" s="3">
        <v>1.7624058</v>
      </c>
      <c r="AR843" s="3">
        <v>1.7412714</v>
      </c>
      <c r="AS843" s="3">
        <v>1.7212510999999999</v>
      </c>
      <c r="AT843" s="3">
        <v>1.7022746</v>
      </c>
      <c r="AU843" s="3">
        <v>1.6842714999999999</v>
      </c>
      <c r="AV843" s="3">
        <v>1.6671715</v>
      </c>
      <c r="AW843" s="3">
        <v>1.6509041</v>
      </c>
      <c r="AX843" s="3">
        <v>1.6353991000000001</v>
      </c>
      <c r="AY843" s="3">
        <v>1.6205860999999999</v>
      </c>
      <c r="AZ843" s="3">
        <v>1.6063946</v>
      </c>
      <c r="BA843" s="3">
        <v>1.5927623</v>
      </c>
      <c r="BB843" s="3">
        <v>1.5796652</v>
      </c>
      <c r="BC843" s="3">
        <v>1.5670911000000001</v>
      </c>
      <c r="BD843" s="3">
        <v>1.5550276999999999</v>
      </c>
      <c r="BE843" s="3">
        <v>1.5434629</v>
      </c>
      <c r="BF843" s="3">
        <v>1.5323845</v>
      </c>
      <c r="BG843" s="3">
        <v>1.5217802</v>
      </c>
      <c r="BH843" s="3">
        <v>1.5116377000000001</v>
      </c>
      <c r="BI843" s="3">
        <v>1.5019450000000001</v>
      </c>
      <c r="BJ843" s="3">
        <v>1.4926898</v>
      </c>
      <c r="BK843" s="3">
        <v>1.4838598000000001</v>
      </c>
      <c r="BL843" s="3">
        <v>1.4754427999999999</v>
      </c>
      <c r="BM843" s="3">
        <v>1.4331286999999999</v>
      </c>
      <c r="BN843" s="3">
        <v>1.403805</v>
      </c>
    </row>
    <row r="844" spans="1:66" x14ac:dyDescent="0.35">
      <c r="A844" s="5">
        <f t="shared" si="12"/>
        <v>44636</v>
      </c>
      <c r="B844" t="s">
        <v>2172</v>
      </c>
      <c r="C844" s="2">
        <v>0.5</v>
      </c>
      <c r="D844" s="2">
        <v>0.44500000000000001</v>
      </c>
      <c r="E844" s="3">
        <v>0.80234130000000004</v>
      </c>
      <c r="F844" s="3">
        <v>1.0372678</v>
      </c>
      <c r="G844" s="3">
        <v>1.2828724</v>
      </c>
      <c r="H844" s="3">
        <v>1.5076585</v>
      </c>
      <c r="I844" s="3">
        <v>1.6916137</v>
      </c>
      <c r="J844" s="3">
        <v>1.8357498000000001</v>
      </c>
      <c r="K844" s="3">
        <v>1.9467831</v>
      </c>
      <c r="L844" s="3">
        <v>2.0343597999999998</v>
      </c>
      <c r="M844" s="3">
        <v>2.1063086000000002</v>
      </c>
      <c r="N844" s="3">
        <v>2.1678554000000001</v>
      </c>
      <c r="O844" s="3">
        <v>2.2218190999999998</v>
      </c>
      <c r="P844" s="3">
        <v>2.2689658000000001</v>
      </c>
      <c r="Q844" s="3">
        <v>2.3075473</v>
      </c>
      <c r="R844" s="3">
        <v>2.3371781999999999</v>
      </c>
      <c r="S844" s="3">
        <v>2.3580326999999999</v>
      </c>
      <c r="T844" s="3">
        <v>2.370285</v>
      </c>
      <c r="U844" s="3">
        <v>2.3741094</v>
      </c>
      <c r="V844" s="3">
        <v>2.3696801999999999</v>
      </c>
      <c r="W844" s="3">
        <v>2.3573092999999998</v>
      </c>
      <c r="X844" s="3">
        <v>2.3380890000000001</v>
      </c>
      <c r="Y844" s="3">
        <v>2.3133859000000001</v>
      </c>
      <c r="Z844" s="3">
        <v>2.2845669000000002</v>
      </c>
      <c r="AA844" s="3">
        <v>2.2529989000000001</v>
      </c>
      <c r="AB844" s="3">
        <v>2.2200489999999999</v>
      </c>
      <c r="AC844" s="3">
        <v>2.1869296999999999</v>
      </c>
      <c r="AD844" s="3">
        <v>2.1540232000000001</v>
      </c>
      <c r="AE844" s="3">
        <v>2.1214333000000001</v>
      </c>
      <c r="AF844" s="3">
        <v>2.0892634000000001</v>
      </c>
      <c r="AG844" s="3">
        <v>2.0576170999999999</v>
      </c>
      <c r="AH844" s="3">
        <v>2.0265979000000001</v>
      </c>
      <c r="AI844" s="3">
        <v>1.9963093999999999</v>
      </c>
      <c r="AJ844" s="3">
        <v>1.9668551000000001</v>
      </c>
      <c r="AK844" s="3">
        <v>1.9383383999999999</v>
      </c>
      <c r="AL844" s="3">
        <v>1.910863</v>
      </c>
      <c r="AM844" s="3">
        <v>1.8845323</v>
      </c>
      <c r="AN844" s="3">
        <v>1.8594499</v>
      </c>
      <c r="AO844" s="3">
        <v>1.8356948</v>
      </c>
      <c r="AP844" s="3">
        <v>1.8132269000000001</v>
      </c>
      <c r="AQ844" s="3">
        <v>1.7919699</v>
      </c>
      <c r="AR844" s="3">
        <v>1.7718472999999999</v>
      </c>
      <c r="AS844" s="3">
        <v>1.7527828999999999</v>
      </c>
      <c r="AT844" s="3">
        <v>1.7347001</v>
      </c>
      <c r="AU844" s="3">
        <v>1.7175225999999999</v>
      </c>
      <c r="AV844" s="3">
        <v>1.7011741</v>
      </c>
      <c r="AW844" s="3">
        <v>1.6855781000000001</v>
      </c>
      <c r="AX844" s="3">
        <v>1.6706582000000001</v>
      </c>
      <c r="AY844" s="3">
        <v>1.6563380999999999</v>
      </c>
      <c r="AZ844" s="3">
        <v>1.6425414</v>
      </c>
      <c r="BA844" s="3">
        <v>1.6292024000000001</v>
      </c>
      <c r="BB844" s="3">
        <v>1.6163023000000001</v>
      </c>
      <c r="BC844" s="3">
        <v>1.6038357000000001</v>
      </c>
      <c r="BD844" s="3">
        <v>1.5917967</v>
      </c>
      <c r="BE844" s="3">
        <v>1.5801799000000001</v>
      </c>
      <c r="BF844" s="3">
        <v>1.5689795</v>
      </c>
      <c r="BG844" s="3">
        <v>1.5581898999999999</v>
      </c>
      <c r="BH844" s="3">
        <v>1.5478054999999999</v>
      </c>
      <c r="BI844" s="3">
        <v>1.5378205</v>
      </c>
      <c r="BJ844" s="3">
        <v>1.5282294000000001</v>
      </c>
      <c r="BK844" s="3">
        <v>1.5190265999999999</v>
      </c>
      <c r="BL844" s="3">
        <v>1.5102062999999999</v>
      </c>
      <c r="BM844" s="3">
        <v>1.4650730000000001</v>
      </c>
      <c r="BN844" s="3">
        <v>1.4327182999999999</v>
      </c>
    </row>
    <row r="845" spans="1:66" x14ac:dyDescent="0.35">
      <c r="A845" s="5">
        <f t="shared" si="12"/>
        <v>44637</v>
      </c>
      <c r="B845" t="s">
        <v>2173</v>
      </c>
      <c r="C845" s="2">
        <v>0.75</v>
      </c>
      <c r="D845" s="2">
        <v>0.68859999999999999</v>
      </c>
      <c r="E845" s="3">
        <v>0.73358659999999998</v>
      </c>
      <c r="F845" s="3">
        <v>0.93225210000000003</v>
      </c>
      <c r="G845" s="3">
        <v>1.1373692</v>
      </c>
      <c r="H845" s="3">
        <v>1.3278905999999999</v>
      </c>
      <c r="I845" s="3">
        <v>1.4912582000000001</v>
      </c>
      <c r="J845" s="3">
        <v>1.6266392999999999</v>
      </c>
      <c r="K845" s="3">
        <v>1.7373038000000001</v>
      </c>
      <c r="L845" s="3">
        <v>1.8272363</v>
      </c>
      <c r="M845" s="3">
        <v>1.9016644</v>
      </c>
      <c r="N845" s="3">
        <v>1.9642945999999999</v>
      </c>
      <c r="O845" s="3">
        <v>2.0177182</v>
      </c>
      <c r="P845" s="3">
        <v>2.0628967</v>
      </c>
      <c r="Q845" s="3">
        <v>2.1000334999999999</v>
      </c>
      <c r="R845" s="3">
        <v>2.1293475000000002</v>
      </c>
      <c r="S845" s="3">
        <v>2.1510886999999999</v>
      </c>
      <c r="T845" s="3">
        <v>2.1655074999999999</v>
      </c>
      <c r="U845" s="3">
        <v>2.1728538999999998</v>
      </c>
      <c r="V845" s="3">
        <v>2.173378</v>
      </c>
      <c r="W845" s="3">
        <v>2.1674313999999999</v>
      </c>
      <c r="X845" s="3">
        <v>2.1558853</v>
      </c>
      <c r="Y845" s="3">
        <v>2.1397767000000001</v>
      </c>
      <c r="Z845" s="3">
        <v>2.1201427000000002</v>
      </c>
      <c r="AA845" s="3">
        <v>2.0980205000000001</v>
      </c>
      <c r="AB845" s="3">
        <v>2.0744471999999998</v>
      </c>
      <c r="AC845" s="3">
        <v>2.0503342999999998</v>
      </c>
      <c r="AD845" s="3">
        <v>2.0259806</v>
      </c>
      <c r="AE845" s="3">
        <v>2.0014987</v>
      </c>
      <c r="AF845" s="3">
        <v>1.9770007999999999</v>
      </c>
      <c r="AG845" s="3">
        <v>1.9525994</v>
      </c>
      <c r="AH845" s="3">
        <v>1.928407</v>
      </c>
      <c r="AI845" s="3">
        <v>1.904536</v>
      </c>
      <c r="AJ845" s="3">
        <v>1.8810986999999999</v>
      </c>
      <c r="AK845" s="3">
        <v>1.8582076000000001</v>
      </c>
      <c r="AL845" s="3">
        <v>1.8359751</v>
      </c>
      <c r="AM845" s="3">
        <v>1.8145135999999999</v>
      </c>
      <c r="AN845" s="3">
        <v>1.7939354999999999</v>
      </c>
      <c r="AO845" s="3">
        <v>1.7743282</v>
      </c>
      <c r="AP845" s="3">
        <v>1.7556681000000001</v>
      </c>
      <c r="AQ845" s="3">
        <v>1.7379012</v>
      </c>
      <c r="AR845" s="3">
        <v>1.7209734000000001</v>
      </c>
      <c r="AS845" s="3">
        <v>1.7048306</v>
      </c>
      <c r="AT845" s="3">
        <v>1.6894188000000001</v>
      </c>
      <c r="AU845" s="3">
        <v>1.6746837999999999</v>
      </c>
      <c r="AV845" s="3">
        <v>1.6605715999999999</v>
      </c>
      <c r="AW845" s="3">
        <v>1.6470281</v>
      </c>
      <c r="AX845" s="3">
        <v>1.6339992000000001</v>
      </c>
      <c r="AY845" s="3">
        <v>1.6214307999999999</v>
      </c>
      <c r="AZ845" s="3">
        <v>1.6092690000000001</v>
      </c>
      <c r="BA845" s="3">
        <v>1.5974675</v>
      </c>
      <c r="BB845" s="3">
        <v>1.5860159</v>
      </c>
      <c r="BC845" s="3">
        <v>1.5749131999999999</v>
      </c>
      <c r="BD845" s="3">
        <v>1.5641586999999999</v>
      </c>
      <c r="BE845" s="3">
        <v>1.5537513999999999</v>
      </c>
      <c r="BF845" s="3">
        <v>1.5436905000000001</v>
      </c>
      <c r="BG845" s="3">
        <v>1.5339753</v>
      </c>
      <c r="BH845" s="3">
        <v>1.5246047</v>
      </c>
      <c r="BI845" s="3">
        <v>1.5155780999999999</v>
      </c>
      <c r="BJ845" s="3">
        <v>1.5068946000000001</v>
      </c>
      <c r="BK845" s="3">
        <v>1.4985531999999999</v>
      </c>
      <c r="BL845" s="3">
        <v>1.4905531999999999</v>
      </c>
      <c r="BM845" s="3">
        <v>1.4496427999999999</v>
      </c>
      <c r="BN845" s="3">
        <v>1.420615</v>
      </c>
    </row>
    <row r="846" spans="1:66" x14ac:dyDescent="0.35">
      <c r="A846" s="5">
        <f t="shared" si="12"/>
        <v>44638</v>
      </c>
      <c r="B846" t="s">
        <v>2174</v>
      </c>
      <c r="C846" s="2">
        <v>0.75</v>
      </c>
      <c r="D846" s="2">
        <v>0.69130000000000003</v>
      </c>
      <c r="E846" s="3">
        <v>0.73586870000000004</v>
      </c>
      <c r="F846" s="3">
        <v>0.92855600000000005</v>
      </c>
      <c r="G846" s="3">
        <v>1.1234101000000001</v>
      </c>
      <c r="H846" s="3">
        <v>1.3034886999999999</v>
      </c>
      <c r="I846" s="3">
        <v>1.4593944999999999</v>
      </c>
      <c r="J846" s="3">
        <v>1.5897490000000001</v>
      </c>
      <c r="K846" s="3">
        <v>1.6964013</v>
      </c>
      <c r="L846" s="3">
        <v>1.7831334000000001</v>
      </c>
      <c r="M846" s="3">
        <v>1.8550339</v>
      </c>
      <c r="N846" s="3">
        <v>1.9161357000000001</v>
      </c>
      <c r="O846" s="3">
        <v>1.9687874000000001</v>
      </c>
      <c r="P846" s="3">
        <v>2.0138791999999999</v>
      </c>
      <c r="Q846" s="3">
        <v>2.0508931000000001</v>
      </c>
      <c r="R846" s="3">
        <v>2.0798272999999998</v>
      </c>
      <c r="S846" s="3">
        <v>2.1009940999999999</v>
      </c>
      <c r="T846" s="3">
        <v>2.1147060999999998</v>
      </c>
      <c r="U846" s="3">
        <v>2.1212756000000001</v>
      </c>
      <c r="V846" s="3">
        <v>2.1210152</v>
      </c>
      <c r="W846" s="3">
        <v>2.1143358000000001</v>
      </c>
      <c r="X846" s="3">
        <v>2.1021046000000001</v>
      </c>
      <c r="Y846" s="3">
        <v>2.0853212999999999</v>
      </c>
      <c r="Z846" s="3">
        <v>2.0649856</v>
      </c>
      <c r="AA846" s="3">
        <v>2.0420970999999999</v>
      </c>
      <c r="AB846" s="3">
        <v>2.0176552999999999</v>
      </c>
      <c r="AC846" s="3">
        <v>1.9925288000000001</v>
      </c>
      <c r="AD846" s="3">
        <v>1.9670076000000001</v>
      </c>
      <c r="AE846" s="3">
        <v>1.9412218999999999</v>
      </c>
      <c r="AF846" s="3">
        <v>1.9153017999999999</v>
      </c>
      <c r="AG846" s="3">
        <v>1.8893776</v>
      </c>
      <c r="AH846" s="3">
        <v>1.8635794999999999</v>
      </c>
      <c r="AI846" s="3">
        <v>1.8380377999999999</v>
      </c>
      <c r="AJ846" s="3">
        <v>1.8128827000000001</v>
      </c>
      <c r="AK846" s="3">
        <v>1.7882444</v>
      </c>
      <c r="AL846" s="3">
        <v>1.7642532</v>
      </c>
      <c r="AM846" s="3">
        <v>1.7410391999999999</v>
      </c>
      <c r="AN846" s="3">
        <v>1.7187326999999999</v>
      </c>
      <c r="AO846" s="3">
        <v>1.6974374999999999</v>
      </c>
      <c r="AP846" s="3">
        <v>1.6771402</v>
      </c>
      <c r="AQ846" s="3">
        <v>1.6577953999999999</v>
      </c>
      <c r="AR846" s="3">
        <v>1.6393576000000001</v>
      </c>
      <c r="AS846" s="3">
        <v>1.6217813000000001</v>
      </c>
      <c r="AT846" s="3">
        <v>1.6050209</v>
      </c>
      <c r="AU846" s="3">
        <v>1.5890309</v>
      </c>
      <c r="AV846" s="3">
        <v>1.573766</v>
      </c>
      <c r="AW846" s="3">
        <v>1.5591804</v>
      </c>
      <c r="AX846" s="3">
        <v>1.5452288000000001</v>
      </c>
      <c r="AY846" s="3">
        <v>1.5318655999999999</v>
      </c>
      <c r="AZ846" s="3">
        <v>1.5190452999999999</v>
      </c>
      <c r="BA846" s="3">
        <v>1.5067279</v>
      </c>
      <c r="BB846" s="3">
        <v>1.4948973000000001</v>
      </c>
      <c r="BC846" s="3">
        <v>1.4835444</v>
      </c>
      <c r="BD846" s="3">
        <v>1.4726598</v>
      </c>
      <c r="BE846" s="3">
        <v>1.4622341000000001</v>
      </c>
      <c r="BF846" s="3">
        <v>1.4522581000000001</v>
      </c>
      <c r="BG846" s="3">
        <v>1.4427224999999999</v>
      </c>
      <c r="BH846" s="3">
        <v>1.4336180000000001</v>
      </c>
      <c r="BI846" s="3">
        <v>1.4249352</v>
      </c>
      <c r="BJ846" s="3">
        <v>1.4166649</v>
      </c>
      <c r="BK846" s="3">
        <v>1.4087977</v>
      </c>
      <c r="BL846" s="3">
        <v>1.4013244</v>
      </c>
      <c r="BM846" s="3">
        <v>1.3643961</v>
      </c>
      <c r="BN846" s="3">
        <v>1.3402851</v>
      </c>
    </row>
    <row r="847" spans="1:66" x14ac:dyDescent="0.35">
      <c r="A847" s="5">
        <f t="shared" si="12"/>
        <v>44641</v>
      </c>
      <c r="B847" t="s">
        <v>2175</v>
      </c>
      <c r="C847" s="2">
        <v>0.75</v>
      </c>
      <c r="D847" s="2">
        <v>0.69120000000000004</v>
      </c>
      <c r="E847" s="3">
        <v>0.75435850000000004</v>
      </c>
      <c r="F847" s="3">
        <v>0.96702699999999997</v>
      </c>
      <c r="G847" s="3">
        <v>1.1726970999999999</v>
      </c>
      <c r="H847" s="3">
        <v>1.3627699</v>
      </c>
      <c r="I847" s="3">
        <v>1.5319328000000001</v>
      </c>
      <c r="J847" s="3">
        <v>1.6789353</v>
      </c>
      <c r="K847" s="3">
        <v>1.8041921999999999</v>
      </c>
      <c r="L847" s="3">
        <v>1.9101286</v>
      </c>
      <c r="M847" s="3">
        <v>2.0002985</v>
      </c>
      <c r="N847" s="3">
        <v>2.0779470999999998</v>
      </c>
      <c r="O847" s="3">
        <v>2.1447096999999999</v>
      </c>
      <c r="P847" s="3">
        <v>2.2009653</v>
      </c>
      <c r="Q847" s="3">
        <v>2.2460081000000001</v>
      </c>
      <c r="R847" s="3">
        <v>2.2801412000000001</v>
      </c>
      <c r="S847" s="3">
        <v>2.3040162999999998</v>
      </c>
      <c r="T847" s="3">
        <v>2.3182849000000001</v>
      </c>
      <c r="U847" s="3">
        <v>2.3235985000000001</v>
      </c>
      <c r="V847" s="3">
        <v>2.3206085999999999</v>
      </c>
      <c r="W847" s="3">
        <v>2.3100532999999999</v>
      </c>
      <c r="X847" s="3">
        <v>2.2930716000000002</v>
      </c>
      <c r="Y847" s="3">
        <v>2.2709187000000002</v>
      </c>
      <c r="Z847" s="3">
        <v>2.2448500999999998</v>
      </c>
      <c r="AA847" s="3">
        <v>2.2161209999999998</v>
      </c>
      <c r="AB847" s="3">
        <v>2.1859867999999998</v>
      </c>
      <c r="AC847" s="3">
        <v>2.1555311000000001</v>
      </c>
      <c r="AD847" s="3">
        <v>2.1250803</v>
      </c>
      <c r="AE847" s="3">
        <v>2.0947518999999999</v>
      </c>
      <c r="AF847" s="3">
        <v>2.0646632</v>
      </c>
      <c r="AG847" s="3">
        <v>2.0349316000000002</v>
      </c>
      <c r="AH847" s="3">
        <v>2.0056744000000002</v>
      </c>
      <c r="AI847" s="3">
        <v>1.9770091999999999</v>
      </c>
      <c r="AJ847" s="3">
        <v>1.9490532</v>
      </c>
      <c r="AK847" s="3">
        <v>1.9219238999999999</v>
      </c>
      <c r="AL847" s="3">
        <v>1.8957387000000001</v>
      </c>
      <c r="AM847" s="3">
        <v>1.8706149000000001</v>
      </c>
      <c r="AN847" s="3">
        <v>1.8466699</v>
      </c>
      <c r="AO847" s="3">
        <v>1.8239934</v>
      </c>
      <c r="AP847" s="3">
        <v>1.8025523000000001</v>
      </c>
      <c r="AQ847" s="3">
        <v>1.7822799</v>
      </c>
      <c r="AR847" s="3">
        <v>1.7631094</v>
      </c>
      <c r="AS847" s="3">
        <v>1.7449737999999999</v>
      </c>
      <c r="AT847" s="3">
        <v>1.7278065</v>
      </c>
      <c r="AU847" s="3">
        <v>1.7115406</v>
      </c>
      <c r="AV847" s="3">
        <v>1.6961093</v>
      </c>
      <c r="AW847" s="3">
        <v>1.6814458000000001</v>
      </c>
      <c r="AX847" s="3">
        <v>1.6674833</v>
      </c>
      <c r="AY847" s="3">
        <v>1.6541549</v>
      </c>
      <c r="AZ847" s="3">
        <v>1.6413939</v>
      </c>
      <c r="BA847" s="3">
        <v>1.6291403</v>
      </c>
      <c r="BB847" s="3">
        <v>1.6173711</v>
      </c>
      <c r="BC847" s="3">
        <v>1.6060759</v>
      </c>
      <c r="BD847" s="3">
        <v>1.5952440000000001</v>
      </c>
      <c r="BE847" s="3">
        <v>1.5848648999999999</v>
      </c>
      <c r="BF847" s="3">
        <v>1.5749280000000001</v>
      </c>
      <c r="BG847" s="3">
        <v>1.5654227999999999</v>
      </c>
      <c r="BH847" s="3">
        <v>1.5563388</v>
      </c>
      <c r="BI847" s="3">
        <v>1.5476654000000001</v>
      </c>
      <c r="BJ847" s="3">
        <v>1.5393920000000001</v>
      </c>
      <c r="BK847" s="3">
        <v>1.5315080999999999</v>
      </c>
      <c r="BL847" s="3">
        <v>1.5240031999999999</v>
      </c>
      <c r="BM847" s="3">
        <v>1.4865548</v>
      </c>
      <c r="BN847" s="3">
        <v>1.4614026</v>
      </c>
    </row>
    <row r="848" spans="1:66" x14ac:dyDescent="0.35">
      <c r="A848" s="5">
        <f t="shared" ref="A848:A912" si="13">+A843+7</f>
        <v>44642</v>
      </c>
      <c r="B848" t="s">
        <v>2176</v>
      </c>
      <c r="C848" s="2">
        <v>0.75</v>
      </c>
      <c r="D848" s="2">
        <v>0.69059999999999999</v>
      </c>
      <c r="E848" s="3">
        <v>0.75649829999999996</v>
      </c>
      <c r="F848" s="3">
        <v>0.97685710000000003</v>
      </c>
      <c r="G848" s="3">
        <v>1.1881522</v>
      </c>
      <c r="H848" s="3">
        <v>1.3833177000000001</v>
      </c>
      <c r="I848" s="3">
        <v>1.5582111999999999</v>
      </c>
      <c r="J848" s="3">
        <v>1.7123006999999999</v>
      </c>
      <c r="K848" s="3">
        <v>1.8463875999999999</v>
      </c>
      <c r="L848" s="3">
        <v>1.9630829999999999</v>
      </c>
      <c r="M848" s="3">
        <v>2.0653345000000001</v>
      </c>
      <c r="N848" s="3">
        <v>2.1557401999999999</v>
      </c>
      <c r="O848" s="3">
        <v>2.2354384</v>
      </c>
      <c r="P848" s="3">
        <v>2.3039983999999998</v>
      </c>
      <c r="Q848" s="3">
        <v>2.3596381000000002</v>
      </c>
      <c r="R848" s="3">
        <v>2.4025107999999999</v>
      </c>
      <c r="S848" s="3">
        <v>2.433386</v>
      </c>
      <c r="T848" s="3">
        <v>2.4530333999999998</v>
      </c>
      <c r="U848" s="3">
        <v>2.4622228000000002</v>
      </c>
      <c r="V848" s="3">
        <v>2.4617239</v>
      </c>
      <c r="W848" s="3">
        <v>2.4524005999999998</v>
      </c>
      <c r="X848" s="3">
        <v>2.4355536999999998</v>
      </c>
      <c r="Y848" s="3">
        <v>2.4126104000000002</v>
      </c>
      <c r="Z848" s="3">
        <v>2.3849982000000001</v>
      </c>
      <c r="AA848" s="3">
        <v>2.3541444</v>
      </c>
      <c r="AB848" s="3">
        <v>2.3214763</v>
      </c>
      <c r="AC848" s="3">
        <v>2.2882289999999998</v>
      </c>
      <c r="AD848" s="3">
        <v>2.2547872999999998</v>
      </c>
      <c r="AE848" s="3">
        <v>2.2213020999999999</v>
      </c>
      <c r="AF848" s="3">
        <v>2.1879238999999999</v>
      </c>
      <c r="AG848" s="3">
        <v>2.1548033000000002</v>
      </c>
      <c r="AH848" s="3">
        <v>2.1220910000000002</v>
      </c>
      <c r="AI848" s="3">
        <v>2.0899375999999998</v>
      </c>
      <c r="AJ848" s="3">
        <v>2.0584937999999999</v>
      </c>
      <c r="AK848" s="3">
        <v>2.0279101000000002</v>
      </c>
      <c r="AL848" s="3">
        <v>1.9983373</v>
      </c>
      <c r="AM848" s="3">
        <v>1.9699259</v>
      </c>
      <c r="AN848" s="3">
        <v>1.9428266999999999</v>
      </c>
      <c r="AO848" s="3">
        <v>1.9171628000000001</v>
      </c>
      <c r="AP848" s="3">
        <v>1.8929106</v>
      </c>
      <c r="AQ848" s="3">
        <v>1.8699969000000001</v>
      </c>
      <c r="AR848" s="3">
        <v>1.8483487999999999</v>
      </c>
      <c r="AS848" s="3">
        <v>1.827893</v>
      </c>
      <c r="AT848" s="3">
        <v>1.8085564999999999</v>
      </c>
      <c r="AU848" s="3">
        <v>1.7902661</v>
      </c>
      <c r="AV848" s="3">
        <v>1.7729489</v>
      </c>
      <c r="AW848" s="3">
        <v>1.7565314999999999</v>
      </c>
      <c r="AX848" s="3">
        <v>1.7409410999999999</v>
      </c>
      <c r="AY848" s="3">
        <v>1.7261044000000001</v>
      </c>
      <c r="AZ848" s="3">
        <v>1.7119484</v>
      </c>
      <c r="BA848" s="3">
        <v>1.6984075000000001</v>
      </c>
      <c r="BB848" s="3">
        <v>1.6854530999999999</v>
      </c>
      <c r="BC848" s="3">
        <v>1.6730678999999999</v>
      </c>
      <c r="BD848" s="3">
        <v>1.6612346</v>
      </c>
      <c r="BE848" s="3">
        <v>1.6499356999999999</v>
      </c>
      <c r="BF848" s="3">
        <v>1.639154</v>
      </c>
      <c r="BG848" s="3">
        <v>1.6288720999999999</v>
      </c>
      <c r="BH848" s="3">
        <v>1.6190727</v>
      </c>
      <c r="BI848" s="3">
        <v>1.6097383000000001</v>
      </c>
      <c r="BJ848" s="3">
        <v>1.6008517</v>
      </c>
      <c r="BK848" s="3">
        <v>1.5923955000000001</v>
      </c>
      <c r="BL848" s="3">
        <v>1.5843522999999999</v>
      </c>
      <c r="BM848" s="3">
        <v>1.5441895000000001</v>
      </c>
      <c r="BN848" s="3">
        <v>1.5169123</v>
      </c>
    </row>
    <row r="849" spans="1:66" x14ac:dyDescent="0.35">
      <c r="A849" s="5">
        <f t="shared" si="13"/>
        <v>44643</v>
      </c>
      <c r="B849" t="s">
        <v>2177</v>
      </c>
      <c r="C849" s="2">
        <v>0.75</v>
      </c>
      <c r="D849" s="2">
        <v>0.69079999999999997</v>
      </c>
      <c r="E849" s="3">
        <v>0.75646329999999995</v>
      </c>
      <c r="F849" s="3">
        <v>0.96802619999999995</v>
      </c>
      <c r="G849" s="3">
        <v>1.1650084999999999</v>
      </c>
      <c r="H849" s="3">
        <v>1.3448102</v>
      </c>
      <c r="I849" s="3">
        <v>1.5051152999999999</v>
      </c>
      <c r="J849" s="3">
        <v>1.6459207</v>
      </c>
      <c r="K849" s="3">
        <v>1.7681857999999999</v>
      </c>
      <c r="L849" s="3">
        <v>1.8744453000000001</v>
      </c>
      <c r="M849" s="3">
        <v>1.9676026</v>
      </c>
      <c r="N849" s="3">
        <v>2.0501035000000001</v>
      </c>
      <c r="O849" s="3">
        <v>2.1228744000000002</v>
      </c>
      <c r="P849" s="3">
        <v>2.1855462000000001</v>
      </c>
      <c r="Q849" s="3">
        <v>2.2364277000000001</v>
      </c>
      <c r="R849" s="3">
        <v>2.2755708000000001</v>
      </c>
      <c r="S849" s="3">
        <v>2.3035996000000001</v>
      </c>
      <c r="T849" s="3">
        <v>2.3211382999999999</v>
      </c>
      <c r="U849" s="3">
        <v>2.3288109000000001</v>
      </c>
      <c r="V849" s="3">
        <v>2.3272415999999998</v>
      </c>
      <c r="W849" s="3">
        <v>2.3171488999999998</v>
      </c>
      <c r="X849" s="3">
        <v>2.2997858999999998</v>
      </c>
      <c r="Y849" s="3">
        <v>2.2765938000000001</v>
      </c>
      <c r="Z849" s="3">
        <v>2.2490141000000001</v>
      </c>
      <c r="AA849" s="3">
        <v>2.2184881000000001</v>
      </c>
      <c r="AB849" s="3">
        <v>2.1864572999999998</v>
      </c>
      <c r="AC849" s="3">
        <v>2.1542004000000001</v>
      </c>
      <c r="AD849" s="3">
        <v>2.1221212999999999</v>
      </c>
      <c r="AE849" s="3">
        <v>2.0903299</v>
      </c>
      <c r="AF849" s="3">
        <v>2.0589363000000001</v>
      </c>
      <c r="AG849" s="3">
        <v>2.0280505999999998</v>
      </c>
      <c r="AH849" s="3">
        <v>1.9977826000000001</v>
      </c>
      <c r="AI849" s="3">
        <v>1.9682424000000001</v>
      </c>
      <c r="AJ849" s="3">
        <v>1.93954</v>
      </c>
      <c r="AK849" s="3">
        <v>1.9117853</v>
      </c>
      <c r="AL849" s="3">
        <v>1.8850884000000001</v>
      </c>
      <c r="AM849" s="3">
        <v>1.8595591</v>
      </c>
      <c r="AN849" s="3">
        <v>1.8353075999999999</v>
      </c>
      <c r="AO849" s="3">
        <v>1.8124179</v>
      </c>
      <c r="AP849" s="3">
        <v>1.7908478999999999</v>
      </c>
      <c r="AQ849" s="3">
        <v>1.7705169999999999</v>
      </c>
      <c r="AR849" s="3">
        <v>1.7513445999999999</v>
      </c>
      <c r="AS849" s="3">
        <v>1.7332504</v>
      </c>
      <c r="AT849" s="3">
        <v>1.7161535999999999</v>
      </c>
      <c r="AU849" s="3">
        <v>1.6999736999999999</v>
      </c>
      <c r="AV849" s="3">
        <v>1.6846303</v>
      </c>
      <c r="AW849" s="3">
        <v>1.6700427</v>
      </c>
      <c r="AX849" s="3">
        <v>1.6561304999999999</v>
      </c>
      <c r="AY849" s="3">
        <v>1.6428130000000001</v>
      </c>
      <c r="AZ849" s="3">
        <v>1.6300097</v>
      </c>
      <c r="BA849" s="3">
        <v>1.6176512000000001</v>
      </c>
      <c r="BB849" s="3">
        <v>1.6057170000000001</v>
      </c>
      <c r="BC849" s="3">
        <v>1.5942002</v>
      </c>
      <c r="BD849" s="3">
        <v>1.5830938999999999</v>
      </c>
      <c r="BE849" s="3">
        <v>1.5723910999999999</v>
      </c>
      <c r="BF849" s="3">
        <v>1.5620849999999999</v>
      </c>
      <c r="BG849" s="3">
        <v>1.5521685000000001</v>
      </c>
      <c r="BH849" s="3">
        <v>1.5426348000000001</v>
      </c>
      <c r="BI849" s="3">
        <v>1.5334768999999999</v>
      </c>
      <c r="BJ849" s="3">
        <v>1.5246879</v>
      </c>
      <c r="BK849" s="3">
        <v>1.5162609</v>
      </c>
      <c r="BL849" s="3">
        <v>1.508189</v>
      </c>
      <c r="BM849" s="3">
        <v>1.4670183000000001</v>
      </c>
      <c r="BN849" s="3">
        <v>1.4380546999999999</v>
      </c>
    </row>
    <row r="850" spans="1:66" x14ac:dyDescent="0.35">
      <c r="A850" s="5">
        <f t="shared" si="13"/>
        <v>44644</v>
      </c>
      <c r="B850" t="s">
        <v>2178</v>
      </c>
      <c r="C850" s="2">
        <v>0.75</v>
      </c>
      <c r="D850" s="2">
        <v>0.69069999999999998</v>
      </c>
      <c r="E850" s="3">
        <v>0.76201620000000003</v>
      </c>
      <c r="F850" s="3">
        <v>0.98035669999999997</v>
      </c>
      <c r="G850" s="3">
        <v>1.1787973</v>
      </c>
      <c r="H850" s="3">
        <v>1.3588368</v>
      </c>
      <c r="I850" s="3">
        <v>1.5212611</v>
      </c>
      <c r="J850" s="3">
        <v>1.6656601</v>
      </c>
      <c r="K850" s="3">
        <v>1.7923034</v>
      </c>
      <c r="L850" s="3">
        <v>1.9017788</v>
      </c>
      <c r="M850" s="3">
        <v>1.9965793000000001</v>
      </c>
      <c r="N850" s="3">
        <v>2.0786188000000001</v>
      </c>
      <c r="O850" s="3">
        <v>2.1495115</v>
      </c>
      <c r="P850" s="3">
        <v>2.2092977999999999</v>
      </c>
      <c r="Q850" s="3">
        <v>2.2571289000000001</v>
      </c>
      <c r="R850" s="3">
        <v>2.2933045999999999</v>
      </c>
      <c r="S850" s="3">
        <v>2.3184719</v>
      </c>
      <c r="T850" s="3">
        <v>2.3332777999999998</v>
      </c>
      <c r="U850" s="3">
        <v>2.3383693000000001</v>
      </c>
      <c r="V850" s="3">
        <v>2.3343932999999999</v>
      </c>
      <c r="W850" s="3">
        <v>2.3221023999999999</v>
      </c>
      <c r="X850" s="3">
        <v>2.3027905999999998</v>
      </c>
      <c r="Y850" s="3">
        <v>2.2779250000000002</v>
      </c>
      <c r="Z850" s="3">
        <v>2.2489724</v>
      </c>
      <c r="AA850" s="3">
        <v>2.2174</v>
      </c>
      <c r="AB850" s="3">
        <v>2.1846746000000001</v>
      </c>
      <c r="AC850" s="3">
        <v>2.1520757000000001</v>
      </c>
      <c r="AD850" s="3">
        <v>2.1199680000000001</v>
      </c>
      <c r="AE850" s="3">
        <v>2.0884375999999998</v>
      </c>
      <c r="AF850" s="3">
        <v>2.0575709</v>
      </c>
      <c r="AG850" s="3">
        <v>2.0274540000000001</v>
      </c>
      <c r="AH850" s="3">
        <v>1.9981732999999999</v>
      </c>
      <c r="AI850" s="3">
        <v>1.9698150000000001</v>
      </c>
      <c r="AJ850" s="3">
        <v>1.9424653000000001</v>
      </c>
      <c r="AK850" s="3">
        <v>1.9162105</v>
      </c>
      <c r="AL850" s="3">
        <v>1.8911368</v>
      </c>
      <c r="AM850" s="3">
        <v>1.8673305</v>
      </c>
      <c r="AN850" s="3">
        <v>1.8448777999999999</v>
      </c>
      <c r="AO850" s="3">
        <v>1.8238383</v>
      </c>
      <c r="AP850" s="3">
        <v>1.804154</v>
      </c>
      <c r="AQ850" s="3">
        <v>1.7857341</v>
      </c>
      <c r="AR850" s="3">
        <v>1.7684882</v>
      </c>
      <c r="AS850" s="3">
        <v>1.7523257999999999</v>
      </c>
      <c r="AT850" s="3">
        <v>1.7371561</v>
      </c>
      <c r="AU850" s="3">
        <v>1.7228888</v>
      </c>
      <c r="AV850" s="3">
        <v>1.7094331</v>
      </c>
      <c r="AW850" s="3">
        <v>1.6966985999999999</v>
      </c>
      <c r="AX850" s="3">
        <v>1.6845946000000001</v>
      </c>
      <c r="AY850" s="3">
        <v>1.6730305999999999</v>
      </c>
      <c r="AZ850" s="3">
        <v>1.6619161</v>
      </c>
      <c r="BA850" s="3">
        <v>1.6511734</v>
      </c>
      <c r="BB850" s="3">
        <v>1.6407818999999999</v>
      </c>
      <c r="BC850" s="3">
        <v>1.6307368</v>
      </c>
      <c r="BD850" s="3">
        <v>1.6210332999999999</v>
      </c>
      <c r="BE850" s="3">
        <v>1.6116667</v>
      </c>
      <c r="BF850" s="3">
        <v>1.6026320000000001</v>
      </c>
      <c r="BG850" s="3">
        <v>1.5939245</v>
      </c>
      <c r="BH850" s="3">
        <v>1.5855393</v>
      </c>
      <c r="BI850" s="3">
        <v>1.5774717</v>
      </c>
      <c r="BJ850" s="3">
        <v>1.5697167999999999</v>
      </c>
      <c r="BK850" s="3">
        <v>1.5622699</v>
      </c>
      <c r="BL850" s="3">
        <v>1.555126</v>
      </c>
      <c r="BM850" s="3">
        <v>1.5185219000000001</v>
      </c>
      <c r="BN850" s="3">
        <v>1.4926064000000001</v>
      </c>
    </row>
    <row r="851" spans="1:66" x14ac:dyDescent="0.35">
      <c r="A851" s="5">
        <f t="shared" si="13"/>
        <v>44645</v>
      </c>
      <c r="B851" t="s">
        <v>2179</v>
      </c>
      <c r="C851" s="2">
        <v>0.75</v>
      </c>
      <c r="D851" s="2">
        <v>0.6905</v>
      </c>
      <c r="E851" s="3">
        <v>0.81052579999999996</v>
      </c>
      <c r="F851" s="3">
        <v>1.0083477000000001</v>
      </c>
      <c r="G851" s="3">
        <v>1.2066508</v>
      </c>
      <c r="H851" s="3">
        <v>1.3958472</v>
      </c>
      <c r="I851" s="3">
        <v>1.5704094</v>
      </c>
      <c r="J851" s="3">
        <v>1.7272902999999999</v>
      </c>
      <c r="K851" s="3">
        <v>1.8651849</v>
      </c>
      <c r="L851" s="3">
        <v>1.9843265999999999</v>
      </c>
      <c r="M851" s="3">
        <v>2.0869445</v>
      </c>
      <c r="N851" s="3">
        <v>2.1751068999999998</v>
      </c>
      <c r="O851" s="3">
        <v>2.2504826000000002</v>
      </c>
      <c r="P851" s="3">
        <v>2.3135886000000001</v>
      </c>
      <c r="Q851" s="3">
        <v>2.3635899</v>
      </c>
      <c r="R851" s="3">
        <v>2.4008620999999999</v>
      </c>
      <c r="S851" s="3">
        <v>2.4263154</v>
      </c>
      <c r="T851" s="3">
        <v>2.4408604</v>
      </c>
      <c r="U851" s="3">
        <v>2.4454077000000001</v>
      </c>
      <c r="V851" s="3">
        <v>2.4408679000000002</v>
      </c>
      <c r="W851" s="3">
        <v>2.4282165999999998</v>
      </c>
      <c r="X851" s="3">
        <v>2.4087323999999999</v>
      </c>
      <c r="Y851" s="3">
        <v>2.3837811000000002</v>
      </c>
      <c r="Z851" s="3">
        <v>2.3547289</v>
      </c>
      <c r="AA851" s="3">
        <v>2.3229419</v>
      </c>
      <c r="AB851" s="3">
        <v>2.2897862</v>
      </c>
      <c r="AC851" s="3">
        <v>2.2564388000000002</v>
      </c>
      <c r="AD851" s="3">
        <v>2.2232427000000001</v>
      </c>
      <c r="AE851" s="3">
        <v>2.1903109000000001</v>
      </c>
      <c r="AF851" s="3">
        <v>2.1577562000000001</v>
      </c>
      <c r="AG851" s="3">
        <v>2.1256914</v>
      </c>
      <c r="AH851" s="3">
        <v>2.0942295</v>
      </c>
      <c r="AI851" s="3">
        <v>2.0634833000000001</v>
      </c>
      <c r="AJ851" s="3">
        <v>2.0335656000000002</v>
      </c>
      <c r="AK851" s="3">
        <v>2.0045894</v>
      </c>
      <c r="AL851" s="3">
        <v>1.9766674</v>
      </c>
      <c r="AM851" s="3">
        <v>1.9499127000000001</v>
      </c>
      <c r="AN851" s="3">
        <v>1.9244379</v>
      </c>
      <c r="AO851" s="3">
        <v>1.9003277000000001</v>
      </c>
      <c r="AP851" s="3">
        <v>1.8775411</v>
      </c>
      <c r="AQ851" s="3">
        <v>1.8560026999999999</v>
      </c>
      <c r="AR851" s="3">
        <v>1.8356368999999999</v>
      </c>
      <c r="AS851" s="3">
        <v>1.8163685000000001</v>
      </c>
      <c r="AT851" s="3">
        <v>1.7981218000000001</v>
      </c>
      <c r="AU851" s="3">
        <v>1.7808215000000001</v>
      </c>
      <c r="AV851" s="3">
        <v>1.764392</v>
      </c>
      <c r="AW851" s="3">
        <v>1.7487579</v>
      </c>
      <c r="AX851" s="3">
        <v>1.7338438</v>
      </c>
      <c r="AY851" s="3">
        <v>1.7195742000000001</v>
      </c>
      <c r="AZ851" s="3">
        <v>1.7058736999999999</v>
      </c>
      <c r="BA851" s="3">
        <v>1.6926766</v>
      </c>
      <c r="BB851" s="3">
        <v>1.6799615999999999</v>
      </c>
      <c r="BC851" s="3">
        <v>1.6677192000000001</v>
      </c>
      <c r="BD851" s="3">
        <v>1.65594</v>
      </c>
      <c r="BE851" s="3">
        <v>1.6446145999999999</v>
      </c>
      <c r="BF851" s="3">
        <v>1.6337336</v>
      </c>
      <c r="BG851" s="3">
        <v>1.6232876999999999</v>
      </c>
      <c r="BH851" s="3">
        <v>1.6132674</v>
      </c>
      <c r="BI851" s="3">
        <v>1.6036633</v>
      </c>
      <c r="BJ851" s="3">
        <v>1.5944659999999999</v>
      </c>
      <c r="BK851" s="3">
        <v>1.5856661000000001</v>
      </c>
      <c r="BL851" s="3">
        <v>1.5772543000000001</v>
      </c>
      <c r="BM851" s="3">
        <v>1.534653</v>
      </c>
      <c r="BN851" s="3">
        <v>1.5051524999999999</v>
      </c>
    </row>
    <row r="852" spans="1:66" x14ac:dyDescent="0.35">
      <c r="A852" s="5">
        <f t="shared" si="13"/>
        <v>44648</v>
      </c>
      <c r="B852" t="s">
        <v>2180</v>
      </c>
      <c r="C852" s="2">
        <v>0.75</v>
      </c>
      <c r="D852" s="2">
        <v>0.69010000000000005</v>
      </c>
      <c r="E852" s="3">
        <v>0.77364639999999996</v>
      </c>
      <c r="F852" s="3">
        <v>1.0004481000000001</v>
      </c>
      <c r="G852" s="3">
        <v>1.2028481</v>
      </c>
      <c r="H852" s="3">
        <v>1.3845577</v>
      </c>
      <c r="I852" s="3">
        <v>1.5495858</v>
      </c>
      <c r="J852" s="3">
        <v>1.6976728999999999</v>
      </c>
      <c r="K852" s="3">
        <v>1.8289266</v>
      </c>
      <c r="L852" s="3">
        <v>1.9443649000000001</v>
      </c>
      <c r="M852" s="3">
        <v>2.0457804999999998</v>
      </c>
      <c r="N852" s="3">
        <v>2.1350088</v>
      </c>
      <c r="O852" s="3">
        <v>2.2125504</v>
      </c>
      <c r="P852" s="3">
        <v>2.2779205</v>
      </c>
      <c r="Q852" s="3">
        <v>2.3295333</v>
      </c>
      <c r="R852" s="3">
        <v>2.3677199999999998</v>
      </c>
      <c r="S852" s="3">
        <v>2.3934171000000002</v>
      </c>
      <c r="T852" s="3">
        <v>2.4075614000000001</v>
      </c>
      <c r="U852" s="3">
        <v>2.4110895999999999</v>
      </c>
      <c r="V852" s="3">
        <v>2.4049382000000001</v>
      </c>
      <c r="W852" s="3">
        <v>2.3901265</v>
      </c>
      <c r="X852" s="3">
        <v>2.3680553999999998</v>
      </c>
      <c r="Y852" s="3">
        <v>2.3402368</v>
      </c>
      <c r="Z852" s="3">
        <v>2.3081827000000001</v>
      </c>
      <c r="AA852" s="3">
        <v>2.2734047999999998</v>
      </c>
      <c r="AB852" s="3">
        <v>2.2374151000000002</v>
      </c>
      <c r="AC852" s="3">
        <v>2.2015115000000001</v>
      </c>
      <c r="AD852" s="3">
        <v>2.1660482000000001</v>
      </c>
      <c r="AE852" s="3">
        <v>2.1311189000000001</v>
      </c>
      <c r="AF852" s="3">
        <v>2.0968173999999999</v>
      </c>
      <c r="AG852" s="3">
        <v>2.0632372999999999</v>
      </c>
      <c r="AH852" s="3">
        <v>2.0304723</v>
      </c>
      <c r="AI852" s="3">
        <v>1.9986161</v>
      </c>
      <c r="AJ852" s="3">
        <v>1.9677625999999999</v>
      </c>
      <c r="AK852" s="3">
        <v>1.9380052000000001</v>
      </c>
      <c r="AL852" s="3">
        <v>1.9094378999999999</v>
      </c>
      <c r="AM852" s="3">
        <v>1.8821542</v>
      </c>
      <c r="AN852" s="3">
        <v>1.8562479000000001</v>
      </c>
      <c r="AO852" s="3">
        <v>1.8317861</v>
      </c>
      <c r="AP852" s="3">
        <v>1.8087188000000001</v>
      </c>
      <c r="AQ852" s="3">
        <v>1.7869636</v>
      </c>
      <c r="AR852" s="3">
        <v>1.7664381</v>
      </c>
      <c r="AS852" s="3">
        <v>1.7470599</v>
      </c>
      <c r="AT852" s="3">
        <v>1.7287465</v>
      </c>
      <c r="AU852" s="3">
        <v>1.7114156</v>
      </c>
      <c r="AV852" s="3">
        <v>1.6949848999999999</v>
      </c>
      <c r="AW852" s="3">
        <v>1.6793718</v>
      </c>
      <c r="AX852" s="3">
        <v>1.6644939999999999</v>
      </c>
      <c r="AY852" s="3">
        <v>1.650269</v>
      </c>
      <c r="AZ852" s="3">
        <v>1.6366145999999999</v>
      </c>
      <c r="BA852" s="3">
        <v>1.6234573999999999</v>
      </c>
      <c r="BB852" s="3">
        <v>1.6107731999999999</v>
      </c>
      <c r="BC852" s="3">
        <v>1.5985544</v>
      </c>
      <c r="BD852" s="3">
        <v>1.5867933000000001</v>
      </c>
      <c r="BE852" s="3">
        <v>1.5754821999999999</v>
      </c>
      <c r="BF852" s="3">
        <v>1.5646134</v>
      </c>
      <c r="BG852" s="3">
        <v>1.5541792000000001</v>
      </c>
      <c r="BH852" s="3">
        <v>1.5441720999999999</v>
      </c>
      <c r="BI852" s="3">
        <v>1.5345842000000001</v>
      </c>
      <c r="BJ852" s="3">
        <v>1.5254079</v>
      </c>
      <c r="BK852" s="3">
        <v>1.5166355</v>
      </c>
      <c r="BL852" s="3">
        <v>1.5082594</v>
      </c>
      <c r="BM852" s="3">
        <v>1.4659906</v>
      </c>
      <c r="BN852" s="3">
        <v>1.4366521999999999</v>
      </c>
    </row>
    <row r="853" spans="1:66" x14ac:dyDescent="0.35">
      <c r="A853" s="5">
        <f t="shared" si="13"/>
        <v>44649</v>
      </c>
      <c r="B853" t="s">
        <v>2181</v>
      </c>
      <c r="C853" s="2">
        <v>0.75</v>
      </c>
      <c r="D853" s="2">
        <v>0.69069999999999998</v>
      </c>
      <c r="E853" s="3">
        <v>0.77716280000000004</v>
      </c>
      <c r="F853" s="3">
        <v>1.0058331</v>
      </c>
      <c r="G853" s="3">
        <v>1.2051563999999999</v>
      </c>
      <c r="H853" s="3">
        <v>1.382422</v>
      </c>
      <c r="I853" s="3">
        <v>1.5438613999999999</v>
      </c>
      <c r="J853" s="3">
        <v>1.6896445</v>
      </c>
      <c r="K853" s="3">
        <v>1.8192056000000001</v>
      </c>
      <c r="L853" s="3">
        <v>1.9333572000000001</v>
      </c>
      <c r="M853" s="3">
        <v>2.0337249000000002</v>
      </c>
      <c r="N853" s="3">
        <v>2.1223513000000001</v>
      </c>
      <c r="O853" s="3">
        <v>2.2000918999999999</v>
      </c>
      <c r="P853" s="3">
        <v>2.2662933000000001</v>
      </c>
      <c r="Q853" s="3">
        <v>2.3191101999999999</v>
      </c>
      <c r="R853" s="3">
        <v>2.3587536999999998</v>
      </c>
      <c r="S853" s="3">
        <v>2.3860709</v>
      </c>
      <c r="T853" s="3">
        <v>2.4019088000000002</v>
      </c>
      <c r="U853" s="3">
        <v>2.4071145999999999</v>
      </c>
      <c r="V853" s="3">
        <v>2.4025352</v>
      </c>
      <c r="W853" s="3">
        <v>2.3891111</v>
      </c>
      <c r="X853" s="3">
        <v>2.3682151999999999</v>
      </c>
      <c r="Y853" s="3">
        <v>2.3413457000000002</v>
      </c>
      <c r="Z853" s="3">
        <v>2.3100008000000001</v>
      </c>
      <c r="AA853" s="3">
        <v>2.2756788999999999</v>
      </c>
      <c r="AB853" s="3">
        <v>2.2398782000000002</v>
      </c>
      <c r="AC853" s="3">
        <v>2.2039618000000001</v>
      </c>
      <c r="AD853" s="3">
        <v>2.1684006999999998</v>
      </c>
      <c r="AE853" s="3">
        <v>2.1333044000000001</v>
      </c>
      <c r="AF853" s="3">
        <v>2.0987814999999999</v>
      </c>
      <c r="AG853" s="3">
        <v>2.0649402000000001</v>
      </c>
      <c r="AH853" s="3">
        <v>2.0318890999999999</v>
      </c>
      <c r="AI853" s="3">
        <v>1.9997366000000001</v>
      </c>
      <c r="AJ853" s="3">
        <v>1.9685912000000001</v>
      </c>
      <c r="AK853" s="3">
        <v>1.9385612000000001</v>
      </c>
      <c r="AL853" s="3">
        <v>1.9097552</v>
      </c>
      <c r="AM853" s="3">
        <v>1.8822816</v>
      </c>
      <c r="AN853" s="3">
        <v>1.8562489</v>
      </c>
      <c r="AO853" s="3">
        <v>1.8317414999999999</v>
      </c>
      <c r="AP853" s="3">
        <v>1.8087153</v>
      </c>
      <c r="AQ853" s="3">
        <v>1.7870828000000001</v>
      </c>
      <c r="AR853" s="3">
        <v>1.7667564</v>
      </c>
      <c r="AS853" s="3">
        <v>1.7476488999999999</v>
      </c>
      <c r="AT853" s="3">
        <v>1.7296726</v>
      </c>
      <c r="AU853" s="3">
        <v>1.7127402</v>
      </c>
      <c r="AV853" s="3">
        <v>1.6967642000000001</v>
      </c>
      <c r="AW853" s="3">
        <v>1.681657</v>
      </c>
      <c r="AX853" s="3">
        <v>1.6673313000000001</v>
      </c>
      <c r="AY853" s="3">
        <v>1.6536995999999999</v>
      </c>
      <c r="AZ853" s="3">
        <v>1.6406744</v>
      </c>
      <c r="BA853" s="3">
        <v>1.6281783999999999</v>
      </c>
      <c r="BB853" s="3">
        <v>1.6161833999999999</v>
      </c>
      <c r="BC853" s="3">
        <v>1.6046762999999999</v>
      </c>
      <c r="BD853" s="3">
        <v>1.5936437999999999</v>
      </c>
      <c r="BE853" s="3">
        <v>1.5830728000000001</v>
      </c>
      <c r="BF853" s="3">
        <v>1.5729503</v>
      </c>
      <c r="BG853" s="3">
        <v>1.5632629</v>
      </c>
      <c r="BH853" s="3">
        <v>1.5539976</v>
      </c>
      <c r="BI853" s="3">
        <v>1.5451412</v>
      </c>
      <c r="BJ853" s="3">
        <v>1.5366804999999999</v>
      </c>
      <c r="BK853" s="3">
        <v>1.5286023</v>
      </c>
      <c r="BL853" s="3">
        <v>1.5208936</v>
      </c>
      <c r="BM853" s="3">
        <v>1.4819704</v>
      </c>
      <c r="BN853" s="3">
        <v>1.4549231</v>
      </c>
    </row>
    <row r="854" spans="1:66" x14ac:dyDescent="0.35">
      <c r="A854" s="5">
        <f t="shared" si="13"/>
        <v>44650</v>
      </c>
      <c r="B854" t="s">
        <v>2182</v>
      </c>
      <c r="C854" s="2">
        <v>0.75</v>
      </c>
      <c r="D854" s="2">
        <v>0.69</v>
      </c>
      <c r="E854" s="3">
        <v>0.77393970000000001</v>
      </c>
      <c r="F854" s="3">
        <v>1.0101013999999999</v>
      </c>
      <c r="G854" s="3">
        <v>1.2141477000000001</v>
      </c>
      <c r="H854" s="3">
        <v>1.3996947</v>
      </c>
      <c r="I854" s="3">
        <v>1.5720529000000001</v>
      </c>
      <c r="J854" s="3">
        <v>1.72837</v>
      </c>
      <c r="K854" s="3">
        <v>1.8668674999999999</v>
      </c>
      <c r="L854" s="3">
        <v>1.9880528</v>
      </c>
      <c r="M854" s="3">
        <v>2.0936132000000001</v>
      </c>
      <c r="N854" s="3">
        <v>2.1858620000000002</v>
      </c>
      <c r="O854" s="3">
        <v>2.2658697999999999</v>
      </c>
      <c r="P854" s="3">
        <v>2.3333203</v>
      </c>
      <c r="Q854" s="3">
        <v>2.3867208</v>
      </c>
      <c r="R854" s="3">
        <v>2.4264640000000002</v>
      </c>
      <c r="S854" s="3">
        <v>2.4535372999999998</v>
      </c>
      <c r="T854" s="3">
        <v>2.4689283</v>
      </c>
      <c r="U854" s="3">
        <v>2.4736243</v>
      </c>
      <c r="V854" s="3">
        <v>2.4686129999999999</v>
      </c>
      <c r="W854" s="3">
        <v>2.4549389000000001</v>
      </c>
      <c r="X854" s="3">
        <v>2.43397</v>
      </c>
      <c r="Y854" s="3">
        <v>2.4071880999999999</v>
      </c>
      <c r="Z854" s="3">
        <v>2.3760750000000002</v>
      </c>
      <c r="AA854" s="3">
        <v>2.3421128000000002</v>
      </c>
      <c r="AB854" s="3">
        <v>2.3067833000000002</v>
      </c>
      <c r="AC854" s="3">
        <v>2.2714172000000001</v>
      </c>
      <c r="AD854" s="3">
        <v>2.2364435</v>
      </c>
      <c r="AE854" s="3">
        <v>2.2019590999999998</v>
      </c>
      <c r="AF854" s="3">
        <v>2.1680600000000001</v>
      </c>
      <c r="AG854" s="3">
        <v>2.1348425</v>
      </c>
      <c r="AH854" s="3">
        <v>2.1024026999999998</v>
      </c>
      <c r="AI854" s="3">
        <v>2.0708369000000002</v>
      </c>
      <c r="AJ854" s="3">
        <v>2.0402410999999998</v>
      </c>
      <c r="AK854" s="3">
        <v>2.0107115000000002</v>
      </c>
      <c r="AL854" s="3">
        <v>1.9823443999999999</v>
      </c>
      <c r="AM854" s="3">
        <v>1.9552358999999999</v>
      </c>
      <c r="AN854" s="3">
        <v>1.9294822</v>
      </c>
      <c r="AO854" s="3">
        <v>1.9051552</v>
      </c>
      <c r="AP854" s="3">
        <v>1.8822083000000001</v>
      </c>
      <c r="AQ854" s="3">
        <v>1.8605592</v>
      </c>
      <c r="AR854" s="3">
        <v>1.8401253</v>
      </c>
      <c r="AS854" s="3">
        <v>1.8208241999999999</v>
      </c>
      <c r="AT854" s="3">
        <v>1.8025732000000001</v>
      </c>
      <c r="AU854" s="3">
        <v>1.78529</v>
      </c>
      <c r="AV854" s="3">
        <v>1.7688921</v>
      </c>
      <c r="AW854" s="3">
        <v>1.7532970000000001</v>
      </c>
      <c r="AX854" s="3">
        <v>1.7384221</v>
      </c>
      <c r="AY854" s="3">
        <v>1.7241849</v>
      </c>
      <c r="AZ854" s="3">
        <v>1.7105030999999999</v>
      </c>
      <c r="BA854" s="3">
        <v>1.6973050999999999</v>
      </c>
      <c r="BB854" s="3">
        <v>1.6845684000000001</v>
      </c>
      <c r="BC854" s="3">
        <v>1.6722838</v>
      </c>
      <c r="BD854" s="3">
        <v>1.6604421</v>
      </c>
      <c r="BE854" s="3">
        <v>1.6490343000000001</v>
      </c>
      <c r="BF854" s="3">
        <v>1.6380513000000001</v>
      </c>
      <c r="BG854" s="3">
        <v>1.6274838</v>
      </c>
      <c r="BH854" s="3">
        <v>1.6173227999999999</v>
      </c>
      <c r="BI854" s="3">
        <v>1.6075591</v>
      </c>
      <c r="BJ854" s="3">
        <v>1.5981836</v>
      </c>
      <c r="BK854" s="3">
        <v>1.5891871</v>
      </c>
      <c r="BL854" s="3">
        <v>1.5805606000000001</v>
      </c>
      <c r="BM854" s="3">
        <v>1.5362370000000001</v>
      </c>
      <c r="BN854" s="3">
        <v>1.5040122</v>
      </c>
    </row>
    <row r="855" spans="1:66" x14ac:dyDescent="0.35">
      <c r="A855" s="5">
        <f t="shared" si="13"/>
        <v>44651</v>
      </c>
      <c r="B855" t="s">
        <v>2183</v>
      </c>
      <c r="C855" s="2">
        <v>0.75</v>
      </c>
      <c r="D855" s="2">
        <v>0.68959999999999999</v>
      </c>
      <c r="E855" s="3">
        <v>0.77889390000000003</v>
      </c>
      <c r="F855" s="3">
        <v>1.0085082999999999</v>
      </c>
      <c r="G855" s="3">
        <v>1.2040687000000001</v>
      </c>
      <c r="H855" s="3">
        <v>1.3821842</v>
      </c>
      <c r="I855" s="3">
        <v>1.5478953</v>
      </c>
      <c r="J855" s="3">
        <v>1.6982569999999999</v>
      </c>
      <c r="K855" s="3">
        <v>1.8317101</v>
      </c>
      <c r="L855" s="3">
        <v>1.949076</v>
      </c>
      <c r="M855" s="3">
        <v>2.0521277000000002</v>
      </c>
      <c r="N855" s="3">
        <v>2.1414863</v>
      </c>
      <c r="O855" s="3">
        <v>2.2178315</v>
      </c>
      <c r="P855" s="3">
        <v>2.2806856999999998</v>
      </c>
      <c r="Q855" s="3">
        <v>2.3296174999999999</v>
      </c>
      <c r="R855" s="3">
        <v>2.3653211999999999</v>
      </c>
      <c r="S855" s="3">
        <v>2.3887594999999999</v>
      </c>
      <c r="T855" s="3">
        <v>2.4008948999999999</v>
      </c>
      <c r="U855" s="3">
        <v>2.4026898999999999</v>
      </c>
      <c r="V855" s="3">
        <v>2.3951069999999999</v>
      </c>
      <c r="W855" s="3">
        <v>2.379175</v>
      </c>
      <c r="X855" s="3">
        <v>2.3562609000000001</v>
      </c>
      <c r="Y855" s="3">
        <v>2.3278401</v>
      </c>
      <c r="Z855" s="3">
        <v>2.2953879000000001</v>
      </c>
      <c r="AA855" s="3">
        <v>2.2603797000000001</v>
      </c>
      <c r="AB855" s="3">
        <v>2.2242909000000002</v>
      </c>
      <c r="AC855" s="3">
        <v>2.1884256999999998</v>
      </c>
      <c r="AD855" s="3">
        <v>2.1531677</v>
      </c>
      <c r="AE855" s="3">
        <v>2.1185915</v>
      </c>
      <c r="AF855" s="3">
        <v>2.0847715999999998</v>
      </c>
      <c r="AG855" s="3">
        <v>2.0517824999999998</v>
      </c>
      <c r="AH855" s="3">
        <v>2.0196985999999999</v>
      </c>
      <c r="AI855" s="3">
        <v>1.9885945</v>
      </c>
      <c r="AJ855" s="3">
        <v>1.9585446</v>
      </c>
      <c r="AK855" s="3">
        <v>1.9296233</v>
      </c>
      <c r="AL855" s="3">
        <v>1.9019052999999999</v>
      </c>
      <c r="AM855" s="3">
        <v>1.8754648</v>
      </c>
      <c r="AN855" s="3">
        <v>1.8503765000000001</v>
      </c>
      <c r="AO855" s="3">
        <v>1.8266903999999999</v>
      </c>
      <c r="AP855" s="3">
        <v>1.8043487</v>
      </c>
      <c r="AQ855" s="3">
        <v>1.783264</v>
      </c>
      <c r="AR855" s="3">
        <v>1.7633487999999999</v>
      </c>
      <c r="AS855" s="3">
        <v>1.7445155000000001</v>
      </c>
      <c r="AT855" s="3">
        <v>1.7266767000000001</v>
      </c>
      <c r="AU855" s="3">
        <v>1.7097450000000001</v>
      </c>
      <c r="AV855" s="3">
        <v>1.6936328</v>
      </c>
      <c r="AW855" s="3">
        <v>1.6782526</v>
      </c>
      <c r="AX855" s="3">
        <v>1.6635169999999999</v>
      </c>
      <c r="AY855" s="3">
        <v>1.6493385</v>
      </c>
      <c r="AZ855" s="3">
        <v>1.6356295999999999</v>
      </c>
      <c r="BA855" s="3">
        <v>1.6223156000000001</v>
      </c>
      <c r="BB855" s="3">
        <v>1.609378</v>
      </c>
      <c r="BC855" s="3">
        <v>1.5968137</v>
      </c>
      <c r="BD855" s="3">
        <v>1.5846199999999999</v>
      </c>
      <c r="BE855" s="3">
        <v>1.5727937999999999</v>
      </c>
      <c r="BF855" s="3">
        <v>1.5613321</v>
      </c>
      <c r="BG855" s="3">
        <v>1.5502320999999999</v>
      </c>
      <c r="BH855" s="3">
        <v>1.5394907</v>
      </c>
      <c r="BI855" s="3">
        <v>1.5291051</v>
      </c>
      <c r="BJ855" s="3">
        <v>1.5190721</v>
      </c>
      <c r="BK855" s="3">
        <v>1.5093890000000001</v>
      </c>
      <c r="BL855" s="3">
        <v>1.5000526999999999</v>
      </c>
      <c r="BM855" s="3">
        <v>1.4512531</v>
      </c>
      <c r="BN855" s="3">
        <v>1.4148011</v>
      </c>
    </row>
    <row r="856" spans="1:66" x14ac:dyDescent="0.35">
      <c r="A856" s="5">
        <f t="shared" si="13"/>
        <v>44652</v>
      </c>
      <c r="B856" t="s">
        <v>2184</v>
      </c>
      <c r="C856" s="2">
        <v>0.75</v>
      </c>
      <c r="D856" s="2">
        <v>0.69059999999999999</v>
      </c>
      <c r="E856" s="3">
        <v>0.78650310000000001</v>
      </c>
      <c r="F856" s="3">
        <v>1.015031</v>
      </c>
      <c r="G856" s="3">
        <v>1.2070008000000001</v>
      </c>
      <c r="H856" s="3">
        <v>1.3803756</v>
      </c>
      <c r="I856" s="3">
        <v>1.5436901000000001</v>
      </c>
      <c r="J856" s="3">
        <v>1.6955594</v>
      </c>
      <c r="K856" s="3">
        <v>1.8340141000000001</v>
      </c>
      <c r="L856" s="3">
        <v>1.9578183</v>
      </c>
      <c r="M856" s="3">
        <v>2.0674671</v>
      </c>
      <c r="N856" s="3">
        <v>2.1635184999999999</v>
      </c>
      <c r="O856" s="3">
        <v>2.246553</v>
      </c>
      <c r="P856" s="3">
        <v>2.3156895999999998</v>
      </c>
      <c r="Q856" s="3">
        <v>2.3693129000000002</v>
      </c>
      <c r="R856" s="3">
        <v>2.4079815</v>
      </c>
      <c r="S856" s="3">
        <v>2.4329725999999998</v>
      </c>
      <c r="T856" s="3">
        <v>2.4455634000000002</v>
      </c>
      <c r="U856" s="3">
        <v>2.4470310999999998</v>
      </c>
      <c r="V856" s="3">
        <v>2.4386532000000001</v>
      </c>
      <c r="W856" s="3">
        <v>2.4217371000000001</v>
      </c>
      <c r="X856" s="3">
        <v>2.3977311000000001</v>
      </c>
      <c r="Y856" s="3">
        <v>2.3681241000000002</v>
      </c>
      <c r="Z856" s="3">
        <v>2.3344049999999998</v>
      </c>
      <c r="AA856" s="3">
        <v>2.2980627999999999</v>
      </c>
      <c r="AB856" s="3">
        <v>2.2605862999999999</v>
      </c>
      <c r="AC856" s="3">
        <v>2.2232726999999999</v>
      </c>
      <c r="AD856" s="3">
        <v>2.1864837000000001</v>
      </c>
      <c r="AE856" s="3">
        <v>2.1502968</v>
      </c>
      <c r="AF856" s="3">
        <v>2.1147890999999999</v>
      </c>
      <c r="AG856" s="3">
        <v>2.0800377999999999</v>
      </c>
      <c r="AH856" s="3">
        <v>2.0461203000000001</v>
      </c>
      <c r="AI856" s="3">
        <v>2.0131136000000001</v>
      </c>
      <c r="AJ856" s="3">
        <v>1.9810951999999999</v>
      </c>
      <c r="AK856" s="3">
        <v>1.9501421000000001</v>
      </c>
      <c r="AL856" s="3">
        <v>1.9203317</v>
      </c>
      <c r="AM856" s="3">
        <v>1.8917411</v>
      </c>
      <c r="AN856" s="3">
        <v>1.8644476000000001</v>
      </c>
      <c r="AO856" s="3">
        <v>1.8385062000000001</v>
      </c>
      <c r="AP856" s="3">
        <v>1.8138736</v>
      </c>
      <c r="AQ856" s="3">
        <v>1.7904793999999999</v>
      </c>
      <c r="AR856" s="3">
        <v>1.7682533</v>
      </c>
      <c r="AS856" s="3">
        <v>1.7471247999999999</v>
      </c>
      <c r="AT856" s="3">
        <v>1.7270235</v>
      </c>
      <c r="AU856" s="3">
        <v>1.7078791</v>
      </c>
      <c r="AV856" s="3">
        <v>1.6896211999999999</v>
      </c>
      <c r="AW856" s="3">
        <v>1.6721794000000001</v>
      </c>
      <c r="AX856" s="3">
        <v>1.6554831999999999</v>
      </c>
      <c r="AY856" s="3">
        <v>1.6394625</v>
      </c>
      <c r="AZ856" s="3">
        <v>1.6240466</v>
      </c>
      <c r="BA856" s="3">
        <v>1.6091746</v>
      </c>
      <c r="BB856" s="3">
        <v>1.5948268000000001</v>
      </c>
      <c r="BC856" s="3">
        <v>1.5809947</v>
      </c>
      <c r="BD856" s="3">
        <v>1.5676699000000001</v>
      </c>
      <c r="BE856" s="3">
        <v>1.5548441</v>
      </c>
      <c r="BF856" s="3">
        <v>1.5425088</v>
      </c>
      <c r="BG856" s="3">
        <v>1.5306556</v>
      </c>
      <c r="BH856" s="3">
        <v>1.5192762</v>
      </c>
      <c r="BI856" s="3">
        <v>1.5083621</v>
      </c>
      <c r="BJ856" s="3">
        <v>1.4979051000000001</v>
      </c>
      <c r="BK856" s="3">
        <v>1.4878966</v>
      </c>
      <c r="BL856" s="3">
        <v>1.4783282</v>
      </c>
      <c r="BM856" s="3">
        <v>1.4297616</v>
      </c>
      <c r="BN856" s="3">
        <v>1.3953492000000001</v>
      </c>
    </row>
    <row r="857" spans="1:66" x14ac:dyDescent="0.35">
      <c r="A857" s="5">
        <f t="shared" si="13"/>
        <v>44655</v>
      </c>
      <c r="B857" t="s">
        <v>2186</v>
      </c>
      <c r="C857" s="2">
        <v>0.75</v>
      </c>
      <c r="D857" s="2">
        <v>0.69130000000000003</v>
      </c>
      <c r="E857" s="3">
        <v>0.79716770000000003</v>
      </c>
      <c r="F857" s="3">
        <v>1.0228379999999999</v>
      </c>
      <c r="G857" s="3">
        <v>1.2086281999999999</v>
      </c>
      <c r="H857" s="3">
        <v>1.3751081999999999</v>
      </c>
      <c r="I857" s="3">
        <v>1.5326302000000001</v>
      </c>
      <c r="J857" s="3">
        <v>1.6794331</v>
      </c>
      <c r="K857" s="3">
        <v>1.8132132000000001</v>
      </c>
      <c r="L857" s="3">
        <v>1.933495</v>
      </c>
      <c r="M857" s="3">
        <v>2.0406930000000001</v>
      </c>
      <c r="N857" s="3">
        <v>2.1358681000000002</v>
      </c>
      <c r="O857" s="3">
        <v>2.2190938</v>
      </c>
      <c r="P857" s="3">
        <v>2.2893677000000001</v>
      </c>
      <c r="Q857" s="3">
        <v>2.3447300000000002</v>
      </c>
      <c r="R857" s="3">
        <v>2.3855244999999998</v>
      </c>
      <c r="S857" s="3">
        <v>2.4127779</v>
      </c>
      <c r="T857" s="3">
        <v>2.4275167999999998</v>
      </c>
      <c r="U857" s="3">
        <v>2.4307679000000002</v>
      </c>
      <c r="V857" s="3">
        <v>2.4235576999999999</v>
      </c>
      <c r="W857" s="3">
        <v>2.4070032000000001</v>
      </c>
      <c r="X857" s="3">
        <v>2.3826011999999999</v>
      </c>
      <c r="Y857" s="3">
        <v>2.3519483999999999</v>
      </c>
      <c r="Z857" s="3">
        <v>2.3166411999999998</v>
      </c>
      <c r="AA857" s="3">
        <v>2.2782762999999999</v>
      </c>
      <c r="AB857" s="3">
        <v>2.2384501999999999</v>
      </c>
      <c r="AC857" s="3">
        <v>2.1985361999999999</v>
      </c>
      <c r="AD857" s="3">
        <v>2.1589222000000001</v>
      </c>
      <c r="AE857" s="3">
        <v>2.1197244</v>
      </c>
      <c r="AF857" s="3">
        <v>2.0810586</v>
      </c>
      <c r="AG857" s="3">
        <v>2.0430410000000001</v>
      </c>
      <c r="AH857" s="3">
        <v>2.0057874999999998</v>
      </c>
      <c r="AI857" s="3">
        <v>1.9694143</v>
      </c>
      <c r="AJ857" s="3">
        <v>1.9340371999999999</v>
      </c>
      <c r="AK857" s="3">
        <v>1.8997724</v>
      </c>
      <c r="AL857" s="3">
        <v>1.8667358999999999</v>
      </c>
      <c r="AM857" s="3">
        <v>1.8350436000000001</v>
      </c>
      <c r="AN857" s="3">
        <v>1.8048116999999999</v>
      </c>
      <c r="AO857" s="3">
        <v>1.7761273</v>
      </c>
      <c r="AP857" s="3">
        <v>1.7489509999999999</v>
      </c>
      <c r="AQ857" s="3">
        <v>1.7232079</v>
      </c>
      <c r="AR857" s="3">
        <v>1.6988235</v>
      </c>
      <c r="AS857" s="3">
        <v>1.6757230999999999</v>
      </c>
      <c r="AT857" s="3">
        <v>1.653832</v>
      </c>
      <c r="AU857" s="3">
        <v>1.6330756</v>
      </c>
      <c r="AV857" s="3">
        <v>1.6133793000000001</v>
      </c>
      <c r="AW857" s="3">
        <v>1.5946684</v>
      </c>
      <c r="AX857" s="3">
        <v>1.5768682000000001</v>
      </c>
      <c r="AY857" s="3">
        <v>1.5599041</v>
      </c>
      <c r="AZ857" s="3">
        <v>1.5437015000000001</v>
      </c>
      <c r="BA857" s="3">
        <v>1.528192</v>
      </c>
      <c r="BB857" s="3">
        <v>1.5133455</v>
      </c>
      <c r="BC857" s="3">
        <v>1.4991459</v>
      </c>
      <c r="BD857" s="3">
        <v>1.4855772</v>
      </c>
      <c r="BE857" s="3">
        <v>1.4726231000000001</v>
      </c>
      <c r="BF857" s="3">
        <v>1.4602676999999999</v>
      </c>
      <c r="BG857" s="3">
        <v>1.4484948</v>
      </c>
      <c r="BH857" s="3">
        <v>1.4372883999999999</v>
      </c>
      <c r="BI857" s="3">
        <v>1.4266323000000001</v>
      </c>
      <c r="BJ857" s="3">
        <v>1.4165105</v>
      </c>
      <c r="BK857" s="3">
        <v>1.4069068</v>
      </c>
      <c r="BL857" s="3">
        <v>1.3978052000000001</v>
      </c>
      <c r="BM857" s="3">
        <v>1.3529614999999999</v>
      </c>
      <c r="BN857" s="3">
        <v>1.3228941999999999</v>
      </c>
    </row>
    <row r="858" spans="1:66" x14ac:dyDescent="0.35">
      <c r="A858" s="5">
        <f t="shared" si="13"/>
        <v>44656</v>
      </c>
      <c r="B858" t="s">
        <v>2187</v>
      </c>
      <c r="C858" s="2">
        <v>0.75</v>
      </c>
      <c r="D858" s="2">
        <v>0.6915</v>
      </c>
      <c r="E858" s="3">
        <v>0.80476760000000003</v>
      </c>
      <c r="F858" s="3">
        <v>1.0378193</v>
      </c>
      <c r="G858" s="3">
        <v>1.2278165000000001</v>
      </c>
      <c r="H858" s="3">
        <v>1.3990024000000001</v>
      </c>
      <c r="I858" s="3">
        <v>1.5628987999999999</v>
      </c>
      <c r="J858" s="3">
        <v>1.7171258</v>
      </c>
      <c r="K858" s="3">
        <v>1.8582532</v>
      </c>
      <c r="L858" s="3">
        <v>1.9852688000000001</v>
      </c>
      <c r="M858" s="3">
        <v>2.0983722999999999</v>
      </c>
      <c r="N858" s="3">
        <v>2.1984702999999999</v>
      </c>
      <c r="O858" s="3">
        <v>2.2859576000000001</v>
      </c>
      <c r="P858" s="3">
        <v>2.3597492</v>
      </c>
      <c r="Q858" s="3">
        <v>2.4182503</v>
      </c>
      <c r="R858" s="3">
        <v>2.4619705000000001</v>
      </c>
      <c r="S858" s="3">
        <v>2.4919907000000001</v>
      </c>
      <c r="T858" s="3">
        <v>2.5093920000000001</v>
      </c>
      <c r="U858" s="3">
        <v>2.5152553000000002</v>
      </c>
      <c r="V858" s="3">
        <v>2.5106616000000002</v>
      </c>
      <c r="W858" s="3">
        <v>2.4967617999999998</v>
      </c>
      <c r="X858" s="3">
        <v>2.4750008999999999</v>
      </c>
      <c r="Y858" s="3">
        <v>2.4469012000000001</v>
      </c>
      <c r="Z858" s="3">
        <v>2.4139849</v>
      </c>
      <c r="AA858" s="3">
        <v>2.3777745000000001</v>
      </c>
      <c r="AB858" s="3">
        <v>2.3397920999999999</v>
      </c>
      <c r="AC858" s="3">
        <v>2.3013533000000002</v>
      </c>
      <c r="AD858" s="3">
        <v>2.2628607999999999</v>
      </c>
      <c r="AE858" s="3">
        <v>2.2244652</v>
      </c>
      <c r="AF858" s="3">
        <v>2.1863174000000001</v>
      </c>
      <c r="AG858" s="3">
        <v>2.1485682000000002</v>
      </c>
      <c r="AH858" s="3">
        <v>2.1113685000000002</v>
      </c>
      <c r="AI858" s="3">
        <v>2.0748688999999998</v>
      </c>
      <c r="AJ858" s="3">
        <v>2.0392203000000002</v>
      </c>
      <c r="AK858" s="3">
        <v>2.0045733999999999</v>
      </c>
      <c r="AL858" s="3">
        <v>1.9710791000000001</v>
      </c>
      <c r="AM858" s="3">
        <v>1.9388882000000001</v>
      </c>
      <c r="AN858" s="3">
        <v>1.9081513999999999</v>
      </c>
      <c r="AO858" s="3">
        <v>1.8789921999999999</v>
      </c>
      <c r="AP858" s="3">
        <v>1.8513869000000001</v>
      </c>
      <c r="AQ858" s="3">
        <v>1.8252622999999999</v>
      </c>
      <c r="AR858" s="3">
        <v>1.8005454999999999</v>
      </c>
      <c r="AS858" s="3">
        <v>1.7771633</v>
      </c>
      <c r="AT858" s="3">
        <v>1.7550425000000001</v>
      </c>
      <c r="AU858" s="3">
        <v>1.73411</v>
      </c>
      <c r="AV858" s="3">
        <v>1.7142927999999999</v>
      </c>
      <c r="AW858" s="3">
        <v>1.6955178</v>
      </c>
      <c r="AX858" s="3">
        <v>1.6777116999999999</v>
      </c>
      <c r="AY858" s="3">
        <v>1.6608016000000001</v>
      </c>
      <c r="AZ858" s="3">
        <v>1.6447143</v>
      </c>
      <c r="BA858" s="3">
        <v>1.6293827000000001</v>
      </c>
      <c r="BB858" s="3">
        <v>1.6147720999999999</v>
      </c>
      <c r="BC858" s="3">
        <v>1.6008587000000001</v>
      </c>
      <c r="BD858" s="3">
        <v>1.5876186999999999</v>
      </c>
      <c r="BE858" s="3">
        <v>1.5750284000000001</v>
      </c>
      <c r="BF858" s="3">
        <v>1.5630637999999999</v>
      </c>
      <c r="BG858" s="3">
        <v>1.5517013</v>
      </c>
      <c r="BH858" s="3">
        <v>1.5409170000000001</v>
      </c>
      <c r="BI858" s="3">
        <v>1.5306869999999999</v>
      </c>
      <c r="BJ858" s="3">
        <v>1.5209877000000001</v>
      </c>
      <c r="BK858" s="3">
        <v>1.5117951999999999</v>
      </c>
      <c r="BL858" s="3">
        <v>1.5030855999999999</v>
      </c>
      <c r="BM858" s="3">
        <v>1.4600325000000001</v>
      </c>
      <c r="BN858" s="3">
        <v>1.4307608000000001</v>
      </c>
    </row>
    <row r="859" spans="1:66" x14ac:dyDescent="0.35">
      <c r="A859" s="5">
        <f t="shared" si="13"/>
        <v>44657</v>
      </c>
      <c r="B859" t="s">
        <v>2188</v>
      </c>
      <c r="C859" s="2">
        <v>0.75</v>
      </c>
      <c r="D859" s="2">
        <v>0.69189999999999996</v>
      </c>
      <c r="E859" s="3">
        <v>0.81576380000000004</v>
      </c>
      <c r="F859" s="3">
        <v>1.0372005</v>
      </c>
      <c r="G859" s="3">
        <v>1.2166901000000001</v>
      </c>
      <c r="H859" s="3">
        <v>1.3797088</v>
      </c>
      <c r="I859" s="3">
        <v>1.5385489000000001</v>
      </c>
      <c r="J859" s="3">
        <v>1.6911811000000001</v>
      </c>
      <c r="K859" s="3">
        <v>1.8337490999999999</v>
      </c>
      <c r="L859" s="3">
        <v>1.9643451999999999</v>
      </c>
      <c r="M859" s="3">
        <v>2.0823461999999999</v>
      </c>
      <c r="N859" s="3">
        <v>2.1878687999999999</v>
      </c>
      <c r="O859" s="3">
        <v>2.2805594</v>
      </c>
      <c r="P859" s="3">
        <v>2.3589465999999999</v>
      </c>
      <c r="Q859" s="3">
        <v>2.4209749999999999</v>
      </c>
      <c r="R859" s="3">
        <v>2.4671243</v>
      </c>
      <c r="S859" s="3">
        <v>2.4985713999999999</v>
      </c>
      <c r="T859" s="3">
        <v>2.5164930000000001</v>
      </c>
      <c r="U859" s="3">
        <v>2.5220658</v>
      </c>
      <c r="V859" s="3">
        <v>2.5164667999999999</v>
      </c>
      <c r="W859" s="3">
        <v>2.5009591000000002</v>
      </c>
      <c r="X859" s="3">
        <v>2.4771695</v>
      </c>
      <c r="Y859" s="3">
        <v>2.4468203000000002</v>
      </c>
      <c r="Z859" s="3">
        <v>2.4116336999999999</v>
      </c>
      <c r="AA859" s="3">
        <v>2.3733319000000002</v>
      </c>
      <c r="AB859" s="3">
        <v>2.3336370999999998</v>
      </c>
      <c r="AC859" s="3">
        <v>2.2940740000000002</v>
      </c>
      <c r="AD859" s="3">
        <v>2.2551027000000001</v>
      </c>
      <c r="AE859" s="3">
        <v>2.2168266999999999</v>
      </c>
      <c r="AF859" s="3">
        <v>2.1793490000000002</v>
      </c>
      <c r="AG859" s="3">
        <v>2.1427729000000002</v>
      </c>
      <c r="AH859" s="3">
        <v>2.1072015999999998</v>
      </c>
      <c r="AI859" s="3">
        <v>2.0727381</v>
      </c>
      <c r="AJ859" s="3">
        <v>2.0394857000000002</v>
      </c>
      <c r="AK859" s="3">
        <v>2.0075474</v>
      </c>
      <c r="AL859" s="3">
        <v>1.9770265</v>
      </c>
      <c r="AM859" s="3">
        <v>1.948026</v>
      </c>
      <c r="AN859" s="3">
        <v>1.9206493</v>
      </c>
      <c r="AO859" s="3">
        <v>1.8949715</v>
      </c>
      <c r="AP859" s="3">
        <v>1.8709323</v>
      </c>
      <c r="AQ859" s="3">
        <v>1.8484301999999999</v>
      </c>
      <c r="AR859" s="3">
        <v>1.8273634000000001</v>
      </c>
      <c r="AS859" s="3">
        <v>1.8076304000000001</v>
      </c>
      <c r="AT859" s="3">
        <v>1.7891296000000001</v>
      </c>
      <c r="AU859" s="3">
        <v>1.7717592</v>
      </c>
      <c r="AV859" s="3">
        <v>1.7554178</v>
      </c>
      <c r="AW859" s="3">
        <v>1.7400036000000001</v>
      </c>
      <c r="AX859" s="3">
        <v>1.7254151</v>
      </c>
      <c r="AY859" s="3">
        <v>1.7115505</v>
      </c>
      <c r="AZ859" s="3">
        <v>1.6983083999999999</v>
      </c>
      <c r="BA859" s="3">
        <v>1.6855988</v>
      </c>
      <c r="BB859" s="3">
        <v>1.6733895000000001</v>
      </c>
      <c r="BC859" s="3">
        <v>1.6616660000000001</v>
      </c>
      <c r="BD859" s="3">
        <v>1.6504135</v>
      </c>
      <c r="BE859" s="3">
        <v>1.6396173999999999</v>
      </c>
      <c r="BF859" s="3">
        <v>1.6292629999999999</v>
      </c>
      <c r="BG859" s="3">
        <v>1.6193356000000001</v>
      </c>
      <c r="BH859" s="3">
        <v>1.6098205999999999</v>
      </c>
      <c r="BI859" s="3">
        <v>1.6007032000000001</v>
      </c>
      <c r="BJ859" s="3">
        <v>1.5919688999999999</v>
      </c>
      <c r="BK859" s="3">
        <v>1.5836029</v>
      </c>
      <c r="BL859" s="3">
        <v>1.5755906</v>
      </c>
      <c r="BM859" s="3">
        <v>1.5344869000000001</v>
      </c>
      <c r="BN859" s="3">
        <v>1.5046271</v>
      </c>
    </row>
    <row r="860" spans="1:66" x14ac:dyDescent="0.35">
      <c r="A860" s="5">
        <f t="shared" si="13"/>
        <v>44658</v>
      </c>
      <c r="B860" t="s">
        <v>2189</v>
      </c>
      <c r="C860" s="2">
        <v>0.75</v>
      </c>
      <c r="D860" s="2">
        <v>0.69140000000000001</v>
      </c>
      <c r="E860" s="3">
        <v>0.83126800000000001</v>
      </c>
      <c r="F860" s="3">
        <v>1.0404559</v>
      </c>
      <c r="G860" s="3">
        <v>1.2158977</v>
      </c>
      <c r="H860" s="3">
        <v>1.3766803999999999</v>
      </c>
      <c r="I860" s="3">
        <v>1.5331153</v>
      </c>
      <c r="J860" s="3">
        <v>1.6841804</v>
      </c>
      <c r="K860" s="3">
        <v>1.8271548</v>
      </c>
      <c r="L860" s="3">
        <v>1.9601128000000001</v>
      </c>
      <c r="M860" s="3">
        <v>2.0818341</v>
      </c>
      <c r="N860" s="3">
        <v>2.1911535999999998</v>
      </c>
      <c r="O860" s="3">
        <v>2.2872626999999999</v>
      </c>
      <c r="P860" s="3">
        <v>2.3683360000000002</v>
      </c>
      <c r="Q860" s="3">
        <v>2.4320271</v>
      </c>
      <c r="R860" s="3">
        <v>2.4787914999999998</v>
      </c>
      <c r="S860" s="3">
        <v>2.5101802000000002</v>
      </c>
      <c r="T860" s="3">
        <v>2.5277454000000001</v>
      </c>
      <c r="U860" s="3">
        <v>2.5330396999999998</v>
      </c>
      <c r="V860" s="3">
        <v>2.5276155</v>
      </c>
      <c r="W860" s="3">
        <v>2.5130292000000001</v>
      </c>
      <c r="X860" s="3">
        <v>2.4908573000000001</v>
      </c>
      <c r="Y860" s="3">
        <v>2.4626823999999998</v>
      </c>
      <c r="Z860" s="3">
        <v>2.4300875</v>
      </c>
      <c r="AA860" s="3">
        <v>2.3946551999999999</v>
      </c>
      <c r="AB860" s="3">
        <v>2.3579683999999999</v>
      </c>
      <c r="AC860" s="3">
        <v>2.3214066999999998</v>
      </c>
      <c r="AD860" s="3">
        <v>2.2853585000000001</v>
      </c>
      <c r="AE860" s="3">
        <v>2.249911</v>
      </c>
      <c r="AF860" s="3">
        <v>2.2151512000000002</v>
      </c>
      <c r="AG860" s="3">
        <v>2.1811660000000002</v>
      </c>
      <c r="AH860" s="3">
        <v>2.1480426000000001</v>
      </c>
      <c r="AI860" s="3">
        <v>2.1158679</v>
      </c>
      <c r="AJ860" s="3">
        <v>2.0847289999999998</v>
      </c>
      <c r="AK860" s="3">
        <v>2.0547127999999999</v>
      </c>
      <c r="AL860" s="3">
        <v>2.0259064000000002</v>
      </c>
      <c r="AM860" s="3">
        <v>1.9983967</v>
      </c>
      <c r="AN860" s="3">
        <v>1.9722708</v>
      </c>
      <c r="AO860" s="3">
        <v>1.9475905</v>
      </c>
      <c r="AP860" s="3">
        <v>1.9243060000000001</v>
      </c>
      <c r="AQ860" s="3">
        <v>1.9023369000000001</v>
      </c>
      <c r="AR860" s="3">
        <v>1.8816027</v>
      </c>
      <c r="AS860" s="3">
        <v>1.8620228999999999</v>
      </c>
      <c r="AT860" s="3">
        <v>1.8435170999999999</v>
      </c>
      <c r="AU860" s="3">
        <v>1.8260046999999999</v>
      </c>
      <c r="AV860" s="3">
        <v>1.8094053999999999</v>
      </c>
      <c r="AW860" s="3">
        <v>1.7936386</v>
      </c>
      <c r="AX860" s="3">
        <v>1.7786238999999999</v>
      </c>
      <c r="AY860" s="3">
        <v>1.7642807</v>
      </c>
      <c r="AZ860" s="3">
        <v>1.7505288000000001</v>
      </c>
      <c r="BA860" s="3">
        <v>1.7372974999999999</v>
      </c>
      <c r="BB860" s="3">
        <v>1.7245611999999999</v>
      </c>
      <c r="BC860" s="3">
        <v>1.7123063000000001</v>
      </c>
      <c r="BD860" s="3">
        <v>1.7005192</v>
      </c>
      <c r="BE860" s="3">
        <v>1.6891864999999999</v>
      </c>
      <c r="BF860" s="3">
        <v>1.6782945</v>
      </c>
      <c r="BG860" s="3">
        <v>1.6678298</v>
      </c>
      <c r="BH860" s="3">
        <v>1.6577788</v>
      </c>
      <c r="BI860" s="3">
        <v>1.648128</v>
      </c>
      <c r="BJ860" s="3">
        <v>1.6388638</v>
      </c>
      <c r="BK860" s="3">
        <v>1.6299726999999999</v>
      </c>
      <c r="BL860" s="3">
        <v>1.6214412</v>
      </c>
      <c r="BM860" s="3">
        <v>1.5773864</v>
      </c>
      <c r="BN860" s="3">
        <v>1.5449355</v>
      </c>
    </row>
    <row r="861" spans="1:66" x14ac:dyDescent="0.35">
      <c r="A861" s="5">
        <f t="shared" si="13"/>
        <v>44659</v>
      </c>
      <c r="B861" t="s">
        <v>2190</v>
      </c>
      <c r="C861" s="2">
        <v>0.75</v>
      </c>
      <c r="D861" s="2">
        <v>0.69120000000000004</v>
      </c>
      <c r="E861" s="3">
        <v>0.84339330000000001</v>
      </c>
      <c r="F861" s="3">
        <v>1.0431528000000001</v>
      </c>
      <c r="G861" s="3">
        <v>1.2119161000000001</v>
      </c>
      <c r="H861" s="3">
        <v>1.3705503999999999</v>
      </c>
      <c r="I861" s="3">
        <v>1.5283528</v>
      </c>
      <c r="J861" s="3">
        <v>1.682499</v>
      </c>
      <c r="K861" s="3">
        <v>1.8293493000000001</v>
      </c>
      <c r="L861" s="3">
        <v>1.9662409999999999</v>
      </c>
      <c r="M861" s="3">
        <v>2.0914560999999998</v>
      </c>
      <c r="N861" s="3">
        <v>2.2036047000000001</v>
      </c>
      <c r="O861" s="3">
        <v>2.3017373999999999</v>
      </c>
      <c r="P861" s="3">
        <v>2.3842254000000001</v>
      </c>
      <c r="Q861" s="3">
        <v>2.4493190999999999</v>
      </c>
      <c r="R861" s="3">
        <v>2.4976870999999998</v>
      </c>
      <c r="S861" s="3">
        <v>2.5308373</v>
      </c>
      <c r="T861" s="3">
        <v>2.5502777999999999</v>
      </c>
      <c r="U861" s="3">
        <v>2.5575169</v>
      </c>
      <c r="V861" s="3">
        <v>2.5540628000000001</v>
      </c>
      <c r="W861" s="3">
        <v>2.5414292000000001</v>
      </c>
      <c r="X861" s="3">
        <v>2.5211554</v>
      </c>
      <c r="Y861" s="3">
        <v>2.4947878000000001</v>
      </c>
      <c r="Z861" s="3">
        <v>2.463873</v>
      </c>
      <c r="AA861" s="3">
        <v>2.4299575</v>
      </c>
      <c r="AB861" s="3">
        <v>2.3945878</v>
      </c>
      <c r="AC861" s="3">
        <v>2.3590938000000001</v>
      </c>
      <c r="AD861" s="3">
        <v>2.3238482</v>
      </c>
      <c r="AE861" s="3">
        <v>2.2889599999999999</v>
      </c>
      <c r="AF861" s="3">
        <v>2.2545380000000002</v>
      </c>
      <c r="AG861" s="3">
        <v>2.2206909000000001</v>
      </c>
      <c r="AH861" s="3">
        <v>2.1875276000000001</v>
      </c>
      <c r="AI861" s="3">
        <v>2.155157</v>
      </c>
      <c r="AJ861" s="3">
        <v>2.1236879000000002</v>
      </c>
      <c r="AK861" s="3">
        <v>2.0932290999999998</v>
      </c>
      <c r="AL861" s="3">
        <v>2.0638895000000002</v>
      </c>
      <c r="AM861" s="3">
        <v>2.0357778</v>
      </c>
      <c r="AN861" s="3">
        <v>2.0090029999999999</v>
      </c>
      <c r="AO861" s="3">
        <v>1.9836463</v>
      </c>
      <c r="AP861" s="3">
        <v>1.9596674999999999</v>
      </c>
      <c r="AQ861" s="3">
        <v>1.9369928000000001</v>
      </c>
      <c r="AR861" s="3">
        <v>1.9155483</v>
      </c>
      <c r="AS861" s="3">
        <v>1.8952602000000001</v>
      </c>
      <c r="AT861" s="3">
        <v>1.8760547999999999</v>
      </c>
      <c r="AU861" s="3">
        <v>1.8578583</v>
      </c>
      <c r="AV861" s="3">
        <v>1.8405967999999999</v>
      </c>
      <c r="AW861" s="3">
        <v>1.8241966000000001</v>
      </c>
      <c r="AX861" s="3">
        <v>1.8085838000000001</v>
      </c>
      <c r="AY861" s="3">
        <v>1.7936846</v>
      </c>
      <c r="AZ861" s="3">
        <v>1.7794253</v>
      </c>
      <c r="BA861" s="3">
        <v>1.7657408999999999</v>
      </c>
      <c r="BB861" s="3">
        <v>1.7526056000000001</v>
      </c>
      <c r="BC861" s="3">
        <v>1.7400042</v>
      </c>
      <c r="BD861" s="3">
        <v>1.7279218999999999</v>
      </c>
      <c r="BE861" s="3">
        <v>1.7163435</v>
      </c>
      <c r="BF861" s="3">
        <v>1.7052539</v>
      </c>
      <c r="BG861" s="3">
        <v>1.6946382</v>
      </c>
      <c r="BH861" s="3">
        <v>1.6844812</v>
      </c>
      <c r="BI861" s="3">
        <v>1.674768</v>
      </c>
      <c r="BJ861" s="3">
        <v>1.6654834999999999</v>
      </c>
      <c r="BK861" s="3">
        <v>1.6566126000000001</v>
      </c>
      <c r="BL861" s="3">
        <v>1.6481403999999999</v>
      </c>
      <c r="BM861" s="3">
        <v>1.6051685</v>
      </c>
      <c r="BN861" s="3">
        <v>1.5747799</v>
      </c>
    </row>
    <row r="862" spans="1:66" x14ac:dyDescent="0.35">
      <c r="A862" s="5">
        <f t="shared" si="13"/>
        <v>44662</v>
      </c>
      <c r="B862" t="s">
        <v>2191</v>
      </c>
      <c r="C862" s="2">
        <v>0.75</v>
      </c>
      <c r="D862" s="2">
        <v>0.69020000000000004</v>
      </c>
      <c r="E862" s="3">
        <v>0.86225160000000001</v>
      </c>
      <c r="F862" s="3">
        <v>1.0614218</v>
      </c>
      <c r="G862" s="3">
        <v>1.2335786</v>
      </c>
      <c r="H862" s="3">
        <v>1.3941797</v>
      </c>
      <c r="I862" s="3">
        <v>1.5527096</v>
      </c>
      <c r="J862" s="3">
        <v>1.7077263</v>
      </c>
      <c r="K862" s="3">
        <v>1.8559721</v>
      </c>
      <c r="L862" s="3">
        <v>1.9956183999999999</v>
      </c>
      <c r="M862" s="3">
        <v>2.1252586</v>
      </c>
      <c r="N862" s="3">
        <v>2.2437946000000002</v>
      </c>
      <c r="O862" s="3">
        <v>2.3495905000000001</v>
      </c>
      <c r="P862" s="3">
        <v>2.4405263000000001</v>
      </c>
      <c r="Q862" s="3">
        <v>2.5137884000000001</v>
      </c>
      <c r="R862" s="3">
        <v>2.5698446000000001</v>
      </c>
      <c r="S862" s="3">
        <v>2.6101024000000002</v>
      </c>
      <c r="T862" s="3">
        <v>2.6359691000000001</v>
      </c>
      <c r="U862" s="3">
        <v>2.6488523000000002</v>
      </c>
      <c r="V862" s="3">
        <v>2.6501592</v>
      </c>
      <c r="W862" s="3">
        <v>2.6413392</v>
      </c>
      <c r="X862" s="3">
        <v>2.6240177</v>
      </c>
      <c r="Y862" s="3">
        <v>2.5998663</v>
      </c>
      <c r="Z862" s="3">
        <v>2.5705566000000002</v>
      </c>
      <c r="AA862" s="3">
        <v>2.5377602000000001</v>
      </c>
      <c r="AB862" s="3">
        <v>2.5031487000000001</v>
      </c>
      <c r="AC862" s="3">
        <v>2.4681614000000001</v>
      </c>
      <c r="AD862" s="3">
        <v>2.4332120000000002</v>
      </c>
      <c r="AE862" s="3">
        <v>2.3984312000000001</v>
      </c>
      <c r="AF862" s="3">
        <v>2.3639496000000002</v>
      </c>
      <c r="AG862" s="3">
        <v>2.329898</v>
      </c>
      <c r="AH862" s="3">
        <v>2.2964071000000001</v>
      </c>
      <c r="AI862" s="3">
        <v>2.2636075999999998</v>
      </c>
      <c r="AJ862" s="3">
        <v>2.2316302000000001</v>
      </c>
      <c r="AK862" s="3">
        <v>2.2006055</v>
      </c>
      <c r="AL862" s="3">
        <v>2.1706644000000002</v>
      </c>
      <c r="AM862" s="3">
        <v>2.1419374000000002</v>
      </c>
      <c r="AN862" s="3">
        <v>2.1145551999999999</v>
      </c>
      <c r="AO862" s="3">
        <v>2.0886182</v>
      </c>
      <c r="AP862" s="3">
        <v>2.0640920999999999</v>
      </c>
      <c r="AQ862" s="3">
        <v>2.0409054000000002</v>
      </c>
      <c r="AR862" s="3">
        <v>2.0189868999999998</v>
      </c>
      <c r="AS862" s="3">
        <v>1.9982651</v>
      </c>
      <c r="AT862" s="3">
        <v>1.9786687000000001</v>
      </c>
      <c r="AU862" s="3">
        <v>1.9601264</v>
      </c>
      <c r="AV862" s="3">
        <v>1.9425668</v>
      </c>
      <c r="AW862" s="3">
        <v>1.9259185000000001</v>
      </c>
      <c r="AX862" s="3">
        <v>1.9101101</v>
      </c>
      <c r="AY862" s="3">
        <v>1.8950704</v>
      </c>
      <c r="AZ862" s="3">
        <v>1.8807278000000001</v>
      </c>
      <c r="BA862" s="3">
        <v>1.8670177999999999</v>
      </c>
      <c r="BB862" s="3">
        <v>1.8539114000000001</v>
      </c>
      <c r="BC862" s="3">
        <v>1.8413915999999999</v>
      </c>
      <c r="BD862" s="3">
        <v>1.8294416</v>
      </c>
      <c r="BE862" s="3">
        <v>1.8180444</v>
      </c>
      <c r="BF862" s="3">
        <v>1.8071831</v>
      </c>
      <c r="BG862" s="3">
        <v>1.7968408</v>
      </c>
      <c r="BH862" s="3">
        <v>1.7870006000000001</v>
      </c>
      <c r="BI862" s="3">
        <v>1.7776456</v>
      </c>
      <c r="BJ862" s="3">
        <v>1.7687588000000001</v>
      </c>
      <c r="BK862" s="3">
        <v>1.7603233</v>
      </c>
      <c r="BL862" s="3">
        <v>1.7523222000000001</v>
      </c>
      <c r="BM862" s="3">
        <v>1.7127133999999999</v>
      </c>
      <c r="BN862" s="3">
        <v>1.6858442</v>
      </c>
    </row>
    <row r="863" spans="1:66" x14ac:dyDescent="0.35">
      <c r="A863" s="5">
        <f t="shared" si="13"/>
        <v>44663</v>
      </c>
      <c r="B863" t="s">
        <v>2192</v>
      </c>
      <c r="C863" s="2">
        <v>0.75</v>
      </c>
      <c r="D863" s="2">
        <v>0.69059999999999999</v>
      </c>
      <c r="E863" s="3">
        <v>0.86928430000000001</v>
      </c>
      <c r="F863" s="3">
        <v>1.0660464999999999</v>
      </c>
      <c r="G863" s="3">
        <v>1.2350927</v>
      </c>
      <c r="H863" s="3">
        <v>1.3889578</v>
      </c>
      <c r="I863" s="3">
        <v>1.5380539</v>
      </c>
      <c r="J863" s="3">
        <v>1.6835251</v>
      </c>
      <c r="K863" s="3">
        <v>1.8240771</v>
      </c>
      <c r="L863" s="3">
        <v>1.9586882999999999</v>
      </c>
      <c r="M863" s="3">
        <v>2.0855562999999999</v>
      </c>
      <c r="N863" s="3">
        <v>2.2025336000000002</v>
      </c>
      <c r="O863" s="3">
        <v>2.3074922999999998</v>
      </c>
      <c r="P863" s="3">
        <v>2.3975716</v>
      </c>
      <c r="Q863" s="3">
        <v>2.4696775999999998</v>
      </c>
      <c r="R863" s="3">
        <v>2.5242613</v>
      </c>
      <c r="S863" s="3">
        <v>2.5627258999999998</v>
      </c>
      <c r="T863" s="3">
        <v>2.5864745999999998</v>
      </c>
      <c r="U863" s="3">
        <v>2.5969106000000002</v>
      </c>
      <c r="V863" s="3">
        <v>2.595437</v>
      </c>
      <c r="W863" s="3">
        <v>2.5835224000000001</v>
      </c>
      <c r="X863" s="3">
        <v>2.5629095999999998</v>
      </c>
      <c r="Y863" s="3">
        <v>2.5354135000000002</v>
      </c>
      <c r="Z863" s="3">
        <v>2.5028489999999999</v>
      </c>
      <c r="AA863" s="3">
        <v>2.4670310999999998</v>
      </c>
      <c r="AB863" s="3">
        <v>2.4297746</v>
      </c>
      <c r="AC863" s="3">
        <v>2.3926365000000001</v>
      </c>
      <c r="AD863" s="3">
        <v>2.3560338000000001</v>
      </c>
      <c r="AE863" s="3">
        <v>2.3200694999999998</v>
      </c>
      <c r="AF863" s="3">
        <v>2.2848465</v>
      </c>
      <c r="AG863" s="3">
        <v>2.2504675000000001</v>
      </c>
      <c r="AH863" s="3">
        <v>2.2170353999999999</v>
      </c>
      <c r="AI863" s="3">
        <v>2.1846530999999998</v>
      </c>
      <c r="AJ863" s="3">
        <v>2.1534233999999999</v>
      </c>
      <c r="AK863" s="3">
        <v>2.1234492</v>
      </c>
      <c r="AL863" s="3">
        <v>2.0948332000000001</v>
      </c>
      <c r="AM863" s="3">
        <v>2.0676784000000001</v>
      </c>
      <c r="AN863" s="3">
        <v>2.0420875999999999</v>
      </c>
      <c r="AO863" s="3">
        <v>2.0181387000000002</v>
      </c>
      <c r="AP863" s="3">
        <v>1.9957750000000001</v>
      </c>
      <c r="AQ863" s="3">
        <v>1.9748949</v>
      </c>
      <c r="AR863" s="3">
        <v>1.9553966</v>
      </c>
      <c r="AS863" s="3">
        <v>1.9371784000000001</v>
      </c>
      <c r="AT863" s="3">
        <v>1.9201385</v>
      </c>
      <c r="AU863" s="3">
        <v>1.9041752999999999</v>
      </c>
      <c r="AV863" s="3">
        <v>1.8891871</v>
      </c>
      <c r="AW863" s="3">
        <v>1.8750720000000001</v>
      </c>
      <c r="AX863" s="3">
        <v>1.8617284000000001</v>
      </c>
      <c r="AY863" s="3">
        <v>1.8490545</v>
      </c>
      <c r="AZ863" s="3">
        <v>1.8369485999999999</v>
      </c>
      <c r="BA863" s="3">
        <v>1.8253208000000001</v>
      </c>
      <c r="BB863" s="3">
        <v>1.8141392999999999</v>
      </c>
      <c r="BC863" s="3">
        <v>1.8033897999999999</v>
      </c>
      <c r="BD863" s="3">
        <v>1.7930579</v>
      </c>
      <c r="BE863" s="3">
        <v>1.7831294</v>
      </c>
      <c r="BF863" s="3">
        <v>1.7735898999999999</v>
      </c>
      <c r="BG863" s="3">
        <v>1.7644253000000001</v>
      </c>
      <c r="BH863" s="3">
        <v>1.7556212</v>
      </c>
      <c r="BI863" s="3">
        <v>1.7471633</v>
      </c>
      <c r="BJ863" s="3">
        <v>1.7390374</v>
      </c>
      <c r="BK863" s="3">
        <v>1.7312291</v>
      </c>
      <c r="BL863" s="3">
        <v>1.7237241999999999</v>
      </c>
      <c r="BM863" s="3">
        <v>1.6847049999999999</v>
      </c>
      <c r="BN863" s="3">
        <v>1.6556740999999999</v>
      </c>
    </row>
    <row r="864" spans="1:66" x14ac:dyDescent="0.35">
      <c r="A864" s="5">
        <f t="shared" si="13"/>
        <v>44664</v>
      </c>
      <c r="B864" t="s">
        <v>2193</v>
      </c>
      <c r="C864" s="2">
        <v>0.75</v>
      </c>
      <c r="D864" s="2">
        <v>0.6905</v>
      </c>
      <c r="E864" s="3">
        <v>0.90026689999999998</v>
      </c>
      <c r="F864" s="3">
        <v>1.1002615</v>
      </c>
      <c r="G864" s="3">
        <v>1.2704610000000001</v>
      </c>
      <c r="H864" s="3">
        <v>1.4241927000000001</v>
      </c>
      <c r="I864" s="3">
        <v>1.5716517000000001</v>
      </c>
      <c r="J864" s="3">
        <v>1.7145611000000001</v>
      </c>
      <c r="K864" s="3">
        <v>1.8526339000000001</v>
      </c>
      <c r="L864" s="3">
        <v>1.9856407</v>
      </c>
      <c r="M864" s="3">
        <v>2.1119762999999998</v>
      </c>
      <c r="N864" s="3">
        <v>2.2292209000000001</v>
      </c>
      <c r="O864" s="3">
        <v>2.3346182999999998</v>
      </c>
      <c r="P864" s="3">
        <v>2.4248653999999998</v>
      </c>
      <c r="Q864" s="3">
        <v>2.4960270000000002</v>
      </c>
      <c r="R864" s="3">
        <v>2.5485918000000001</v>
      </c>
      <c r="S864" s="3">
        <v>2.5842630999999998</v>
      </c>
      <c r="T864" s="3">
        <v>2.6047446999999999</v>
      </c>
      <c r="U864" s="3">
        <v>2.6117401</v>
      </c>
      <c r="V864" s="3">
        <v>2.6069528000000002</v>
      </c>
      <c r="W864" s="3">
        <v>2.5921009000000002</v>
      </c>
      <c r="X864" s="3">
        <v>2.5689633000000001</v>
      </c>
      <c r="Y864" s="3">
        <v>2.5393346000000001</v>
      </c>
      <c r="Z864" s="3">
        <v>2.5050096000000002</v>
      </c>
      <c r="AA864" s="3">
        <v>2.4677829999999998</v>
      </c>
      <c r="AB864" s="3">
        <v>2.4294495999999999</v>
      </c>
      <c r="AC864" s="3">
        <v>2.3915924</v>
      </c>
      <c r="AD864" s="3">
        <v>2.3546535</v>
      </c>
      <c r="AE864" s="3">
        <v>2.3186930000000001</v>
      </c>
      <c r="AF864" s="3">
        <v>2.2837705000000001</v>
      </c>
      <c r="AG864" s="3">
        <v>2.2499454999999999</v>
      </c>
      <c r="AH864" s="3">
        <v>2.2172778000000002</v>
      </c>
      <c r="AI864" s="3">
        <v>2.1858270000000002</v>
      </c>
      <c r="AJ864" s="3">
        <v>2.1556525999999998</v>
      </c>
      <c r="AK864" s="3">
        <v>2.1268142999999999</v>
      </c>
      <c r="AL864" s="3">
        <v>2.0993719</v>
      </c>
      <c r="AM864" s="3">
        <v>2.0733847999999999</v>
      </c>
      <c r="AN864" s="3">
        <v>2.0489126999999998</v>
      </c>
      <c r="AO864" s="3">
        <v>2.0259942</v>
      </c>
      <c r="AP864" s="3">
        <v>2.0045652999999999</v>
      </c>
      <c r="AQ864" s="3">
        <v>1.9845306</v>
      </c>
      <c r="AR864" s="3">
        <v>1.965795</v>
      </c>
      <c r="AS864" s="3">
        <v>1.9482630000000001</v>
      </c>
      <c r="AT864" s="3">
        <v>1.9318394999999999</v>
      </c>
      <c r="AU864" s="3">
        <v>1.9164291</v>
      </c>
      <c r="AV864" s="3">
        <v>1.9019366</v>
      </c>
      <c r="AW864" s="3">
        <v>1.8882665999999999</v>
      </c>
      <c r="AX864" s="3">
        <v>1.8753238999999999</v>
      </c>
      <c r="AY864" s="3">
        <v>1.8630131999999999</v>
      </c>
      <c r="AZ864" s="3">
        <v>1.8512392</v>
      </c>
      <c r="BA864" s="3">
        <v>1.8399193</v>
      </c>
      <c r="BB864" s="3">
        <v>1.8290268000000001</v>
      </c>
      <c r="BC864" s="3">
        <v>1.8185503000000001</v>
      </c>
      <c r="BD864" s="3">
        <v>1.8084785000000001</v>
      </c>
      <c r="BE864" s="3">
        <v>1.7988001</v>
      </c>
      <c r="BF864" s="3">
        <v>1.7895038000000001</v>
      </c>
      <c r="BG864" s="3">
        <v>1.7805782999999999</v>
      </c>
      <c r="BH864" s="3">
        <v>1.7720123000000001</v>
      </c>
      <c r="BI864" s="3">
        <v>1.7637944999999999</v>
      </c>
      <c r="BJ864" s="3">
        <v>1.7559134000000001</v>
      </c>
      <c r="BK864" s="3">
        <v>1.7483579</v>
      </c>
      <c r="BL864" s="3">
        <v>1.7411166</v>
      </c>
      <c r="BM864" s="3">
        <v>1.7039168</v>
      </c>
      <c r="BN864" s="3">
        <v>1.6768947999999999</v>
      </c>
    </row>
    <row r="865" spans="1:66" x14ac:dyDescent="0.35">
      <c r="A865" s="5">
        <f t="shared" si="13"/>
        <v>44665</v>
      </c>
      <c r="B865" t="s">
        <v>2194</v>
      </c>
      <c r="C865" s="2">
        <v>0.75</v>
      </c>
      <c r="D865" s="2">
        <v>0.69079999999999997</v>
      </c>
      <c r="E865" s="3">
        <v>0.91676650000000004</v>
      </c>
      <c r="F865" s="3">
        <v>1.1146715</v>
      </c>
      <c r="G865" s="3">
        <v>1.2905475</v>
      </c>
      <c r="H865" s="3">
        <v>1.4552974000000001</v>
      </c>
      <c r="I865" s="3">
        <v>1.6152791</v>
      </c>
      <c r="J865" s="3">
        <v>1.7693232999999999</v>
      </c>
      <c r="K865" s="3">
        <v>1.9156515000000001</v>
      </c>
      <c r="L865" s="3">
        <v>2.0539288999999998</v>
      </c>
      <c r="M865" s="3">
        <v>2.1830728000000001</v>
      </c>
      <c r="N865" s="3">
        <v>2.3008166999999999</v>
      </c>
      <c r="O865" s="3">
        <v>2.4051418999999998</v>
      </c>
      <c r="P865" s="3">
        <v>2.4931749000000001</v>
      </c>
      <c r="Q865" s="3">
        <v>2.5619705000000002</v>
      </c>
      <c r="R865" s="3">
        <v>2.6122293000000001</v>
      </c>
      <c r="S865" s="3">
        <v>2.6456084</v>
      </c>
      <c r="T865" s="3">
        <v>2.6637648999999999</v>
      </c>
      <c r="U865" s="3">
        <v>2.6683558000000001</v>
      </c>
      <c r="V865" s="3">
        <v>2.6610382000000001</v>
      </c>
      <c r="W865" s="3">
        <v>2.6435053000000002</v>
      </c>
      <c r="X865" s="3">
        <v>2.6176346000000001</v>
      </c>
      <c r="Y865" s="3">
        <v>2.5853628999999998</v>
      </c>
      <c r="Z865" s="3">
        <v>2.5486266999999998</v>
      </c>
      <c r="AA865" s="3">
        <v>2.5093627999999999</v>
      </c>
      <c r="AB865" s="3">
        <v>2.4695079</v>
      </c>
      <c r="AC865" s="3">
        <v>2.4307371</v>
      </c>
      <c r="AD865" s="3">
        <v>2.3934506999999998</v>
      </c>
      <c r="AE865" s="3">
        <v>2.3576611999999999</v>
      </c>
      <c r="AF865" s="3">
        <v>2.3233809000000001</v>
      </c>
      <c r="AG865" s="3">
        <v>2.2906222999999999</v>
      </c>
      <c r="AH865" s="3">
        <v>2.2593975999999998</v>
      </c>
      <c r="AI865" s="3">
        <v>2.2297193000000002</v>
      </c>
      <c r="AJ865" s="3">
        <v>2.2015997999999999</v>
      </c>
      <c r="AK865" s="3">
        <v>2.1750512999999998</v>
      </c>
      <c r="AL865" s="3">
        <v>2.1500862999999999</v>
      </c>
      <c r="AM865" s="3">
        <v>2.1267171</v>
      </c>
      <c r="AN865" s="3">
        <v>2.1049562000000002</v>
      </c>
      <c r="AO865" s="3">
        <v>2.0847956999999999</v>
      </c>
      <c r="AP865" s="3">
        <v>2.0661391999999998</v>
      </c>
      <c r="AQ865" s="3">
        <v>2.0488658000000002</v>
      </c>
      <c r="AR865" s="3">
        <v>2.0328545</v>
      </c>
      <c r="AS865" s="3">
        <v>2.0179844999999998</v>
      </c>
      <c r="AT865" s="3">
        <v>2.0041346999999998</v>
      </c>
      <c r="AU865" s="3">
        <v>1.9911843</v>
      </c>
      <c r="AV865" s="3">
        <v>1.9790122999999999</v>
      </c>
      <c r="AW865" s="3">
        <v>1.9674978999999999</v>
      </c>
      <c r="AX865" s="3">
        <v>1.9565199</v>
      </c>
      <c r="AY865" s="3">
        <v>1.9459576000000001</v>
      </c>
      <c r="AZ865" s="3">
        <v>1.9356899999999999</v>
      </c>
      <c r="BA865" s="3">
        <v>1.9256150000000001</v>
      </c>
      <c r="BB865" s="3">
        <v>1.9157135000000001</v>
      </c>
      <c r="BC865" s="3">
        <v>1.9059893000000001</v>
      </c>
      <c r="BD865" s="3">
        <v>1.8964463</v>
      </c>
      <c r="BE865" s="3">
        <v>1.8870884000000001</v>
      </c>
      <c r="BF865" s="3">
        <v>1.8779195</v>
      </c>
      <c r="BG865" s="3">
        <v>1.8689433</v>
      </c>
      <c r="BH865" s="3">
        <v>1.8601637</v>
      </c>
      <c r="BI865" s="3">
        <v>1.8515846</v>
      </c>
      <c r="BJ865" s="3">
        <v>1.8432097999999999</v>
      </c>
      <c r="BK865" s="3">
        <v>1.8350432000000001</v>
      </c>
      <c r="BL865" s="3">
        <v>1.8270886</v>
      </c>
      <c r="BM865" s="3">
        <v>1.7841488999999999</v>
      </c>
      <c r="BN865" s="3">
        <v>1.750537</v>
      </c>
    </row>
    <row r="866" spans="1:66" x14ac:dyDescent="0.35">
      <c r="A866" s="5">
        <f t="shared" si="13"/>
        <v>44666</v>
      </c>
      <c r="B866" t="s">
        <v>2195</v>
      </c>
      <c r="C866" s="2">
        <v>0.75</v>
      </c>
      <c r="D866" s="2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  <c r="P866" s="3" t="e">
        <v>#N/A</v>
      </c>
      <c r="Q866" s="3" t="e">
        <v>#N/A</v>
      </c>
      <c r="R866" s="3" t="e">
        <v>#N/A</v>
      </c>
      <c r="S866" s="3" t="e">
        <v>#N/A</v>
      </c>
      <c r="T866" s="3" t="e">
        <v>#N/A</v>
      </c>
      <c r="U866" s="3" t="e">
        <v>#N/A</v>
      </c>
      <c r="V866" s="3" t="e">
        <v>#N/A</v>
      </c>
      <c r="W866" s="3" t="e">
        <v>#N/A</v>
      </c>
      <c r="X866" s="3" t="e">
        <v>#N/A</v>
      </c>
      <c r="Y866" s="3" t="e">
        <v>#N/A</v>
      </c>
      <c r="Z866" s="3" t="e">
        <v>#N/A</v>
      </c>
      <c r="AA866" s="3" t="e">
        <v>#N/A</v>
      </c>
      <c r="AB866" s="3" t="e">
        <v>#N/A</v>
      </c>
      <c r="AC866" s="3" t="e">
        <v>#N/A</v>
      </c>
      <c r="AD866" s="3" t="e">
        <v>#N/A</v>
      </c>
      <c r="AE866" s="3" t="e">
        <v>#N/A</v>
      </c>
      <c r="AF866" s="3" t="e">
        <v>#N/A</v>
      </c>
      <c r="AG866" s="3" t="e">
        <v>#N/A</v>
      </c>
      <c r="AH866" s="3" t="e">
        <v>#N/A</v>
      </c>
      <c r="AI866" s="3" t="e">
        <v>#N/A</v>
      </c>
      <c r="AJ866" s="3" t="e">
        <v>#N/A</v>
      </c>
      <c r="AK866" s="3" t="e">
        <v>#N/A</v>
      </c>
      <c r="AL866" s="3" t="e">
        <v>#N/A</v>
      </c>
      <c r="AM866" s="3" t="e">
        <v>#N/A</v>
      </c>
      <c r="AN866" s="3" t="e">
        <v>#N/A</v>
      </c>
      <c r="AO866" s="3" t="e">
        <v>#N/A</v>
      </c>
      <c r="AP866" s="3" t="e">
        <v>#N/A</v>
      </c>
      <c r="AQ866" s="3" t="e">
        <v>#N/A</v>
      </c>
      <c r="AR866" s="3" t="e">
        <v>#N/A</v>
      </c>
      <c r="AS866" s="3" t="e">
        <v>#N/A</v>
      </c>
      <c r="AT866" s="3" t="e">
        <v>#N/A</v>
      </c>
      <c r="AU866" s="3" t="e">
        <v>#N/A</v>
      </c>
      <c r="AV866" s="3" t="e">
        <v>#N/A</v>
      </c>
      <c r="AW866" s="3" t="e">
        <v>#N/A</v>
      </c>
      <c r="AX866" s="3" t="e">
        <v>#N/A</v>
      </c>
      <c r="AY866" s="3" t="e">
        <v>#N/A</v>
      </c>
      <c r="AZ866" s="3" t="e">
        <v>#N/A</v>
      </c>
      <c r="BA866" s="3" t="e">
        <v>#N/A</v>
      </c>
      <c r="BB866" s="3" t="e">
        <v>#N/A</v>
      </c>
      <c r="BC866" s="3" t="e">
        <v>#N/A</v>
      </c>
      <c r="BD866" s="3" t="e">
        <v>#N/A</v>
      </c>
      <c r="BE866" s="3" t="e">
        <v>#N/A</v>
      </c>
      <c r="BF866" s="3" t="e">
        <v>#N/A</v>
      </c>
      <c r="BG866" s="3" t="e">
        <v>#N/A</v>
      </c>
      <c r="BH866" s="3" t="e">
        <v>#N/A</v>
      </c>
      <c r="BI866" s="3" t="e">
        <v>#N/A</v>
      </c>
      <c r="BJ866" s="3" t="e">
        <v>#N/A</v>
      </c>
      <c r="BK866" s="3" t="e">
        <v>#N/A</v>
      </c>
      <c r="BL866" s="3" t="e">
        <v>#N/A</v>
      </c>
      <c r="BM866" s="3" t="e">
        <v>#N/A</v>
      </c>
      <c r="BN866" s="3" t="e">
        <v>#N/A</v>
      </c>
    </row>
    <row r="867" spans="1:66" x14ac:dyDescent="0.35">
      <c r="A867" s="5">
        <f t="shared" si="13"/>
        <v>44669</v>
      </c>
      <c r="B867" t="s">
        <v>2196</v>
      </c>
      <c r="C867" s="2">
        <v>0.75</v>
      </c>
      <c r="D867" s="2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  <c r="P867" s="3" t="e">
        <v>#N/A</v>
      </c>
      <c r="Q867" s="3" t="e">
        <v>#N/A</v>
      </c>
      <c r="R867" s="3" t="e">
        <v>#N/A</v>
      </c>
      <c r="S867" s="3" t="e">
        <v>#N/A</v>
      </c>
      <c r="T867" s="3" t="e">
        <v>#N/A</v>
      </c>
      <c r="U867" s="3" t="e">
        <v>#N/A</v>
      </c>
      <c r="V867" s="3" t="e">
        <v>#N/A</v>
      </c>
      <c r="W867" s="3" t="e">
        <v>#N/A</v>
      </c>
      <c r="X867" s="3" t="e">
        <v>#N/A</v>
      </c>
      <c r="Y867" s="3" t="e">
        <v>#N/A</v>
      </c>
      <c r="Z867" s="3" t="e">
        <v>#N/A</v>
      </c>
      <c r="AA867" s="3" t="e">
        <v>#N/A</v>
      </c>
      <c r="AB867" s="3" t="e">
        <v>#N/A</v>
      </c>
      <c r="AC867" s="3" t="e">
        <v>#N/A</v>
      </c>
      <c r="AD867" s="3" t="e">
        <v>#N/A</v>
      </c>
      <c r="AE867" s="3" t="e">
        <v>#N/A</v>
      </c>
      <c r="AF867" s="3" t="e">
        <v>#N/A</v>
      </c>
      <c r="AG867" s="3" t="e">
        <v>#N/A</v>
      </c>
      <c r="AH867" s="3" t="e">
        <v>#N/A</v>
      </c>
      <c r="AI867" s="3" t="e">
        <v>#N/A</v>
      </c>
      <c r="AJ867" s="3" t="e">
        <v>#N/A</v>
      </c>
      <c r="AK867" s="3" t="e">
        <v>#N/A</v>
      </c>
      <c r="AL867" s="3" t="e">
        <v>#N/A</v>
      </c>
      <c r="AM867" s="3" t="e">
        <v>#N/A</v>
      </c>
      <c r="AN867" s="3" t="e">
        <v>#N/A</v>
      </c>
      <c r="AO867" s="3" t="e">
        <v>#N/A</v>
      </c>
      <c r="AP867" s="3" t="e">
        <v>#N/A</v>
      </c>
      <c r="AQ867" s="3" t="e">
        <v>#N/A</v>
      </c>
      <c r="AR867" s="3" t="e">
        <v>#N/A</v>
      </c>
      <c r="AS867" s="3" t="e">
        <v>#N/A</v>
      </c>
      <c r="AT867" s="3" t="e">
        <v>#N/A</v>
      </c>
      <c r="AU867" s="3" t="e">
        <v>#N/A</v>
      </c>
      <c r="AV867" s="3" t="e">
        <v>#N/A</v>
      </c>
      <c r="AW867" s="3" t="e">
        <v>#N/A</v>
      </c>
      <c r="AX867" s="3" t="e">
        <v>#N/A</v>
      </c>
      <c r="AY867" s="3" t="e">
        <v>#N/A</v>
      </c>
      <c r="AZ867" s="3" t="e">
        <v>#N/A</v>
      </c>
      <c r="BA867" s="3" t="e">
        <v>#N/A</v>
      </c>
      <c r="BB867" s="3" t="e">
        <v>#N/A</v>
      </c>
      <c r="BC867" s="3" t="e">
        <v>#N/A</v>
      </c>
      <c r="BD867" s="3" t="e">
        <v>#N/A</v>
      </c>
      <c r="BE867" s="3" t="e">
        <v>#N/A</v>
      </c>
      <c r="BF867" s="3" t="e">
        <v>#N/A</v>
      </c>
      <c r="BG867" s="3" t="e">
        <v>#N/A</v>
      </c>
      <c r="BH867" s="3" t="e">
        <v>#N/A</v>
      </c>
      <c r="BI867" s="3" t="e">
        <v>#N/A</v>
      </c>
      <c r="BJ867" s="3" t="e">
        <v>#N/A</v>
      </c>
      <c r="BK867" s="3" t="e">
        <v>#N/A</v>
      </c>
      <c r="BL867" s="3" t="e">
        <v>#N/A</v>
      </c>
      <c r="BM867" s="3" t="e">
        <v>#N/A</v>
      </c>
      <c r="BN867" s="3" t="e">
        <v>#N/A</v>
      </c>
    </row>
    <row r="868" spans="1:66" x14ac:dyDescent="0.35">
      <c r="A868" s="5">
        <f t="shared" si="13"/>
        <v>44670</v>
      </c>
      <c r="B868" t="s">
        <v>2197</v>
      </c>
      <c r="C868" s="2">
        <v>0.75</v>
      </c>
      <c r="D868" s="2">
        <v>0.69020000000000004</v>
      </c>
      <c r="E868" s="3">
        <v>0.97750709999999996</v>
      </c>
      <c r="F868" s="3">
        <v>1.1316387999999999</v>
      </c>
      <c r="G868" s="3">
        <v>1.3046769</v>
      </c>
      <c r="H868" s="3">
        <v>1.4810365000000001</v>
      </c>
      <c r="I868" s="3">
        <v>1.6517139999999999</v>
      </c>
      <c r="J868" s="3">
        <v>1.8129344000000001</v>
      </c>
      <c r="K868" s="3">
        <v>1.9636415</v>
      </c>
      <c r="L868" s="3">
        <v>2.1043235</v>
      </c>
      <c r="M868" s="3">
        <v>2.2342542000000001</v>
      </c>
      <c r="N868" s="3">
        <v>2.3518713999999998</v>
      </c>
      <c r="O868" s="3">
        <v>2.4555707</v>
      </c>
      <c r="P868" s="3">
        <v>2.5429295000000001</v>
      </c>
      <c r="Q868" s="3">
        <v>2.6117962000000001</v>
      </c>
      <c r="R868" s="3">
        <v>2.6630566</v>
      </c>
      <c r="S868" s="3">
        <v>2.6983709</v>
      </c>
      <c r="T868" s="3">
        <v>2.7193991999999998</v>
      </c>
      <c r="U868" s="3">
        <v>2.7278017000000001</v>
      </c>
      <c r="V868" s="3">
        <v>2.7252386</v>
      </c>
      <c r="W868" s="3">
        <v>2.7133528999999998</v>
      </c>
      <c r="X868" s="3">
        <v>2.6937156</v>
      </c>
      <c r="Y868" s="3">
        <v>2.6678788</v>
      </c>
      <c r="Z868" s="3">
        <v>2.6373945999999999</v>
      </c>
      <c r="AA868" s="3">
        <v>2.603815</v>
      </c>
      <c r="AB868" s="3">
        <v>2.5686922000000001</v>
      </c>
      <c r="AC868" s="3">
        <v>2.5333625</v>
      </c>
      <c r="AD868" s="3">
        <v>2.4982096</v>
      </c>
      <c r="AE868" s="3">
        <v>2.4633544999999999</v>
      </c>
      <c r="AF868" s="3">
        <v>2.4289179999999999</v>
      </c>
      <c r="AG868" s="3">
        <v>2.3950212</v>
      </c>
      <c r="AH868" s="3">
        <v>2.3617849</v>
      </c>
      <c r="AI868" s="3">
        <v>2.3293301</v>
      </c>
      <c r="AJ868" s="3">
        <v>2.2977777000000001</v>
      </c>
      <c r="AK868" s="3">
        <v>2.2672487000000001</v>
      </c>
      <c r="AL868" s="3">
        <v>2.2378638999999998</v>
      </c>
      <c r="AM868" s="3">
        <v>2.2097443999999999</v>
      </c>
      <c r="AN868" s="3">
        <v>2.1830110999999999</v>
      </c>
      <c r="AO868" s="3">
        <v>2.1577641000000001</v>
      </c>
      <c r="AP868" s="3">
        <v>2.1339807999999998</v>
      </c>
      <c r="AQ868" s="3">
        <v>2.1115929000000002</v>
      </c>
      <c r="AR868" s="3">
        <v>2.0905320000000001</v>
      </c>
      <c r="AS868" s="3">
        <v>2.0707298999999999</v>
      </c>
      <c r="AT868" s="3">
        <v>2.0521183000000001</v>
      </c>
      <c r="AU868" s="3">
        <v>2.0346289</v>
      </c>
      <c r="AV868" s="3">
        <v>2.0181933999999999</v>
      </c>
      <c r="AW868" s="3">
        <v>2.0027434999999998</v>
      </c>
      <c r="AX868" s="3">
        <v>1.9882108999999999</v>
      </c>
      <c r="AY868" s="3">
        <v>1.9745272</v>
      </c>
      <c r="AZ868" s="3">
        <v>1.9616243</v>
      </c>
      <c r="BA868" s="3">
        <v>1.9494397000000001</v>
      </c>
      <c r="BB868" s="3">
        <v>1.9379401999999999</v>
      </c>
      <c r="BC868" s="3">
        <v>1.9271012000000001</v>
      </c>
      <c r="BD868" s="3">
        <v>1.9168982000000001</v>
      </c>
      <c r="BE868" s="3">
        <v>1.9073066999999999</v>
      </c>
      <c r="BF868" s="3">
        <v>1.8983023000000001</v>
      </c>
      <c r="BG868" s="3">
        <v>1.8898603</v>
      </c>
      <c r="BH868" s="3">
        <v>1.8819565</v>
      </c>
      <c r="BI868" s="3">
        <v>1.8745661</v>
      </c>
      <c r="BJ868" s="3">
        <v>1.8676648</v>
      </c>
      <c r="BK868" s="3">
        <v>1.8612280000000001</v>
      </c>
      <c r="BL868" s="3">
        <v>1.8552313</v>
      </c>
      <c r="BM868" s="3">
        <v>1.8275227999999999</v>
      </c>
      <c r="BN868" s="3">
        <v>1.8119270000000001</v>
      </c>
    </row>
    <row r="869" spans="1:66" x14ac:dyDescent="0.35">
      <c r="A869" s="5">
        <f t="shared" si="13"/>
        <v>44671</v>
      </c>
      <c r="B869" t="s">
        <v>2198</v>
      </c>
      <c r="C869" s="2">
        <v>0.75</v>
      </c>
      <c r="D869" s="2">
        <v>0.69040000000000001</v>
      </c>
      <c r="E869" s="3">
        <v>0.98454960000000002</v>
      </c>
      <c r="F869" s="3">
        <v>1.1343656</v>
      </c>
      <c r="G869" s="3">
        <v>1.3075093</v>
      </c>
      <c r="H869" s="3">
        <v>1.4849827</v>
      </c>
      <c r="I869" s="3">
        <v>1.6561272</v>
      </c>
      <c r="J869" s="3">
        <v>1.8171075000000001</v>
      </c>
      <c r="K869" s="3">
        <v>1.9671053000000001</v>
      </c>
      <c r="L869" s="3">
        <v>2.1068745</v>
      </c>
      <c r="M869" s="3">
        <v>2.2360600000000002</v>
      </c>
      <c r="N869" s="3">
        <v>2.3533255999999998</v>
      </c>
      <c r="O869" s="3">
        <v>2.4568140000000001</v>
      </c>
      <c r="P869" s="3">
        <v>2.5440206999999999</v>
      </c>
      <c r="Q869" s="3">
        <v>2.6123756</v>
      </c>
      <c r="R869" s="3">
        <v>2.6626557000000002</v>
      </c>
      <c r="S869" s="3">
        <v>2.6965249</v>
      </c>
      <c r="T869" s="3">
        <v>2.7156473999999999</v>
      </c>
      <c r="U869" s="3">
        <v>2.7216870000000002</v>
      </c>
      <c r="V869" s="3">
        <v>2.7163078000000001</v>
      </c>
      <c r="W869" s="3">
        <v>2.7011810000000001</v>
      </c>
      <c r="X869" s="3">
        <v>2.6780073999999998</v>
      </c>
      <c r="Y869" s="3">
        <v>2.6484958000000001</v>
      </c>
      <c r="Z869" s="3">
        <v>2.6143550000000002</v>
      </c>
      <c r="AA869" s="3">
        <v>2.5772938999999999</v>
      </c>
      <c r="AB869" s="3">
        <v>2.5390210999999998</v>
      </c>
      <c r="AC869" s="3">
        <v>2.5010468000000001</v>
      </c>
      <c r="AD869" s="3">
        <v>2.4638103999999998</v>
      </c>
      <c r="AE869" s="3">
        <v>2.4273924999999998</v>
      </c>
      <c r="AF869" s="3">
        <v>2.3918735</v>
      </c>
      <c r="AG869" s="3">
        <v>2.3573338000000001</v>
      </c>
      <c r="AH869" s="3">
        <v>2.3238538000000002</v>
      </c>
      <c r="AI869" s="3">
        <v>2.2915138000000002</v>
      </c>
      <c r="AJ869" s="3">
        <v>2.2603943000000002</v>
      </c>
      <c r="AK869" s="3">
        <v>2.2305755</v>
      </c>
      <c r="AL869" s="3">
        <v>2.2021380000000002</v>
      </c>
      <c r="AM869" s="3">
        <v>2.1751619999999998</v>
      </c>
      <c r="AN869" s="3">
        <v>2.1497278999999998</v>
      </c>
      <c r="AO869" s="3">
        <v>2.1258946000000001</v>
      </c>
      <c r="AP869" s="3">
        <v>2.1036052000000001</v>
      </c>
      <c r="AQ869" s="3">
        <v>2.0827638999999998</v>
      </c>
      <c r="AR869" s="3">
        <v>2.0632749000000001</v>
      </c>
      <c r="AS869" s="3">
        <v>2.0450425000000001</v>
      </c>
      <c r="AT869" s="3">
        <v>2.0279707999999999</v>
      </c>
      <c r="AU869" s="3">
        <v>2.0119641000000001</v>
      </c>
      <c r="AV869" s="3">
        <v>1.9969266000000001</v>
      </c>
      <c r="AW869" s="3">
        <v>1.9827625</v>
      </c>
      <c r="AX869" s="3">
        <v>1.969376</v>
      </c>
      <c r="AY869" s="3">
        <v>1.9566713</v>
      </c>
      <c r="AZ869" s="3">
        <v>1.9445526</v>
      </c>
      <c r="BA869" s="3">
        <v>1.9329367</v>
      </c>
      <c r="BB869" s="3">
        <v>1.9217947</v>
      </c>
      <c r="BC869" s="3">
        <v>1.9111132</v>
      </c>
      <c r="BD869" s="3">
        <v>1.9008786</v>
      </c>
      <c r="BE869" s="3">
        <v>1.8910773999999999</v>
      </c>
      <c r="BF869" s="3">
        <v>1.881696</v>
      </c>
      <c r="BG869" s="3">
        <v>1.8727209</v>
      </c>
      <c r="BH869" s="3">
        <v>1.8641384999999999</v>
      </c>
      <c r="BI869" s="3">
        <v>1.8559353000000001</v>
      </c>
      <c r="BJ869" s="3">
        <v>1.8480977999999999</v>
      </c>
      <c r="BK869" s="3">
        <v>1.8406123999999999</v>
      </c>
      <c r="BL869" s="3">
        <v>1.8334655</v>
      </c>
      <c r="BM869" s="3">
        <v>1.7972760999999999</v>
      </c>
      <c r="BN869" s="3">
        <v>1.7719278000000001</v>
      </c>
    </row>
    <row r="870" spans="1:66" x14ac:dyDescent="0.35">
      <c r="A870" s="5">
        <f t="shared" si="13"/>
        <v>44672</v>
      </c>
      <c r="B870" t="s">
        <v>2199</v>
      </c>
      <c r="C870" s="2">
        <v>0.75</v>
      </c>
      <c r="D870" s="2">
        <v>0.69040000000000001</v>
      </c>
      <c r="E870" s="3">
        <v>1.0799067</v>
      </c>
      <c r="F870" s="3">
        <v>1.2566873999999999</v>
      </c>
      <c r="G870" s="3">
        <v>1.4660016</v>
      </c>
      <c r="H870" s="3">
        <v>1.6751555</v>
      </c>
      <c r="I870" s="3">
        <v>1.8665144</v>
      </c>
      <c r="J870" s="3">
        <v>2.0366881000000001</v>
      </c>
      <c r="K870" s="3">
        <v>2.1876125000000002</v>
      </c>
      <c r="L870" s="3">
        <v>2.3234746999999998</v>
      </c>
      <c r="M870" s="3">
        <v>2.4469362000000001</v>
      </c>
      <c r="N870" s="3">
        <v>2.5580726</v>
      </c>
      <c r="O870" s="3">
        <v>2.6560839999999999</v>
      </c>
      <c r="P870" s="3">
        <v>2.7386436000000001</v>
      </c>
      <c r="Q870" s="3">
        <v>2.8029236000000002</v>
      </c>
      <c r="R870" s="3">
        <v>2.8494464000000002</v>
      </c>
      <c r="S870" s="3">
        <v>2.8796322999999999</v>
      </c>
      <c r="T870" s="3">
        <v>2.8949018999999998</v>
      </c>
      <c r="U870" s="3">
        <v>2.8966756999999999</v>
      </c>
      <c r="V870" s="3">
        <v>2.886374</v>
      </c>
      <c r="W870" s="3">
        <v>2.8654863000000002</v>
      </c>
      <c r="X870" s="3">
        <v>2.8358550999999999</v>
      </c>
      <c r="Y870" s="3">
        <v>2.7994355</v>
      </c>
      <c r="Z870" s="3">
        <v>2.7581826999999999</v>
      </c>
      <c r="AA870" s="3">
        <v>2.7140520000000001</v>
      </c>
      <c r="AB870" s="3">
        <v>2.6689986999999999</v>
      </c>
      <c r="AC870" s="3">
        <v>2.6247199999999999</v>
      </c>
      <c r="AD870" s="3">
        <v>2.5816549000000002</v>
      </c>
      <c r="AE870" s="3">
        <v>2.5398600999999998</v>
      </c>
      <c r="AF870" s="3">
        <v>2.4993916999999999</v>
      </c>
      <c r="AG870" s="3">
        <v>2.4603062000000002</v>
      </c>
      <c r="AH870" s="3">
        <v>2.4226599000000002</v>
      </c>
      <c r="AI870" s="3">
        <v>2.3865091999999999</v>
      </c>
      <c r="AJ870" s="3">
        <v>2.3519104</v>
      </c>
      <c r="AK870" s="3">
        <v>2.3189198000000002</v>
      </c>
      <c r="AL870" s="3">
        <v>2.2875937999999998</v>
      </c>
      <c r="AM870" s="3">
        <v>2.2579886999999998</v>
      </c>
      <c r="AN870" s="3">
        <v>2.2301609</v>
      </c>
      <c r="AO870" s="3">
        <v>2.2041438000000002</v>
      </c>
      <c r="AP870" s="3">
        <v>2.1798582</v>
      </c>
      <c r="AQ870" s="3">
        <v>2.1571910999999999</v>
      </c>
      <c r="AR870" s="3">
        <v>2.1360294</v>
      </c>
      <c r="AS870" s="3">
        <v>2.1162599000000002</v>
      </c>
      <c r="AT870" s="3">
        <v>2.0977693999999998</v>
      </c>
      <c r="AU870" s="3">
        <v>2.0804448</v>
      </c>
      <c r="AV870" s="3">
        <v>2.0641729999999998</v>
      </c>
      <c r="AW870" s="3">
        <v>2.0488407999999998</v>
      </c>
      <c r="AX870" s="3">
        <v>2.0343350999999998</v>
      </c>
      <c r="AY870" s="3">
        <v>2.0205427</v>
      </c>
      <c r="AZ870" s="3">
        <v>2.0073504</v>
      </c>
      <c r="BA870" s="3">
        <v>1.9946607000000001</v>
      </c>
      <c r="BB870" s="3">
        <v>1.9824444000000001</v>
      </c>
      <c r="BC870" s="3">
        <v>1.9706912000000001</v>
      </c>
      <c r="BD870" s="3">
        <v>1.9593908</v>
      </c>
      <c r="BE870" s="3">
        <v>1.9485329</v>
      </c>
      <c r="BF870" s="3">
        <v>1.9381073</v>
      </c>
      <c r="BG870" s="3">
        <v>1.9281036</v>
      </c>
      <c r="BH870" s="3">
        <v>1.9185117</v>
      </c>
      <c r="BI870" s="3">
        <v>1.9093211999999999</v>
      </c>
      <c r="BJ870" s="3">
        <v>1.9005217999999999</v>
      </c>
      <c r="BK870" s="3">
        <v>1.8921033</v>
      </c>
      <c r="BL870" s="3">
        <v>1.8840554</v>
      </c>
      <c r="BM870" s="3">
        <v>1.8431446</v>
      </c>
      <c r="BN870" s="3">
        <v>1.8140145000000001</v>
      </c>
    </row>
    <row r="871" spans="1:66" x14ac:dyDescent="0.35">
      <c r="A871" s="5">
        <f t="shared" si="13"/>
        <v>44673</v>
      </c>
      <c r="B871" t="s">
        <v>2200</v>
      </c>
      <c r="C871" s="2">
        <v>0.75</v>
      </c>
      <c r="D871" s="2">
        <v>0.6905</v>
      </c>
      <c r="E871" s="3">
        <v>1.0291901000000001</v>
      </c>
      <c r="F871" s="3">
        <v>1.2060207999999999</v>
      </c>
      <c r="G871" s="3">
        <v>1.4117846000000001</v>
      </c>
      <c r="H871" s="3">
        <v>1.6158124</v>
      </c>
      <c r="I871" s="3">
        <v>1.8019129</v>
      </c>
      <c r="J871" s="3">
        <v>1.9664470000000001</v>
      </c>
      <c r="K871" s="3">
        <v>2.1115900999999999</v>
      </c>
      <c r="L871" s="3">
        <v>2.2410030999999999</v>
      </c>
      <c r="M871" s="3">
        <v>2.3575211</v>
      </c>
      <c r="N871" s="3">
        <v>2.4616250000000002</v>
      </c>
      <c r="O871" s="3">
        <v>2.5528130999999998</v>
      </c>
      <c r="P871" s="3">
        <v>2.6294464</v>
      </c>
      <c r="Q871" s="3">
        <v>2.6896667000000001</v>
      </c>
      <c r="R871" s="3">
        <v>2.7340648000000001</v>
      </c>
      <c r="S871" s="3">
        <v>2.7640102</v>
      </c>
      <c r="T871" s="3">
        <v>2.7808722000000001</v>
      </c>
      <c r="U871" s="3">
        <v>2.7860201</v>
      </c>
      <c r="V871" s="3">
        <v>2.7808234999999999</v>
      </c>
      <c r="W871" s="3">
        <v>2.7666674000000002</v>
      </c>
      <c r="X871" s="3">
        <v>2.7450093</v>
      </c>
      <c r="Y871" s="3">
        <v>2.7173278999999999</v>
      </c>
      <c r="Z871" s="3">
        <v>2.6851018999999998</v>
      </c>
      <c r="AA871" s="3">
        <v>2.6498097999999999</v>
      </c>
      <c r="AB871" s="3">
        <v>2.6129302999999999</v>
      </c>
      <c r="AC871" s="3">
        <v>2.575739</v>
      </c>
      <c r="AD871" s="3">
        <v>2.5386156</v>
      </c>
      <c r="AE871" s="3">
        <v>2.5016924</v>
      </c>
      <c r="AF871" s="3">
        <v>2.4651017</v>
      </c>
      <c r="AG871" s="3">
        <v>2.428976</v>
      </c>
      <c r="AH871" s="3">
        <v>2.3934475000000002</v>
      </c>
      <c r="AI871" s="3">
        <v>2.3586486999999998</v>
      </c>
      <c r="AJ871" s="3">
        <v>2.3247119000000001</v>
      </c>
      <c r="AK871" s="3">
        <v>2.2917694000000002</v>
      </c>
      <c r="AL871" s="3">
        <v>2.2599537000000001</v>
      </c>
      <c r="AM871" s="3">
        <v>2.2293970000000001</v>
      </c>
      <c r="AN871" s="3">
        <v>2.2002318000000001</v>
      </c>
      <c r="AO871" s="3">
        <v>2.1725601000000001</v>
      </c>
      <c r="AP871" s="3">
        <v>2.1463502999999999</v>
      </c>
      <c r="AQ871" s="3">
        <v>2.1215337999999999</v>
      </c>
      <c r="AR871" s="3">
        <v>2.0980420999999998</v>
      </c>
      <c r="AS871" s="3">
        <v>2.0758065999999999</v>
      </c>
      <c r="AT871" s="3">
        <v>2.0547588999999999</v>
      </c>
      <c r="AU871" s="3">
        <v>2.0348304000000002</v>
      </c>
      <c r="AV871" s="3">
        <v>2.0159524000000002</v>
      </c>
      <c r="AW871" s="3">
        <v>1.9980566</v>
      </c>
      <c r="AX871" s="3">
        <v>1.9810744</v>
      </c>
      <c r="AY871" s="3">
        <v>1.9649371</v>
      </c>
      <c r="AZ871" s="3">
        <v>1.9495762999999999</v>
      </c>
      <c r="BA871" s="3">
        <v>1.9349305999999999</v>
      </c>
      <c r="BB871" s="3">
        <v>1.9209700000000001</v>
      </c>
      <c r="BC871" s="3">
        <v>1.9076732000000001</v>
      </c>
      <c r="BD871" s="3">
        <v>1.8950189</v>
      </c>
      <c r="BE871" s="3">
        <v>1.8829857000000001</v>
      </c>
      <c r="BF871" s="3">
        <v>1.8715525</v>
      </c>
      <c r="BG871" s="3">
        <v>1.8606978999999999</v>
      </c>
      <c r="BH871" s="3">
        <v>1.8504004999999999</v>
      </c>
      <c r="BI871" s="3">
        <v>1.8406392</v>
      </c>
      <c r="BJ871" s="3">
        <v>1.8313926</v>
      </c>
      <c r="BK871" s="3">
        <v>1.8226393999999999</v>
      </c>
      <c r="BL871" s="3">
        <v>1.8143583999999999</v>
      </c>
      <c r="BM871" s="3">
        <v>1.7737373000000001</v>
      </c>
      <c r="BN871" s="3">
        <v>1.7468299</v>
      </c>
    </row>
    <row r="872" spans="1:66" x14ac:dyDescent="0.35">
      <c r="A872" s="5">
        <f t="shared" si="13"/>
        <v>44676</v>
      </c>
      <c r="B872" t="s">
        <v>2201</v>
      </c>
      <c r="C872" s="2">
        <v>0.75</v>
      </c>
      <c r="D872" s="2">
        <v>0.68989999999999996</v>
      </c>
      <c r="E872" s="3">
        <v>1.0121962</v>
      </c>
      <c r="F872" s="3">
        <v>1.1924333</v>
      </c>
      <c r="G872" s="3">
        <v>1.3919608000000001</v>
      </c>
      <c r="H872" s="3">
        <v>1.5866905</v>
      </c>
      <c r="I872" s="3">
        <v>1.7602930999999999</v>
      </c>
      <c r="J872" s="3">
        <v>1.9096153</v>
      </c>
      <c r="K872" s="3">
        <v>2.0371826</v>
      </c>
      <c r="L872" s="3">
        <v>2.1480397999999998</v>
      </c>
      <c r="M872" s="3">
        <v>2.2459927</v>
      </c>
      <c r="N872" s="3">
        <v>2.3331871</v>
      </c>
      <c r="O872" s="3">
        <v>2.4096384</v>
      </c>
      <c r="P872" s="3">
        <v>2.4741088000000002</v>
      </c>
      <c r="Q872" s="3">
        <v>2.5245104</v>
      </c>
      <c r="R872" s="3">
        <v>2.5612145000000002</v>
      </c>
      <c r="S872" s="3">
        <v>2.5853082000000001</v>
      </c>
      <c r="T872" s="3">
        <v>2.5978783000000001</v>
      </c>
      <c r="U872" s="3">
        <v>2.6000119000000002</v>
      </c>
      <c r="V872" s="3">
        <v>2.5927958000000002</v>
      </c>
      <c r="W872" s="3">
        <v>2.5773725000000001</v>
      </c>
      <c r="X872" s="3">
        <v>2.5551170999999999</v>
      </c>
      <c r="Y872" s="3">
        <v>2.527466</v>
      </c>
      <c r="Z872" s="3">
        <v>2.4958553000000001</v>
      </c>
      <c r="AA872" s="3">
        <v>2.4617216000000002</v>
      </c>
      <c r="AB872" s="3">
        <v>2.426501</v>
      </c>
      <c r="AC872" s="3">
        <v>2.3914259000000002</v>
      </c>
      <c r="AD872" s="3">
        <v>2.3568272000000001</v>
      </c>
      <c r="AE872" s="3">
        <v>2.3227875999999998</v>
      </c>
      <c r="AF872" s="3">
        <v>2.2893895</v>
      </c>
      <c r="AG872" s="3">
        <v>2.2567154999999999</v>
      </c>
      <c r="AH872" s="3">
        <v>2.2248478999999999</v>
      </c>
      <c r="AI872" s="3">
        <v>2.1938694999999999</v>
      </c>
      <c r="AJ872" s="3">
        <v>2.1638625999999999</v>
      </c>
      <c r="AK872" s="3">
        <v>2.1349097000000001</v>
      </c>
      <c r="AL872" s="3">
        <v>2.1070935</v>
      </c>
      <c r="AM872" s="3">
        <v>2.0804963000000001</v>
      </c>
      <c r="AN872" s="3">
        <v>2.0552006999999999</v>
      </c>
      <c r="AO872" s="3">
        <v>2.0312663999999998</v>
      </c>
      <c r="AP872" s="3">
        <v>2.0086525000000002</v>
      </c>
      <c r="AQ872" s="3">
        <v>1.9872903</v>
      </c>
      <c r="AR872" s="3">
        <v>1.9671110999999999</v>
      </c>
      <c r="AS872" s="3">
        <v>1.9480462999999999</v>
      </c>
      <c r="AT872" s="3">
        <v>1.9300271</v>
      </c>
      <c r="AU872" s="3">
        <v>1.9129849000000001</v>
      </c>
      <c r="AV872" s="3">
        <v>1.8968510999999999</v>
      </c>
      <c r="AW872" s="3">
        <v>1.8815568</v>
      </c>
      <c r="AX872" s="3">
        <v>1.8670335</v>
      </c>
      <c r="AY872" s="3">
        <v>1.8532124999999999</v>
      </c>
      <c r="AZ872" s="3">
        <v>1.8400251000000001</v>
      </c>
      <c r="BA872" s="3">
        <v>1.8274096</v>
      </c>
      <c r="BB872" s="3">
        <v>1.8153423</v>
      </c>
      <c r="BC872" s="3">
        <v>1.8038118000000001</v>
      </c>
      <c r="BD872" s="3">
        <v>1.7928071999999999</v>
      </c>
      <c r="BE872" s="3">
        <v>1.7823173000000001</v>
      </c>
      <c r="BF872" s="3">
        <v>1.7723309</v>
      </c>
      <c r="BG872" s="3">
        <v>1.7628368000000001</v>
      </c>
      <c r="BH872" s="3">
        <v>1.753824</v>
      </c>
      <c r="BI872" s="3">
        <v>1.7452813</v>
      </c>
      <c r="BJ872" s="3">
        <v>1.7371975</v>
      </c>
      <c r="BK872" s="3">
        <v>1.7295616</v>
      </c>
      <c r="BL872" s="3">
        <v>1.7223622999999999</v>
      </c>
      <c r="BM872" s="3">
        <v>1.6876872000000001</v>
      </c>
      <c r="BN872" s="3">
        <v>1.6657694000000001</v>
      </c>
    </row>
    <row r="873" spans="1:66" x14ac:dyDescent="0.35">
      <c r="A873" s="5">
        <f t="shared" si="13"/>
        <v>44677</v>
      </c>
      <c r="B873" t="s">
        <v>2202</v>
      </c>
      <c r="C873" s="2">
        <v>0.75</v>
      </c>
      <c r="D873" s="2">
        <v>0.69030000000000002</v>
      </c>
      <c r="E873" s="3">
        <v>1.0100268999999999</v>
      </c>
      <c r="F873" s="3">
        <v>1.1912065999999999</v>
      </c>
      <c r="G873" s="3">
        <v>1.3896115</v>
      </c>
      <c r="H873" s="3">
        <v>1.5835589000000001</v>
      </c>
      <c r="I873" s="3">
        <v>1.7570452000000001</v>
      </c>
      <c r="J873" s="3">
        <v>1.9059299000000001</v>
      </c>
      <c r="K873" s="3">
        <v>2.0313715000000001</v>
      </c>
      <c r="L873" s="3">
        <v>2.1381798999999999</v>
      </c>
      <c r="M873" s="3">
        <v>2.2305611999999999</v>
      </c>
      <c r="N873" s="3">
        <v>2.3113792000000002</v>
      </c>
      <c r="O873" s="3">
        <v>2.3815053000000002</v>
      </c>
      <c r="P873" s="3">
        <v>2.4399736000000001</v>
      </c>
      <c r="Q873" s="3">
        <v>2.4850688000000001</v>
      </c>
      <c r="R873" s="3">
        <v>2.5172121000000001</v>
      </c>
      <c r="S873" s="3">
        <v>2.5374216999999999</v>
      </c>
      <c r="T873" s="3">
        <v>2.5467157</v>
      </c>
      <c r="U873" s="3">
        <v>2.5461122</v>
      </c>
      <c r="V873" s="3">
        <v>2.5366293999999998</v>
      </c>
      <c r="W873" s="3">
        <v>2.5193443000000002</v>
      </c>
      <c r="X873" s="3">
        <v>2.4955812000000002</v>
      </c>
      <c r="Y873" s="3">
        <v>2.4667294000000002</v>
      </c>
      <c r="Z873" s="3">
        <v>2.4341780000000002</v>
      </c>
      <c r="AA873" s="3">
        <v>2.3993164999999999</v>
      </c>
      <c r="AB873" s="3">
        <v>2.3635339000000002</v>
      </c>
      <c r="AC873" s="3">
        <v>2.3280219999999998</v>
      </c>
      <c r="AD873" s="3">
        <v>2.2931005</v>
      </c>
      <c r="AE873" s="3">
        <v>2.2588482999999999</v>
      </c>
      <c r="AF873" s="3">
        <v>2.2253446000000001</v>
      </c>
      <c r="AG873" s="3">
        <v>2.1926682999999998</v>
      </c>
      <c r="AH873" s="3">
        <v>2.1608984000000002</v>
      </c>
      <c r="AI873" s="3">
        <v>2.1301139999999998</v>
      </c>
      <c r="AJ873" s="3">
        <v>2.1003942000000002</v>
      </c>
      <c r="AK873" s="3">
        <v>2.0718177999999998</v>
      </c>
      <c r="AL873" s="3">
        <v>2.0444640000000001</v>
      </c>
      <c r="AM873" s="3">
        <v>2.0184118999999998</v>
      </c>
      <c r="AN873" s="3">
        <v>1.9937403</v>
      </c>
      <c r="AO873" s="3">
        <v>1.9705089</v>
      </c>
      <c r="AP873" s="3">
        <v>1.9486725</v>
      </c>
      <c r="AQ873" s="3">
        <v>1.9281508999999999</v>
      </c>
      <c r="AR873" s="3">
        <v>1.9088636999999999</v>
      </c>
      <c r="AS873" s="3">
        <v>1.8907305999999999</v>
      </c>
      <c r="AT873" s="3">
        <v>1.8736713</v>
      </c>
      <c r="AU873" s="3">
        <v>1.8576055</v>
      </c>
      <c r="AV873" s="3">
        <v>1.8424528</v>
      </c>
      <c r="AW873" s="3">
        <v>1.828133</v>
      </c>
      <c r="AX873" s="3">
        <v>1.8145658</v>
      </c>
      <c r="AY873" s="3">
        <v>1.8016707999999999</v>
      </c>
      <c r="AZ873" s="3">
        <v>1.7893676999999999</v>
      </c>
      <c r="BA873" s="3">
        <v>1.7775852999999999</v>
      </c>
      <c r="BB873" s="3">
        <v>1.7662968999999999</v>
      </c>
      <c r="BC873" s="3">
        <v>1.7554894000000001</v>
      </c>
      <c r="BD873" s="3">
        <v>1.7451494000000001</v>
      </c>
      <c r="BE873" s="3">
        <v>1.7352637</v>
      </c>
      <c r="BF873" s="3">
        <v>1.7258192000000001</v>
      </c>
      <c r="BG873" s="3">
        <v>1.7168026999999999</v>
      </c>
      <c r="BH873" s="3">
        <v>1.7082009</v>
      </c>
      <c r="BI873" s="3">
        <v>1.7000006999999999</v>
      </c>
      <c r="BJ873" s="3">
        <v>1.6921888</v>
      </c>
      <c r="BK873" s="3">
        <v>1.684752</v>
      </c>
      <c r="BL873" s="3">
        <v>1.6776770999999999</v>
      </c>
      <c r="BM873" s="3">
        <v>1.6423184</v>
      </c>
      <c r="BN873" s="3">
        <v>1.6180549</v>
      </c>
    </row>
    <row r="874" spans="1:66" x14ac:dyDescent="0.35">
      <c r="A874" s="5">
        <f t="shared" si="13"/>
        <v>44678</v>
      </c>
      <c r="B874" t="s">
        <v>2203</v>
      </c>
      <c r="C874" s="2">
        <v>0.75</v>
      </c>
      <c r="D874" s="2">
        <v>0.69020000000000004</v>
      </c>
      <c r="E874" s="3">
        <v>1.0096871000000001</v>
      </c>
      <c r="F874" s="3">
        <v>1.1844644</v>
      </c>
      <c r="G874" s="3">
        <v>1.3757817000000001</v>
      </c>
      <c r="H874" s="3">
        <v>1.5639892</v>
      </c>
      <c r="I874" s="3">
        <v>1.7330931999999999</v>
      </c>
      <c r="J874" s="3">
        <v>1.8792420000000001</v>
      </c>
      <c r="K874" s="3">
        <v>2.0033579000000001</v>
      </c>
      <c r="L874" s="3">
        <v>2.1099116000000002</v>
      </c>
      <c r="M874" s="3">
        <v>2.2031470999999998</v>
      </c>
      <c r="N874" s="3">
        <v>2.2856508999999998</v>
      </c>
      <c r="O874" s="3">
        <v>2.3578567000000001</v>
      </c>
      <c r="P874" s="3">
        <v>2.4184971000000002</v>
      </c>
      <c r="Q874" s="3">
        <v>2.4652861000000001</v>
      </c>
      <c r="R874" s="3">
        <v>2.4985558999999999</v>
      </c>
      <c r="S874" s="3">
        <v>2.5193827999999998</v>
      </c>
      <c r="T874" s="3">
        <v>2.5288431</v>
      </c>
      <c r="U874" s="3">
        <v>2.5280130999999999</v>
      </c>
      <c r="V874" s="3">
        <v>2.5179692</v>
      </c>
      <c r="W874" s="3">
        <v>2.4998497</v>
      </c>
      <c r="X874" s="3">
        <v>2.4750540000000001</v>
      </c>
      <c r="Y874" s="3">
        <v>2.4450501</v>
      </c>
      <c r="Z874" s="3">
        <v>2.4113058000000001</v>
      </c>
      <c r="AA874" s="3">
        <v>2.3752892000000001</v>
      </c>
      <c r="AB874" s="3">
        <v>2.3384683000000002</v>
      </c>
      <c r="AC874" s="3">
        <v>2.3021387</v>
      </c>
      <c r="AD874" s="3">
        <v>2.2666699000000001</v>
      </c>
      <c r="AE874" s="3">
        <v>2.2321203999999999</v>
      </c>
      <c r="AF874" s="3">
        <v>2.1985484999999998</v>
      </c>
      <c r="AG874" s="3">
        <v>2.1660127</v>
      </c>
      <c r="AH874" s="3">
        <v>2.1345711999999999</v>
      </c>
      <c r="AI874" s="3">
        <v>2.1042825000000001</v>
      </c>
      <c r="AJ874" s="3">
        <v>2.075205</v>
      </c>
      <c r="AK874" s="3">
        <v>2.0473968999999999</v>
      </c>
      <c r="AL874" s="3">
        <v>2.0209166999999999</v>
      </c>
      <c r="AM874" s="3">
        <v>1.9958226999999999</v>
      </c>
      <c r="AN874" s="3">
        <v>1.9721732999999999</v>
      </c>
      <c r="AO874" s="3">
        <v>1.950007</v>
      </c>
      <c r="AP874" s="3">
        <v>1.9292659999999999</v>
      </c>
      <c r="AQ874" s="3">
        <v>1.9098628</v>
      </c>
      <c r="AR874" s="3">
        <v>1.89171</v>
      </c>
      <c r="AS874" s="3">
        <v>1.8747205</v>
      </c>
      <c r="AT874" s="3">
        <v>1.8588066999999999</v>
      </c>
      <c r="AU874" s="3">
        <v>1.8438813999999999</v>
      </c>
      <c r="AV874" s="3">
        <v>1.8298573</v>
      </c>
      <c r="AW874" s="3">
        <v>1.8166469000000001</v>
      </c>
      <c r="AX874" s="3">
        <v>1.8041628999999999</v>
      </c>
      <c r="AY874" s="3">
        <v>1.7923180000000001</v>
      </c>
      <c r="AZ874" s="3">
        <v>1.7810248</v>
      </c>
      <c r="BA874" s="3">
        <v>1.7702073</v>
      </c>
      <c r="BB874" s="3">
        <v>1.7598398</v>
      </c>
      <c r="BC874" s="3">
        <v>1.7499102</v>
      </c>
      <c r="BD874" s="3">
        <v>1.7404066</v>
      </c>
      <c r="BE874" s="3">
        <v>1.7313168999999999</v>
      </c>
      <c r="BF874" s="3">
        <v>1.7226292000000001</v>
      </c>
      <c r="BG874" s="3">
        <v>1.7143314999999999</v>
      </c>
      <c r="BH874" s="3">
        <v>1.7064117999999999</v>
      </c>
      <c r="BI874" s="3">
        <v>1.6988581</v>
      </c>
      <c r="BJ874" s="3">
        <v>1.6916585</v>
      </c>
      <c r="BK874" s="3">
        <v>1.684801</v>
      </c>
      <c r="BL874" s="3">
        <v>1.6782735</v>
      </c>
      <c r="BM874" s="3">
        <v>1.6455956</v>
      </c>
      <c r="BN874" s="3">
        <v>1.6231553999999999</v>
      </c>
    </row>
    <row r="875" spans="1:66" x14ac:dyDescent="0.35">
      <c r="A875" s="5">
        <f t="shared" si="13"/>
        <v>44679</v>
      </c>
      <c r="B875" t="s">
        <v>2204</v>
      </c>
      <c r="C875" s="2">
        <v>0.75</v>
      </c>
      <c r="D875" s="2">
        <v>0.68959999999999999</v>
      </c>
      <c r="E875" s="3">
        <v>1.0152349000000001</v>
      </c>
      <c r="F875" s="3">
        <v>1.2104817999999999</v>
      </c>
      <c r="G875" s="3">
        <v>1.4134869999999999</v>
      </c>
      <c r="H875" s="3">
        <v>1.6075695999999999</v>
      </c>
      <c r="I875" s="3">
        <v>1.7792106000000001</v>
      </c>
      <c r="J875" s="3">
        <v>1.926193</v>
      </c>
      <c r="K875" s="3">
        <v>2.0500398999999998</v>
      </c>
      <c r="L875" s="3">
        <v>2.1551149999999999</v>
      </c>
      <c r="M875" s="3">
        <v>2.2459650999999998</v>
      </c>
      <c r="N875" s="3">
        <v>2.3249745000000002</v>
      </c>
      <c r="O875" s="3">
        <v>2.3931703</v>
      </c>
      <c r="P875" s="3">
        <v>2.4497252</v>
      </c>
      <c r="Q875" s="3">
        <v>2.4931880999999998</v>
      </c>
      <c r="R875" s="3">
        <v>2.5240014</v>
      </c>
      <c r="S875" s="3">
        <v>2.5431216999999999</v>
      </c>
      <c r="T875" s="3">
        <v>2.5515053000000001</v>
      </c>
      <c r="U875" s="3">
        <v>2.5501087999999998</v>
      </c>
      <c r="V875" s="3">
        <v>2.5398884000000002</v>
      </c>
      <c r="W875" s="3">
        <v>2.5218636999999999</v>
      </c>
      <c r="X875" s="3">
        <v>2.4973766999999998</v>
      </c>
      <c r="Y875" s="3">
        <v>2.4678722999999998</v>
      </c>
      <c r="Z875" s="3">
        <v>2.4347956000000002</v>
      </c>
      <c r="AA875" s="3">
        <v>2.3995917000000002</v>
      </c>
      <c r="AB875" s="3">
        <v>2.3637057000000001</v>
      </c>
      <c r="AC875" s="3">
        <v>2.3283944999999999</v>
      </c>
      <c r="AD875" s="3">
        <v>2.2939973999999999</v>
      </c>
      <c r="AE875" s="3">
        <v>2.2605746999999998</v>
      </c>
      <c r="AF875" s="3">
        <v>2.2281867000000002</v>
      </c>
      <c r="AG875" s="3">
        <v>2.1968936000000001</v>
      </c>
      <c r="AH875" s="3">
        <v>2.1667554999999998</v>
      </c>
      <c r="AI875" s="3">
        <v>2.1378327000000001</v>
      </c>
      <c r="AJ875" s="3">
        <v>2.1101852999999999</v>
      </c>
      <c r="AK875" s="3">
        <v>2.0838736999999998</v>
      </c>
      <c r="AL875" s="3">
        <v>2.0589578999999998</v>
      </c>
      <c r="AM875" s="3">
        <v>2.0354983</v>
      </c>
      <c r="AN875" s="3">
        <v>2.0135550000000002</v>
      </c>
      <c r="AO875" s="3">
        <v>1.9931639999999999</v>
      </c>
      <c r="AP875" s="3">
        <v>1.9742550999999999</v>
      </c>
      <c r="AQ875" s="3">
        <v>1.9567285999999999</v>
      </c>
      <c r="AR875" s="3">
        <v>1.9404844999999999</v>
      </c>
      <c r="AS875" s="3">
        <v>1.9254233000000001</v>
      </c>
      <c r="AT875" s="3">
        <v>1.9114452</v>
      </c>
      <c r="AU875" s="3">
        <v>1.8984504</v>
      </c>
      <c r="AV875" s="3">
        <v>1.8863392000000001</v>
      </c>
      <c r="AW875" s="3">
        <v>1.8750119000000001</v>
      </c>
      <c r="AX875" s="3">
        <v>1.8643687</v>
      </c>
      <c r="AY875" s="3">
        <v>1.8543099000000001</v>
      </c>
      <c r="AZ875" s="3">
        <v>1.8447357</v>
      </c>
      <c r="BA875" s="3">
        <v>1.8355598</v>
      </c>
      <c r="BB875" s="3">
        <v>1.8267549000000001</v>
      </c>
      <c r="BC875" s="3">
        <v>1.8183102</v>
      </c>
      <c r="BD875" s="3">
        <v>1.8102147</v>
      </c>
      <c r="BE875" s="3">
        <v>1.8024576000000001</v>
      </c>
      <c r="BF875" s="3">
        <v>1.7950276999999999</v>
      </c>
      <c r="BG875" s="3">
        <v>1.7879144</v>
      </c>
      <c r="BH875" s="3">
        <v>1.7811064999999999</v>
      </c>
      <c r="BI875" s="3">
        <v>1.7745933</v>
      </c>
      <c r="BJ875" s="3">
        <v>1.7683637999999999</v>
      </c>
      <c r="BK875" s="3">
        <v>1.7624070000000001</v>
      </c>
      <c r="BL875" s="3">
        <v>1.7567121000000001</v>
      </c>
      <c r="BM875" s="3">
        <v>1.727765</v>
      </c>
      <c r="BN875" s="3">
        <v>1.7075244999999999</v>
      </c>
    </row>
    <row r="876" spans="1:66" x14ac:dyDescent="0.35">
      <c r="A876" s="5">
        <f t="shared" si="13"/>
        <v>44680</v>
      </c>
      <c r="B876" t="s">
        <v>2205</v>
      </c>
      <c r="C876" s="2">
        <v>0.75</v>
      </c>
      <c r="D876" s="2">
        <v>0.69069999999999998</v>
      </c>
      <c r="E876" s="3">
        <v>1.0331931000000001</v>
      </c>
      <c r="F876" s="3">
        <v>1.2361321999999999</v>
      </c>
      <c r="G876" s="3">
        <v>1.4466988000000001</v>
      </c>
      <c r="H876" s="3">
        <v>1.6472819000000001</v>
      </c>
      <c r="I876" s="3">
        <v>1.8235783999999999</v>
      </c>
      <c r="J876" s="3">
        <v>1.9742979000000001</v>
      </c>
      <c r="K876" s="3">
        <v>2.1018593999999999</v>
      </c>
      <c r="L876" s="3">
        <v>2.2096186000000002</v>
      </c>
      <c r="M876" s="3">
        <v>2.3023908999999998</v>
      </c>
      <c r="N876" s="3">
        <v>2.3831585999999998</v>
      </c>
      <c r="O876" s="3">
        <v>2.4530633000000002</v>
      </c>
      <c r="P876" s="3">
        <v>2.5114679</v>
      </c>
      <c r="Q876" s="3">
        <v>2.5560079999999998</v>
      </c>
      <c r="R876" s="3">
        <v>2.5868861000000001</v>
      </c>
      <c r="S876" s="3">
        <v>2.6053255000000002</v>
      </c>
      <c r="T876" s="3">
        <v>2.6125500000000001</v>
      </c>
      <c r="U876" s="3">
        <v>2.6097836000000001</v>
      </c>
      <c r="V876" s="3">
        <v>2.5982500000000002</v>
      </c>
      <c r="W876" s="3">
        <v>2.5791978000000002</v>
      </c>
      <c r="X876" s="3">
        <v>2.5539904999999998</v>
      </c>
      <c r="Y876" s="3">
        <v>2.5240243000000002</v>
      </c>
      <c r="Z876" s="3">
        <v>2.4906958000000001</v>
      </c>
      <c r="AA876" s="3">
        <v>2.4554014</v>
      </c>
      <c r="AB876" s="3">
        <v>2.4195378000000001</v>
      </c>
      <c r="AC876" s="3">
        <v>2.3842970999999999</v>
      </c>
      <c r="AD876" s="3">
        <v>2.3499707999999999</v>
      </c>
      <c r="AE876" s="3">
        <v>2.3166015999999998</v>
      </c>
      <c r="AF876" s="3">
        <v>2.2842321999999999</v>
      </c>
      <c r="AG876" s="3">
        <v>2.2529053000000001</v>
      </c>
      <c r="AH876" s="3">
        <v>2.2226636000000002</v>
      </c>
      <c r="AI876" s="3">
        <v>2.1935498999999998</v>
      </c>
      <c r="AJ876" s="3">
        <v>2.1656067999999999</v>
      </c>
      <c r="AK876" s="3">
        <v>2.1388772</v>
      </c>
      <c r="AL876" s="3">
        <v>2.1134035999999998</v>
      </c>
      <c r="AM876" s="3">
        <v>2.0892289000000002</v>
      </c>
      <c r="AN876" s="3">
        <v>2.0663957000000002</v>
      </c>
      <c r="AO876" s="3">
        <v>2.0449288999999999</v>
      </c>
      <c r="AP876" s="3">
        <v>2.0247739999999999</v>
      </c>
      <c r="AQ876" s="3">
        <v>2.0058547999999998</v>
      </c>
      <c r="AR876" s="3">
        <v>1.9880951</v>
      </c>
      <c r="AS876" s="3">
        <v>1.9714186</v>
      </c>
      <c r="AT876" s="3">
        <v>1.9557491</v>
      </c>
      <c r="AU876" s="3">
        <v>1.9410103999999999</v>
      </c>
      <c r="AV876" s="3">
        <v>1.9271263000000001</v>
      </c>
      <c r="AW876" s="3">
        <v>1.9140204000000001</v>
      </c>
      <c r="AX876" s="3">
        <v>1.9016166000000001</v>
      </c>
      <c r="AY876" s="3">
        <v>1.8898386</v>
      </c>
      <c r="AZ876" s="3">
        <v>1.8786102</v>
      </c>
      <c r="BA876" s="3">
        <v>1.8678650000000001</v>
      </c>
      <c r="BB876" s="3">
        <v>1.8575797000000001</v>
      </c>
      <c r="BC876" s="3">
        <v>1.8477428</v>
      </c>
      <c r="BD876" s="3">
        <v>1.8383430999999999</v>
      </c>
      <c r="BE876" s="3">
        <v>1.8293693</v>
      </c>
      <c r="BF876" s="3">
        <v>1.8208097999999999</v>
      </c>
      <c r="BG876" s="3">
        <v>1.8126534999999999</v>
      </c>
      <c r="BH876" s="3">
        <v>1.804889</v>
      </c>
      <c r="BI876" s="3">
        <v>1.7975048</v>
      </c>
      <c r="BJ876" s="3">
        <v>1.7904895999999999</v>
      </c>
      <c r="BK876" s="3">
        <v>1.7838320999999999</v>
      </c>
      <c r="BL876" s="3">
        <v>1.7775209999999999</v>
      </c>
      <c r="BM876" s="3">
        <v>1.7464885000000001</v>
      </c>
      <c r="BN876" s="3">
        <v>1.7262609</v>
      </c>
    </row>
    <row r="877" spans="1:66" x14ac:dyDescent="0.35">
      <c r="A877" s="5">
        <f t="shared" si="13"/>
        <v>44683</v>
      </c>
      <c r="B877" t="s">
        <v>2206</v>
      </c>
      <c r="C877" s="2">
        <v>0.75</v>
      </c>
      <c r="D877" s="2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  <c r="P877" s="3" t="e">
        <v>#N/A</v>
      </c>
      <c r="Q877" s="3" t="e">
        <v>#N/A</v>
      </c>
      <c r="R877" s="3" t="e">
        <v>#N/A</v>
      </c>
      <c r="S877" s="3" t="e">
        <v>#N/A</v>
      </c>
      <c r="T877" s="3" t="e">
        <v>#N/A</v>
      </c>
      <c r="U877" s="3" t="e">
        <v>#N/A</v>
      </c>
      <c r="V877" s="3" t="e">
        <v>#N/A</v>
      </c>
      <c r="W877" s="3" t="e">
        <v>#N/A</v>
      </c>
      <c r="X877" s="3" t="e">
        <v>#N/A</v>
      </c>
      <c r="Y877" s="3" t="e">
        <v>#N/A</v>
      </c>
      <c r="Z877" s="3" t="e">
        <v>#N/A</v>
      </c>
      <c r="AA877" s="3" t="e">
        <v>#N/A</v>
      </c>
      <c r="AB877" s="3" t="e">
        <v>#N/A</v>
      </c>
      <c r="AC877" s="3" t="e">
        <v>#N/A</v>
      </c>
      <c r="AD877" s="3" t="e">
        <v>#N/A</v>
      </c>
      <c r="AE877" s="3" t="e">
        <v>#N/A</v>
      </c>
      <c r="AF877" s="3" t="e">
        <v>#N/A</v>
      </c>
      <c r="AG877" s="3" t="e">
        <v>#N/A</v>
      </c>
      <c r="AH877" s="3" t="e">
        <v>#N/A</v>
      </c>
      <c r="AI877" s="3" t="e">
        <v>#N/A</v>
      </c>
      <c r="AJ877" s="3" t="e">
        <v>#N/A</v>
      </c>
      <c r="AK877" s="3" t="e">
        <v>#N/A</v>
      </c>
      <c r="AL877" s="3" t="e">
        <v>#N/A</v>
      </c>
      <c r="AM877" s="3" t="e">
        <v>#N/A</v>
      </c>
      <c r="AN877" s="3" t="e">
        <v>#N/A</v>
      </c>
      <c r="AO877" s="3" t="e">
        <v>#N/A</v>
      </c>
      <c r="AP877" s="3" t="e">
        <v>#N/A</v>
      </c>
      <c r="AQ877" s="3" t="e">
        <v>#N/A</v>
      </c>
      <c r="AR877" s="3" t="e">
        <v>#N/A</v>
      </c>
      <c r="AS877" s="3" t="e">
        <v>#N/A</v>
      </c>
      <c r="AT877" s="3" t="e">
        <v>#N/A</v>
      </c>
      <c r="AU877" s="3" t="e">
        <v>#N/A</v>
      </c>
      <c r="AV877" s="3" t="e">
        <v>#N/A</v>
      </c>
      <c r="AW877" s="3" t="e">
        <v>#N/A</v>
      </c>
      <c r="AX877" s="3" t="e">
        <v>#N/A</v>
      </c>
      <c r="AY877" s="3" t="e">
        <v>#N/A</v>
      </c>
      <c r="AZ877" s="3" t="e">
        <v>#N/A</v>
      </c>
      <c r="BA877" s="3" t="e">
        <v>#N/A</v>
      </c>
      <c r="BB877" s="3" t="e">
        <v>#N/A</v>
      </c>
      <c r="BC877" s="3" t="e">
        <v>#N/A</v>
      </c>
      <c r="BD877" s="3" t="e">
        <v>#N/A</v>
      </c>
      <c r="BE877" s="3" t="e">
        <v>#N/A</v>
      </c>
      <c r="BF877" s="3" t="e">
        <v>#N/A</v>
      </c>
      <c r="BG877" s="3" t="e">
        <v>#N/A</v>
      </c>
      <c r="BH877" s="3" t="e">
        <v>#N/A</v>
      </c>
      <c r="BI877" s="3" t="e">
        <v>#N/A</v>
      </c>
      <c r="BJ877" s="3" t="e">
        <v>#N/A</v>
      </c>
      <c r="BK877" s="3" t="e">
        <v>#N/A</v>
      </c>
      <c r="BL877" s="3" t="e">
        <v>#N/A</v>
      </c>
      <c r="BM877" s="3" t="e">
        <v>#N/A</v>
      </c>
      <c r="BN877" s="3" t="e">
        <v>#N/A</v>
      </c>
    </row>
    <row r="878" spans="1:66" x14ac:dyDescent="0.35">
      <c r="A878" s="5">
        <f t="shared" si="13"/>
        <v>44684</v>
      </c>
      <c r="B878" t="s">
        <v>2207</v>
      </c>
      <c r="C878" s="2">
        <v>0.75</v>
      </c>
      <c r="D878" s="2">
        <v>0.69059999999999999</v>
      </c>
      <c r="E878" s="3">
        <v>1.0550917</v>
      </c>
      <c r="F878" s="3">
        <v>1.2727672999999999</v>
      </c>
      <c r="G878" s="3">
        <v>1.492292</v>
      </c>
      <c r="H878" s="3">
        <v>1.7002609</v>
      </c>
      <c r="I878" s="3">
        <v>1.8813465</v>
      </c>
      <c r="J878" s="3">
        <v>2.0347202000000002</v>
      </c>
      <c r="K878" s="3">
        <v>2.1633003999999998</v>
      </c>
      <c r="L878" s="3">
        <v>2.2716196000000002</v>
      </c>
      <c r="M878" s="3">
        <v>2.3642204000000002</v>
      </c>
      <c r="N878" s="3">
        <v>2.4442308000000001</v>
      </c>
      <c r="O878" s="3">
        <v>2.5126146</v>
      </c>
      <c r="P878" s="3">
        <v>2.5691438999999998</v>
      </c>
      <c r="Q878" s="3">
        <v>2.6126706</v>
      </c>
      <c r="R878" s="3">
        <v>2.6436199999999999</v>
      </c>
      <c r="S878" s="3">
        <v>2.6628973</v>
      </c>
      <c r="T878" s="3">
        <v>2.6714076000000002</v>
      </c>
      <c r="U878" s="3">
        <v>2.6700560000000002</v>
      </c>
      <c r="V878" s="3">
        <v>2.6597477</v>
      </c>
      <c r="W878" s="3">
        <v>2.6414628000000002</v>
      </c>
      <c r="X878" s="3">
        <v>2.6165284999999998</v>
      </c>
      <c r="Y878" s="3">
        <v>2.5863730999999999</v>
      </c>
      <c r="Z878" s="3">
        <v>2.5524244999999999</v>
      </c>
      <c r="AA878" s="3">
        <v>2.5161107999999999</v>
      </c>
      <c r="AB878" s="3">
        <v>2.4788602000000002</v>
      </c>
      <c r="AC878" s="3">
        <v>2.4418994000000001</v>
      </c>
      <c r="AD878" s="3">
        <v>2.4055664000000001</v>
      </c>
      <c r="AE878" s="3">
        <v>2.3699542</v>
      </c>
      <c r="AF878" s="3">
        <v>2.3351554999999999</v>
      </c>
      <c r="AG878" s="3">
        <v>2.3012632000000002</v>
      </c>
      <c r="AH878" s="3">
        <v>2.2683703</v>
      </c>
      <c r="AI878" s="3">
        <v>2.2365694</v>
      </c>
      <c r="AJ878" s="3">
        <v>2.2059536</v>
      </c>
      <c r="AK878" s="3">
        <v>2.1766155999999999</v>
      </c>
      <c r="AL878" s="3">
        <v>2.1486481999999998</v>
      </c>
      <c r="AM878" s="3">
        <v>2.1221445000000001</v>
      </c>
      <c r="AN878" s="3">
        <v>2.0971970999999998</v>
      </c>
      <c r="AO878" s="3">
        <v>2.0738786999999999</v>
      </c>
      <c r="AP878" s="3">
        <v>2.0521417</v>
      </c>
      <c r="AQ878" s="3">
        <v>2.0318936999999999</v>
      </c>
      <c r="AR878" s="3">
        <v>2.0130425999999999</v>
      </c>
      <c r="AS878" s="3">
        <v>1.9954962000000001</v>
      </c>
      <c r="AT878" s="3">
        <v>1.9791620999999999</v>
      </c>
      <c r="AU878" s="3">
        <v>1.9639481000000001</v>
      </c>
      <c r="AV878" s="3">
        <v>1.9497621000000001</v>
      </c>
      <c r="AW878" s="3">
        <v>1.9365117000000001</v>
      </c>
      <c r="AX878" s="3">
        <v>1.9241047</v>
      </c>
      <c r="AY878" s="3">
        <v>1.9124487999999999</v>
      </c>
      <c r="AZ878" s="3">
        <v>1.9014519000000001</v>
      </c>
      <c r="BA878" s="3">
        <v>1.8910305999999999</v>
      </c>
      <c r="BB878" s="3">
        <v>1.881149</v>
      </c>
      <c r="BC878" s="3">
        <v>1.8717874000000001</v>
      </c>
      <c r="BD878" s="3">
        <v>1.8629262</v>
      </c>
      <c r="BE878" s="3">
        <v>1.8545453999999999</v>
      </c>
      <c r="BF878" s="3">
        <v>1.8466255</v>
      </c>
      <c r="BG878" s="3">
        <v>1.8391466000000001</v>
      </c>
      <c r="BH878" s="3">
        <v>1.8320889</v>
      </c>
      <c r="BI878" s="3">
        <v>1.8254328</v>
      </c>
      <c r="BJ878" s="3">
        <v>1.8191584999999999</v>
      </c>
      <c r="BK878" s="3">
        <v>1.8132462</v>
      </c>
      <c r="BL878" s="3">
        <v>1.8076762</v>
      </c>
      <c r="BM878" s="3">
        <v>1.7807421999999999</v>
      </c>
      <c r="BN878" s="3">
        <v>1.7636312999999999</v>
      </c>
    </row>
    <row r="879" spans="1:66" x14ac:dyDescent="0.35">
      <c r="A879" s="5">
        <f t="shared" si="13"/>
        <v>44685</v>
      </c>
      <c r="B879" t="s">
        <v>2209</v>
      </c>
      <c r="C879" s="2">
        <v>0.75</v>
      </c>
      <c r="D879" s="2">
        <v>0.69099999999999995</v>
      </c>
      <c r="E879" s="3">
        <v>1.0461372</v>
      </c>
      <c r="F879" s="3">
        <v>1.2635624000000001</v>
      </c>
      <c r="G879" s="3">
        <v>1.4856499999999999</v>
      </c>
      <c r="H879" s="3">
        <v>1.7013775</v>
      </c>
      <c r="I879" s="3">
        <v>1.8926485</v>
      </c>
      <c r="J879" s="3">
        <v>2.0551845000000002</v>
      </c>
      <c r="K879" s="3">
        <v>2.1905345000000001</v>
      </c>
      <c r="L879" s="3">
        <v>2.3031934000000001</v>
      </c>
      <c r="M879" s="3">
        <v>2.3986276000000002</v>
      </c>
      <c r="N879" s="3">
        <v>2.4802206</v>
      </c>
      <c r="O879" s="3">
        <v>2.5498267000000001</v>
      </c>
      <c r="P879" s="3">
        <v>2.6071067000000001</v>
      </c>
      <c r="Q879" s="3">
        <v>2.6509575000000001</v>
      </c>
      <c r="R879" s="3">
        <v>2.6818499999999998</v>
      </c>
      <c r="S879" s="3">
        <v>2.7006909000000001</v>
      </c>
      <c r="T879" s="3">
        <v>2.7083868</v>
      </c>
      <c r="U879" s="3">
        <v>2.7058445</v>
      </c>
      <c r="V879" s="3">
        <v>2.6939706000000001</v>
      </c>
      <c r="W879" s="3">
        <v>2.6737424000000001</v>
      </c>
      <c r="X879" s="3">
        <v>2.6465386</v>
      </c>
      <c r="Y879" s="3">
        <v>2.6138785000000002</v>
      </c>
      <c r="Z879" s="3">
        <v>2.5772816999999999</v>
      </c>
      <c r="AA879" s="3">
        <v>2.538268</v>
      </c>
      <c r="AB879" s="3">
        <v>2.4983569000000001</v>
      </c>
      <c r="AC879" s="3">
        <v>2.4589105999999998</v>
      </c>
      <c r="AD879" s="3">
        <v>2.4203524999999999</v>
      </c>
      <c r="AE879" s="3">
        <v>2.3827603000000002</v>
      </c>
      <c r="AF879" s="3">
        <v>2.3462106</v>
      </c>
      <c r="AG879" s="3">
        <v>2.3107804000000001</v>
      </c>
      <c r="AH879" s="3">
        <v>2.2765466999999999</v>
      </c>
      <c r="AI879" s="3">
        <v>2.2435860999999999</v>
      </c>
      <c r="AJ879" s="3">
        <v>2.2119757</v>
      </c>
      <c r="AK879" s="3">
        <v>2.1817923000000001</v>
      </c>
      <c r="AL879" s="3">
        <v>2.1531126999999999</v>
      </c>
      <c r="AM879" s="3">
        <v>2.1260138999999998</v>
      </c>
      <c r="AN879" s="3">
        <v>2.1005726999999998</v>
      </c>
      <c r="AO879" s="3">
        <v>2.0768442999999999</v>
      </c>
      <c r="AP879" s="3">
        <v>2.054767</v>
      </c>
      <c r="AQ879" s="3">
        <v>2.03424</v>
      </c>
      <c r="AR879" s="3">
        <v>2.0151623000000001</v>
      </c>
      <c r="AS879" s="3">
        <v>1.9974331999999999</v>
      </c>
      <c r="AT879" s="3">
        <v>1.9809516</v>
      </c>
      <c r="AU879" s="3">
        <v>1.9656168000000001</v>
      </c>
      <c r="AV879" s="3">
        <v>1.9513278999999999</v>
      </c>
      <c r="AW879" s="3">
        <v>1.9379839999999999</v>
      </c>
      <c r="AX879" s="3">
        <v>1.9254841</v>
      </c>
      <c r="AY879" s="3">
        <v>1.9137275</v>
      </c>
      <c r="AZ879" s="3">
        <v>1.9026132</v>
      </c>
      <c r="BA879" s="3">
        <v>1.8920515</v>
      </c>
      <c r="BB879" s="3">
        <v>1.8820075999999999</v>
      </c>
      <c r="BC879" s="3">
        <v>1.872463</v>
      </c>
      <c r="BD879" s="3">
        <v>1.8633994</v>
      </c>
      <c r="BE879" s="3">
        <v>1.8547984</v>
      </c>
      <c r="BF879" s="3">
        <v>1.8466416999999999</v>
      </c>
      <c r="BG879" s="3">
        <v>1.838911</v>
      </c>
      <c r="BH879" s="3">
        <v>1.831588</v>
      </c>
      <c r="BI879" s="3">
        <v>1.8246541999999999</v>
      </c>
      <c r="BJ879" s="3">
        <v>1.8180913000000001</v>
      </c>
      <c r="BK879" s="3">
        <v>1.8118810000000001</v>
      </c>
      <c r="BL879" s="3">
        <v>1.8060050000000001</v>
      </c>
      <c r="BM879" s="3">
        <v>1.7770999999999999</v>
      </c>
      <c r="BN879" s="3">
        <v>1.7577858</v>
      </c>
    </row>
    <row r="880" spans="1:66" x14ac:dyDescent="0.35">
      <c r="A880" s="5">
        <f t="shared" si="13"/>
        <v>44686</v>
      </c>
      <c r="B880" t="s">
        <v>2210</v>
      </c>
      <c r="C880" s="2">
        <v>1</v>
      </c>
      <c r="D880" s="2">
        <v>0.93820000000000003</v>
      </c>
      <c r="E880" s="3">
        <v>0.99368489999999998</v>
      </c>
      <c r="F880" s="3">
        <v>1.1896013999999999</v>
      </c>
      <c r="G880" s="3">
        <v>1.3852564000000001</v>
      </c>
      <c r="H880" s="3">
        <v>1.5764026</v>
      </c>
      <c r="I880" s="3">
        <v>1.7506132000000001</v>
      </c>
      <c r="J880" s="3">
        <v>1.9032819999999999</v>
      </c>
      <c r="K880" s="3">
        <v>2.0347502999999998</v>
      </c>
      <c r="L880" s="3">
        <v>2.1463309000000002</v>
      </c>
      <c r="M880" s="3">
        <v>2.2414149000000001</v>
      </c>
      <c r="N880" s="3">
        <v>2.322425</v>
      </c>
      <c r="O880" s="3">
        <v>2.3908163</v>
      </c>
      <c r="P880" s="3">
        <v>2.4468896999999998</v>
      </c>
      <c r="Q880" s="3">
        <v>2.4908972999999999</v>
      </c>
      <c r="R880" s="3">
        <v>2.5235194999999999</v>
      </c>
      <c r="S880" s="3">
        <v>2.5455334999999999</v>
      </c>
      <c r="T880" s="3">
        <v>2.5577163999999999</v>
      </c>
      <c r="U880" s="3">
        <v>2.5608455000000001</v>
      </c>
      <c r="V880" s="3">
        <v>2.5556979000000002</v>
      </c>
      <c r="W880" s="3">
        <v>2.5431176999999998</v>
      </c>
      <c r="X880" s="3">
        <v>2.5242903999999999</v>
      </c>
      <c r="Y880" s="3">
        <v>2.5005109000000001</v>
      </c>
      <c r="Z880" s="3">
        <v>2.473074</v>
      </c>
      <c r="AA880" s="3">
        <v>2.4432746000000001</v>
      </c>
      <c r="AB880" s="3">
        <v>2.4124075</v>
      </c>
      <c r="AC880" s="3">
        <v>2.3816207</v>
      </c>
      <c r="AD880" s="3">
        <v>2.3512705999999999</v>
      </c>
      <c r="AE880" s="3">
        <v>2.3214484</v>
      </c>
      <c r="AF880" s="3">
        <v>2.2922452</v>
      </c>
      <c r="AG880" s="3">
        <v>2.2637518000000001</v>
      </c>
      <c r="AH880" s="3">
        <v>2.2360593</v>
      </c>
      <c r="AI880" s="3">
        <v>2.2092586999999999</v>
      </c>
      <c r="AJ880" s="3">
        <v>2.1834410000000002</v>
      </c>
      <c r="AK880" s="3">
        <v>2.1586972000000002</v>
      </c>
      <c r="AL880" s="3">
        <v>2.1351182</v>
      </c>
      <c r="AM880" s="3">
        <v>2.1127951</v>
      </c>
      <c r="AN880" s="3">
        <v>2.0918188</v>
      </c>
      <c r="AO880" s="3">
        <v>2.0722564000000001</v>
      </c>
      <c r="AP880" s="3">
        <v>2.0540574999999999</v>
      </c>
      <c r="AQ880" s="3">
        <v>2.0371362</v>
      </c>
      <c r="AR880" s="3">
        <v>2.0214066000000002</v>
      </c>
      <c r="AS880" s="3">
        <v>2.0067829000000001</v>
      </c>
      <c r="AT880" s="3">
        <v>1.993179</v>
      </c>
      <c r="AU880" s="3">
        <v>1.9805090000000001</v>
      </c>
      <c r="AV880" s="3">
        <v>1.9686870999999999</v>
      </c>
      <c r="AW880" s="3">
        <v>1.9576273</v>
      </c>
      <c r="AX880" s="3">
        <v>1.9472436</v>
      </c>
      <c r="AY880" s="3">
        <v>1.9374502</v>
      </c>
      <c r="AZ880" s="3">
        <v>1.9281611999999999</v>
      </c>
      <c r="BA880" s="3">
        <v>1.9193017000000001</v>
      </c>
      <c r="BB880" s="3">
        <v>1.9108467</v>
      </c>
      <c r="BC880" s="3">
        <v>1.9027845000000001</v>
      </c>
      <c r="BD880" s="3">
        <v>1.8951035000000001</v>
      </c>
      <c r="BE880" s="3">
        <v>1.8877922</v>
      </c>
      <c r="BF880" s="3">
        <v>1.8808389000000001</v>
      </c>
      <c r="BG880" s="3">
        <v>1.8742321</v>
      </c>
      <c r="BH880" s="3">
        <v>1.8679603</v>
      </c>
      <c r="BI880" s="3">
        <v>1.8620118000000001</v>
      </c>
      <c r="BJ880" s="3">
        <v>1.8563750000000001</v>
      </c>
      <c r="BK880" s="3">
        <v>1.8510384</v>
      </c>
      <c r="BL880" s="3">
        <v>1.8459904</v>
      </c>
      <c r="BM880" s="3">
        <v>1.8213771000000001</v>
      </c>
      <c r="BN880" s="3">
        <v>1.805828</v>
      </c>
    </row>
    <row r="881" spans="1:66" x14ac:dyDescent="0.35">
      <c r="A881" s="5">
        <f t="shared" si="13"/>
        <v>44687</v>
      </c>
      <c r="B881" t="s">
        <v>2211</v>
      </c>
      <c r="C881" s="2">
        <v>1</v>
      </c>
      <c r="D881" s="2">
        <v>0.94089999999999996</v>
      </c>
      <c r="E881" s="3">
        <v>1.0026311999999999</v>
      </c>
      <c r="F881" s="3">
        <v>1.2003505999999999</v>
      </c>
      <c r="G881" s="3">
        <v>1.3914514</v>
      </c>
      <c r="H881" s="3">
        <v>1.5747576999999999</v>
      </c>
      <c r="I881" s="3">
        <v>1.7433145000000001</v>
      </c>
      <c r="J881" s="3">
        <v>1.8951852</v>
      </c>
      <c r="K881" s="3">
        <v>2.0302864999999999</v>
      </c>
      <c r="L881" s="3">
        <v>2.1484730999999999</v>
      </c>
      <c r="M881" s="3">
        <v>2.2507316999999998</v>
      </c>
      <c r="N881" s="3">
        <v>2.3381535000000002</v>
      </c>
      <c r="O881" s="3">
        <v>2.4111817000000002</v>
      </c>
      <c r="P881" s="3">
        <v>2.4701341000000001</v>
      </c>
      <c r="Q881" s="3">
        <v>2.5151618999999998</v>
      </c>
      <c r="R881" s="3">
        <v>2.5472524000000001</v>
      </c>
      <c r="S881" s="3">
        <v>2.5676796</v>
      </c>
      <c r="T881" s="3">
        <v>2.5777173000000002</v>
      </c>
      <c r="U881" s="3">
        <v>2.5786395999999998</v>
      </c>
      <c r="V881" s="3">
        <v>2.5717203</v>
      </c>
      <c r="W881" s="3">
        <v>2.5582163000000002</v>
      </c>
      <c r="X881" s="3">
        <v>2.5393058000000002</v>
      </c>
      <c r="Y881" s="3">
        <v>2.5161440000000002</v>
      </c>
      <c r="Z881" s="3">
        <v>2.4898861999999999</v>
      </c>
      <c r="AA881" s="3">
        <v>2.4616875999999999</v>
      </c>
      <c r="AB881" s="3">
        <v>2.4327033999999998</v>
      </c>
      <c r="AC881" s="3">
        <v>2.4039410999999999</v>
      </c>
      <c r="AD881" s="3">
        <v>2.3756872000000002</v>
      </c>
      <c r="AE881" s="3">
        <v>2.3480091000000001</v>
      </c>
      <c r="AF881" s="3">
        <v>2.3209740000000001</v>
      </c>
      <c r="AG881" s="3">
        <v>2.2946491999999998</v>
      </c>
      <c r="AH881" s="3">
        <v>2.2691018999999999</v>
      </c>
      <c r="AI881" s="3">
        <v>2.2443993999999998</v>
      </c>
      <c r="AJ881" s="3">
        <v>2.2206089000000002</v>
      </c>
      <c r="AK881" s="3">
        <v>2.1977977000000002</v>
      </c>
      <c r="AL881" s="3">
        <v>2.1760329999999999</v>
      </c>
      <c r="AM881" s="3">
        <v>2.1553822</v>
      </c>
      <c r="AN881" s="3">
        <v>2.1359124</v>
      </c>
      <c r="AO881" s="3">
        <v>2.1176705999999998</v>
      </c>
      <c r="AP881" s="3">
        <v>2.1006143000000002</v>
      </c>
      <c r="AQ881" s="3">
        <v>2.0846762999999999</v>
      </c>
      <c r="AR881" s="3">
        <v>2.0697893000000001</v>
      </c>
      <c r="AS881" s="3">
        <v>2.0558860999999999</v>
      </c>
      <c r="AT881" s="3">
        <v>2.0428994999999999</v>
      </c>
      <c r="AU881" s="3">
        <v>2.0307621999999999</v>
      </c>
      <c r="AV881" s="3">
        <v>2.0194070000000002</v>
      </c>
      <c r="AW881" s="3">
        <v>2.0087666</v>
      </c>
      <c r="AX881" s="3">
        <v>1.9987740000000001</v>
      </c>
      <c r="AY881" s="3">
        <v>1.9893616999999999</v>
      </c>
      <c r="AZ881" s="3">
        <v>1.9804625</v>
      </c>
      <c r="BA881" s="3">
        <v>1.9720176</v>
      </c>
      <c r="BB881" s="3">
        <v>1.9640044999999999</v>
      </c>
      <c r="BC881" s="3">
        <v>1.9564106999999999</v>
      </c>
      <c r="BD881" s="3">
        <v>1.9492240000000001</v>
      </c>
      <c r="BE881" s="3">
        <v>1.9424319000000001</v>
      </c>
      <c r="BF881" s="3">
        <v>1.9360222</v>
      </c>
      <c r="BG881" s="3">
        <v>1.9299823</v>
      </c>
      <c r="BH881" s="3">
        <v>1.9242999999999999</v>
      </c>
      <c r="BI881" s="3">
        <v>1.9189628999999999</v>
      </c>
      <c r="BJ881" s="3">
        <v>1.9139587</v>
      </c>
      <c r="BK881" s="3">
        <v>1.9092749</v>
      </c>
      <c r="BL881" s="3">
        <v>1.9048991</v>
      </c>
      <c r="BM881" s="3">
        <v>1.8846315</v>
      </c>
      <c r="BN881" s="3">
        <v>1.8736094000000001</v>
      </c>
    </row>
    <row r="882" spans="1:66" x14ac:dyDescent="0.35">
      <c r="A882" s="5">
        <f t="shared" si="13"/>
        <v>44690</v>
      </c>
      <c r="B882" t="s">
        <v>2213</v>
      </c>
      <c r="C882" s="2">
        <v>1</v>
      </c>
      <c r="D882" s="2">
        <v>0.94030000000000002</v>
      </c>
      <c r="E882" s="3">
        <v>1.0085881000000001</v>
      </c>
      <c r="F882" s="3">
        <v>1.2047798000000001</v>
      </c>
      <c r="G882" s="3">
        <v>1.3878060000000001</v>
      </c>
      <c r="H882" s="3">
        <v>1.5591343</v>
      </c>
      <c r="I882" s="3">
        <v>1.7151414</v>
      </c>
      <c r="J882" s="3">
        <v>1.8560551000000001</v>
      </c>
      <c r="K882" s="3">
        <v>1.9828427</v>
      </c>
      <c r="L882" s="3">
        <v>2.0954584000000001</v>
      </c>
      <c r="M882" s="3">
        <v>2.1938333000000001</v>
      </c>
      <c r="N882" s="3">
        <v>2.2781844000000002</v>
      </c>
      <c r="O882" s="3">
        <v>2.3484159999999998</v>
      </c>
      <c r="P882" s="3">
        <v>2.4047988999999999</v>
      </c>
      <c r="Q882" s="3">
        <v>2.4473862999999998</v>
      </c>
      <c r="R882" s="3">
        <v>2.4772180000000001</v>
      </c>
      <c r="S882" s="3">
        <v>2.4956349000000002</v>
      </c>
      <c r="T882" s="3">
        <v>2.5039777999999999</v>
      </c>
      <c r="U882" s="3">
        <v>2.5035873999999998</v>
      </c>
      <c r="V882" s="3">
        <v>2.4958046999999999</v>
      </c>
      <c r="W882" s="3">
        <v>2.4819355000000001</v>
      </c>
      <c r="X882" s="3">
        <v>2.4631245000000002</v>
      </c>
      <c r="Y882" s="3">
        <v>2.4404691999999999</v>
      </c>
      <c r="Z882" s="3">
        <v>2.4150675000000001</v>
      </c>
      <c r="AA882" s="3">
        <v>2.3880167999999999</v>
      </c>
      <c r="AB882" s="3">
        <v>2.3604150000000002</v>
      </c>
      <c r="AC882" s="3">
        <v>2.3332014000000001</v>
      </c>
      <c r="AD882" s="3">
        <v>2.3066165000000001</v>
      </c>
      <c r="AE882" s="3">
        <v>2.2807081</v>
      </c>
      <c r="AF882" s="3">
        <v>2.2555236999999999</v>
      </c>
      <c r="AG882" s="3">
        <v>2.2311112</v>
      </c>
      <c r="AH882" s="3">
        <v>2.2075181000000001</v>
      </c>
      <c r="AI882" s="3">
        <v>2.1847922</v>
      </c>
      <c r="AJ882" s="3">
        <v>2.1629813000000002</v>
      </c>
      <c r="AK882" s="3">
        <v>2.1421329</v>
      </c>
      <c r="AL882" s="3">
        <v>2.1222946999999999</v>
      </c>
      <c r="AM882" s="3">
        <v>2.1035146</v>
      </c>
      <c r="AN882" s="3">
        <v>2.0858401</v>
      </c>
      <c r="AO882" s="3">
        <v>2.0693024000000002</v>
      </c>
      <c r="AP882" s="3">
        <v>2.0538596</v>
      </c>
      <c r="AQ882" s="3">
        <v>2.0394497</v>
      </c>
      <c r="AR882" s="3">
        <v>2.0260106000000002</v>
      </c>
      <c r="AS882" s="3">
        <v>2.0134802000000001</v>
      </c>
      <c r="AT882" s="3">
        <v>2.0017965000000002</v>
      </c>
      <c r="AU882" s="3">
        <v>1.9908975</v>
      </c>
      <c r="AV882" s="3">
        <v>1.980721</v>
      </c>
      <c r="AW882" s="3">
        <v>1.9712050999999999</v>
      </c>
      <c r="AX882" s="3">
        <v>1.9622876</v>
      </c>
      <c r="AY882" s="3">
        <v>1.9539066</v>
      </c>
      <c r="AZ882" s="3">
        <v>1.9459998999999999</v>
      </c>
      <c r="BA882" s="3">
        <v>1.9385117999999999</v>
      </c>
      <c r="BB882" s="3">
        <v>1.9314199000000001</v>
      </c>
      <c r="BC882" s="3">
        <v>1.9247133999999999</v>
      </c>
      <c r="BD882" s="3">
        <v>1.9183812</v>
      </c>
      <c r="BE882" s="3">
        <v>1.9124121999999999</v>
      </c>
      <c r="BF882" s="3">
        <v>1.9067955999999999</v>
      </c>
      <c r="BG882" s="3">
        <v>1.9015204000000001</v>
      </c>
      <c r="BH882" s="3">
        <v>1.8965755</v>
      </c>
      <c r="BI882" s="3">
        <v>1.8919499</v>
      </c>
      <c r="BJ882" s="3">
        <v>1.8876326999999999</v>
      </c>
      <c r="BK882" s="3">
        <v>1.8836128999999999</v>
      </c>
      <c r="BL882" s="3">
        <v>1.8798794999999999</v>
      </c>
      <c r="BM882" s="3">
        <v>1.863048</v>
      </c>
      <c r="BN882" s="3">
        <v>1.8548020000000001</v>
      </c>
    </row>
    <row r="883" spans="1:66" x14ac:dyDescent="0.35">
      <c r="A883" s="5">
        <f t="shared" si="13"/>
        <v>44691</v>
      </c>
      <c r="B883" t="s">
        <v>2214</v>
      </c>
      <c r="C883" s="2">
        <v>1</v>
      </c>
      <c r="D883" s="2">
        <v>0.93969999999999998</v>
      </c>
      <c r="E883" s="3">
        <v>1.0152454</v>
      </c>
      <c r="F883" s="3">
        <v>1.2135982999999999</v>
      </c>
      <c r="G883" s="3">
        <v>1.3892207999999999</v>
      </c>
      <c r="H883" s="3">
        <v>1.5476342999999999</v>
      </c>
      <c r="I883" s="3">
        <v>1.6899200999999999</v>
      </c>
      <c r="J883" s="3">
        <v>1.8193459000000001</v>
      </c>
      <c r="K883" s="3">
        <v>1.9378318999999999</v>
      </c>
      <c r="L883" s="3">
        <v>2.0450159999999999</v>
      </c>
      <c r="M883" s="3">
        <v>2.1396327999999998</v>
      </c>
      <c r="N883" s="3">
        <v>2.2210502000000001</v>
      </c>
      <c r="O883" s="3">
        <v>2.2888117000000001</v>
      </c>
      <c r="P883" s="3">
        <v>2.3429893000000002</v>
      </c>
      <c r="Q883" s="3">
        <v>2.3838794999999999</v>
      </c>
      <c r="R883" s="3">
        <v>2.4125524</v>
      </c>
      <c r="S883" s="3">
        <v>2.4302815</v>
      </c>
      <c r="T883" s="3">
        <v>2.4383404999999998</v>
      </c>
      <c r="U883" s="3">
        <v>2.4380028</v>
      </c>
      <c r="V883" s="3">
        <v>2.430542</v>
      </c>
      <c r="W883" s="3">
        <v>2.4171990000000001</v>
      </c>
      <c r="X883" s="3">
        <v>2.3990640000000001</v>
      </c>
      <c r="Y883" s="3">
        <v>2.3771833999999998</v>
      </c>
      <c r="Z883" s="3">
        <v>2.3526037999999998</v>
      </c>
      <c r="AA883" s="3">
        <v>2.3263714000000002</v>
      </c>
      <c r="AB883" s="3">
        <v>2.2995328000000002</v>
      </c>
      <c r="AC883" s="3">
        <v>2.2729843999999999</v>
      </c>
      <c r="AD883" s="3">
        <v>2.2469608000000001</v>
      </c>
      <c r="AE883" s="3">
        <v>2.2215139000000002</v>
      </c>
      <c r="AF883" s="3">
        <v>2.1966956</v>
      </c>
      <c r="AG883" s="3">
        <v>2.1725579000000002</v>
      </c>
      <c r="AH883" s="3">
        <v>2.1491527000000001</v>
      </c>
      <c r="AI883" s="3">
        <v>2.1265318</v>
      </c>
      <c r="AJ883" s="3">
        <v>2.1047473000000001</v>
      </c>
      <c r="AK883" s="3">
        <v>2.0838510000000001</v>
      </c>
      <c r="AL883" s="3">
        <v>2.0638947999999999</v>
      </c>
      <c r="AM883" s="3">
        <v>2.0449307000000001</v>
      </c>
      <c r="AN883" s="3">
        <v>2.0270106000000001</v>
      </c>
      <c r="AO883" s="3">
        <v>2.0101724999999999</v>
      </c>
      <c r="AP883" s="3">
        <v>1.9943797999999999</v>
      </c>
      <c r="AQ883" s="3">
        <v>1.9795707</v>
      </c>
      <c r="AR883" s="3">
        <v>1.9656834000000001</v>
      </c>
      <c r="AS883" s="3">
        <v>1.9526561</v>
      </c>
      <c r="AT883" s="3">
        <v>1.9404272</v>
      </c>
      <c r="AU883" s="3">
        <v>1.9289346999999999</v>
      </c>
      <c r="AV883" s="3">
        <v>1.9181170000000001</v>
      </c>
      <c r="AW883" s="3">
        <v>1.9079123</v>
      </c>
      <c r="AX883" s="3">
        <v>1.8982589000000001</v>
      </c>
      <c r="AY883" s="3">
        <v>1.8890948000000001</v>
      </c>
      <c r="AZ883" s="3">
        <v>1.8803585</v>
      </c>
      <c r="BA883" s="3">
        <v>1.8719954000000001</v>
      </c>
      <c r="BB883" s="3">
        <v>1.8639866</v>
      </c>
      <c r="BC883" s="3">
        <v>1.8563239</v>
      </c>
      <c r="BD883" s="3">
        <v>1.8489994000000001</v>
      </c>
      <c r="BE883" s="3">
        <v>1.8420048</v>
      </c>
      <c r="BF883" s="3">
        <v>1.835332</v>
      </c>
      <c r="BG883" s="3">
        <v>1.828973</v>
      </c>
      <c r="BH883" s="3">
        <v>1.8229196999999999</v>
      </c>
      <c r="BI883" s="3">
        <v>1.8171638999999999</v>
      </c>
      <c r="BJ883" s="3">
        <v>1.8116975</v>
      </c>
      <c r="BK883" s="3">
        <v>1.8065125</v>
      </c>
      <c r="BL883" s="3">
        <v>1.8016007000000001</v>
      </c>
      <c r="BM883" s="3">
        <v>1.7775955999999999</v>
      </c>
      <c r="BN883" s="3">
        <v>1.7624888000000001</v>
      </c>
    </row>
    <row r="884" spans="1:66" x14ac:dyDescent="0.35">
      <c r="A884" s="5">
        <f t="shared" si="13"/>
        <v>44692</v>
      </c>
      <c r="B884" t="s">
        <v>2215</v>
      </c>
      <c r="C884" s="2">
        <v>1</v>
      </c>
      <c r="D884" s="2">
        <v>0.9405</v>
      </c>
      <c r="E884" s="3">
        <v>1.0169683</v>
      </c>
      <c r="F884" s="3">
        <v>1.221967</v>
      </c>
      <c r="G884" s="3">
        <v>1.3979857</v>
      </c>
      <c r="H884" s="3">
        <v>1.5538227</v>
      </c>
      <c r="I884" s="3">
        <v>1.6927052</v>
      </c>
      <c r="J884" s="3">
        <v>1.8180544999999999</v>
      </c>
      <c r="K884" s="3">
        <v>1.9321206</v>
      </c>
      <c r="L884" s="3">
        <v>2.0351108</v>
      </c>
      <c r="M884" s="3">
        <v>2.1264040999999998</v>
      </c>
      <c r="N884" s="3">
        <v>2.2048624999999999</v>
      </c>
      <c r="O884" s="3">
        <v>2.2701878999999998</v>
      </c>
      <c r="P884" s="3">
        <v>2.3216326999999999</v>
      </c>
      <c r="Q884" s="3">
        <v>2.3591232</v>
      </c>
      <c r="R884" s="3">
        <v>2.3838167000000001</v>
      </c>
      <c r="S884" s="3">
        <v>2.3971300000000002</v>
      </c>
      <c r="T884" s="3">
        <v>2.4004797999999998</v>
      </c>
      <c r="U884" s="3">
        <v>2.3952827000000001</v>
      </c>
      <c r="V884" s="3">
        <v>2.3829554000000002</v>
      </c>
      <c r="W884" s="3">
        <v>2.3648821999999998</v>
      </c>
      <c r="X884" s="3">
        <v>2.3422649</v>
      </c>
      <c r="Y884" s="3">
        <v>2.3162406999999998</v>
      </c>
      <c r="Z884" s="3">
        <v>2.2879467</v>
      </c>
      <c r="AA884" s="3">
        <v>2.2585202999999998</v>
      </c>
      <c r="AB884" s="3">
        <v>2.2290985999999999</v>
      </c>
      <c r="AC884" s="3">
        <v>2.2006777</v>
      </c>
      <c r="AD884" s="3">
        <v>2.1734936999999999</v>
      </c>
      <c r="AE884" s="3">
        <v>2.1475281000000002</v>
      </c>
      <c r="AF884" s="3">
        <v>2.1227619999999998</v>
      </c>
      <c r="AG884" s="3">
        <v>2.0991765999999998</v>
      </c>
      <c r="AH884" s="3">
        <v>2.0767530999999999</v>
      </c>
      <c r="AI884" s="3">
        <v>2.0554725999999999</v>
      </c>
      <c r="AJ884" s="3">
        <v>2.0353164000000001</v>
      </c>
      <c r="AK884" s="3">
        <v>2.0162656000000001</v>
      </c>
      <c r="AL884" s="3">
        <v>1.9983013999999999</v>
      </c>
      <c r="AM884" s="3">
        <v>1.9814050000000001</v>
      </c>
      <c r="AN884" s="3">
        <v>1.9655575999999999</v>
      </c>
      <c r="AO884" s="3">
        <v>1.9507333</v>
      </c>
      <c r="AP884" s="3">
        <v>1.9368719999999999</v>
      </c>
      <c r="AQ884" s="3">
        <v>1.9239031</v>
      </c>
      <c r="AR884" s="3">
        <v>1.9117561999999999</v>
      </c>
      <c r="AS884" s="3">
        <v>1.9003604999999999</v>
      </c>
      <c r="AT884" s="3">
        <v>1.8896455999999999</v>
      </c>
      <c r="AU884" s="3">
        <v>1.8795409000000001</v>
      </c>
      <c r="AV884" s="3">
        <v>1.8699758</v>
      </c>
      <c r="AW884" s="3">
        <v>1.8608796999999999</v>
      </c>
      <c r="AX884" s="3">
        <v>1.8521821999999999</v>
      </c>
      <c r="AY884" s="3">
        <v>1.8438125999999999</v>
      </c>
      <c r="AZ884" s="3">
        <v>1.8357003999999999</v>
      </c>
      <c r="BA884" s="3">
        <v>1.8277862</v>
      </c>
      <c r="BB884" s="3">
        <v>1.8200599</v>
      </c>
      <c r="BC884" s="3">
        <v>1.8125251</v>
      </c>
      <c r="BD884" s="3">
        <v>1.8051854000000001</v>
      </c>
      <c r="BE884" s="3">
        <v>1.7980442000000001</v>
      </c>
      <c r="BF884" s="3">
        <v>1.7911052999999999</v>
      </c>
      <c r="BG884" s="3">
        <v>1.7843722</v>
      </c>
      <c r="BH884" s="3">
        <v>1.7778483</v>
      </c>
      <c r="BI884" s="3">
        <v>1.7715373999999999</v>
      </c>
      <c r="BJ884" s="3">
        <v>1.7654429</v>
      </c>
      <c r="BK884" s="3">
        <v>1.7595684</v>
      </c>
      <c r="BL884" s="3">
        <v>1.7539174</v>
      </c>
      <c r="BM884" s="3">
        <v>1.7248908999999999</v>
      </c>
      <c r="BN884" s="3">
        <v>1.7047171000000001</v>
      </c>
    </row>
    <row r="885" spans="1:66" x14ac:dyDescent="0.35">
      <c r="A885" s="5">
        <f t="shared" si="13"/>
        <v>44693</v>
      </c>
      <c r="B885" t="s">
        <v>2216</v>
      </c>
      <c r="C885" s="2">
        <v>1</v>
      </c>
      <c r="D885" s="2">
        <v>0.94010000000000005</v>
      </c>
      <c r="E885" s="3">
        <v>1.0198281</v>
      </c>
      <c r="F885" s="3">
        <v>1.2224412</v>
      </c>
      <c r="G885" s="3">
        <v>1.3978531000000001</v>
      </c>
      <c r="H885" s="3">
        <v>1.5545008</v>
      </c>
      <c r="I885" s="3">
        <v>1.6940499</v>
      </c>
      <c r="J885" s="3">
        <v>1.8179917000000001</v>
      </c>
      <c r="K885" s="3">
        <v>1.9279018000000001</v>
      </c>
      <c r="L885" s="3">
        <v>2.0233284999999999</v>
      </c>
      <c r="M885" s="3">
        <v>2.1042022</v>
      </c>
      <c r="N885" s="3">
        <v>2.1706067</v>
      </c>
      <c r="O885" s="3">
        <v>2.2231257000000002</v>
      </c>
      <c r="P885" s="3">
        <v>2.2621346999999998</v>
      </c>
      <c r="Q885" s="3">
        <v>2.2886248</v>
      </c>
      <c r="R885" s="3">
        <v>2.3038709000000002</v>
      </c>
      <c r="S885" s="3">
        <v>2.3091678</v>
      </c>
      <c r="T885" s="3">
        <v>2.3058106999999999</v>
      </c>
      <c r="U885" s="3">
        <v>2.2950946000000001</v>
      </c>
      <c r="V885" s="3">
        <v>2.2783147000000001</v>
      </c>
      <c r="W885" s="3">
        <v>2.2567311999999999</v>
      </c>
      <c r="X885" s="3">
        <v>2.2314262999999999</v>
      </c>
      <c r="Y885" s="3">
        <v>2.2034254</v>
      </c>
      <c r="Z885" s="3">
        <v>2.1737538999999999</v>
      </c>
      <c r="AA885" s="3">
        <v>2.1434369000000002</v>
      </c>
      <c r="AB885" s="3">
        <v>2.1134998999999999</v>
      </c>
      <c r="AC885" s="3">
        <v>2.0848230000000001</v>
      </c>
      <c r="AD885" s="3">
        <v>2.0575792000000002</v>
      </c>
      <c r="AE885" s="3">
        <v>2.0317262999999999</v>
      </c>
      <c r="AF885" s="3">
        <v>2.0072220000000001</v>
      </c>
      <c r="AG885" s="3">
        <v>1.9840239</v>
      </c>
      <c r="AH885" s="3">
        <v>1.9620899000000001</v>
      </c>
      <c r="AI885" s="3">
        <v>1.9413776</v>
      </c>
      <c r="AJ885" s="3">
        <v>1.9218447000000001</v>
      </c>
      <c r="AK885" s="3">
        <v>1.9034489999999999</v>
      </c>
      <c r="AL885" s="3">
        <v>1.8861481</v>
      </c>
      <c r="AM885" s="3">
        <v>1.8698998</v>
      </c>
      <c r="AN885" s="3">
        <v>1.8546617999999999</v>
      </c>
      <c r="AO885" s="3">
        <v>1.8403875999999999</v>
      </c>
      <c r="AP885" s="3">
        <v>1.8270123</v>
      </c>
      <c r="AQ885" s="3">
        <v>1.8144658</v>
      </c>
      <c r="AR885" s="3">
        <v>1.8026778999999999</v>
      </c>
      <c r="AS885" s="3">
        <v>1.7915787000000001</v>
      </c>
      <c r="AT885" s="3">
        <v>1.7810980000000001</v>
      </c>
      <c r="AU885" s="3">
        <v>1.7711659</v>
      </c>
      <c r="AV885" s="3">
        <v>1.7617121</v>
      </c>
      <c r="AW885" s="3">
        <v>1.7526667</v>
      </c>
      <c r="AX885" s="3">
        <v>1.7439595999999999</v>
      </c>
      <c r="AY885" s="3">
        <v>1.7355206000000001</v>
      </c>
      <c r="AZ885" s="3">
        <v>1.7272798</v>
      </c>
      <c r="BA885" s="3">
        <v>1.7191789</v>
      </c>
      <c r="BB885" s="3">
        <v>1.7112122000000001</v>
      </c>
      <c r="BC885" s="3">
        <v>1.7033882</v>
      </c>
      <c r="BD885" s="3">
        <v>1.6957157</v>
      </c>
      <c r="BE885" s="3">
        <v>1.6882033999999999</v>
      </c>
      <c r="BF885" s="3">
        <v>1.6808597999999999</v>
      </c>
      <c r="BG885" s="3">
        <v>1.6736936</v>
      </c>
      <c r="BH885" s="3">
        <v>1.6667136</v>
      </c>
      <c r="BI885" s="3">
        <v>1.6599284000000001</v>
      </c>
      <c r="BJ885" s="3">
        <v>1.6533466000000001</v>
      </c>
      <c r="BK885" s="3">
        <v>1.6469769000000001</v>
      </c>
      <c r="BL885" s="3">
        <v>1.640828</v>
      </c>
      <c r="BM885" s="3">
        <v>1.6088853000000001</v>
      </c>
      <c r="BN885" s="3">
        <v>1.5860396000000001</v>
      </c>
    </row>
    <row r="886" spans="1:66" x14ac:dyDescent="0.35">
      <c r="A886" s="5">
        <f t="shared" si="13"/>
        <v>44694</v>
      </c>
      <c r="B886" t="s">
        <v>2217</v>
      </c>
      <c r="C886" s="2">
        <v>1</v>
      </c>
      <c r="D886" s="2">
        <v>0.93979999999999997</v>
      </c>
      <c r="E886" s="3">
        <v>1.028724</v>
      </c>
      <c r="F886" s="3">
        <v>1.241012</v>
      </c>
      <c r="G886" s="3">
        <v>1.4220109000000001</v>
      </c>
      <c r="H886" s="3">
        <v>1.5818553</v>
      </c>
      <c r="I886" s="3">
        <v>1.7230544999999999</v>
      </c>
      <c r="J886" s="3">
        <v>1.8468492999999999</v>
      </c>
      <c r="K886" s="3">
        <v>1.9552027999999999</v>
      </c>
      <c r="L886" s="3">
        <v>2.0491014000000001</v>
      </c>
      <c r="M886" s="3">
        <v>2.1293427999999999</v>
      </c>
      <c r="N886" s="3">
        <v>2.1966081000000002</v>
      </c>
      <c r="O886" s="3">
        <v>2.2511223</v>
      </c>
      <c r="P886" s="3">
        <v>2.2931324000000002</v>
      </c>
      <c r="Q886" s="3">
        <v>2.3228540999999998</v>
      </c>
      <c r="R886" s="3">
        <v>2.3412970999999998</v>
      </c>
      <c r="S886" s="3">
        <v>2.3497341</v>
      </c>
      <c r="T886" s="3">
        <v>2.3494375000000001</v>
      </c>
      <c r="U886" s="3">
        <v>2.3416801</v>
      </c>
      <c r="V886" s="3">
        <v>2.3277344000000002</v>
      </c>
      <c r="W886" s="3">
        <v>2.3088332999999999</v>
      </c>
      <c r="X886" s="3">
        <v>2.2860257000000002</v>
      </c>
      <c r="Y886" s="3">
        <v>2.2603067000000001</v>
      </c>
      <c r="Z886" s="3">
        <v>2.2326717999999999</v>
      </c>
      <c r="AA886" s="3">
        <v>2.2041164000000002</v>
      </c>
      <c r="AB886" s="3">
        <v>2.1756357</v>
      </c>
      <c r="AC886" s="3">
        <v>2.1480731999999998</v>
      </c>
      <c r="AD886" s="3">
        <v>2.1216015000000001</v>
      </c>
      <c r="AE886" s="3">
        <v>2.0962084000000001</v>
      </c>
      <c r="AF886" s="3">
        <v>2.0718812999999998</v>
      </c>
      <c r="AG886" s="3">
        <v>2.0486080000000002</v>
      </c>
      <c r="AH886" s="3">
        <v>2.0263760999999998</v>
      </c>
      <c r="AI886" s="3">
        <v>2.0051732000000002</v>
      </c>
      <c r="AJ886" s="3">
        <v>1.9849869</v>
      </c>
      <c r="AK886" s="3">
        <v>1.9658047999999999</v>
      </c>
      <c r="AL886" s="3">
        <v>1.9476146000000001</v>
      </c>
      <c r="AM886" s="3">
        <v>1.9304037999999999</v>
      </c>
      <c r="AN886" s="3">
        <v>1.9141602</v>
      </c>
      <c r="AO886" s="3">
        <v>1.8988638</v>
      </c>
      <c r="AP886" s="3">
        <v>1.8844618</v>
      </c>
      <c r="AQ886" s="3">
        <v>1.8708918999999999</v>
      </c>
      <c r="AR886" s="3">
        <v>1.8580920999999999</v>
      </c>
      <c r="AS886" s="3">
        <v>1.8460003</v>
      </c>
      <c r="AT886" s="3">
        <v>1.8345545000000001</v>
      </c>
      <c r="AU886" s="3">
        <v>1.8236924999999999</v>
      </c>
      <c r="AV886" s="3">
        <v>1.8133523</v>
      </c>
      <c r="AW886" s="3">
        <v>1.8034717</v>
      </c>
      <c r="AX886" s="3">
        <v>1.7939887000000001</v>
      </c>
      <c r="AY886" s="3">
        <v>1.7848412</v>
      </c>
      <c r="AZ886" s="3">
        <v>1.7759670999999999</v>
      </c>
      <c r="BA886" s="3">
        <v>1.7673143</v>
      </c>
      <c r="BB886" s="3">
        <v>1.7588747</v>
      </c>
      <c r="BC886" s="3">
        <v>1.7506523000000001</v>
      </c>
      <c r="BD886" s="3">
        <v>1.7426514</v>
      </c>
      <c r="BE886" s="3">
        <v>1.7348758</v>
      </c>
      <c r="BF886" s="3">
        <v>1.7273297000000001</v>
      </c>
      <c r="BG886" s="3">
        <v>1.7200172</v>
      </c>
      <c r="BH886" s="3">
        <v>1.7129422999999999</v>
      </c>
      <c r="BI886" s="3">
        <v>1.7061090000000001</v>
      </c>
      <c r="BJ886" s="3">
        <v>1.6995216</v>
      </c>
      <c r="BK886" s="3">
        <v>1.693184</v>
      </c>
      <c r="BL886" s="3">
        <v>1.6871003</v>
      </c>
      <c r="BM886" s="3">
        <v>1.6561261</v>
      </c>
      <c r="BN886" s="3">
        <v>1.6351233999999999</v>
      </c>
    </row>
    <row r="887" spans="1:66" x14ac:dyDescent="0.35">
      <c r="A887" s="5">
        <f t="shared" si="13"/>
        <v>44697</v>
      </c>
      <c r="B887" t="s">
        <v>2218</v>
      </c>
      <c r="C887" s="2">
        <v>1</v>
      </c>
      <c r="D887" s="2">
        <v>0.93979999999999997</v>
      </c>
      <c r="E887" s="3">
        <v>1.0409659</v>
      </c>
      <c r="F887" s="3">
        <v>1.2728965999999999</v>
      </c>
      <c r="G887" s="3">
        <v>1.4636583999999999</v>
      </c>
      <c r="H887" s="3">
        <v>1.6256021</v>
      </c>
      <c r="I887" s="3">
        <v>1.7649159999999999</v>
      </c>
      <c r="J887" s="3">
        <v>1.8848670999999999</v>
      </c>
      <c r="K887" s="3">
        <v>1.9886256</v>
      </c>
      <c r="L887" s="3">
        <v>2.0783833999999999</v>
      </c>
      <c r="M887" s="3">
        <v>2.1554142999999999</v>
      </c>
      <c r="N887" s="3">
        <v>2.2205088000000002</v>
      </c>
      <c r="O887" s="3">
        <v>2.2737384999999999</v>
      </c>
      <c r="P887" s="3">
        <v>2.3150965999999999</v>
      </c>
      <c r="Q887" s="3">
        <v>2.3444137</v>
      </c>
      <c r="R887" s="3">
        <v>2.3625539</v>
      </c>
      <c r="S887" s="3">
        <v>2.3706779</v>
      </c>
      <c r="T887" s="3">
        <v>2.3699463000000001</v>
      </c>
      <c r="U887" s="3">
        <v>2.3615197000000001</v>
      </c>
      <c r="V887" s="3">
        <v>2.3465587999999999</v>
      </c>
      <c r="W887" s="3">
        <v>2.3262138000000001</v>
      </c>
      <c r="X887" s="3">
        <v>2.3015876999999998</v>
      </c>
      <c r="Y887" s="3">
        <v>2.2737693999999999</v>
      </c>
      <c r="Z887" s="3">
        <v>2.2438479</v>
      </c>
      <c r="AA887" s="3">
        <v>2.2129123000000002</v>
      </c>
      <c r="AB887" s="3">
        <v>2.1820515</v>
      </c>
      <c r="AC887" s="3">
        <v>2.1521892999999999</v>
      </c>
      <c r="AD887" s="3">
        <v>2.1235184</v>
      </c>
      <c r="AE887" s="3">
        <v>2.0960302999999998</v>
      </c>
      <c r="AF887" s="3">
        <v>2.0697165000000002</v>
      </c>
      <c r="AG887" s="3">
        <v>2.0445682000000001</v>
      </c>
      <c r="AH887" s="3">
        <v>2.0205771000000001</v>
      </c>
      <c r="AI887" s="3">
        <v>1.9977343999999999</v>
      </c>
      <c r="AJ887" s="3">
        <v>1.9760314999999999</v>
      </c>
      <c r="AK887" s="3">
        <v>1.95546</v>
      </c>
      <c r="AL887" s="3">
        <v>1.9360111</v>
      </c>
      <c r="AM887" s="3">
        <v>1.9176762999999999</v>
      </c>
      <c r="AN887" s="3">
        <v>1.900447</v>
      </c>
      <c r="AO887" s="3">
        <v>1.8843056</v>
      </c>
      <c r="AP887" s="3">
        <v>1.8691941999999999</v>
      </c>
      <c r="AQ887" s="3">
        <v>1.8550439000000001</v>
      </c>
      <c r="AR887" s="3">
        <v>1.8417859999999999</v>
      </c>
      <c r="AS887" s="3">
        <v>1.8293515</v>
      </c>
      <c r="AT887" s="3">
        <v>1.8176715999999999</v>
      </c>
      <c r="AU887" s="3">
        <v>1.8066774000000001</v>
      </c>
      <c r="AV887" s="3">
        <v>1.7963001999999999</v>
      </c>
      <c r="AW887" s="3">
        <v>1.7864709000000001</v>
      </c>
      <c r="AX887" s="3">
        <v>1.7771207</v>
      </c>
      <c r="AY887" s="3">
        <v>1.7681808999999999</v>
      </c>
      <c r="AZ887" s="3">
        <v>1.7595824</v>
      </c>
      <c r="BA887" s="3">
        <v>1.7512650000000001</v>
      </c>
      <c r="BB887" s="3">
        <v>1.7432133999999999</v>
      </c>
      <c r="BC887" s="3">
        <v>1.7354278000000001</v>
      </c>
      <c r="BD887" s="3">
        <v>1.7279083</v>
      </c>
      <c r="BE887" s="3">
        <v>1.720655</v>
      </c>
      <c r="BF887" s="3">
        <v>1.713668</v>
      </c>
      <c r="BG887" s="3">
        <v>1.7069475000000001</v>
      </c>
      <c r="BH887" s="3">
        <v>1.7004934</v>
      </c>
      <c r="BI887" s="3">
        <v>1.6943060000000001</v>
      </c>
      <c r="BJ887" s="3">
        <v>1.6883854</v>
      </c>
      <c r="BK887" s="3">
        <v>1.6827316000000001</v>
      </c>
      <c r="BL887" s="3">
        <v>1.6773448</v>
      </c>
      <c r="BM887" s="3">
        <v>1.6506014</v>
      </c>
      <c r="BN887" s="3">
        <v>1.6332819000000001</v>
      </c>
    </row>
    <row r="888" spans="1:66" x14ac:dyDescent="0.35">
      <c r="A888" s="5">
        <f t="shared" si="13"/>
        <v>44698</v>
      </c>
      <c r="B888" t="s">
        <v>2220</v>
      </c>
      <c r="C888" s="2">
        <v>1</v>
      </c>
      <c r="D888" s="2">
        <v>0.93979999999999997</v>
      </c>
      <c r="E888" s="3">
        <v>1.0761297000000001</v>
      </c>
      <c r="F888" s="3">
        <v>1.3508632</v>
      </c>
      <c r="G888" s="3">
        <v>1.577636</v>
      </c>
      <c r="H888" s="3">
        <v>1.7673482</v>
      </c>
      <c r="I888" s="3">
        <v>1.9258314000000001</v>
      </c>
      <c r="J888" s="3">
        <v>2.0591482000000001</v>
      </c>
      <c r="K888" s="3">
        <v>2.1725515</v>
      </c>
      <c r="L888" s="3">
        <v>2.2703562000000002</v>
      </c>
      <c r="M888" s="3">
        <v>2.3550705000000001</v>
      </c>
      <c r="N888" s="3">
        <v>2.4280118000000002</v>
      </c>
      <c r="O888" s="3">
        <v>2.4891958000000001</v>
      </c>
      <c r="P888" s="3">
        <v>2.5381977</v>
      </c>
      <c r="Q888" s="3">
        <v>2.5743898999999999</v>
      </c>
      <c r="R888" s="3">
        <v>2.5984590999999999</v>
      </c>
      <c r="S888" s="3">
        <v>2.6114590999999998</v>
      </c>
      <c r="T888" s="3">
        <v>2.6144436</v>
      </c>
      <c r="U888" s="3">
        <v>2.6084665999999999</v>
      </c>
      <c r="V888" s="3">
        <v>2.5945817999999998</v>
      </c>
      <c r="W888" s="3">
        <v>2.5738805999999999</v>
      </c>
      <c r="X888" s="3">
        <v>2.5476291</v>
      </c>
      <c r="Y888" s="3">
        <v>2.5171439000000002</v>
      </c>
      <c r="Z888" s="3">
        <v>2.4837419000000001</v>
      </c>
      <c r="AA888" s="3">
        <v>2.4487396000000001</v>
      </c>
      <c r="AB888" s="3">
        <v>2.4134536999999998</v>
      </c>
      <c r="AC888" s="3">
        <v>2.3790062999999999</v>
      </c>
      <c r="AD888" s="3">
        <v>2.3456600999999999</v>
      </c>
      <c r="AE888" s="3">
        <v>2.3134410000000001</v>
      </c>
      <c r="AF888" s="3">
        <v>2.2823745999999998</v>
      </c>
      <c r="AG888" s="3">
        <v>2.2524867999999998</v>
      </c>
      <c r="AH888" s="3">
        <v>2.2238033000000001</v>
      </c>
      <c r="AI888" s="3">
        <v>2.1963496999999998</v>
      </c>
      <c r="AJ888" s="3">
        <v>2.1701519999999999</v>
      </c>
      <c r="AK888" s="3">
        <v>2.1452357000000002</v>
      </c>
      <c r="AL888" s="3">
        <v>2.1216267000000002</v>
      </c>
      <c r="AM888" s="3">
        <v>2.0993507</v>
      </c>
      <c r="AN888" s="3">
        <v>2.0784335</v>
      </c>
      <c r="AO888" s="3">
        <v>2.0588869999999999</v>
      </c>
      <c r="AP888" s="3">
        <v>2.0406488</v>
      </c>
      <c r="AQ888" s="3">
        <v>2.0236318</v>
      </c>
      <c r="AR888" s="3">
        <v>2.0077486000000002</v>
      </c>
      <c r="AS888" s="3">
        <v>1.992912</v>
      </c>
      <c r="AT888" s="3">
        <v>1.9790346999999999</v>
      </c>
      <c r="AU888" s="3">
        <v>1.9660294</v>
      </c>
      <c r="AV888" s="3">
        <v>1.9538089000000001</v>
      </c>
      <c r="AW888" s="3">
        <v>1.9422858999999999</v>
      </c>
      <c r="AX888" s="3">
        <v>1.9313731999999999</v>
      </c>
      <c r="AY888" s="3">
        <v>1.9209833999999999</v>
      </c>
      <c r="AZ888" s="3">
        <v>1.9110294000000001</v>
      </c>
      <c r="BA888" s="3">
        <v>1.9014348000000001</v>
      </c>
      <c r="BB888" s="3">
        <v>1.8921777</v>
      </c>
      <c r="BC888" s="3">
        <v>1.8832521</v>
      </c>
      <c r="BD888" s="3">
        <v>1.8746525000000001</v>
      </c>
      <c r="BE888" s="3">
        <v>1.8663730999999999</v>
      </c>
      <c r="BF888" s="3">
        <v>1.8584082</v>
      </c>
      <c r="BG888" s="3">
        <v>1.8507521</v>
      </c>
      <c r="BH888" s="3">
        <v>1.843399</v>
      </c>
      <c r="BI888" s="3">
        <v>1.8363432</v>
      </c>
      <c r="BJ888" s="3">
        <v>1.8295790999999999</v>
      </c>
      <c r="BK888" s="3">
        <v>1.8231008</v>
      </c>
      <c r="BL888" s="3">
        <v>1.8169027</v>
      </c>
      <c r="BM888" s="3">
        <v>1.7854341</v>
      </c>
      <c r="BN888" s="3">
        <v>1.7635586000000001</v>
      </c>
    </row>
    <row r="889" spans="1:66" x14ac:dyDescent="0.35">
      <c r="A889" s="5">
        <f t="shared" si="13"/>
        <v>44699</v>
      </c>
      <c r="B889" t="s">
        <v>2221</v>
      </c>
      <c r="C889" s="2">
        <v>1</v>
      </c>
      <c r="D889" s="2">
        <v>0.93940000000000001</v>
      </c>
      <c r="E889" s="3">
        <v>1.0919087000000001</v>
      </c>
      <c r="F889" s="3">
        <v>1.3417437000000001</v>
      </c>
      <c r="G889" s="3">
        <v>1.5508324</v>
      </c>
      <c r="H889" s="3">
        <v>1.7287612000000001</v>
      </c>
      <c r="I889" s="3">
        <v>1.8799987</v>
      </c>
      <c r="J889" s="3">
        <v>2.0088995999999999</v>
      </c>
      <c r="K889" s="3">
        <v>2.1193366</v>
      </c>
      <c r="L889" s="3">
        <v>2.2144764000000001</v>
      </c>
      <c r="M889" s="3">
        <v>2.2965767000000001</v>
      </c>
      <c r="N889" s="3">
        <v>2.3665601000000001</v>
      </c>
      <c r="O889" s="3">
        <v>2.4250503000000001</v>
      </c>
      <c r="P889" s="3">
        <v>2.4714581</v>
      </c>
      <c r="Q889" s="3">
        <v>2.5052063000000002</v>
      </c>
      <c r="R889" s="3">
        <v>2.5270467999999999</v>
      </c>
      <c r="S889" s="3">
        <v>2.5380581000000002</v>
      </c>
      <c r="T889" s="3">
        <v>2.5393184</v>
      </c>
      <c r="U889" s="3">
        <v>2.5319060000000002</v>
      </c>
      <c r="V889" s="3">
        <v>2.5168992000000001</v>
      </c>
      <c r="W889" s="3">
        <v>2.4954044999999998</v>
      </c>
      <c r="X889" s="3">
        <v>2.4686873999999999</v>
      </c>
      <c r="Y889" s="3">
        <v>2.4380698000000001</v>
      </c>
      <c r="Z889" s="3">
        <v>2.4048731999999999</v>
      </c>
      <c r="AA889" s="3">
        <v>2.3704196</v>
      </c>
      <c r="AB889" s="3">
        <v>2.3360306</v>
      </c>
      <c r="AC889" s="3">
        <v>2.3028637999999999</v>
      </c>
      <c r="AD889" s="3">
        <v>2.2711918999999998</v>
      </c>
      <c r="AE889" s="3">
        <v>2.2409913000000001</v>
      </c>
      <c r="AF889" s="3">
        <v>2.2122380000000001</v>
      </c>
      <c r="AG889" s="3">
        <v>2.1849080000000001</v>
      </c>
      <c r="AH889" s="3">
        <v>2.1589775000000002</v>
      </c>
      <c r="AI889" s="3">
        <v>2.1344226000000002</v>
      </c>
      <c r="AJ889" s="3">
        <v>2.1112191</v>
      </c>
      <c r="AK889" s="3">
        <v>2.0893434000000002</v>
      </c>
      <c r="AL889" s="3">
        <v>2.0687712999999999</v>
      </c>
      <c r="AM889" s="3">
        <v>2.0494789999999998</v>
      </c>
      <c r="AN889" s="3">
        <v>2.0314424999999998</v>
      </c>
      <c r="AO889" s="3">
        <v>2.0146288999999999</v>
      </c>
      <c r="AP889" s="3">
        <v>1.9989618</v>
      </c>
      <c r="AQ889" s="3">
        <v>1.9843512000000001</v>
      </c>
      <c r="AR889" s="3">
        <v>1.9707075000000001</v>
      </c>
      <c r="AS889" s="3">
        <v>1.9579407</v>
      </c>
      <c r="AT889" s="3">
        <v>1.9459610000000001</v>
      </c>
      <c r="AU889" s="3">
        <v>1.9346787000000001</v>
      </c>
      <c r="AV889" s="3">
        <v>1.9240037999999999</v>
      </c>
      <c r="AW889" s="3">
        <v>1.9138466999999999</v>
      </c>
      <c r="AX889" s="3">
        <v>1.9041174999999999</v>
      </c>
      <c r="AY889" s="3">
        <v>1.8947263000000001</v>
      </c>
      <c r="AZ889" s="3">
        <v>1.8855834</v>
      </c>
      <c r="BA889" s="3">
        <v>1.8766136</v>
      </c>
      <c r="BB889" s="3">
        <v>1.8678068999999999</v>
      </c>
      <c r="BC889" s="3">
        <v>1.8591708</v>
      </c>
      <c r="BD889" s="3">
        <v>1.8507133</v>
      </c>
      <c r="BE889" s="3">
        <v>1.8424419999999999</v>
      </c>
      <c r="BF889" s="3">
        <v>1.8343647000000001</v>
      </c>
      <c r="BG889" s="3">
        <v>1.8264891000000001</v>
      </c>
      <c r="BH889" s="3">
        <v>1.8188230999999999</v>
      </c>
      <c r="BI889" s="3">
        <v>1.8113744000000001</v>
      </c>
      <c r="BJ889" s="3">
        <v>1.8041507000000001</v>
      </c>
      <c r="BK889" s="3">
        <v>1.7971598</v>
      </c>
      <c r="BL889" s="3">
        <v>1.7904093999999999</v>
      </c>
      <c r="BM889" s="3">
        <v>1.7552439</v>
      </c>
      <c r="BN889" s="3">
        <v>1.7297882</v>
      </c>
    </row>
    <row r="890" spans="1:66" x14ac:dyDescent="0.35">
      <c r="A890" s="5">
        <f t="shared" si="13"/>
        <v>44700</v>
      </c>
      <c r="B890" t="s">
        <v>2222</v>
      </c>
      <c r="C890" s="2">
        <v>1</v>
      </c>
      <c r="D890" s="2">
        <v>0.93920000000000003</v>
      </c>
      <c r="E890" s="3">
        <v>1.1045478</v>
      </c>
      <c r="F890" s="3">
        <v>1.3578817000000001</v>
      </c>
      <c r="G890" s="3">
        <v>1.5692854000000001</v>
      </c>
      <c r="H890" s="3">
        <v>1.7483183</v>
      </c>
      <c r="I890" s="3">
        <v>1.9006491000000001</v>
      </c>
      <c r="J890" s="3">
        <v>2.0308546999999999</v>
      </c>
      <c r="K890" s="3">
        <v>2.1435749999999998</v>
      </c>
      <c r="L890" s="3">
        <v>2.2413123000000001</v>
      </c>
      <c r="M890" s="3">
        <v>2.3257374999999998</v>
      </c>
      <c r="N890" s="3">
        <v>2.3973037000000001</v>
      </c>
      <c r="O890" s="3">
        <v>2.4560897000000002</v>
      </c>
      <c r="P890" s="3">
        <v>2.5016630000000002</v>
      </c>
      <c r="Q890" s="3">
        <v>2.5340699</v>
      </c>
      <c r="R890" s="3">
        <v>2.5543391</v>
      </c>
      <c r="S890" s="3">
        <v>2.5637158000000002</v>
      </c>
      <c r="T890" s="3">
        <v>2.5634451999999999</v>
      </c>
      <c r="U890" s="3">
        <v>2.5547724999999999</v>
      </c>
      <c r="V890" s="3">
        <v>2.5389430000000002</v>
      </c>
      <c r="W890" s="3">
        <v>2.5171915</v>
      </c>
      <c r="X890" s="3">
        <v>2.4906991999999999</v>
      </c>
      <c r="Y890" s="3">
        <v>2.4606303999999999</v>
      </c>
      <c r="Z890" s="3">
        <v>2.4281492</v>
      </c>
      <c r="AA890" s="3">
        <v>2.3944200000000002</v>
      </c>
      <c r="AB890" s="3">
        <v>2.3606067999999998</v>
      </c>
      <c r="AC890" s="3">
        <v>2.3277158</v>
      </c>
      <c r="AD890" s="3">
        <v>2.2959819000000001</v>
      </c>
      <c r="AE890" s="3">
        <v>2.2654057999999999</v>
      </c>
      <c r="AF890" s="3">
        <v>2.2359876999999999</v>
      </c>
      <c r="AG890" s="3">
        <v>2.2077281000000002</v>
      </c>
      <c r="AH890" s="3">
        <v>2.1806274000000001</v>
      </c>
      <c r="AI890" s="3">
        <v>2.1546859999999999</v>
      </c>
      <c r="AJ890" s="3">
        <v>2.1299043000000002</v>
      </c>
      <c r="AK890" s="3">
        <v>2.1062827999999998</v>
      </c>
      <c r="AL890" s="3">
        <v>2.0838217999999999</v>
      </c>
      <c r="AM890" s="3">
        <v>2.0625217999999998</v>
      </c>
      <c r="AN890" s="3">
        <v>2.0423832000000002</v>
      </c>
      <c r="AO890" s="3">
        <v>2.0233951999999999</v>
      </c>
      <c r="AP890" s="3">
        <v>2.0054978999999999</v>
      </c>
      <c r="AQ890" s="3">
        <v>1.9886177</v>
      </c>
      <c r="AR890" s="3">
        <v>1.9726811</v>
      </c>
      <c r="AS890" s="3">
        <v>1.9576145</v>
      </c>
      <c r="AT890" s="3">
        <v>1.9433444</v>
      </c>
      <c r="AU890" s="3">
        <v>1.9297972000000001</v>
      </c>
      <c r="AV890" s="3">
        <v>1.9168993999999999</v>
      </c>
      <c r="AW890" s="3">
        <v>1.9045774</v>
      </c>
      <c r="AX890" s="3">
        <v>1.8927575999999999</v>
      </c>
      <c r="AY890" s="3">
        <v>1.8813667000000001</v>
      </c>
      <c r="AZ890" s="3">
        <v>1.8703308000000001</v>
      </c>
      <c r="BA890" s="3">
        <v>1.859588</v>
      </c>
      <c r="BB890" s="3">
        <v>1.8491264000000001</v>
      </c>
      <c r="BC890" s="3">
        <v>1.8389479</v>
      </c>
      <c r="BD890" s="3">
        <v>1.8290546999999999</v>
      </c>
      <c r="BE890" s="3">
        <v>1.8194486000000001</v>
      </c>
      <c r="BF890" s="3">
        <v>1.8101319</v>
      </c>
      <c r="BG890" s="3">
        <v>1.8011064000000001</v>
      </c>
      <c r="BH890" s="3">
        <v>1.7923741</v>
      </c>
      <c r="BI890" s="3">
        <v>1.7839373000000001</v>
      </c>
      <c r="BJ890" s="3">
        <v>1.7757977</v>
      </c>
      <c r="BK890" s="3">
        <v>1.7679575000000001</v>
      </c>
      <c r="BL890" s="3">
        <v>1.7604187</v>
      </c>
      <c r="BM890" s="3">
        <v>1.7216107</v>
      </c>
      <c r="BN890" s="3">
        <v>1.6940565999999999</v>
      </c>
    </row>
    <row r="891" spans="1:66" x14ac:dyDescent="0.35">
      <c r="A891" s="5">
        <f t="shared" si="13"/>
        <v>44701</v>
      </c>
      <c r="B891" t="s">
        <v>2223</v>
      </c>
      <c r="C891" s="2">
        <v>1</v>
      </c>
      <c r="D891" s="2">
        <v>0.93889999999999996</v>
      </c>
      <c r="E891" s="3">
        <v>1.1062525000000001</v>
      </c>
      <c r="F891" s="3">
        <v>1.3509259</v>
      </c>
      <c r="G891" s="3">
        <v>1.5550141</v>
      </c>
      <c r="H891" s="3">
        <v>1.7307082</v>
      </c>
      <c r="I891" s="3">
        <v>1.8833352000000001</v>
      </c>
      <c r="J891" s="3">
        <v>2.0152595999999998</v>
      </c>
      <c r="K891" s="3">
        <v>2.1293072</v>
      </c>
      <c r="L891" s="3">
        <v>2.2276075999999998</v>
      </c>
      <c r="M891" s="3">
        <v>2.3115622999999998</v>
      </c>
      <c r="N891" s="3">
        <v>2.3820681000000001</v>
      </c>
      <c r="O891" s="3">
        <v>2.4393516000000002</v>
      </c>
      <c r="P891" s="3">
        <v>2.4835951000000001</v>
      </c>
      <c r="Q891" s="3">
        <v>2.5151739000000002</v>
      </c>
      <c r="R891" s="3">
        <v>2.5351243000000001</v>
      </c>
      <c r="S891" s="3">
        <v>2.5446819000000001</v>
      </c>
      <c r="T891" s="3">
        <v>2.5450824999999999</v>
      </c>
      <c r="U891" s="3">
        <v>2.5375616000000001</v>
      </c>
      <c r="V891" s="3">
        <v>2.5233550999999999</v>
      </c>
      <c r="W891" s="3">
        <v>2.5036733999999998</v>
      </c>
      <c r="X891" s="3">
        <v>2.4796092000000001</v>
      </c>
      <c r="Y891" s="3">
        <v>2.4522214</v>
      </c>
      <c r="Z891" s="3">
        <v>2.4225686999999998</v>
      </c>
      <c r="AA891" s="3">
        <v>2.3917101000000001</v>
      </c>
      <c r="AB891" s="3">
        <v>2.3607041999999998</v>
      </c>
      <c r="AC891" s="3">
        <v>2.3304510999999999</v>
      </c>
      <c r="AD891" s="3">
        <v>2.3011507</v>
      </c>
      <c r="AE891" s="3">
        <v>2.2728093999999999</v>
      </c>
      <c r="AF891" s="3">
        <v>2.2454336000000001</v>
      </c>
      <c r="AG891" s="3">
        <v>2.2190297999999999</v>
      </c>
      <c r="AH891" s="3">
        <v>2.1936043999999999</v>
      </c>
      <c r="AI891" s="3">
        <v>2.1691639999999999</v>
      </c>
      <c r="AJ891" s="3">
        <v>2.145715</v>
      </c>
      <c r="AK891" s="3">
        <v>2.1232638000000001</v>
      </c>
      <c r="AL891" s="3">
        <v>2.101817</v>
      </c>
      <c r="AM891" s="3">
        <v>2.0813809000000001</v>
      </c>
      <c r="AN891" s="3">
        <v>2.0619621000000001</v>
      </c>
      <c r="AO891" s="3">
        <v>2.0435561999999998</v>
      </c>
      <c r="AP891" s="3">
        <v>2.0261117999999998</v>
      </c>
      <c r="AQ891" s="3">
        <v>2.0095641999999998</v>
      </c>
      <c r="AR891" s="3">
        <v>1.993849</v>
      </c>
      <c r="AS891" s="3">
        <v>1.9789014</v>
      </c>
      <c r="AT891" s="3">
        <v>1.9646568</v>
      </c>
      <c r="AU891" s="3">
        <v>1.9510508</v>
      </c>
      <c r="AV891" s="3">
        <v>1.9380187</v>
      </c>
      <c r="AW891" s="3">
        <v>1.9254959</v>
      </c>
      <c r="AX891" s="3">
        <v>1.9134177999999999</v>
      </c>
      <c r="AY891" s="3">
        <v>1.9017198</v>
      </c>
      <c r="AZ891" s="3">
        <v>1.8903373999999999</v>
      </c>
      <c r="BA891" s="3">
        <v>1.8792165000000001</v>
      </c>
      <c r="BB891" s="3">
        <v>1.8683494</v>
      </c>
      <c r="BC891" s="3">
        <v>1.8577414000000001</v>
      </c>
      <c r="BD891" s="3">
        <v>1.8473976000000001</v>
      </c>
      <c r="BE891" s="3">
        <v>1.8373233</v>
      </c>
      <c r="BF891" s="3">
        <v>1.8275237</v>
      </c>
      <c r="BG891" s="3">
        <v>1.818004</v>
      </c>
      <c r="BH891" s="3">
        <v>1.8087693</v>
      </c>
      <c r="BI891" s="3">
        <v>1.7998248999999999</v>
      </c>
      <c r="BJ891" s="3">
        <v>1.7911760000000001</v>
      </c>
      <c r="BK891" s="3">
        <v>1.7828278</v>
      </c>
      <c r="BL891" s="3">
        <v>1.7747854999999999</v>
      </c>
      <c r="BM891" s="3">
        <v>1.7331949</v>
      </c>
      <c r="BN891" s="3">
        <v>1.7036145</v>
      </c>
    </row>
    <row r="892" spans="1:66" x14ac:dyDescent="0.35">
      <c r="A892" s="5">
        <f t="shared" si="13"/>
        <v>44704</v>
      </c>
      <c r="B892" t="s">
        <v>2224</v>
      </c>
      <c r="C892" s="2">
        <v>1</v>
      </c>
      <c r="D892" s="2">
        <v>0.93930000000000002</v>
      </c>
      <c r="E892" s="3">
        <v>1.1294348999999999</v>
      </c>
      <c r="F892" s="3">
        <v>1.36334</v>
      </c>
      <c r="G892" s="3">
        <v>1.572149</v>
      </c>
      <c r="H892" s="3">
        <v>1.7567898</v>
      </c>
      <c r="I892" s="3">
        <v>1.9181663</v>
      </c>
      <c r="J892" s="3">
        <v>2.0582153000000001</v>
      </c>
      <c r="K892" s="3">
        <v>2.1794473999999999</v>
      </c>
      <c r="L892" s="3">
        <v>2.2844343</v>
      </c>
      <c r="M892" s="3">
        <v>2.3748635</v>
      </c>
      <c r="N892" s="3">
        <v>2.4516575</v>
      </c>
      <c r="O892" s="3">
        <v>2.5148472000000002</v>
      </c>
      <c r="P892" s="3">
        <v>2.5643874000000002</v>
      </c>
      <c r="Q892" s="3">
        <v>2.6002409000000002</v>
      </c>
      <c r="R892" s="3">
        <v>2.6234630999999999</v>
      </c>
      <c r="S892" s="3">
        <v>2.6354079000000001</v>
      </c>
      <c r="T892" s="3">
        <v>2.6374297000000002</v>
      </c>
      <c r="U892" s="3">
        <v>2.6308824999999998</v>
      </c>
      <c r="V892" s="3">
        <v>2.6171205999999998</v>
      </c>
      <c r="W892" s="3">
        <v>2.5974637999999999</v>
      </c>
      <c r="X892" s="3">
        <v>2.5730737000000001</v>
      </c>
      <c r="Y892" s="3">
        <v>2.5450659</v>
      </c>
      <c r="Z892" s="3">
        <v>2.5145561000000001</v>
      </c>
      <c r="AA892" s="3">
        <v>2.4826597000000001</v>
      </c>
      <c r="AB892" s="3">
        <v>2.4504926</v>
      </c>
      <c r="AC892" s="3">
        <v>2.4190051000000001</v>
      </c>
      <c r="AD892" s="3">
        <v>2.3884192</v>
      </c>
      <c r="AE892" s="3">
        <v>2.3587555</v>
      </c>
      <c r="AF892" s="3">
        <v>2.3300348</v>
      </c>
      <c r="AG892" s="3">
        <v>2.3022779</v>
      </c>
      <c r="AH892" s="3">
        <v>2.2755055999999998</v>
      </c>
      <c r="AI892" s="3">
        <v>2.2497386000000001</v>
      </c>
      <c r="AJ892" s="3">
        <v>2.2249976</v>
      </c>
      <c r="AK892" s="3">
        <v>2.2013034999999999</v>
      </c>
      <c r="AL892" s="3">
        <v>2.178677</v>
      </c>
      <c r="AM892" s="3">
        <v>2.1571387999999998</v>
      </c>
      <c r="AN892" s="3">
        <v>2.1367096999999999</v>
      </c>
      <c r="AO892" s="3">
        <v>2.1173978</v>
      </c>
      <c r="AP892" s="3">
        <v>2.0991548999999998</v>
      </c>
      <c r="AQ892" s="3">
        <v>2.0819174999999999</v>
      </c>
      <c r="AR892" s="3">
        <v>2.0656219</v>
      </c>
      <c r="AS892" s="3">
        <v>2.0502045999999998</v>
      </c>
      <c r="AT892" s="3">
        <v>2.0356019000000001</v>
      </c>
      <c r="AU892" s="3">
        <v>2.0217502999999999</v>
      </c>
      <c r="AV892" s="3">
        <v>2.0085861</v>
      </c>
      <c r="AW892" s="3">
        <v>1.9960458000000001</v>
      </c>
      <c r="AX892" s="3">
        <v>1.9840658</v>
      </c>
      <c r="AY892" s="3">
        <v>1.9725824000000001</v>
      </c>
      <c r="AZ892" s="3">
        <v>1.9615320999999999</v>
      </c>
      <c r="BA892" s="3">
        <v>1.950858</v>
      </c>
      <c r="BB892" s="3">
        <v>1.9405429000000001</v>
      </c>
      <c r="BC892" s="3">
        <v>1.9305842</v>
      </c>
      <c r="BD892" s="3">
        <v>1.9209794</v>
      </c>
      <c r="BE892" s="3">
        <v>1.9117261999999999</v>
      </c>
      <c r="BF892" s="3">
        <v>1.9028219</v>
      </c>
      <c r="BG892" s="3">
        <v>1.8942641</v>
      </c>
      <c r="BH892" s="3">
        <v>1.8860503</v>
      </c>
      <c r="BI892" s="3">
        <v>1.8781779999999999</v>
      </c>
      <c r="BJ892" s="3">
        <v>1.8706448</v>
      </c>
      <c r="BK892" s="3">
        <v>1.863448</v>
      </c>
      <c r="BL892" s="3">
        <v>1.8565853000000001</v>
      </c>
      <c r="BM892" s="3">
        <v>1.8223003</v>
      </c>
      <c r="BN892" s="3">
        <v>1.7995124</v>
      </c>
    </row>
    <row r="893" spans="1:66" x14ac:dyDescent="0.35">
      <c r="A893" s="5">
        <f t="shared" si="13"/>
        <v>44705</v>
      </c>
      <c r="B893" t="s">
        <v>2225</v>
      </c>
      <c r="C893" s="2">
        <v>1</v>
      </c>
      <c r="D893" s="2">
        <v>0.93910000000000005</v>
      </c>
      <c r="E893" s="3">
        <v>1.1245860999999999</v>
      </c>
      <c r="F893" s="3">
        <v>1.3325232</v>
      </c>
      <c r="G893" s="3">
        <v>1.5199587000000001</v>
      </c>
      <c r="H893" s="3">
        <v>1.6880529</v>
      </c>
      <c r="I893" s="3">
        <v>1.8360995</v>
      </c>
      <c r="J893" s="3">
        <v>1.9643934999999999</v>
      </c>
      <c r="K893" s="3">
        <v>2.0731228000000002</v>
      </c>
      <c r="L893" s="3">
        <v>2.1647872000000001</v>
      </c>
      <c r="M893" s="3">
        <v>2.2414458000000002</v>
      </c>
      <c r="N893" s="3">
        <v>2.305186</v>
      </c>
      <c r="O893" s="3">
        <v>2.3570072</v>
      </c>
      <c r="P893" s="3">
        <v>2.3975127999999999</v>
      </c>
      <c r="Q893" s="3">
        <v>2.4274300000000002</v>
      </c>
      <c r="R893" s="3">
        <v>2.4477047000000001</v>
      </c>
      <c r="S893" s="3">
        <v>2.4593327999999999</v>
      </c>
      <c r="T893" s="3">
        <v>2.4633105</v>
      </c>
      <c r="U893" s="3">
        <v>2.4606336</v>
      </c>
      <c r="V893" s="3">
        <v>2.4522982</v>
      </c>
      <c r="W893" s="3">
        <v>2.4392752999999998</v>
      </c>
      <c r="X893" s="3">
        <v>2.4224207999999998</v>
      </c>
      <c r="Y893" s="3">
        <v>2.4025571000000001</v>
      </c>
      <c r="Z893" s="3">
        <v>2.3805065999999999</v>
      </c>
      <c r="AA893" s="3">
        <v>2.3570916999999998</v>
      </c>
      <c r="AB893" s="3">
        <v>2.3331349000000001</v>
      </c>
      <c r="AC893" s="3">
        <v>2.3093423</v>
      </c>
      <c r="AD893" s="3">
        <v>2.2859072</v>
      </c>
      <c r="AE893" s="3">
        <v>2.2628811</v>
      </c>
      <c r="AF893" s="3">
        <v>2.2403156000000002</v>
      </c>
      <c r="AG893" s="3">
        <v>2.2182624999999998</v>
      </c>
      <c r="AH893" s="3">
        <v>2.1967732999999998</v>
      </c>
      <c r="AI893" s="3">
        <v>2.1758996000000002</v>
      </c>
      <c r="AJ893" s="3">
        <v>2.1556929999999999</v>
      </c>
      <c r="AK893" s="3">
        <v>2.1362052999999999</v>
      </c>
      <c r="AL893" s="3">
        <v>2.1174879</v>
      </c>
      <c r="AM893" s="3">
        <v>2.0995925999999998</v>
      </c>
      <c r="AN893" s="3">
        <v>2.0825708999999999</v>
      </c>
      <c r="AO893" s="3">
        <v>2.0664625000000001</v>
      </c>
      <c r="AP893" s="3">
        <v>2.0512353000000001</v>
      </c>
      <c r="AQ893" s="3">
        <v>2.0368308000000002</v>
      </c>
      <c r="AR893" s="3">
        <v>2.0231905000000001</v>
      </c>
      <c r="AS893" s="3">
        <v>2.0102559000000002</v>
      </c>
      <c r="AT893" s="3">
        <v>1.9979685</v>
      </c>
      <c r="AU893" s="3">
        <v>1.9862698000000001</v>
      </c>
      <c r="AV893" s="3">
        <v>1.9751011999999999</v>
      </c>
      <c r="AW893" s="3">
        <v>1.9644041999999999</v>
      </c>
      <c r="AX893" s="3">
        <v>1.9541204000000001</v>
      </c>
      <c r="AY893" s="3">
        <v>1.9441911999999999</v>
      </c>
      <c r="AZ893" s="3">
        <v>1.934558</v>
      </c>
      <c r="BA893" s="3">
        <v>1.9251696</v>
      </c>
      <c r="BB893" s="3">
        <v>1.9160124999999999</v>
      </c>
      <c r="BC893" s="3">
        <v>1.9070863</v>
      </c>
      <c r="BD893" s="3">
        <v>1.8983905000000001</v>
      </c>
      <c r="BE893" s="3">
        <v>1.8899246999999999</v>
      </c>
      <c r="BF893" s="3">
        <v>1.8816884</v>
      </c>
      <c r="BG893" s="3">
        <v>1.8736811</v>
      </c>
      <c r="BH893" s="3">
        <v>1.8659022000000001</v>
      </c>
      <c r="BI893" s="3">
        <v>1.8583514999999999</v>
      </c>
      <c r="BJ893" s="3">
        <v>1.8510282</v>
      </c>
      <c r="BK893" s="3">
        <v>1.8439321</v>
      </c>
      <c r="BL893" s="3">
        <v>1.8370626000000001</v>
      </c>
      <c r="BM893" s="3">
        <v>1.8008120000000001</v>
      </c>
      <c r="BN893" s="3">
        <v>1.7740197</v>
      </c>
    </row>
    <row r="894" spans="1:66" x14ac:dyDescent="0.35">
      <c r="A894" s="5">
        <f t="shared" si="13"/>
        <v>44706</v>
      </c>
      <c r="B894" t="s">
        <v>2226</v>
      </c>
      <c r="C894" s="2">
        <v>1</v>
      </c>
      <c r="D894" s="2">
        <v>0.93840000000000001</v>
      </c>
      <c r="E894" s="3">
        <v>1.1392027</v>
      </c>
      <c r="F894" s="3">
        <v>1.3402172000000001</v>
      </c>
      <c r="G894" s="3">
        <v>1.5248447000000001</v>
      </c>
      <c r="H894" s="3">
        <v>1.6948715999999999</v>
      </c>
      <c r="I894" s="3">
        <v>1.8479193</v>
      </c>
      <c r="J894" s="3">
        <v>1.9818595999999999</v>
      </c>
      <c r="K894" s="3">
        <v>2.0954502000000002</v>
      </c>
      <c r="L894" s="3">
        <v>2.1903728</v>
      </c>
      <c r="M894" s="3">
        <v>2.2688864999999998</v>
      </c>
      <c r="N894" s="3">
        <v>2.3328753</v>
      </c>
      <c r="O894" s="3">
        <v>2.3841937999999998</v>
      </c>
      <c r="P894" s="3">
        <v>2.4233156</v>
      </c>
      <c r="Q894" s="3">
        <v>2.4511747000000002</v>
      </c>
      <c r="R894" s="3">
        <v>2.4688376000000001</v>
      </c>
      <c r="S894" s="3">
        <v>2.4773369000000001</v>
      </c>
      <c r="T894" s="3">
        <v>2.4777051999999999</v>
      </c>
      <c r="U894" s="3">
        <v>2.4709750000000001</v>
      </c>
      <c r="V894" s="3">
        <v>2.4581789000000001</v>
      </c>
      <c r="W894" s="3">
        <v>2.4403464000000001</v>
      </c>
      <c r="X894" s="3">
        <v>2.4184899999999998</v>
      </c>
      <c r="Y894" s="3">
        <v>2.3936161</v>
      </c>
      <c r="Z894" s="3">
        <v>2.3667311</v>
      </c>
      <c r="AA894" s="3">
        <v>2.3388414000000002</v>
      </c>
      <c r="AB894" s="3">
        <v>2.3109533999999998</v>
      </c>
      <c r="AC894" s="3">
        <v>2.2839624999999999</v>
      </c>
      <c r="AD894" s="3">
        <v>2.2581012999999999</v>
      </c>
      <c r="AE894" s="3">
        <v>2.2333584000000002</v>
      </c>
      <c r="AF894" s="3">
        <v>2.2097218000000001</v>
      </c>
      <c r="AG894" s="3">
        <v>2.1871795000000001</v>
      </c>
      <c r="AH894" s="3">
        <v>2.1657198000000002</v>
      </c>
      <c r="AI894" s="3">
        <v>2.1453305999999999</v>
      </c>
      <c r="AJ894" s="3">
        <v>2.1260001000000002</v>
      </c>
      <c r="AK894" s="3">
        <v>2.1077162</v>
      </c>
      <c r="AL894" s="3">
        <v>2.0904671000000001</v>
      </c>
      <c r="AM894" s="3">
        <v>2.0742408999999999</v>
      </c>
      <c r="AN894" s="3">
        <v>2.0590256999999998</v>
      </c>
      <c r="AO894" s="3">
        <v>2.0448021000000001</v>
      </c>
      <c r="AP894" s="3">
        <v>2.0315116999999998</v>
      </c>
      <c r="AQ894" s="3">
        <v>2.0190825000000001</v>
      </c>
      <c r="AR894" s="3">
        <v>2.0074428000000002</v>
      </c>
      <c r="AS894" s="3">
        <v>1.9965207</v>
      </c>
      <c r="AT894" s="3">
        <v>1.9862445</v>
      </c>
      <c r="AU894" s="3">
        <v>1.9765423</v>
      </c>
      <c r="AV894" s="3">
        <v>1.9673423000000001</v>
      </c>
      <c r="AW894" s="3">
        <v>1.9585726000000001</v>
      </c>
      <c r="AX894" s="3">
        <v>1.9501615000000001</v>
      </c>
      <c r="AY894" s="3">
        <v>1.9420371000000001</v>
      </c>
      <c r="AZ894" s="3">
        <v>1.9341276999999999</v>
      </c>
      <c r="BA894" s="3">
        <v>1.926372</v>
      </c>
      <c r="BB894" s="3">
        <v>1.9187612000000001</v>
      </c>
      <c r="BC894" s="3">
        <v>1.9113022</v>
      </c>
      <c r="BD894" s="3">
        <v>1.904002</v>
      </c>
      <c r="BE894" s="3">
        <v>1.8968674999999999</v>
      </c>
      <c r="BF894" s="3">
        <v>1.8899056999999999</v>
      </c>
      <c r="BG894" s="3">
        <v>1.8831235</v>
      </c>
      <c r="BH894" s="3">
        <v>1.8765278999999999</v>
      </c>
      <c r="BI894" s="3">
        <v>1.8701258999999999</v>
      </c>
      <c r="BJ894" s="3">
        <v>1.8639243000000001</v>
      </c>
      <c r="BK894" s="3">
        <v>1.8579300999999999</v>
      </c>
      <c r="BL894" s="3">
        <v>1.8521504</v>
      </c>
      <c r="BM894" s="3">
        <v>1.8222670000000001</v>
      </c>
      <c r="BN894" s="3">
        <v>1.8012683</v>
      </c>
    </row>
    <row r="895" spans="1:66" x14ac:dyDescent="0.35">
      <c r="A895" s="5">
        <f t="shared" si="13"/>
        <v>44707</v>
      </c>
      <c r="B895" t="s">
        <v>2227</v>
      </c>
      <c r="C895" s="2">
        <v>1</v>
      </c>
      <c r="D895" s="2">
        <v>0.93879999999999997</v>
      </c>
      <c r="E895" s="3">
        <v>1.1566301999999999</v>
      </c>
      <c r="F895" s="3">
        <v>1.3581719999999999</v>
      </c>
      <c r="G895" s="3">
        <v>1.5508552</v>
      </c>
      <c r="H895" s="3">
        <v>1.7301487</v>
      </c>
      <c r="I895" s="3">
        <v>1.8915356999999999</v>
      </c>
      <c r="J895" s="3">
        <v>2.0322334999999998</v>
      </c>
      <c r="K895" s="3">
        <v>2.1513331</v>
      </c>
      <c r="L895" s="3">
        <v>2.2492277999999999</v>
      </c>
      <c r="M895" s="3">
        <v>2.3279996000000001</v>
      </c>
      <c r="N895" s="3">
        <v>2.3899099000000001</v>
      </c>
      <c r="O895" s="3">
        <v>2.4372512999999998</v>
      </c>
      <c r="P895" s="3">
        <v>2.4716019999999999</v>
      </c>
      <c r="Q895" s="3">
        <v>2.4954231</v>
      </c>
      <c r="R895" s="3">
        <v>2.510097</v>
      </c>
      <c r="S895" s="3">
        <v>2.5166330000000001</v>
      </c>
      <c r="T895" s="3">
        <v>2.5160402999999998</v>
      </c>
      <c r="U895" s="3">
        <v>2.5093279000000002</v>
      </c>
      <c r="V895" s="3">
        <v>2.4975051000000001</v>
      </c>
      <c r="W895" s="3">
        <v>2.4815526000000001</v>
      </c>
      <c r="X895" s="3">
        <v>2.4623054</v>
      </c>
      <c r="Y895" s="3">
        <v>2.4405518000000002</v>
      </c>
      <c r="Z895" s="3">
        <v>2.4170805</v>
      </c>
      <c r="AA895" s="3">
        <v>2.3926797</v>
      </c>
      <c r="AB895" s="3">
        <v>2.3681378999999998</v>
      </c>
      <c r="AC895" s="3">
        <v>2.3441488000000001</v>
      </c>
      <c r="AD895" s="3">
        <v>2.3208951999999998</v>
      </c>
      <c r="AE895" s="3">
        <v>2.2983889999999998</v>
      </c>
      <c r="AF895" s="3">
        <v>2.2766418000000002</v>
      </c>
      <c r="AG895" s="3">
        <v>2.2556653</v>
      </c>
      <c r="AH895" s="3">
        <v>2.235471</v>
      </c>
      <c r="AI895" s="3">
        <v>2.2160706999999999</v>
      </c>
      <c r="AJ895" s="3">
        <v>2.197476</v>
      </c>
      <c r="AK895" s="3">
        <v>2.1796985000000002</v>
      </c>
      <c r="AL895" s="3">
        <v>2.1627499000000001</v>
      </c>
      <c r="AM895" s="3">
        <v>2.1466419000000001</v>
      </c>
      <c r="AN895" s="3">
        <v>2.1313860999999998</v>
      </c>
      <c r="AO895" s="3">
        <v>2.1169848</v>
      </c>
      <c r="AP895" s="3">
        <v>2.1033949999999999</v>
      </c>
      <c r="AQ895" s="3">
        <v>2.0905599000000001</v>
      </c>
      <c r="AR895" s="3">
        <v>2.0784227999999998</v>
      </c>
      <c r="AS895" s="3">
        <v>2.0669266999999998</v>
      </c>
      <c r="AT895" s="3">
        <v>2.0560149000000001</v>
      </c>
      <c r="AU895" s="3">
        <v>2.0456306</v>
      </c>
      <c r="AV895" s="3">
        <v>2.035717</v>
      </c>
      <c r="AW895" s="3">
        <v>2.0262172000000001</v>
      </c>
      <c r="AX895" s="3">
        <v>2.0170743999999998</v>
      </c>
      <c r="AY895" s="3">
        <v>2.0082319000000002</v>
      </c>
      <c r="AZ895" s="3">
        <v>1.9996327</v>
      </c>
      <c r="BA895" s="3">
        <v>1.9912293999999999</v>
      </c>
      <c r="BB895" s="3">
        <v>1.9830154</v>
      </c>
      <c r="BC895" s="3">
        <v>1.9749954000000001</v>
      </c>
      <c r="BD895" s="3">
        <v>1.9671738999999999</v>
      </c>
      <c r="BE895" s="3">
        <v>1.9595558</v>
      </c>
      <c r="BF895" s="3">
        <v>1.9521455999999999</v>
      </c>
      <c r="BG895" s="3">
        <v>1.9449482</v>
      </c>
      <c r="BH895" s="3">
        <v>1.9379681</v>
      </c>
      <c r="BI895" s="3">
        <v>1.9312100000000001</v>
      </c>
      <c r="BJ895" s="3">
        <v>1.9246787000000001</v>
      </c>
      <c r="BK895" s="3">
        <v>1.9183787999999999</v>
      </c>
      <c r="BL895" s="3">
        <v>1.9123148999999999</v>
      </c>
      <c r="BM895" s="3">
        <v>1.8811192999999999</v>
      </c>
      <c r="BN895" s="3">
        <v>1.8594042</v>
      </c>
    </row>
    <row r="896" spans="1:66" x14ac:dyDescent="0.35">
      <c r="A896" s="5">
        <f t="shared" si="13"/>
        <v>44708</v>
      </c>
      <c r="B896" t="s">
        <v>2228</v>
      </c>
      <c r="C896" s="2">
        <v>1</v>
      </c>
      <c r="D896" s="2">
        <v>0.93830000000000002</v>
      </c>
      <c r="E896" s="3">
        <v>1.1671733</v>
      </c>
      <c r="F896" s="3">
        <v>1.3662303</v>
      </c>
      <c r="G896" s="3">
        <v>1.5607869999999999</v>
      </c>
      <c r="H896" s="3">
        <v>1.7429121000000001</v>
      </c>
      <c r="I896" s="3">
        <v>1.9063273999999999</v>
      </c>
      <c r="J896" s="3">
        <v>2.0479853000000001</v>
      </c>
      <c r="K896" s="3">
        <v>2.1668118999999999</v>
      </c>
      <c r="L896" s="3">
        <v>2.2638305999999999</v>
      </c>
      <c r="M896" s="3">
        <v>2.3415051</v>
      </c>
      <c r="N896" s="3">
        <v>2.4024516</v>
      </c>
      <c r="O896" s="3">
        <v>2.4484987999999999</v>
      </c>
      <c r="P896" s="3">
        <v>2.4811426000000001</v>
      </c>
      <c r="Q896" s="3">
        <v>2.5020373</v>
      </c>
      <c r="R896" s="3">
        <v>2.5126515</v>
      </c>
      <c r="S896" s="3">
        <v>2.5143703999999998</v>
      </c>
      <c r="T896" s="3">
        <v>2.5085793999999999</v>
      </c>
      <c r="U896" s="3">
        <v>2.4966634999999999</v>
      </c>
      <c r="V896" s="3">
        <v>2.4800081</v>
      </c>
      <c r="W896" s="3">
        <v>2.4599053999999998</v>
      </c>
      <c r="X896" s="3">
        <v>2.4372162999999998</v>
      </c>
      <c r="Y896" s="3">
        <v>2.412677</v>
      </c>
      <c r="Z896" s="3">
        <v>2.3870233999999999</v>
      </c>
      <c r="AA896" s="3">
        <v>2.3609916000000002</v>
      </c>
      <c r="AB896" s="3">
        <v>2.3353177000000001</v>
      </c>
      <c r="AC896" s="3">
        <v>2.3106322000000001</v>
      </c>
      <c r="AD896" s="3">
        <v>2.2870518999999998</v>
      </c>
      <c r="AE896" s="3">
        <v>2.2645371000000001</v>
      </c>
      <c r="AF896" s="3">
        <v>2.2430482</v>
      </c>
      <c r="AG896" s="3">
        <v>2.2225456000000001</v>
      </c>
      <c r="AH896" s="3">
        <v>2.2029895000000002</v>
      </c>
      <c r="AI896" s="3">
        <v>2.1843403000000001</v>
      </c>
      <c r="AJ896" s="3">
        <v>2.1665584</v>
      </c>
      <c r="AK896" s="3">
        <v>2.1496040000000001</v>
      </c>
      <c r="AL896" s="3">
        <v>2.1334374999999999</v>
      </c>
      <c r="AM896" s="3">
        <v>2.1180192999999998</v>
      </c>
      <c r="AN896" s="3">
        <v>2.1033097000000001</v>
      </c>
      <c r="AO896" s="3">
        <v>2.0892681999999998</v>
      </c>
      <c r="AP896" s="3">
        <v>2.0758508999999998</v>
      </c>
      <c r="AQ896" s="3">
        <v>2.0630128000000001</v>
      </c>
      <c r="AR896" s="3">
        <v>2.0507089999999999</v>
      </c>
      <c r="AS896" s="3">
        <v>2.0388947000000002</v>
      </c>
      <c r="AT896" s="3">
        <v>2.0275248000000001</v>
      </c>
      <c r="AU896" s="3">
        <v>2.0165544999999998</v>
      </c>
      <c r="AV896" s="3">
        <v>2.0059388</v>
      </c>
      <c r="AW896" s="3">
        <v>1.9956328999999999</v>
      </c>
      <c r="AX896" s="3">
        <v>1.9855917000000001</v>
      </c>
      <c r="AY896" s="3">
        <v>1.9757704</v>
      </c>
      <c r="AZ896" s="3">
        <v>1.966124</v>
      </c>
      <c r="BA896" s="3">
        <v>1.9566162</v>
      </c>
      <c r="BB896" s="3">
        <v>1.9472487999999999</v>
      </c>
      <c r="BC896" s="3">
        <v>1.9380339</v>
      </c>
      <c r="BD896" s="3">
        <v>1.9289837000000001</v>
      </c>
      <c r="BE896" s="3">
        <v>1.9201104</v>
      </c>
      <c r="BF896" s="3">
        <v>1.9114262</v>
      </c>
      <c r="BG896" s="3">
        <v>1.9029433</v>
      </c>
      <c r="BH896" s="3">
        <v>1.8946738000000001</v>
      </c>
      <c r="BI896" s="3">
        <v>1.88663</v>
      </c>
      <c r="BJ896" s="3">
        <v>1.878824</v>
      </c>
      <c r="BK896" s="3">
        <v>1.8712681</v>
      </c>
      <c r="BL896" s="3">
        <v>1.8639744</v>
      </c>
      <c r="BM896" s="3">
        <v>1.8261786</v>
      </c>
      <c r="BN896" s="3">
        <v>1.799544</v>
      </c>
    </row>
    <row r="897" spans="1:66" x14ac:dyDescent="0.35">
      <c r="A897" s="5">
        <f t="shared" si="13"/>
        <v>44711</v>
      </c>
      <c r="B897" t="s">
        <v>2229</v>
      </c>
      <c r="C897" s="2">
        <v>1</v>
      </c>
      <c r="D897" s="2">
        <v>0.93840000000000001</v>
      </c>
      <c r="E897" s="3">
        <v>1.2218334</v>
      </c>
      <c r="F897" s="3">
        <v>1.4041014999999999</v>
      </c>
      <c r="G897" s="3">
        <v>1.6057604000000001</v>
      </c>
      <c r="H897" s="3">
        <v>1.7965974</v>
      </c>
      <c r="I897" s="3">
        <v>1.9654067</v>
      </c>
      <c r="J897" s="3">
        <v>2.1105461999999999</v>
      </c>
      <c r="K897" s="3">
        <v>2.2321336999999999</v>
      </c>
      <c r="L897" s="3">
        <v>2.3327694999999999</v>
      </c>
      <c r="M897" s="3">
        <v>2.4153969000000002</v>
      </c>
      <c r="N897" s="3">
        <v>2.4820071000000001</v>
      </c>
      <c r="O897" s="3">
        <v>2.533534</v>
      </c>
      <c r="P897" s="3">
        <v>2.5709954000000002</v>
      </c>
      <c r="Q897" s="3">
        <v>2.5957753000000001</v>
      </c>
      <c r="R897" s="3">
        <v>2.6093023999999998</v>
      </c>
      <c r="S897" s="3">
        <v>2.6129931000000002</v>
      </c>
      <c r="T897" s="3">
        <v>2.6082635000000001</v>
      </c>
      <c r="U897" s="3">
        <v>2.5965299000000002</v>
      </c>
      <c r="V897" s="3">
        <v>2.5792085</v>
      </c>
      <c r="W897" s="3">
        <v>2.5576346999999999</v>
      </c>
      <c r="X897" s="3">
        <v>2.5327692000000002</v>
      </c>
      <c r="Y897" s="3">
        <v>2.5054637</v>
      </c>
      <c r="Z897" s="3">
        <v>2.4765703999999999</v>
      </c>
      <c r="AA897" s="3">
        <v>2.4469409999999998</v>
      </c>
      <c r="AB897" s="3">
        <v>2.4174275999999999</v>
      </c>
      <c r="AC897" s="3">
        <v>2.388754</v>
      </c>
      <c r="AD897" s="3">
        <v>2.3610779000000002</v>
      </c>
      <c r="AE897" s="3">
        <v>2.3344011</v>
      </c>
      <c r="AF897" s="3">
        <v>2.3087254000000001</v>
      </c>
      <c r="AG897" s="3">
        <v>2.2840524000000002</v>
      </c>
      <c r="AH897" s="3">
        <v>2.2603840000000002</v>
      </c>
      <c r="AI897" s="3">
        <v>2.2377216999999998</v>
      </c>
      <c r="AJ897" s="3">
        <v>2.2160674</v>
      </c>
      <c r="AK897" s="3">
        <v>2.1954227999999998</v>
      </c>
      <c r="AL897" s="3">
        <v>2.1757895999999999</v>
      </c>
      <c r="AM897" s="3">
        <v>2.1571695000000002</v>
      </c>
      <c r="AN897" s="3">
        <v>2.1395643</v>
      </c>
      <c r="AO897" s="3">
        <v>2.1229665999999998</v>
      </c>
      <c r="AP897" s="3">
        <v>2.1073284999999999</v>
      </c>
      <c r="AQ897" s="3">
        <v>2.0925913</v>
      </c>
      <c r="AR897" s="3">
        <v>2.0786959999999999</v>
      </c>
      <c r="AS897" s="3">
        <v>2.0655836999999999</v>
      </c>
      <c r="AT897" s="3">
        <v>2.0531956</v>
      </c>
      <c r="AU897" s="3">
        <v>2.0414728000000002</v>
      </c>
      <c r="AV897" s="3">
        <v>2.0303562999999998</v>
      </c>
      <c r="AW897" s="3">
        <v>2.0197873999999998</v>
      </c>
      <c r="AX897" s="3">
        <v>2.0097070000000001</v>
      </c>
      <c r="AY897" s="3">
        <v>2.0000564000000001</v>
      </c>
      <c r="AZ897" s="3">
        <v>1.9907767000000001</v>
      </c>
      <c r="BA897" s="3">
        <v>1.9818157000000001</v>
      </c>
      <c r="BB897" s="3">
        <v>1.9731588</v>
      </c>
      <c r="BC897" s="3">
        <v>1.9648032</v>
      </c>
      <c r="BD897" s="3">
        <v>1.9567466</v>
      </c>
      <c r="BE897" s="3">
        <v>1.9489863999999999</v>
      </c>
      <c r="BF897" s="3">
        <v>1.9415203000000001</v>
      </c>
      <c r="BG897" s="3">
        <v>1.9343456000000001</v>
      </c>
      <c r="BH897" s="3">
        <v>1.92746</v>
      </c>
      <c r="BI897" s="3">
        <v>1.9208609000000001</v>
      </c>
      <c r="BJ897" s="3">
        <v>1.9145458</v>
      </c>
      <c r="BK897" s="3">
        <v>1.9085124</v>
      </c>
      <c r="BL897" s="3">
        <v>1.9027579999999999</v>
      </c>
      <c r="BM897" s="3">
        <v>1.8740441999999999</v>
      </c>
      <c r="BN897" s="3">
        <v>1.8553143999999999</v>
      </c>
    </row>
    <row r="898" spans="1:66" x14ac:dyDescent="0.35">
      <c r="A898" s="5">
        <f t="shared" si="13"/>
        <v>44712</v>
      </c>
      <c r="B898" t="s">
        <v>2230</v>
      </c>
      <c r="C898" s="2">
        <v>1</v>
      </c>
      <c r="D898" s="2">
        <v>0.94099999999999995</v>
      </c>
      <c r="E898" s="3">
        <v>1.2197183</v>
      </c>
      <c r="F898" s="3">
        <v>1.4003319999999999</v>
      </c>
      <c r="G898" s="3">
        <v>1.6048249999999999</v>
      </c>
      <c r="H898" s="3">
        <v>1.8003302999999999</v>
      </c>
      <c r="I898" s="3">
        <v>1.9765839999999999</v>
      </c>
      <c r="J898" s="3">
        <v>2.1328931999999998</v>
      </c>
      <c r="K898" s="3">
        <v>2.2683194000000002</v>
      </c>
      <c r="L898" s="3">
        <v>2.3827753</v>
      </c>
      <c r="M898" s="3">
        <v>2.4757661</v>
      </c>
      <c r="N898" s="3">
        <v>2.5497198000000001</v>
      </c>
      <c r="O898" s="3">
        <v>2.6066410000000002</v>
      </c>
      <c r="P898" s="3">
        <v>2.6485059</v>
      </c>
      <c r="Q898" s="3">
        <v>2.6774296</v>
      </c>
      <c r="R898" s="3">
        <v>2.6949652999999998</v>
      </c>
      <c r="S898" s="3">
        <v>2.7025103000000001</v>
      </c>
      <c r="T898" s="3">
        <v>2.7014616999999999</v>
      </c>
      <c r="U898" s="3">
        <v>2.6932168999999999</v>
      </c>
      <c r="V898" s="3">
        <v>2.6791730999999999</v>
      </c>
      <c r="W898" s="3">
        <v>2.6606380000000001</v>
      </c>
      <c r="X898" s="3">
        <v>2.6385434999999999</v>
      </c>
      <c r="Y898" s="3">
        <v>2.6137226</v>
      </c>
      <c r="Z898" s="3">
        <v>2.5870084000000002</v>
      </c>
      <c r="AA898" s="3">
        <v>2.5592339000000002</v>
      </c>
      <c r="AB898" s="3">
        <v>2.5312323000000001</v>
      </c>
      <c r="AC898" s="3">
        <v>2.5037159</v>
      </c>
      <c r="AD898" s="3">
        <v>2.4768645</v>
      </c>
      <c r="AE898" s="3">
        <v>2.4507107000000001</v>
      </c>
      <c r="AF898" s="3">
        <v>2.4252872000000001</v>
      </c>
      <c r="AG898" s="3">
        <v>2.4006270000000001</v>
      </c>
      <c r="AH898" s="3">
        <v>2.3767624999999999</v>
      </c>
      <c r="AI898" s="3">
        <v>2.3537267000000002</v>
      </c>
      <c r="AJ898" s="3">
        <v>2.3315522</v>
      </c>
      <c r="AK898" s="3">
        <v>2.3102716999999999</v>
      </c>
      <c r="AL898" s="3">
        <v>2.2899181</v>
      </c>
      <c r="AM898" s="3">
        <v>2.2705239000000002</v>
      </c>
      <c r="AN898" s="3">
        <v>2.252122</v>
      </c>
      <c r="AO898" s="3">
        <v>2.2347345000000001</v>
      </c>
      <c r="AP898" s="3">
        <v>2.2183266000000001</v>
      </c>
      <c r="AQ898" s="3">
        <v>2.2028446000000002</v>
      </c>
      <c r="AR898" s="3">
        <v>2.1882345000000001</v>
      </c>
      <c r="AS898" s="3">
        <v>2.1744425999999999</v>
      </c>
      <c r="AT898" s="3">
        <v>2.1614149</v>
      </c>
      <c r="AU898" s="3">
        <v>2.1490977</v>
      </c>
      <c r="AV898" s="3">
        <v>2.1374369999999998</v>
      </c>
      <c r="AW898" s="3">
        <v>2.126379</v>
      </c>
      <c r="AX898" s="3">
        <v>2.1158698999999999</v>
      </c>
      <c r="AY898" s="3">
        <v>2.1058558999999999</v>
      </c>
      <c r="AZ898" s="3">
        <v>2.0962830000000001</v>
      </c>
      <c r="BA898" s="3">
        <v>2.0871040000000001</v>
      </c>
      <c r="BB898" s="3">
        <v>2.0783035999999999</v>
      </c>
      <c r="BC898" s="3">
        <v>2.0698764000000001</v>
      </c>
      <c r="BD898" s="3">
        <v>2.0618167000000001</v>
      </c>
      <c r="BE898" s="3">
        <v>2.0541192000000001</v>
      </c>
      <c r="BF898" s="3">
        <v>2.0467781999999999</v>
      </c>
      <c r="BG898" s="3">
        <v>2.0397883000000001</v>
      </c>
      <c r="BH898" s="3">
        <v>2.0331440000000001</v>
      </c>
      <c r="BI898" s="3">
        <v>2.0268397999999999</v>
      </c>
      <c r="BJ898" s="3">
        <v>2.0208699999999999</v>
      </c>
      <c r="BK898" s="3">
        <v>2.0152293000000001</v>
      </c>
      <c r="BL898" s="3">
        <v>2.0099121000000002</v>
      </c>
      <c r="BM898" s="3">
        <v>1.9845855999999999</v>
      </c>
      <c r="BN898" s="3">
        <v>1.9700777</v>
      </c>
    </row>
    <row r="899" spans="1:66" x14ac:dyDescent="0.35">
      <c r="A899" s="5">
        <f t="shared" si="13"/>
        <v>44713</v>
      </c>
      <c r="B899" t="s">
        <v>2232</v>
      </c>
      <c r="C899" s="2">
        <v>1</v>
      </c>
      <c r="D899" s="2">
        <v>0.93889999999999996</v>
      </c>
      <c r="E899" s="3">
        <v>1.2318121</v>
      </c>
      <c r="F899" s="3">
        <v>1.4023848999999999</v>
      </c>
      <c r="G899" s="3">
        <v>1.6083482</v>
      </c>
      <c r="H899" s="3">
        <v>1.8152552</v>
      </c>
      <c r="I899" s="3">
        <v>2.0083226999999999</v>
      </c>
      <c r="J899" s="3">
        <v>2.1831957000000002</v>
      </c>
      <c r="K899" s="3">
        <v>2.3362595000000002</v>
      </c>
      <c r="L899" s="3">
        <v>2.4669137000000001</v>
      </c>
      <c r="M899" s="3">
        <v>2.5749327000000002</v>
      </c>
      <c r="N899" s="3">
        <v>2.6618029999999999</v>
      </c>
      <c r="O899" s="3">
        <v>2.7294434000000001</v>
      </c>
      <c r="P899" s="3">
        <v>2.7793831</v>
      </c>
      <c r="Q899" s="3">
        <v>2.8143221999999999</v>
      </c>
      <c r="R899" s="3">
        <v>2.8361762000000001</v>
      </c>
      <c r="S899" s="3">
        <v>2.8465520999999998</v>
      </c>
      <c r="T899" s="3">
        <v>2.8470569999999999</v>
      </c>
      <c r="U899" s="3">
        <v>2.8392979999999999</v>
      </c>
      <c r="V899" s="3">
        <v>2.8248821999999998</v>
      </c>
      <c r="W899" s="3">
        <v>2.8053097999999999</v>
      </c>
      <c r="X899" s="3">
        <v>2.7816317000000002</v>
      </c>
      <c r="Y899" s="3">
        <v>2.7547806000000001</v>
      </c>
      <c r="Z899" s="3">
        <v>2.7256895000000001</v>
      </c>
      <c r="AA899" s="3">
        <v>2.6952912000000002</v>
      </c>
      <c r="AB899" s="3">
        <v>2.6645184999999998</v>
      </c>
      <c r="AC899" s="3">
        <v>2.6341950000000001</v>
      </c>
      <c r="AD899" s="3">
        <v>2.6045552999999999</v>
      </c>
      <c r="AE899" s="3">
        <v>2.5756364</v>
      </c>
      <c r="AF899" s="3">
        <v>2.5474755999999998</v>
      </c>
      <c r="AG899" s="3">
        <v>2.5201096999999999</v>
      </c>
      <c r="AH899" s="3">
        <v>2.4935757999999999</v>
      </c>
      <c r="AI899" s="3">
        <v>2.467911</v>
      </c>
      <c r="AJ899" s="3">
        <v>2.4431522999999999</v>
      </c>
      <c r="AK899" s="3">
        <v>2.4193367000000001</v>
      </c>
      <c r="AL899" s="3">
        <v>2.3965011999999999</v>
      </c>
      <c r="AM899" s="3">
        <v>2.3746830000000001</v>
      </c>
      <c r="AN899" s="3">
        <v>2.3539189</v>
      </c>
      <c r="AO899" s="3">
        <v>2.3342329999999998</v>
      </c>
      <c r="AP899" s="3">
        <v>2.3155850999999998</v>
      </c>
      <c r="AQ899" s="3">
        <v>2.2979159999999998</v>
      </c>
      <c r="AR899" s="3">
        <v>2.2811659999999998</v>
      </c>
      <c r="AS899" s="3">
        <v>2.2652758</v>
      </c>
      <c r="AT899" s="3">
        <v>2.2501858000000001</v>
      </c>
      <c r="AU899" s="3">
        <v>2.2358365999999998</v>
      </c>
      <c r="AV899" s="3">
        <v>2.2221687000000001</v>
      </c>
      <c r="AW899" s="3">
        <v>2.2091227</v>
      </c>
      <c r="AX899" s="3">
        <v>2.1966391000000001</v>
      </c>
      <c r="AY899" s="3">
        <v>2.1846584999999998</v>
      </c>
      <c r="AZ899" s="3">
        <v>2.1731213</v>
      </c>
      <c r="BA899" s="3">
        <v>2.1619761999999998</v>
      </c>
      <c r="BB899" s="3">
        <v>2.1512082000000001</v>
      </c>
      <c r="BC899" s="3">
        <v>2.1408119000000001</v>
      </c>
      <c r="BD899" s="3">
        <v>2.1307820999999998</v>
      </c>
      <c r="BE899" s="3">
        <v>2.1211134999999999</v>
      </c>
      <c r="BF899" s="3">
        <v>2.1118009</v>
      </c>
      <c r="BG899" s="3">
        <v>2.1028392</v>
      </c>
      <c r="BH899" s="3">
        <v>2.0942229000000001</v>
      </c>
      <c r="BI899" s="3">
        <v>2.085947</v>
      </c>
      <c r="BJ899" s="3">
        <v>2.0780061000000001</v>
      </c>
      <c r="BK899" s="3">
        <v>2.070395</v>
      </c>
      <c r="BL899" s="3">
        <v>2.0631084999999998</v>
      </c>
      <c r="BM899" s="3">
        <v>2.0260619000000002</v>
      </c>
      <c r="BN899" s="3">
        <v>2.0002895000000001</v>
      </c>
    </row>
    <row r="900" spans="1:66" x14ac:dyDescent="0.35">
      <c r="A900" s="5">
        <f t="shared" si="13"/>
        <v>44714</v>
      </c>
      <c r="B900" t="s">
        <v>2233</v>
      </c>
      <c r="C900" s="2">
        <v>1</v>
      </c>
      <c r="D900" s="2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  <c r="P900" s="3" t="e">
        <v>#N/A</v>
      </c>
      <c r="Q900" s="3" t="e">
        <v>#N/A</v>
      </c>
      <c r="R900" s="3" t="e">
        <v>#N/A</v>
      </c>
      <c r="S900" s="3" t="e">
        <v>#N/A</v>
      </c>
      <c r="T900" s="3" t="e">
        <v>#N/A</v>
      </c>
      <c r="U900" s="3" t="e">
        <v>#N/A</v>
      </c>
      <c r="V900" s="3" t="e">
        <v>#N/A</v>
      </c>
      <c r="W900" s="3" t="e">
        <v>#N/A</v>
      </c>
      <c r="X900" s="3" t="e">
        <v>#N/A</v>
      </c>
      <c r="Y900" s="3" t="e">
        <v>#N/A</v>
      </c>
      <c r="Z900" s="3" t="e">
        <v>#N/A</v>
      </c>
      <c r="AA900" s="3" t="e">
        <v>#N/A</v>
      </c>
      <c r="AB900" s="3" t="e">
        <v>#N/A</v>
      </c>
      <c r="AC900" s="3" t="e">
        <v>#N/A</v>
      </c>
      <c r="AD900" s="3" t="e">
        <v>#N/A</v>
      </c>
      <c r="AE900" s="3" t="e">
        <v>#N/A</v>
      </c>
      <c r="AF900" s="3" t="e">
        <v>#N/A</v>
      </c>
      <c r="AG900" s="3" t="e">
        <v>#N/A</v>
      </c>
      <c r="AH900" s="3" t="e">
        <v>#N/A</v>
      </c>
      <c r="AI900" s="3" t="e">
        <v>#N/A</v>
      </c>
      <c r="AJ900" s="3" t="e">
        <v>#N/A</v>
      </c>
      <c r="AK900" s="3" t="e">
        <v>#N/A</v>
      </c>
      <c r="AL900" s="3" t="e">
        <v>#N/A</v>
      </c>
      <c r="AM900" s="3" t="e">
        <v>#N/A</v>
      </c>
      <c r="AN900" s="3" t="e">
        <v>#N/A</v>
      </c>
      <c r="AO900" s="3" t="e">
        <v>#N/A</v>
      </c>
      <c r="AP900" s="3" t="e">
        <v>#N/A</v>
      </c>
      <c r="AQ900" s="3" t="e">
        <v>#N/A</v>
      </c>
      <c r="AR900" s="3" t="e">
        <v>#N/A</v>
      </c>
      <c r="AS900" s="3" t="e">
        <v>#N/A</v>
      </c>
      <c r="AT900" s="3" t="e">
        <v>#N/A</v>
      </c>
      <c r="AU900" s="3" t="e">
        <v>#N/A</v>
      </c>
      <c r="AV900" s="3" t="e">
        <v>#N/A</v>
      </c>
      <c r="AW900" s="3" t="e">
        <v>#N/A</v>
      </c>
      <c r="AX900" s="3" t="e">
        <v>#N/A</v>
      </c>
      <c r="AY900" s="3" t="e">
        <v>#N/A</v>
      </c>
      <c r="AZ900" s="3" t="e">
        <v>#N/A</v>
      </c>
      <c r="BA900" s="3" t="e">
        <v>#N/A</v>
      </c>
      <c r="BB900" s="3" t="e">
        <v>#N/A</v>
      </c>
      <c r="BC900" s="3" t="e">
        <v>#N/A</v>
      </c>
      <c r="BD900" s="3" t="e">
        <v>#N/A</v>
      </c>
      <c r="BE900" s="3" t="e">
        <v>#N/A</v>
      </c>
      <c r="BF900" s="3" t="e">
        <v>#N/A</v>
      </c>
      <c r="BG900" s="3" t="e">
        <v>#N/A</v>
      </c>
      <c r="BH900" s="3" t="e">
        <v>#N/A</v>
      </c>
      <c r="BI900" s="3" t="e">
        <v>#N/A</v>
      </c>
      <c r="BJ900" s="3" t="e">
        <v>#N/A</v>
      </c>
      <c r="BK900" s="3" t="e">
        <v>#N/A</v>
      </c>
      <c r="BL900" s="3" t="e">
        <v>#N/A</v>
      </c>
      <c r="BM900" s="3" t="e">
        <v>#N/A</v>
      </c>
      <c r="BN900" s="3" t="e">
        <v>#N/A</v>
      </c>
    </row>
    <row r="901" spans="1:66" x14ac:dyDescent="0.35">
      <c r="A901" s="5">
        <f t="shared" si="13"/>
        <v>44715</v>
      </c>
      <c r="B901" t="s">
        <v>2234</v>
      </c>
      <c r="C901" s="2">
        <v>1</v>
      </c>
      <c r="D901" s="2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  <c r="P901" s="3" t="e">
        <v>#N/A</v>
      </c>
      <c r="Q901" s="3" t="e">
        <v>#N/A</v>
      </c>
      <c r="R901" s="3" t="e">
        <v>#N/A</v>
      </c>
      <c r="S901" s="3" t="e">
        <v>#N/A</v>
      </c>
      <c r="T901" s="3" t="e">
        <v>#N/A</v>
      </c>
      <c r="U901" s="3" t="e">
        <v>#N/A</v>
      </c>
      <c r="V901" s="3" t="e">
        <v>#N/A</v>
      </c>
      <c r="W901" s="3" t="e">
        <v>#N/A</v>
      </c>
      <c r="X901" s="3" t="e">
        <v>#N/A</v>
      </c>
      <c r="Y901" s="3" t="e">
        <v>#N/A</v>
      </c>
      <c r="Z901" s="3" t="e">
        <v>#N/A</v>
      </c>
      <c r="AA901" s="3" t="e">
        <v>#N/A</v>
      </c>
      <c r="AB901" s="3" t="e">
        <v>#N/A</v>
      </c>
      <c r="AC901" s="3" t="e">
        <v>#N/A</v>
      </c>
      <c r="AD901" s="3" t="e">
        <v>#N/A</v>
      </c>
      <c r="AE901" s="3" t="e">
        <v>#N/A</v>
      </c>
      <c r="AF901" s="3" t="e">
        <v>#N/A</v>
      </c>
      <c r="AG901" s="3" t="e">
        <v>#N/A</v>
      </c>
      <c r="AH901" s="3" t="e">
        <v>#N/A</v>
      </c>
      <c r="AI901" s="3" t="e">
        <v>#N/A</v>
      </c>
      <c r="AJ901" s="3" t="e">
        <v>#N/A</v>
      </c>
      <c r="AK901" s="3" t="e">
        <v>#N/A</v>
      </c>
      <c r="AL901" s="3" t="e">
        <v>#N/A</v>
      </c>
      <c r="AM901" s="3" t="e">
        <v>#N/A</v>
      </c>
      <c r="AN901" s="3" t="e">
        <v>#N/A</v>
      </c>
      <c r="AO901" s="3" t="e">
        <v>#N/A</v>
      </c>
      <c r="AP901" s="3" t="e">
        <v>#N/A</v>
      </c>
      <c r="AQ901" s="3" t="e">
        <v>#N/A</v>
      </c>
      <c r="AR901" s="3" t="e">
        <v>#N/A</v>
      </c>
      <c r="AS901" s="3" t="e">
        <v>#N/A</v>
      </c>
      <c r="AT901" s="3" t="e">
        <v>#N/A</v>
      </c>
      <c r="AU901" s="3" t="e">
        <v>#N/A</v>
      </c>
      <c r="AV901" s="3" t="e">
        <v>#N/A</v>
      </c>
      <c r="AW901" s="3" t="e">
        <v>#N/A</v>
      </c>
      <c r="AX901" s="3" t="e">
        <v>#N/A</v>
      </c>
      <c r="AY901" s="3" t="e">
        <v>#N/A</v>
      </c>
      <c r="AZ901" s="3" t="e">
        <v>#N/A</v>
      </c>
      <c r="BA901" s="3" t="e">
        <v>#N/A</v>
      </c>
      <c r="BB901" s="3" t="e">
        <v>#N/A</v>
      </c>
      <c r="BC901" s="3" t="e">
        <v>#N/A</v>
      </c>
      <c r="BD901" s="3" t="e">
        <v>#N/A</v>
      </c>
      <c r="BE901" s="3" t="e">
        <v>#N/A</v>
      </c>
      <c r="BF901" s="3" t="e">
        <v>#N/A</v>
      </c>
      <c r="BG901" s="3" t="e">
        <v>#N/A</v>
      </c>
      <c r="BH901" s="3" t="e">
        <v>#N/A</v>
      </c>
      <c r="BI901" s="3" t="e">
        <v>#N/A</v>
      </c>
      <c r="BJ901" s="3" t="e">
        <v>#N/A</v>
      </c>
      <c r="BK901" s="3" t="e">
        <v>#N/A</v>
      </c>
      <c r="BL901" s="3" t="e">
        <v>#N/A</v>
      </c>
      <c r="BM901" s="3" t="e">
        <v>#N/A</v>
      </c>
      <c r="BN901" s="3" t="e">
        <v>#N/A</v>
      </c>
    </row>
    <row r="902" spans="1:66" x14ac:dyDescent="0.35">
      <c r="A902" s="5">
        <f t="shared" si="13"/>
        <v>44718</v>
      </c>
      <c r="B902" t="s">
        <v>2235</v>
      </c>
      <c r="C902" s="2">
        <v>1</v>
      </c>
      <c r="D902" s="2">
        <v>0.93940000000000001</v>
      </c>
      <c r="E902" s="3">
        <v>1.2446245</v>
      </c>
      <c r="F902" s="3">
        <v>1.4281523</v>
      </c>
      <c r="G902" s="3">
        <v>1.6485151</v>
      </c>
      <c r="H902" s="3">
        <v>1.8703102</v>
      </c>
      <c r="I902" s="3">
        <v>2.0765178999999998</v>
      </c>
      <c r="J902" s="3">
        <v>2.2617213</v>
      </c>
      <c r="K902" s="3">
        <v>2.4220046000000002</v>
      </c>
      <c r="L902" s="3">
        <v>2.5566388999999998</v>
      </c>
      <c r="M902" s="3">
        <v>2.666385</v>
      </c>
      <c r="N902" s="3">
        <v>2.7539468</v>
      </c>
      <c r="O902" s="3">
        <v>2.8215854999999999</v>
      </c>
      <c r="P902" s="3">
        <v>2.8719771000000001</v>
      </c>
      <c r="Q902" s="3">
        <v>2.9081294999999998</v>
      </c>
      <c r="R902" s="3">
        <v>2.9318884000000001</v>
      </c>
      <c r="S902" s="3">
        <v>2.9447719000000001</v>
      </c>
      <c r="T902" s="3">
        <v>2.9482982999999998</v>
      </c>
      <c r="U902" s="3">
        <v>2.9439858000000001</v>
      </c>
      <c r="V902" s="3">
        <v>2.9333524999999998</v>
      </c>
      <c r="W902" s="3">
        <v>2.9177985</v>
      </c>
      <c r="X902" s="3">
        <v>2.8982277000000001</v>
      </c>
      <c r="Y902" s="3">
        <v>2.8754135999999999</v>
      </c>
      <c r="Z902" s="3">
        <v>2.8501295999999998</v>
      </c>
      <c r="AA902" s="3">
        <v>2.8231494000000001</v>
      </c>
      <c r="AB902" s="3">
        <v>2.7952463000000001</v>
      </c>
      <c r="AC902" s="3">
        <v>2.7670895</v>
      </c>
      <c r="AD902" s="3">
        <v>2.7388878000000001</v>
      </c>
      <c r="AE902" s="3">
        <v>2.7107225000000001</v>
      </c>
      <c r="AF902" s="3">
        <v>2.6826751999999998</v>
      </c>
      <c r="AG902" s="3">
        <v>2.6548273999999998</v>
      </c>
      <c r="AH902" s="3">
        <v>2.6272606999999999</v>
      </c>
      <c r="AI902" s="3">
        <v>2.6000565</v>
      </c>
      <c r="AJ902" s="3">
        <v>2.5732963999999998</v>
      </c>
      <c r="AK902" s="3">
        <v>2.5470619000000001</v>
      </c>
      <c r="AL902" s="3">
        <v>2.5214346000000001</v>
      </c>
      <c r="AM902" s="3">
        <v>2.4964959000000002</v>
      </c>
      <c r="AN902" s="3">
        <v>2.4723272999999999</v>
      </c>
      <c r="AO902" s="3">
        <v>2.4489958999999999</v>
      </c>
      <c r="AP902" s="3">
        <v>2.4265042000000001</v>
      </c>
      <c r="AQ902" s="3">
        <v>2.4048368999999998</v>
      </c>
      <c r="AR902" s="3">
        <v>2.3839788</v>
      </c>
      <c r="AS902" s="3">
        <v>2.3639147999999999</v>
      </c>
      <c r="AT902" s="3">
        <v>2.3446297</v>
      </c>
      <c r="AU902" s="3">
        <v>2.3261082000000002</v>
      </c>
      <c r="AV902" s="3">
        <v>2.3083352000000001</v>
      </c>
      <c r="AW902" s="3">
        <v>2.2912952999999998</v>
      </c>
      <c r="AX902" s="3">
        <v>2.2749735000000002</v>
      </c>
      <c r="AY902" s="3">
        <v>2.2593546</v>
      </c>
      <c r="AZ902" s="3">
        <v>2.2444232</v>
      </c>
      <c r="BA902" s="3">
        <v>2.2301647</v>
      </c>
      <c r="BB902" s="3">
        <v>2.2165664999999999</v>
      </c>
      <c r="BC902" s="3">
        <v>2.2036167</v>
      </c>
      <c r="BD902" s="3">
        <v>2.1913035999999999</v>
      </c>
      <c r="BE902" s="3">
        <v>2.1796153999999999</v>
      </c>
      <c r="BF902" s="3">
        <v>2.1685403000000001</v>
      </c>
      <c r="BG902" s="3">
        <v>2.1580664000000001</v>
      </c>
      <c r="BH902" s="3">
        <v>2.1481819999999998</v>
      </c>
      <c r="BI902" s="3">
        <v>2.1388753</v>
      </c>
      <c r="BJ902" s="3">
        <v>2.1301344000000002</v>
      </c>
      <c r="BK902" s="3">
        <v>2.1219475000000001</v>
      </c>
      <c r="BL902" s="3">
        <v>2.114303</v>
      </c>
      <c r="BM902" s="3">
        <v>2.0790269000000001</v>
      </c>
      <c r="BN902" s="3">
        <v>2.0594695999999999</v>
      </c>
    </row>
    <row r="903" spans="1:66" x14ac:dyDescent="0.35">
      <c r="A903" s="5">
        <f t="shared" si="13"/>
        <v>44719</v>
      </c>
      <c r="B903" t="s">
        <v>2236</v>
      </c>
      <c r="C903" s="2">
        <v>1</v>
      </c>
      <c r="D903" s="2">
        <v>0.94030000000000002</v>
      </c>
      <c r="E903" s="3">
        <v>1.2378530000000001</v>
      </c>
      <c r="F903" s="3">
        <v>1.4272937999999999</v>
      </c>
      <c r="G903" s="3">
        <v>1.652123</v>
      </c>
      <c r="H903" s="3">
        <v>1.8770456</v>
      </c>
      <c r="I903" s="3">
        <v>2.0854476000000002</v>
      </c>
      <c r="J903" s="3">
        <v>2.2718384</v>
      </c>
      <c r="K903" s="3">
        <v>2.4318409000000001</v>
      </c>
      <c r="L903" s="3">
        <v>2.5651138000000002</v>
      </c>
      <c r="M903" s="3">
        <v>2.6726431000000002</v>
      </c>
      <c r="N903" s="3">
        <v>2.7574233000000001</v>
      </c>
      <c r="O903" s="3">
        <v>2.8223870999999998</v>
      </c>
      <c r="P903" s="3">
        <v>2.8698383999999999</v>
      </c>
      <c r="Q903" s="3">
        <v>2.9029606999999999</v>
      </c>
      <c r="R903" s="3">
        <v>2.923705</v>
      </c>
      <c r="S903" s="3">
        <v>2.9336093000000001</v>
      </c>
      <c r="T903" s="3">
        <v>2.9342115999999998</v>
      </c>
      <c r="U903" s="3">
        <v>2.9270497999999998</v>
      </c>
      <c r="V903" s="3">
        <v>2.9136619000000001</v>
      </c>
      <c r="W903" s="3">
        <v>2.8954656999999999</v>
      </c>
      <c r="X903" s="3">
        <v>2.8733743999999999</v>
      </c>
      <c r="Y903" s="3">
        <v>2.848169</v>
      </c>
      <c r="Z903" s="3">
        <v>2.82063</v>
      </c>
      <c r="AA903" s="3">
        <v>2.7915383</v>
      </c>
      <c r="AB903" s="3">
        <v>2.7616746999999999</v>
      </c>
      <c r="AC903" s="3">
        <v>2.7317152</v>
      </c>
      <c r="AD903" s="3">
        <v>2.7018748000000001</v>
      </c>
      <c r="AE903" s="3">
        <v>2.6722408</v>
      </c>
      <c r="AF903" s="3">
        <v>2.6429005000000001</v>
      </c>
      <c r="AG903" s="3">
        <v>2.6139415000000001</v>
      </c>
      <c r="AH903" s="3">
        <v>2.5854510999999998</v>
      </c>
      <c r="AI903" s="3">
        <v>2.5575168000000001</v>
      </c>
      <c r="AJ903" s="3">
        <v>2.5302258000000002</v>
      </c>
      <c r="AK903" s="3">
        <v>2.5036657999999998</v>
      </c>
      <c r="AL903" s="3">
        <v>2.4779239999999998</v>
      </c>
      <c r="AM903" s="3">
        <v>2.4530878999999999</v>
      </c>
      <c r="AN903" s="3">
        <v>2.4292449</v>
      </c>
      <c r="AO903" s="3">
        <v>2.4064665000000001</v>
      </c>
      <c r="AP903" s="3">
        <v>2.3847390000000002</v>
      </c>
      <c r="AQ903" s="3">
        <v>2.3640200999999998</v>
      </c>
      <c r="AR903" s="3">
        <v>2.3442672999999998</v>
      </c>
      <c r="AS903" s="3">
        <v>2.3254383000000001</v>
      </c>
      <c r="AT903" s="3">
        <v>2.3074906999999998</v>
      </c>
      <c r="AU903" s="3">
        <v>2.2903821</v>
      </c>
      <c r="AV903" s="3">
        <v>2.2740702000000002</v>
      </c>
      <c r="AW903" s="3">
        <v>2.2585125000000001</v>
      </c>
      <c r="AX903" s="3">
        <v>2.2436666000000001</v>
      </c>
      <c r="AY903" s="3">
        <v>2.2294903000000001</v>
      </c>
      <c r="AZ903" s="3">
        <v>2.2159409999999999</v>
      </c>
      <c r="BA903" s="3">
        <v>2.2029801999999998</v>
      </c>
      <c r="BB903" s="3">
        <v>2.1905866999999999</v>
      </c>
      <c r="BC903" s="3">
        <v>2.1787451999999998</v>
      </c>
      <c r="BD903" s="3">
        <v>2.1674400999999999</v>
      </c>
      <c r="BE903" s="3">
        <v>2.1566559000000001</v>
      </c>
      <c r="BF903" s="3">
        <v>2.1463770000000002</v>
      </c>
      <c r="BG903" s="3">
        <v>2.1365880000000002</v>
      </c>
      <c r="BH903" s="3">
        <v>2.1272733000000001</v>
      </c>
      <c r="BI903" s="3">
        <v>2.1184175000000001</v>
      </c>
      <c r="BJ903" s="3">
        <v>2.1100048999999999</v>
      </c>
      <c r="BK903" s="3">
        <v>2.1020200999999998</v>
      </c>
      <c r="BL903" s="3">
        <v>2.0944474999999998</v>
      </c>
      <c r="BM903" s="3">
        <v>2.0570813999999999</v>
      </c>
      <c r="BN903" s="3">
        <v>2.0323508000000001</v>
      </c>
    </row>
    <row r="904" spans="1:66" x14ac:dyDescent="0.35">
      <c r="A904" s="5">
        <f t="shared" si="13"/>
        <v>44720</v>
      </c>
      <c r="B904" t="s">
        <v>2237</v>
      </c>
      <c r="C904" s="2">
        <v>1</v>
      </c>
      <c r="D904" s="2">
        <v>0.94020000000000004</v>
      </c>
      <c r="E904" s="3">
        <v>1.2573688000000001</v>
      </c>
      <c r="F904" s="3">
        <v>1.4597937999999999</v>
      </c>
      <c r="G904" s="3">
        <v>1.6951206000000001</v>
      </c>
      <c r="H904" s="3">
        <v>1.9265737000000001</v>
      </c>
      <c r="I904" s="3">
        <v>2.1371815000000001</v>
      </c>
      <c r="J904" s="3">
        <v>2.3235348</v>
      </c>
      <c r="K904" s="3">
        <v>2.4828744</v>
      </c>
      <c r="L904" s="3">
        <v>2.6155491999999998</v>
      </c>
      <c r="M904" s="3">
        <v>2.7230636000000001</v>
      </c>
      <c r="N904" s="3">
        <v>2.8082433</v>
      </c>
      <c r="O904" s="3">
        <v>2.8741218000000002</v>
      </c>
      <c r="P904" s="3">
        <v>2.9224386999999998</v>
      </c>
      <c r="Q904" s="3">
        <v>2.9562629999999999</v>
      </c>
      <c r="R904" s="3">
        <v>2.9775334</v>
      </c>
      <c r="S904" s="3">
        <v>2.9877646000000002</v>
      </c>
      <c r="T904" s="3">
        <v>2.9884710999999999</v>
      </c>
      <c r="U904" s="3">
        <v>2.9811676</v>
      </c>
      <c r="V904" s="3">
        <v>2.9673683999999998</v>
      </c>
      <c r="W904" s="3">
        <v>2.9484840000000001</v>
      </c>
      <c r="X904" s="3">
        <v>2.9254863000000002</v>
      </c>
      <c r="Y904" s="3">
        <v>2.8992319000000002</v>
      </c>
      <c r="Z904" s="3">
        <v>2.8705778</v>
      </c>
      <c r="AA904" s="3">
        <v>2.8403806999999999</v>
      </c>
      <c r="AB904" s="3">
        <v>2.8094975</v>
      </c>
      <c r="AC904" s="3">
        <v>2.7786886000000002</v>
      </c>
      <c r="AD904" s="3">
        <v>2.7481966</v>
      </c>
      <c r="AE904" s="3">
        <v>2.7180900000000001</v>
      </c>
      <c r="AF904" s="3">
        <v>2.6884374000000002</v>
      </c>
      <c r="AG904" s="3">
        <v>2.6593073999999999</v>
      </c>
      <c r="AH904" s="3">
        <v>2.6307684999999998</v>
      </c>
      <c r="AI904" s="3">
        <v>2.6028893000000002</v>
      </c>
      <c r="AJ904" s="3">
        <v>2.5757382999999998</v>
      </c>
      <c r="AK904" s="3">
        <v>2.5493841000000002</v>
      </c>
      <c r="AL904" s="3">
        <v>2.5238952000000001</v>
      </c>
      <c r="AM904" s="3">
        <v>2.4993401999999998</v>
      </c>
      <c r="AN904" s="3">
        <v>2.4757875</v>
      </c>
      <c r="AO904" s="3">
        <v>2.4532900999999998</v>
      </c>
      <c r="AP904" s="3">
        <v>2.4318236</v>
      </c>
      <c r="AQ904" s="3">
        <v>2.4113405000000001</v>
      </c>
      <c r="AR904" s="3">
        <v>2.3917929999999998</v>
      </c>
      <c r="AS904" s="3">
        <v>2.3731336000000001</v>
      </c>
      <c r="AT904" s="3">
        <v>2.3553145</v>
      </c>
      <c r="AU904" s="3">
        <v>2.3382882</v>
      </c>
      <c r="AV904" s="3">
        <v>2.3220068999999999</v>
      </c>
      <c r="AW904" s="3">
        <v>2.3064230999999999</v>
      </c>
      <c r="AX904" s="3">
        <v>2.2914891000000002</v>
      </c>
      <c r="AY904" s="3">
        <v>2.2771572</v>
      </c>
      <c r="AZ904" s="3">
        <v>2.2633798000000001</v>
      </c>
      <c r="BA904" s="3">
        <v>2.2501150999999999</v>
      </c>
      <c r="BB904" s="3">
        <v>2.2373466999999998</v>
      </c>
      <c r="BC904" s="3">
        <v>2.2250652999999998</v>
      </c>
      <c r="BD904" s="3">
        <v>2.2132616999999999</v>
      </c>
      <c r="BE904" s="3">
        <v>2.2019266000000002</v>
      </c>
      <c r="BF904" s="3">
        <v>2.1910508000000002</v>
      </c>
      <c r="BG904" s="3">
        <v>2.1806249000000002</v>
      </c>
      <c r="BH904" s="3">
        <v>2.1706397000000002</v>
      </c>
      <c r="BI904" s="3">
        <v>2.1610858999999998</v>
      </c>
      <c r="BJ904" s="3">
        <v>2.1519542999999999</v>
      </c>
      <c r="BK904" s="3">
        <v>2.1432354999999998</v>
      </c>
      <c r="BL904" s="3">
        <v>2.1349203000000001</v>
      </c>
      <c r="BM904" s="3">
        <v>2.0931346999999998</v>
      </c>
      <c r="BN904" s="3">
        <v>2.0644448999999998</v>
      </c>
    </row>
    <row r="905" spans="1:66" x14ac:dyDescent="0.35">
      <c r="A905" s="5">
        <f t="shared" si="13"/>
        <v>44721</v>
      </c>
      <c r="B905" t="s">
        <v>2238</v>
      </c>
      <c r="C905" s="2">
        <v>1</v>
      </c>
      <c r="D905" s="2">
        <v>0.94069999999999998</v>
      </c>
      <c r="E905" s="3">
        <v>1.2865069</v>
      </c>
      <c r="F905" s="3">
        <v>1.5171319000000001</v>
      </c>
      <c r="G905" s="3">
        <v>1.778179</v>
      </c>
      <c r="H905" s="3">
        <v>2.0306380000000002</v>
      </c>
      <c r="I905" s="3">
        <v>2.2567558000000001</v>
      </c>
      <c r="J905" s="3">
        <v>2.4538069</v>
      </c>
      <c r="K905" s="3">
        <v>2.6201131000000002</v>
      </c>
      <c r="L905" s="3">
        <v>2.7573069000000001</v>
      </c>
      <c r="M905" s="3">
        <v>2.8677538999999999</v>
      </c>
      <c r="N905" s="3">
        <v>2.9546191999999998</v>
      </c>
      <c r="O905" s="3">
        <v>3.0207709</v>
      </c>
      <c r="P905" s="3">
        <v>3.0682556999999999</v>
      </c>
      <c r="Q905" s="3">
        <v>3.1002242</v>
      </c>
      <c r="R905" s="3">
        <v>3.1188292999999998</v>
      </c>
      <c r="S905" s="3">
        <v>3.1258672999999999</v>
      </c>
      <c r="T905" s="3">
        <v>3.1231341000000001</v>
      </c>
      <c r="U905" s="3">
        <v>3.1124260000000001</v>
      </c>
      <c r="V905" s="3">
        <v>3.0955387999999999</v>
      </c>
      <c r="W905" s="3">
        <v>3.0741366999999999</v>
      </c>
      <c r="X905" s="3">
        <v>3.0492066000000002</v>
      </c>
      <c r="Y905" s="3">
        <v>3.0215193999999999</v>
      </c>
      <c r="Z905" s="3">
        <v>2.9918456999999998</v>
      </c>
      <c r="AA905" s="3">
        <v>2.9609562999999999</v>
      </c>
      <c r="AB905" s="3">
        <v>2.9296218999999999</v>
      </c>
      <c r="AC905" s="3">
        <v>2.8985145999999999</v>
      </c>
      <c r="AD905" s="3">
        <v>2.8678257999999999</v>
      </c>
      <c r="AE905" s="3">
        <v>2.8376003000000001</v>
      </c>
      <c r="AF905" s="3">
        <v>2.8078832</v>
      </c>
      <c r="AG905" s="3">
        <v>2.7787194</v>
      </c>
      <c r="AH905" s="3">
        <v>2.7501540000000002</v>
      </c>
      <c r="AI905" s="3">
        <v>2.7222319000000001</v>
      </c>
      <c r="AJ905" s="3">
        <v>2.694998</v>
      </c>
      <c r="AK905" s="3">
        <v>2.6684974000000001</v>
      </c>
      <c r="AL905" s="3">
        <v>2.6427749999999999</v>
      </c>
      <c r="AM905" s="3">
        <v>2.6178758000000002</v>
      </c>
      <c r="AN905" s="3">
        <v>2.5938447999999998</v>
      </c>
      <c r="AO905" s="3">
        <v>2.5707151000000001</v>
      </c>
      <c r="AP905" s="3">
        <v>2.5484678999999999</v>
      </c>
      <c r="AQ905" s="3">
        <v>2.5270703000000001</v>
      </c>
      <c r="AR905" s="3">
        <v>2.5064888999999999</v>
      </c>
      <c r="AS905" s="3">
        <v>2.4866907</v>
      </c>
      <c r="AT905" s="3">
        <v>2.4676426</v>
      </c>
      <c r="AU905" s="3">
        <v>2.4493114</v>
      </c>
      <c r="AV905" s="3">
        <v>2.431664</v>
      </c>
      <c r="AW905" s="3">
        <v>2.4146673000000001</v>
      </c>
      <c r="AX905" s="3">
        <v>2.3982880999999998</v>
      </c>
      <c r="AY905" s="3">
        <v>2.3824933000000001</v>
      </c>
      <c r="AZ905" s="3">
        <v>2.3672498000000002</v>
      </c>
      <c r="BA905" s="3">
        <v>2.3525284000000002</v>
      </c>
      <c r="BB905" s="3">
        <v>2.3383178999999998</v>
      </c>
      <c r="BC905" s="3">
        <v>2.3246118</v>
      </c>
      <c r="BD905" s="3">
        <v>2.3114037999999999</v>
      </c>
      <c r="BE905" s="3">
        <v>2.2986873000000001</v>
      </c>
      <c r="BF905" s="3">
        <v>2.2864559999999998</v>
      </c>
      <c r="BG905" s="3">
        <v>2.2747033999999999</v>
      </c>
      <c r="BH905" s="3">
        <v>2.2634230999999998</v>
      </c>
      <c r="BI905" s="3">
        <v>2.2526088</v>
      </c>
      <c r="BJ905" s="3">
        <v>2.2422539000000001</v>
      </c>
      <c r="BK905" s="3">
        <v>2.2323521</v>
      </c>
      <c r="BL905" s="3">
        <v>2.2228968999999998</v>
      </c>
      <c r="BM905" s="3">
        <v>2.1751977999999998</v>
      </c>
      <c r="BN905" s="3">
        <v>2.1420328</v>
      </c>
    </row>
    <row r="906" spans="1:66" x14ac:dyDescent="0.35">
      <c r="A906" s="5">
        <f t="shared" si="13"/>
        <v>44722</v>
      </c>
      <c r="B906" t="s">
        <v>2239</v>
      </c>
      <c r="C906" s="2">
        <v>1</v>
      </c>
      <c r="D906" s="2">
        <v>0.94020000000000004</v>
      </c>
      <c r="E906" s="3">
        <v>1.3282643999999999</v>
      </c>
      <c r="F906" s="3">
        <v>1.5717858</v>
      </c>
      <c r="G906" s="3">
        <v>1.8508545999999999</v>
      </c>
      <c r="H906" s="3">
        <v>2.1234839000000001</v>
      </c>
      <c r="I906" s="3">
        <v>2.3712420000000001</v>
      </c>
      <c r="J906" s="3">
        <v>2.5904503000000001</v>
      </c>
      <c r="K906" s="3">
        <v>2.7780716999999999</v>
      </c>
      <c r="L906" s="3">
        <v>2.9320501999999999</v>
      </c>
      <c r="M906" s="3">
        <v>3.0534656</v>
      </c>
      <c r="N906" s="3">
        <v>3.1460868</v>
      </c>
      <c r="O906" s="3">
        <v>3.2138480999999999</v>
      </c>
      <c r="P906" s="3">
        <v>3.2608467000000001</v>
      </c>
      <c r="Q906" s="3">
        <v>3.2925586999999998</v>
      </c>
      <c r="R906" s="3">
        <v>3.3117198999999999</v>
      </c>
      <c r="S906" s="3">
        <v>3.3200793000000002</v>
      </c>
      <c r="T906" s="3">
        <v>3.3193857000000002</v>
      </c>
      <c r="U906" s="3">
        <v>3.3113879000000002</v>
      </c>
      <c r="V906" s="3">
        <v>3.2978345999999998</v>
      </c>
      <c r="W906" s="3">
        <v>3.2802927</v>
      </c>
      <c r="X906" s="3">
        <v>3.2594856000000001</v>
      </c>
      <c r="Y906" s="3">
        <v>3.2358918999999999</v>
      </c>
      <c r="Z906" s="3">
        <v>3.2099905999999998</v>
      </c>
      <c r="AA906" s="3">
        <v>3.1822604000000001</v>
      </c>
      <c r="AB906" s="3">
        <v>3.1531801000000002</v>
      </c>
      <c r="AC906" s="3">
        <v>3.1231765</v>
      </c>
      <c r="AD906" s="3">
        <v>3.0924472000000001</v>
      </c>
      <c r="AE906" s="3">
        <v>3.0611267</v>
      </c>
      <c r="AF906" s="3">
        <v>3.0293492</v>
      </c>
      <c r="AG906" s="3">
        <v>2.9972492000000002</v>
      </c>
      <c r="AH906" s="3">
        <v>2.9649608999999999</v>
      </c>
      <c r="AI906" s="3">
        <v>2.9326186999999999</v>
      </c>
      <c r="AJ906" s="3">
        <v>2.9003570000000001</v>
      </c>
      <c r="AK906" s="3">
        <v>2.8683101999999998</v>
      </c>
      <c r="AL906" s="3">
        <v>2.8366126</v>
      </c>
      <c r="AM906" s="3">
        <v>2.8053984999999999</v>
      </c>
      <c r="AN906" s="3">
        <v>2.7748024</v>
      </c>
      <c r="AO906" s="3">
        <v>2.7449403999999999</v>
      </c>
      <c r="AP906" s="3">
        <v>2.7158495</v>
      </c>
      <c r="AQ906" s="3">
        <v>2.6875442</v>
      </c>
      <c r="AR906" s="3">
        <v>2.6600393000000002</v>
      </c>
      <c r="AS906" s="3">
        <v>2.6333495999999998</v>
      </c>
      <c r="AT906" s="3">
        <v>2.6074899</v>
      </c>
      <c r="AU906" s="3">
        <v>2.5824748</v>
      </c>
      <c r="AV906" s="3">
        <v>2.5583190999999998</v>
      </c>
      <c r="AW906" s="3">
        <v>2.5350375999999999</v>
      </c>
      <c r="AX906" s="3">
        <v>2.512645</v>
      </c>
      <c r="AY906" s="3">
        <v>2.4911560000000001</v>
      </c>
      <c r="AZ906" s="3">
        <v>2.4705854</v>
      </c>
      <c r="BA906" s="3">
        <v>2.4509427000000001</v>
      </c>
      <c r="BB906" s="3">
        <v>2.4322148000000001</v>
      </c>
      <c r="BC906" s="3">
        <v>2.4143819</v>
      </c>
      <c r="BD906" s="3">
        <v>2.3974245000000001</v>
      </c>
      <c r="BE906" s="3">
        <v>2.3813230000000001</v>
      </c>
      <c r="BF906" s="3">
        <v>2.3660578000000001</v>
      </c>
      <c r="BG906" s="3">
        <v>2.3516094000000001</v>
      </c>
      <c r="BH906" s="3">
        <v>2.3379580999999998</v>
      </c>
      <c r="BI906" s="3">
        <v>2.3250844000000002</v>
      </c>
      <c r="BJ906" s="3">
        <v>2.3129686</v>
      </c>
      <c r="BK906" s="3">
        <v>2.3015911999999998</v>
      </c>
      <c r="BL906" s="3">
        <v>2.2909326999999999</v>
      </c>
      <c r="BM906" s="3">
        <v>2.2408486999999999</v>
      </c>
      <c r="BN906" s="3">
        <v>2.2109146000000002</v>
      </c>
    </row>
    <row r="907" spans="1:66" x14ac:dyDescent="0.35">
      <c r="A907" s="5">
        <f t="shared" si="13"/>
        <v>44725</v>
      </c>
      <c r="B907" t="s">
        <v>2240</v>
      </c>
      <c r="C907" s="2">
        <v>1</v>
      </c>
      <c r="D907" s="2">
        <v>0.93959999999999999</v>
      </c>
      <c r="E907" s="3">
        <v>1.3121659000000001</v>
      </c>
      <c r="F907" s="3">
        <v>1.5672048999999999</v>
      </c>
      <c r="G907" s="3">
        <v>1.852908</v>
      </c>
      <c r="H907" s="3">
        <v>2.1401493999999999</v>
      </c>
      <c r="I907" s="3">
        <v>2.4083383999999999</v>
      </c>
      <c r="J907" s="3">
        <v>2.6501362999999998</v>
      </c>
      <c r="K907" s="3">
        <v>2.8597323000000001</v>
      </c>
      <c r="L907" s="3">
        <v>3.0352853</v>
      </c>
      <c r="M907" s="3">
        <v>3.1778843999999999</v>
      </c>
      <c r="N907" s="3">
        <v>3.2911250999999999</v>
      </c>
      <c r="O907" s="3">
        <v>3.3777398999999999</v>
      </c>
      <c r="P907" s="3">
        <v>3.4411892000000002</v>
      </c>
      <c r="Q907" s="3">
        <v>3.4857149000000001</v>
      </c>
      <c r="R907" s="3">
        <v>3.5138948000000001</v>
      </c>
      <c r="S907" s="3">
        <v>3.5278160000000001</v>
      </c>
      <c r="T907" s="3">
        <v>3.5295656000000002</v>
      </c>
      <c r="U907" s="3">
        <v>3.5212305000000002</v>
      </c>
      <c r="V907" s="3">
        <v>3.5048978000000002</v>
      </c>
      <c r="W907" s="3">
        <v>3.4824703000000001</v>
      </c>
      <c r="X907" s="3">
        <v>3.4550763999999998</v>
      </c>
      <c r="Y907" s="3">
        <v>3.4236409999999999</v>
      </c>
      <c r="Z907" s="3">
        <v>3.3890891999999999</v>
      </c>
      <c r="AA907" s="3">
        <v>3.3523459999999998</v>
      </c>
      <c r="AB907" s="3">
        <v>3.3143364000000002</v>
      </c>
      <c r="AC907" s="3">
        <v>3.2758649000000002</v>
      </c>
      <c r="AD907" s="3">
        <v>3.2372038000000001</v>
      </c>
      <c r="AE907" s="3">
        <v>3.1984786999999999</v>
      </c>
      <c r="AF907" s="3">
        <v>3.1598149000000002</v>
      </c>
      <c r="AG907" s="3">
        <v>3.1213381</v>
      </c>
      <c r="AH907" s="3">
        <v>3.0831737000000001</v>
      </c>
      <c r="AI907" s="3">
        <v>3.0454471000000001</v>
      </c>
      <c r="AJ907" s="3">
        <v>3.0082840000000002</v>
      </c>
      <c r="AK907" s="3">
        <v>2.9718098999999998</v>
      </c>
      <c r="AL907" s="3">
        <v>2.9361500999999999</v>
      </c>
      <c r="AM907" s="3">
        <v>2.9014302000000001</v>
      </c>
      <c r="AN907" s="3">
        <v>2.8677758</v>
      </c>
      <c r="AO907" s="3">
        <v>2.8352902000000002</v>
      </c>
      <c r="AP907" s="3">
        <v>2.8039797000000002</v>
      </c>
      <c r="AQ907" s="3">
        <v>2.7738235000000002</v>
      </c>
      <c r="AR907" s="3">
        <v>2.7448011000000001</v>
      </c>
      <c r="AS907" s="3">
        <v>2.7168915999999999</v>
      </c>
      <c r="AT907" s="3">
        <v>2.6900746</v>
      </c>
      <c r="AU907" s="3">
        <v>2.6643292000000001</v>
      </c>
      <c r="AV907" s="3">
        <v>2.6396348000000001</v>
      </c>
      <c r="AW907" s="3">
        <v>2.6159707999999999</v>
      </c>
      <c r="AX907" s="3">
        <v>2.5933164</v>
      </c>
      <c r="AY907" s="3">
        <v>2.5716510000000001</v>
      </c>
      <c r="AZ907" s="3">
        <v>2.5509539000000001</v>
      </c>
      <c r="BA907" s="3">
        <v>2.5312043000000002</v>
      </c>
      <c r="BB907" s="3">
        <v>2.5123799999999998</v>
      </c>
      <c r="BC907" s="3">
        <v>2.4944586000000002</v>
      </c>
      <c r="BD907" s="3">
        <v>2.4774175000000001</v>
      </c>
      <c r="BE907" s="3">
        <v>2.4612343000000001</v>
      </c>
      <c r="BF907" s="3">
        <v>2.4458864999999999</v>
      </c>
      <c r="BG907" s="3">
        <v>2.4313514999999999</v>
      </c>
      <c r="BH907" s="3">
        <v>2.4176069999999998</v>
      </c>
      <c r="BI907" s="3">
        <v>2.4046303999999998</v>
      </c>
      <c r="BJ907" s="3">
        <v>2.3923991999999998</v>
      </c>
      <c r="BK907" s="3">
        <v>2.3808910000000001</v>
      </c>
      <c r="BL907" s="3">
        <v>2.3700831999999998</v>
      </c>
      <c r="BM907" s="3">
        <v>2.3186526999999999</v>
      </c>
      <c r="BN907" s="3">
        <v>2.2865635000000002</v>
      </c>
    </row>
    <row r="908" spans="1:66" x14ac:dyDescent="0.35">
      <c r="A908" s="5">
        <f t="shared" si="13"/>
        <v>44726</v>
      </c>
      <c r="B908" t="s">
        <v>2241</v>
      </c>
      <c r="C908" s="2">
        <v>1</v>
      </c>
      <c r="D908" s="2">
        <v>0.93979999999999997</v>
      </c>
      <c r="E908" s="3">
        <v>1.3239704999999999</v>
      </c>
      <c r="F908" s="3">
        <v>1.6076611999999999</v>
      </c>
      <c r="G908" s="3">
        <v>1.9149638</v>
      </c>
      <c r="H908" s="3">
        <v>2.2111230000000002</v>
      </c>
      <c r="I908" s="3">
        <v>2.4764295000000001</v>
      </c>
      <c r="J908" s="3">
        <v>2.7077749</v>
      </c>
      <c r="K908" s="3">
        <v>2.9037991000000001</v>
      </c>
      <c r="L908" s="3">
        <v>3.0665643999999999</v>
      </c>
      <c r="M908" s="3">
        <v>3.1985098000000001</v>
      </c>
      <c r="N908" s="3">
        <v>3.3033861999999998</v>
      </c>
      <c r="O908" s="3">
        <v>3.3834368000000001</v>
      </c>
      <c r="P908" s="3">
        <v>3.4412305999999999</v>
      </c>
      <c r="Q908" s="3">
        <v>3.4799983999999999</v>
      </c>
      <c r="R908" s="3">
        <v>3.5021927000000002</v>
      </c>
      <c r="S908" s="3">
        <v>3.5100232999999998</v>
      </c>
      <c r="T908" s="3">
        <v>3.5057002000000002</v>
      </c>
      <c r="U908" s="3">
        <v>3.4914331999999999</v>
      </c>
      <c r="V908" s="3">
        <v>3.4694322999999998</v>
      </c>
      <c r="W908" s="3">
        <v>3.4417200000000001</v>
      </c>
      <c r="X908" s="3">
        <v>3.4095311000000001</v>
      </c>
      <c r="Y908" s="3">
        <v>3.3738937</v>
      </c>
      <c r="Z908" s="3">
        <v>3.3358359000000002</v>
      </c>
      <c r="AA908" s="3">
        <v>3.2963855</v>
      </c>
      <c r="AB908" s="3">
        <v>3.2565708</v>
      </c>
      <c r="AC908" s="3">
        <v>3.2172730999999999</v>
      </c>
      <c r="AD908" s="3">
        <v>3.1787272</v>
      </c>
      <c r="AE908" s="3">
        <v>3.1409891000000001</v>
      </c>
      <c r="AF908" s="3">
        <v>3.1041151</v>
      </c>
      <c r="AG908" s="3">
        <v>3.0681614000000001</v>
      </c>
      <c r="AH908" s="3">
        <v>3.0331839999999999</v>
      </c>
      <c r="AI908" s="3">
        <v>2.9992393000000002</v>
      </c>
      <c r="AJ908" s="3">
        <v>2.9663832999999999</v>
      </c>
      <c r="AK908" s="3">
        <v>2.9346722999999999</v>
      </c>
      <c r="AL908" s="3">
        <v>2.9041624000000001</v>
      </c>
      <c r="AM908" s="3">
        <v>2.8749098000000002</v>
      </c>
      <c r="AN908" s="3">
        <v>2.8469706000000001</v>
      </c>
      <c r="AO908" s="3">
        <v>2.8203874999999998</v>
      </c>
      <c r="AP908" s="3">
        <v>2.7951302999999998</v>
      </c>
      <c r="AQ908" s="3">
        <v>2.7711440000000001</v>
      </c>
      <c r="AR908" s="3">
        <v>2.7483740000000001</v>
      </c>
      <c r="AS908" s="3">
        <v>2.7267655</v>
      </c>
      <c r="AT908" s="3">
        <v>2.7062637</v>
      </c>
      <c r="AU908" s="3">
        <v>2.6868139000000002</v>
      </c>
      <c r="AV908" s="3">
        <v>2.6683612000000001</v>
      </c>
      <c r="AW908" s="3">
        <v>2.6508509</v>
      </c>
      <c r="AX908" s="3">
        <v>2.6342281999999999</v>
      </c>
      <c r="AY908" s="3">
        <v>2.6184383000000002</v>
      </c>
      <c r="AZ908" s="3">
        <v>2.6034266000000001</v>
      </c>
      <c r="BA908" s="3">
        <v>2.5891429000000001</v>
      </c>
      <c r="BB908" s="3">
        <v>2.5755607</v>
      </c>
      <c r="BC908" s="3">
        <v>2.5626608000000002</v>
      </c>
      <c r="BD908" s="3">
        <v>2.5504235999999998</v>
      </c>
      <c r="BE908" s="3">
        <v>2.5388299000000001</v>
      </c>
      <c r="BF908" s="3">
        <v>2.5278600999999998</v>
      </c>
      <c r="BG908" s="3">
        <v>2.5174948000000001</v>
      </c>
      <c r="BH908" s="3">
        <v>2.5077148</v>
      </c>
      <c r="BI908" s="3">
        <v>2.4985005999999998</v>
      </c>
      <c r="BJ908" s="3">
        <v>2.4898327999999998</v>
      </c>
      <c r="BK908" s="3">
        <v>2.4816919999999998</v>
      </c>
      <c r="BL908" s="3">
        <v>2.4740587999999999</v>
      </c>
      <c r="BM908" s="3">
        <v>2.4379797999999999</v>
      </c>
      <c r="BN908" s="3">
        <v>2.4161747999999998</v>
      </c>
    </row>
    <row r="909" spans="1:66" x14ac:dyDescent="0.35">
      <c r="A909" s="5">
        <f t="shared" si="13"/>
        <v>44727</v>
      </c>
      <c r="B909" t="s">
        <v>2242</v>
      </c>
      <c r="C909" s="2">
        <v>1</v>
      </c>
      <c r="D909" s="2">
        <v>0.93989999999999996</v>
      </c>
      <c r="E909" s="3">
        <v>1.3479688999999999</v>
      </c>
      <c r="F909" s="3">
        <v>1.6309811999999999</v>
      </c>
      <c r="G909" s="3">
        <v>1.9344148999999999</v>
      </c>
      <c r="H909" s="3">
        <v>2.2255440000000002</v>
      </c>
      <c r="I909" s="3">
        <v>2.4825164000000002</v>
      </c>
      <c r="J909" s="3">
        <v>2.7015927999999998</v>
      </c>
      <c r="K909" s="3">
        <v>2.8805893999999999</v>
      </c>
      <c r="L909" s="3">
        <v>3.0214481000000002</v>
      </c>
      <c r="M909" s="3">
        <v>3.1281520999999999</v>
      </c>
      <c r="N909" s="3">
        <v>3.2060993</v>
      </c>
      <c r="O909" s="3">
        <v>3.2600011000000002</v>
      </c>
      <c r="P909" s="3">
        <v>3.2933694</v>
      </c>
      <c r="Q909" s="3">
        <v>3.3109991000000001</v>
      </c>
      <c r="R909" s="3">
        <v>3.3154613999999998</v>
      </c>
      <c r="S909" s="3">
        <v>3.3086247000000002</v>
      </c>
      <c r="T909" s="3">
        <v>3.2923575</v>
      </c>
      <c r="U909" s="3">
        <v>3.2685284000000001</v>
      </c>
      <c r="V909" s="3">
        <v>3.2390056999999999</v>
      </c>
      <c r="W909" s="3">
        <v>3.2055094</v>
      </c>
      <c r="X909" s="3">
        <v>3.1691348000000001</v>
      </c>
      <c r="Y909" s="3">
        <v>3.1308131000000001</v>
      </c>
      <c r="Z909" s="3">
        <v>3.0914755</v>
      </c>
      <c r="AA909" s="3">
        <v>3.0520532</v>
      </c>
      <c r="AB909" s="3">
        <v>3.0134777000000001</v>
      </c>
      <c r="AC909" s="3">
        <v>2.9765598999999998</v>
      </c>
      <c r="AD909" s="3">
        <v>2.9414647</v>
      </c>
      <c r="AE909" s="3">
        <v>2.9081399999999999</v>
      </c>
      <c r="AF909" s="3">
        <v>2.8765334999999999</v>
      </c>
      <c r="AG909" s="3">
        <v>2.8465931000000002</v>
      </c>
      <c r="AH909" s="3">
        <v>2.8182665</v>
      </c>
      <c r="AI909" s="3">
        <v>2.7915016000000001</v>
      </c>
      <c r="AJ909" s="3">
        <v>2.7662461</v>
      </c>
      <c r="AK909" s="3">
        <v>2.7424479000000002</v>
      </c>
      <c r="AL909" s="3">
        <v>2.7200546999999999</v>
      </c>
      <c r="AM909" s="3">
        <v>2.6990143</v>
      </c>
      <c r="AN909" s="3">
        <v>2.6792745</v>
      </c>
      <c r="AO909" s="3">
        <v>2.6607794</v>
      </c>
      <c r="AP909" s="3">
        <v>2.6434549000000001</v>
      </c>
      <c r="AQ909" s="3">
        <v>2.6272213999999998</v>
      </c>
      <c r="AR909" s="3">
        <v>2.6119992999999999</v>
      </c>
      <c r="AS909" s="3">
        <v>2.597709</v>
      </c>
      <c r="AT909" s="3">
        <v>2.5842708999999999</v>
      </c>
      <c r="AU909" s="3">
        <v>2.5716052999999999</v>
      </c>
      <c r="AV909" s="3">
        <v>2.5596326999999999</v>
      </c>
      <c r="AW909" s="3">
        <v>2.5482735000000001</v>
      </c>
      <c r="AX909" s="3">
        <v>2.5374479999999999</v>
      </c>
      <c r="AY909" s="3">
        <v>2.5270766999999998</v>
      </c>
      <c r="AZ909" s="3">
        <v>2.5170799000000001</v>
      </c>
      <c r="BA909" s="3">
        <v>2.5073903</v>
      </c>
      <c r="BB909" s="3">
        <v>2.4979941000000001</v>
      </c>
      <c r="BC909" s="3">
        <v>2.4888927999999999</v>
      </c>
      <c r="BD909" s="3">
        <v>2.4800873000000001</v>
      </c>
      <c r="BE909" s="3">
        <v>2.4715791</v>
      </c>
      <c r="BF909" s="3">
        <v>2.4633693999999999</v>
      </c>
      <c r="BG909" s="3">
        <v>2.4554592999999998</v>
      </c>
      <c r="BH909" s="3">
        <v>2.4478501000000001</v>
      </c>
      <c r="BI909" s="3">
        <v>2.4405429999999999</v>
      </c>
      <c r="BJ909" s="3">
        <v>2.4335393000000001</v>
      </c>
      <c r="BK909" s="3">
        <v>2.4268402</v>
      </c>
      <c r="BL909" s="3">
        <v>2.4204469999999998</v>
      </c>
      <c r="BM909" s="3">
        <v>2.3884156999999999</v>
      </c>
      <c r="BN909" s="3">
        <v>2.3667161999999999</v>
      </c>
    </row>
    <row r="910" spans="1:66" x14ac:dyDescent="0.35">
      <c r="A910" s="5">
        <f t="shared" si="13"/>
        <v>44728</v>
      </c>
      <c r="B910" t="s">
        <v>2243</v>
      </c>
      <c r="C910" s="2">
        <v>1.25</v>
      </c>
      <c r="D910" s="2">
        <v>1.1883999999999999</v>
      </c>
      <c r="E910" s="3">
        <v>1.2624812999999999</v>
      </c>
      <c r="F910" s="3">
        <v>1.6231443999999999</v>
      </c>
      <c r="G910" s="3">
        <v>1.9960359000000001</v>
      </c>
      <c r="H910" s="3">
        <v>2.3409705999999999</v>
      </c>
      <c r="I910" s="3">
        <v>2.6312107</v>
      </c>
      <c r="J910" s="3">
        <v>2.8640677000000001</v>
      </c>
      <c r="K910" s="3">
        <v>3.0421762999999999</v>
      </c>
      <c r="L910" s="3">
        <v>3.1738762</v>
      </c>
      <c r="M910" s="3">
        <v>3.2680809000000002</v>
      </c>
      <c r="N910" s="3">
        <v>3.3332329000000001</v>
      </c>
      <c r="O910" s="3">
        <v>3.3750184000000001</v>
      </c>
      <c r="P910" s="3">
        <v>3.3975509000000002</v>
      </c>
      <c r="Q910" s="3">
        <v>3.4051866999999998</v>
      </c>
      <c r="R910" s="3">
        <v>3.4003309000000002</v>
      </c>
      <c r="S910" s="3">
        <v>3.384833</v>
      </c>
      <c r="T910" s="3">
        <v>3.3605429999999998</v>
      </c>
      <c r="U910" s="3">
        <v>3.3293105000000001</v>
      </c>
      <c r="V910" s="3">
        <v>3.2929852999999998</v>
      </c>
      <c r="W910" s="3">
        <v>3.2532961999999999</v>
      </c>
      <c r="X910" s="3">
        <v>3.2113532999999999</v>
      </c>
      <c r="Y910" s="3">
        <v>3.1680687999999999</v>
      </c>
      <c r="Z910" s="3">
        <v>3.124355</v>
      </c>
      <c r="AA910" s="3">
        <v>3.081124</v>
      </c>
      <c r="AB910" s="3">
        <v>3.0392880999999998</v>
      </c>
      <c r="AC910" s="3">
        <v>2.9996217000000001</v>
      </c>
      <c r="AD910" s="3">
        <v>2.9622286999999998</v>
      </c>
      <c r="AE910" s="3">
        <v>2.9270087</v>
      </c>
      <c r="AF910" s="3">
        <v>2.8938611999999999</v>
      </c>
      <c r="AG910" s="3">
        <v>2.8626857999999999</v>
      </c>
      <c r="AH910" s="3">
        <v>2.8333822</v>
      </c>
      <c r="AI910" s="3">
        <v>2.8058497999999998</v>
      </c>
      <c r="AJ910" s="3">
        <v>2.7799882</v>
      </c>
      <c r="AK910" s="3">
        <v>2.7556970999999999</v>
      </c>
      <c r="AL910" s="3">
        <v>2.7328760999999999</v>
      </c>
      <c r="AM910" s="3">
        <v>2.7114245000000001</v>
      </c>
      <c r="AN910" s="3">
        <v>2.6912422</v>
      </c>
      <c r="AO910" s="3">
        <v>2.6722315999999999</v>
      </c>
      <c r="AP910" s="3">
        <v>2.6543084000000001</v>
      </c>
      <c r="AQ910" s="3">
        <v>2.6373918999999999</v>
      </c>
      <c r="AR910" s="3">
        <v>2.6214013999999999</v>
      </c>
      <c r="AS910" s="3">
        <v>2.6062563000000001</v>
      </c>
      <c r="AT910" s="3">
        <v>2.5918758</v>
      </c>
      <c r="AU910" s="3">
        <v>2.5781793999999998</v>
      </c>
      <c r="AV910" s="3">
        <v>2.5650862000000001</v>
      </c>
      <c r="AW910" s="3">
        <v>2.5525156999999998</v>
      </c>
      <c r="AX910" s="3">
        <v>2.540387</v>
      </c>
      <c r="AY910" s="3">
        <v>2.5286197000000001</v>
      </c>
      <c r="AZ910" s="3">
        <v>2.5171328000000002</v>
      </c>
      <c r="BA910" s="3">
        <v>2.5058593999999998</v>
      </c>
      <c r="BB910" s="3">
        <v>2.4947919000000001</v>
      </c>
      <c r="BC910" s="3">
        <v>2.4839394000000001</v>
      </c>
      <c r="BD910" s="3">
        <v>2.4733108000000001</v>
      </c>
      <c r="BE910" s="3">
        <v>2.4629151</v>
      </c>
      <c r="BF910" s="3">
        <v>2.4527614</v>
      </c>
      <c r="BG910" s="3">
        <v>2.4428588000000002</v>
      </c>
      <c r="BH910" s="3">
        <v>2.4332159999999998</v>
      </c>
      <c r="BI910" s="3">
        <v>2.4238423</v>
      </c>
      <c r="BJ910" s="3">
        <v>2.4147466</v>
      </c>
      <c r="BK910" s="3">
        <v>2.4059379999999999</v>
      </c>
      <c r="BL910" s="3">
        <v>2.3974253000000001</v>
      </c>
      <c r="BM910" s="3">
        <v>2.3528595000000001</v>
      </c>
      <c r="BN910" s="3">
        <v>2.3199421999999998</v>
      </c>
    </row>
    <row r="911" spans="1:66" x14ac:dyDescent="0.35">
      <c r="A911" s="5">
        <f t="shared" si="13"/>
        <v>44729</v>
      </c>
      <c r="B911" t="s">
        <v>2244</v>
      </c>
      <c r="C911" s="2">
        <v>1.25</v>
      </c>
      <c r="D911" s="2">
        <v>1.1895</v>
      </c>
      <c r="E911" s="3">
        <v>1.2642405999999999</v>
      </c>
      <c r="F911" s="3">
        <v>1.6181306</v>
      </c>
      <c r="G911" s="3">
        <v>1.9898765</v>
      </c>
      <c r="H911" s="3">
        <v>2.3412405999999999</v>
      </c>
      <c r="I911" s="3">
        <v>2.6434905</v>
      </c>
      <c r="J911" s="3">
        <v>2.8890924999999998</v>
      </c>
      <c r="K911" s="3">
        <v>3.0809167</v>
      </c>
      <c r="L911" s="3">
        <v>3.2260415</v>
      </c>
      <c r="M911" s="3">
        <v>3.3330514999999998</v>
      </c>
      <c r="N911" s="3">
        <v>3.4096041000000001</v>
      </c>
      <c r="O911" s="3">
        <v>3.4603670000000002</v>
      </c>
      <c r="P911" s="3">
        <v>3.4895619</v>
      </c>
      <c r="Q911" s="3">
        <v>3.5019548</v>
      </c>
      <c r="R911" s="3">
        <v>3.5002672000000001</v>
      </c>
      <c r="S911" s="3">
        <v>3.4865249999999999</v>
      </c>
      <c r="T911" s="3">
        <v>3.4627536000000001</v>
      </c>
      <c r="U911" s="3">
        <v>3.4309786999999998</v>
      </c>
      <c r="V911" s="3">
        <v>3.3932258000000002</v>
      </c>
      <c r="W911" s="3">
        <v>3.3513692000000002</v>
      </c>
      <c r="X911" s="3">
        <v>3.3065812999999999</v>
      </c>
      <c r="Y911" s="3">
        <v>3.2598310000000001</v>
      </c>
      <c r="Z911" s="3">
        <v>3.2120872999999999</v>
      </c>
      <c r="AA911" s="3">
        <v>3.1643192</v>
      </c>
      <c r="AB911" s="3">
        <v>3.1174955999999998</v>
      </c>
      <c r="AC911" s="3">
        <v>3.0724331</v>
      </c>
      <c r="AD911" s="3">
        <v>3.0292761000000001</v>
      </c>
      <c r="AE911" s="3">
        <v>2.9879831000000001</v>
      </c>
      <c r="AF911" s="3">
        <v>2.9485127000000002</v>
      </c>
      <c r="AG911" s="3">
        <v>2.9108238000000002</v>
      </c>
      <c r="AH911" s="3">
        <v>2.8748749</v>
      </c>
      <c r="AI911" s="3">
        <v>2.8406246999999998</v>
      </c>
      <c r="AJ911" s="3">
        <v>2.8080318000000002</v>
      </c>
      <c r="AK911" s="3">
        <v>2.7770551000000001</v>
      </c>
      <c r="AL911" s="3">
        <v>2.7476530000000001</v>
      </c>
      <c r="AM911" s="3">
        <v>2.7197843000000002</v>
      </c>
      <c r="AN911" s="3">
        <v>2.6934076999999998</v>
      </c>
      <c r="AO911" s="3">
        <v>2.6684755</v>
      </c>
      <c r="AP911" s="3">
        <v>2.6449123000000001</v>
      </c>
      <c r="AQ911" s="3">
        <v>2.6226351000000001</v>
      </c>
      <c r="AR911" s="3">
        <v>2.6015608000000001</v>
      </c>
      <c r="AS911" s="3">
        <v>2.5816062999999998</v>
      </c>
      <c r="AT911" s="3">
        <v>2.5626885000000001</v>
      </c>
      <c r="AU911" s="3">
        <v>2.5447244000000002</v>
      </c>
      <c r="AV911" s="3">
        <v>2.5276309000000001</v>
      </c>
      <c r="AW911" s="3">
        <v>2.5113249999999998</v>
      </c>
      <c r="AX911" s="3">
        <v>2.4957235999999998</v>
      </c>
      <c r="AY911" s="3">
        <v>2.4807435</v>
      </c>
      <c r="AZ911" s="3">
        <v>2.4663018999999999</v>
      </c>
      <c r="BA911" s="3">
        <v>2.4523272999999999</v>
      </c>
      <c r="BB911" s="3">
        <v>2.4388014</v>
      </c>
      <c r="BC911" s="3">
        <v>2.4257198</v>
      </c>
      <c r="BD911" s="3">
        <v>2.4130786</v>
      </c>
      <c r="BE911" s="3">
        <v>2.4008734999999999</v>
      </c>
      <c r="BF911" s="3">
        <v>2.3891005000000001</v>
      </c>
      <c r="BG911" s="3">
        <v>2.3777553999999999</v>
      </c>
      <c r="BH911" s="3">
        <v>2.3668341000000002</v>
      </c>
      <c r="BI911" s="3">
        <v>2.3563325000000002</v>
      </c>
      <c r="BJ911" s="3">
        <v>2.3462464000000001</v>
      </c>
      <c r="BK911" s="3">
        <v>2.3365718000000002</v>
      </c>
      <c r="BL911" s="3">
        <v>2.3273044999999999</v>
      </c>
      <c r="BM911" s="3">
        <v>2.2801087999999998</v>
      </c>
      <c r="BN911" s="3">
        <v>2.2470582000000001</v>
      </c>
    </row>
    <row r="912" spans="1:66" x14ac:dyDescent="0.35">
      <c r="A912" s="5">
        <f t="shared" si="13"/>
        <v>44732</v>
      </c>
      <c r="B912" t="s">
        <v>2245</v>
      </c>
      <c r="C912" s="2">
        <v>1.25</v>
      </c>
      <c r="D912" s="2">
        <v>1.1896</v>
      </c>
      <c r="E912" s="3">
        <v>1.2869813000000001</v>
      </c>
      <c r="F912" s="3">
        <v>1.6538645000000001</v>
      </c>
      <c r="G912" s="3">
        <v>2.0259624000000001</v>
      </c>
      <c r="H912" s="3">
        <v>2.3770058999999999</v>
      </c>
      <c r="I912" s="3">
        <v>2.6833330000000002</v>
      </c>
      <c r="J912" s="3">
        <v>2.9369203000000002</v>
      </c>
      <c r="K912" s="3">
        <v>3.13693</v>
      </c>
      <c r="L912" s="3">
        <v>3.2892386</v>
      </c>
      <c r="M912" s="3">
        <v>3.4015724999999999</v>
      </c>
      <c r="N912" s="3">
        <v>3.4823175000000002</v>
      </c>
      <c r="O912" s="3">
        <v>3.5369036</v>
      </c>
      <c r="P912" s="3">
        <v>3.5700365000000001</v>
      </c>
      <c r="Q912" s="3">
        <v>3.5862937000000001</v>
      </c>
      <c r="R912" s="3">
        <v>3.5882377000000001</v>
      </c>
      <c r="S912" s="3">
        <v>3.5778975000000002</v>
      </c>
      <c r="T912" s="3">
        <v>3.5573022999999999</v>
      </c>
      <c r="U912" s="3">
        <v>3.5284811999999999</v>
      </c>
      <c r="V912" s="3">
        <v>3.4934634</v>
      </c>
      <c r="W912" s="3">
        <v>3.4541094000000001</v>
      </c>
      <c r="X912" s="3">
        <v>3.4115717999999999</v>
      </c>
      <c r="Y912" s="3">
        <v>3.3668170000000002</v>
      </c>
      <c r="Z912" s="3">
        <v>3.3208112999999999</v>
      </c>
      <c r="AA912" s="3">
        <v>3.2745213</v>
      </c>
      <c r="AB912" s="3">
        <v>3.2289134000000002</v>
      </c>
      <c r="AC912" s="3">
        <v>3.1848052</v>
      </c>
      <c r="AD912" s="3">
        <v>3.1423576999999998</v>
      </c>
      <c r="AE912" s="3">
        <v>3.1015508999999999</v>
      </c>
      <c r="AF912" s="3">
        <v>3.0623645000000002</v>
      </c>
      <c r="AG912" s="3">
        <v>3.0247782999999999</v>
      </c>
      <c r="AH912" s="3">
        <v>2.9887720999999998</v>
      </c>
      <c r="AI912" s="3">
        <v>2.9543259000000002</v>
      </c>
      <c r="AJ912" s="3">
        <v>2.9214194</v>
      </c>
      <c r="AK912" s="3">
        <v>2.8900323999999999</v>
      </c>
      <c r="AL912" s="3">
        <v>2.8601447000000002</v>
      </c>
      <c r="AM912" s="3">
        <v>2.8317363000000002</v>
      </c>
      <c r="AN912" s="3">
        <v>2.8047868</v>
      </c>
      <c r="AO912" s="3">
        <v>2.7792686999999998</v>
      </c>
      <c r="AP912" s="3">
        <v>2.7551215999999998</v>
      </c>
      <c r="AQ912" s="3">
        <v>2.7322758</v>
      </c>
      <c r="AR912" s="3">
        <v>2.7106618999999998</v>
      </c>
      <c r="AS912" s="3">
        <v>2.6902102999999999</v>
      </c>
      <c r="AT912" s="3">
        <v>2.6708514000000001</v>
      </c>
      <c r="AU912" s="3">
        <v>2.6525158000000002</v>
      </c>
      <c r="AV912" s="3">
        <v>2.6351339</v>
      </c>
      <c r="AW912" s="3">
        <v>2.6186360999999998</v>
      </c>
      <c r="AX912" s="3">
        <v>2.6029529999999999</v>
      </c>
      <c r="AY912" s="3">
        <v>2.588015</v>
      </c>
      <c r="AZ912" s="3">
        <v>2.5737524999999999</v>
      </c>
      <c r="BA912" s="3">
        <v>2.5601031999999999</v>
      </c>
      <c r="BB912" s="3">
        <v>2.5470435999999999</v>
      </c>
      <c r="BC912" s="3">
        <v>2.5345631000000002</v>
      </c>
      <c r="BD912" s="3">
        <v>2.5226511999999999</v>
      </c>
      <c r="BE912" s="3">
        <v>2.5112975</v>
      </c>
      <c r="BF912" s="3">
        <v>2.5004911999999999</v>
      </c>
      <c r="BG912" s="3">
        <v>2.4902221</v>
      </c>
      <c r="BH912" s="3">
        <v>2.4804794000000001</v>
      </c>
      <c r="BI912" s="3">
        <v>2.4712527</v>
      </c>
      <c r="BJ912" s="3">
        <v>2.4625314999999999</v>
      </c>
      <c r="BK912" s="3">
        <v>2.4543051999999999</v>
      </c>
      <c r="BL912" s="3">
        <v>2.4465633000000002</v>
      </c>
      <c r="BM912" s="3">
        <v>2.4096682999999999</v>
      </c>
      <c r="BN912" s="3">
        <v>2.3873961000000001</v>
      </c>
    </row>
    <row r="913" spans="1:66" x14ac:dyDescent="0.35">
      <c r="A913" s="5">
        <f t="shared" ref="A913:A976" si="14">+A908+7</f>
        <v>44733</v>
      </c>
      <c r="B913" t="s">
        <v>2246</v>
      </c>
      <c r="C913" s="2">
        <v>1.25</v>
      </c>
      <c r="D913" s="2">
        <v>1.1892</v>
      </c>
      <c r="E913" s="3">
        <v>1.295895</v>
      </c>
      <c r="F913" s="3">
        <v>1.6719695000000001</v>
      </c>
      <c r="G913" s="3">
        <v>2.0445503</v>
      </c>
      <c r="H913" s="3">
        <v>2.3873397000000001</v>
      </c>
      <c r="I913" s="3">
        <v>2.6808982000000001</v>
      </c>
      <c r="J913" s="3">
        <v>2.9214774999999999</v>
      </c>
      <c r="K913" s="3">
        <v>3.1106588999999998</v>
      </c>
      <c r="L913" s="3">
        <v>3.2554348000000002</v>
      </c>
      <c r="M913" s="3">
        <v>3.3625316999999999</v>
      </c>
      <c r="N913" s="3">
        <v>3.4394903999999999</v>
      </c>
      <c r="O913" s="3">
        <v>3.4913088999999999</v>
      </c>
      <c r="P913" s="3">
        <v>3.5225430000000002</v>
      </c>
      <c r="Q913" s="3">
        <v>3.5381665</v>
      </c>
      <c r="R913" s="3">
        <v>3.5406946000000001</v>
      </c>
      <c r="S913" s="3">
        <v>3.5319573000000002</v>
      </c>
      <c r="T913" s="3">
        <v>3.5137841000000001</v>
      </c>
      <c r="U913" s="3">
        <v>3.4880049</v>
      </c>
      <c r="V913" s="3">
        <v>3.4564493999999999</v>
      </c>
      <c r="W913" s="3">
        <v>3.4207993000000001</v>
      </c>
      <c r="X913" s="3">
        <v>3.3821143999999999</v>
      </c>
      <c r="Y913" s="3">
        <v>3.3412910999999998</v>
      </c>
      <c r="Z913" s="3">
        <v>3.2992257999999999</v>
      </c>
      <c r="AA913" s="3">
        <v>3.2568149000000002</v>
      </c>
      <c r="AB913" s="3">
        <v>3.2149548000000001</v>
      </c>
      <c r="AC913" s="3">
        <v>3.1744069000000001</v>
      </c>
      <c r="AD913" s="3">
        <v>3.1353373000000002</v>
      </c>
      <c r="AE913" s="3">
        <v>3.0977473999999998</v>
      </c>
      <c r="AF913" s="3">
        <v>3.0616387999999999</v>
      </c>
      <c r="AG913" s="3">
        <v>3.0270131</v>
      </c>
      <c r="AH913" s="3">
        <v>2.9938717000000001</v>
      </c>
      <c r="AI913" s="3">
        <v>2.9622164</v>
      </c>
      <c r="AJ913" s="3">
        <v>2.9320485000000001</v>
      </c>
      <c r="AK913" s="3">
        <v>2.9033698000000001</v>
      </c>
      <c r="AL913" s="3">
        <v>2.8761815999999998</v>
      </c>
      <c r="AM913" s="3">
        <v>2.8504857000000001</v>
      </c>
      <c r="AN913" s="3">
        <v>2.8262835000000002</v>
      </c>
      <c r="AO913" s="3">
        <v>2.8035665000000001</v>
      </c>
      <c r="AP913" s="3">
        <v>2.7822718000000002</v>
      </c>
      <c r="AQ913" s="3">
        <v>2.7623182000000002</v>
      </c>
      <c r="AR913" s="3">
        <v>2.7436246</v>
      </c>
      <c r="AS913" s="3">
        <v>2.7261098000000001</v>
      </c>
      <c r="AT913" s="3">
        <v>2.7096925000000001</v>
      </c>
      <c r="AU913" s="3">
        <v>2.6942917999999998</v>
      </c>
      <c r="AV913" s="3">
        <v>2.6798263000000002</v>
      </c>
      <c r="AW913" s="3">
        <v>2.6662148999999999</v>
      </c>
      <c r="AX913" s="3">
        <v>2.6533764999999998</v>
      </c>
      <c r="AY913" s="3">
        <v>2.6412298000000001</v>
      </c>
      <c r="AZ913" s="3">
        <v>2.6296938000000001</v>
      </c>
      <c r="BA913" s="3">
        <v>2.6186962999999999</v>
      </c>
      <c r="BB913" s="3">
        <v>2.6082101</v>
      </c>
      <c r="BC913" s="3">
        <v>2.5982215000000002</v>
      </c>
      <c r="BD913" s="3">
        <v>2.5887167</v>
      </c>
      <c r="BE913" s="3">
        <v>2.579682</v>
      </c>
      <c r="BF913" s="3">
        <v>2.5711037999999999</v>
      </c>
      <c r="BG913" s="3">
        <v>2.5629681</v>
      </c>
      <c r="BH913" s="3">
        <v>2.5552614999999999</v>
      </c>
      <c r="BI913" s="3">
        <v>2.5479699999999998</v>
      </c>
      <c r="BJ913" s="3">
        <v>2.5410800999999998</v>
      </c>
      <c r="BK913" s="3">
        <v>2.5345778999999999</v>
      </c>
      <c r="BL913" s="3">
        <v>2.5284498000000002</v>
      </c>
      <c r="BM913" s="3">
        <v>2.4990177</v>
      </c>
      <c r="BN913" s="3">
        <v>2.4811095999999999</v>
      </c>
    </row>
    <row r="914" spans="1:66" x14ac:dyDescent="0.35">
      <c r="A914" s="5">
        <f t="shared" si="14"/>
        <v>44734</v>
      </c>
      <c r="B914" t="s">
        <v>2247</v>
      </c>
      <c r="C914" s="2">
        <v>1.25</v>
      </c>
      <c r="D914" s="2">
        <v>1.1882999999999999</v>
      </c>
      <c r="E914" s="3">
        <v>1.2893212000000001</v>
      </c>
      <c r="F914" s="3">
        <v>1.6428938</v>
      </c>
      <c r="G914" s="3">
        <v>1.9912665000000001</v>
      </c>
      <c r="H914" s="3">
        <v>2.3153082</v>
      </c>
      <c r="I914" s="3">
        <v>2.5941328000000001</v>
      </c>
      <c r="J914" s="3">
        <v>2.8206031</v>
      </c>
      <c r="K914" s="3">
        <v>2.9935567000000001</v>
      </c>
      <c r="L914" s="3">
        <v>3.1195395000000001</v>
      </c>
      <c r="M914" s="3">
        <v>3.2070346999999999</v>
      </c>
      <c r="N914" s="3">
        <v>3.2649822999999998</v>
      </c>
      <c r="O914" s="3">
        <v>3.3000954999999998</v>
      </c>
      <c r="P914" s="3">
        <v>3.3167993999999998</v>
      </c>
      <c r="Q914" s="3">
        <v>3.3198553</v>
      </c>
      <c r="R914" s="3">
        <v>3.3116938999999999</v>
      </c>
      <c r="S914" s="3">
        <v>3.2940632999999999</v>
      </c>
      <c r="T914" s="3">
        <v>3.2687116999999999</v>
      </c>
      <c r="U914" s="3">
        <v>3.2373873999999998</v>
      </c>
      <c r="V914" s="3">
        <v>3.2018382999999999</v>
      </c>
      <c r="W914" s="3">
        <v>3.1636593999999998</v>
      </c>
      <c r="X914" s="3">
        <v>3.1238003999999999</v>
      </c>
      <c r="Y914" s="3">
        <v>3.0830419</v>
      </c>
      <c r="Z914" s="3">
        <v>3.0421645000000002</v>
      </c>
      <c r="AA914" s="3">
        <v>3.0019486</v>
      </c>
      <c r="AB914" s="3">
        <v>2.9631748</v>
      </c>
      <c r="AC914" s="3">
        <v>2.9265167000000001</v>
      </c>
      <c r="AD914" s="3">
        <v>2.8920710000000001</v>
      </c>
      <c r="AE914" s="3">
        <v>2.8597416</v>
      </c>
      <c r="AF914" s="3">
        <v>2.8294320000000002</v>
      </c>
      <c r="AG914" s="3">
        <v>2.8010454999999999</v>
      </c>
      <c r="AH914" s="3">
        <v>2.7744859000000002</v>
      </c>
      <c r="AI914" s="3">
        <v>2.7496565999999998</v>
      </c>
      <c r="AJ914" s="3">
        <v>2.7264610999999999</v>
      </c>
      <c r="AK914" s="3">
        <v>2.7048030000000001</v>
      </c>
      <c r="AL914" s="3">
        <v>2.6845857999999998</v>
      </c>
      <c r="AM914" s="3">
        <v>2.6657130000000002</v>
      </c>
      <c r="AN914" s="3">
        <v>2.6480882000000001</v>
      </c>
      <c r="AO914" s="3">
        <v>2.6316171000000002</v>
      </c>
      <c r="AP914" s="3">
        <v>2.6162165000000002</v>
      </c>
      <c r="AQ914" s="3">
        <v>2.6018064999999999</v>
      </c>
      <c r="AR914" s="3">
        <v>2.5883071000000002</v>
      </c>
      <c r="AS914" s="3">
        <v>2.5756386</v>
      </c>
      <c r="AT914" s="3">
        <v>2.5637210000000001</v>
      </c>
      <c r="AU914" s="3">
        <v>2.5524743000000001</v>
      </c>
      <c r="AV914" s="3">
        <v>2.5418186999999999</v>
      </c>
      <c r="AW914" s="3">
        <v>2.5316743000000002</v>
      </c>
      <c r="AX914" s="3">
        <v>2.5219611</v>
      </c>
      <c r="AY914" s="3">
        <v>2.5125994</v>
      </c>
      <c r="AZ914" s="3">
        <v>2.5035091</v>
      </c>
      <c r="BA914" s="3">
        <v>2.4946233000000002</v>
      </c>
      <c r="BB914" s="3">
        <v>2.4859322000000001</v>
      </c>
      <c r="BC914" s="3">
        <v>2.4774417</v>
      </c>
      <c r="BD914" s="3">
        <v>2.4691576999999998</v>
      </c>
      <c r="BE914" s="3">
        <v>2.4610859999999999</v>
      </c>
      <c r="BF914" s="3">
        <v>2.4532327</v>
      </c>
      <c r="BG914" s="3">
        <v>2.4456036999999999</v>
      </c>
      <c r="BH914" s="3">
        <v>2.4382047999999998</v>
      </c>
      <c r="BI914" s="3">
        <v>2.4310418999999999</v>
      </c>
      <c r="BJ914" s="3">
        <v>2.4241210999999998</v>
      </c>
      <c r="BK914" s="3">
        <v>2.4174481000000001</v>
      </c>
      <c r="BL914" s="3">
        <v>2.4110288999999998</v>
      </c>
      <c r="BM914" s="3">
        <v>2.3780524000000001</v>
      </c>
      <c r="BN914" s="3">
        <v>2.3549597000000002</v>
      </c>
    </row>
    <row r="915" spans="1:66" x14ac:dyDescent="0.35">
      <c r="A915" s="5">
        <f t="shared" si="14"/>
        <v>44735</v>
      </c>
      <c r="B915" t="s">
        <v>2248</v>
      </c>
      <c r="C915" s="2">
        <v>1.25</v>
      </c>
      <c r="D915" s="2">
        <v>1.1884999999999999</v>
      </c>
      <c r="E915" s="3">
        <v>1.285544</v>
      </c>
      <c r="F915" s="3">
        <v>1.6350773000000001</v>
      </c>
      <c r="G915" s="3">
        <v>1.9702999000000001</v>
      </c>
      <c r="H915" s="3">
        <v>2.2725499</v>
      </c>
      <c r="I915" s="3">
        <v>2.5236803999999999</v>
      </c>
      <c r="J915" s="3">
        <v>2.7186827</v>
      </c>
      <c r="K915" s="3">
        <v>2.8586345999999998</v>
      </c>
      <c r="L915" s="3">
        <v>2.9515593</v>
      </c>
      <c r="M915" s="3">
        <v>3.0070613000000002</v>
      </c>
      <c r="N915" s="3">
        <v>3.0351332000000002</v>
      </c>
      <c r="O915" s="3">
        <v>3.0431805000000001</v>
      </c>
      <c r="P915" s="3">
        <v>3.0367795000000002</v>
      </c>
      <c r="Q915" s="3">
        <v>3.0218448000000002</v>
      </c>
      <c r="R915" s="3">
        <v>3.0005426000000002</v>
      </c>
      <c r="S915" s="3">
        <v>2.9739928</v>
      </c>
      <c r="T915" s="3">
        <v>2.9433153000000001</v>
      </c>
      <c r="U915" s="3">
        <v>2.9096296000000001</v>
      </c>
      <c r="V915" s="3">
        <v>2.8740557999999998</v>
      </c>
      <c r="W915" s="3">
        <v>2.8376459000000001</v>
      </c>
      <c r="X915" s="3">
        <v>2.8010286</v>
      </c>
      <c r="Y915" s="3">
        <v>2.7646685</v>
      </c>
      <c r="Z915" s="3">
        <v>2.7290299999999998</v>
      </c>
      <c r="AA915" s="3">
        <v>2.6945773000000002</v>
      </c>
      <c r="AB915" s="3">
        <v>2.6617747999999999</v>
      </c>
      <c r="AC915" s="3">
        <v>2.6310093999999999</v>
      </c>
      <c r="AD915" s="3">
        <v>2.6022910000000001</v>
      </c>
      <c r="AE915" s="3">
        <v>2.5755143999999999</v>
      </c>
      <c r="AF915" s="3">
        <v>2.5505746</v>
      </c>
      <c r="AG915" s="3">
        <v>2.5273667</v>
      </c>
      <c r="AH915" s="3">
        <v>2.5057855</v>
      </c>
      <c r="AI915" s="3">
        <v>2.4857258999999998</v>
      </c>
      <c r="AJ915" s="3">
        <v>2.4670830000000001</v>
      </c>
      <c r="AK915" s="3">
        <v>2.4497518</v>
      </c>
      <c r="AL915" s="3">
        <v>2.433627</v>
      </c>
      <c r="AM915" s="3">
        <v>2.4186038000000001</v>
      </c>
      <c r="AN915" s="3">
        <v>2.4045770000000002</v>
      </c>
      <c r="AO915" s="3">
        <v>2.3914474000000001</v>
      </c>
      <c r="AP915" s="3">
        <v>2.3791410000000002</v>
      </c>
      <c r="AQ915" s="3">
        <v>2.3675909000000002</v>
      </c>
      <c r="AR915" s="3">
        <v>2.3567301</v>
      </c>
      <c r="AS915" s="3">
        <v>2.3464915999999998</v>
      </c>
      <c r="AT915" s="3">
        <v>2.3368085000000001</v>
      </c>
      <c r="AU915" s="3">
        <v>2.3276138999999998</v>
      </c>
      <c r="AV915" s="3">
        <v>2.3188407</v>
      </c>
      <c r="AW915" s="3">
        <v>2.3104220999999998</v>
      </c>
      <c r="AX915" s="3">
        <v>2.3022911000000001</v>
      </c>
      <c r="AY915" s="3">
        <v>2.2943807000000001</v>
      </c>
      <c r="AZ915" s="3">
        <v>2.2866240000000002</v>
      </c>
      <c r="BA915" s="3">
        <v>2.278966</v>
      </c>
      <c r="BB915" s="3">
        <v>2.2714045</v>
      </c>
      <c r="BC915" s="3">
        <v>2.2639521</v>
      </c>
      <c r="BD915" s="3">
        <v>2.2566210999999998</v>
      </c>
      <c r="BE915" s="3">
        <v>2.2494239999999999</v>
      </c>
      <c r="BF915" s="3">
        <v>2.2423733000000001</v>
      </c>
      <c r="BG915" s="3">
        <v>2.2354813</v>
      </c>
      <c r="BH915" s="3">
        <v>2.2287606000000002</v>
      </c>
      <c r="BI915" s="3">
        <v>2.2222236</v>
      </c>
      <c r="BJ915" s="3">
        <v>2.2158828000000002</v>
      </c>
      <c r="BK915" s="3">
        <v>2.2097505000000002</v>
      </c>
      <c r="BL915" s="3">
        <v>2.2038392</v>
      </c>
      <c r="BM915" s="3">
        <v>2.1734548</v>
      </c>
      <c r="BN915" s="3">
        <v>2.1526136999999999</v>
      </c>
    </row>
    <row r="916" spans="1:66" x14ac:dyDescent="0.35">
      <c r="A916" s="5">
        <f t="shared" si="14"/>
        <v>44736</v>
      </c>
      <c r="B916" t="s">
        <v>2249</v>
      </c>
      <c r="C916" s="2">
        <v>1.25</v>
      </c>
      <c r="D916" s="2">
        <v>1.1884999999999999</v>
      </c>
      <c r="E916" s="3">
        <v>1.2952324</v>
      </c>
      <c r="F916" s="3">
        <v>1.6351880999999999</v>
      </c>
      <c r="G916" s="3">
        <v>1.9589863000000001</v>
      </c>
      <c r="H916" s="3">
        <v>2.2537137999999999</v>
      </c>
      <c r="I916" s="3">
        <v>2.5060921999999999</v>
      </c>
      <c r="J916" s="3">
        <v>2.7079564999999999</v>
      </c>
      <c r="K916" s="3">
        <v>2.8586597999999999</v>
      </c>
      <c r="L916" s="3">
        <v>2.9611512000000002</v>
      </c>
      <c r="M916" s="3">
        <v>3.0232378</v>
      </c>
      <c r="N916" s="3">
        <v>3.0544403</v>
      </c>
      <c r="O916" s="3">
        <v>3.0621664000000002</v>
      </c>
      <c r="P916" s="3">
        <v>3.0530674000000002</v>
      </c>
      <c r="Q916" s="3">
        <v>3.0344034</v>
      </c>
      <c r="R916" s="3">
        <v>3.0090631000000001</v>
      </c>
      <c r="S916" s="3">
        <v>2.9784788</v>
      </c>
      <c r="T916" s="3">
        <v>2.9440821000000001</v>
      </c>
      <c r="U916" s="3">
        <v>2.907305</v>
      </c>
      <c r="V916" s="3">
        <v>2.8695792999999998</v>
      </c>
      <c r="W916" s="3">
        <v>2.832198</v>
      </c>
      <c r="X916" s="3">
        <v>2.7956680999999999</v>
      </c>
      <c r="Y916" s="3">
        <v>2.7602201000000002</v>
      </c>
      <c r="Z916" s="3">
        <v>2.7260840000000002</v>
      </c>
      <c r="AA916" s="3">
        <v>2.6934901999999998</v>
      </c>
      <c r="AB916" s="3">
        <v>2.6626688000000001</v>
      </c>
      <c r="AC916" s="3">
        <v>2.6337989999999998</v>
      </c>
      <c r="AD916" s="3">
        <v>2.6068357999999998</v>
      </c>
      <c r="AE916" s="3">
        <v>2.5816718999999999</v>
      </c>
      <c r="AF916" s="3">
        <v>2.5582004</v>
      </c>
      <c r="AG916" s="3">
        <v>2.5363139000000001</v>
      </c>
      <c r="AH916" s="3">
        <v>2.5159053999999998</v>
      </c>
      <c r="AI916" s="3">
        <v>2.4968678</v>
      </c>
      <c r="AJ916" s="3">
        <v>2.4790939000000001</v>
      </c>
      <c r="AK916" s="3">
        <v>2.4624766</v>
      </c>
      <c r="AL916" s="3">
        <v>2.4469088000000001</v>
      </c>
      <c r="AM916" s="3">
        <v>2.4322834000000002</v>
      </c>
      <c r="AN916" s="3">
        <v>2.4184931000000001</v>
      </c>
      <c r="AO916" s="3">
        <v>2.4054392999999998</v>
      </c>
      <c r="AP916" s="3">
        <v>2.3930604</v>
      </c>
      <c r="AQ916" s="3">
        <v>2.3813048999999999</v>
      </c>
      <c r="AR916" s="3">
        <v>2.3701215000000002</v>
      </c>
      <c r="AS916" s="3">
        <v>2.3594588000000001</v>
      </c>
      <c r="AT916" s="3">
        <v>2.3492655</v>
      </c>
      <c r="AU916" s="3">
        <v>2.3394900999999999</v>
      </c>
      <c r="AV916" s="3">
        <v>2.3300812</v>
      </c>
      <c r="AW916" s="3">
        <v>2.3209875000000002</v>
      </c>
      <c r="AX916" s="3">
        <v>2.3121575999999999</v>
      </c>
      <c r="AY916" s="3">
        <v>2.3035401000000002</v>
      </c>
      <c r="AZ916" s="3">
        <v>2.2950835999999999</v>
      </c>
      <c r="BA916" s="3">
        <v>2.2867464000000002</v>
      </c>
      <c r="BB916" s="3">
        <v>2.2785289999999998</v>
      </c>
      <c r="BC916" s="3">
        <v>2.2704439000000001</v>
      </c>
      <c r="BD916" s="3">
        <v>2.2625033999999999</v>
      </c>
      <c r="BE916" s="3">
        <v>2.2547199</v>
      </c>
      <c r="BF916" s="3">
        <v>2.2471057999999999</v>
      </c>
      <c r="BG916" s="3">
        <v>2.2396733000000002</v>
      </c>
      <c r="BH916" s="3">
        <v>2.2324348999999999</v>
      </c>
      <c r="BI916" s="3">
        <v>2.225403</v>
      </c>
      <c r="BJ916" s="3">
        <v>2.2185898000000002</v>
      </c>
      <c r="BK916" s="3">
        <v>2.2120079000000001</v>
      </c>
      <c r="BL916" s="3">
        <v>2.2056694000000001</v>
      </c>
      <c r="BM916" s="3">
        <v>2.1731932999999999</v>
      </c>
      <c r="BN916" s="3">
        <v>2.1510745</v>
      </c>
    </row>
    <row r="917" spans="1:66" x14ac:dyDescent="0.35">
      <c r="A917" s="5">
        <f t="shared" si="14"/>
        <v>44739</v>
      </c>
      <c r="B917" t="s">
        <v>2250</v>
      </c>
      <c r="C917" s="2">
        <v>1.25</v>
      </c>
      <c r="D917" s="2">
        <v>1.1883999999999999</v>
      </c>
      <c r="E917" s="3">
        <v>1.3219177</v>
      </c>
      <c r="F917" s="3">
        <v>1.6853993</v>
      </c>
      <c r="G917" s="3">
        <v>2.0153501</v>
      </c>
      <c r="H917" s="3">
        <v>2.3084125000000002</v>
      </c>
      <c r="I917" s="3">
        <v>2.5596160000000001</v>
      </c>
      <c r="J917" s="3">
        <v>2.7636622000000002</v>
      </c>
      <c r="K917" s="3">
        <v>2.9191329000000001</v>
      </c>
      <c r="L917" s="3">
        <v>3.0291009999999998</v>
      </c>
      <c r="M917" s="3">
        <v>3.0997322</v>
      </c>
      <c r="N917" s="3">
        <v>3.1395422000000002</v>
      </c>
      <c r="O917" s="3">
        <v>3.1553716999999999</v>
      </c>
      <c r="P917" s="3">
        <v>3.1539375999999999</v>
      </c>
      <c r="Q917" s="3">
        <v>3.1426859</v>
      </c>
      <c r="R917" s="3">
        <v>3.1243612999999999</v>
      </c>
      <c r="S917" s="3">
        <v>3.1003704000000001</v>
      </c>
      <c r="T917" s="3">
        <v>3.0721196000000002</v>
      </c>
      <c r="U917" s="3">
        <v>3.0410157999999998</v>
      </c>
      <c r="V917" s="3">
        <v>3.0084653000000001</v>
      </c>
      <c r="W917" s="3">
        <v>2.9756828</v>
      </c>
      <c r="X917" s="3">
        <v>2.9430757999999999</v>
      </c>
      <c r="Y917" s="3">
        <v>2.9108401000000002</v>
      </c>
      <c r="Z917" s="3">
        <v>2.8791712</v>
      </c>
      <c r="AA917" s="3">
        <v>2.8482647000000001</v>
      </c>
      <c r="AB917" s="3">
        <v>2.8183164000000001</v>
      </c>
      <c r="AC917" s="3">
        <v>2.7894880999999998</v>
      </c>
      <c r="AD917" s="3">
        <v>2.7617924999999999</v>
      </c>
      <c r="AE917" s="3">
        <v>2.735201</v>
      </c>
      <c r="AF917" s="3">
        <v>2.7096852</v>
      </c>
      <c r="AG917" s="3">
        <v>2.6852166</v>
      </c>
      <c r="AH917" s="3">
        <v>2.6617666</v>
      </c>
      <c r="AI917" s="3">
        <v>2.6393068999999998</v>
      </c>
      <c r="AJ917" s="3">
        <v>2.6178088000000002</v>
      </c>
      <c r="AK917" s="3">
        <v>2.5972439999999999</v>
      </c>
      <c r="AL917" s="3">
        <v>2.5775839</v>
      </c>
      <c r="AM917" s="3">
        <v>2.5588000000000002</v>
      </c>
      <c r="AN917" s="3">
        <v>2.5408639000000002</v>
      </c>
      <c r="AO917" s="3">
        <v>2.523746</v>
      </c>
      <c r="AP917" s="3">
        <v>2.5074128999999998</v>
      </c>
      <c r="AQ917" s="3">
        <v>2.4918296999999998</v>
      </c>
      <c r="AR917" s="3">
        <v>2.4769616000000001</v>
      </c>
      <c r="AS917" s="3">
        <v>2.462774</v>
      </c>
      <c r="AT917" s="3">
        <v>2.4492319</v>
      </c>
      <c r="AU917" s="3">
        <v>2.4363008000000002</v>
      </c>
      <c r="AV917" s="3">
        <v>2.4239457999999998</v>
      </c>
      <c r="AW917" s="3">
        <v>2.4121321</v>
      </c>
      <c r="AX917" s="3">
        <v>2.4008251</v>
      </c>
      <c r="AY917" s="3">
        <v>2.3899897999999999</v>
      </c>
      <c r="AZ917" s="3">
        <v>2.3795917000000002</v>
      </c>
      <c r="BA917" s="3">
        <v>2.3696000000000002</v>
      </c>
      <c r="BB917" s="3">
        <v>2.3600061000000001</v>
      </c>
      <c r="BC917" s="3">
        <v>2.3508089999999999</v>
      </c>
      <c r="BD917" s="3">
        <v>2.3420074999999998</v>
      </c>
      <c r="BE917" s="3">
        <v>2.3336005000000002</v>
      </c>
      <c r="BF917" s="3">
        <v>2.3255868999999998</v>
      </c>
      <c r="BG917" s="3">
        <v>2.3179656</v>
      </c>
      <c r="BH917" s="3">
        <v>2.3107353000000002</v>
      </c>
      <c r="BI917" s="3">
        <v>2.3038951999999999</v>
      </c>
      <c r="BJ917" s="3">
        <v>2.2974437999999999</v>
      </c>
      <c r="BK917" s="3">
        <v>2.2913803000000001</v>
      </c>
      <c r="BL917" s="3">
        <v>2.2857034000000001</v>
      </c>
      <c r="BM917" s="3">
        <v>2.2595247999999999</v>
      </c>
      <c r="BN917" s="3">
        <v>2.2459153000000001</v>
      </c>
    </row>
    <row r="918" spans="1:66" x14ac:dyDescent="0.35">
      <c r="A918" s="5">
        <f t="shared" si="14"/>
        <v>44740</v>
      </c>
      <c r="B918" t="s">
        <v>2251</v>
      </c>
      <c r="C918" s="2">
        <v>1.25</v>
      </c>
      <c r="D918" s="2">
        <v>1.1877</v>
      </c>
      <c r="E918" s="3">
        <v>1.3355463000000001</v>
      </c>
      <c r="F918" s="3">
        <v>1.7117996</v>
      </c>
      <c r="G918" s="3">
        <v>2.0454370000000002</v>
      </c>
      <c r="H918" s="3">
        <v>2.3415927000000001</v>
      </c>
      <c r="I918" s="3">
        <v>2.6000763999999998</v>
      </c>
      <c r="J918" s="3">
        <v>2.8163838999999999</v>
      </c>
      <c r="K918" s="3">
        <v>2.9874686000000001</v>
      </c>
      <c r="L918" s="3">
        <v>3.1159161000000002</v>
      </c>
      <c r="M918" s="3">
        <v>3.2060738999999998</v>
      </c>
      <c r="N918" s="3">
        <v>3.265469</v>
      </c>
      <c r="O918" s="3">
        <v>3.2999765999999999</v>
      </c>
      <c r="P918" s="3">
        <v>3.3151931000000001</v>
      </c>
      <c r="Q918" s="3">
        <v>3.3168905999999998</v>
      </c>
      <c r="R918" s="3">
        <v>3.3077803000000001</v>
      </c>
      <c r="S918" s="3">
        <v>3.2897384999999999</v>
      </c>
      <c r="T918" s="3">
        <v>3.2646418000000001</v>
      </c>
      <c r="U918" s="3">
        <v>3.2343668000000001</v>
      </c>
      <c r="V918" s="3">
        <v>3.2007897999999999</v>
      </c>
      <c r="W918" s="3">
        <v>3.1655600000000002</v>
      </c>
      <c r="X918" s="3">
        <v>3.1293707999999998</v>
      </c>
      <c r="Y918" s="3">
        <v>3.0926646</v>
      </c>
      <c r="Z918" s="3">
        <v>3.0558838000000002</v>
      </c>
      <c r="AA918" s="3">
        <v>3.0194709</v>
      </c>
      <c r="AB918" s="3">
        <v>2.9838684</v>
      </c>
      <c r="AC918" s="3">
        <v>2.9494501</v>
      </c>
      <c r="AD918" s="3">
        <v>2.9162880000000002</v>
      </c>
      <c r="AE918" s="3">
        <v>2.8843708000000001</v>
      </c>
      <c r="AF918" s="3">
        <v>2.8536871000000001</v>
      </c>
      <c r="AG918" s="3">
        <v>2.8242253000000002</v>
      </c>
      <c r="AH918" s="3">
        <v>2.7959741999999999</v>
      </c>
      <c r="AI918" s="3">
        <v>2.7689222999999998</v>
      </c>
      <c r="AJ918" s="3">
        <v>2.7430582000000001</v>
      </c>
      <c r="AK918" s="3">
        <v>2.7183704999999998</v>
      </c>
      <c r="AL918" s="3">
        <v>2.6948479000000001</v>
      </c>
      <c r="AM918" s="3">
        <v>2.6724787999999999</v>
      </c>
      <c r="AN918" s="3">
        <v>2.6512519000000001</v>
      </c>
      <c r="AO918" s="3">
        <v>2.631151</v>
      </c>
      <c r="AP918" s="3">
        <v>2.6121338000000001</v>
      </c>
      <c r="AQ918" s="3">
        <v>2.5941494999999999</v>
      </c>
      <c r="AR918" s="3">
        <v>2.5771472000000002</v>
      </c>
      <c r="AS918" s="3">
        <v>2.5610759000000001</v>
      </c>
      <c r="AT918" s="3">
        <v>2.5458848000000001</v>
      </c>
      <c r="AU918" s="3">
        <v>2.5315229000000001</v>
      </c>
      <c r="AV918" s="3">
        <v>2.5179393000000001</v>
      </c>
      <c r="AW918" s="3">
        <v>2.5050830999999998</v>
      </c>
      <c r="AX918" s="3">
        <v>2.4929033999999999</v>
      </c>
      <c r="AY918" s="3">
        <v>2.4813493000000002</v>
      </c>
      <c r="AZ918" s="3">
        <v>2.4703697999999998</v>
      </c>
      <c r="BA918" s="3">
        <v>2.4599191999999999</v>
      </c>
      <c r="BB918" s="3">
        <v>2.4499759000000001</v>
      </c>
      <c r="BC918" s="3">
        <v>2.4405260000000002</v>
      </c>
      <c r="BD918" s="3">
        <v>2.4315554000000001</v>
      </c>
      <c r="BE918" s="3">
        <v>2.4230501000000002</v>
      </c>
      <c r="BF918" s="3">
        <v>2.4149962</v>
      </c>
      <c r="BG918" s="3">
        <v>2.4073796999999999</v>
      </c>
      <c r="BH918" s="3">
        <v>2.4001864999999998</v>
      </c>
      <c r="BI918" s="3">
        <v>2.3934027000000002</v>
      </c>
      <c r="BJ918" s="3">
        <v>2.3870143000000001</v>
      </c>
      <c r="BK918" s="3">
        <v>2.3810072</v>
      </c>
      <c r="BL918" s="3">
        <v>2.3753674999999999</v>
      </c>
      <c r="BM918" s="3">
        <v>2.3487274999999999</v>
      </c>
      <c r="BN918" s="3">
        <v>2.3334063999999999</v>
      </c>
    </row>
    <row r="919" spans="1:66" x14ac:dyDescent="0.35">
      <c r="A919" s="5">
        <f t="shared" si="14"/>
        <v>44741</v>
      </c>
      <c r="B919" t="s">
        <v>2252</v>
      </c>
      <c r="C919" s="2">
        <v>1.25</v>
      </c>
      <c r="D919" s="2">
        <v>1.1887000000000001</v>
      </c>
      <c r="E919" s="3">
        <v>1.3315961999999999</v>
      </c>
      <c r="F919" s="3">
        <v>1.6928577</v>
      </c>
      <c r="G919" s="3">
        <v>2.0116067000000002</v>
      </c>
      <c r="H919" s="3">
        <v>2.2964357</v>
      </c>
      <c r="I919" s="3">
        <v>2.5460780999999999</v>
      </c>
      <c r="J919" s="3">
        <v>2.7554287999999998</v>
      </c>
      <c r="K919" s="3">
        <v>2.9214701999999999</v>
      </c>
      <c r="L919" s="3">
        <v>3.0468361000000002</v>
      </c>
      <c r="M919" s="3">
        <v>3.1358842</v>
      </c>
      <c r="N919" s="3">
        <v>3.1946954999999999</v>
      </c>
      <c r="O919" s="3">
        <v>3.2288492999999998</v>
      </c>
      <c r="P919" s="3">
        <v>3.2422287000000001</v>
      </c>
      <c r="Q919" s="3">
        <v>3.2409810999999999</v>
      </c>
      <c r="R919" s="3">
        <v>3.2282809000000001</v>
      </c>
      <c r="S919" s="3">
        <v>3.2062917</v>
      </c>
      <c r="T919" s="3">
        <v>3.1771769000000001</v>
      </c>
      <c r="U919" s="3">
        <v>3.1431002000000001</v>
      </c>
      <c r="V919" s="3">
        <v>3.1062248000000001</v>
      </c>
      <c r="W919" s="3">
        <v>3.0684364999999998</v>
      </c>
      <c r="X919" s="3">
        <v>3.0304527000000001</v>
      </c>
      <c r="Y919" s="3">
        <v>2.9926841</v>
      </c>
      <c r="Z919" s="3">
        <v>2.9555416000000001</v>
      </c>
      <c r="AA919" s="3">
        <v>2.9194358</v>
      </c>
      <c r="AB919" s="3">
        <v>2.8847776000000001</v>
      </c>
      <c r="AC919" s="3">
        <v>2.8519171000000001</v>
      </c>
      <c r="AD919" s="3">
        <v>2.8208780999999998</v>
      </c>
      <c r="AE919" s="3">
        <v>2.7915751000000002</v>
      </c>
      <c r="AF919" s="3">
        <v>2.7639225000000001</v>
      </c>
      <c r="AG919" s="3">
        <v>2.7378345999999998</v>
      </c>
      <c r="AH919" s="3">
        <v>2.7132258</v>
      </c>
      <c r="AI919" s="3">
        <v>2.6900105999999999</v>
      </c>
      <c r="AJ919" s="3">
        <v>2.6681031000000002</v>
      </c>
      <c r="AK919" s="3">
        <v>2.647418</v>
      </c>
      <c r="AL919" s="3">
        <v>2.6278693999999998</v>
      </c>
      <c r="AM919" s="3">
        <v>2.6093719000000002</v>
      </c>
      <c r="AN919" s="3">
        <v>2.5918397</v>
      </c>
      <c r="AO919" s="3">
        <v>2.5751921000000002</v>
      </c>
      <c r="AP919" s="3">
        <v>2.5593721</v>
      </c>
      <c r="AQ919" s="3">
        <v>2.5443299000000001</v>
      </c>
      <c r="AR919" s="3">
        <v>2.5300156999999999</v>
      </c>
      <c r="AS919" s="3">
        <v>2.5163796999999999</v>
      </c>
      <c r="AT919" s="3">
        <v>2.5033720000000002</v>
      </c>
      <c r="AU919" s="3">
        <v>2.4909428</v>
      </c>
      <c r="AV919" s="3">
        <v>2.4790424999999998</v>
      </c>
      <c r="AW919" s="3">
        <v>2.4676209999999998</v>
      </c>
      <c r="AX919" s="3">
        <v>2.4566287</v>
      </c>
      <c r="AY919" s="3">
        <v>2.4460158000000001</v>
      </c>
      <c r="AZ919" s="3">
        <v>2.4357323000000002</v>
      </c>
      <c r="BA919" s="3">
        <v>2.4257365000000002</v>
      </c>
      <c r="BB919" s="3">
        <v>2.4160211</v>
      </c>
      <c r="BC919" s="3">
        <v>2.4065884999999998</v>
      </c>
      <c r="BD919" s="3">
        <v>2.3974411999999998</v>
      </c>
      <c r="BE919" s="3">
        <v>2.3885814999999999</v>
      </c>
      <c r="BF919" s="3">
        <v>2.3800119</v>
      </c>
      <c r="BG919" s="3">
        <v>2.3717348</v>
      </c>
      <c r="BH919" s="3">
        <v>2.3637526000000002</v>
      </c>
      <c r="BI919" s="3">
        <v>2.3560677000000001</v>
      </c>
      <c r="BJ919" s="3">
        <v>2.3486824999999998</v>
      </c>
      <c r="BK919" s="3">
        <v>2.3415994000000002</v>
      </c>
      <c r="BL919" s="3">
        <v>2.3348209999999998</v>
      </c>
      <c r="BM919" s="3">
        <v>2.3006435999999999</v>
      </c>
      <c r="BN919" s="3">
        <v>2.2778136</v>
      </c>
    </row>
    <row r="920" spans="1:66" x14ac:dyDescent="0.35">
      <c r="A920" s="5">
        <f t="shared" si="14"/>
        <v>44742</v>
      </c>
      <c r="B920" t="s">
        <v>2253</v>
      </c>
      <c r="C920" s="2">
        <v>1.25</v>
      </c>
      <c r="D920" s="2">
        <v>1.1874</v>
      </c>
      <c r="E920" s="3">
        <v>1.3326808000000001</v>
      </c>
      <c r="F920" s="3">
        <v>1.6975701999999999</v>
      </c>
      <c r="G920" s="3">
        <v>2.0078450000000001</v>
      </c>
      <c r="H920" s="3">
        <v>2.2760973999999998</v>
      </c>
      <c r="I920" s="3">
        <v>2.5060424000000001</v>
      </c>
      <c r="J920" s="3">
        <v>2.6923876</v>
      </c>
      <c r="K920" s="3">
        <v>2.8308566000000002</v>
      </c>
      <c r="L920" s="3">
        <v>2.9202846999999998</v>
      </c>
      <c r="M920" s="3">
        <v>2.9685823</v>
      </c>
      <c r="N920" s="3">
        <v>2.9860551000000002</v>
      </c>
      <c r="O920" s="3">
        <v>2.981487</v>
      </c>
      <c r="P920" s="3">
        <v>2.961881</v>
      </c>
      <c r="Q920" s="3">
        <v>2.9358871</v>
      </c>
      <c r="R920" s="3">
        <v>2.9062657000000001</v>
      </c>
      <c r="S920" s="3">
        <v>2.8740348999999998</v>
      </c>
      <c r="T920" s="3">
        <v>2.8402128000000002</v>
      </c>
      <c r="U920" s="3">
        <v>2.8058174999999999</v>
      </c>
      <c r="V920" s="3">
        <v>2.7718671000000001</v>
      </c>
      <c r="W920" s="3">
        <v>2.7392620000000001</v>
      </c>
      <c r="X920" s="3">
        <v>2.7082350000000002</v>
      </c>
      <c r="Y920" s="3">
        <v>2.6787842999999998</v>
      </c>
      <c r="Z920" s="3">
        <v>2.6509078000000001</v>
      </c>
      <c r="AA920" s="3">
        <v>2.6246033999999998</v>
      </c>
      <c r="AB920" s="3">
        <v>2.5998689000000001</v>
      </c>
      <c r="AC920" s="3">
        <v>2.5766900000000001</v>
      </c>
      <c r="AD920" s="3">
        <v>2.5549917</v>
      </c>
      <c r="AE920" s="3">
        <v>2.5346807</v>
      </c>
      <c r="AF920" s="3">
        <v>2.5156637000000002</v>
      </c>
      <c r="AG920" s="3">
        <v>2.4978473000000001</v>
      </c>
      <c r="AH920" s="3">
        <v>2.4811383</v>
      </c>
      <c r="AI920" s="3">
        <v>2.4654433999999998</v>
      </c>
      <c r="AJ920" s="3">
        <v>2.4506692000000001</v>
      </c>
      <c r="AK920" s="3">
        <v>2.4367225000000001</v>
      </c>
      <c r="AL920" s="3">
        <v>2.4235099</v>
      </c>
      <c r="AM920" s="3">
        <v>2.4109381999999999</v>
      </c>
      <c r="AN920" s="3">
        <v>2.3989139000000002</v>
      </c>
      <c r="AO920" s="3">
        <v>2.3873530999999999</v>
      </c>
      <c r="AP920" s="3">
        <v>2.3762121</v>
      </c>
      <c r="AQ920" s="3">
        <v>2.3654584000000001</v>
      </c>
      <c r="AR920" s="3">
        <v>2.3550596000000001</v>
      </c>
      <c r="AS920" s="3">
        <v>2.3449833999999998</v>
      </c>
      <c r="AT920" s="3">
        <v>2.3351972999999999</v>
      </c>
      <c r="AU920" s="3">
        <v>2.3256689000000001</v>
      </c>
      <c r="AV920" s="3">
        <v>2.3163657999999998</v>
      </c>
      <c r="AW920" s="3">
        <v>2.3072555000000001</v>
      </c>
      <c r="AX920" s="3">
        <v>2.2983055999999999</v>
      </c>
      <c r="AY920" s="3">
        <v>2.2894838000000002</v>
      </c>
      <c r="AZ920" s="3">
        <v>2.2807575</v>
      </c>
      <c r="BA920" s="3">
        <v>2.2721019999999998</v>
      </c>
      <c r="BB920" s="3">
        <v>2.2635265000000002</v>
      </c>
      <c r="BC920" s="3">
        <v>2.2550493</v>
      </c>
      <c r="BD920" s="3">
        <v>2.2466889000000001</v>
      </c>
      <c r="BE920" s="3">
        <v>2.2384637999999999</v>
      </c>
      <c r="BF920" s="3">
        <v>2.2303923000000001</v>
      </c>
      <c r="BG920" s="3">
        <v>2.2224929000000002</v>
      </c>
      <c r="BH920" s="3">
        <v>2.2147839999999999</v>
      </c>
      <c r="BI920" s="3">
        <v>2.2072840999999999</v>
      </c>
      <c r="BJ920" s="3">
        <v>2.2000115999999998</v>
      </c>
      <c r="BK920" s="3">
        <v>2.1929848999999999</v>
      </c>
      <c r="BL920" s="3">
        <v>2.1862225</v>
      </c>
      <c r="BM920" s="3">
        <v>2.1517434999999998</v>
      </c>
      <c r="BN920" s="3">
        <v>2.1284725999999998</v>
      </c>
    </row>
    <row r="921" spans="1:66" x14ac:dyDescent="0.35">
      <c r="A921" s="5">
        <f t="shared" si="14"/>
        <v>44743</v>
      </c>
      <c r="B921" t="s">
        <v>2254</v>
      </c>
      <c r="C921" s="2">
        <v>1.25</v>
      </c>
      <c r="D921" s="2">
        <v>1.1907000000000001</v>
      </c>
      <c r="E921" s="3">
        <v>1.3357469</v>
      </c>
      <c r="F921" s="3">
        <v>1.6961416</v>
      </c>
      <c r="G921" s="3">
        <v>2.0050466</v>
      </c>
      <c r="H921" s="3">
        <v>2.2682383000000002</v>
      </c>
      <c r="I921" s="3">
        <v>2.4871146999999998</v>
      </c>
      <c r="J921" s="3">
        <v>2.6565546000000002</v>
      </c>
      <c r="K921" s="3">
        <v>2.7763322000000001</v>
      </c>
      <c r="L921" s="3">
        <v>2.848576</v>
      </c>
      <c r="M921" s="3">
        <v>2.8816278999999998</v>
      </c>
      <c r="N921" s="3">
        <v>2.8842626999999998</v>
      </c>
      <c r="O921" s="3">
        <v>2.8656516999999999</v>
      </c>
      <c r="P921" s="3">
        <v>2.8331919999999999</v>
      </c>
      <c r="Q921" s="3">
        <v>2.7954116</v>
      </c>
      <c r="R921" s="3">
        <v>2.7553017999999998</v>
      </c>
      <c r="S921" s="3">
        <v>2.7139101000000001</v>
      </c>
      <c r="T921" s="3">
        <v>2.6722834</v>
      </c>
      <c r="U921" s="3">
        <v>2.6314685999999998</v>
      </c>
      <c r="V921" s="3">
        <v>2.5925126999999999</v>
      </c>
      <c r="W921" s="3">
        <v>2.5563007999999998</v>
      </c>
      <c r="X921" s="3">
        <v>2.5228885999999999</v>
      </c>
      <c r="Y921" s="3">
        <v>2.4920667000000001</v>
      </c>
      <c r="Z921" s="3">
        <v>2.4636255999999999</v>
      </c>
      <c r="AA921" s="3">
        <v>2.4373559999999999</v>
      </c>
      <c r="AB921" s="3">
        <v>2.4130484000000001</v>
      </c>
      <c r="AC921" s="3">
        <v>2.3905080000000001</v>
      </c>
      <c r="AD921" s="3">
        <v>2.3696041000000001</v>
      </c>
      <c r="AE921" s="3">
        <v>2.3502241000000001</v>
      </c>
      <c r="AF921" s="3">
        <v>2.3322550999999998</v>
      </c>
      <c r="AG921" s="3">
        <v>2.3155844000000001</v>
      </c>
      <c r="AH921" s="3">
        <v>2.3000991000000002</v>
      </c>
      <c r="AI921" s="3">
        <v>2.2856863999999999</v>
      </c>
      <c r="AJ921" s="3">
        <v>2.2722335999999999</v>
      </c>
      <c r="AK921" s="3">
        <v>2.2596278000000001</v>
      </c>
      <c r="AL921" s="3">
        <v>2.2477562999999998</v>
      </c>
      <c r="AM921" s="3">
        <v>2.2365062999999998</v>
      </c>
      <c r="AN921" s="3">
        <v>2.2257649000000002</v>
      </c>
      <c r="AO921" s="3">
        <v>2.2154329000000001</v>
      </c>
      <c r="AP921" s="3">
        <v>2.2054703999999998</v>
      </c>
      <c r="AQ921" s="3">
        <v>2.1958538999999999</v>
      </c>
      <c r="AR921" s="3">
        <v>2.1865598999999998</v>
      </c>
      <c r="AS921" s="3">
        <v>2.177565</v>
      </c>
      <c r="AT921" s="3">
        <v>2.1688456999999999</v>
      </c>
      <c r="AU921" s="3">
        <v>2.1603786</v>
      </c>
      <c r="AV921" s="3">
        <v>2.1521401999999998</v>
      </c>
      <c r="AW921" s="3">
        <v>2.144107</v>
      </c>
      <c r="AX921" s="3">
        <v>2.1362554999999999</v>
      </c>
      <c r="AY921" s="3">
        <v>2.1285623</v>
      </c>
      <c r="AZ921" s="3">
        <v>2.1210040000000001</v>
      </c>
      <c r="BA921" s="3">
        <v>2.1135625999999998</v>
      </c>
      <c r="BB921" s="3">
        <v>2.1062455</v>
      </c>
      <c r="BC921" s="3">
        <v>2.0990668000000001</v>
      </c>
      <c r="BD921" s="3">
        <v>2.0920405999999998</v>
      </c>
      <c r="BE921" s="3">
        <v>2.085181</v>
      </c>
      <c r="BF921" s="3">
        <v>2.0785021000000001</v>
      </c>
      <c r="BG921" s="3">
        <v>2.0720181000000002</v>
      </c>
      <c r="BH921" s="3">
        <v>2.0657431000000002</v>
      </c>
      <c r="BI921" s="3">
        <v>2.0596912000000001</v>
      </c>
      <c r="BJ921" s="3">
        <v>2.0538766000000002</v>
      </c>
      <c r="BK921" s="3">
        <v>2.0483132999999998</v>
      </c>
      <c r="BL921" s="3">
        <v>2.0430155000000001</v>
      </c>
      <c r="BM921" s="3">
        <v>2.0172056999999999</v>
      </c>
      <c r="BN921" s="3">
        <v>2.0021513</v>
      </c>
    </row>
    <row r="922" spans="1:66" x14ac:dyDescent="0.35">
      <c r="A922" s="5">
        <f t="shared" si="14"/>
        <v>44746</v>
      </c>
      <c r="B922" t="s">
        <v>2255</v>
      </c>
      <c r="C922" s="2">
        <v>1.25</v>
      </c>
      <c r="D922" s="2">
        <v>1.1901999999999999</v>
      </c>
      <c r="E922" s="3">
        <v>1.3613289</v>
      </c>
      <c r="F922" s="3">
        <v>1.7531779999999999</v>
      </c>
      <c r="G922" s="3">
        <v>2.0719542999999998</v>
      </c>
      <c r="H922" s="3">
        <v>2.3368731999999999</v>
      </c>
      <c r="I922" s="3">
        <v>2.5583225999999999</v>
      </c>
      <c r="J922" s="3">
        <v>2.7334113000000002</v>
      </c>
      <c r="K922" s="3">
        <v>2.8598199000000002</v>
      </c>
      <c r="L922" s="3">
        <v>2.9415019</v>
      </c>
      <c r="M922" s="3">
        <v>2.9837920000000002</v>
      </c>
      <c r="N922" s="3">
        <v>2.9962373000000002</v>
      </c>
      <c r="O922" s="3">
        <v>2.9860720999999999</v>
      </c>
      <c r="P922" s="3">
        <v>2.9606264000000002</v>
      </c>
      <c r="Q922" s="3">
        <v>2.9282129000000001</v>
      </c>
      <c r="R922" s="3">
        <v>2.8916607000000001</v>
      </c>
      <c r="S922" s="3">
        <v>2.8522582000000001</v>
      </c>
      <c r="T922" s="3">
        <v>2.8112938000000001</v>
      </c>
      <c r="U922" s="3">
        <v>2.7700559999999999</v>
      </c>
      <c r="V922" s="3">
        <v>2.7298331999999998</v>
      </c>
      <c r="W922" s="3">
        <v>2.6917198999999998</v>
      </c>
      <c r="X922" s="3">
        <v>2.6559115000000002</v>
      </c>
      <c r="Y922" s="3">
        <v>2.6223429</v>
      </c>
      <c r="Z922" s="3">
        <v>2.5909487000000002</v>
      </c>
      <c r="AA922" s="3">
        <v>2.5616637</v>
      </c>
      <c r="AB922" s="3">
        <v>2.5344226999999999</v>
      </c>
      <c r="AC922" s="3">
        <v>2.5091524999999999</v>
      </c>
      <c r="AD922" s="3">
        <v>2.4857447000000001</v>
      </c>
      <c r="AE922" s="3">
        <v>2.4640811</v>
      </c>
      <c r="AF922" s="3">
        <v>2.4440439</v>
      </c>
      <c r="AG922" s="3">
        <v>2.4255148000000002</v>
      </c>
      <c r="AH922" s="3">
        <v>2.4083758</v>
      </c>
      <c r="AI922" s="3">
        <v>2.3925087999999999</v>
      </c>
      <c r="AJ922" s="3">
        <v>2.3777957999999999</v>
      </c>
      <c r="AK922" s="3">
        <v>2.3641187000000001</v>
      </c>
      <c r="AL922" s="3">
        <v>2.3513595</v>
      </c>
      <c r="AM922" s="3">
        <v>2.3393999999999999</v>
      </c>
      <c r="AN922" s="3">
        <v>2.3281222000000001</v>
      </c>
      <c r="AO922" s="3">
        <v>2.3174201999999999</v>
      </c>
      <c r="AP922" s="3">
        <v>2.3072423</v>
      </c>
      <c r="AQ922" s="3">
        <v>2.2975515999999998</v>
      </c>
      <c r="AR922" s="3">
        <v>2.2883111999999999</v>
      </c>
      <c r="AS922" s="3">
        <v>2.2794843</v>
      </c>
      <c r="AT922" s="3">
        <v>2.2710338999999999</v>
      </c>
      <c r="AU922" s="3">
        <v>2.2629231999999999</v>
      </c>
      <c r="AV922" s="3">
        <v>2.2551152999999999</v>
      </c>
      <c r="AW922" s="3">
        <v>2.2475733</v>
      </c>
      <c r="AX922" s="3">
        <v>2.2402603000000001</v>
      </c>
      <c r="AY922" s="3">
        <v>2.2331395999999999</v>
      </c>
      <c r="AZ922" s="3">
        <v>2.2261741000000002</v>
      </c>
      <c r="BA922" s="3">
        <v>2.2193328999999999</v>
      </c>
      <c r="BB922" s="3">
        <v>2.2126166999999999</v>
      </c>
      <c r="BC922" s="3">
        <v>2.2060369</v>
      </c>
      <c r="BD922" s="3">
        <v>2.1996047999999999</v>
      </c>
      <c r="BE922" s="3">
        <v>2.1933316999999999</v>
      </c>
      <c r="BF922" s="3">
        <v>2.1872289999999999</v>
      </c>
      <c r="BG922" s="3">
        <v>2.1813080999999999</v>
      </c>
      <c r="BH922" s="3">
        <v>2.1755802000000002</v>
      </c>
      <c r="BI922" s="3">
        <v>2.1700566999999999</v>
      </c>
      <c r="BJ922" s="3">
        <v>2.164749</v>
      </c>
      <c r="BK922" s="3">
        <v>2.1596685</v>
      </c>
      <c r="BL922" s="3">
        <v>2.1548264000000001</v>
      </c>
      <c r="BM922" s="3">
        <v>2.1311325000000001</v>
      </c>
      <c r="BN922" s="3">
        <v>2.1171384</v>
      </c>
    </row>
    <row r="923" spans="1:66" x14ac:dyDescent="0.35">
      <c r="A923" s="5">
        <f t="shared" si="14"/>
        <v>44747</v>
      </c>
      <c r="B923" t="s">
        <v>2256</v>
      </c>
      <c r="C923" s="2">
        <v>1.25</v>
      </c>
      <c r="D923" s="2">
        <v>1.1907000000000001</v>
      </c>
      <c r="E923" s="3">
        <v>1.3765953</v>
      </c>
      <c r="F923" s="3">
        <v>1.7513799999999999</v>
      </c>
      <c r="G923" s="3">
        <v>2.0516279000000002</v>
      </c>
      <c r="H923" s="3">
        <v>2.2939428999999998</v>
      </c>
      <c r="I923" s="3">
        <v>2.4889245999999998</v>
      </c>
      <c r="J923" s="3">
        <v>2.6388338</v>
      </c>
      <c r="K923" s="3">
        <v>2.7451162</v>
      </c>
      <c r="L923" s="3">
        <v>2.8131146999999999</v>
      </c>
      <c r="M923" s="3">
        <v>2.8491814</v>
      </c>
      <c r="N923" s="3">
        <v>2.8609836999999998</v>
      </c>
      <c r="O923" s="3">
        <v>2.853869</v>
      </c>
      <c r="P923" s="3">
        <v>2.8327816000000001</v>
      </c>
      <c r="Q923" s="3">
        <v>2.8024441000000002</v>
      </c>
      <c r="R923" s="3">
        <v>2.765212</v>
      </c>
      <c r="S923" s="3">
        <v>2.7228279</v>
      </c>
      <c r="T923" s="3">
        <v>2.6770347999999999</v>
      </c>
      <c r="U923" s="3">
        <v>2.6295753999999998</v>
      </c>
      <c r="V923" s="3">
        <v>2.5821925000000001</v>
      </c>
      <c r="W923" s="3">
        <v>2.5364129000000002</v>
      </c>
      <c r="X923" s="3">
        <v>2.4927622999999999</v>
      </c>
      <c r="Y923" s="3">
        <v>2.4514762999999999</v>
      </c>
      <c r="Z923" s="3">
        <v>2.4127904</v>
      </c>
      <c r="AA923" s="3">
        <v>2.3769399</v>
      </c>
      <c r="AB923" s="3">
        <v>2.3441603999999998</v>
      </c>
      <c r="AC923" s="3">
        <v>2.3146176000000001</v>
      </c>
      <c r="AD923" s="3">
        <v>2.2881689000000001</v>
      </c>
      <c r="AE923" s="3">
        <v>2.2645865000000001</v>
      </c>
      <c r="AF923" s="3">
        <v>2.2436430000000001</v>
      </c>
      <c r="AG923" s="3">
        <v>2.2251105</v>
      </c>
      <c r="AH923" s="3">
        <v>2.2087615</v>
      </c>
      <c r="AI923" s="3">
        <v>2.1943682</v>
      </c>
      <c r="AJ923" s="3">
        <v>2.1817031999999998</v>
      </c>
      <c r="AK923" s="3">
        <v>2.1705386</v>
      </c>
      <c r="AL923" s="3">
        <v>2.1606469000000001</v>
      </c>
      <c r="AM923" s="3">
        <v>2.1518003999999999</v>
      </c>
      <c r="AN923" s="3">
        <v>2.1437713999999999</v>
      </c>
      <c r="AO923" s="3">
        <v>2.1363536999999999</v>
      </c>
      <c r="AP923" s="3">
        <v>2.1294559999999998</v>
      </c>
      <c r="AQ923" s="3">
        <v>2.1230256999999999</v>
      </c>
      <c r="AR923" s="3">
        <v>2.1170100000000001</v>
      </c>
      <c r="AS923" s="3">
        <v>2.1113564</v>
      </c>
      <c r="AT923" s="3">
        <v>2.1060121999999999</v>
      </c>
      <c r="AU923" s="3">
        <v>2.1009248</v>
      </c>
      <c r="AV923" s="3">
        <v>2.0960413999999998</v>
      </c>
      <c r="AW923" s="3">
        <v>2.0913096000000002</v>
      </c>
      <c r="AX923" s="3">
        <v>2.0866764999999998</v>
      </c>
      <c r="AY923" s="3">
        <v>2.0820894999999999</v>
      </c>
      <c r="AZ923" s="3">
        <v>2.0774960999999998</v>
      </c>
      <c r="BA923" s="3">
        <v>2.0728534000000001</v>
      </c>
      <c r="BB923" s="3">
        <v>2.0681664</v>
      </c>
      <c r="BC923" s="3">
        <v>2.0634549</v>
      </c>
      <c r="BD923" s="3">
        <v>2.0587384000000002</v>
      </c>
      <c r="BE923" s="3">
        <v>2.0540365999999999</v>
      </c>
      <c r="BF923" s="3">
        <v>2.0493692000000001</v>
      </c>
      <c r="BG923" s="3">
        <v>2.0447557999999999</v>
      </c>
      <c r="BH923" s="3">
        <v>2.0402160999999999</v>
      </c>
      <c r="BI923" s="3">
        <v>2.0357696000000001</v>
      </c>
      <c r="BJ923" s="3">
        <v>2.0314361999999999</v>
      </c>
      <c r="BK923" s="3">
        <v>2.0272353999999999</v>
      </c>
      <c r="BL923" s="3">
        <v>2.0231868999999998</v>
      </c>
      <c r="BM923" s="3">
        <v>2.0027029000000001</v>
      </c>
      <c r="BN923" s="3">
        <v>1.9896745</v>
      </c>
    </row>
    <row r="924" spans="1:66" x14ac:dyDescent="0.35">
      <c r="A924" s="5">
        <f t="shared" si="14"/>
        <v>44748</v>
      </c>
      <c r="B924" t="s">
        <v>2257</v>
      </c>
      <c r="C924" s="2">
        <v>1.25</v>
      </c>
      <c r="D924" s="2">
        <v>1.1908000000000001</v>
      </c>
      <c r="E924" s="3">
        <v>1.3948434000000001</v>
      </c>
      <c r="F924" s="3">
        <v>1.7512061000000001</v>
      </c>
      <c r="G924" s="3">
        <v>2.0500113</v>
      </c>
      <c r="H924" s="3">
        <v>2.2986536000000002</v>
      </c>
      <c r="I924" s="3">
        <v>2.5008436000000001</v>
      </c>
      <c r="J924" s="3">
        <v>2.6560709999999998</v>
      </c>
      <c r="K924" s="3">
        <v>2.7659969000000002</v>
      </c>
      <c r="L924" s="3">
        <v>2.8366535000000002</v>
      </c>
      <c r="M924" s="3">
        <v>2.8761461000000001</v>
      </c>
      <c r="N924" s="3">
        <v>2.8922260999999998</v>
      </c>
      <c r="O924" s="3">
        <v>2.8908716999999999</v>
      </c>
      <c r="P924" s="3">
        <v>2.8764411000000001</v>
      </c>
      <c r="Q924" s="3">
        <v>2.8535306999999999</v>
      </c>
      <c r="R924" s="3">
        <v>2.8241741999999999</v>
      </c>
      <c r="S924" s="3">
        <v>2.7896695999999999</v>
      </c>
      <c r="T924" s="3">
        <v>2.7513147999999998</v>
      </c>
      <c r="U924" s="3">
        <v>2.7104075999999999</v>
      </c>
      <c r="V924" s="3">
        <v>2.6682459999999999</v>
      </c>
      <c r="W924" s="3">
        <v>2.6260346999999999</v>
      </c>
      <c r="X924" s="3">
        <v>2.5844513</v>
      </c>
      <c r="Y924" s="3">
        <v>2.5439875000000001</v>
      </c>
      <c r="Z924" s="3">
        <v>2.5051350999999999</v>
      </c>
      <c r="AA924" s="3">
        <v>2.4683858999999999</v>
      </c>
      <c r="AB924" s="3">
        <v>2.4342315999999999</v>
      </c>
      <c r="AC924" s="3">
        <v>2.4030800000000001</v>
      </c>
      <c r="AD924" s="3">
        <v>2.3748868000000001</v>
      </c>
      <c r="AE924" s="3">
        <v>2.3494560999999998</v>
      </c>
      <c r="AF924" s="3">
        <v>2.3265918999999999</v>
      </c>
      <c r="AG924" s="3">
        <v>2.3060982999999999</v>
      </c>
      <c r="AH924" s="3">
        <v>2.2877792000000001</v>
      </c>
      <c r="AI924" s="3">
        <v>2.2714387999999999</v>
      </c>
      <c r="AJ924" s="3">
        <v>2.2568809999999999</v>
      </c>
      <c r="AK924" s="3">
        <v>2.2439098999999998</v>
      </c>
      <c r="AL924" s="3">
        <v>2.2323295000000001</v>
      </c>
      <c r="AM924" s="3">
        <v>2.2219437000000002</v>
      </c>
      <c r="AN924" s="3">
        <v>2.2125568000000002</v>
      </c>
      <c r="AO924" s="3">
        <v>2.2039889000000001</v>
      </c>
      <c r="AP924" s="3">
        <v>2.1961396999999998</v>
      </c>
      <c r="AQ924" s="3">
        <v>2.188933</v>
      </c>
      <c r="AR924" s="3">
        <v>2.1822927000000001</v>
      </c>
      <c r="AS924" s="3">
        <v>2.1761425999999999</v>
      </c>
      <c r="AT924" s="3">
        <v>2.1704064000000001</v>
      </c>
      <c r="AU924" s="3">
        <v>2.1650081000000001</v>
      </c>
      <c r="AV924" s="3">
        <v>2.1598714999999999</v>
      </c>
      <c r="AW924" s="3">
        <v>2.1549201999999998</v>
      </c>
      <c r="AX924" s="3">
        <v>2.1500783000000001</v>
      </c>
      <c r="AY924" s="3">
        <v>2.1452694999999999</v>
      </c>
      <c r="AZ924" s="3">
        <v>2.1404174999999999</v>
      </c>
      <c r="BA924" s="3">
        <v>2.1354612999999998</v>
      </c>
      <c r="BB924" s="3">
        <v>2.1304056999999998</v>
      </c>
      <c r="BC924" s="3">
        <v>2.1252737000000002</v>
      </c>
      <c r="BD924" s="3">
        <v>2.1200885999999999</v>
      </c>
      <c r="BE924" s="3">
        <v>2.1148733000000002</v>
      </c>
      <c r="BF924" s="3">
        <v>2.1096509999999999</v>
      </c>
      <c r="BG924" s="3">
        <v>2.1044448999999998</v>
      </c>
      <c r="BH924" s="3">
        <v>2.0992779000000001</v>
      </c>
      <c r="BI924" s="3">
        <v>2.0941732000000002</v>
      </c>
      <c r="BJ924" s="3">
        <v>2.0891540000000002</v>
      </c>
      <c r="BK924" s="3">
        <v>2.0842432999999998</v>
      </c>
      <c r="BL924" s="3">
        <v>2.0794641999999999</v>
      </c>
      <c r="BM924" s="3">
        <v>2.0544191999999999</v>
      </c>
      <c r="BN924" s="3">
        <v>2.0373367999999998</v>
      </c>
    </row>
    <row r="925" spans="1:66" x14ac:dyDescent="0.35">
      <c r="A925" s="5">
        <f t="shared" si="14"/>
        <v>44749</v>
      </c>
      <c r="B925" t="s">
        <v>2258</v>
      </c>
      <c r="C925" s="2">
        <v>1.25</v>
      </c>
      <c r="D925" s="2">
        <v>1.1904999999999999</v>
      </c>
      <c r="E925" s="3">
        <v>1.415494</v>
      </c>
      <c r="F925" s="3">
        <v>1.7939098</v>
      </c>
      <c r="G925" s="3">
        <v>2.1113004000000002</v>
      </c>
      <c r="H925" s="3">
        <v>2.3721722000000001</v>
      </c>
      <c r="I925" s="3">
        <v>2.5821846000000002</v>
      </c>
      <c r="J925" s="3">
        <v>2.743274</v>
      </c>
      <c r="K925" s="3">
        <v>2.8610066000000001</v>
      </c>
      <c r="L925" s="3">
        <v>2.9409272</v>
      </c>
      <c r="M925" s="3">
        <v>2.9906850999999999</v>
      </c>
      <c r="N925" s="3">
        <v>3.0156231999999998</v>
      </c>
      <c r="O925" s="3">
        <v>3.0215312000000001</v>
      </c>
      <c r="P925" s="3">
        <v>3.0125481999999999</v>
      </c>
      <c r="Q925" s="3">
        <v>2.9937216000000002</v>
      </c>
      <c r="R925" s="3">
        <v>2.9673264000000001</v>
      </c>
      <c r="S925" s="3">
        <v>2.9347750000000001</v>
      </c>
      <c r="T925" s="3">
        <v>2.8974799</v>
      </c>
      <c r="U925" s="3">
        <v>2.8568536</v>
      </c>
      <c r="V925" s="3">
        <v>2.8143087000000002</v>
      </c>
      <c r="W925" s="3">
        <v>2.7711469000000002</v>
      </c>
      <c r="X925" s="3">
        <v>2.7281029999999999</v>
      </c>
      <c r="Y925" s="3">
        <v>2.6857305999999999</v>
      </c>
      <c r="Z925" s="3">
        <v>2.6445835</v>
      </c>
      <c r="AA925" s="3">
        <v>2.6052152</v>
      </c>
      <c r="AB925" s="3">
        <v>2.5681791999999999</v>
      </c>
      <c r="AC925" s="3">
        <v>2.5339304999999999</v>
      </c>
      <c r="AD925" s="3">
        <v>2.5024429000000001</v>
      </c>
      <c r="AE925" s="3">
        <v>2.4735436000000002</v>
      </c>
      <c r="AF925" s="3">
        <v>2.4470602000000001</v>
      </c>
      <c r="AG925" s="3">
        <v>2.4228200000000002</v>
      </c>
      <c r="AH925" s="3">
        <v>2.4006501999999998</v>
      </c>
      <c r="AI925" s="3">
        <v>2.3803784000000001</v>
      </c>
      <c r="AJ925" s="3">
        <v>2.3618318</v>
      </c>
      <c r="AK925" s="3">
        <v>2.3448378000000001</v>
      </c>
      <c r="AL925" s="3">
        <v>2.3292237999999998</v>
      </c>
      <c r="AM925" s="3">
        <v>2.3148171999999998</v>
      </c>
      <c r="AN925" s="3">
        <v>2.3014451999999999</v>
      </c>
      <c r="AO925" s="3">
        <v>2.2889503000000002</v>
      </c>
      <c r="AP925" s="3">
        <v>2.2772408</v>
      </c>
      <c r="AQ925" s="3">
        <v>2.2662434</v>
      </c>
      <c r="AR925" s="3">
        <v>2.2558848999999999</v>
      </c>
      <c r="AS925" s="3">
        <v>2.2460919000000001</v>
      </c>
      <c r="AT925" s="3">
        <v>2.2367910000000002</v>
      </c>
      <c r="AU925" s="3">
        <v>2.2279089000000001</v>
      </c>
      <c r="AV925" s="3">
        <v>2.2193722999999999</v>
      </c>
      <c r="AW925" s="3">
        <v>2.2111079</v>
      </c>
      <c r="AX925" s="3">
        <v>2.2030422999999999</v>
      </c>
      <c r="AY925" s="3">
        <v>2.1951022999999998</v>
      </c>
      <c r="AZ925" s="3">
        <v>2.1872143999999998</v>
      </c>
      <c r="BA925" s="3">
        <v>2.1793200000000001</v>
      </c>
      <c r="BB925" s="3">
        <v>2.1714245999999999</v>
      </c>
      <c r="BC925" s="3">
        <v>2.1635515000000001</v>
      </c>
      <c r="BD925" s="3">
        <v>2.1557241</v>
      </c>
      <c r="BE925" s="3">
        <v>2.1479658000000001</v>
      </c>
      <c r="BF925" s="3">
        <v>2.1402999</v>
      </c>
      <c r="BG925" s="3">
        <v>2.1327495999999999</v>
      </c>
      <c r="BH925" s="3">
        <v>2.1253384</v>
      </c>
      <c r="BI925" s="3">
        <v>2.1180895999999998</v>
      </c>
      <c r="BJ925" s="3">
        <v>2.1110264999999999</v>
      </c>
      <c r="BK925" s="3">
        <v>2.1041724999999998</v>
      </c>
      <c r="BL925" s="3">
        <v>2.0975508999999999</v>
      </c>
      <c r="BM925" s="3">
        <v>2.0634994999999998</v>
      </c>
      <c r="BN925" s="3">
        <v>2.0406078999999999</v>
      </c>
    </row>
    <row r="926" spans="1:66" x14ac:dyDescent="0.35">
      <c r="A926" s="5">
        <f t="shared" si="14"/>
        <v>44750</v>
      </c>
      <c r="B926" t="s">
        <v>2259</v>
      </c>
      <c r="C926" s="2">
        <v>1.25</v>
      </c>
      <c r="D926" s="2">
        <v>1.1909000000000001</v>
      </c>
      <c r="E926" s="3">
        <v>1.4258514</v>
      </c>
      <c r="F926" s="3">
        <v>1.7994882000000001</v>
      </c>
      <c r="G926" s="3">
        <v>2.1133988000000001</v>
      </c>
      <c r="H926" s="3">
        <v>2.3761644</v>
      </c>
      <c r="I926" s="3">
        <v>2.5956372000000001</v>
      </c>
      <c r="J926" s="3">
        <v>2.7725133999999998</v>
      </c>
      <c r="K926" s="3">
        <v>2.9086865</v>
      </c>
      <c r="L926" s="3">
        <v>3.0077235999999998</v>
      </c>
      <c r="M926" s="3">
        <v>3.0755335000000001</v>
      </c>
      <c r="N926" s="3">
        <v>3.1168923999999998</v>
      </c>
      <c r="O926" s="3">
        <v>3.1368364999999998</v>
      </c>
      <c r="P926" s="3">
        <v>3.1395046</v>
      </c>
      <c r="Q926" s="3">
        <v>3.1295899999999999</v>
      </c>
      <c r="R926" s="3">
        <v>3.109683</v>
      </c>
      <c r="S926" s="3">
        <v>3.0816170000000001</v>
      </c>
      <c r="T926" s="3">
        <v>3.0472252000000002</v>
      </c>
      <c r="U926" s="3">
        <v>3.0083407000000002</v>
      </c>
      <c r="V926" s="3">
        <v>2.9667967000000002</v>
      </c>
      <c r="W926" s="3">
        <v>2.9242468000000001</v>
      </c>
      <c r="X926" s="3">
        <v>2.8815107000000002</v>
      </c>
      <c r="Y926" s="3">
        <v>2.8391668999999999</v>
      </c>
      <c r="Z926" s="3">
        <v>2.7977935999999999</v>
      </c>
      <c r="AA926" s="3">
        <v>2.7579691999999998</v>
      </c>
      <c r="AB926" s="3">
        <v>2.7202719000000002</v>
      </c>
      <c r="AC926" s="3">
        <v>2.6851696999999999</v>
      </c>
      <c r="AD926" s="3">
        <v>2.6526423000000001</v>
      </c>
      <c r="AE926" s="3">
        <v>2.6225352000000002</v>
      </c>
      <c r="AF926" s="3">
        <v>2.5946937000000001</v>
      </c>
      <c r="AG926" s="3">
        <v>2.5689630999999999</v>
      </c>
      <c r="AH926" s="3">
        <v>2.5451888</v>
      </c>
      <c r="AI926" s="3">
        <v>2.5232161999999998</v>
      </c>
      <c r="AJ926" s="3">
        <v>2.5028904999999999</v>
      </c>
      <c r="AK926" s="3">
        <v>2.4840570999999998</v>
      </c>
      <c r="AL926" s="3">
        <v>2.4665613999999998</v>
      </c>
      <c r="AM926" s="3">
        <v>2.4502486000000001</v>
      </c>
      <c r="AN926" s="3">
        <v>2.4349642999999999</v>
      </c>
      <c r="AO926" s="3">
        <v>2.4205670000000001</v>
      </c>
      <c r="AP926" s="3">
        <v>2.4069752000000002</v>
      </c>
      <c r="AQ926" s="3">
        <v>2.3941233</v>
      </c>
      <c r="AR926" s="3">
        <v>2.3819461999999998</v>
      </c>
      <c r="AS926" s="3">
        <v>2.3703785000000002</v>
      </c>
      <c r="AT926" s="3">
        <v>2.3593546999999999</v>
      </c>
      <c r="AU926" s="3">
        <v>2.3488096000000001</v>
      </c>
      <c r="AV926" s="3">
        <v>2.3386776999999999</v>
      </c>
      <c r="AW926" s="3">
        <v>2.3288937999999999</v>
      </c>
      <c r="AX926" s="3">
        <v>2.3193926</v>
      </c>
      <c r="AY926" s="3">
        <v>2.3101085000000001</v>
      </c>
      <c r="AZ926" s="3">
        <v>2.3009764000000001</v>
      </c>
      <c r="BA926" s="3">
        <v>2.2919434000000001</v>
      </c>
      <c r="BB926" s="3">
        <v>2.2830121999999999</v>
      </c>
      <c r="BC926" s="3">
        <v>2.2742008</v>
      </c>
      <c r="BD926" s="3">
        <v>2.2655273999999999</v>
      </c>
      <c r="BE926" s="3">
        <v>2.2570098000000001</v>
      </c>
      <c r="BF926" s="3">
        <v>2.2486660999999999</v>
      </c>
      <c r="BG926" s="3">
        <v>2.2405143999999999</v>
      </c>
      <c r="BH926" s="3">
        <v>2.2325726000000001</v>
      </c>
      <c r="BI926" s="3">
        <v>2.2248587</v>
      </c>
      <c r="BJ926" s="3">
        <v>2.2173908999999998</v>
      </c>
      <c r="BK926" s="3">
        <v>2.2101871000000002</v>
      </c>
      <c r="BL926" s="3">
        <v>2.2032653</v>
      </c>
      <c r="BM926" s="3">
        <v>2.1682885000000001</v>
      </c>
      <c r="BN926" s="3">
        <v>2.1457133000000002</v>
      </c>
    </row>
    <row r="927" spans="1:66" x14ac:dyDescent="0.35">
      <c r="A927" s="5">
        <f t="shared" si="14"/>
        <v>44753</v>
      </c>
      <c r="B927" t="s">
        <v>2260</v>
      </c>
      <c r="C927" s="2">
        <v>1.25</v>
      </c>
      <c r="D927" s="2">
        <v>1.1909000000000001</v>
      </c>
      <c r="E927" s="3">
        <v>1.4710093</v>
      </c>
      <c r="F927" s="3">
        <v>1.8203358999999999</v>
      </c>
      <c r="G927" s="3">
        <v>2.1155005</v>
      </c>
      <c r="H927" s="3">
        <v>2.3559302</v>
      </c>
      <c r="I927" s="3">
        <v>2.5493893000000001</v>
      </c>
      <c r="J927" s="3">
        <v>2.7000378999999999</v>
      </c>
      <c r="K927" s="3">
        <v>2.8116205999999999</v>
      </c>
      <c r="L927" s="3">
        <v>2.8908885</v>
      </c>
      <c r="M927" s="3">
        <v>2.9432071</v>
      </c>
      <c r="N927" s="3">
        <v>2.9748413999999999</v>
      </c>
      <c r="O927" s="3">
        <v>2.9894923000000002</v>
      </c>
      <c r="P927" s="3">
        <v>2.9906866000000001</v>
      </c>
      <c r="Q927" s="3">
        <v>2.9819827000000001</v>
      </c>
      <c r="R927" s="3">
        <v>2.9651592</v>
      </c>
      <c r="S927" s="3">
        <v>2.9415258</v>
      </c>
      <c r="T927" s="3">
        <v>2.9123920999999999</v>
      </c>
      <c r="U927" s="3">
        <v>2.8790678000000001</v>
      </c>
      <c r="V927" s="3">
        <v>2.8428627</v>
      </c>
      <c r="W927" s="3">
        <v>2.8049952</v>
      </c>
      <c r="X927" s="3">
        <v>2.7662605999999998</v>
      </c>
      <c r="Y927" s="3">
        <v>2.7273318999999998</v>
      </c>
      <c r="Z927" s="3">
        <v>2.6888817</v>
      </c>
      <c r="AA927" s="3">
        <v>2.651583</v>
      </c>
      <c r="AB927" s="3">
        <v>2.6161083999999999</v>
      </c>
      <c r="AC927" s="3">
        <v>2.5830095000000002</v>
      </c>
      <c r="AD927" s="3">
        <v>2.5523023</v>
      </c>
      <c r="AE927" s="3">
        <v>2.5238550000000002</v>
      </c>
      <c r="AF927" s="3">
        <v>2.4975360000000002</v>
      </c>
      <c r="AG927" s="3">
        <v>2.4732135</v>
      </c>
      <c r="AH927" s="3">
        <v>2.4507557000000002</v>
      </c>
      <c r="AI927" s="3">
        <v>2.4300309000000002</v>
      </c>
      <c r="AJ927" s="3">
        <v>2.4109074000000001</v>
      </c>
      <c r="AK927" s="3">
        <v>2.3932533999999999</v>
      </c>
      <c r="AL927" s="3">
        <v>2.3769372999999998</v>
      </c>
      <c r="AM927" s="3">
        <v>2.3618272</v>
      </c>
      <c r="AN927" s="3">
        <v>2.3477914000000002</v>
      </c>
      <c r="AO927" s="3">
        <v>2.3347074999999999</v>
      </c>
      <c r="AP927" s="3">
        <v>2.3224936999999999</v>
      </c>
      <c r="AQ927" s="3">
        <v>2.3110795</v>
      </c>
      <c r="AR927" s="3">
        <v>2.3003944999999999</v>
      </c>
      <c r="AS927" s="3">
        <v>2.290368</v>
      </c>
      <c r="AT927" s="3">
        <v>2.2809298</v>
      </c>
      <c r="AU927" s="3">
        <v>2.2720091999999998</v>
      </c>
      <c r="AV927" s="3">
        <v>2.2635358000000001</v>
      </c>
      <c r="AW927" s="3">
        <v>2.2554390999999998</v>
      </c>
      <c r="AX927" s="3">
        <v>2.2476486000000002</v>
      </c>
      <c r="AY927" s="3">
        <v>2.2400937999999999</v>
      </c>
      <c r="AZ927" s="3">
        <v>2.2327043</v>
      </c>
      <c r="BA927" s="3">
        <v>2.2254200000000002</v>
      </c>
      <c r="BB927" s="3">
        <v>2.2182379999999999</v>
      </c>
      <c r="BC927" s="3">
        <v>2.2111740000000002</v>
      </c>
      <c r="BD927" s="3">
        <v>2.2042440999999999</v>
      </c>
      <c r="BE927" s="3">
        <v>2.1974640999999999</v>
      </c>
      <c r="BF927" s="3">
        <v>2.1908500000000002</v>
      </c>
      <c r="BG927" s="3">
        <v>2.1844177</v>
      </c>
      <c r="BH927" s="3">
        <v>2.1781831</v>
      </c>
      <c r="BI927" s="3">
        <v>2.1721623000000001</v>
      </c>
      <c r="BJ927" s="3">
        <v>2.1663709999999998</v>
      </c>
      <c r="BK927" s="3">
        <v>2.1608252000000001</v>
      </c>
      <c r="BL927" s="3">
        <v>2.1555409000000001</v>
      </c>
      <c r="BM927" s="3">
        <v>2.1298024</v>
      </c>
      <c r="BN927" s="3">
        <v>2.1149437</v>
      </c>
    </row>
    <row r="928" spans="1:66" x14ac:dyDescent="0.35">
      <c r="A928" s="5">
        <f t="shared" si="14"/>
        <v>44754</v>
      </c>
      <c r="B928" t="s">
        <v>2261</v>
      </c>
      <c r="C928" s="2">
        <v>1.25</v>
      </c>
      <c r="D928" s="2">
        <v>1.1909000000000001</v>
      </c>
      <c r="E928" s="3">
        <v>1.4817454999999999</v>
      </c>
      <c r="F928" s="3">
        <v>1.8231351</v>
      </c>
      <c r="G928" s="3">
        <v>2.1115987999999999</v>
      </c>
      <c r="H928" s="3">
        <v>2.3414397</v>
      </c>
      <c r="I928" s="3">
        <v>2.5179064000000002</v>
      </c>
      <c r="J928" s="3">
        <v>2.6483034000000001</v>
      </c>
      <c r="K928" s="3">
        <v>2.7389443999999998</v>
      </c>
      <c r="L928" s="3">
        <v>2.7982616999999999</v>
      </c>
      <c r="M928" s="3">
        <v>2.8334326999999999</v>
      </c>
      <c r="N928" s="3">
        <v>2.8508548</v>
      </c>
      <c r="O928" s="3">
        <v>2.8543850000000002</v>
      </c>
      <c r="P928" s="3">
        <v>2.8471877000000001</v>
      </c>
      <c r="Q928" s="3">
        <v>2.8320666999999999</v>
      </c>
      <c r="R928" s="3">
        <v>2.8103834000000001</v>
      </c>
      <c r="S928" s="3">
        <v>2.7831383999999999</v>
      </c>
      <c r="T928" s="3">
        <v>2.7513325000000002</v>
      </c>
      <c r="U928" s="3">
        <v>2.7159662999999998</v>
      </c>
      <c r="V928" s="3">
        <v>2.6780406000000001</v>
      </c>
      <c r="W928" s="3">
        <v>2.6385193999999998</v>
      </c>
      <c r="X928" s="3">
        <v>2.5981976000000002</v>
      </c>
      <c r="Y928" s="3">
        <v>2.5578207000000002</v>
      </c>
      <c r="Z928" s="3">
        <v>2.5181344000000001</v>
      </c>
      <c r="AA928" s="3">
        <v>2.4798841</v>
      </c>
      <c r="AB928" s="3">
        <v>2.4438156000000002</v>
      </c>
      <c r="AC928" s="3">
        <v>2.4105378000000002</v>
      </c>
      <c r="AD928" s="3">
        <v>2.3800566000000001</v>
      </c>
      <c r="AE928" s="3">
        <v>2.3522115000000001</v>
      </c>
      <c r="AF928" s="3">
        <v>2.3268418</v>
      </c>
      <c r="AG928" s="3">
        <v>2.3037871999999999</v>
      </c>
      <c r="AH928" s="3">
        <v>2.2828870000000001</v>
      </c>
      <c r="AI928" s="3">
        <v>2.2639806999999998</v>
      </c>
      <c r="AJ928" s="3">
        <v>2.2469077999999998</v>
      </c>
      <c r="AK928" s="3">
        <v>2.2315078000000002</v>
      </c>
      <c r="AL928" s="3">
        <v>2.2176201999999998</v>
      </c>
      <c r="AM928" s="3">
        <v>2.2050843000000002</v>
      </c>
      <c r="AN928" s="3">
        <v>2.1937397000000001</v>
      </c>
      <c r="AO928" s="3">
        <v>2.1834346</v>
      </c>
      <c r="AP928" s="3">
        <v>2.1740651</v>
      </c>
      <c r="AQ928" s="3">
        <v>2.1655429000000002</v>
      </c>
      <c r="AR928" s="3">
        <v>2.1577799</v>
      </c>
      <c r="AS928" s="3">
        <v>2.1506881</v>
      </c>
      <c r="AT928" s="3">
        <v>2.1441794000000001</v>
      </c>
      <c r="AU928" s="3">
        <v>2.1381654999999999</v>
      </c>
      <c r="AV928" s="3">
        <v>2.1325584000000002</v>
      </c>
      <c r="AW928" s="3">
        <v>2.1272698999999999</v>
      </c>
      <c r="AX928" s="3">
        <v>2.1222121</v>
      </c>
      <c r="AY928" s="3">
        <v>2.1172966</v>
      </c>
      <c r="AZ928" s="3">
        <v>2.1124355000000001</v>
      </c>
      <c r="BA928" s="3">
        <v>2.1075553999999999</v>
      </c>
      <c r="BB928" s="3">
        <v>2.1026547999999998</v>
      </c>
      <c r="BC928" s="3">
        <v>2.0977543999999999</v>
      </c>
      <c r="BD928" s="3">
        <v>2.0928745000000002</v>
      </c>
      <c r="BE928" s="3">
        <v>2.0880358000000001</v>
      </c>
      <c r="BF928" s="3">
        <v>2.0832587</v>
      </c>
      <c r="BG928" s="3">
        <v>2.0785638</v>
      </c>
      <c r="BH928" s="3">
        <v>2.0739714999999999</v>
      </c>
      <c r="BI928" s="3">
        <v>2.0695024000000002</v>
      </c>
      <c r="BJ928" s="3">
        <v>2.0651769999999998</v>
      </c>
      <c r="BK928" s="3">
        <v>2.0610157999999998</v>
      </c>
      <c r="BL928" s="3">
        <v>2.0570393999999999</v>
      </c>
      <c r="BM928" s="3">
        <v>2.0378188000000002</v>
      </c>
      <c r="BN928" s="3">
        <v>2.0280537999999999</v>
      </c>
    </row>
    <row r="929" spans="1:66" x14ac:dyDescent="0.35">
      <c r="A929" s="5">
        <f t="shared" si="14"/>
        <v>44755</v>
      </c>
      <c r="B929" t="s">
        <v>2262</v>
      </c>
      <c r="C929" s="2">
        <v>1.25</v>
      </c>
      <c r="D929" s="2">
        <v>1.1912</v>
      </c>
      <c r="E929" s="3">
        <v>1.5279019</v>
      </c>
      <c r="F929" s="3">
        <v>1.8925628999999999</v>
      </c>
      <c r="G929" s="3">
        <v>2.2102718000000001</v>
      </c>
      <c r="H929" s="3">
        <v>2.4647104999999998</v>
      </c>
      <c r="I929" s="3">
        <v>2.6558719000000002</v>
      </c>
      <c r="J929" s="3">
        <v>2.7916473000000002</v>
      </c>
      <c r="K929" s="3">
        <v>2.8815631000000002</v>
      </c>
      <c r="L929" s="3">
        <v>2.9372443000000001</v>
      </c>
      <c r="M929" s="3">
        <v>2.9688104000000002</v>
      </c>
      <c r="N929" s="3">
        <v>2.9831804000000002</v>
      </c>
      <c r="O929" s="3">
        <v>2.9843194</v>
      </c>
      <c r="P929" s="3">
        <v>2.9741857</v>
      </c>
      <c r="Q929" s="3">
        <v>2.9535271999999999</v>
      </c>
      <c r="R929" s="3">
        <v>2.9237517999999998</v>
      </c>
      <c r="S929" s="3">
        <v>2.8865039000000001</v>
      </c>
      <c r="T929" s="3">
        <v>2.8434276000000001</v>
      </c>
      <c r="U929" s="3">
        <v>2.7961672000000002</v>
      </c>
      <c r="V929" s="3">
        <v>2.7463668999999999</v>
      </c>
      <c r="W929" s="3">
        <v>2.6955732000000001</v>
      </c>
      <c r="X929" s="3">
        <v>2.6447783</v>
      </c>
      <c r="Y929" s="3">
        <v>2.5947798999999998</v>
      </c>
      <c r="Z929" s="3">
        <v>2.5463754999999999</v>
      </c>
      <c r="AA929" s="3">
        <v>2.5003622000000001</v>
      </c>
      <c r="AB929" s="3">
        <v>2.4575376000000002</v>
      </c>
      <c r="AC929" s="3">
        <v>2.4185698000000002</v>
      </c>
      <c r="AD929" s="3">
        <v>2.3834312999999998</v>
      </c>
      <c r="AE929" s="3">
        <v>2.3518612000000001</v>
      </c>
      <c r="AF929" s="3">
        <v>2.3235986</v>
      </c>
      <c r="AG929" s="3">
        <v>2.2983826000000001</v>
      </c>
      <c r="AH929" s="3">
        <v>2.2759523000000002</v>
      </c>
      <c r="AI929" s="3">
        <v>2.2560467000000002</v>
      </c>
      <c r="AJ929" s="3">
        <v>2.2384048999999999</v>
      </c>
      <c r="AK929" s="3">
        <v>2.2227659000000002</v>
      </c>
      <c r="AL929" s="3">
        <v>2.2088687</v>
      </c>
      <c r="AM929" s="3">
        <v>2.1964524999999999</v>
      </c>
      <c r="AN929" s="3">
        <v>2.1852562999999998</v>
      </c>
      <c r="AO929" s="3">
        <v>2.1750425999999998</v>
      </c>
      <c r="AP929" s="3">
        <v>2.1656884000000001</v>
      </c>
      <c r="AQ929" s="3">
        <v>2.1571056</v>
      </c>
      <c r="AR929" s="3">
        <v>2.1492059000000001</v>
      </c>
      <c r="AS929" s="3">
        <v>2.1419011999999999</v>
      </c>
      <c r="AT929" s="3">
        <v>2.1351032000000001</v>
      </c>
      <c r="AU929" s="3">
        <v>2.1287237999999999</v>
      </c>
      <c r="AV929" s="3">
        <v>2.1226748999999998</v>
      </c>
      <c r="AW929" s="3">
        <v>2.1168681</v>
      </c>
      <c r="AX929" s="3">
        <v>2.1112153999999999</v>
      </c>
      <c r="AY929" s="3">
        <v>2.1056286000000002</v>
      </c>
      <c r="AZ929" s="3">
        <v>2.1000193999999999</v>
      </c>
      <c r="BA929" s="3">
        <v>2.0943168000000001</v>
      </c>
      <c r="BB929" s="3">
        <v>2.0885248999999999</v>
      </c>
      <c r="BC929" s="3">
        <v>2.0826685</v>
      </c>
      <c r="BD929" s="3">
        <v>2.0767726</v>
      </c>
      <c r="BE929" s="3">
        <v>2.0708620999999998</v>
      </c>
      <c r="BF929" s="3">
        <v>2.0649617999999998</v>
      </c>
      <c r="BG929" s="3">
        <v>2.0590967</v>
      </c>
      <c r="BH929" s="3">
        <v>2.0532916999999999</v>
      </c>
      <c r="BI929" s="3">
        <v>2.0475715999999999</v>
      </c>
      <c r="BJ929" s="3">
        <v>2.0419613000000001</v>
      </c>
      <c r="BK929" s="3">
        <v>2.0364859000000002</v>
      </c>
      <c r="BL929" s="3">
        <v>2.0311699999999999</v>
      </c>
      <c r="BM929" s="3">
        <v>2.0035460999999999</v>
      </c>
      <c r="BN929" s="3">
        <v>1.9850568</v>
      </c>
    </row>
    <row r="930" spans="1:66" x14ac:dyDescent="0.35">
      <c r="A930" s="5">
        <f t="shared" si="14"/>
        <v>44756</v>
      </c>
      <c r="B930" t="s">
        <v>2263</v>
      </c>
      <c r="C930" s="2">
        <v>1.25</v>
      </c>
      <c r="D930" s="2">
        <v>1.1911</v>
      </c>
      <c r="E930" s="3">
        <v>1.5655494000000001</v>
      </c>
      <c r="F930" s="3">
        <v>1.9447227</v>
      </c>
      <c r="G930" s="3">
        <v>2.2774211000000002</v>
      </c>
      <c r="H930" s="3">
        <v>2.5507521</v>
      </c>
      <c r="I930" s="3">
        <v>2.7634566</v>
      </c>
      <c r="J930" s="3">
        <v>2.9160026999999999</v>
      </c>
      <c r="K930" s="3">
        <v>3.0144058999999999</v>
      </c>
      <c r="L930" s="3">
        <v>3.0679400000000001</v>
      </c>
      <c r="M930" s="3">
        <v>3.0896678</v>
      </c>
      <c r="N930" s="3">
        <v>3.0903524</v>
      </c>
      <c r="O930" s="3">
        <v>3.0771405999999999</v>
      </c>
      <c r="P930" s="3">
        <v>3.0547770000000001</v>
      </c>
      <c r="Q930" s="3">
        <v>3.0272694000000002</v>
      </c>
      <c r="R930" s="3">
        <v>2.9958059000000001</v>
      </c>
      <c r="S930" s="3">
        <v>2.9608359000000002</v>
      </c>
      <c r="T930" s="3">
        <v>2.922809</v>
      </c>
      <c r="U930" s="3">
        <v>2.8821748</v>
      </c>
      <c r="V930" s="3">
        <v>2.8393826</v>
      </c>
      <c r="W930" s="3">
        <v>2.7949226</v>
      </c>
      <c r="X930" s="3">
        <v>2.7494920999999999</v>
      </c>
      <c r="Y930" s="3">
        <v>2.7038547999999998</v>
      </c>
      <c r="Z930" s="3">
        <v>2.6587741999999999</v>
      </c>
      <c r="AA930" s="3">
        <v>2.6150139999999999</v>
      </c>
      <c r="AB930" s="3">
        <v>2.5733380000000001</v>
      </c>
      <c r="AC930" s="3">
        <v>2.5343879</v>
      </c>
      <c r="AD930" s="3">
        <v>2.4982122000000002</v>
      </c>
      <c r="AE930" s="3">
        <v>2.4646788000000002</v>
      </c>
      <c r="AF930" s="3">
        <v>2.4336555</v>
      </c>
      <c r="AG930" s="3">
        <v>2.4050102</v>
      </c>
      <c r="AH930" s="3">
        <v>2.3786106999999999</v>
      </c>
      <c r="AI930" s="3">
        <v>2.3543248000000001</v>
      </c>
      <c r="AJ930" s="3">
        <v>2.3320202999999999</v>
      </c>
      <c r="AK930" s="3">
        <v>2.3115651000000002</v>
      </c>
      <c r="AL930" s="3">
        <v>2.2928269999999999</v>
      </c>
      <c r="AM930" s="3">
        <v>2.2756737999999999</v>
      </c>
      <c r="AN930" s="3">
        <v>2.2599733999999998</v>
      </c>
      <c r="AO930" s="3">
        <v>2.2455978000000001</v>
      </c>
      <c r="AP930" s="3">
        <v>2.2324378</v>
      </c>
      <c r="AQ930" s="3">
        <v>2.2203894000000002</v>
      </c>
      <c r="AR930" s="3">
        <v>2.2093484999999999</v>
      </c>
      <c r="AS930" s="3">
        <v>2.1992110999999999</v>
      </c>
      <c r="AT930" s="3">
        <v>2.1898730999999998</v>
      </c>
      <c r="AU930" s="3">
        <v>2.1812304999999999</v>
      </c>
      <c r="AV930" s="3">
        <v>2.1731793000000001</v>
      </c>
      <c r="AW930" s="3">
        <v>2.1656152999999998</v>
      </c>
      <c r="AX930" s="3">
        <v>2.1584346000000001</v>
      </c>
      <c r="AY930" s="3">
        <v>2.1515330000000001</v>
      </c>
      <c r="AZ930" s="3">
        <v>2.1448065999999999</v>
      </c>
      <c r="BA930" s="3">
        <v>2.1381690999999998</v>
      </c>
      <c r="BB930" s="3">
        <v>2.1316126999999998</v>
      </c>
      <c r="BC930" s="3">
        <v>2.1251511999999999</v>
      </c>
      <c r="BD930" s="3">
        <v>2.1187985</v>
      </c>
      <c r="BE930" s="3">
        <v>2.1125685000000001</v>
      </c>
      <c r="BF930" s="3">
        <v>2.1064750000000001</v>
      </c>
      <c r="BG930" s="3">
        <v>2.1005319</v>
      </c>
      <c r="BH930" s="3">
        <v>2.0947531000000001</v>
      </c>
      <c r="BI930" s="3">
        <v>2.0891524000000001</v>
      </c>
      <c r="BJ930" s="3">
        <v>2.0837436999999999</v>
      </c>
      <c r="BK930" s="3">
        <v>2.0785409000000001</v>
      </c>
      <c r="BL930" s="3">
        <v>2.0735576999999998</v>
      </c>
      <c r="BM930" s="3">
        <v>2.0487807999999998</v>
      </c>
      <c r="BN930" s="3">
        <v>2.0337798</v>
      </c>
    </row>
    <row r="931" spans="1:66" x14ac:dyDescent="0.35">
      <c r="A931" s="5">
        <f t="shared" si="14"/>
        <v>44757</v>
      </c>
      <c r="B931" t="s">
        <v>2264</v>
      </c>
      <c r="C931" s="2">
        <v>1.25</v>
      </c>
      <c r="D931" s="2">
        <v>1.1908000000000001</v>
      </c>
      <c r="E931" s="3">
        <v>1.5708742</v>
      </c>
      <c r="F931" s="3">
        <v>1.934277</v>
      </c>
      <c r="G931" s="3">
        <v>2.2660024000000001</v>
      </c>
      <c r="H931" s="3">
        <v>2.5445916</v>
      </c>
      <c r="I931" s="3">
        <v>2.7624890999999998</v>
      </c>
      <c r="J931" s="3">
        <v>2.9180405999999999</v>
      </c>
      <c r="K931" s="3">
        <v>3.0158711</v>
      </c>
      <c r="L931" s="3">
        <v>3.0668494000000002</v>
      </c>
      <c r="M931" s="3">
        <v>3.0853917000000002</v>
      </c>
      <c r="N931" s="3">
        <v>3.0825282000000001</v>
      </c>
      <c r="O931" s="3">
        <v>3.0659255999999999</v>
      </c>
      <c r="P931" s="3">
        <v>3.0400738</v>
      </c>
      <c r="Q931" s="3">
        <v>3.0076787999999999</v>
      </c>
      <c r="R931" s="3">
        <v>2.9700902999999998</v>
      </c>
      <c r="S931" s="3">
        <v>2.9283217000000001</v>
      </c>
      <c r="T931" s="3">
        <v>2.8833867</v>
      </c>
      <c r="U931" s="3">
        <v>2.8362987999999998</v>
      </c>
      <c r="V931" s="3">
        <v>2.7880714000000002</v>
      </c>
      <c r="W931" s="3">
        <v>2.7396569999999998</v>
      </c>
      <c r="X931" s="3">
        <v>2.6917246000000001</v>
      </c>
      <c r="Y931" s="3">
        <v>2.6448611999999998</v>
      </c>
      <c r="Z931" s="3">
        <v>2.5996535999999999</v>
      </c>
      <c r="AA931" s="3">
        <v>2.5566887999999999</v>
      </c>
      <c r="AB931" s="3">
        <v>2.5165535000000001</v>
      </c>
      <c r="AC931" s="3">
        <v>2.4797153999999999</v>
      </c>
      <c r="AD931" s="3">
        <v>2.4461146999999999</v>
      </c>
      <c r="AE931" s="3">
        <v>2.4155465</v>
      </c>
      <c r="AF931" s="3">
        <v>2.3878054999999998</v>
      </c>
      <c r="AG931" s="3">
        <v>2.3626868999999999</v>
      </c>
      <c r="AH931" s="3">
        <v>2.3399854000000002</v>
      </c>
      <c r="AI931" s="3">
        <v>2.319496</v>
      </c>
      <c r="AJ931" s="3">
        <v>2.3010136999999999</v>
      </c>
      <c r="AK931" s="3">
        <v>2.2843334</v>
      </c>
      <c r="AL931" s="3">
        <v>2.2692499000000002</v>
      </c>
      <c r="AM931" s="3">
        <v>2.2555583000000001</v>
      </c>
      <c r="AN931" s="3">
        <v>2.2430534</v>
      </c>
      <c r="AO931" s="3">
        <v>2.2315482000000002</v>
      </c>
      <c r="AP931" s="3">
        <v>2.2209357000000001</v>
      </c>
      <c r="AQ931" s="3">
        <v>2.2111304999999999</v>
      </c>
      <c r="AR931" s="3">
        <v>2.2020474999999999</v>
      </c>
      <c r="AS931" s="3">
        <v>2.1936015000000002</v>
      </c>
      <c r="AT931" s="3">
        <v>2.1857074000000001</v>
      </c>
      <c r="AU931" s="3">
        <v>2.1782799000000002</v>
      </c>
      <c r="AV931" s="3">
        <v>2.1712340000000001</v>
      </c>
      <c r="AW931" s="3">
        <v>2.1644844000000001</v>
      </c>
      <c r="AX931" s="3">
        <v>2.1579459000000001</v>
      </c>
      <c r="AY931" s="3">
        <v>2.1515333999999999</v>
      </c>
      <c r="AZ931" s="3">
        <v>2.1451615999999998</v>
      </c>
      <c r="BA931" s="3">
        <v>2.1387616</v>
      </c>
      <c r="BB931" s="3">
        <v>2.1323354000000001</v>
      </c>
      <c r="BC931" s="3">
        <v>2.1259044999999999</v>
      </c>
      <c r="BD931" s="3">
        <v>2.1194907000000001</v>
      </c>
      <c r="BE931" s="3">
        <v>2.1131155000000001</v>
      </c>
      <c r="BF931" s="3">
        <v>2.1068006000000001</v>
      </c>
      <c r="BG931" s="3">
        <v>2.1005677</v>
      </c>
      <c r="BH931" s="3">
        <v>2.0944384</v>
      </c>
      <c r="BI931" s="3">
        <v>2.0884342999999999</v>
      </c>
      <c r="BJ931" s="3">
        <v>2.0825770000000001</v>
      </c>
      <c r="BK931" s="3">
        <v>2.0768882999999998</v>
      </c>
      <c r="BL931" s="3">
        <v>2.0713897000000001</v>
      </c>
      <c r="BM931" s="3">
        <v>2.043234</v>
      </c>
      <c r="BN931" s="3">
        <v>2.0251369000000001</v>
      </c>
    </row>
    <row r="932" spans="1:66" x14ac:dyDescent="0.35">
      <c r="A932" s="5">
        <f t="shared" si="14"/>
        <v>44760</v>
      </c>
      <c r="B932" t="s">
        <v>2265</v>
      </c>
      <c r="C932" s="2">
        <v>1.25</v>
      </c>
      <c r="D932" s="2">
        <v>1.1912</v>
      </c>
      <c r="E932" s="3">
        <v>1.6379174999999999</v>
      </c>
      <c r="F932" s="3">
        <v>1.9550421</v>
      </c>
      <c r="G932" s="3">
        <v>2.2789410000000001</v>
      </c>
      <c r="H932" s="3">
        <v>2.5673219</v>
      </c>
      <c r="I932" s="3">
        <v>2.7954805</v>
      </c>
      <c r="J932" s="3">
        <v>2.9578003000000002</v>
      </c>
      <c r="K932" s="3">
        <v>3.0588644</v>
      </c>
      <c r="L932" s="3">
        <v>3.1125631999999999</v>
      </c>
      <c r="M932" s="3">
        <v>3.1323021999999998</v>
      </c>
      <c r="N932" s="3">
        <v>3.1306764999999999</v>
      </c>
      <c r="O932" s="3">
        <v>3.1150006000000001</v>
      </c>
      <c r="P932" s="3">
        <v>3.0901209999999999</v>
      </c>
      <c r="Q932" s="3">
        <v>3.0593664999999999</v>
      </c>
      <c r="R932" s="3">
        <v>3.0240092999999999</v>
      </c>
      <c r="S932" s="3">
        <v>2.9848688999999999</v>
      </c>
      <c r="T932" s="3">
        <v>2.9427648999999998</v>
      </c>
      <c r="U932" s="3">
        <v>2.8985164999999999</v>
      </c>
      <c r="V932" s="3">
        <v>2.8529434</v>
      </c>
      <c r="W932" s="3">
        <v>2.8068303999999999</v>
      </c>
      <c r="X932" s="3">
        <v>2.7608022000000001</v>
      </c>
      <c r="Y932" s="3">
        <v>2.7154368</v>
      </c>
      <c r="Z932" s="3">
        <v>2.6713124000000001</v>
      </c>
      <c r="AA932" s="3">
        <v>2.6290072000000002</v>
      </c>
      <c r="AB932" s="3">
        <v>2.5890993</v>
      </c>
      <c r="AC932" s="3">
        <v>2.5520556000000001</v>
      </c>
      <c r="AD932" s="3">
        <v>2.517852</v>
      </c>
      <c r="AE932" s="3">
        <v>2.4863286000000002</v>
      </c>
      <c r="AF932" s="3">
        <v>2.4573258999999998</v>
      </c>
      <c r="AG932" s="3">
        <v>2.4306839999999998</v>
      </c>
      <c r="AH932" s="3">
        <v>2.4062432999999999</v>
      </c>
      <c r="AI932" s="3">
        <v>2.3838441000000001</v>
      </c>
      <c r="AJ932" s="3">
        <v>2.3633267</v>
      </c>
      <c r="AK932" s="3">
        <v>2.3445312999999999</v>
      </c>
      <c r="AL932" s="3">
        <v>2.3272982999999998</v>
      </c>
      <c r="AM932" s="3">
        <v>2.3114678999999998</v>
      </c>
      <c r="AN932" s="3">
        <v>2.2968804999999999</v>
      </c>
      <c r="AO932" s="3">
        <v>2.2833877</v>
      </c>
      <c r="AP932" s="3">
        <v>2.2708913000000002</v>
      </c>
      <c r="AQ932" s="3">
        <v>2.2593070000000002</v>
      </c>
      <c r="AR932" s="3">
        <v>2.2485506000000002</v>
      </c>
      <c r="AS932" s="3">
        <v>2.2385375999999999</v>
      </c>
      <c r="AT932" s="3">
        <v>2.2291839000000002</v>
      </c>
      <c r="AU932" s="3">
        <v>2.220405</v>
      </c>
      <c r="AV932" s="3">
        <v>2.2121167000000002</v>
      </c>
      <c r="AW932" s="3">
        <v>2.2042345999999999</v>
      </c>
      <c r="AX932" s="3">
        <v>2.1966746000000001</v>
      </c>
      <c r="AY932" s="3">
        <v>2.1893520999999998</v>
      </c>
      <c r="AZ932" s="3">
        <v>2.1821830000000002</v>
      </c>
      <c r="BA932" s="3">
        <v>2.1750948999999999</v>
      </c>
      <c r="BB932" s="3">
        <v>2.1680809999999999</v>
      </c>
      <c r="BC932" s="3">
        <v>2.1611558</v>
      </c>
      <c r="BD932" s="3">
        <v>2.1543340999999998</v>
      </c>
      <c r="BE932" s="3">
        <v>2.1476308</v>
      </c>
      <c r="BF932" s="3">
        <v>2.1410607000000001</v>
      </c>
      <c r="BG932" s="3">
        <v>2.1346384</v>
      </c>
      <c r="BH932" s="3">
        <v>2.1283788000000001</v>
      </c>
      <c r="BI932" s="3">
        <v>2.1222967000000001</v>
      </c>
      <c r="BJ932" s="3">
        <v>2.1164068</v>
      </c>
      <c r="BK932" s="3">
        <v>2.1107239</v>
      </c>
      <c r="BL932" s="3">
        <v>2.1052628000000002</v>
      </c>
      <c r="BM932" s="3">
        <v>2.0777342999999999</v>
      </c>
      <c r="BN932" s="3">
        <v>2.0604013000000001</v>
      </c>
    </row>
    <row r="933" spans="1:66" x14ac:dyDescent="0.35">
      <c r="A933" s="5">
        <f t="shared" si="14"/>
        <v>44761</v>
      </c>
      <c r="B933" t="s">
        <v>2267</v>
      </c>
      <c r="C933" s="2">
        <v>1.25</v>
      </c>
      <c r="D933" s="2">
        <v>1.1909000000000001</v>
      </c>
      <c r="E933" s="3">
        <v>1.6499436999999999</v>
      </c>
      <c r="F933" s="3">
        <v>1.9463528999999999</v>
      </c>
      <c r="G933" s="3">
        <v>2.2621373999999999</v>
      </c>
      <c r="H933" s="3">
        <v>2.5522160999999999</v>
      </c>
      <c r="I933" s="3">
        <v>2.7875644999999998</v>
      </c>
      <c r="J933" s="3">
        <v>2.9608186000000001</v>
      </c>
      <c r="K933" s="3">
        <v>3.0746541000000001</v>
      </c>
      <c r="L933" s="3">
        <v>3.1416002000000001</v>
      </c>
      <c r="M933" s="3">
        <v>3.1755852</v>
      </c>
      <c r="N933" s="3">
        <v>3.1885959000000001</v>
      </c>
      <c r="O933" s="3">
        <v>3.1873141</v>
      </c>
      <c r="P933" s="3">
        <v>3.1755892999999999</v>
      </c>
      <c r="Q933" s="3">
        <v>3.1550117000000002</v>
      </c>
      <c r="R933" s="3">
        <v>3.1267604000000002</v>
      </c>
      <c r="S933" s="3">
        <v>3.0920437999999999</v>
      </c>
      <c r="T933" s="3">
        <v>3.0520700999999999</v>
      </c>
      <c r="U933" s="3">
        <v>3.0080477000000001</v>
      </c>
      <c r="V933" s="3">
        <v>2.9611847999999998</v>
      </c>
      <c r="W933" s="3">
        <v>2.9126310000000002</v>
      </c>
      <c r="X933" s="3">
        <v>2.8632643</v>
      </c>
      <c r="Y933" s="3">
        <v>2.8138833999999999</v>
      </c>
      <c r="Z933" s="3">
        <v>2.7652874999999999</v>
      </c>
      <c r="AA933" s="3">
        <v>2.7182754</v>
      </c>
      <c r="AB933" s="3">
        <v>2.6736461</v>
      </c>
      <c r="AC933" s="3">
        <v>2.6320545000000002</v>
      </c>
      <c r="AD933" s="3">
        <v>2.5935193999999999</v>
      </c>
      <c r="AE933" s="3">
        <v>2.5578839000000002</v>
      </c>
      <c r="AF933" s="3">
        <v>2.5249912000000001</v>
      </c>
      <c r="AG933" s="3">
        <v>2.4946847000000001</v>
      </c>
      <c r="AH933" s="3">
        <v>2.4668074</v>
      </c>
      <c r="AI933" s="3">
        <v>2.4412026999999998</v>
      </c>
      <c r="AJ933" s="3">
        <v>2.4177138</v>
      </c>
      <c r="AK933" s="3">
        <v>2.3961838000000002</v>
      </c>
      <c r="AL933" s="3">
        <v>2.3764560000000001</v>
      </c>
      <c r="AM933" s="3">
        <v>2.3583736000000002</v>
      </c>
      <c r="AN933" s="3">
        <v>2.3417799000000001</v>
      </c>
      <c r="AO933" s="3">
        <v>2.3265253000000001</v>
      </c>
      <c r="AP933" s="3">
        <v>2.3125</v>
      </c>
      <c r="AQ933" s="3">
        <v>2.2996072999999999</v>
      </c>
      <c r="AR933" s="3">
        <v>2.2877505</v>
      </c>
      <c r="AS933" s="3">
        <v>2.2768329999999999</v>
      </c>
      <c r="AT933" s="3">
        <v>2.2667579999999998</v>
      </c>
      <c r="AU933" s="3">
        <v>2.2574290000000001</v>
      </c>
      <c r="AV933" s="3">
        <v>2.2487491999999998</v>
      </c>
      <c r="AW933" s="3">
        <v>2.2406220000000001</v>
      </c>
      <c r="AX933" s="3">
        <v>2.2329507</v>
      </c>
      <c r="AY933" s="3">
        <v>2.2256385999999999</v>
      </c>
      <c r="AZ933" s="3">
        <v>2.2185891</v>
      </c>
      <c r="BA933" s="3">
        <v>2.2117192999999999</v>
      </c>
      <c r="BB933" s="3">
        <v>2.2050139</v>
      </c>
      <c r="BC933" s="3">
        <v>2.1984778999999999</v>
      </c>
      <c r="BD933" s="3">
        <v>2.1921164000000002</v>
      </c>
      <c r="BE933" s="3">
        <v>2.1859345000000001</v>
      </c>
      <c r="BF933" s="3">
        <v>2.1799374999999999</v>
      </c>
      <c r="BG933" s="3">
        <v>2.1741302999999998</v>
      </c>
      <c r="BH933" s="3">
        <v>2.1685180000000002</v>
      </c>
      <c r="BI933" s="3">
        <v>2.1631059000000001</v>
      </c>
      <c r="BJ933" s="3">
        <v>2.1578989000000002</v>
      </c>
      <c r="BK933" s="3">
        <v>2.1529023</v>
      </c>
      <c r="BL933" s="3">
        <v>2.1481210000000002</v>
      </c>
      <c r="BM933" s="3">
        <v>2.1242695999999999</v>
      </c>
      <c r="BN933" s="3">
        <v>2.1096200000000001</v>
      </c>
    </row>
    <row r="934" spans="1:66" x14ac:dyDescent="0.35">
      <c r="A934" s="5">
        <f t="shared" si="14"/>
        <v>44762</v>
      </c>
      <c r="B934" t="s">
        <v>2268</v>
      </c>
      <c r="C934" s="2">
        <v>1.25</v>
      </c>
      <c r="D934" s="2">
        <v>1.1906000000000001</v>
      </c>
      <c r="E934" s="3">
        <v>1.6460653999999999</v>
      </c>
      <c r="F934" s="3">
        <v>1.9330107000000001</v>
      </c>
      <c r="G934" s="3">
        <v>2.2478074000000001</v>
      </c>
      <c r="H934" s="3">
        <v>2.5392033999999999</v>
      </c>
      <c r="I934" s="3">
        <v>2.7745000000000002</v>
      </c>
      <c r="J934" s="3">
        <v>2.9449670999999999</v>
      </c>
      <c r="K934" s="3">
        <v>3.0531210999999998</v>
      </c>
      <c r="L934" s="3">
        <v>3.1109445999999998</v>
      </c>
      <c r="M934" s="3">
        <v>3.1333929</v>
      </c>
      <c r="N934" s="3">
        <v>3.1327562000000002</v>
      </c>
      <c r="O934" s="3">
        <v>3.1172127000000001</v>
      </c>
      <c r="P934" s="3">
        <v>3.0916855000000001</v>
      </c>
      <c r="Q934" s="3">
        <v>3.0601527000000002</v>
      </c>
      <c r="R934" s="3">
        <v>3.0240566000000002</v>
      </c>
      <c r="S934" s="3">
        <v>2.9841731</v>
      </c>
      <c r="T934" s="3">
        <v>2.9412777999999999</v>
      </c>
      <c r="U934" s="3">
        <v>2.8961464000000001</v>
      </c>
      <c r="V934" s="3">
        <v>2.8495545999999998</v>
      </c>
      <c r="W934" s="3">
        <v>2.8022637000000001</v>
      </c>
      <c r="X934" s="3">
        <v>2.7549527999999999</v>
      </c>
      <c r="Y934" s="3">
        <v>2.7082719000000002</v>
      </c>
      <c r="Z934" s="3">
        <v>2.6628712999999999</v>
      </c>
      <c r="AA934" s="3">
        <v>2.6194011000000001</v>
      </c>
      <c r="AB934" s="3">
        <v>2.5785114</v>
      </c>
      <c r="AC934" s="3">
        <v>2.5407510000000002</v>
      </c>
      <c r="AD934" s="3">
        <v>2.5061228999999998</v>
      </c>
      <c r="AE934" s="3">
        <v>2.4744470000000001</v>
      </c>
      <c r="AF934" s="3">
        <v>2.4455431000000001</v>
      </c>
      <c r="AG934" s="3">
        <v>2.4192309999999999</v>
      </c>
      <c r="AH934" s="3">
        <v>2.3953307000000001</v>
      </c>
      <c r="AI934" s="3">
        <v>2.3736617999999998</v>
      </c>
      <c r="AJ934" s="3">
        <v>2.3540443999999998</v>
      </c>
      <c r="AK934" s="3">
        <v>2.3362981</v>
      </c>
      <c r="AL934" s="3">
        <v>2.3202427999999999</v>
      </c>
      <c r="AM934" s="3">
        <v>2.3056983</v>
      </c>
      <c r="AN934" s="3">
        <v>2.2924845</v>
      </c>
      <c r="AO934" s="3">
        <v>2.2804319999999998</v>
      </c>
      <c r="AP934" s="3">
        <v>2.2694242999999998</v>
      </c>
      <c r="AQ934" s="3">
        <v>2.2593607000000002</v>
      </c>
      <c r="AR934" s="3">
        <v>2.2501408000000001</v>
      </c>
      <c r="AS934" s="3">
        <v>2.2416638999999998</v>
      </c>
      <c r="AT934" s="3">
        <v>2.2338296999999998</v>
      </c>
      <c r="AU934" s="3">
        <v>2.2265374000000002</v>
      </c>
      <c r="AV934" s="3">
        <v>2.2196867</v>
      </c>
      <c r="AW934" s="3">
        <v>2.2131767999999998</v>
      </c>
      <c r="AX934" s="3">
        <v>2.2069074</v>
      </c>
      <c r="AY934" s="3">
        <v>2.2007778999999998</v>
      </c>
      <c r="AZ934" s="3">
        <v>2.1946876999999998</v>
      </c>
      <c r="BA934" s="3">
        <v>2.1885544000000001</v>
      </c>
      <c r="BB934" s="3">
        <v>2.1823760000000001</v>
      </c>
      <c r="BC934" s="3">
        <v>2.1761724</v>
      </c>
      <c r="BD934" s="3">
        <v>2.1699635000000002</v>
      </c>
      <c r="BE934" s="3">
        <v>2.1637694999999999</v>
      </c>
      <c r="BF934" s="3">
        <v>2.1576102000000001</v>
      </c>
      <c r="BG934" s="3">
        <v>2.1515057</v>
      </c>
      <c r="BH934" s="3">
        <v>2.1454759000000001</v>
      </c>
      <c r="BI934" s="3">
        <v>2.1395409000000001</v>
      </c>
      <c r="BJ934" s="3">
        <v>2.1337206000000002</v>
      </c>
      <c r="BK934" s="3">
        <v>2.1280350000000001</v>
      </c>
      <c r="BL934" s="3">
        <v>2.1225041</v>
      </c>
      <c r="BM934" s="3">
        <v>2.0934064999999999</v>
      </c>
      <c r="BN934" s="3">
        <v>2.0732138</v>
      </c>
    </row>
    <row r="935" spans="1:66" x14ac:dyDescent="0.35">
      <c r="A935" s="5">
        <f t="shared" si="14"/>
        <v>44763</v>
      </c>
      <c r="B935" t="s">
        <v>2269</v>
      </c>
      <c r="C935" s="2">
        <v>1.25</v>
      </c>
      <c r="D935" s="2">
        <v>1.1900999999999999</v>
      </c>
      <c r="E935" s="3">
        <v>1.6804561</v>
      </c>
      <c r="F935" s="3">
        <v>1.9365482000000001</v>
      </c>
      <c r="G935" s="3">
        <v>2.2293487999999999</v>
      </c>
      <c r="H935" s="3">
        <v>2.5072627000000001</v>
      </c>
      <c r="I935" s="3">
        <v>2.7355249000000001</v>
      </c>
      <c r="J935" s="3">
        <v>2.9015559</v>
      </c>
      <c r="K935" s="3">
        <v>3.0077748</v>
      </c>
      <c r="L935" s="3">
        <v>3.0630746000000002</v>
      </c>
      <c r="M935" s="3">
        <v>3.0820615999999998</v>
      </c>
      <c r="N935" s="3">
        <v>3.0771755000000001</v>
      </c>
      <c r="O935" s="3">
        <v>3.0569231000000001</v>
      </c>
      <c r="P935" s="3">
        <v>3.0271745999999999</v>
      </c>
      <c r="Q935" s="3">
        <v>2.9930623000000001</v>
      </c>
      <c r="R935" s="3">
        <v>2.9560564</v>
      </c>
      <c r="S935" s="3">
        <v>2.9166584000000002</v>
      </c>
      <c r="T935" s="3">
        <v>2.8753696</v>
      </c>
      <c r="U935" s="3">
        <v>2.8326915000000001</v>
      </c>
      <c r="V935" s="3">
        <v>2.7891254999999999</v>
      </c>
      <c r="W935" s="3">
        <v>2.7451699000000001</v>
      </c>
      <c r="X935" s="3">
        <v>2.7013061999999999</v>
      </c>
      <c r="Y935" s="3">
        <v>2.6580108999999998</v>
      </c>
      <c r="Z935" s="3">
        <v>2.6157602</v>
      </c>
      <c r="AA935" s="3">
        <v>2.5750305</v>
      </c>
      <c r="AB935" s="3">
        <v>2.5362981000000002</v>
      </c>
      <c r="AC935" s="3">
        <v>2.4999601999999999</v>
      </c>
      <c r="AD935" s="3">
        <v>2.4660275</v>
      </c>
      <c r="AE935" s="3">
        <v>2.4343933</v>
      </c>
      <c r="AF935" s="3">
        <v>2.4049510000000001</v>
      </c>
      <c r="AG935" s="3">
        <v>2.3775938000000001</v>
      </c>
      <c r="AH935" s="3">
        <v>2.3522150000000002</v>
      </c>
      <c r="AI935" s="3">
        <v>2.3287079999999998</v>
      </c>
      <c r="AJ935" s="3">
        <v>2.3069658999999998</v>
      </c>
      <c r="AK935" s="3">
        <v>2.2868819999999999</v>
      </c>
      <c r="AL935" s="3">
        <v>2.2683496999999999</v>
      </c>
      <c r="AM935" s="3">
        <v>2.2512623</v>
      </c>
      <c r="AN935" s="3">
        <v>2.2355128999999998</v>
      </c>
      <c r="AO935" s="3">
        <v>2.2209967000000002</v>
      </c>
      <c r="AP935" s="3">
        <v>2.2076159</v>
      </c>
      <c r="AQ935" s="3">
        <v>2.1952750000000001</v>
      </c>
      <c r="AR935" s="3">
        <v>2.1838784000000002</v>
      </c>
      <c r="AS935" s="3">
        <v>2.1733305000000001</v>
      </c>
      <c r="AT935" s="3">
        <v>2.1635358999999998</v>
      </c>
      <c r="AU935" s="3">
        <v>2.1543988000000001</v>
      </c>
      <c r="AV935" s="3">
        <v>2.1458238000000001</v>
      </c>
      <c r="AW935" s="3">
        <v>2.1377152000000001</v>
      </c>
      <c r="AX935" s="3">
        <v>2.1299774999999999</v>
      </c>
      <c r="AY935" s="3">
        <v>2.1225151000000002</v>
      </c>
      <c r="AZ935" s="3">
        <v>2.1152324999999998</v>
      </c>
      <c r="BA935" s="3">
        <v>2.1080497</v>
      </c>
      <c r="BB935" s="3">
        <v>2.1009562000000002</v>
      </c>
      <c r="BC935" s="3">
        <v>2.0939603999999998</v>
      </c>
      <c r="BD935" s="3">
        <v>2.0870709000000001</v>
      </c>
      <c r="BE935" s="3">
        <v>2.0802961999999998</v>
      </c>
      <c r="BF935" s="3">
        <v>2.0736447999999998</v>
      </c>
      <c r="BG935" s="3">
        <v>2.0671251000000002</v>
      </c>
      <c r="BH935" s="3">
        <v>2.0607457999999998</v>
      </c>
      <c r="BI935" s="3">
        <v>2.0545152</v>
      </c>
      <c r="BJ935" s="3">
        <v>2.0484420000000001</v>
      </c>
      <c r="BK935" s="3">
        <v>2.0425346000000002</v>
      </c>
      <c r="BL935" s="3">
        <v>2.0368015000000002</v>
      </c>
      <c r="BM935" s="3">
        <v>2.0066250000000001</v>
      </c>
      <c r="BN935" s="3">
        <v>1.9853821</v>
      </c>
    </row>
    <row r="936" spans="1:66" x14ac:dyDescent="0.35">
      <c r="A936" s="5">
        <f t="shared" si="14"/>
        <v>44764</v>
      </c>
      <c r="B936" t="s">
        <v>2270</v>
      </c>
      <c r="C936" s="2">
        <v>1.25</v>
      </c>
      <c r="D936" s="2">
        <v>1.1904999999999999</v>
      </c>
      <c r="E936" s="3">
        <v>1.668234</v>
      </c>
      <c r="F936" s="3">
        <v>1.9097685</v>
      </c>
      <c r="G936" s="3">
        <v>2.1836527000000001</v>
      </c>
      <c r="H936" s="3">
        <v>2.4377634000000001</v>
      </c>
      <c r="I936" s="3">
        <v>2.6376670999999998</v>
      </c>
      <c r="J936" s="3">
        <v>2.7752840000000001</v>
      </c>
      <c r="K936" s="3">
        <v>2.8561855999999999</v>
      </c>
      <c r="L936" s="3">
        <v>2.8928264000000001</v>
      </c>
      <c r="M936" s="3">
        <v>2.9004812000000002</v>
      </c>
      <c r="N936" s="3">
        <v>2.8902743000000002</v>
      </c>
      <c r="O936" s="3">
        <v>2.8694888000000001</v>
      </c>
      <c r="P936" s="3">
        <v>2.8420956999999998</v>
      </c>
      <c r="Q936" s="3">
        <v>2.8102871999999999</v>
      </c>
      <c r="R936" s="3">
        <v>2.7750518999999998</v>
      </c>
      <c r="S936" s="3">
        <v>2.7370903000000002</v>
      </c>
      <c r="T936" s="3">
        <v>2.6971026999999999</v>
      </c>
      <c r="U936" s="3">
        <v>2.6557898</v>
      </c>
      <c r="V936" s="3">
        <v>2.6138520999999999</v>
      </c>
      <c r="W936" s="3">
        <v>2.5719501999999999</v>
      </c>
      <c r="X936" s="3">
        <v>2.5305607000000001</v>
      </c>
      <c r="Y936" s="3">
        <v>2.4901065999999998</v>
      </c>
      <c r="Z936" s="3">
        <v>2.4510109999999998</v>
      </c>
      <c r="AA936" s="3">
        <v>2.4136970999999998</v>
      </c>
      <c r="AB936" s="3">
        <v>2.3785878</v>
      </c>
      <c r="AC936" s="3">
        <v>2.3460201999999999</v>
      </c>
      <c r="AD936" s="3">
        <v>2.3159510000000001</v>
      </c>
      <c r="AE936" s="3">
        <v>2.2882321000000001</v>
      </c>
      <c r="AF936" s="3">
        <v>2.2627153999999998</v>
      </c>
      <c r="AG936" s="3">
        <v>2.2392528</v>
      </c>
      <c r="AH936" s="3">
        <v>2.2176961999999998</v>
      </c>
      <c r="AI936" s="3">
        <v>2.1978974</v>
      </c>
      <c r="AJ936" s="3">
        <v>2.1797084</v>
      </c>
      <c r="AK936" s="3">
        <v>2.1629809999999998</v>
      </c>
      <c r="AL936" s="3">
        <v>2.1475672000000001</v>
      </c>
      <c r="AM936" s="3">
        <v>2.1333188000000001</v>
      </c>
      <c r="AN936" s="3">
        <v>2.1200876000000002</v>
      </c>
      <c r="AO936" s="3">
        <v>2.1077382999999998</v>
      </c>
      <c r="AP936" s="3">
        <v>2.0961908</v>
      </c>
      <c r="AQ936" s="3">
        <v>2.0853807</v>
      </c>
      <c r="AR936" s="3">
        <v>2.0752432999999999</v>
      </c>
      <c r="AS936" s="3">
        <v>2.0657141999999999</v>
      </c>
      <c r="AT936" s="3">
        <v>2.0567286999999999</v>
      </c>
      <c r="AU936" s="3">
        <v>2.0482222999999999</v>
      </c>
      <c r="AV936" s="3">
        <v>2.0401303999999998</v>
      </c>
      <c r="AW936" s="3">
        <v>2.0323883999999999</v>
      </c>
      <c r="AX936" s="3">
        <v>2.0249318999999999</v>
      </c>
      <c r="AY936" s="3">
        <v>2.0176962999999999</v>
      </c>
      <c r="AZ936" s="3">
        <v>2.0106169</v>
      </c>
      <c r="BA936" s="3">
        <v>2.0036412000000001</v>
      </c>
      <c r="BB936" s="3">
        <v>1.9967687999999999</v>
      </c>
      <c r="BC936" s="3">
        <v>1.9900138999999999</v>
      </c>
      <c r="BD936" s="3">
        <v>1.9833907</v>
      </c>
      <c r="BE936" s="3">
        <v>1.9769133999999999</v>
      </c>
      <c r="BF936" s="3">
        <v>1.9705961000000001</v>
      </c>
      <c r="BG936" s="3">
        <v>1.9644531000000001</v>
      </c>
      <c r="BH936" s="3">
        <v>1.9584984999999999</v>
      </c>
      <c r="BI936" s="3">
        <v>1.9527464999999999</v>
      </c>
      <c r="BJ936" s="3">
        <v>1.9472113</v>
      </c>
      <c r="BK936" s="3">
        <v>1.9419071000000001</v>
      </c>
      <c r="BL936" s="3">
        <v>1.9368479999999999</v>
      </c>
      <c r="BM936" s="3">
        <v>1.9121779999999999</v>
      </c>
      <c r="BN936" s="3">
        <v>1.8983418999999999</v>
      </c>
    </row>
    <row r="937" spans="1:66" x14ac:dyDescent="0.35">
      <c r="A937" s="5">
        <f t="shared" si="14"/>
        <v>44767</v>
      </c>
      <c r="B937" t="s">
        <v>2271</v>
      </c>
      <c r="C937" s="2">
        <v>1.25</v>
      </c>
      <c r="D937" s="2">
        <v>1.1910000000000001</v>
      </c>
      <c r="E937" s="3">
        <v>1.6950445999999999</v>
      </c>
      <c r="F937" s="3">
        <v>1.9470715999999999</v>
      </c>
      <c r="G937" s="3">
        <v>2.2141964000000001</v>
      </c>
      <c r="H937" s="3">
        <v>2.4545626999999999</v>
      </c>
      <c r="I937" s="3">
        <v>2.6399341000000001</v>
      </c>
      <c r="J937" s="3">
        <v>2.7641087</v>
      </c>
      <c r="K937" s="3">
        <v>2.8351098000000001</v>
      </c>
      <c r="L937" s="3">
        <v>2.8669932</v>
      </c>
      <c r="M937" s="3">
        <v>2.8729749</v>
      </c>
      <c r="N937" s="3">
        <v>2.8641896999999998</v>
      </c>
      <c r="O937" s="3">
        <v>2.8464366999999999</v>
      </c>
      <c r="P937" s="3">
        <v>2.8227191</v>
      </c>
      <c r="Q937" s="3">
        <v>2.7940092999999999</v>
      </c>
      <c r="R937" s="3">
        <v>2.7609762999999998</v>
      </c>
      <c r="S937" s="3">
        <v>2.7243434999999998</v>
      </c>
      <c r="T937" s="3">
        <v>2.6848340999999998</v>
      </c>
      <c r="U937" s="3">
        <v>2.6431711999999998</v>
      </c>
      <c r="V937" s="3">
        <v>2.6000781000000002</v>
      </c>
      <c r="W937" s="3">
        <v>2.5562648000000001</v>
      </c>
      <c r="X937" s="3">
        <v>2.5123802</v>
      </c>
      <c r="Y937" s="3">
        <v>2.4690553</v>
      </c>
      <c r="Z937" s="3">
        <v>2.4269211999999998</v>
      </c>
      <c r="AA937" s="3">
        <v>2.3866090999999998</v>
      </c>
      <c r="AB937" s="3">
        <v>2.3487499999999999</v>
      </c>
      <c r="AC937" s="3">
        <v>2.3138534000000002</v>
      </c>
      <c r="AD937" s="3">
        <v>2.2818915999999998</v>
      </c>
      <c r="AE937" s="3">
        <v>2.2526888999999999</v>
      </c>
      <c r="AF937" s="3">
        <v>2.2260694000000001</v>
      </c>
      <c r="AG937" s="3">
        <v>2.2018572999999999</v>
      </c>
      <c r="AH937" s="3">
        <v>2.1798768000000002</v>
      </c>
      <c r="AI937" s="3">
        <v>2.1599520000000001</v>
      </c>
      <c r="AJ937" s="3">
        <v>2.1419071999999999</v>
      </c>
      <c r="AK937" s="3">
        <v>2.1255665000000001</v>
      </c>
      <c r="AL937" s="3">
        <v>2.1107540999999999</v>
      </c>
      <c r="AM937" s="3">
        <v>2.0972941999999999</v>
      </c>
      <c r="AN937" s="3">
        <v>2.0850110000000002</v>
      </c>
      <c r="AO937" s="3">
        <v>2.0737431000000002</v>
      </c>
      <c r="AP937" s="3">
        <v>2.0633925999999998</v>
      </c>
      <c r="AQ937" s="3">
        <v>2.0538794</v>
      </c>
      <c r="AR937" s="3">
        <v>2.0451231999999999</v>
      </c>
      <c r="AS937" s="3">
        <v>2.0370436999999999</v>
      </c>
      <c r="AT937" s="3">
        <v>2.0295608000000001</v>
      </c>
      <c r="AU937" s="3">
        <v>2.0225941000000001</v>
      </c>
      <c r="AV937" s="3">
        <v>2.0160635</v>
      </c>
      <c r="AW937" s="3">
        <v>2.0098886</v>
      </c>
      <c r="AX937" s="3">
        <v>2.0039894</v>
      </c>
      <c r="AY937" s="3">
        <v>1.9982854000000001</v>
      </c>
      <c r="AZ937" s="3">
        <v>1.9926965000000001</v>
      </c>
      <c r="BA937" s="3">
        <v>1.9871542</v>
      </c>
      <c r="BB937" s="3">
        <v>1.9816537999999999</v>
      </c>
      <c r="BC937" s="3">
        <v>1.9762116999999999</v>
      </c>
      <c r="BD937" s="3">
        <v>1.9708443</v>
      </c>
      <c r="BE937" s="3">
        <v>1.9655682999999999</v>
      </c>
      <c r="BF937" s="3">
        <v>1.9604001</v>
      </c>
      <c r="BG937" s="3">
        <v>1.9553560999999999</v>
      </c>
      <c r="BH937" s="3">
        <v>1.950453</v>
      </c>
      <c r="BI937" s="3">
        <v>1.9457073</v>
      </c>
      <c r="BJ937" s="3">
        <v>1.9411353</v>
      </c>
      <c r="BK937" s="3">
        <v>1.9367536999999999</v>
      </c>
      <c r="BL937" s="3">
        <v>1.9325789</v>
      </c>
      <c r="BM937" s="3">
        <v>1.9124785</v>
      </c>
      <c r="BN937" s="3">
        <v>1.9020258000000001</v>
      </c>
    </row>
    <row r="938" spans="1:66" x14ac:dyDescent="0.35">
      <c r="A938" s="5">
        <f t="shared" si="14"/>
        <v>44768</v>
      </c>
      <c r="B938" t="s">
        <v>2272</v>
      </c>
      <c r="C938" s="2">
        <v>1.25</v>
      </c>
      <c r="D938" s="2">
        <v>1.1909000000000001</v>
      </c>
      <c r="E938" s="3">
        <v>1.702655</v>
      </c>
      <c r="F938" s="3">
        <v>1.9640804999999999</v>
      </c>
      <c r="G938" s="3">
        <v>2.2376988999999998</v>
      </c>
      <c r="H938" s="3">
        <v>2.4828660999999999</v>
      </c>
      <c r="I938" s="3">
        <v>2.6707586999999999</v>
      </c>
      <c r="J938" s="3">
        <v>2.7966709999999999</v>
      </c>
      <c r="K938" s="3">
        <v>2.8686023</v>
      </c>
      <c r="L938" s="3">
        <v>2.9006205999999999</v>
      </c>
      <c r="M938" s="3">
        <v>2.9066909999999999</v>
      </c>
      <c r="N938" s="3">
        <v>2.8977016</v>
      </c>
      <c r="O938" s="3">
        <v>2.8795158999999999</v>
      </c>
      <c r="P938" s="3">
        <v>2.8553259999999998</v>
      </c>
      <c r="Q938" s="3">
        <v>2.8267402000000001</v>
      </c>
      <c r="R938" s="3">
        <v>2.7944247</v>
      </c>
      <c r="S938" s="3">
        <v>2.7588816999999999</v>
      </c>
      <c r="T938" s="3">
        <v>2.7206131</v>
      </c>
      <c r="U938" s="3">
        <v>2.6801211</v>
      </c>
      <c r="V938" s="3">
        <v>2.6379077999999998</v>
      </c>
      <c r="W938" s="3">
        <v>2.5944976</v>
      </c>
      <c r="X938" s="3">
        <v>2.5505195000000001</v>
      </c>
      <c r="Y938" s="3">
        <v>2.5066324999999998</v>
      </c>
      <c r="Z938" s="3">
        <v>2.4634958999999998</v>
      </c>
      <c r="AA938" s="3">
        <v>2.4217685000000002</v>
      </c>
      <c r="AB938" s="3">
        <v>2.3821097</v>
      </c>
      <c r="AC938" s="3">
        <v>2.3450598</v>
      </c>
      <c r="AD938" s="3">
        <v>2.3106355999999999</v>
      </c>
      <c r="AE938" s="3">
        <v>2.2787096</v>
      </c>
      <c r="AF938" s="3">
        <v>2.2491541000000002</v>
      </c>
      <c r="AG938" s="3">
        <v>2.2218414000000002</v>
      </c>
      <c r="AH938" s="3">
        <v>2.1966439000000002</v>
      </c>
      <c r="AI938" s="3">
        <v>2.1734339999999999</v>
      </c>
      <c r="AJ938" s="3">
        <v>2.1520839</v>
      </c>
      <c r="AK938" s="3">
        <v>2.132466</v>
      </c>
      <c r="AL938" s="3">
        <v>2.1144528</v>
      </c>
      <c r="AM938" s="3">
        <v>2.0979165000000002</v>
      </c>
      <c r="AN938" s="3">
        <v>2.0827293999999998</v>
      </c>
      <c r="AO938" s="3">
        <v>2.0687685</v>
      </c>
      <c r="AP938" s="3">
        <v>2.0559341</v>
      </c>
      <c r="AQ938" s="3">
        <v>2.0441346999999999</v>
      </c>
      <c r="AR938" s="3">
        <v>2.0332788000000002</v>
      </c>
      <c r="AS938" s="3">
        <v>2.0232747999999998</v>
      </c>
      <c r="AT938" s="3">
        <v>2.0140313000000001</v>
      </c>
      <c r="AU938" s="3">
        <v>2.0054566999999999</v>
      </c>
      <c r="AV938" s="3">
        <v>1.9974594000000001</v>
      </c>
      <c r="AW938" s="3">
        <v>1.9899480000000001</v>
      </c>
      <c r="AX938" s="3">
        <v>1.9828309</v>
      </c>
      <c r="AY938" s="3">
        <v>1.9760165000000001</v>
      </c>
      <c r="AZ938" s="3">
        <v>1.9694134999999999</v>
      </c>
      <c r="BA938" s="3">
        <v>1.9629437000000001</v>
      </c>
      <c r="BB938" s="3">
        <v>1.956596</v>
      </c>
      <c r="BC938" s="3">
        <v>1.9503790999999999</v>
      </c>
      <c r="BD938" s="3">
        <v>1.9443018999999999</v>
      </c>
      <c r="BE938" s="3">
        <v>1.9383732</v>
      </c>
      <c r="BF938" s="3">
        <v>1.9326019999999999</v>
      </c>
      <c r="BG938" s="3">
        <v>1.9269970999999999</v>
      </c>
      <c r="BH938" s="3">
        <v>1.9215674</v>
      </c>
      <c r="BI938" s="3">
        <v>1.9163216000000001</v>
      </c>
      <c r="BJ938" s="3">
        <v>1.9112688</v>
      </c>
      <c r="BK938" s="3">
        <v>1.9064177</v>
      </c>
      <c r="BL938" s="3">
        <v>1.9017771999999999</v>
      </c>
      <c r="BM938" s="3">
        <v>1.8788175</v>
      </c>
      <c r="BN938" s="3">
        <v>1.8654563</v>
      </c>
    </row>
    <row r="939" spans="1:66" x14ac:dyDescent="0.35">
      <c r="A939" s="5">
        <f t="shared" si="14"/>
        <v>44769</v>
      </c>
      <c r="B939" t="s">
        <v>2273</v>
      </c>
      <c r="C939" s="2">
        <v>1.25</v>
      </c>
      <c r="D939" s="2">
        <v>1.1909000000000001</v>
      </c>
      <c r="E939" s="3">
        <v>1.7139412999999999</v>
      </c>
      <c r="F939" s="3">
        <v>1.9843862000000001</v>
      </c>
      <c r="G939" s="3">
        <v>2.2588149</v>
      </c>
      <c r="H939" s="3">
        <v>2.5033344999999998</v>
      </c>
      <c r="I939" s="3">
        <v>2.6920956999999999</v>
      </c>
      <c r="J939" s="3">
        <v>2.8213029000000001</v>
      </c>
      <c r="K939" s="3">
        <v>2.8973650000000002</v>
      </c>
      <c r="L939" s="3">
        <v>2.9331569000000002</v>
      </c>
      <c r="M939" s="3">
        <v>2.9424806999999999</v>
      </c>
      <c r="N939" s="3">
        <v>2.9354566000000002</v>
      </c>
      <c r="O939" s="3">
        <v>2.9183490999999999</v>
      </c>
      <c r="P939" s="3">
        <v>2.8943968999999998</v>
      </c>
      <c r="Q939" s="3">
        <v>2.8660475999999999</v>
      </c>
      <c r="R939" s="3">
        <v>2.8341612999999999</v>
      </c>
      <c r="S939" s="3">
        <v>2.7991725000000001</v>
      </c>
      <c r="T939" s="3">
        <v>2.7615156000000001</v>
      </c>
      <c r="U939" s="3">
        <v>2.7216252999999999</v>
      </c>
      <c r="V939" s="3">
        <v>2.6799358999999998</v>
      </c>
      <c r="W939" s="3">
        <v>2.6369106000000002</v>
      </c>
      <c r="X939" s="3">
        <v>2.5931742</v>
      </c>
      <c r="Y939" s="3">
        <v>2.5494083999999999</v>
      </c>
      <c r="Z939" s="3">
        <v>2.5062950000000002</v>
      </c>
      <c r="AA939" s="3">
        <v>2.4645157000000002</v>
      </c>
      <c r="AB939" s="3">
        <v>2.4247521999999999</v>
      </c>
      <c r="AC939" s="3">
        <v>2.3875874000000001</v>
      </c>
      <c r="AD939" s="3">
        <v>2.3530701999999999</v>
      </c>
      <c r="AE939" s="3">
        <v>2.3210708000000002</v>
      </c>
      <c r="AF939" s="3">
        <v>2.2914595000000002</v>
      </c>
      <c r="AG939" s="3">
        <v>2.2641062000000001</v>
      </c>
      <c r="AH939" s="3">
        <v>2.2388810000000001</v>
      </c>
      <c r="AI939" s="3">
        <v>2.2156541000000001</v>
      </c>
      <c r="AJ939" s="3">
        <v>2.1942955999999998</v>
      </c>
      <c r="AK939" s="3">
        <v>2.1746753999999999</v>
      </c>
      <c r="AL939" s="3">
        <v>2.1566638</v>
      </c>
      <c r="AM939" s="3">
        <v>2.1401308999999999</v>
      </c>
      <c r="AN939" s="3">
        <v>2.1249465999999999</v>
      </c>
      <c r="AO939" s="3">
        <v>2.1109859000000002</v>
      </c>
      <c r="AP939" s="3">
        <v>2.0981467999999999</v>
      </c>
      <c r="AQ939" s="3">
        <v>2.0863345999999998</v>
      </c>
      <c r="AR939" s="3">
        <v>2.0754545000000002</v>
      </c>
      <c r="AS939" s="3">
        <v>2.0654116</v>
      </c>
      <c r="AT939" s="3">
        <v>2.0561110999999999</v>
      </c>
      <c r="AU939" s="3">
        <v>2.0474581999999999</v>
      </c>
      <c r="AV939" s="3">
        <v>2.0393580999999998</v>
      </c>
      <c r="AW939" s="3">
        <v>2.0317159999999999</v>
      </c>
      <c r="AX939" s="3">
        <v>2.0244369999999998</v>
      </c>
      <c r="AY939" s="3">
        <v>2.0174264000000002</v>
      </c>
      <c r="AZ939" s="3">
        <v>2.0105892999999999</v>
      </c>
      <c r="BA939" s="3">
        <v>2.0038472000000001</v>
      </c>
      <c r="BB939" s="3">
        <v>1.997193</v>
      </c>
      <c r="BC939" s="3">
        <v>1.9906397</v>
      </c>
      <c r="BD939" s="3">
        <v>1.9842</v>
      </c>
      <c r="BE939" s="3">
        <v>1.9778867</v>
      </c>
      <c r="BF939" s="3">
        <v>1.9717127000000001</v>
      </c>
      <c r="BG939" s="3">
        <v>1.9656909</v>
      </c>
      <c r="BH939" s="3">
        <v>1.9598339</v>
      </c>
      <c r="BI939" s="3">
        <v>1.9541546999999999</v>
      </c>
      <c r="BJ939" s="3">
        <v>1.9486661000000001</v>
      </c>
      <c r="BK939" s="3">
        <v>1.9433807999999999</v>
      </c>
      <c r="BL939" s="3">
        <v>1.9383117999999999</v>
      </c>
      <c r="BM939" s="3">
        <v>1.9130142999999999</v>
      </c>
      <c r="BN939" s="3">
        <v>1.8978733999999999</v>
      </c>
    </row>
    <row r="940" spans="1:66" x14ac:dyDescent="0.35">
      <c r="A940" s="5">
        <f t="shared" si="14"/>
        <v>44770</v>
      </c>
      <c r="B940" t="s">
        <v>2274</v>
      </c>
      <c r="C940" s="2">
        <v>1.25</v>
      </c>
      <c r="D940" s="2">
        <v>1.1909000000000001</v>
      </c>
      <c r="E940" s="3">
        <v>1.6850136</v>
      </c>
      <c r="F940" s="3">
        <v>1.9428814999999999</v>
      </c>
      <c r="G940" s="3">
        <v>2.1957548999999998</v>
      </c>
      <c r="H940" s="3">
        <v>2.4125318999999998</v>
      </c>
      <c r="I940" s="3">
        <v>2.5755553</v>
      </c>
      <c r="J940" s="3">
        <v>2.6862062</v>
      </c>
      <c r="K940" s="3">
        <v>2.7535842000000001</v>
      </c>
      <c r="L940" s="3">
        <v>2.7875098999999999</v>
      </c>
      <c r="M940" s="3">
        <v>2.7991263000000002</v>
      </c>
      <c r="N940" s="3">
        <v>2.7963629999999999</v>
      </c>
      <c r="O940" s="3">
        <v>2.7839417000000002</v>
      </c>
      <c r="P940" s="3">
        <v>2.7644023999999998</v>
      </c>
      <c r="Q940" s="3">
        <v>2.7395705000000001</v>
      </c>
      <c r="R940" s="3">
        <v>2.7102944</v>
      </c>
      <c r="S940" s="3">
        <v>2.6771759999999998</v>
      </c>
      <c r="T940" s="3">
        <v>2.6408173000000001</v>
      </c>
      <c r="U940" s="3">
        <v>2.6018200999999999</v>
      </c>
      <c r="V940" s="3">
        <v>2.5607863000000002</v>
      </c>
      <c r="W940" s="3">
        <v>2.5183309999999999</v>
      </c>
      <c r="X940" s="3">
        <v>2.4751367000000002</v>
      </c>
      <c r="Y940" s="3">
        <v>2.4319071999999999</v>
      </c>
      <c r="Z940" s="3">
        <v>2.3893466000000001</v>
      </c>
      <c r="AA940" s="3">
        <v>2.3481586999999999</v>
      </c>
      <c r="AB940" s="3">
        <v>2.3090475000000001</v>
      </c>
      <c r="AC940" s="3">
        <v>2.2726027000000002</v>
      </c>
      <c r="AD940" s="3">
        <v>2.2388569999999999</v>
      </c>
      <c r="AE940" s="3">
        <v>2.2076734999999998</v>
      </c>
      <c r="AF940" s="3">
        <v>2.1789155999999998</v>
      </c>
      <c r="AG940" s="3">
        <v>2.1524462999999998</v>
      </c>
      <c r="AH940" s="3">
        <v>2.1281289000000001</v>
      </c>
      <c r="AI940" s="3">
        <v>2.1058264000000002</v>
      </c>
      <c r="AJ940" s="3">
        <v>2.0854021999999999</v>
      </c>
      <c r="AK940" s="3">
        <v>2.0667194000000002</v>
      </c>
      <c r="AL940" s="3">
        <v>2.0496411000000001</v>
      </c>
      <c r="AM940" s="3">
        <v>2.0340305999999999</v>
      </c>
      <c r="AN940" s="3">
        <v>2.0197509999999999</v>
      </c>
      <c r="AO940" s="3">
        <v>2.0066725999999999</v>
      </c>
      <c r="AP940" s="3">
        <v>1.9946965999999999</v>
      </c>
      <c r="AQ940" s="3">
        <v>1.9837331</v>
      </c>
      <c r="AR940" s="3">
        <v>1.9736918999999999</v>
      </c>
      <c r="AS940" s="3">
        <v>1.964483</v>
      </c>
      <c r="AT940" s="3">
        <v>1.9560162999999999</v>
      </c>
      <c r="AU940" s="3">
        <v>1.9482016</v>
      </c>
      <c r="AV940" s="3">
        <v>1.940949</v>
      </c>
      <c r="AW940" s="3">
        <v>1.9341683999999999</v>
      </c>
      <c r="AX940" s="3">
        <v>1.9277696</v>
      </c>
      <c r="AY940" s="3">
        <v>1.9216626000000001</v>
      </c>
      <c r="AZ940" s="3">
        <v>1.9157573000000001</v>
      </c>
      <c r="BA940" s="3">
        <v>1.9099786999999999</v>
      </c>
      <c r="BB940" s="3">
        <v>1.9043184</v>
      </c>
      <c r="BC940" s="3">
        <v>1.8987862</v>
      </c>
      <c r="BD940" s="3">
        <v>1.893392</v>
      </c>
      <c r="BE940" s="3">
        <v>1.8881456999999999</v>
      </c>
      <c r="BF940" s="3">
        <v>1.8830572999999999</v>
      </c>
      <c r="BG940" s="3">
        <v>1.8781365000000001</v>
      </c>
      <c r="BH940" s="3">
        <v>1.8733934000000001</v>
      </c>
      <c r="BI940" s="3">
        <v>1.8688377</v>
      </c>
      <c r="BJ940" s="3">
        <v>1.8644794</v>
      </c>
      <c r="BK940" s="3">
        <v>1.8603282999999999</v>
      </c>
      <c r="BL940" s="3">
        <v>1.8563943999999999</v>
      </c>
      <c r="BM940" s="3">
        <v>1.8377691</v>
      </c>
      <c r="BN940" s="3">
        <v>1.8286278</v>
      </c>
    </row>
    <row r="941" spans="1:66" x14ac:dyDescent="0.35">
      <c r="A941" s="5">
        <f t="shared" si="14"/>
        <v>44771</v>
      </c>
      <c r="B941" t="s">
        <v>2275</v>
      </c>
      <c r="C941" s="2">
        <v>1.25</v>
      </c>
      <c r="D941" s="2">
        <v>1.1909000000000001</v>
      </c>
      <c r="E941" s="3">
        <v>1.6918108000000001</v>
      </c>
      <c r="F941" s="3">
        <v>1.9574472000000001</v>
      </c>
      <c r="G941" s="3">
        <v>2.2101772999999998</v>
      </c>
      <c r="H941" s="3">
        <v>2.4225004000000001</v>
      </c>
      <c r="I941" s="3">
        <v>2.5768162000000001</v>
      </c>
      <c r="J941" s="3">
        <v>2.6769661999999999</v>
      </c>
      <c r="K941" s="3">
        <v>2.7340217999999998</v>
      </c>
      <c r="L941" s="3">
        <v>2.7597624999999999</v>
      </c>
      <c r="M941" s="3">
        <v>2.7655737</v>
      </c>
      <c r="N941" s="3">
        <v>2.7583188999999999</v>
      </c>
      <c r="O941" s="3">
        <v>2.7421039999999999</v>
      </c>
      <c r="P941" s="3">
        <v>2.7190096000000001</v>
      </c>
      <c r="Q941" s="3">
        <v>2.6903568</v>
      </c>
      <c r="R941" s="3">
        <v>2.6570724999999999</v>
      </c>
      <c r="S941" s="3">
        <v>2.6199870000000001</v>
      </c>
      <c r="T941" s="3">
        <v>2.5799300000000001</v>
      </c>
      <c r="U941" s="3">
        <v>2.5377315</v>
      </c>
      <c r="V941" s="3">
        <v>2.4942215000000001</v>
      </c>
      <c r="W941" s="3">
        <v>2.4501965000000001</v>
      </c>
      <c r="X941" s="3">
        <v>2.4062980999999999</v>
      </c>
      <c r="Y941" s="3">
        <v>2.3631229999999999</v>
      </c>
      <c r="Z941" s="3">
        <v>2.3212678000000002</v>
      </c>
      <c r="AA941" s="3">
        <v>2.2813292000000001</v>
      </c>
      <c r="AB941" s="3">
        <v>2.2439038</v>
      </c>
      <c r="AC941" s="3">
        <v>2.2094710000000002</v>
      </c>
      <c r="AD941" s="3">
        <v>2.1779915999999999</v>
      </c>
      <c r="AE941" s="3">
        <v>2.1492835000000001</v>
      </c>
      <c r="AF941" s="3">
        <v>2.1231646</v>
      </c>
      <c r="AG941" s="3">
        <v>2.0994527000000001</v>
      </c>
      <c r="AH941" s="3">
        <v>2.0779657999999999</v>
      </c>
      <c r="AI941" s="3">
        <v>2.0585216000000002</v>
      </c>
      <c r="AJ941" s="3">
        <v>2.0409381999999998</v>
      </c>
      <c r="AK941" s="3">
        <v>2.0250333</v>
      </c>
      <c r="AL941" s="3">
        <v>2.0106248999999998</v>
      </c>
      <c r="AM941" s="3">
        <v>1.9975309000000001</v>
      </c>
      <c r="AN941" s="3">
        <v>1.9855689999999999</v>
      </c>
      <c r="AO941" s="3">
        <v>1.9745729999999999</v>
      </c>
      <c r="AP941" s="3">
        <v>1.9644461</v>
      </c>
      <c r="AQ941" s="3">
        <v>1.9551109</v>
      </c>
      <c r="AR941" s="3">
        <v>1.9464897999999999</v>
      </c>
      <c r="AS941" s="3">
        <v>1.9385053999999999</v>
      </c>
      <c r="AT941" s="3">
        <v>1.9310801</v>
      </c>
      <c r="AU941" s="3">
        <v>1.9241364999999999</v>
      </c>
      <c r="AV941" s="3">
        <v>1.917597</v>
      </c>
      <c r="AW941" s="3">
        <v>1.9113841</v>
      </c>
      <c r="AX941" s="3">
        <v>1.9054203999999999</v>
      </c>
      <c r="AY941" s="3">
        <v>1.8996283</v>
      </c>
      <c r="AZ941" s="3">
        <v>1.8939303999999999</v>
      </c>
      <c r="BA941" s="3">
        <v>1.8882635000000001</v>
      </c>
      <c r="BB941" s="3">
        <v>1.8826285</v>
      </c>
      <c r="BC941" s="3">
        <v>1.8770437</v>
      </c>
      <c r="BD941" s="3">
        <v>1.8715274</v>
      </c>
      <c r="BE941" s="3">
        <v>1.8660981000000001</v>
      </c>
      <c r="BF941" s="3">
        <v>1.8607741</v>
      </c>
      <c r="BG941" s="3">
        <v>1.8555736</v>
      </c>
      <c r="BH941" s="3">
        <v>1.8505152</v>
      </c>
      <c r="BI941" s="3">
        <v>1.8456170999999999</v>
      </c>
      <c r="BJ941" s="3">
        <v>1.8408977</v>
      </c>
      <c r="BK941" s="3">
        <v>1.8363754000000001</v>
      </c>
      <c r="BL941" s="3">
        <v>1.8320685000000001</v>
      </c>
      <c r="BM941" s="3">
        <v>1.8114323000000001</v>
      </c>
      <c r="BN941" s="3">
        <v>1.8010737999999999</v>
      </c>
    </row>
    <row r="942" spans="1:66" x14ac:dyDescent="0.35">
      <c r="A942" s="5">
        <f t="shared" si="14"/>
        <v>44774</v>
      </c>
      <c r="B942" t="s">
        <v>2277</v>
      </c>
      <c r="C942" s="2">
        <v>1.25</v>
      </c>
      <c r="D942" s="2">
        <v>1.1910000000000001</v>
      </c>
      <c r="E942" s="3">
        <v>1.7150909000000001</v>
      </c>
      <c r="F942" s="3">
        <v>1.979625</v>
      </c>
      <c r="G942" s="3">
        <v>2.2233361999999999</v>
      </c>
      <c r="H942" s="3">
        <v>2.4275524000000002</v>
      </c>
      <c r="I942" s="3">
        <v>2.5808200000000001</v>
      </c>
      <c r="J942" s="3">
        <v>2.6844109</v>
      </c>
      <c r="K942" s="3">
        <v>2.7467882000000001</v>
      </c>
      <c r="L942" s="3">
        <v>2.7782789999999999</v>
      </c>
      <c r="M942" s="3">
        <v>2.7883103999999999</v>
      </c>
      <c r="N942" s="3">
        <v>2.7845038</v>
      </c>
      <c r="O942" s="3">
        <v>2.7708054</v>
      </c>
      <c r="P942" s="3">
        <v>2.7497422999999999</v>
      </c>
      <c r="Q942" s="3">
        <v>2.7230474</v>
      </c>
      <c r="R942" s="3">
        <v>2.6916489000000001</v>
      </c>
      <c r="S942" s="3">
        <v>2.6563112000000002</v>
      </c>
      <c r="T942" s="3">
        <v>2.6177988000000001</v>
      </c>
      <c r="U942" s="3">
        <v>2.5768760999999998</v>
      </c>
      <c r="V942" s="3">
        <v>2.5343073999999999</v>
      </c>
      <c r="W942" s="3">
        <v>2.4908282000000002</v>
      </c>
      <c r="X942" s="3">
        <v>2.4470398000000002</v>
      </c>
      <c r="Y942" s="3">
        <v>2.4035042999999998</v>
      </c>
      <c r="Z942" s="3">
        <v>2.3607841000000001</v>
      </c>
      <c r="AA942" s="3">
        <v>2.3194414000000001</v>
      </c>
      <c r="AB942" s="3">
        <v>2.2800384999999999</v>
      </c>
      <c r="AC942" s="3">
        <v>2.2430352999999998</v>
      </c>
      <c r="AD942" s="3">
        <v>2.2084400999999998</v>
      </c>
      <c r="AE942" s="3">
        <v>2.1761366999999998</v>
      </c>
      <c r="AF942" s="3">
        <v>2.1460086</v>
      </c>
      <c r="AG942" s="3">
        <v>2.1179396000000001</v>
      </c>
      <c r="AH942" s="3">
        <v>2.0918133999999999</v>
      </c>
      <c r="AI942" s="3">
        <v>2.0675135</v>
      </c>
      <c r="AJ942" s="3">
        <v>2.0449237999999998</v>
      </c>
      <c r="AK942" s="3">
        <v>2.0239278999999999</v>
      </c>
      <c r="AL942" s="3">
        <v>2.0044095</v>
      </c>
      <c r="AM942" s="3">
        <v>1.9862522</v>
      </c>
      <c r="AN942" s="3">
        <v>1.9693396999999999</v>
      </c>
      <c r="AO942" s="3">
        <v>1.9535625999999999</v>
      </c>
      <c r="AP942" s="3">
        <v>1.9388418999999999</v>
      </c>
      <c r="AQ942" s="3">
        <v>1.9251069999999999</v>
      </c>
      <c r="AR942" s="3">
        <v>1.9122873</v>
      </c>
      <c r="AS942" s="3">
        <v>1.9003123</v>
      </c>
      <c r="AT942" s="3">
        <v>1.8891112000000001</v>
      </c>
      <c r="AU942" s="3">
        <v>1.8786136</v>
      </c>
      <c r="AV942" s="3">
        <v>1.8687488999999999</v>
      </c>
      <c r="AW942" s="3">
        <v>1.8594463000000001</v>
      </c>
      <c r="AX942" s="3">
        <v>1.8506354</v>
      </c>
      <c r="AY942" s="3">
        <v>1.8422456</v>
      </c>
      <c r="AZ942" s="3">
        <v>1.8342061999999999</v>
      </c>
      <c r="BA942" s="3">
        <v>1.8264556000000001</v>
      </c>
      <c r="BB942" s="3">
        <v>1.8189804000000001</v>
      </c>
      <c r="BC942" s="3">
        <v>1.8117833000000001</v>
      </c>
      <c r="BD942" s="3">
        <v>1.804867</v>
      </c>
      <c r="BE942" s="3">
        <v>1.7982343999999999</v>
      </c>
      <c r="BF942" s="3">
        <v>1.7918881</v>
      </c>
      <c r="BG942" s="3">
        <v>1.7858309000000001</v>
      </c>
      <c r="BH942" s="3">
        <v>1.7800655000000001</v>
      </c>
      <c r="BI942" s="3">
        <v>1.7745947</v>
      </c>
      <c r="BJ942" s="3">
        <v>1.7694213000000001</v>
      </c>
      <c r="BK942" s="3">
        <v>1.764548</v>
      </c>
      <c r="BL942" s="3">
        <v>1.7599773999999999</v>
      </c>
      <c r="BM942" s="3">
        <v>1.7389669000000001</v>
      </c>
      <c r="BN942" s="3">
        <v>1.7289338000000001</v>
      </c>
    </row>
    <row r="943" spans="1:66" x14ac:dyDescent="0.35">
      <c r="A943" s="5">
        <f t="shared" si="14"/>
        <v>44775</v>
      </c>
      <c r="B943" t="s">
        <v>2278</v>
      </c>
      <c r="C943" s="2">
        <v>1.25</v>
      </c>
      <c r="D943" s="2">
        <v>1.1911</v>
      </c>
      <c r="E943" s="3">
        <v>1.7325915999999999</v>
      </c>
      <c r="F943" s="3">
        <v>2.0108598</v>
      </c>
      <c r="G943" s="3">
        <v>2.2689815000000002</v>
      </c>
      <c r="H943" s="3">
        <v>2.4853225000000001</v>
      </c>
      <c r="I943" s="3">
        <v>2.6453142000000001</v>
      </c>
      <c r="J943" s="3">
        <v>2.7518346</v>
      </c>
      <c r="K943" s="3">
        <v>2.8149608000000002</v>
      </c>
      <c r="L943" s="3">
        <v>2.8473788999999998</v>
      </c>
      <c r="M943" s="3">
        <v>2.8603611999999998</v>
      </c>
      <c r="N943" s="3">
        <v>2.8616196999999999</v>
      </c>
      <c r="O943" s="3">
        <v>2.8549264999999999</v>
      </c>
      <c r="P943" s="3">
        <v>2.8417740999999999</v>
      </c>
      <c r="Q943" s="3">
        <v>2.8218930000000002</v>
      </c>
      <c r="R943" s="3">
        <v>2.7958443000000002</v>
      </c>
      <c r="S943" s="3">
        <v>2.7645141999999998</v>
      </c>
      <c r="T943" s="3">
        <v>2.7287889999999999</v>
      </c>
      <c r="U943" s="3">
        <v>2.6895549999999999</v>
      </c>
      <c r="V943" s="3">
        <v>2.6476985000000002</v>
      </c>
      <c r="W943" s="3">
        <v>2.6040787000000001</v>
      </c>
      <c r="X943" s="3">
        <v>2.5594286999999998</v>
      </c>
      <c r="Y943" s="3">
        <v>2.5144453000000002</v>
      </c>
      <c r="Z943" s="3">
        <v>2.4698253999999999</v>
      </c>
      <c r="AA943" s="3">
        <v>2.4262655999999998</v>
      </c>
      <c r="AB943" s="3">
        <v>2.3844626999999998</v>
      </c>
      <c r="AC943" s="3">
        <v>2.3449922000000001</v>
      </c>
      <c r="AD943" s="3">
        <v>2.3078946999999999</v>
      </c>
      <c r="AE943" s="3">
        <v>2.2730627000000001</v>
      </c>
      <c r="AF943" s="3">
        <v>2.2403890999999998</v>
      </c>
      <c r="AG943" s="3">
        <v>2.2097666</v>
      </c>
      <c r="AH943" s="3">
        <v>2.1810881000000002</v>
      </c>
      <c r="AI943" s="3">
        <v>2.1542462000000002</v>
      </c>
      <c r="AJ943" s="3">
        <v>2.1291338</v>
      </c>
      <c r="AK943" s="3">
        <v>2.1056434999999998</v>
      </c>
      <c r="AL943" s="3">
        <v>2.0836682</v>
      </c>
      <c r="AM943" s="3">
        <v>2.0631005999999998</v>
      </c>
      <c r="AN943" s="3">
        <v>2.0438334</v>
      </c>
      <c r="AO943" s="3">
        <v>2.0257637000000002</v>
      </c>
      <c r="AP943" s="3">
        <v>2.0088105999999999</v>
      </c>
      <c r="AQ943" s="3">
        <v>1.9929007999999999</v>
      </c>
      <c r="AR943" s="3">
        <v>1.9779610999999999</v>
      </c>
      <c r="AS943" s="3">
        <v>1.9639181000000001</v>
      </c>
      <c r="AT943" s="3">
        <v>1.9506988000000001</v>
      </c>
      <c r="AU943" s="3">
        <v>1.9382296999999999</v>
      </c>
      <c r="AV943" s="3">
        <v>1.9264376000000001</v>
      </c>
      <c r="AW943" s="3">
        <v>1.9152492000000001</v>
      </c>
      <c r="AX943" s="3">
        <v>1.9045913000000001</v>
      </c>
      <c r="AY943" s="3">
        <v>1.8943905999999999</v>
      </c>
      <c r="AZ943" s="3">
        <v>1.8845738000000001</v>
      </c>
      <c r="BA943" s="3">
        <v>1.8750777999999999</v>
      </c>
      <c r="BB943" s="3">
        <v>1.8658891</v>
      </c>
      <c r="BC943" s="3">
        <v>1.8570091</v>
      </c>
      <c r="BD943" s="3">
        <v>1.8484392999999999</v>
      </c>
      <c r="BE943" s="3">
        <v>1.8401813</v>
      </c>
      <c r="BF943" s="3">
        <v>1.8322365</v>
      </c>
      <c r="BG943" s="3">
        <v>1.8246064</v>
      </c>
      <c r="BH943" s="3">
        <v>1.8172926</v>
      </c>
      <c r="BI943" s="3">
        <v>1.8102965</v>
      </c>
      <c r="BJ943" s="3">
        <v>1.8036197</v>
      </c>
      <c r="BK943" s="3">
        <v>1.7972636</v>
      </c>
      <c r="BL943" s="3">
        <v>1.7912298</v>
      </c>
      <c r="BM943" s="3">
        <v>1.7618988</v>
      </c>
      <c r="BN943" s="3">
        <v>1.7446747</v>
      </c>
    </row>
    <row r="944" spans="1:66" x14ac:dyDescent="0.35">
      <c r="A944" s="5">
        <f t="shared" si="14"/>
        <v>44776</v>
      </c>
      <c r="B944" t="s">
        <v>2279</v>
      </c>
      <c r="C944" s="2">
        <v>1.25</v>
      </c>
      <c r="D944" s="2">
        <v>1.1911</v>
      </c>
      <c r="E944" s="3">
        <v>1.7297445</v>
      </c>
      <c r="F944" s="3">
        <v>2.0266400999999998</v>
      </c>
      <c r="G944" s="3">
        <v>2.2995258000000001</v>
      </c>
      <c r="H944" s="3">
        <v>2.5279620999999999</v>
      </c>
      <c r="I944" s="3">
        <v>2.6957469000000001</v>
      </c>
      <c r="J944" s="3">
        <v>2.8085849000000001</v>
      </c>
      <c r="K944" s="3">
        <v>2.8777624999999998</v>
      </c>
      <c r="L944" s="3">
        <v>2.9165051000000002</v>
      </c>
      <c r="M944" s="3">
        <v>2.9362821000000001</v>
      </c>
      <c r="N944" s="3">
        <v>2.9442423</v>
      </c>
      <c r="O944" s="3">
        <v>2.9438566000000002</v>
      </c>
      <c r="P944" s="3">
        <v>2.9357793000000001</v>
      </c>
      <c r="Q944" s="3">
        <v>2.9186627999999999</v>
      </c>
      <c r="R944" s="3">
        <v>2.8931917</v>
      </c>
      <c r="S944" s="3">
        <v>2.8606853999999999</v>
      </c>
      <c r="T944" s="3">
        <v>2.8224629999999999</v>
      </c>
      <c r="U944" s="3">
        <v>2.7798436</v>
      </c>
      <c r="V944" s="3">
        <v>2.7341465</v>
      </c>
      <c r="W944" s="3">
        <v>2.6866265</v>
      </c>
      <c r="X944" s="3">
        <v>2.6381733999999999</v>
      </c>
      <c r="Y944" s="3">
        <v>2.5895488000000002</v>
      </c>
      <c r="Z944" s="3">
        <v>2.5415139999999998</v>
      </c>
      <c r="AA944" s="3">
        <v>2.4948305</v>
      </c>
      <c r="AB944" s="3">
        <v>2.4502595999999999</v>
      </c>
      <c r="AC944" s="3">
        <v>2.4084506000000001</v>
      </c>
      <c r="AD944" s="3">
        <v>2.3694483000000002</v>
      </c>
      <c r="AE944" s="3">
        <v>2.3330948999999999</v>
      </c>
      <c r="AF944" s="3">
        <v>2.2992325999999998</v>
      </c>
      <c r="AG944" s="3">
        <v>2.2677033</v>
      </c>
      <c r="AH944" s="3">
        <v>2.2383492</v>
      </c>
      <c r="AI944" s="3">
        <v>2.2110124</v>
      </c>
      <c r="AJ944" s="3">
        <v>2.1855349999999998</v>
      </c>
      <c r="AK944" s="3">
        <v>2.1617590999999998</v>
      </c>
      <c r="AL944" s="3">
        <v>2.1395266999999998</v>
      </c>
      <c r="AM944" s="3">
        <v>2.1186799000000001</v>
      </c>
      <c r="AN944" s="3">
        <v>2.0990609</v>
      </c>
      <c r="AO944" s="3">
        <v>2.0805240999999999</v>
      </c>
      <c r="AP944" s="3">
        <v>2.0629845000000002</v>
      </c>
      <c r="AQ944" s="3">
        <v>2.0463751999999999</v>
      </c>
      <c r="AR944" s="3">
        <v>2.0306296000000001</v>
      </c>
      <c r="AS944" s="3">
        <v>2.0156809999999998</v>
      </c>
      <c r="AT944" s="3">
        <v>2.0014626</v>
      </c>
      <c r="AU944" s="3">
        <v>1.9879077000000001</v>
      </c>
      <c r="AV944" s="3">
        <v>1.9749496</v>
      </c>
      <c r="AW944" s="3">
        <v>1.9625216000000001</v>
      </c>
      <c r="AX944" s="3">
        <v>1.9505570000000001</v>
      </c>
      <c r="AY944" s="3">
        <v>1.9389890999999999</v>
      </c>
      <c r="AZ944" s="3">
        <v>1.927751</v>
      </c>
      <c r="BA944" s="3">
        <v>1.9167875000000001</v>
      </c>
      <c r="BB944" s="3">
        <v>1.9060931000000001</v>
      </c>
      <c r="BC944" s="3">
        <v>1.8956759000000001</v>
      </c>
      <c r="BD944" s="3">
        <v>1.8855445</v>
      </c>
      <c r="BE944" s="3">
        <v>1.8757069</v>
      </c>
      <c r="BF944" s="3">
        <v>1.8661715999999999</v>
      </c>
      <c r="BG944" s="3">
        <v>1.8569469000000001</v>
      </c>
      <c r="BH944" s="3">
        <v>1.8480409</v>
      </c>
      <c r="BI944" s="3">
        <v>1.8394621</v>
      </c>
      <c r="BJ944" s="3">
        <v>1.8312188</v>
      </c>
      <c r="BK944" s="3">
        <v>1.8233192</v>
      </c>
      <c r="BL944" s="3">
        <v>1.8157715999999999</v>
      </c>
      <c r="BM944" s="3">
        <v>1.778127</v>
      </c>
      <c r="BN944" s="3">
        <v>1.7539340000000001</v>
      </c>
    </row>
    <row r="945" spans="1:66" x14ac:dyDescent="0.35">
      <c r="A945" s="5">
        <f t="shared" si="14"/>
        <v>44777</v>
      </c>
      <c r="B945" t="s">
        <v>2280</v>
      </c>
      <c r="C945" s="2">
        <v>1.75</v>
      </c>
      <c r="D945" s="2">
        <v>1.6886000000000001</v>
      </c>
      <c r="E945" s="3">
        <v>1.7819677</v>
      </c>
      <c r="F945" s="3">
        <v>2.0812404999999998</v>
      </c>
      <c r="G945" s="3">
        <v>2.3458700000000001</v>
      </c>
      <c r="H945" s="3">
        <v>2.5638516</v>
      </c>
      <c r="I945" s="3">
        <v>2.7233931999999998</v>
      </c>
      <c r="J945" s="3">
        <v>2.8281139</v>
      </c>
      <c r="K945" s="3">
        <v>2.8889681</v>
      </c>
      <c r="L945" s="3">
        <v>2.9167353</v>
      </c>
      <c r="M945" s="3">
        <v>2.9231452999999998</v>
      </c>
      <c r="N945" s="3">
        <v>2.9160029999999999</v>
      </c>
      <c r="O945" s="3">
        <v>2.9001058</v>
      </c>
      <c r="P945" s="3">
        <v>2.8781172000000002</v>
      </c>
      <c r="Q945" s="3">
        <v>2.8521968000000002</v>
      </c>
      <c r="R945" s="3">
        <v>2.8230198</v>
      </c>
      <c r="S945" s="3">
        <v>2.790867</v>
      </c>
      <c r="T945" s="3">
        <v>2.7560191000000001</v>
      </c>
      <c r="U945" s="3">
        <v>2.7187568999999998</v>
      </c>
      <c r="V945" s="3">
        <v>2.6793610999999999</v>
      </c>
      <c r="W945" s="3">
        <v>2.6381638999999999</v>
      </c>
      <c r="X945" s="3">
        <v>2.5957621</v>
      </c>
      <c r="Y945" s="3">
        <v>2.5528366</v>
      </c>
      <c r="Z945" s="3">
        <v>2.5100685999999999</v>
      </c>
      <c r="AA945" s="3">
        <v>2.4681389999999999</v>
      </c>
      <c r="AB945" s="3">
        <v>2.4277291000000001</v>
      </c>
      <c r="AC945" s="3">
        <v>2.3894156</v>
      </c>
      <c r="AD945" s="3">
        <v>2.3532665000000001</v>
      </c>
      <c r="AE945" s="3">
        <v>2.3191951999999998</v>
      </c>
      <c r="AF945" s="3">
        <v>2.2871152000000001</v>
      </c>
      <c r="AG945" s="3">
        <v>2.2569397000000002</v>
      </c>
      <c r="AH945" s="3">
        <v>2.2285821000000001</v>
      </c>
      <c r="AI945" s="3">
        <v>2.2019557000000001</v>
      </c>
      <c r="AJ945" s="3">
        <v>2.1769739000000001</v>
      </c>
      <c r="AK945" s="3">
        <v>2.1535498999999998</v>
      </c>
      <c r="AL945" s="3">
        <v>2.1315971999999999</v>
      </c>
      <c r="AM945" s="3">
        <v>2.1110291000000001</v>
      </c>
      <c r="AN945" s="3">
        <v>2.0917590000000001</v>
      </c>
      <c r="AO945" s="3">
        <v>2.0737005000000002</v>
      </c>
      <c r="AP945" s="3">
        <v>2.0567693999999999</v>
      </c>
      <c r="AQ945" s="3">
        <v>2.0408819999999999</v>
      </c>
      <c r="AR945" s="3">
        <v>2.0259543999999998</v>
      </c>
      <c r="AS945" s="3">
        <v>2.0119028000000001</v>
      </c>
      <c r="AT945" s="3">
        <v>1.9986435</v>
      </c>
      <c r="AU945" s="3">
        <v>1.9860928</v>
      </c>
      <c r="AV945" s="3">
        <v>1.9741667000000001</v>
      </c>
      <c r="AW945" s="3">
        <v>1.9627816</v>
      </c>
      <c r="AX945" s="3">
        <v>1.9518536</v>
      </c>
      <c r="AY945" s="3">
        <v>1.9412990000000001</v>
      </c>
      <c r="AZ945" s="3">
        <v>1.9310339999999999</v>
      </c>
      <c r="BA945" s="3">
        <v>1.9209890999999999</v>
      </c>
      <c r="BB945" s="3">
        <v>1.9111575999999999</v>
      </c>
      <c r="BC945" s="3">
        <v>1.9015504999999999</v>
      </c>
      <c r="BD945" s="3">
        <v>1.8921783000000001</v>
      </c>
      <c r="BE945" s="3">
        <v>1.8830518999999999</v>
      </c>
      <c r="BF945" s="3">
        <v>1.8741821000000001</v>
      </c>
      <c r="BG945" s="3">
        <v>1.8655796</v>
      </c>
      <c r="BH945" s="3">
        <v>1.8572552</v>
      </c>
      <c r="BI945" s="3">
        <v>1.8492196999999999</v>
      </c>
      <c r="BJ945" s="3">
        <v>1.8414838</v>
      </c>
      <c r="BK945" s="3">
        <v>1.8340584</v>
      </c>
      <c r="BL945" s="3">
        <v>1.8269541</v>
      </c>
      <c r="BM945" s="3">
        <v>1.7914424</v>
      </c>
      <c r="BN945" s="3">
        <v>1.7687885999999999</v>
      </c>
    </row>
    <row r="946" spans="1:66" x14ac:dyDescent="0.35">
      <c r="A946" s="5">
        <f t="shared" si="14"/>
        <v>44778</v>
      </c>
      <c r="B946" t="s">
        <v>2281</v>
      </c>
      <c r="C946" s="2">
        <v>1.75</v>
      </c>
      <c r="D946" s="2">
        <v>1.6902999999999999</v>
      </c>
      <c r="E946" s="3">
        <v>1.7930702000000001</v>
      </c>
      <c r="F946" s="3">
        <v>2.1036155000000001</v>
      </c>
      <c r="G946" s="3">
        <v>2.3925166</v>
      </c>
      <c r="H946" s="3">
        <v>2.6424946</v>
      </c>
      <c r="I946" s="3">
        <v>2.835019</v>
      </c>
      <c r="J946" s="3">
        <v>2.9674233999999999</v>
      </c>
      <c r="K946" s="3">
        <v>3.0477536000000001</v>
      </c>
      <c r="L946" s="3">
        <v>3.0878763999999999</v>
      </c>
      <c r="M946" s="3">
        <v>3.1016178000000001</v>
      </c>
      <c r="N946" s="3">
        <v>3.0987646</v>
      </c>
      <c r="O946" s="3">
        <v>3.0850205000000002</v>
      </c>
      <c r="P946" s="3">
        <v>3.0634070000000002</v>
      </c>
      <c r="Q946" s="3">
        <v>3.0351121000000001</v>
      </c>
      <c r="R946" s="3">
        <v>3.0011375999999998</v>
      </c>
      <c r="S946" s="3">
        <v>2.9625335000000002</v>
      </c>
      <c r="T946" s="3">
        <v>2.9203497</v>
      </c>
      <c r="U946" s="3">
        <v>2.8756358</v>
      </c>
      <c r="V946" s="3">
        <v>2.8294419</v>
      </c>
      <c r="W946" s="3">
        <v>2.7827383000000001</v>
      </c>
      <c r="X946" s="3">
        <v>2.7361271999999999</v>
      </c>
      <c r="Y946" s="3">
        <v>2.6901039</v>
      </c>
      <c r="Z946" s="3">
        <v>2.6451636999999999</v>
      </c>
      <c r="AA946" s="3">
        <v>2.6018020000000002</v>
      </c>
      <c r="AB946" s="3">
        <v>2.5605142999999999</v>
      </c>
      <c r="AC946" s="3">
        <v>2.5217006</v>
      </c>
      <c r="AD946" s="3">
        <v>2.4853418999999999</v>
      </c>
      <c r="AE946" s="3">
        <v>2.4513029</v>
      </c>
      <c r="AF946" s="3">
        <v>2.4194486999999998</v>
      </c>
      <c r="AG946" s="3">
        <v>2.3896440999999999</v>
      </c>
      <c r="AH946" s="3">
        <v>2.3617539999999999</v>
      </c>
      <c r="AI946" s="3">
        <v>2.3356433999999999</v>
      </c>
      <c r="AJ946" s="3">
        <v>2.3111771999999999</v>
      </c>
      <c r="AK946" s="3">
        <v>2.2882202999999999</v>
      </c>
      <c r="AL946" s="3">
        <v>2.2666377</v>
      </c>
      <c r="AM946" s="3">
        <v>2.2462941999999999</v>
      </c>
      <c r="AN946" s="3">
        <v>2.2270547999999999</v>
      </c>
      <c r="AO946" s="3">
        <v>2.2087965999999999</v>
      </c>
      <c r="AP946" s="3">
        <v>2.1914505000000002</v>
      </c>
      <c r="AQ946" s="3">
        <v>2.1749622999999998</v>
      </c>
      <c r="AR946" s="3">
        <v>2.1592775999999998</v>
      </c>
      <c r="AS946" s="3">
        <v>2.1443422000000001</v>
      </c>
      <c r="AT946" s="3">
        <v>2.1301019000000001</v>
      </c>
      <c r="AU946" s="3">
        <v>2.1165023999999999</v>
      </c>
      <c r="AV946" s="3">
        <v>2.1034894</v>
      </c>
      <c r="AW946" s="3">
        <v>2.0910087000000002</v>
      </c>
      <c r="AX946" s="3">
        <v>2.0790061</v>
      </c>
      <c r="AY946" s="3">
        <v>2.0674272</v>
      </c>
      <c r="AZ946" s="3">
        <v>2.0562179</v>
      </c>
      <c r="BA946" s="3">
        <v>2.0453329</v>
      </c>
      <c r="BB946" s="3">
        <v>2.0347673999999998</v>
      </c>
      <c r="BC946" s="3">
        <v>2.0245275</v>
      </c>
      <c r="BD946" s="3">
        <v>2.0146194999999998</v>
      </c>
      <c r="BE946" s="3">
        <v>2.0050496</v>
      </c>
      <c r="BF946" s="3">
        <v>1.995824</v>
      </c>
      <c r="BG946" s="3">
        <v>1.9869489</v>
      </c>
      <c r="BH946" s="3">
        <v>1.9784303999999999</v>
      </c>
      <c r="BI946" s="3">
        <v>1.9702748999999999</v>
      </c>
      <c r="BJ946" s="3">
        <v>1.9624884</v>
      </c>
      <c r="BK946" s="3">
        <v>1.9550771</v>
      </c>
      <c r="BL946" s="3">
        <v>1.9480474000000001</v>
      </c>
      <c r="BM946" s="3">
        <v>1.913975</v>
      </c>
      <c r="BN946" s="3">
        <v>1.8936671</v>
      </c>
    </row>
    <row r="947" spans="1:66" x14ac:dyDescent="0.35">
      <c r="A947" s="5">
        <f t="shared" si="14"/>
        <v>44781</v>
      </c>
      <c r="B947" t="s">
        <v>2282</v>
      </c>
      <c r="C947" s="2">
        <v>1.75</v>
      </c>
      <c r="D947" s="2">
        <v>1.69</v>
      </c>
      <c r="E947" s="3">
        <v>1.8029478999999999</v>
      </c>
      <c r="F947" s="3">
        <v>2.1189225</v>
      </c>
      <c r="G947" s="3">
        <v>2.3983886999999999</v>
      </c>
      <c r="H947" s="3">
        <v>2.6335077</v>
      </c>
      <c r="I947" s="3">
        <v>2.8132497000000001</v>
      </c>
      <c r="J947" s="3">
        <v>2.9372269000000002</v>
      </c>
      <c r="K947" s="3">
        <v>3.0131435999999998</v>
      </c>
      <c r="L947" s="3">
        <v>3.0533006</v>
      </c>
      <c r="M947" s="3">
        <v>3.0692821000000001</v>
      </c>
      <c r="N947" s="3">
        <v>3.0702235999999998</v>
      </c>
      <c r="O947" s="3">
        <v>3.0608369999999998</v>
      </c>
      <c r="P947" s="3">
        <v>3.0434125999999999</v>
      </c>
      <c r="Q947" s="3">
        <v>3.0183460000000002</v>
      </c>
      <c r="R947" s="3">
        <v>2.9864210999999998</v>
      </c>
      <c r="S947" s="3">
        <v>2.9486515</v>
      </c>
      <c r="T947" s="3">
        <v>2.9060505999999999</v>
      </c>
      <c r="U947" s="3">
        <v>2.8596316000000002</v>
      </c>
      <c r="V947" s="3">
        <v>2.8104081999999999</v>
      </c>
      <c r="W947" s="3">
        <v>2.7593621000000002</v>
      </c>
      <c r="X947" s="3">
        <v>2.7073292000000002</v>
      </c>
      <c r="Y947" s="3">
        <v>2.655103</v>
      </c>
      <c r="Z947" s="3">
        <v>2.6034769</v>
      </c>
      <c r="AA947" s="3">
        <v>2.5532442999999998</v>
      </c>
      <c r="AB947" s="3">
        <v>2.5051988000000001</v>
      </c>
      <c r="AC947" s="3">
        <v>2.4599937999999999</v>
      </c>
      <c r="AD947" s="3">
        <v>2.4176644999999999</v>
      </c>
      <c r="AE947" s="3">
        <v>2.3780758999999998</v>
      </c>
      <c r="AF947" s="3">
        <v>2.3410924999999998</v>
      </c>
      <c r="AG947" s="3">
        <v>2.3065793000000001</v>
      </c>
      <c r="AH947" s="3">
        <v>2.2744008999999998</v>
      </c>
      <c r="AI947" s="3">
        <v>2.2444221</v>
      </c>
      <c r="AJ947" s="3">
        <v>2.2165077000000002</v>
      </c>
      <c r="AK947" s="3">
        <v>2.1905225000000002</v>
      </c>
      <c r="AL947" s="3">
        <v>2.1663312000000001</v>
      </c>
      <c r="AM947" s="3">
        <v>2.1437986000000002</v>
      </c>
      <c r="AN947" s="3">
        <v>2.1227895000000001</v>
      </c>
      <c r="AO947" s="3">
        <v>2.1031757</v>
      </c>
      <c r="AP947" s="3">
        <v>2.0848599000000001</v>
      </c>
      <c r="AQ947" s="3">
        <v>2.0677538000000002</v>
      </c>
      <c r="AR947" s="3">
        <v>2.0517688000000001</v>
      </c>
      <c r="AS947" s="3">
        <v>2.0368162999999999</v>
      </c>
      <c r="AT947" s="3">
        <v>2.0228077</v>
      </c>
      <c r="AU947" s="3">
        <v>2.0096546000000002</v>
      </c>
      <c r="AV947" s="3">
        <v>1.9972684000000001</v>
      </c>
      <c r="AW947" s="3">
        <v>1.9855605000000001</v>
      </c>
      <c r="AX947" s="3">
        <v>1.9744424</v>
      </c>
      <c r="AY947" s="3">
        <v>1.9638256000000001</v>
      </c>
      <c r="AZ947" s="3">
        <v>1.9536214999999999</v>
      </c>
      <c r="BA947" s="3">
        <v>1.9437525</v>
      </c>
      <c r="BB947" s="3">
        <v>1.9341997</v>
      </c>
      <c r="BC947" s="3">
        <v>1.9249641</v>
      </c>
      <c r="BD947" s="3">
        <v>1.9160466</v>
      </c>
      <c r="BE947" s="3">
        <v>1.907448</v>
      </c>
      <c r="BF947" s="3">
        <v>1.8991693000000001</v>
      </c>
      <c r="BG947" s="3">
        <v>1.8912112999999999</v>
      </c>
      <c r="BH947" s="3">
        <v>1.883575</v>
      </c>
      <c r="BI947" s="3">
        <v>1.8762612000000001</v>
      </c>
      <c r="BJ947" s="3">
        <v>1.8692709000000001</v>
      </c>
      <c r="BK947" s="3">
        <v>1.8626050000000001</v>
      </c>
      <c r="BL947" s="3">
        <v>1.8562643000000001</v>
      </c>
      <c r="BM947" s="3">
        <v>1.8250892000000001</v>
      </c>
      <c r="BN947" s="3">
        <v>1.8057775</v>
      </c>
    </row>
    <row r="948" spans="1:66" x14ac:dyDescent="0.35">
      <c r="A948" s="5">
        <f t="shared" si="14"/>
        <v>44782</v>
      </c>
      <c r="B948" t="s">
        <v>2283</v>
      </c>
      <c r="C948" s="2">
        <v>1.75</v>
      </c>
      <c r="D948" s="2">
        <v>1.6904999999999999</v>
      </c>
      <c r="E948" s="3">
        <v>1.8134432</v>
      </c>
      <c r="F948" s="3">
        <v>2.1375294</v>
      </c>
      <c r="G948" s="3">
        <v>2.4242404999999998</v>
      </c>
      <c r="H948" s="3">
        <v>2.6689935999999999</v>
      </c>
      <c r="I948" s="3">
        <v>2.8597027000000002</v>
      </c>
      <c r="J948" s="3">
        <v>2.9942578000000002</v>
      </c>
      <c r="K948" s="3">
        <v>3.0790731999999998</v>
      </c>
      <c r="L948" s="3">
        <v>3.1258976999999999</v>
      </c>
      <c r="M948" s="3">
        <v>3.1464679000000002</v>
      </c>
      <c r="N948" s="3">
        <v>3.1502650999999999</v>
      </c>
      <c r="O948" s="3">
        <v>3.1425097000000002</v>
      </c>
      <c r="P948" s="3">
        <v>3.1259803000000002</v>
      </c>
      <c r="Q948" s="3">
        <v>3.1017633</v>
      </c>
      <c r="R948" s="3">
        <v>3.0708098000000001</v>
      </c>
      <c r="S948" s="3">
        <v>3.0341315</v>
      </c>
      <c r="T948" s="3">
        <v>2.99274</v>
      </c>
      <c r="U948" s="3">
        <v>2.9476467999999998</v>
      </c>
      <c r="V948" s="3">
        <v>2.8998634999999999</v>
      </c>
      <c r="W948" s="3">
        <v>2.8503566999999999</v>
      </c>
      <c r="X948" s="3">
        <v>2.7998843</v>
      </c>
      <c r="Y948" s="3">
        <v>2.7491433999999999</v>
      </c>
      <c r="Z948" s="3">
        <v>2.6988314999999998</v>
      </c>
      <c r="AA948" s="3">
        <v>2.6496458999999999</v>
      </c>
      <c r="AB948" s="3">
        <v>2.6022837999999999</v>
      </c>
      <c r="AC948" s="3">
        <v>2.5573231999999999</v>
      </c>
      <c r="AD948" s="3">
        <v>2.5148139999999999</v>
      </c>
      <c r="AE948" s="3">
        <v>2.4746610000000002</v>
      </c>
      <c r="AF948" s="3">
        <v>2.4367687</v>
      </c>
      <c r="AG948" s="3">
        <v>2.4010416000000001</v>
      </c>
      <c r="AH948" s="3">
        <v>2.3673844000000002</v>
      </c>
      <c r="AI948" s="3">
        <v>2.3357014999999999</v>
      </c>
      <c r="AJ948" s="3">
        <v>2.3058974999999999</v>
      </c>
      <c r="AK948" s="3">
        <v>2.2778771</v>
      </c>
      <c r="AL948" s="3">
        <v>2.2515447000000002</v>
      </c>
      <c r="AM948" s="3">
        <v>2.2268050000000001</v>
      </c>
      <c r="AN948" s="3">
        <v>2.2035624999999999</v>
      </c>
      <c r="AO948" s="3">
        <v>2.1817229999999999</v>
      </c>
      <c r="AP948" s="3">
        <v>2.1611984999999998</v>
      </c>
      <c r="AQ948" s="3">
        <v>2.1419031999999998</v>
      </c>
      <c r="AR948" s="3">
        <v>2.1237514000000002</v>
      </c>
      <c r="AS948" s="3">
        <v>2.1066571000000001</v>
      </c>
      <c r="AT948" s="3">
        <v>2.0905347000000001</v>
      </c>
      <c r="AU948" s="3">
        <v>2.0752983</v>
      </c>
      <c r="AV948" s="3">
        <v>2.0608621</v>
      </c>
      <c r="AW948" s="3">
        <v>2.0471403000000001</v>
      </c>
      <c r="AX948" s="3">
        <v>2.0340471</v>
      </c>
      <c r="AY948" s="3">
        <v>2.0214967000000001</v>
      </c>
      <c r="AZ948" s="3">
        <v>2.0094031999999999</v>
      </c>
      <c r="BA948" s="3">
        <v>1.9976923</v>
      </c>
      <c r="BB948" s="3">
        <v>1.9863443000000001</v>
      </c>
      <c r="BC948" s="3">
        <v>1.9753563999999999</v>
      </c>
      <c r="BD948" s="3">
        <v>1.9647257</v>
      </c>
      <c r="BE948" s="3">
        <v>1.9544495</v>
      </c>
      <c r="BF948" s="3">
        <v>1.9445250000000001</v>
      </c>
      <c r="BG948" s="3">
        <v>1.9349491999999999</v>
      </c>
      <c r="BH948" s="3">
        <v>1.9257195</v>
      </c>
      <c r="BI948" s="3">
        <v>1.9168329</v>
      </c>
      <c r="BJ948" s="3">
        <v>1.9082866999999999</v>
      </c>
      <c r="BK948" s="3">
        <v>1.9000779999999999</v>
      </c>
      <c r="BL948" s="3">
        <v>1.8922041000000001</v>
      </c>
      <c r="BM948" s="3">
        <v>1.852015</v>
      </c>
      <c r="BN948" s="3">
        <v>1.8242786</v>
      </c>
    </row>
    <row r="949" spans="1:66" x14ac:dyDescent="0.35">
      <c r="A949" s="5">
        <f t="shared" si="14"/>
        <v>44783</v>
      </c>
      <c r="B949" t="s">
        <v>2284</v>
      </c>
      <c r="C949" s="2">
        <v>1.75</v>
      </c>
      <c r="D949" s="2">
        <v>1.6898</v>
      </c>
      <c r="E949" s="3">
        <v>1.8179430000000001</v>
      </c>
      <c r="F949" s="3">
        <v>2.1477170999999999</v>
      </c>
      <c r="G949" s="3">
        <v>2.4242704000000002</v>
      </c>
      <c r="H949" s="3">
        <v>2.6527557000000002</v>
      </c>
      <c r="I949" s="3">
        <v>2.8289412999999999</v>
      </c>
      <c r="J949" s="3">
        <v>2.9541884999999999</v>
      </c>
      <c r="K949" s="3">
        <v>3.0336550999999998</v>
      </c>
      <c r="L949" s="3">
        <v>3.0763748</v>
      </c>
      <c r="M949" s="3">
        <v>3.0921854999999998</v>
      </c>
      <c r="N949" s="3">
        <v>3.0894895999999998</v>
      </c>
      <c r="O949" s="3">
        <v>3.0741656000000002</v>
      </c>
      <c r="P949" s="3">
        <v>3.0496938999999998</v>
      </c>
      <c r="Q949" s="3">
        <v>3.0192021000000002</v>
      </c>
      <c r="R949" s="3">
        <v>2.9839012</v>
      </c>
      <c r="S949" s="3">
        <v>2.9444743</v>
      </c>
      <c r="T949" s="3">
        <v>2.9016041000000001</v>
      </c>
      <c r="U949" s="3">
        <v>2.8559736</v>
      </c>
      <c r="V949" s="3">
        <v>2.8082658</v>
      </c>
      <c r="W949" s="3">
        <v>2.7591644</v>
      </c>
      <c r="X949" s="3">
        <v>2.7093585</v>
      </c>
      <c r="Y949" s="3">
        <v>2.6595385999999999</v>
      </c>
      <c r="Z949" s="3">
        <v>2.6103955000000001</v>
      </c>
      <c r="AA949" s="3">
        <v>2.5626199999999999</v>
      </c>
      <c r="AB949" s="3">
        <v>2.5169028</v>
      </c>
      <c r="AC949" s="3">
        <v>2.4738353000000002</v>
      </c>
      <c r="AD949" s="3">
        <v>2.4334745</v>
      </c>
      <c r="AE949" s="3">
        <v>2.3956984000000001</v>
      </c>
      <c r="AF949" s="3">
        <v>2.3603847</v>
      </c>
      <c r="AG949" s="3">
        <v>2.3274111</v>
      </c>
      <c r="AH949" s="3">
        <v>2.2966552999999998</v>
      </c>
      <c r="AI949" s="3">
        <v>2.2679950999999998</v>
      </c>
      <c r="AJ949" s="3">
        <v>2.2413082000000002</v>
      </c>
      <c r="AK949" s="3">
        <v>2.2164723999999998</v>
      </c>
      <c r="AL949" s="3">
        <v>2.1933653</v>
      </c>
      <c r="AM949" s="3">
        <v>2.1718647999999998</v>
      </c>
      <c r="AN949" s="3">
        <v>2.1518486000000001</v>
      </c>
      <c r="AO949" s="3">
        <v>2.1331975999999999</v>
      </c>
      <c r="AP949" s="3">
        <v>2.1158095000000001</v>
      </c>
      <c r="AQ949" s="3">
        <v>2.0995864000000002</v>
      </c>
      <c r="AR949" s="3">
        <v>2.0844309000000001</v>
      </c>
      <c r="AS949" s="3">
        <v>2.0702451000000002</v>
      </c>
      <c r="AT949" s="3">
        <v>2.0569316</v>
      </c>
      <c r="AU949" s="3">
        <v>2.0443926000000001</v>
      </c>
      <c r="AV949" s="3">
        <v>2.0325305</v>
      </c>
      <c r="AW949" s="3">
        <v>2.0212477999999998</v>
      </c>
      <c r="AX949" s="3">
        <v>2.0104467000000001</v>
      </c>
      <c r="AY949" s="3">
        <v>2.0000296</v>
      </c>
      <c r="AZ949" s="3">
        <v>1.9898989</v>
      </c>
      <c r="BA949" s="3">
        <v>1.9799728000000001</v>
      </c>
      <c r="BB949" s="3">
        <v>1.9702398999999999</v>
      </c>
      <c r="BC949" s="3">
        <v>1.9607081</v>
      </c>
      <c r="BD949" s="3">
        <v>1.9513853000000001</v>
      </c>
      <c r="BE949" s="3">
        <v>1.9422793</v>
      </c>
      <c r="BF949" s="3">
        <v>1.9333982000000001</v>
      </c>
      <c r="BG949" s="3">
        <v>1.9247495999999999</v>
      </c>
      <c r="BH949" s="3">
        <v>1.9163417</v>
      </c>
      <c r="BI949" s="3">
        <v>1.9081821999999999</v>
      </c>
      <c r="BJ949" s="3">
        <v>1.9002791000000001</v>
      </c>
      <c r="BK949" s="3">
        <v>1.8926402</v>
      </c>
      <c r="BL949" s="3">
        <v>1.8852735</v>
      </c>
      <c r="BM949" s="3">
        <v>1.8471624</v>
      </c>
      <c r="BN949" s="3">
        <v>1.8204239</v>
      </c>
    </row>
    <row r="950" spans="1:66" x14ac:dyDescent="0.35">
      <c r="A950" s="5">
        <f t="shared" si="14"/>
        <v>44784</v>
      </c>
      <c r="B950" t="s">
        <v>2285</v>
      </c>
      <c r="C950" s="2">
        <v>1.75</v>
      </c>
      <c r="D950" s="2">
        <v>1.6903999999999999</v>
      </c>
      <c r="E950" s="3">
        <v>1.8250743</v>
      </c>
      <c r="F950" s="3">
        <v>2.1591797000000001</v>
      </c>
      <c r="G950" s="3">
        <v>2.4407356999999998</v>
      </c>
      <c r="H950" s="3">
        <v>2.6763805000000001</v>
      </c>
      <c r="I950" s="3">
        <v>2.8617821999999999</v>
      </c>
      <c r="J950" s="3">
        <v>2.9962067000000001</v>
      </c>
      <c r="K950" s="3">
        <v>3.0853511</v>
      </c>
      <c r="L950" s="3">
        <v>3.1356910999999998</v>
      </c>
      <c r="M950" s="3">
        <v>3.1570935000000002</v>
      </c>
      <c r="N950" s="3">
        <v>3.1575662000000002</v>
      </c>
      <c r="O950" s="3">
        <v>3.1432628</v>
      </c>
      <c r="P950" s="3">
        <v>3.1185239</v>
      </c>
      <c r="Q950" s="3">
        <v>3.0875096000000002</v>
      </c>
      <c r="R950" s="3">
        <v>3.0517519000000002</v>
      </c>
      <c r="S950" s="3">
        <v>3.0120627</v>
      </c>
      <c r="T950" s="3">
        <v>2.9692539</v>
      </c>
      <c r="U950" s="3">
        <v>2.9241375000000001</v>
      </c>
      <c r="V950" s="3">
        <v>2.8775254000000001</v>
      </c>
      <c r="W950" s="3">
        <v>2.8301902000000001</v>
      </c>
      <c r="X950" s="3">
        <v>2.7827027000000002</v>
      </c>
      <c r="Y950" s="3">
        <v>2.7355691000000002</v>
      </c>
      <c r="Z950" s="3">
        <v>2.6892955000000001</v>
      </c>
      <c r="AA950" s="3">
        <v>2.6443884</v>
      </c>
      <c r="AB950" s="3">
        <v>2.6013538</v>
      </c>
      <c r="AC950" s="3">
        <v>2.5606165000000001</v>
      </c>
      <c r="AD950" s="3">
        <v>2.5222036000000001</v>
      </c>
      <c r="AE950" s="3">
        <v>2.4860213</v>
      </c>
      <c r="AF950" s="3">
        <v>2.4519755999999999</v>
      </c>
      <c r="AG950" s="3">
        <v>2.4199727000000002</v>
      </c>
      <c r="AH950" s="3">
        <v>2.3899187</v>
      </c>
      <c r="AI950" s="3">
        <v>2.3617197000000001</v>
      </c>
      <c r="AJ950" s="3">
        <v>2.3352818000000002</v>
      </c>
      <c r="AK950" s="3">
        <v>2.3105112999999999</v>
      </c>
      <c r="AL950" s="3">
        <v>2.2873141000000001</v>
      </c>
      <c r="AM950" s="3">
        <v>2.2655965</v>
      </c>
      <c r="AN950" s="3">
        <v>2.2452645000000002</v>
      </c>
      <c r="AO950" s="3">
        <v>2.2262260999999999</v>
      </c>
      <c r="AP950" s="3">
        <v>2.2083974</v>
      </c>
      <c r="AQ950" s="3">
        <v>2.1916967999999999</v>
      </c>
      <c r="AR950" s="3">
        <v>2.1760427</v>
      </c>
      <c r="AS950" s="3">
        <v>2.1613533999999999</v>
      </c>
      <c r="AT950" s="3">
        <v>2.1475472999999998</v>
      </c>
      <c r="AU950" s="3">
        <v>2.1345426999999999</v>
      </c>
      <c r="AV950" s="3">
        <v>2.122258</v>
      </c>
      <c r="AW950" s="3">
        <v>2.1106115999999999</v>
      </c>
      <c r="AX950" s="3">
        <v>2.0995219000000001</v>
      </c>
      <c r="AY950" s="3">
        <v>2.0889071000000001</v>
      </c>
      <c r="AZ950" s="3">
        <v>2.0786856999999999</v>
      </c>
      <c r="BA950" s="3">
        <v>2.0687883999999999</v>
      </c>
      <c r="BB950" s="3">
        <v>2.0592000000000001</v>
      </c>
      <c r="BC950" s="3">
        <v>2.0499206999999999</v>
      </c>
      <c r="BD950" s="3">
        <v>2.0409503999999998</v>
      </c>
      <c r="BE950" s="3">
        <v>2.0322889000000002</v>
      </c>
      <c r="BF950" s="3">
        <v>2.0239365</v>
      </c>
      <c r="BG950" s="3">
        <v>2.0158928999999999</v>
      </c>
      <c r="BH950" s="3">
        <v>2.0081582</v>
      </c>
      <c r="BI950" s="3">
        <v>2.0007324</v>
      </c>
      <c r="BJ950" s="3">
        <v>1.9936153999999999</v>
      </c>
      <c r="BK950" s="3">
        <v>1.9868072999999999</v>
      </c>
      <c r="BL950" s="3">
        <v>1.9803078999999999</v>
      </c>
      <c r="BM950" s="3">
        <v>1.9478565999999999</v>
      </c>
      <c r="BN950" s="3">
        <v>1.9268902999999999</v>
      </c>
    </row>
    <row r="951" spans="1:66" x14ac:dyDescent="0.35">
      <c r="A951" s="5">
        <f t="shared" si="14"/>
        <v>44785</v>
      </c>
      <c r="B951" t="s">
        <v>2286</v>
      </c>
      <c r="C951" s="2">
        <v>1.75</v>
      </c>
      <c r="D951" s="2">
        <v>1.6897</v>
      </c>
      <c r="E951" s="3">
        <v>1.8368606000000001</v>
      </c>
      <c r="F951" s="3">
        <v>2.1806161999999998</v>
      </c>
      <c r="G951" s="3">
        <v>2.4706986</v>
      </c>
      <c r="H951" s="3">
        <v>2.7163417000000001</v>
      </c>
      <c r="I951" s="3">
        <v>2.9144006</v>
      </c>
      <c r="J951" s="3">
        <v>3.0622932</v>
      </c>
      <c r="K951" s="3">
        <v>3.1637852999999998</v>
      </c>
      <c r="L951" s="3">
        <v>3.2251311999999999</v>
      </c>
      <c r="M951" s="3">
        <v>3.2555814999999999</v>
      </c>
      <c r="N951" s="3">
        <v>3.2629883</v>
      </c>
      <c r="O951" s="3">
        <v>3.2532168000000001</v>
      </c>
      <c r="P951" s="3">
        <v>3.2308309999999998</v>
      </c>
      <c r="Q951" s="3">
        <v>3.2000597000000002</v>
      </c>
      <c r="R951" s="3">
        <v>3.1628753000000001</v>
      </c>
      <c r="S951" s="3">
        <v>3.1205335000000001</v>
      </c>
      <c r="T951" s="3">
        <v>3.0742894000000001</v>
      </c>
      <c r="U951" s="3">
        <v>3.0253985000000001</v>
      </c>
      <c r="V951" s="3">
        <v>2.9751161000000002</v>
      </c>
      <c r="W951" s="3">
        <v>2.9245774</v>
      </c>
      <c r="X951" s="3">
        <v>2.8743607999999998</v>
      </c>
      <c r="Y951" s="3">
        <v>2.8248831000000001</v>
      </c>
      <c r="Z951" s="3">
        <v>2.7765613</v>
      </c>
      <c r="AA951" s="3">
        <v>2.7298122</v>
      </c>
      <c r="AB951" s="3">
        <v>2.6850527999999998</v>
      </c>
      <c r="AC951" s="3">
        <v>2.6426219999999998</v>
      </c>
      <c r="AD951" s="3">
        <v>2.6025152999999999</v>
      </c>
      <c r="AE951" s="3">
        <v>2.5646331</v>
      </c>
      <c r="AF951" s="3">
        <v>2.5288759000000001</v>
      </c>
      <c r="AG951" s="3">
        <v>2.4951441999999999</v>
      </c>
      <c r="AH951" s="3">
        <v>2.4633386000000002</v>
      </c>
      <c r="AI951" s="3">
        <v>2.4333594000000001</v>
      </c>
      <c r="AJ951" s="3">
        <v>2.4051073999999999</v>
      </c>
      <c r="AK951" s="3">
        <v>2.3784828</v>
      </c>
      <c r="AL951" s="3">
        <v>2.3533862999999999</v>
      </c>
      <c r="AM951" s="3">
        <v>2.3297183000000001</v>
      </c>
      <c r="AN951" s="3">
        <v>2.3073793</v>
      </c>
      <c r="AO951" s="3">
        <v>2.2862746</v>
      </c>
      <c r="AP951" s="3">
        <v>2.2663296000000002</v>
      </c>
      <c r="AQ951" s="3">
        <v>2.2474758000000001</v>
      </c>
      <c r="AR951" s="3">
        <v>2.2296444000000002</v>
      </c>
      <c r="AS951" s="3">
        <v>2.2127667</v>
      </c>
      <c r="AT951" s="3">
        <v>2.1967739000000002</v>
      </c>
      <c r="AU951" s="3">
        <v>2.1815973999999998</v>
      </c>
      <c r="AV951" s="3">
        <v>2.1671684999999998</v>
      </c>
      <c r="AW951" s="3">
        <v>2.1534184999999999</v>
      </c>
      <c r="AX951" s="3">
        <v>2.1402785999999998</v>
      </c>
      <c r="AY951" s="3">
        <v>2.1276801000000001</v>
      </c>
      <c r="AZ951" s="3">
        <v>2.1155542999999999</v>
      </c>
      <c r="BA951" s="3">
        <v>2.1038426000000001</v>
      </c>
      <c r="BB951" s="3">
        <v>2.0925303999999998</v>
      </c>
      <c r="BC951" s="3">
        <v>2.0816154999999998</v>
      </c>
      <c r="BD951" s="3">
        <v>2.0710956999999999</v>
      </c>
      <c r="BE951" s="3">
        <v>2.0609685</v>
      </c>
      <c r="BF951" s="3">
        <v>2.0512318</v>
      </c>
      <c r="BG951" s="3">
        <v>2.0418832999999998</v>
      </c>
      <c r="BH951" s="3">
        <v>2.0329207</v>
      </c>
      <c r="BI951" s="3">
        <v>2.0243416999999999</v>
      </c>
      <c r="BJ951" s="3">
        <v>2.0161441</v>
      </c>
      <c r="BK951" s="3">
        <v>2.0083255000000002</v>
      </c>
      <c r="BL951" s="3">
        <v>2.0008838</v>
      </c>
      <c r="BM951" s="3">
        <v>1.9641373</v>
      </c>
      <c r="BN951" s="3">
        <v>1.9411016000000001</v>
      </c>
    </row>
    <row r="952" spans="1:66" x14ac:dyDescent="0.35">
      <c r="A952" s="5">
        <f t="shared" si="14"/>
        <v>44788</v>
      </c>
      <c r="B952" t="s">
        <v>2287</v>
      </c>
      <c r="C952" s="2">
        <v>1.75</v>
      </c>
      <c r="D952" s="2">
        <v>1.6895</v>
      </c>
      <c r="E952" s="3">
        <v>1.8525916</v>
      </c>
      <c r="F952" s="3">
        <v>2.2083856000000002</v>
      </c>
      <c r="G952" s="3">
        <v>2.4974892</v>
      </c>
      <c r="H952" s="3">
        <v>2.7368440000000001</v>
      </c>
      <c r="I952" s="3">
        <v>2.9291052</v>
      </c>
      <c r="J952" s="3">
        <v>3.0721601000000001</v>
      </c>
      <c r="K952" s="3">
        <v>3.1689444</v>
      </c>
      <c r="L952" s="3">
        <v>3.2269310999999998</v>
      </c>
      <c r="M952" s="3">
        <v>3.2548517000000001</v>
      </c>
      <c r="N952" s="3">
        <v>3.2614347000000001</v>
      </c>
      <c r="O952" s="3">
        <v>3.2524106000000002</v>
      </c>
      <c r="P952" s="3">
        <v>3.2319955</v>
      </c>
      <c r="Q952" s="3">
        <v>3.2037494</v>
      </c>
      <c r="R952" s="3">
        <v>3.1691888000000001</v>
      </c>
      <c r="S952" s="3">
        <v>3.1293145</v>
      </c>
      <c r="T952" s="3">
        <v>3.0851274000000002</v>
      </c>
      <c r="U952" s="3">
        <v>3.0376286000000001</v>
      </c>
      <c r="V952" s="3">
        <v>2.9878187999999999</v>
      </c>
      <c r="W952" s="3">
        <v>2.9366346000000001</v>
      </c>
      <c r="X952" s="3">
        <v>2.8847132000000002</v>
      </c>
      <c r="Y952" s="3">
        <v>2.8326053999999998</v>
      </c>
      <c r="Z952" s="3">
        <v>2.7808617999999998</v>
      </c>
      <c r="AA952" s="3">
        <v>2.7300331</v>
      </c>
      <c r="AB952" s="3">
        <v>2.6806698999999998</v>
      </c>
      <c r="AC952" s="3">
        <v>2.6332339999999999</v>
      </c>
      <c r="AD952" s="3">
        <v>2.5877946000000001</v>
      </c>
      <c r="AE952" s="3">
        <v>2.5443126</v>
      </c>
      <c r="AF952" s="3">
        <v>2.5027488</v>
      </c>
      <c r="AG952" s="3">
        <v>2.4630643000000001</v>
      </c>
      <c r="AH952" s="3">
        <v>2.4252197999999998</v>
      </c>
      <c r="AI952" s="3">
        <v>2.3891762999999999</v>
      </c>
      <c r="AJ952" s="3">
        <v>2.3548947</v>
      </c>
      <c r="AK952" s="3">
        <v>2.3223357999999998</v>
      </c>
      <c r="AL952" s="3">
        <v>2.2914607</v>
      </c>
      <c r="AM952" s="3">
        <v>2.2622301</v>
      </c>
      <c r="AN952" s="3">
        <v>2.2346050000000002</v>
      </c>
      <c r="AO952" s="3">
        <v>2.2085408000000002</v>
      </c>
      <c r="AP952" s="3">
        <v>2.1839681</v>
      </c>
      <c r="AQ952" s="3">
        <v>2.1608111000000001</v>
      </c>
      <c r="AR952" s="3">
        <v>2.1389938000000002</v>
      </c>
      <c r="AS952" s="3">
        <v>2.1184400999999999</v>
      </c>
      <c r="AT952" s="3">
        <v>2.0990741000000002</v>
      </c>
      <c r="AU952" s="3">
        <v>2.0808198</v>
      </c>
      <c r="AV952" s="3">
        <v>2.0636011999999999</v>
      </c>
      <c r="AW952" s="3">
        <v>2.0473423999999998</v>
      </c>
      <c r="AX952" s="3">
        <v>2.0319672999999998</v>
      </c>
      <c r="AY952" s="3">
        <v>2.0173999</v>
      </c>
      <c r="AZ952" s="3">
        <v>2.0035644000000001</v>
      </c>
      <c r="BA952" s="3">
        <v>1.9903918</v>
      </c>
      <c r="BB952" s="3">
        <v>1.9778522000000001</v>
      </c>
      <c r="BC952" s="3">
        <v>1.9659286</v>
      </c>
      <c r="BD952" s="3">
        <v>1.9546038999999999</v>
      </c>
      <c r="BE952" s="3">
        <v>1.9438610999999999</v>
      </c>
      <c r="BF952" s="3">
        <v>1.9336831999999999</v>
      </c>
      <c r="BG952" s="3">
        <v>1.9240531999999999</v>
      </c>
      <c r="BH952" s="3">
        <v>1.9149541000000001</v>
      </c>
      <c r="BI952" s="3">
        <v>1.9063687</v>
      </c>
      <c r="BJ952" s="3">
        <v>1.8982802000000001</v>
      </c>
      <c r="BK952" s="3">
        <v>1.8906715000000001</v>
      </c>
      <c r="BL952" s="3">
        <v>1.8835256</v>
      </c>
      <c r="BM952" s="3">
        <v>1.8497569</v>
      </c>
      <c r="BN952" s="3">
        <v>1.8304547</v>
      </c>
    </row>
    <row r="953" spans="1:66" x14ac:dyDescent="0.35">
      <c r="A953" s="5">
        <f t="shared" si="14"/>
        <v>44789</v>
      </c>
      <c r="B953" t="s">
        <v>2288</v>
      </c>
      <c r="C953" s="2">
        <v>1.75</v>
      </c>
      <c r="D953" s="2">
        <v>1.6890000000000001</v>
      </c>
      <c r="E953" s="3">
        <v>1.8752644000000001</v>
      </c>
      <c r="F953" s="3">
        <v>2.2398657000000002</v>
      </c>
      <c r="G953" s="3">
        <v>2.5416314999999998</v>
      </c>
      <c r="H953" s="3">
        <v>2.7978154000000002</v>
      </c>
      <c r="I953" s="3">
        <v>3.0073216999999999</v>
      </c>
      <c r="J953" s="3">
        <v>3.1656342999999998</v>
      </c>
      <c r="K953" s="3">
        <v>3.2748971</v>
      </c>
      <c r="L953" s="3">
        <v>3.3434347999999998</v>
      </c>
      <c r="M953" s="3">
        <v>3.3815575</v>
      </c>
      <c r="N953" s="3">
        <v>3.3984746000000001</v>
      </c>
      <c r="O953" s="3">
        <v>3.3999282000000002</v>
      </c>
      <c r="P953" s="3">
        <v>3.3894788</v>
      </c>
      <c r="Q953" s="3">
        <v>3.3691778999999999</v>
      </c>
      <c r="R953" s="3">
        <v>3.3403578999999999</v>
      </c>
      <c r="S953" s="3">
        <v>3.3042438000000001</v>
      </c>
      <c r="T953" s="3">
        <v>3.2620602999999999</v>
      </c>
      <c r="U953" s="3">
        <v>3.2150322999999998</v>
      </c>
      <c r="V953" s="3">
        <v>3.1643845000000002</v>
      </c>
      <c r="W953" s="3">
        <v>3.1112717000000001</v>
      </c>
      <c r="X953" s="3">
        <v>3.0565235999999998</v>
      </c>
      <c r="Y953" s="3">
        <v>3.0008756999999999</v>
      </c>
      <c r="Z953" s="3">
        <v>2.9450636000000001</v>
      </c>
      <c r="AA953" s="3">
        <v>2.8898229</v>
      </c>
      <c r="AB953" s="3">
        <v>2.8358891000000002</v>
      </c>
      <c r="AC953" s="3">
        <v>2.7838832</v>
      </c>
      <c r="AD953" s="3">
        <v>2.7339205999999998</v>
      </c>
      <c r="AE953" s="3">
        <v>2.6859771000000001</v>
      </c>
      <c r="AF953" s="3">
        <v>2.6400286999999998</v>
      </c>
      <c r="AG953" s="3">
        <v>2.5960511999999998</v>
      </c>
      <c r="AH953" s="3">
        <v>2.5540205</v>
      </c>
      <c r="AI953" s="3">
        <v>2.5139125</v>
      </c>
      <c r="AJ953" s="3">
        <v>2.4757031</v>
      </c>
      <c r="AK953" s="3">
        <v>2.439368</v>
      </c>
      <c r="AL953" s="3">
        <v>2.4048832999999998</v>
      </c>
      <c r="AM953" s="3">
        <v>2.3722246999999999</v>
      </c>
      <c r="AN953" s="3">
        <v>2.3413681999999998</v>
      </c>
      <c r="AO953" s="3">
        <v>2.3122821999999998</v>
      </c>
      <c r="AP953" s="3">
        <v>2.2848945000000001</v>
      </c>
      <c r="AQ953" s="3">
        <v>2.2591196999999998</v>
      </c>
      <c r="AR953" s="3">
        <v>2.2348721</v>
      </c>
      <c r="AS953" s="3">
        <v>2.2120663</v>
      </c>
      <c r="AT953" s="3">
        <v>2.1906165</v>
      </c>
      <c r="AU953" s="3">
        <v>2.1704373000000001</v>
      </c>
      <c r="AV953" s="3">
        <v>2.1514430999999998</v>
      </c>
      <c r="AW953" s="3">
        <v>2.1335483000000002</v>
      </c>
      <c r="AX953" s="3">
        <v>2.1166673</v>
      </c>
      <c r="AY953" s="3">
        <v>2.1007145999999999</v>
      </c>
      <c r="AZ953" s="3">
        <v>2.0856045000000001</v>
      </c>
      <c r="BA953" s="3">
        <v>2.0712598999999998</v>
      </c>
      <c r="BB953" s="3">
        <v>2.0576441000000001</v>
      </c>
      <c r="BC953" s="3">
        <v>2.0447329999999999</v>
      </c>
      <c r="BD953" s="3">
        <v>2.0325022000000001</v>
      </c>
      <c r="BE953" s="3">
        <v>2.0209275999999998</v>
      </c>
      <c r="BF953" s="3">
        <v>2.0099849999999999</v>
      </c>
      <c r="BG953" s="3">
        <v>1.9996499999999999</v>
      </c>
      <c r="BH953" s="3">
        <v>1.9898985</v>
      </c>
      <c r="BI953" s="3">
        <v>1.9807064000000001</v>
      </c>
      <c r="BJ953" s="3">
        <v>1.9720492000000001</v>
      </c>
      <c r="BK953" s="3">
        <v>1.9639028000000001</v>
      </c>
      <c r="BL953" s="3">
        <v>1.9562431</v>
      </c>
      <c r="BM953" s="3">
        <v>1.9197183</v>
      </c>
      <c r="BN953" s="3">
        <v>1.898077</v>
      </c>
    </row>
    <row r="954" spans="1:66" x14ac:dyDescent="0.35">
      <c r="A954" s="5">
        <f t="shared" si="14"/>
        <v>44790</v>
      </c>
      <c r="B954" t="s">
        <v>2289</v>
      </c>
      <c r="C954" s="2">
        <v>1.75</v>
      </c>
      <c r="D954" s="2">
        <v>1.6907000000000001</v>
      </c>
      <c r="E954" s="3">
        <v>1.9532061000000001</v>
      </c>
      <c r="F954" s="3">
        <v>2.3739781</v>
      </c>
      <c r="G954" s="3">
        <v>2.7316737999999998</v>
      </c>
      <c r="H954" s="3">
        <v>3.0353867999999999</v>
      </c>
      <c r="I954" s="3">
        <v>3.2812001</v>
      </c>
      <c r="J954" s="3">
        <v>3.4683554000000001</v>
      </c>
      <c r="K954" s="3">
        <v>3.6005574</v>
      </c>
      <c r="L954" s="3">
        <v>3.6859999000000001</v>
      </c>
      <c r="M954" s="3">
        <v>3.7350797999999998</v>
      </c>
      <c r="N954" s="3">
        <v>3.7569173999999999</v>
      </c>
      <c r="O954" s="3">
        <v>3.7586319000000001</v>
      </c>
      <c r="P954" s="3">
        <v>3.7445309</v>
      </c>
      <c r="Q954" s="3">
        <v>3.7187714000000001</v>
      </c>
      <c r="R954" s="3">
        <v>3.6833206000000001</v>
      </c>
      <c r="S954" s="3">
        <v>3.6395190999999998</v>
      </c>
      <c r="T954" s="3">
        <v>3.5887072999999998</v>
      </c>
      <c r="U954" s="3">
        <v>3.5322258999999998</v>
      </c>
      <c r="V954" s="3">
        <v>3.4714152</v>
      </c>
      <c r="W954" s="3">
        <v>3.4075688</v>
      </c>
      <c r="X954" s="3">
        <v>3.3417153000000002</v>
      </c>
      <c r="Y954" s="3">
        <v>3.2747896999999999</v>
      </c>
      <c r="Z954" s="3">
        <v>3.2077270000000002</v>
      </c>
      <c r="AA954" s="3">
        <v>3.1414621</v>
      </c>
      <c r="AB954" s="3">
        <v>3.0769302000000001</v>
      </c>
      <c r="AC954" s="3">
        <v>3.0149457000000002</v>
      </c>
      <c r="AD954" s="3">
        <v>2.9556749</v>
      </c>
      <c r="AE954" s="3">
        <v>2.8990662999999999</v>
      </c>
      <c r="AF954" s="3">
        <v>2.8450685999999998</v>
      </c>
      <c r="AG954" s="3">
        <v>2.7936302999999998</v>
      </c>
      <c r="AH954" s="3">
        <v>2.7446999000000001</v>
      </c>
      <c r="AI954" s="3">
        <v>2.6982260999999998</v>
      </c>
      <c r="AJ954" s="3">
        <v>2.6541573000000001</v>
      </c>
      <c r="AK954" s="3">
        <v>2.6124421999999998</v>
      </c>
      <c r="AL954" s="3">
        <v>2.5730292000000001</v>
      </c>
      <c r="AM954" s="3">
        <v>2.5358668999999998</v>
      </c>
      <c r="AN954" s="3">
        <v>2.5009039</v>
      </c>
      <c r="AO954" s="3">
        <v>2.4680808000000001</v>
      </c>
      <c r="AP954" s="3">
        <v>2.4372995</v>
      </c>
      <c r="AQ954" s="3">
        <v>2.4084501999999999</v>
      </c>
      <c r="AR954" s="3">
        <v>2.3814231000000001</v>
      </c>
      <c r="AS954" s="3">
        <v>2.3561082</v>
      </c>
      <c r="AT954" s="3">
        <v>2.3323958</v>
      </c>
      <c r="AU954" s="3">
        <v>2.3101759999999998</v>
      </c>
      <c r="AV954" s="3">
        <v>2.289339</v>
      </c>
      <c r="AW954" s="3">
        <v>2.2697748999999998</v>
      </c>
      <c r="AX954" s="3">
        <v>2.2513738999999999</v>
      </c>
      <c r="AY954" s="3">
        <v>2.2340260999999999</v>
      </c>
      <c r="AZ954" s="3">
        <v>2.2176217</v>
      </c>
      <c r="BA954" s="3">
        <v>2.2020637999999999</v>
      </c>
      <c r="BB954" s="3">
        <v>2.1873125</v>
      </c>
      <c r="BC954" s="3">
        <v>2.1733435999999999</v>
      </c>
      <c r="BD954" s="3">
        <v>2.1601330000000001</v>
      </c>
      <c r="BE954" s="3">
        <v>2.1476565999999999</v>
      </c>
      <c r="BF954" s="3">
        <v>2.1358902999999998</v>
      </c>
      <c r="BG954" s="3">
        <v>2.1248098</v>
      </c>
      <c r="BH954" s="3">
        <v>2.1143909999999999</v>
      </c>
      <c r="BI954" s="3">
        <v>2.1046098</v>
      </c>
      <c r="BJ954" s="3">
        <v>2.0954421000000001</v>
      </c>
      <c r="BK954" s="3">
        <v>2.0868636999999999</v>
      </c>
      <c r="BL954" s="3">
        <v>2.0788503999999999</v>
      </c>
      <c r="BM954" s="3">
        <v>2.0416606000000002</v>
      </c>
      <c r="BN954" s="3">
        <v>2.0209969999999999</v>
      </c>
    </row>
    <row r="955" spans="1:66" x14ac:dyDescent="0.35">
      <c r="A955" s="5">
        <f t="shared" si="14"/>
        <v>44791</v>
      </c>
      <c r="B955" t="s">
        <v>2290</v>
      </c>
      <c r="C955" s="2">
        <v>1.75</v>
      </c>
      <c r="D955" s="2">
        <v>1.6904999999999999</v>
      </c>
      <c r="E955" s="3">
        <v>1.9690832</v>
      </c>
      <c r="F955" s="3">
        <v>2.3906263999999999</v>
      </c>
      <c r="G955" s="3">
        <v>2.7443517000000002</v>
      </c>
      <c r="H955" s="3">
        <v>3.0449231999999999</v>
      </c>
      <c r="I955" s="3">
        <v>3.2917103999999999</v>
      </c>
      <c r="J955" s="3">
        <v>3.4828282000000002</v>
      </c>
      <c r="K955" s="3">
        <v>3.6225687</v>
      </c>
      <c r="L955" s="3">
        <v>3.7160639999999998</v>
      </c>
      <c r="M955" s="3">
        <v>3.7730157000000002</v>
      </c>
      <c r="N955" s="3">
        <v>3.8018076000000001</v>
      </c>
      <c r="O955" s="3">
        <v>3.8089366999999998</v>
      </c>
      <c r="P955" s="3">
        <v>3.7989489999999999</v>
      </c>
      <c r="Q955" s="3">
        <v>3.7761117999999998</v>
      </c>
      <c r="R955" s="3">
        <v>3.7426119999999998</v>
      </c>
      <c r="S955" s="3">
        <v>3.7000676000000001</v>
      </c>
      <c r="T955" s="3">
        <v>3.6500963999999998</v>
      </c>
      <c r="U955" s="3">
        <v>3.5943163999999999</v>
      </c>
      <c r="V955" s="3">
        <v>3.5343455000000001</v>
      </c>
      <c r="W955" s="3">
        <v>3.4717036999999999</v>
      </c>
      <c r="X955" s="3">
        <v>3.4074094000000001</v>
      </c>
      <c r="Y955" s="3">
        <v>3.3423207000000001</v>
      </c>
      <c r="Z955" s="3">
        <v>3.2772956999999998</v>
      </c>
      <c r="AA955" s="3">
        <v>3.2131924999999999</v>
      </c>
      <c r="AB955" s="3">
        <v>3.1508691999999998</v>
      </c>
      <c r="AC955" s="3">
        <v>3.0910586000000002</v>
      </c>
      <c r="AD955" s="3">
        <v>3.0338831000000002</v>
      </c>
      <c r="AE955" s="3">
        <v>2.9792793</v>
      </c>
      <c r="AF955" s="3">
        <v>2.927184</v>
      </c>
      <c r="AG955" s="3">
        <v>2.8775336999999999</v>
      </c>
      <c r="AH955" s="3">
        <v>2.8302649999999998</v>
      </c>
      <c r="AI955" s="3">
        <v>2.7853146</v>
      </c>
      <c r="AJ955" s="3">
        <v>2.7426191000000002</v>
      </c>
      <c r="AK955" s="3">
        <v>2.7021150999999999</v>
      </c>
      <c r="AL955" s="3">
        <v>2.6637393</v>
      </c>
      <c r="AM955" s="3">
        <v>2.6274282000000002</v>
      </c>
      <c r="AN955" s="3">
        <v>2.5931185000000001</v>
      </c>
      <c r="AO955" s="3">
        <v>2.5607416000000001</v>
      </c>
      <c r="AP955" s="3">
        <v>2.5302055999999999</v>
      </c>
      <c r="AQ955" s="3">
        <v>2.5014123000000001</v>
      </c>
      <c r="AR955" s="3">
        <v>2.4742635000000002</v>
      </c>
      <c r="AS955" s="3">
        <v>2.448661</v>
      </c>
      <c r="AT955" s="3">
        <v>2.4245066</v>
      </c>
      <c r="AU955" s="3">
        <v>2.4017019999999998</v>
      </c>
      <c r="AV955" s="3">
        <v>2.3801489999999998</v>
      </c>
      <c r="AW955" s="3">
        <v>2.3597494999999999</v>
      </c>
      <c r="AX955" s="3">
        <v>2.3404050999999999</v>
      </c>
      <c r="AY955" s="3">
        <v>2.3220177</v>
      </c>
      <c r="AZ955" s="3">
        <v>2.3044889999999998</v>
      </c>
      <c r="BA955" s="3">
        <v>2.2877329</v>
      </c>
      <c r="BB955" s="3">
        <v>2.2717168000000001</v>
      </c>
      <c r="BC955" s="3">
        <v>2.2564226000000001</v>
      </c>
      <c r="BD955" s="3">
        <v>2.2418325000000001</v>
      </c>
      <c r="BE955" s="3">
        <v>2.2279282999999999</v>
      </c>
      <c r="BF955" s="3">
        <v>2.2146922</v>
      </c>
      <c r="BG955" s="3">
        <v>2.2021061999999998</v>
      </c>
      <c r="BH955" s="3">
        <v>2.1901522999999998</v>
      </c>
      <c r="BI955" s="3">
        <v>2.1788124999999998</v>
      </c>
      <c r="BJ955" s="3">
        <v>2.168069</v>
      </c>
      <c r="BK955" s="3">
        <v>2.1579036</v>
      </c>
      <c r="BL955" s="3">
        <v>2.1482985000000001</v>
      </c>
      <c r="BM955" s="3">
        <v>2.1017193000000001</v>
      </c>
      <c r="BN955" s="3">
        <v>2.0725536999999998</v>
      </c>
    </row>
    <row r="956" spans="1:66" x14ac:dyDescent="0.35">
      <c r="A956" s="5">
        <f t="shared" si="14"/>
        <v>44792</v>
      </c>
      <c r="B956" t="s">
        <v>2291</v>
      </c>
      <c r="C956" s="2">
        <v>1.75</v>
      </c>
      <c r="D956" s="2">
        <v>1.6900999999999999</v>
      </c>
      <c r="E956" s="3">
        <v>1.9739594</v>
      </c>
      <c r="F956" s="3">
        <v>2.3927323999999999</v>
      </c>
      <c r="G956" s="3">
        <v>2.7495691999999998</v>
      </c>
      <c r="H956" s="3">
        <v>3.0565606000000001</v>
      </c>
      <c r="I956" s="3">
        <v>3.3121619999999998</v>
      </c>
      <c r="J956" s="3">
        <v>3.5124262000000002</v>
      </c>
      <c r="K956" s="3">
        <v>3.6596451000000001</v>
      </c>
      <c r="L956" s="3">
        <v>3.7588428999999999</v>
      </c>
      <c r="M956" s="3">
        <v>3.8190217</v>
      </c>
      <c r="N956" s="3">
        <v>3.8486661999999998</v>
      </c>
      <c r="O956" s="3">
        <v>3.8546046</v>
      </c>
      <c r="P956" s="3">
        <v>3.8425970999999999</v>
      </c>
      <c r="Q956" s="3">
        <v>3.8179653999999998</v>
      </c>
      <c r="R956" s="3">
        <v>3.7833386</v>
      </c>
      <c r="S956" s="3">
        <v>3.7405012000000002</v>
      </c>
      <c r="T956" s="3">
        <v>3.6912373999999999</v>
      </c>
      <c r="U956" s="3">
        <v>3.6373316</v>
      </c>
      <c r="V956" s="3">
        <v>3.580568</v>
      </c>
      <c r="W956" s="3">
        <v>3.5225442999999999</v>
      </c>
      <c r="X956" s="3">
        <v>3.4639931000000002</v>
      </c>
      <c r="Y956" s="3">
        <v>3.4053963999999999</v>
      </c>
      <c r="Z956" s="3">
        <v>3.3472358</v>
      </c>
      <c r="AA956" s="3">
        <v>3.2899932999999999</v>
      </c>
      <c r="AB956" s="3">
        <v>3.2341506999999998</v>
      </c>
      <c r="AC956" s="3">
        <v>3.1801138</v>
      </c>
      <c r="AD956" s="3">
        <v>3.1279528999999999</v>
      </c>
      <c r="AE956" s="3">
        <v>3.0776458</v>
      </c>
      <c r="AF956" s="3">
        <v>3.0291701999999998</v>
      </c>
      <c r="AG956" s="3">
        <v>2.9825037999999999</v>
      </c>
      <c r="AH956" s="3">
        <v>2.9376245000000001</v>
      </c>
      <c r="AI956" s="3">
        <v>2.8945099000000001</v>
      </c>
      <c r="AJ956" s="3">
        <v>2.8531377999999998</v>
      </c>
      <c r="AK956" s="3">
        <v>2.8134858999999999</v>
      </c>
      <c r="AL956" s="3">
        <v>2.7755318999999998</v>
      </c>
      <c r="AM956" s="3">
        <v>2.7392536999999999</v>
      </c>
      <c r="AN956" s="3">
        <v>2.7046288999999999</v>
      </c>
      <c r="AO956" s="3">
        <v>2.6716305999999999</v>
      </c>
      <c r="AP956" s="3">
        <v>2.6402112</v>
      </c>
      <c r="AQ956" s="3">
        <v>2.6103176000000001</v>
      </c>
      <c r="AR956" s="3">
        <v>2.5818965999999999</v>
      </c>
      <c r="AS956" s="3">
        <v>2.5548948</v>
      </c>
      <c r="AT956" s="3">
        <v>2.5292590000000001</v>
      </c>
      <c r="AU956" s="3">
        <v>2.5049361000000001</v>
      </c>
      <c r="AV956" s="3">
        <v>2.4818728000000001</v>
      </c>
      <c r="AW956" s="3">
        <v>2.4600159000000001</v>
      </c>
      <c r="AX956" s="3">
        <v>2.4393121</v>
      </c>
      <c r="AY956" s="3">
        <v>2.4197082000000001</v>
      </c>
      <c r="AZ956" s="3">
        <v>2.4011509000000002</v>
      </c>
      <c r="BA956" s="3">
        <v>2.383591</v>
      </c>
      <c r="BB956" s="3">
        <v>2.3669956999999999</v>
      </c>
      <c r="BC956" s="3">
        <v>2.351337</v>
      </c>
      <c r="BD956" s="3">
        <v>2.3365871</v>
      </c>
      <c r="BE956" s="3">
        <v>2.3227177999999999</v>
      </c>
      <c r="BF956" s="3">
        <v>2.3097013</v>
      </c>
      <c r="BG956" s="3">
        <v>2.2975096000000002</v>
      </c>
      <c r="BH956" s="3">
        <v>2.2861145999999999</v>
      </c>
      <c r="BI956" s="3">
        <v>2.2754884</v>
      </c>
      <c r="BJ956" s="3">
        <v>2.2656030999999999</v>
      </c>
      <c r="BK956" s="3">
        <v>2.2564305999999998</v>
      </c>
      <c r="BL956" s="3">
        <v>2.2479429999999998</v>
      </c>
      <c r="BM956" s="3">
        <v>2.2100664999999999</v>
      </c>
      <c r="BN956" s="3">
        <v>2.1912134999999999</v>
      </c>
    </row>
    <row r="957" spans="1:66" x14ac:dyDescent="0.35">
      <c r="A957" s="5">
        <f t="shared" si="14"/>
        <v>44795</v>
      </c>
      <c r="B957" t="s">
        <v>2292</v>
      </c>
      <c r="C957" s="2">
        <v>1.75</v>
      </c>
      <c r="D957" s="2">
        <v>1.69</v>
      </c>
      <c r="E957" s="3">
        <v>2.0437148000000001</v>
      </c>
      <c r="F957" s="3">
        <v>2.4620899999999999</v>
      </c>
      <c r="G957" s="3">
        <v>2.8303272000000002</v>
      </c>
      <c r="H957" s="3">
        <v>3.1491408000000001</v>
      </c>
      <c r="I957" s="3">
        <v>3.4169437</v>
      </c>
      <c r="J957" s="3">
        <v>3.6309629999999999</v>
      </c>
      <c r="K957" s="3">
        <v>3.7910447</v>
      </c>
      <c r="L957" s="3">
        <v>3.9013167000000002</v>
      </c>
      <c r="M957" s="3">
        <v>3.9686162999999999</v>
      </c>
      <c r="N957" s="3">
        <v>4.0026194000000004</v>
      </c>
      <c r="O957" s="3">
        <v>4.0109792000000004</v>
      </c>
      <c r="P957" s="3">
        <v>4.0005619000000001</v>
      </c>
      <c r="Q957" s="3">
        <v>3.9785129000000001</v>
      </c>
      <c r="R957" s="3">
        <v>3.9473992</v>
      </c>
      <c r="S957" s="3">
        <v>3.9085236999999999</v>
      </c>
      <c r="T957" s="3">
        <v>3.8631894</v>
      </c>
      <c r="U957" s="3">
        <v>3.8126992999999998</v>
      </c>
      <c r="V957" s="3">
        <v>3.7583563999999998</v>
      </c>
      <c r="W957" s="3">
        <v>3.7013734</v>
      </c>
      <c r="X957" s="3">
        <v>3.6425451999999998</v>
      </c>
      <c r="Y957" s="3">
        <v>3.5825452000000002</v>
      </c>
      <c r="Z957" s="3">
        <v>3.5220468</v>
      </c>
      <c r="AA957" s="3">
        <v>3.4617236999999998</v>
      </c>
      <c r="AB957" s="3">
        <v>3.4022492</v>
      </c>
      <c r="AC957" s="3">
        <v>3.3442015999999999</v>
      </c>
      <c r="AD957" s="3">
        <v>3.2877385000000001</v>
      </c>
      <c r="AE957" s="3">
        <v>3.2329015000000001</v>
      </c>
      <c r="AF957" s="3">
        <v>3.179732</v>
      </c>
      <c r="AG957" s="3">
        <v>3.1282717</v>
      </c>
      <c r="AH957" s="3">
        <v>3.0785619999999998</v>
      </c>
      <c r="AI957" s="3">
        <v>3.0306446</v>
      </c>
      <c r="AJ957" s="3">
        <v>2.9845609999999998</v>
      </c>
      <c r="AK957" s="3">
        <v>2.9403526000000002</v>
      </c>
      <c r="AL957" s="3">
        <v>2.8980611000000001</v>
      </c>
      <c r="AM957" s="3">
        <v>2.8577279999999998</v>
      </c>
      <c r="AN957" s="3">
        <v>2.8193948999999998</v>
      </c>
      <c r="AO957" s="3">
        <v>2.7830843999999999</v>
      </c>
      <c r="AP957" s="3">
        <v>2.7487363</v>
      </c>
      <c r="AQ957" s="3">
        <v>2.7162674</v>
      </c>
      <c r="AR957" s="3">
        <v>2.6855945000000001</v>
      </c>
      <c r="AS957" s="3">
        <v>2.6566342000000001</v>
      </c>
      <c r="AT957" s="3">
        <v>2.6293034999999998</v>
      </c>
      <c r="AU957" s="3">
        <v>2.6035189999999999</v>
      </c>
      <c r="AV957" s="3">
        <v>2.5791976999999999</v>
      </c>
      <c r="AW957" s="3">
        <v>2.5562562</v>
      </c>
      <c r="AX957" s="3">
        <v>2.5346112999999999</v>
      </c>
      <c r="AY957" s="3">
        <v>2.5141798999999998</v>
      </c>
      <c r="AZ957" s="3">
        <v>2.4948787000000001</v>
      </c>
      <c r="BA957" s="3">
        <v>2.4766306</v>
      </c>
      <c r="BB957" s="3">
        <v>2.4593918000000001</v>
      </c>
      <c r="BC957" s="3">
        <v>2.4431295999999998</v>
      </c>
      <c r="BD957" s="3">
        <v>2.4278111</v>
      </c>
      <c r="BE957" s="3">
        <v>2.4134036000000001</v>
      </c>
      <c r="BF957" s="3">
        <v>2.3998743999999999</v>
      </c>
      <c r="BG957" s="3">
        <v>2.3871907999999999</v>
      </c>
      <c r="BH957" s="3">
        <v>2.3753199</v>
      </c>
      <c r="BI957" s="3">
        <v>2.3642289999999999</v>
      </c>
      <c r="BJ957" s="3">
        <v>2.3538855000000001</v>
      </c>
      <c r="BK957" s="3">
        <v>2.3442563999999999</v>
      </c>
      <c r="BL957" s="3">
        <v>2.3353092000000002</v>
      </c>
      <c r="BM957" s="3">
        <v>2.2945593</v>
      </c>
      <c r="BN957" s="3">
        <v>2.2728598999999998</v>
      </c>
    </row>
    <row r="958" spans="1:66" x14ac:dyDescent="0.35">
      <c r="A958" s="5">
        <f t="shared" si="14"/>
        <v>44796</v>
      </c>
      <c r="B958" t="s">
        <v>2293</v>
      </c>
      <c r="C958" s="2">
        <v>1.75</v>
      </c>
      <c r="D958" s="2">
        <v>1.6907000000000001</v>
      </c>
      <c r="E958" s="3">
        <v>2.0486030999999998</v>
      </c>
      <c r="F958" s="3">
        <v>2.4695955000000001</v>
      </c>
      <c r="G958" s="3">
        <v>2.8476037999999999</v>
      </c>
      <c r="H958" s="3">
        <v>3.1786748</v>
      </c>
      <c r="I958" s="3">
        <v>3.4604773999999998</v>
      </c>
      <c r="J958" s="3">
        <v>3.6910885000000002</v>
      </c>
      <c r="K958" s="3">
        <v>3.8697908999999999</v>
      </c>
      <c r="L958" s="3">
        <v>3.9993994000000002</v>
      </c>
      <c r="M958" s="3">
        <v>4.0858838000000004</v>
      </c>
      <c r="N958" s="3">
        <v>4.1377430999999998</v>
      </c>
      <c r="O958" s="3">
        <v>4.1619193000000001</v>
      </c>
      <c r="P958" s="3">
        <v>4.1645665000000003</v>
      </c>
      <c r="Q958" s="3">
        <v>4.1517431</v>
      </c>
      <c r="R958" s="3">
        <v>4.1262648000000004</v>
      </c>
      <c r="S958" s="3">
        <v>4.0900787000000003</v>
      </c>
      <c r="T958" s="3">
        <v>4.0451315000000001</v>
      </c>
      <c r="U958" s="3">
        <v>3.9933700000000001</v>
      </c>
      <c r="V958" s="3">
        <v>3.9367413</v>
      </c>
      <c r="W958" s="3">
        <v>3.8770273</v>
      </c>
      <c r="X958" s="3">
        <v>3.8152466999999999</v>
      </c>
      <c r="Y958" s="3">
        <v>3.7521965000000002</v>
      </c>
      <c r="Z958" s="3">
        <v>3.6886738000000001</v>
      </c>
      <c r="AA958" s="3">
        <v>3.6254757999999998</v>
      </c>
      <c r="AB958" s="3">
        <v>3.5633995999999999</v>
      </c>
      <c r="AC958" s="3">
        <v>3.5031229000000002</v>
      </c>
      <c r="AD958" s="3">
        <v>3.4447969999999999</v>
      </c>
      <c r="AE958" s="3">
        <v>3.3884276999999998</v>
      </c>
      <c r="AF958" s="3">
        <v>3.3340209000000001</v>
      </c>
      <c r="AG958" s="3">
        <v>3.2815824</v>
      </c>
      <c r="AH958" s="3">
        <v>3.2311182000000001</v>
      </c>
      <c r="AI958" s="3">
        <v>3.1826341999999999</v>
      </c>
      <c r="AJ958" s="3">
        <v>3.1361360999999999</v>
      </c>
      <c r="AK958" s="3">
        <v>3.0916298000000002</v>
      </c>
      <c r="AL958" s="3">
        <v>3.0491212999999999</v>
      </c>
      <c r="AM958" s="3">
        <v>3.0086164000000002</v>
      </c>
      <c r="AN958" s="3">
        <v>2.9701209</v>
      </c>
      <c r="AO958" s="3">
        <v>2.9336299000000001</v>
      </c>
      <c r="AP958" s="3">
        <v>2.8990727000000001</v>
      </c>
      <c r="AQ958" s="3">
        <v>2.8663549000000001</v>
      </c>
      <c r="AR958" s="3">
        <v>2.8353818999999998</v>
      </c>
      <c r="AS958" s="3">
        <v>2.8060589999999999</v>
      </c>
      <c r="AT958" s="3">
        <v>2.7782917999999999</v>
      </c>
      <c r="AU958" s="3">
        <v>2.7519855</v>
      </c>
      <c r="AV958" s="3">
        <v>2.7270455</v>
      </c>
      <c r="AW958" s="3">
        <v>2.7033773999999999</v>
      </c>
      <c r="AX958" s="3">
        <v>2.6808863999999999</v>
      </c>
      <c r="AY958" s="3">
        <v>2.6594780999999998</v>
      </c>
      <c r="AZ958" s="3">
        <v>2.6390577</v>
      </c>
      <c r="BA958" s="3">
        <v>2.6195400000000002</v>
      </c>
      <c r="BB958" s="3">
        <v>2.6008851000000002</v>
      </c>
      <c r="BC958" s="3">
        <v>2.5830668000000001</v>
      </c>
      <c r="BD958" s="3">
        <v>2.5660590000000001</v>
      </c>
      <c r="BE958" s="3">
        <v>2.5498354000000001</v>
      </c>
      <c r="BF958" s="3">
        <v>2.5343700999999998</v>
      </c>
      <c r="BG958" s="3">
        <v>2.5196367</v>
      </c>
      <c r="BH958" s="3">
        <v>2.5056091999999999</v>
      </c>
      <c r="BI958" s="3">
        <v>2.4922613999999998</v>
      </c>
      <c r="BJ958" s="3">
        <v>2.4795672</v>
      </c>
      <c r="BK958" s="3">
        <v>2.4675004</v>
      </c>
      <c r="BL958" s="3">
        <v>2.4560349000000001</v>
      </c>
      <c r="BM958" s="3">
        <v>2.3989848</v>
      </c>
      <c r="BN958" s="3">
        <v>2.3605119999999999</v>
      </c>
    </row>
    <row r="959" spans="1:66" x14ac:dyDescent="0.35">
      <c r="A959" s="5">
        <f t="shared" si="14"/>
        <v>44797</v>
      </c>
      <c r="B959" t="s">
        <v>2295</v>
      </c>
      <c r="C959" s="2">
        <v>1.75</v>
      </c>
      <c r="D959" s="2">
        <v>1.6904999999999999</v>
      </c>
      <c r="E959" s="3">
        <v>2.0940059999999998</v>
      </c>
      <c r="F959" s="3">
        <v>2.5043901000000002</v>
      </c>
      <c r="G959" s="3">
        <v>2.8883367999999998</v>
      </c>
      <c r="H959" s="3">
        <v>3.2410895000000002</v>
      </c>
      <c r="I959" s="3">
        <v>3.5508014000000001</v>
      </c>
      <c r="J959" s="3">
        <v>3.8110973000000001</v>
      </c>
      <c r="K959" s="3">
        <v>4.0171723999999998</v>
      </c>
      <c r="L959" s="3">
        <v>4.1684064999999997</v>
      </c>
      <c r="M959" s="3">
        <v>4.2703163000000002</v>
      </c>
      <c r="N959" s="3">
        <v>4.3317195000000002</v>
      </c>
      <c r="O959" s="3">
        <v>4.3618359</v>
      </c>
      <c r="P959" s="3">
        <v>4.3671566000000004</v>
      </c>
      <c r="Q959" s="3">
        <v>4.3548551</v>
      </c>
      <c r="R959" s="3">
        <v>4.3281798</v>
      </c>
      <c r="S959" s="3">
        <v>4.2892248999999998</v>
      </c>
      <c r="T959" s="3">
        <v>4.2400843000000004</v>
      </c>
      <c r="U959" s="3">
        <v>4.1828522000000001</v>
      </c>
      <c r="V959" s="3">
        <v>4.1196226999999999</v>
      </c>
      <c r="W959" s="3">
        <v>4.0523752000000002</v>
      </c>
      <c r="X959" s="3">
        <v>3.9824405999999999</v>
      </c>
      <c r="Y959" s="3">
        <v>3.9109212000000002</v>
      </c>
      <c r="Z959" s="3">
        <v>3.8389193000000001</v>
      </c>
      <c r="AA959" s="3">
        <v>3.7675372999999999</v>
      </c>
      <c r="AB959" s="3">
        <v>3.6978772000000002</v>
      </c>
      <c r="AC959" s="3">
        <v>3.6309144</v>
      </c>
      <c r="AD959" s="3">
        <v>3.5668658</v>
      </c>
      <c r="AE959" s="3">
        <v>3.5056691999999998</v>
      </c>
      <c r="AF959" s="3">
        <v>3.4472618000000002</v>
      </c>
      <c r="AG959" s="3">
        <v>3.3915807999999998</v>
      </c>
      <c r="AH959" s="3">
        <v>3.3385634999999998</v>
      </c>
      <c r="AI959" s="3">
        <v>3.2881471000000002</v>
      </c>
      <c r="AJ959" s="3">
        <v>3.2402687999999999</v>
      </c>
      <c r="AK959" s="3">
        <v>3.1948658000000001</v>
      </c>
      <c r="AL959" s="3">
        <v>3.1518754000000002</v>
      </c>
      <c r="AM959" s="3">
        <v>3.1112348000000001</v>
      </c>
      <c r="AN959" s="3">
        <v>3.0728811</v>
      </c>
      <c r="AO959" s="3">
        <v>3.0367437000000002</v>
      </c>
      <c r="AP959" s="3">
        <v>3.0027086999999999</v>
      </c>
      <c r="AQ959" s="3">
        <v>2.9706478000000001</v>
      </c>
      <c r="AR959" s="3">
        <v>2.9404327000000001</v>
      </c>
      <c r="AS959" s="3">
        <v>2.9119350000000002</v>
      </c>
      <c r="AT959" s="3">
        <v>2.8850264999999999</v>
      </c>
      <c r="AU959" s="3">
        <v>2.8595788999999998</v>
      </c>
      <c r="AV959" s="3">
        <v>2.8354637999999999</v>
      </c>
      <c r="AW959" s="3">
        <v>2.8125529999999999</v>
      </c>
      <c r="AX959" s="3">
        <v>2.7907180999999999</v>
      </c>
      <c r="AY959" s="3">
        <v>2.7698309000000001</v>
      </c>
      <c r="AZ959" s="3">
        <v>2.7497630000000002</v>
      </c>
      <c r="BA959" s="3">
        <v>2.7304032999999999</v>
      </c>
      <c r="BB959" s="3">
        <v>2.7117171</v>
      </c>
      <c r="BC959" s="3">
        <v>2.6936903999999999</v>
      </c>
      <c r="BD959" s="3">
        <v>2.6763092999999998</v>
      </c>
      <c r="BE959" s="3">
        <v>2.6595599999999999</v>
      </c>
      <c r="BF959" s="3">
        <v>2.6434286</v>
      </c>
      <c r="BG959" s="3">
        <v>2.6279012000000002</v>
      </c>
      <c r="BH959" s="3">
        <v>2.6129639999999998</v>
      </c>
      <c r="BI959" s="3">
        <v>2.5986031000000001</v>
      </c>
      <c r="BJ959" s="3">
        <v>2.5848046</v>
      </c>
      <c r="BK959" s="3">
        <v>2.5715545999999998</v>
      </c>
      <c r="BL959" s="3">
        <v>2.5588392999999998</v>
      </c>
      <c r="BM959" s="3">
        <v>2.4933282999999999</v>
      </c>
      <c r="BN959" s="3">
        <v>2.4455695999999998</v>
      </c>
    </row>
    <row r="960" spans="1:66" x14ac:dyDescent="0.35">
      <c r="A960" s="5">
        <f t="shared" si="14"/>
        <v>44798</v>
      </c>
      <c r="B960" t="s">
        <v>2296</v>
      </c>
      <c r="C960" s="2">
        <v>1.75</v>
      </c>
      <c r="D960" s="2">
        <v>1.6900999999999999</v>
      </c>
      <c r="E960" s="3">
        <v>2.0683408000000001</v>
      </c>
      <c r="F960" s="3">
        <v>2.4714480999999999</v>
      </c>
      <c r="G960" s="3">
        <v>2.8561844000000001</v>
      </c>
      <c r="H960" s="3">
        <v>3.2066944999999998</v>
      </c>
      <c r="I960" s="3">
        <v>3.5095029000000002</v>
      </c>
      <c r="J960" s="3">
        <v>3.7593621000000002</v>
      </c>
      <c r="K960" s="3">
        <v>3.9549867000000001</v>
      </c>
      <c r="L960" s="3">
        <v>4.0956431999999996</v>
      </c>
      <c r="M960" s="3">
        <v>4.1877263999999998</v>
      </c>
      <c r="N960" s="3">
        <v>4.2394081999999997</v>
      </c>
      <c r="O960" s="3">
        <v>4.2592027000000003</v>
      </c>
      <c r="P960" s="3">
        <v>4.2545393000000002</v>
      </c>
      <c r="Q960" s="3">
        <v>4.2338861000000003</v>
      </c>
      <c r="R960" s="3">
        <v>4.2007576000000002</v>
      </c>
      <c r="S960" s="3">
        <v>4.1572505</v>
      </c>
      <c r="T960" s="3">
        <v>4.1054617999999996</v>
      </c>
      <c r="U960" s="3">
        <v>4.0474886000000003</v>
      </c>
      <c r="V960" s="3">
        <v>3.9854276</v>
      </c>
      <c r="W960" s="3">
        <v>3.9211976000000002</v>
      </c>
      <c r="X960" s="3">
        <v>3.8558036000000002</v>
      </c>
      <c r="Y960" s="3">
        <v>3.7899588999999998</v>
      </c>
      <c r="Z960" s="3">
        <v>3.7243767000000001</v>
      </c>
      <c r="AA960" s="3">
        <v>3.6597702000000001</v>
      </c>
      <c r="AB960" s="3">
        <v>3.5968526000000001</v>
      </c>
      <c r="AC960" s="3">
        <v>3.5362398000000002</v>
      </c>
      <c r="AD960" s="3">
        <v>3.4780247000000002</v>
      </c>
      <c r="AE960" s="3">
        <v>3.4221246000000001</v>
      </c>
      <c r="AF960" s="3">
        <v>3.3684566999999999</v>
      </c>
      <c r="AG960" s="3">
        <v>3.3169382999999999</v>
      </c>
      <c r="AH960" s="3">
        <v>3.2674865999999998</v>
      </c>
      <c r="AI960" s="3">
        <v>3.2200188000000001</v>
      </c>
      <c r="AJ960" s="3">
        <v>3.1744522000000002</v>
      </c>
      <c r="AK960" s="3">
        <v>3.1307040000000002</v>
      </c>
      <c r="AL960" s="3">
        <v>3.0886914000000001</v>
      </c>
      <c r="AM960" s="3">
        <v>3.0483316999999999</v>
      </c>
      <c r="AN960" s="3">
        <v>3.0095421</v>
      </c>
      <c r="AO960" s="3">
        <v>2.9722458</v>
      </c>
      <c r="AP960" s="3">
        <v>2.9363944000000002</v>
      </c>
      <c r="AQ960" s="3">
        <v>2.9019482999999999</v>
      </c>
      <c r="AR960" s="3">
        <v>2.8688682000000001</v>
      </c>
      <c r="AS960" s="3">
        <v>2.8371141999999998</v>
      </c>
      <c r="AT960" s="3">
        <v>2.8066471000000002</v>
      </c>
      <c r="AU960" s="3">
        <v>2.7774269999999999</v>
      </c>
      <c r="AV960" s="3">
        <v>2.7494146000000002</v>
      </c>
      <c r="AW960" s="3">
        <v>2.7225703000000001</v>
      </c>
      <c r="AX960" s="3">
        <v>2.6968543999999999</v>
      </c>
      <c r="AY960" s="3">
        <v>2.6722275</v>
      </c>
      <c r="AZ960" s="3">
        <v>2.6486499999999999</v>
      </c>
      <c r="BA960" s="3">
        <v>2.6260854</v>
      </c>
      <c r="BB960" s="3">
        <v>2.6045117000000002</v>
      </c>
      <c r="BC960" s="3">
        <v>2.5839102</v>
      </c>
      <c r="BD960" s="3">
        <v>2.5642626000000002</v>
      </c>
      <c r="BE960" s="3">
        <v>2.5455505999999999</v>
      </c>
      <c r="BF960" s="3">
        <v>2.5277555999999999</v>
      </c>
      <c r="BG960" s="3">
        <v>2.5108592999999999</v>
      </c>
      <c r="BH960" s="3">
        <v>2.4948434000000002</v>
      </c>
      <c r="BI960" s="3">
        <v>2.4796893</v>
      </c>
      <c r="BJ960" s="3">
        <v>2.4653786000000002</v>
      </c>
      <c r="BK960" s="3">
        <v>2.4518930000000001</v>
      </c>
      <c r="BL960" s="3">
        <v>2.4392141000000001</v>
      </c>
      <c r="BM960" s="3">
        <v>2.3786524</v>
      </c>
      <c r="BN960" s="3">
        <v>2.3400821000000001</v>
      </c>
    </row>
    <row r="961" spans="1:66" x14ac:dyDescent="0.35">
      <c r="A961" s="5">
        <f t="shared" si="14"/>
        <v>44799</v>
      </c>
      <c r="B961" t="s">
        <v>2297</v>
      </c>
      <c r="C961" s="2">
        <v>1.75</v>
      </c>
      <c r="D961" s="2">
        <v>1.6903999999999999</v>
      </c>
      <c r="E961" s="3">
        <v>2.1307672000000002</v>
      </c>
      <c r="F961" s="3">
        <v>2.5255459999999998</v>
      </c>
      <c r="G961" s="3">
        <v>2.9003486999999999</v>
      </c>
      <c r="H961" s="3">
        <v>3.2370830000000002</v>
      </c>
      <c r="I961" s="3">
        <v>3.5252007000000001</v>
      </c>
      <c r="J961" s="3">
        <v>3.7621403</v>
      </c>
      <c r="K961" s="3">
        <v>3.9470966999999999</v>
      </c>
      <c r="L961" s="3">
        <v>4.0808911999999999</v>
      </c>
      <c r="M961" s="3">
        <v>4.1696289999999996</v>
      </c>
      <c r="N961" s="3">
        <v>4.2210270000000003</v>
      </c>
      <c r="O961" s="3">
        <v>4.2422899999999997</v>
      </c>
      <c r="P961" s="3">
        <v>4.2400609999999999</v>
      </c>
      <c r="Q961" s="3">
        <v>4.2207765999999998</v>
      </c>
      <c r="R961" s="3">
        <v>4.1878332</v>
      </c>
      <c r="S961" s="3">
        <v>4.1435665000000004</v>
      </c>
      <c r="T961" s="3">
        <v>4.0903114</v>
      </c>
      <c r="U961" s="3">
        <v>4.0304026999999998</v>
      </c>
      <c r="V961" s="3">
        <v>3.9661754</v>
      </c>
      <c r="W961" s="3">
        <v>3.8997288000000001</v>
      </c>
      <c r="X961" s="3">
        <v>3.8320694999999998</v>
      </c>
      <c r="Y961" s="3">
        <v>3.7638874000000002</v>
      </c>
      <c r="Z961" s="3">
        <v>3.6958726</v>
      </c>
      <c r="AA961" s="3">
        <v>3.6287148999999999</v>
      </c>
      <c r="AB961" s="3">
        <v>3.5631043999999998</v>
      </c>
      <c r="AC961" s="3">
        <v>3.4996366000000001</v>
      </c>
      <c r="AD961" s="3">
        <v>3.438447</v>
      </c>
      <c r="AE961" s="3">
        <v>3.3795310999999999</v>
      </c>
      <c r="AF961" s="3">
        <v>3.3228843000000001</v>
      </c>
      <c r="AG961" s="3">
        <v>3.2685021000000001</v>
      </c>
      <c r="AH961" s="3">
        <v>3.2163799000000002</v>
      </c>
      <c r="AI961" s="3">
        <v>3.1665133000000001</v>
      </c>
      <c r="AJ961" s="3">
        <v>3.1188977000000002</v>
      </c>
      <c r="AK961" s="3">
        <v>3.0735285999999999</v>
      </c>
      <c r="AL961" s="3">
        <v>3.0304012999999999</v>
      </c>
      <c r="AM961" s="3">
        <v>2.9895114</v>
      </c>
      <c r="AN961" s="3">
        <v>2.9508543999999999</v>
      </c>
      <c r="AO961" s="3">
        <v>2.9144106000000001</v>
      </c>
      <c r="AP961" s="3">
        <v>2.8800943000000001</v>
      </c>
      <c r="AQ961" s="3">
        <v>2.8478013999999998</v>
      </c>
      <c r="AR961" s="3">
        <v>2.8174275999999998</v>
      </c>
      <c r="AS961" s="3">
        <v>2.788869</v>
      </c>
      <c r="AT961" s="3">
        <v>2.7620212999999998</v>
      </c>
      <c r="AU961" s="3">
        <v>2.7367805000000001</v>
      </c>
      <c r="AV961" s="3">
        <v>2.7130424999999998</v>
      </c>
      <c r="AW961" s="3">
        <v>2.6907032000000002</v>
      </c>
      <c r="AX961" s="3">
        <v>2.6696583</v>
      </c>
      <c r="AY961" s="3">
        <v>2.6498039000000002</v>
      </c>
      <c r="AZ961" s="3">
        <v>2.6310357</v>
      </c>
      <c r="BA961" s="3">
        <v>2.6132590000000002</v>
      </c>
      <c r="BB961" s="3">
        <v>2.5964200000000002</v>
      </c>
      <c r="BC961" s="3">
        <v>2.5804762000000001</v>
      </c>
      <c r="BD961" s="3">
        <v>2.5653850999999999</v>
      </c>
      <c r="BE961" s="3">
        <v>2.5511040999999999</v>
      </c>
      <c r="BF961" s="3">
        <v>2.5375909000000001</v>
      </c>
      <c r="BG961" s="3">
        <v>2.5248029000000001</v>
      </c>
      <c r="BH961" s="3">
        <v>2.5126976999999999</v>
      </c>
      <c r="BI961" s="3">
        <v>2.5012327000000001</v>
      </c>
      <c r="BJ961" s="3">
        <v>2.4903654</v>
      </c>
      <c r="BK961" s="3">
        <v>2.4800534999999999</v>
      </c>
      <c r="BL961" s="3">
        <v>2.4702544</v>
      </c>
      <c r="BM961" s="3">
        <v>2.4210576000000001</v>
      </c>
      <c r="BN961" s="3">
        <v>2.3869467000000002</v>
      </c>
    </row>
    <row r="962" spans="1:66" x14ac:dyDescent="0.35">
      <c r="A962" s="5">
        <f t="shared" si="14"/>
        <v>44802</v>
      </c>
      <c r="B962" t="s">
        <v>2298</v>
      </c>
      <c r="C962" s="2">
        <v>1.75</v>
      </c>
      <c r="D962" s="2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  <c r="P962" s="3" t="e">
        <v>#N/A</v>
      </c>
      <c r="Q962" s="3" t="e">
        <v>#N/A</v>
      </c>
      <c r="R962" s="3" t="e">
        <v>#N/A</v>
      </c>
      <c r="S962" s="3" t="e">
        <v>#N/A</v>
      </c>
      <c r="T962" s="3" t="e">
        <v>#N/A</v>
      </c>
      <c r="U962" s="3" t="e">
        <v>#N/A</v>
      </c>
      <c r="V962" s="3" t="e">
        <v>#N/A</v>
      </c>
      <c r="W962" s="3" t="e">
        <v>#N/A</v>
      </c>
      <c r="X962" s="3" t="e">
        <v>#N/A</v>
      </c>
      <c r="Y962" s="3" t="e">
        <v>#N/A</v>
      </c>
      <c r="Z962" s="3" t="e">
        <v>#N/A</v>
      </c>
      <c r="AA962" s="3" t="e">
        <v>#N/A</v>
      </c>
      <c r="AB962" s="3" t="e">
        <v>#N/A</v>
      </c>
      <c r="AC962" s="3" t="e">
        <v>#N/A</v>
      </c>
      <c r="AD962" s="3" t="e">
        <v>#N/A</v>
      </c>
      <c r="AE962" s="3" t="e">
        <v>#N/A</v>
      </c>
      <c r="AF962" s="3" t="e">
        <v>#N/A</v>
      </c>
      <c r="AG962" s="3" t="e">
        <v>#N/A</v>
      </c>
      <c r="AH962" s="3" t="e">
        <v>#N/A</v>
      </c>
      <c r="AI962" s="3" t="e">
        <v>#N/A</v>
      </c>
      <c r="AJ962" s="3" t="e">
        <v>#N/A</v>
      </c>
      <c r="AK962" s="3" t="e">
        <v>#N/A</v>
      </c>
      <c r="AL962" s="3" t="e">
        <v>#N/A</v>
      </c>
      <c r="AM962" s="3" t="e">
        <v>#N/A</v>
      </c>
      <c r="AN962" s="3" t="e">
        <v>#N/A</v>
      </c>
      <c r="AO962" s="3" t="e">
        <v>#N/A</v>
      </c>
      <c r="AP962" s="3" t="e">
        <v>#N/A</v>
      </c>
      <c r="AQ962" s="3" t="e">
        <v>#N/A</v>
      </c>
      <c r="AR962" s="3" t="e">
        <v>#N/A</v>
      </c>
      <c r="AS962" s="3" t="e">
        <v>#N/A</v>
      </c>
      <c r="AT962" s="3" t="e">
        <v>#N/A</v>
      </c>
      <c r="AU962" s="3" t="e">
        <v>#N/A</v>
      </c>
      <c r="AV962" s="3" t="e">
        <v>#N/A</v>
      </c>
      <c r="AW962" s="3" t="e">
        <v>#N/A</v>
      </c>
      <c r="AX962" s="3" t="e">
        <v>#N/A</v>
      </c>
      <c r="AY962" s="3" t="e">
        <v>#N/A</v>
      </c>
      <c r="AZ962" s="3" t="e">
        <v>#N/A</v>
      </c>
      <c r="BA962" s="3" t="e">
        <v>#N/A</v>
      </c>
      <c r="BB962" s="3" t="e">
        <v>#N/A</v>
      </c>
      <c r="BC962" s="3" t="e">
        <v>#N/A</v>
      </c>
      <c r="BD962" s="3" t="e">
        <v>#N/A</v>
      </c>
      <c r="BE962" s="3" t="e">
        <v>#N/A</v>
      </c>
      <c r="BF962" s="3" t="e">
        <v>#N/A</v>
      </c>
      <c r="BG962" s="3" t="e">
        <v>#N/A</v>
      </c>
      <c r="BH962" s="3" t="e">
        <v>#N/A</v>
      </c>
      <c r="BI962" s="3" t="e">
        <v>#N/A</v>
      </c>
      <c r="BJ962" s="3" t="e">
        <v>#N/A</v>
      </c>
      <c r="BK962" s="3" t="e">
        <v>#N/A</v>
      </c>
      <c r="BL962" s="3" t="e">
        <v>#N/A</v>
      </c>
      <c r="BM962" s="3" t="e">
        <v>#N/A</v>
      </c>
      <c r="BN962" s="3" t="e">
        <v>#N/A</v>
      </c>
    </row>
    <row r="963" spans="1:66" x14ac:dyDescent="0.35">
      <c r="A963" s="5">
        <f t="shared" si="14"/>
        <v>44803</v>
      </c>
      <c r="B963" t="s">
        <v>2299</v>
      </c>
      <c r="C963" s="2">
        <v>1.75</v>
      </c>
      <c r="D963" s="2">
        <v>1.6904999999999999</v>
      </c>
      <c r="E963" s="3">
        <v>2.2512642999999999</v>
      </c>
      <c r="F963" s="3">
        <v>2.5980411999999999</v>
      </c>
      <c r="G963" s="3">
        <v>2.9800149999999999</v>
      </c>
      <c r="H963" s="3">
        <v>3.3284794</v>
      </c>
      <c r="I963" s="3">
        <v>3.6194098000000001</v>
      </c>
      <c r="J963" s="3">
        <v>3.8532869000000001</v>
      </c>
      <c r="K963" s="3">
        <v>4.0340543000000002</v>
      </c>
      <c r="L963" s="3">
        <v>4.1677619000000004</v>
      </c>
      <c r="M963" s="3">
        <v>4.2596277000000002</v>
      </c>
      <c r="N963" s="3">
        <v>4.3165661999999996</v>
      </c>
      <c r="O963" s="3">
        <v>4.344258</v>
      </c>
      <c r="P963" s="3">
        <v>4.3480277999999997</v>
      </c>
      <c r="Q963" s="3">
        <v>4.3328334999999996</v>
      </c>
      <c r="R963" s="3">
        <v>4.3017681000000003</v>
      </c>
      <c r="S963" s="3">
        <v>4.2574528999999997</v>
      </c>
      <c r="T963" s="3">
        <v>4.2025093</v>
      </c>
      <c r="U963" s="3">
        <v>4.1395587999999996</v>
      </c>
      <c r="V963" s="3">
        <v>4.0712225999999996</v>
      </c>
      <c r="W963" s="3">
        <v>3.9998838999999999</v>
      </c>
      <c r="X963" s="3">
        <v>3.9268198000000001</v>
      </c>
      <c r="Y963" s="3">
        <v>3.8529871999999998</v>
      </c>
      <c r="Z963" s="3">
        <v>3.7793429000000001</v>
      </c>
      <c r="AA963" s="3">
        <v>3.7068436</v>
      </c>
      <c r="AB963" s="3">
        <v>3.6364461000000001</v>
      </c>
      <c r="AC963" s="3">
        <v>3.5689519999999999</v>
      </c>
      <c r="AD963" s="3">
        <v>3.5044773</v>
      </c>
      <c r="AE963" s="3">
        <v>3.442949</v>
      </c>
      <c r="AF963" s="3">
        <v>3.3842941999999998</v>
      </c>
      <c r="AG963" s="3">
        <v>3.3284397000000001</v>
      </c>
      <c r="AH963" s="3">
        <v>3.2753125999999999</v>
      </c>
      <c r="AI963" s="3">
        <v>3.2248397999999998</v>
      </c>
      <c r="AJ963" s="3">
        <v>3.1769482999999998</v>
      </c>
      <c r="AK963" s="3">
        <v>3.1315651</v>
      </c>
      <c r="AL963" s="3">
        <v>3.0886171999999998</v>
      </c>
      <c r="AM963" s="3">
        <v>3.0480314000000002</v>
      </c>
      <c r="AN963" s="3">
        <v>3.0097349000000002</v>
      </c>
      <c r="AO963" s="3">
        <v>2.9736503999999999</v>
      </c>
      <c r="AP963" s="3">
        <v>2.9396781999999999</v>
      </c>
      <c r="AQ963" s="3">
        <v>2.9077111000000002</v>
      </c>
      <c r="AR963" s="3">
        <v>2.8776418000000001</v>
      </c>
      <c r="AS963" s="3">
        <v>2.8493631000000001</v>
      </c>
      <c r="AT963" s="3">
        <v>2.8227677999999998</v>
      </c>
      <c r="AU963" s="3">
        <v>2.7977487000000001</v>
      </c>
      <c r="AV963" s="3">
        <v>2.7741984</v>
      </c>
      <c r="AW963" s="3">
        <v>2.7520098000000002</v>
      </c>
      <c r="AX963" s="3">
        <v>2.7310756</v>
      </c>
      <c r="AY963" s="3">
        <v>2.7112886999999999</v>
      </c>
      <c r="AZ963" s="3">
        <v>2.6925416000000002</v>
      </c>
      <c r="BA963" s="3">
        <v>2.6747363000000002</v>
      </c>
      <c r="BB963" s="3">
        <v>2.6578233</v>
      </c>
      <c r="BC963" s="3">
        <v>2.6417692000000002</v>
      </c>
      <c r="BD963" s="3">
        <v>2.6265407999999999</v>
      </c>
      <c r="BE963" s="3">
        <v>2.6121050000000001</v>
      </c>
      <c r="BF963" s="3">
        <v>2.5984284999999998</v>
      </c>
      <c r="BG963" s="3">
        <v>2.5854781999999998</v>
      </c>
      <c r="BH963" s="3">
        <v>2.5732206999999998</v>
      </c>
      <c r="BI963" s="3">
        <v>2.5616227999999999</v>
      </c>
      <c r="BJ963" s="3">
        <v>2.5506514</v>
      </c>
      <c r="BK963" s="3">
        <v>2.5402732000000001</v>
      </c>
      <c r="BL963" s="3">
        <v>2.5304551000000002</v>
      </c>
      <c r="BM963" s="3">
        <v>2.4821844</v>
      </c>
      <c r="BN963" s="3">
        <v>2.4502332999999998</v>
      </c>
    </row>
    <row r="964" spans="1:66" x14ac:dyDescent="0.35">
      <c r="A964" s="5">
        <f t="shared" si="14"/>
        <v>44804</v>
      </c>
      <c r="B964" t="s">
        <v>2300</v>
      </c>
      <c r="C964" s="2">
        <v>1.75</v>
      </c>
      <c r="D964" s="2">
        <v>1.6896</v>
      </c>
      <c r="E964" s="3">
        <v>2.2805599000000001</v>
      </c>
      <c r="F964" s="3">
        <v>2.6090551999999998</v>
      </c>
      <c r="G964" s="3">
        <v>2.9922317</v>
      </c>
      <c r="H964" s="3">
        <v>3.3568264000000001</v>
      </c>
      <c r="I964" s="3">
        <v>3.6636736999999999</v>
      </c>
      <c r="J964" s="3">
        <v>3.9057464999999998</v>
      </c>
      <c r="K964" s="3">
        <v>4.0866936000000003</v>
      </c>
      <c r="L964" s="3">
        <v>4.2180203000000001</v>
      </c>
      <c r="M964" s="3">
        <v>4.3074351000000002</v>
      </c>
      <c r="N964" s="3">
        <v>4.3627472000000003</v>
      </c>
      <c r="O964" s="3">
        <v>4.3899565999999997</v>
      </c>
      <c r="P964" s="3">
        <v>4.3945468999999999</v>
      </c>
      <c r="Q964" s="3">
        <v>4.3810058999999999</v>
      </c>
      <c r="R964" s="3">
        <v>4.3520811000000004</v>
      </c>
      <c r="S964" s="3">
        <v>4.3101229999999999</v>
      </c>
      <c r="T964" s="3">
        <v>4.2574820999999998</v>
      </c>
      <c r="U964" s="3">
        <v>4.1965089999999998</v>
      </c>
      <c r="V964" s="3">
        <v>4.1295541</v>
      </c>
      <c r="W964" s="3">
        <v>4.0587495000000002</v>
      </c>
      <c r="X964" s="3">
        <v>3.9853949000000002</v>
      </c>
      <c r="Y964" s="3">
        <v>3.9105921000000001</v>
      </c>
      <c r="Z964" s="3">
        <v>3.8354428</v>
      </c>
      <c r="AA964" s="3">
        <v>3.7610486999999999</v>
      </c>
      <c r="AB964" s="3">
        <v>3.6885116999999998</v>
      </c>
      <c r="AC964" s="3">
        <v>3.6187917999999999</v>
      </c>
      <c r="AD964" s="3">
        <v>3.5520874</v>
      </c>
      <c r="AE964" s="3">
        <v>3.4883410000000001</v>
      </c>
      <c r="AF964" s="3">
        <v>3.4274950999999998</v>
      </c>
      <c r="AG964" s="3">
        <v>3.3694923000000001</v>
      </c>
      <c r="AH964" s="3">
        <v>3.3142749999999999</v>
      </c>
      <c r="AI964" s="3">
        <v>3.2617856000000001</v>
      </c>
      <c r="AJ964" s="3">
        <v>3.2119667999999999</v>
      </c>
      <c r="AK964" s="3">
        <v>3.1647607999999998</v>
      </c>
      <c r="AL964" s="3">
        <v>3.1201104000000002</v>
      </c>
      <c r="AM964" s="3">
        <v>3.0779578000000001</v>
      </c>
      <c r="AN964" s="3">
        <v>3.0382457</v>
      </c>
      <c r="AO964" s="3">
        <v>3.000909</v>
      </c>
      <c r="AP964" s="3">
        <v>2.9658465999999999</v>
      </c>
      <c r="AQ964" s="3">
        <v>2.9329461999999999</v>
      </c>
      <c r="AR964" s="3">
        <v>2.9020955000000002</v>
      </c>
      <c r="AS964" s="3">
        <v>2.8731822999999999</v>
      </c>
      <c r="AT964" s="3">
        <v>2.8460944000000001</v>
      </c>
      <c r="AU964" s="3">
        <v>2.8207194000000002</v>
      </c>
      <c r="AV964" s="3">
        <v>2.7969452000000001</v>
      </c>
      <c r="AW964" s="3">
        <v>2.7746594</v>
      </c>
      <c r="AX964" s="3">
        <v>2.7537498999999999</v>
      </c>
      <c r="AY964" s="3">
        <v>2.7341044000000001</v>
      </c>
      <c r="AZ964" s="3">
        <v>2.7156106000000002</v>
      </c>
      <c r="BA964" s="3">
        <v>2.6981665000000001</v>
      </c>
      <c r="BB964" s="3">
        <v>2.6817191999999999</v>
      </c>
      <c r="BC964" s="3">
        <v>2.6662311999999999</v>
      </c>
      <c r="BD964" s="3">
        <v>2.6516649000000001</v>
      </c>
      <c r="BE964" s="3">
        <v>2.6379825000000001</v>
      </c>
      <c r="BF964" s="3">
        <v>2.6251465</v>
      </c>
      <c r="BG964" s="3">
        <v>2.6131191</v>
      </c>
      <c r="BH964" s="3">
        <v>2.6018626999999999</v>
      </c>
      <c r="BI964" s="3">
        <v>2.5913398000000001</v>
      </c>
      <c r="BJ964" s="3">
        <v>2.5815125000000001</v>
      </c>
      <c r="BK964" s="3">
        <v>2.5723433</v>
      </c>
      <c r="BL964" s="3">
        <v>2.5637946</v>
      </c>
      <c r="BM964" s="3">
        <v>2.5240966</v>
      </c>
      <c r="BN964" s="3">
        <v>2.5013353</v>
      </c>
    </row>
    <row r="965" spans="1:66" x14ac:dyDescent="0.35">
      <c r="A965" s="5">
        <f t="shared" si="14"/>
        <v>44805</v>
      </c>
      <c r="B965" t="s">
        <v>2301</v>
      </c>
      <c r="C965" s="2">
        <v>1.75</v>
      </c>
      <c r="D965" s="2">
        <v>1.6901999999999999</v>
      </c>
      <c r="E965" s="3">
        <v>2.3391015999999998</v>
      </c>
      <c r="F965" s="3">
        <v>2.6767395999999999</v>
      </c>
      <c r="G965" s="3">
        <v>3.0791268000000001</v>
      </c>
      <c r="H965" s="3">
        <v>3.4496454999999999</v>
      </c>
      <c r="I965" s="3">
        <v>3.7512840999999999</v>
      </c>
      <c r="J965" s="3">
        <v>3.9857749</v>
      </c>
      <c r="K965" s="3">
        <v>4.1588015</v>
      </c>
      <c r="L965" s="3">
        <v>4.2814334000000001</v>
      </c>
      <c r="M965" s="3">
        <v>4.3637234999999999</v>
      </c>
      <c r="N965" s="3">
        <v>4.4140176000000002</v>
      </c>
      <c r="O965" s="3">
        <v>4.4387699999999999</v>
      </c>
      <c r="P965" s="3">
        <v>4.4424073999999996</v>
      </c>
      <c r="Q965" s="3">
        <v>4.4287878000000003</v>
      </c>
      <c r="R965" s="3">
        <v>4.4004479999999999</v>
      </c>
      <c r="S965" s="3">
        <v>4.3595791000000004</v>
      </c>
      <c r="T965" s="3">
        <v>4.3083723000000003</v>
      </c>
      <c r="U965" s="3">
        <v>4.2490186000000003</v>
      </c>
      <c r="V965" s="3">
        <v>4.1837092</v>
      </c>
      <c r="W965" s="3">
        <v>4.1144363000000004</v>
      </c>
      <c r="X965" s="3">
        <v>4.0424362</v>
      </c>
      <c r="Y965" s="3">
        <v>3.9687648000000002</v>
      </c>
      <c r="Z965" s="3">
        <v>3.8944781000000002</v>
      </c>
      <c r="AA965" s="3">
        <v>3.8206321999999999</v>
      </c>
      <c r="AB965" s="3">
        <v>3.7482831000000001</v>
      </c>
      <c r="AC965" s="3">
        <v>3.6783456999999999</v>
      </c>
      <c r="AD965" s="3">
        <v>3.6110462999999999</v>
      </c>
      <c r="AE965" s="3">
        <v>3.5464019000000002</v>
      </c>
      <c r="AF965" s="3">
        <v>3.4844295999999999</v>
      </c>
      <c r="AG965" s="3">
        <v>3.4251463000000002</v>
      </c>
      <c r="AH965" s="3">
        <v>3.3685687999999998</v>
      </c>
      <c r="AI965" s="3">
        <v>3.3147142999999999</v>
      </c>
      <c r="AJ965" s="3">
        <v>3.2635995000000002</v>
      </c>
      <c r="AK965" s="3">
        <v>3.2152414999999999</v>
      </c>
      <c r="AL965" s="3">
        <v>3.1696572000000001</v>
      </c>
      <c r="AM965" s="3">
        <v>3.1268636000000001</v>
      </c>
      <c r="AN965" s="3">
        <v>3.0868774999999999</v>
      </c>
      <c r="AO965" s="3">
        <v>3.0496934000000002</v>
      </c>
      <c r="AP965" s="3">
        <v>3.0152059000000002</v>
      </c>
      <c r="AQ965" s="3">
        <v>2.9832819000000002</v>
      </c>
      <c r="AR965" s="3">
        <v>2.9537884999999999</v>
      </c>
      <c r="AS965" s="3">
        <v>2.9265927</v>
      </c>
      <c r="AT965" s="3">
        <v>2.9015616</v>
      </c>
      <c r="AU965" s="3">
        <v>2.8785622000000002</v>
      </c>
      <c r="AV965" s="3">
        <v>2.8574616000000002</v>
      </c>
      <c r="AW965" s="3">
        <v>2.8381267999999999</v>
      </c>
      <c r="AX965" s="3">
        <v>2.8204248000000001</v>
      </c>
      <c r="AY965" s="3">
        <v>2.8042227</v>
      </c>
      <c r="AZ965" s="3">
        <v>2.7893875000000001</v>
      </c>
      <c r="BA965" s="3">
        <v>2.7757963999999999</v>
      </c>
      <c r="BB965" s="3">
        <v>2.7633711999999999</v>
      </c>
      <c r="BC965" s="3">
        <v>2.7520462000000001</v>
      </c>
      <c r="BD965" s="3">
        <v>2.7417555999999998</v>
      </c>
      <c r="BE965" s="3">
        <v>2.7324335999999998</v>
      </c>
      <c r="BF965" s="3">
        <v>2.7240144000000002</v>
      </c>
      <c r="BG965" s="3">
        <v>2.7164323000000001</v>
      </c>
      <c r="BH965" s="3">
        <v>2.7096214000000001</v>
      </c>
      <c r="BI965" s="3">
        <v>2.7035159000000002</v>
      </c>
      <c r="BJ965" s="3">
        <v>2.6980501000000001</v>
      </c>
      <c r="BK965" s="3">
        <v>2.6931582000000001</v>
      </c>
      <c r="BL965" s="3">
        <v>2.6887743</v>
      </c>
      <c r="BM965" s="3">
        <v>2.6708329000000002</v>
      </c>
      <c r="BN965" s="3">
        <v>2.6629497999999998</v>
      </c>
    </row>
    <row r="966" spans="1:66" x14ac:dyDescent="0.35">
      <c r="A966" s="5">
        <f t="shared" si="14"/>
        <v>44806</v>
      </c>
      <c r="B966" t="s">
        <v>2302</v>
      </c>
      <c r="C966" s="2">
        <v>1.75</v>
      </c>
      <c r="D966" s="2">
        <v>1.6911</v>
      </c>
      <c r="E966" s="3">
        <v>2.3453346000000002</v>
      </c>
      <c r="F966" s="3">
        <v>2.6773989999999999</v>
      </c>
      <c r="G966" s="3">
        <v>3.0677292</v>
      </c>
      <c r="H966" s="3">
        <v>3.4250970999999999</v>
      </c>
      <c r="I966" s="3">
        <v>3.7176341000000002</v>
      </c>
      <c r="J966" s="3">
        <v>3.9460644</v>
      </c>
      <c r="K966" s="3">
        <v>4.1144769999999999</v>
      </c>
      <c r="L966" s="3">
        <v>4.2330502000000001</v>
      </c>
      <c r="M966" s="3">
        <v>4.3122607000000004</v>
      </c>
      <c r="N966" s="3">
        <v>4.3599093</v>
      </c>
      <c r="O966" s="3">
        <v>4.3819469</v>
      </c>
      <c r="P966" s="3">
        <v>4.3827803999999997</v>
      </c>
      <c r="Q966" s="3">
        <v>4.3658764000000003</v>
      </c>
      <c r="R966" s="3">
        <v>4.3338798000000001</v>
      </c>
      <c r="S966" s="3">
        <v>4.2892222000000002</v>
      </c>
      <c r="T966" s="3">
        <v>4.2343351</v>
      </c>
      <c r="U966" s="3">
        <v>4.1716499000000002</v>
      </c>
      <c r="V966" s="3">
        <v>4.1035981000000001</v>
      </c>
      <c r="W966" s="3">
        <v>4.0324035</v>
      </c>
      <c r="X966" s="3">
        <v>3.9593267000000001</v>
      </c>
      <c r="Y966" s="3">
        <v>3.8853491</v>
      </c>
      <c r="Z966" s="3">
        <v>3.8114520000000001</v>
      </c>
      <c r="AA966" s="3">
        <v>3.7386168999999998</v>
      </c>
      <c r="AB966" s="3">
        <v>3.6678250999999999</v>
      </c>
      <c r="AC966" s="3">
        <v>3.5999056999999999</v>
      </c>
      <c r="AD966" s="3">
        <v>3.5350153</v>
      </c>
      <c r="AE966" s="3">
        <v>3.473125</v>
      </c>
      <c r="AF966" s="3">
        <v>3.4142058999999998</v>
      </c>
      <c r="AG966" s="3">
        <v>3.3582288999999999</v>
      </c>
      <c r="AH966" s="3">
        <v>3.3051651999999998</v>
      </c>
      <c r="AI966" s="3">
        <v>3.2549858</v>
      </c>
      <c r="AJ966" s="3">
        <v>3.2076617999999999</v>
      </c>
      <c r="AK966" s="3">
        <v>3.1631643</v>
      </c>
      <c r="AL966" s="3">
        <v>3.1214642000000001</v>
      </c>
      <c r="AM966" s="3">
        <v>3.0825326999999998</v>
      </c>
      <c r="AN966" s="3">
        <v>3.0463409000000001</v>
      </c>
      <c r="AO966" s="3">
        <v>3.0128398999999999</v>
      </c>
      <c r="AP966" s="3">
        <v>2.9818927999999998</v>
      </c>
      <c r="AQ966" s="3">
        <v>2.9533387000000002</v>
      </c>
      <c r="AR966" s="3">
        <v>2.9270166</v>
      </c>
      <c r="AS966" s="3">
        <v>2.9027653999999998</v>
      </c>
      <c r="AT966" s="3">
        <v>2.8804240999999999</v>
      </c>
      <c r="AU966" s="3">
        <v>2.8598317</v>
      </c>
      <c r="AV966" s="3">
        <v>2.840827</v>
      </c>
      <c r="AW966" s="3">
        <v>2.8232491999999998</v>
      </c>
      <c r="AX966" s="3">
        <v>2.8069370999999999</v>
      </c>
      <c r="AY966" s="3">
        <v>2.7917298000000002</v>
      </c>
      <c r="AZ966" s="3">
        <v>2.7774660999999998</v>
      </c>
      <c r="BA966" s="3">
        <v>2.7640061999999999</v>
      </c>
      <c r="BB966" s="3">
        <v>2.7513030000000001</v>
      </c>
      <c r="BC966" s="3">
        <v>2.7393350000000001</v>
      </c>
      <c r="BD966" s="3">
        <v>2.7280807999999999</v>
      </c>
      <c r="BE966" s="3">
        <v>2.7175191000000001</v>
      </c>
      <c r="BF966" s="3">
        <v>2.7076283999999999</v>
      </c>
      <c r="BG966" s="3">
        <v>2.6983872999999998</v>
      </c>
      <c r="BH966" s="3">
        <v>2.6897744000000001</v>
      </c>
      <c r="BI966" s="3">
        <v>2.6817682999999999</v>
      </c>
      <c r="BJ966" s="3">
        <v>2.6743475999999999</v>
      </c>
      <c r="BK966" s="3">
        <v>2.6674907999999999</v>
      </c>
      <c r="BL966" s="3">
        <v>2.6611766000000001</v>
      </c>
      <c r="BM966" s="3">
        <v>2.634042</v>
      </c>
      <c r="BN966" s="3">
        <v>2.6244182</v>
      </c>
    </row>
    <row r="967" spans="1:66" x14ac:dyDescent="0.35">
      <c r="A967" s="5">
        <f t="shared" si="14"/>
        <v>44809</v>
      </c>
      <c r="B967" t="s">
        <v>2305</v>
      </c>
      <c r="C967" s="2">
        <v>1.75</v>
      </c>
      <c r="D967" s="2">
        <v>1.6907000000000001</v>
      </c>
      <c r="E967" s="3">
        <v>2.4305786</v>
      </c>
      <c r="F967" s="3">
        <v>2.7879030999999999</v>
      </c>
      <c r="G967" s="3">
        <v>3.1884028999999998</v>
      </c>
      <c r="H967" s="3">
        <v>3.5509108</v>
      </c>
      <c r="I967" s="3">
        <v>3.8448908999999998</v>
      </c>
      <c r="J967" s="3">
        <v>4.0719368999999999</v>
      </c>
      <c r="K967" s="3">
        <v>4.2386464999999998</v>
      </c>
      <c r="L967" s="3">
        <v>4.3558380000000003</v>
      </c>
      <c r="M967" s="3">
        <v>4.4337045000000002</v>
      </c>
      <c r="N967" s="3">
        <v>4.4803312999999996</v>
      </c>
      <c r="O967" s="3">
        <v>4.5019761999999997</v>
      </c>
      <c r="P967" s="3">
        <v>4.5037636000000001</v>
      </c>
      <c r="Q967" s="3">
        <v>4.4898769999999999</v>
      </c>
      <c r="R967" s="3">
        <v>4.4627080000000001</v>
      </c>
      <c r="S967" s="3">
        <v>4.4242255999999998</v>
      </c>
      <c r="T967" s="3">
        <v>4.3763984000000002</v>
      </c>
      <c r="U967" s="3">
        <v>4.3211953999999997</v>
      </c>
      <c r="V967" s="3">
        <v>4.2605854000000001</v>
      </c>
      <c r="W967" s="3">
        <v>4.1963526</v>
      </c>
      <c r="X967" s="3">
        <v>4.1295788</v>
      </c>
      <c r="Y967" s="3">
        <v>4.0611785999999999</v>
      </c>
      <c r="Z967" s="3">
        <v>3.9920667000000001</v>
      </c>
      <c r="AA967" s="3">
        <v>3.9231574</v>
      </c>
      <c r="AB967" s="3">
        <v>3.8553655</v>
      </c>
      <c r="AC967" s="3">
        <v>3.7894711000000001</v>
      </c>
      <c r="AD967" s="3">
        <v>3.7256605999999999</v>
      </c>
      <c r="AE967" s="3">
        <v>3.6639569999999999</v>
      </c>
      <c r="AF967" s="3">
        <v>3.6043829999999999</v>
      </c>
      <c r="AG967" s="3">
        <v>3.5469613999999998</v>
      </c>
      <c r="AH967" s="3">
        <v>3.4917151</v>
      </c>
      <c r="AI967" s="3">
        <v>3.4386667000000002</v>
      </c>
      <c r="AJ967" s="3">
        <v>3.3878390999999999</v>
      </c>
      <c r="AK967" s="3">
        <v>3.3392552000000002</v>
      </c>
      <c r="AL967" s="3">
        <v>3.2929376000000001</v>
      </c>
      <c r="AM967" s="3">
        <v>3.2489093000000002</v>
      </c>
      <c r="AN967" s="3">
        <v>3.2071930000000002</v>
      </c>
      <c r="AO967" s="3">
        <v>3.1677925999999998</v>
      </c>
      <c r="AP967" s="3">
        <v>3.1306291000000002</v>
      </c>
      <c r="AQ967" s="3">
        <v>3.0956001999999998</v>
      </c>
      <c r="AR967" s="3">
        <v>3.0626039</v>
      </c>
      <c r="AS967" s="3">
        <v>3.0315382</v>
      </c>
      <c r="AT967" s="3">
        <v>3.0023008</v>
      </c>
      <c r="AU967" s="3">
        <v>2.9747897000000001</v>
      </c>
      <c r="AV967" s="3">
        <v>2.9489027999999999</v>
      </c>
      <c r="AW967" s="3">
        <v>2.9245378999999998</v>
      </c>
      <c r="AX967" s="3">
        <v>2.9015930999999999</v>
      </c>
      <c r="AY967" s="3">
        <v>2.8799660999999999</v>
      </c>
      <c r="AZ967" s="3">
        <v>2.8595549</v>
      </c>
      <c r="BA967" s="3">
        <v>2.840265</v>
      </c>
      <c r="BB967" s="3">
        <v>2.8220436000000002</v>
      </c>
      <c r="BC967" s="3">
        <v>2.8048516000000001</v>
      </c>
      <c r="BD967" s="3">
        <v>2.7886500000000001</v>
      </c>
      <c r="BE967" s="3">
        <v>2.7733998</v>
      </c>
      <c r="BF967" s="3">
        <v>2.7590618999999998</v>
      </c>
      <c r="BG967" s="3">
        <v>2.7455975000000001</v>
      </c>
      <c r="BH967" s="3">
        <v>2.7329674000000002</v>
      </c>
      <c r="BI967" s="3">
        <v>2.7211325999999998</v>
      </c>
      <c r="BJ967" s="3">
        <v>2.7100542000000001</v>
      </c>
      <c r="BK967" s="3">
        <v>2.6996931000000002</v>
      </c>
      <c r="BL967" s="3">
        <v>2.6900103</v>
      </c>
      <c r="BM967" s="3">
        <v>2.6447231000000002</v>
      </c>
      <c r="BN967" s="3">
        <v>2.6186221999999999</v>
      </c>
    </row>
    <row r="968" spans="1:66" x14ac:dyDescent="0.35">
      <c r="A968" s="5">
        <f t="shared" si="14"/>
        <v>44810</v>
      </c>
      <c r="B968" t="s">
        <v>2306</v>
      </c>
      <c r="C968" s="2">
        <v>1.75</v>
      </c>
      <c r="D968" s="2">
        <v>1.6913</v>
      </c>
      <c r="E968" s="3">
        <v>2.3854853</v>
      </c>
      <c r="F968" s="3">
        <v>2.7590265</v>
      </c>
      <c r="G968" s="3">
        <v>3.1727631000000001</v>
      </c>
      <c r="H968" s="3">
        <v>3.5446675999999999</v>
      </c>
      <c r="I968" s="3">
        <v>3.8451339</v>
      </c>
      <c r="J968" s="3">
        <v>4.0753424000000003</v>
      </c>
      <c r="K968" s="3">
        <v>4.2408881999999997</v>
      </c>
      <c r="L968" s="3">
        <v>4.354635</v>
      </c>
      <c r="M968" s="3">
        <v>4.4276676000000004</v>
      </c>
      <c r="N968" s="3">
        <v>4.4702257000000003</v>
      </c>
      <c r="O968" s="3">
        <v>4.4889624000000001</v>
      </c>
      <c r="P968" s="3">
        <v>4.4891540000000001</v>
      </c>
      <c r="Q968" s="3">
        <v>4.4749800999999998</v>
      </c>
      <c r="R968" s="3">
        <v>4.4487179000000001</v>
      </c>
      <c r="S968" s="3">
        <v>4.4122066000000002</v>
      </c>
      <c r="T968" s="3">
        <v>4.3672851000000001</v>
      </c>
      <c r="U968" s="3">
        <v>4.3157926</v>
      </c>
      <c r="V968" s="3">
        <v>4.2595679999999998</v>
      </c>
      <c r="W968" s="3">
        <v>4.2002749000000001</v>
      </c>
      <c r="X968" s="3">
        <v>4.1389075999999996</v>
      </c>
      <c r="Y968" s="3">
        <v>4.0763014999999996</v>
      </c>
      <c r="Z968" s="3">
        <v>4.0132918999999996</v>
      </c>
      <c r="AA968" s="3">
        <v>3.9507140999999999</v>
      </c>
      <c r="AB968" s="3">
        <v>3.8894033000000001</v>
      </c>
      <c r="AC968" s="3">
        <v>3.8300687999999998</v>
      </c>
      <c r="AD968" s="3">
        <v>3.7728635000000001</v>
      </c>
      <c r="AE968" s="3">
        <v>3.7177866000000002</v>
      </c>
      <c r="AF968" s="3">
        <v>3.6648375</v>
      </c>
      <c r="AG968" s="3">
        <v>3.6140154999999998</v>
      </c>
      <c r="AH968" s="3">
        <v>3.5653199</v>
      </c>
      <c r="AI968" s="3">
        <v>3.5187501000000001</v>
      </c>
      <c r="AJ968" s="3">
        <v>3.4743051999999999</v>
      </c>
      <c r="AK968" s="3">
        <v>3.4319847000000001</v>
      </c>
      <c r="AL968" s="3">
        <v>3.3917879000000002</v>
      </c>
      <c r="AM968" s="3">
        <v>3.3537140000000001</v>
      </c>
      <c r="AN968" s="3">
        <v>3.3177623999999999</v>
      </c>
      <c r="AO968" s="3">
        <v>3.2839201999999998</v>
      </c>
      <c r="AP968" s="3">
        <v>3.2521086000000001</v>
      </c>
      <c r="AQ968" s="3">
        <v>3.2222267000000002</v>
      </c>
      <c r="AR968" s="3">
        <v>3.1941736000000001</v>
      </c>
      <c r="AS968" s="3">
        <v>3.1678484999999998</v>
      </c>
      <c r="AT968" s="3">
        <v>3.1431504000000001</v>
      </c>
      <c r="AU968" s="3">
        <v>3.1199785000000002</v>
      </c>
      <c r="AV968" s="3">
        <v>3.0982319999999999</v>
      </c>
      <c r="AW968" s="3">
        <v>3.0778099000000001</v>
      </c>
      <c r="AX968" s="3">
        <v>3.0586112999999999</v>
      </c>
      <c r="AY968" s="3">
        <v>3.0405354</v>
      </c>
      <c r="AZ968" s="3">
        <v>3.0234812999999998</v>
      </c>
      <c r="BA968" s="3">
        <v>3.0073571000000001</v>
      </c>
      <c r="BB968" s="3">
        <v>2.9921153999999999</v>
      </c>
      <c r="BC968" s="3">
        <v>2.9777220999999998</v>
      </c>
      <c r="BD968" s="3">
        <v>2.964143</v>
      </c>
      <c r="BE968" s="3">
        <v>2.9513441</v>
      </c>
      <c r="BF968" s="3">
        <v>2.9392912999999998</v>
      </c>
      <c r="BG968" s="3">
        <v>2.9279505000000001</v>
      </c>
      <c r="BH968" s="3">
        <v>2.9172877000000002</v>
      </c>
      <c r="BI968" s="3">
        <v>2.9072688000000002</v>
      </c>
      <c r="BJ968" s="3">
        <v>2.8978597000000001</v>
      </c>
      <c r="BK968" s="3">
        <v>2.8890262</v>
      </c>
      <c r="BL968" s="3">
        <v>2.8807344000000001</v>
      </c>
      <c r="BM968" s="3">
        <v>2.841275</v>
      </c>
      <c r="BN968" s="3">
        <v>2.8177351000000002</v>
      </c>
    </row>
    <row r="969" spans="1:66" x14ac:dyDescent="0.35">
      <c r="A969" s="5">
        <f t="shared" si="14"/>
        <v>44811</v>
      </c>
      <c r="B969" t="s">
        <v>2307</v>
      </c>
      <c r="C969" s="2">
        <v>1.75</v>
      </c>
      <c r="D969" s="2">
        <v>1.6907000000000001</v>
      </c>
      <c r="E969" s="3">
        <v>2.3453788000000002</v>
      </c>
      <c r="F969" s="3">
        <v>2.7298868000000001</v>
      </c>
      <c r="G969" s="3">
        <v>3.1398975</v>
      </c>
      <c r="H969" s="3">
        <v>3.4925525999999998</v>
      </c>
      <c r="I969" s="3">
        <v>3.7644639999999998</v>
      </c>
      <c r="J969" s="3">
        <v>3.9670671</v>
      </c>
      <c r="K969" s="3">
        <v>4.1110432000000001</v>
      </c>
      <c r="L969" s="3">
        <v>4.2097702999999997</v>
      </c>
      <c r="M969" s="3">
        <v>4.2736470000000004</v>
      </c>
      <c r="N969" s="3">
        <v>4.3109105000000003</v>
      </c>
      <c r="O969" s="3">
        <v>4.3270431</v>
      </c>
      <c r="P969" s="3">
        <v>4.3262486000000004</v>
      </c>
      <c r="Q969" s="3">
        <v>4.3115845000000004</v>
      </c>
      <c r="R969" s="3">
        <v>4.2850856999999998</v>
      </c>
      <c r="S969" s="3">
        <v>4.2485809000000003</v>
      </c>
      <c r="T969" s="3">
        <v>4.2038989000000004</v>
      </c>
      <c r="U969" s="3">
        <v>4.1528682999999997</v>
      </c>
      <c r="V969" s="3">
        <v>4.0973179000000002</v>
      </c>
      <c r="W969" s="3">
        <v>4.0389151999999999</v>
      </c>
      <c r="X969" s="3">
        <v>3.9787132000000001</v>
      </c>
      <c r="Y969" s="3">
        <v>3.9176191999999999</v>
      </c>
      <c r="Z969" s="3">
        <v>3.8565399</v>
      </c>
      <c r="AA969" s="3">
        <v>3.7963827000000001</v>
      </c>
      <c r="AB969" s="3">
        <v>3.7380542999999999</v>
      </c>
      <c r="AC969" s="3">
        <v>3.6823397</v>
      </c>
      <c r="AD969" s="3">
        <v>3.6293652999999999</v>
      </c>
      <c r="AE969" s="3">
        <v>3.5790367000000001</v>
      </c>
      <c r="AF969" s="3">
        <v>3.5312595999999998</v>
      </c>
      <c r="AG969" s="3">
        <v>3.4859395000000002</v>
      </c>
      <c r="AH969" s="3">
        <v>3.4429818999999999</v>
      </c>
      <c r="AI969" s="3">
        <v>3.4022925000000002</v>
      </c>
      <c r="AJ969" s="3">
        <v>3.3637768000000001</v>
      </c>
      <c r="AK969" s="3">
        <v>3.3273402999999999</v>
      </c>
      <c r="AL969" s="3">
        <v>3.2928886999999998</v>
      </c>
      <c r="AM969" s="3">
        <v>3.2603274</v>
      </c>
      <c r="AN969" s="3">
        <v>3.2295620999999999</v>
      </c>
      <c r="AO969" s="3">
        <v>3.2004985000000001</v>
      </c>
      <c r="AP969" s="3">
        <v>3.1730439000000001</v>
      </c>
      <c r="AQ969" s="3">
        <v>3.1471057</v>
      </c>
      <c r="AR969" s="3">
        <v>3.1225915</v>
      </c>
      <c r="AS969" s="3">
        <v>3.0994088999999998</v>
      </c>
      <c r="AT969" s="3">
        <v>3.0774653000000001</v>
      </c>
      <c r="AU969" s="3">
        <v>3.0566684999999998</v>
      </c>
      <c r="AV969" s="3">
        <v>3.0369258000000001</v>
      </c>
      <c r="AW969" s="3">
        <v>3.0181448</v>
      </c>
      <c r="AX969" s="3">
        <v>3.0002331</v>
      </c>
      <c r="AY969" s="3">
        <v>2.9830983</v>
      </c>
      <c r="AZ969" s="3">
        <v>2.9666478000000001</v>
      </c>
      <c r="BA969" s="3">
        <v>2.9508019999999999</v>
      </c>
      <c r="BB969" s="3">
        <v>2.9355375000000001</v>
      </c>
      <c r="BC969" s="3">
        <v>2.9208463999999998</v>
      </c>
      <c r="BD969" s="3">
        <v>2.9067210999999999</v>
      </c>
      <c r="BE969" s="3">
        <v>2.8931534999999999</v>
      </c>
      <c r="BF969" s="3">
        <v>2.8801359</v>
      </c>
      <c r="BG969" s="3">
        <v>2.8676604999999999</v>
      </c>
      <c r="BH969" s="3">
        <v>2.8557193999999999</v>
      </c>
      <c r="BI969" s="3">
        <v>2.8443049</v>
      </c>
      <c r="BJ969" s="3">
        <v>2.8334090000000001</v>
      </c>
      <c r="BK969" s="3">
        <v>2.8230238999999999</v>
      </c>
      <c r="BL969" s="3">
        <v>2.8131419000000002</v>
      </c>
      <c r="BM969" s="3">
        <v>2.7641676999999998</v>
      </c>
      <c r="BN969" s="3">
        <v>2.7325002</v>
      </c>
    </row>
    <row r="970" spans="1:66" x14ac:dyDescent="0.35">
      <c r="A970" s="5">
        <f t="shared" si="14"/>
        <v>44812</v>
      </c>
      <c r="B970" t="s">
        <v>2308</v>
      </c>
      <c r="C970" s="2">
        <v>1.75</v>
      </c>
      <c r="D970" s="2">
        <v>1.6902999999999999</v>
      </c>
      <c r="E970" s="3">
        <v>2.3710040999999999</v>
      </c>
      <c r="F970" s="3">
        <v>2.7639244000000001</v>
      </c>
      <c r="G970" s="3">
        <v>3.1681797</v>
      </c>
      <c r="H970" s="3">
        <v>3.5130376000000001</v>
      </c>
      <c r="I970" s="3">
        <v>3.7796313000000001</v>
      </c>
      <c r="J970" s="3">
        <v>3.9781982</v>
      </c>
      <c r="K970" s="3">
        <v>4.1191585999999996</v>
      </c>
      <c r="L970" s="3">
        <v>4.2154056999999998</v>
      </c>
      <c r="M970" s="3">
        <v>4.2781238000000004</v>
      </c>
      <c r="N970" s="3">
        <v>4.3151864</v>
      </c>
      <c r="O970" s="3">
        <v>4.332694</v>
      </c>
      <c r="P970" s="3">
        <v>4.3343780000000001</v>
      </c>
      <c r="Q970" s="3">
        <v>4.3229134</v>
      </c>
      <c r="R970" s="3">
        <v>4.3001965000000002</v>
      </c>
      <c r="S970" s="3">
        <v>4.2679470000000004</v>
      </c>
      <c r="T970" s="3">
        <v>4.2278846999999997</v>
      </c>
      <c r="U970" s="3">
        <v>4.1817294</v>
      </c>
      <c r="V970" s="3">
        <v>4.1312005999999997</v>
      </c>
      <c r="W970" s="3">
        <v>4.0778666000000001</v>
      </c>
      <c r="X970" s="3">
        <v>4.0227186000000001</v>
      </c>
      <c r="Y970" s="3">
        <v>3.9666106000000001</v>
      </c>
      <c r="Z970" s="3">
        <v>3.9103965999999999</v>
      </c>
      <c r="AA970" s="3">
        <v>3.8549305</v>
      </c>
      <c r="AB970" s="3">
        <v>3.8010660999999999</v>
      </c>
      <c r="AC970" s="3">
        <v>3.7495319</v>
      </c>
      <c r="AD970" s="3">
        <v>3.7004435999999998</v>
      </c>
      <c r="AE970" s="3">
        <v>3.6537305</v>
      </c>
      <c r="AF970" s="3">
        <v>3.6093220000000001</v>
      </c>
      <c r="AG970" s="3">
        <v>3.5671474999999999</v>
      </c>
      <c r="AH970" s="3">
        <v>3.5271363</v>
      </c>
      <c r="AI970" s="3">
        <v>3.4892177000000002</v>
      </c>
      <c r="AJ970" s="3">
        <v>3.4533211000000001</v>
      </c>
      <c r="AK970" s="3">
        <v>3.4193758000000001</v>
      </c>
      <c r="AL970" s="3">
        <v>3.3873112000000001</v>
      </c>
      <c r="AM970" s="3">
        <v>3.3570565999999999</v>
      </c>
      <c r="AN970" s="3">
        <v>3.3285414000000002</v>
      </c>
      <c r="AO970" s="3">
        <v>3.3016920999999999</v>
      </c>
      <c r="AP970" s="3">
        <v>3.2764229999999999</v>
      </c>
      <c r="AQ970" s="3">
        <v>3.2526451000000001</v>
      </c>
      <c r="AR970" s="3">
        <v>3.2302692999999998</v>
      </c>
      <c r="AS970" s="3">
        <v>3.2092065000000001</v>
      </c>
      <c r="AT970" s="3">
        <v>3.1893677</v>
      </c>
      <c r="AU970" s="3">
        <v>3.1706637999999998</v>
      </c>
      <c r="AV970" s="3">
        <v>3.1530057</v>
      </c>
      <c r="AW970" s="3">
        <v>3.1363042999999999</v>
      </c>
      <c r="AX970" s="3">
        <v>3.1204706</v>
      </c>
      <c r="AY970" s="3">
        <v>3.1054156000000002</v>
      </c>
      <c r="AZ970" s="3">
        <v>3.0910500000000001</v>
      </c>
      <c r="BA970" s="3">
        <v>3.0772965000000001</v>
      </c>
      <c r="BB970" s="3">
        <v>3.0641284</v>
      </c>
      <c r="BC970" s="3">
        <v>3.0515332000000002</v>
      </c>
      <c r="BD970" s="3">
        <v>3.0394983999999998</v>
      </c>
      <c r="BE970" s="3">
        <v>3.0280114</v>
      </c>
      <c r="BF970" s="3">
        <v>3.0170596000000001</v>
      </c>
      <c r="BG970" s="3">
        <v>3.0066307000000001</v>
      </c>
      <c r="BH970" s="3">
        <v>2.9967119000000002</v>
      </c>
      <c r="BI970" s="3">
        <v>2.9872909000000001</v>
      </c>
      <c r="BJ970" s="3">
        <v>2.9783550000000001</v>
      </c>
      <c r="BK970" s="3">
        <v>2.9698916999999998</v>
      </c>
      <c r="BL970" s="3">
        <v>2.9618885000000001</v>
      </c>
      <c r="BM970" s="3">
        <v>2.9231061</v>
      </c>
      <c r="BN970" s="3">
        <v>2.8994070999999999</v>
      </c>
    </row>
    <row r="971" spans="1:66" x14ac:dyDescent="0.35">
      <c r="A971" s="5">
        <f t="shared" si="14"/>
        <v>44813</v>
      </c>
      <c r="B971" t="s">
        <v>2309</v>
      </c>
      <c r="C971" s="2">
        <v>1.75</v>
      </c>
      <c r="D971" s="2">
        <v>1.6919</v>
      </c>
      <c r="E971" s="3">
        <v>2.4108963000000001</v>
      </c>
      <c r="F971" s="3">
        <v>2.7875586999999999</v>
      </c>
      <c r="G971" s="3">
        <v>3.1900569999999999</v>
      </c>
      <c r="H971" s="3">
        <v>3.5380780000000001</v>
      </c>
      <c r="I971" s="3">
        <v>3.8063470000000001</v>
      </c>
      <c r="J971" s="3">
        <v>4.0022023000000004</v>
      </c>
      <c r="K971" s="3">
        <v>4.1369297999999999</v>
      </c>
      <c r="L971" s="3">
        <v>4.2249550999999999</v>
      </c>
      <c r="M971" s="3">
        <v>4.2786857999999999</v>
      </c>
      <c r="N971" s="3">
        <v>4.3067738999999996</v>
      </c>
      <c r="O971" s="3">
        <v>4.3153832000000003</v>
      </c>
      <c r="P971" s="3">
        <v>4.3085544000000002</v>
      </c>
      <c r="Q971" s="3">
        <v>4.2894183000000004</v>
      </c>
      <c r="R971" s="3">
        <v>4.2600110000000004</v>
      </c>
      <c r="S971" s="3">
        <v>4.2220553000000001</v>
      </c>
      <c r="T971" s="3">
        <v>4.1772739999999997</v>
      </c>
      <c r="U971" s="3">
        <v>4.1273895999999999</v>
      </c>
      <c r="V971" s="3">
        <v>4.0741249000000002</v>
      </c>
      <c r="W971" s="3">
        <v>4.0190517000000003</v>
      </c>
      <c r="X971" s="3">
        <v>3.9630418000000001</v>
      </c>
      <c r="Y971" s="3">
        <v>3.9067642</v>
      </c>
      <c r="Z971" s="3">
        <v>3.8508876999999999</v>
      </c>
      <c r="AA971" s="3">
        <v>3.7960815000000001</v>
      </c>
      <c r="AB971" s="3">
        <v>3.7430143999999999</v>
      </c>
      <c r="AC971" s="3">
        <v>3.6922440000000001</v>
      </c>
      <c r="AD971" s="3">
        <v>3.6438370999999998</v>
      </c>
      <c r="AE971" s="3">
        <v>3.5977244000000002</v>
      </c>
      <c r="AF971" s="3">
        <v>3.5538371999999998</v>
      </c>
      <c r="AG971" s="3">
        <v>3.5121063000000001</v>
      </c>
      <c r="AH971" s="3">
        <v>3.4724629</v>
      </c>
      <c r="AI971" s="3">
        <v>3.4348379000000002</v>
      </c>
      <c r="AJ971" s="3">
        <v>3.3991623999999998</v>
      </c>
      <c r="AK971" s="3">
        <v>3.3653673</v>
      </c>
      <c r="AL971" s="3">
        <v>3.3333837000000002</v>
      </c>
      <c r="AM971" s="3">
        <v>3.3031427</v>
      </c>
      <c r="AN971" s="3">
        <v>3.2745752000000001</v>
      </c>
      <c r="AO971" s="3">
        <v>3.2476102999999998</v>
      </c>
      <c r="AP971" s="3">
        <v>3.2221685999999998</v>
      </c>
      <c r="AQ971" s="3">
        <v>3.1981682999999999</v>
      </c>
      <c r="AR971" s="3">
        <v>3.1755274999999998</v>
      </c>
      <c r="AS971" s="3">
        <v>3.1541646000000001</v>
      </c>
      <c r="AT971" s="3">
        <v>3.1339977000000001</v>
      </c>
      <c r="AU971" s="3">
        <v>3.1149450999999999</v>
      </c>
      <c r="AV971" s="3">
        <v>3.0969248</v>
      </c>
      <c r="AW971" s="3">
        <v>3.0798553000000002</v>
      </c>
      <c r="AX971" s="3">
        <v>3.0636545000000002</v>
      </c>
      <c r="AY971" s="3">
        <v>3.0482409000000001</v>
      </c>
      <c r="AZ971" s="3">
        <v>3.0335325000000002</v>
      </c>
      <c r="BA971" s="3">
        <v>3.0194578000000001</v>
      </c>
      <c r="BB971" s="3">
        <v>3.0059906000000001</v>
      </c>
      <c r="BC971" s="3">
        <v>2.9931169999999998</v>
      </c>
      <c r="BD971" s="3">
        <v>2.9808233</v>
      </c>
      <c r="BE971" s="3">
        <v>2.9690957</v>
      </c>
      <c r="BF971" s="3">
        <v>2.9579203000000001</v>
      </c>
      <c r="BG971" s="3">
        <v>2.9472835000000002</v>
      </c>
      <c r="BH971" s="3">
        <v>2.9371713000000002</v>
      </c>
      <c r="BI971" s="3">
        <v>2.9275701000000001</v>
      </c>
      <c r="BJ971" s="3">
        <v>2.9184659000000002</v>
      </c>
      <c r="BK971" s="3">
        <v>2.9098451000000001</v>
      </c>
      <c r="BL971" s="3">
        <v>2.9016937999999999</v>
      </c>
      <c r="BM971" s="3">
        <v>2.8622532000000001</v>
      </c>
      <c r="BN971" s="3">
        <v>2.8385413000000002</v>
      </c>
    </row>
    <row r="972" spans="1:66" x14ac:dyDescent="0.35">
      <c r="A972" s="5">
        <f t="shared" si="14"/>
        <v>44816</v>
      </c>
      <c r="B972" t="s">
        <v>2365</v>
      </c>
      <c r="C972" s="2">
        <v>1.75</v>
      </c>
      <c r="D972" s="2">
        <v>1.6911</v>
      </c>
      <c r="E972" s="3">
        <v>2.4241438999999998</v>
      </c>
      <c r="F972" s="3">
        <v>2.8139017000000002</v>
      </c>
      <c r="G972" s="3">
        <v>3.2123365000000002</v>
      </c>
      <c r="H972" s="3">
        <v>3.5563313999999999</v>
      </c>
      <c r="I972" s="3">
        <v>3.8200604</v>
      </c>
      <c r="J972" s="3">
        <v>4.0103346000000002</v>
      </c>
      <c r="K972" s="3">
        <v>4.1389467</v>
      </c>
      <c r="L972" s="3">
        <v>4.2208829999999997</v>
      </c>
      <c r="M972" s="3">
        <v>4.2690149999999996</v>
      </c>
      <c r="N972" s="3">
        <v>4.2924930000000003</v>
      </c>
      <c r="O972" s="3">
        <v>4.2977945999999996</v>
      </c>
      <c r="P972" s="3">
        <v>4.2896213999999997</v>
      </c>
      <c r="Q972" s="3">
        <v>4.2714891000000001</v>
      </c>
      <c r="R972" s="3">
        <v>4.2450675999999996</v>
      </c>
      <c r="S972" s="3">
        <v>4.2115989000000003</v>
      </c>
      <c r="T972" s="3">
        <v>4.1723252000000004</v>
      </c>
      <c r="U972" s="3">
        <v>4.1284888000000004</v>
      </c>
      <c r="V972" s="3">
        <v>4.0813318000000001</v>
      </c>
      <c r="W972" s="3">
        <v>4.0319766000000001</v>
      </c>
      <c r="X972" s="3">
        <v>3.9810894000000001</v>
      </c>
      <c r="Y972" s="3">
        <v>3.9292278</v>
      </c>
      <c r="Z972" s="3">
        <v>3.8769494999999998</v>
      </c>
      <c r="AA972" s="3">
        <v>3.8248120999999999</v>
      </c>
      <c r="AB972" s="3">
        <v>3.7733732999999998</v>
      </c>
      <c r="AC972" s="3">
        <v>3.7231117999999999</v>
      </c>
      <c r="AD972" s="3">
        <v>3.6741581000000001</v>
      </c>
      <c r="AE972" s="3">
        <v>3.6265466000000002</v>
      </c>
      <c r="AF972" s="3">
        <v>3.5803117000000002</v>
      </c>
      <c r="AG972" s="3">
        <v>3.5354877999999998</v>
      </c>
      <c r="AH972" s="3">
        <v>3.4921093000000001</v>
      </c>
      <c r="AI972" s="3">
        <v>3.4502106000000001</v>
      </c>
      <c r="AJ972" s="3">
        <v>3.4098259999999998</v>
      </c>
      <c r="AK972" s="3">
        <v>3.3709899000000001</v>
      </c>
      <c r="AL972" s="3">
        <v>3.3337368000000001</v>
      </c>
      <c r="AM972" s="3">
        <v>3.2981009999999999</v>
      </c>
      <c r="AN972" s="3">
        <v>3.2641170000000002</v>
      </c>
      <c r="AO972" s="3">
        <v>3.2318045999999998</v>
      </c>
      <c r="AP972" s="3">
        <v>3.2011200999999998</v>
      </c>
      <c r="AQ972" s="3">
        <v>3.1720022000000001</v>
      </c>
      <c r="AR972" s="3">
        <v>3.1443894999999999</v>
      </c>
      <c r="AS972" s="3">
        <v>3.1182205999999999</v>
      </c>
      <c r="AT972" s="3">
        <v>3.0934341999999999</v>
      </c>
      <c r="AU972" s="3">
        <v>3.0699689000000001</v>
      </c>
      <c r="AV972" s="3">
        <v>3.0477634</v>
      </c>
      <c r="AW972" s="3">
        <v>3.0267564</v>
      </c>
      <c r="AX972" s="3">
        <v>3.0068863000000001</v>
      </c>
      <c r="AY972" s="3">
        <v>2.988092</v>
      </c>
      <c r="AZ972" s="3">
        <v>2.9703121000000001</v>
      </c>
      <c r="BA972" s="3">
        <v>2.9534889999999998</v>
      </c>
      <c r="BB972" s="3">
        <v>2.937586</v>
      </c>
      <c r="BC972" s="3">
        <v>2.9225734999999999</v>
      </c>
      <c r="BD972" s="3">
        <v>2.9084216999999999</v>
      </c>
      <c r="BE972" s="3">
        <v>2.8951007999999998</v>
      </c>
      <c r="BF972" s="3">
        <v>2.8825812000000002</v>
      </c>
      <c r="BG972" s="3">
        <v>2.8708331999999999</v>
      </c>
      <c r="BH972" s="3">
        <v>2.8598268999999998</v>
      </c>
      <c r="BI972" s="3">
        <v>2.8495325999999999</v>
      </c>
      <c r="BJ972" s="3">
        <v>2.8399207</v>
      </c>
      <c r="BK972" s="3">
        <v>2.8309614000000001</v>
      </c>
      <c r="BL972" s="3">
        <v>2.8226249999999999</v>
      </c>
      <c r="BM972" s="3">
        <v>2.7845659999999999</v>
      </c>
      <c r="BN972" s="3">
        <v>2.7647735</v>
      </c>
    </row>
    <row r="973" spans="1:66" x14ac:dyDescent="0.35">
      <c r="A973" s="5">
        <f t="shared" si="14"/>
        <v>44817</v>
      </c>
      <c r="B973" t="s">
        <v>2366</v>
      </c>
      <c r="C973" s="2">
        <v>1.75</v>
      </c>
      <c r="D973" s="2">
        <v>1.6911</v>
      </c>
      <c r="E973" s="3">
        <v>2.4529190000000001</v>
      </c>
      <c r="F973" s="3">
        <v>2.8758086999999999</v>
      </c>
      <c r="G973" s="3">
        <v>3.3074061000000001</v>
      </c>
      <c r="H973" s="3">
        <v>3.6785595999999998</v>
      </c>
      <c r="I973" s="3">
        <v>3.9601804999999999</v>
      </c>
      <c r="J973" s="3">
        <v>4.1606145000000003</v>
      </c>
      <c r="K973" s="3">
        <v>4.2938442999999999</v>
      </c>
      <c r="L973" s="3">
        <v>4.3781464999999997</v>
      </c>
      <c r="M973" s="3">
        <v>4.4272714999999998</v>
      </c>
      <c r="N973" s="3">
        <v>4.4521305</v>
      </c>
      <c r="O973" s="3">
        <v>4.4593204999999996</v>
      </c>
      <c r="P973" s="3">
        <v>4.4533227000000002</v>
      </c>
      <c r="Q973" s="3">
        <v>4.4370051999999998</v>
      </c>
      <c r="R973" s="3">
        <v>4.4118905000000002</v>
      </c>
      <c r="S973" s="3">
        <v>4.3792396</v>
      </c>
      <c r="T973" s="3">
        <v>4.3403134999999997</v>
      </c>
      <c r="U973" s="3">
        <v>4.296373</v>
      </c>
      <c r="V973" s="3">
        <v>4.2486791999999998</v>
      </c>
      <c r="W973" s="3">
        <v>4.1983816999999997</v>
      </c>
      <c r="X973" s="3">
        <v>4.1462078</v>
      </c>
      <c r="Y973" s="3">
        <v>4.0927835000000004</v>
      </c>
      <c r="Z973" s="3">
        <v>4.0387354000000002</v>
      </c>
      <c r="AA973" s="3">
        <v>3.9846897000000001</v>
      </c>
      <c r="AB973" s="3">
        <v>3.9312727000000001</v>
      </c>
      <c r="AC973" s="3">
        <v>3.8790224000000002</v>
      </c>
      <c r="AD973" s="3">
        <v>3.8280862</v>
      </c>
      <c r="AE973" s="3">
        <v>3.7785041000000001</v>
      </c>
      <c r="AF973" s="3">
        <v>3.7303158999999999</v>
      </c>
      <c r="AG973" s="3">
        <v>3.6835613999999999</v>
      </c>
      <c r="AH973" s="3">
        <v>3.6382805</v>
      </c>
      <c r="AI973" s="3">
        <v>3.5945130000000001</v>
      </c>
      <c r="AJ973" s="3">
        <v>3.5522987000000001</v>
      </c>
      <c r="AK973" s="3">
        <v>3.5116774999999998</v>
      </c>
      <c r="AL973" s="3">
        <v>3.4726892999999999</v>
      </c>
      <c r="AM973" s="3">
        <v>3.4353737999999998</v>
      </c>
      <c r="AN973" s="3">
        <v>3.3997709999999999</v>
      </c>
      <c r="AO973" s="3">
        <v>3.3659072000000001</v>
      </c>
      <c r="AP973" s="3">
        <v>3.3337365999999999</v>
      </c>
      <c r="AQ973" s="3">
        <v>3.3031893000000001</v>
      </c>
      <c r="AR973" s="3">
        <v>3.2741951999999999</v>
      </c>
      <c r="AS973" s="3">
        <v>3.2466843000000001</v>
      </c>
      <c r="AT973" s="3">
        <v>3.2205865</v>
      </c>
      <c r="AU973" s="3">
        <v>3.1958318999999999</v>
      </c>
      <c r="AV973" s="3">
        <v>3.1723503000000002</v>
      </c>
      <c r="AW973" s="3">
        <v>3.1500718999999999</v>
      </c>
      <c r="AX973" s="3">
        <v>3.1289264000000001</v>
      </c>
      <c r="AY973" s="3">
        <v>3.1088439999999999</v>
      </c>
      <c r="AZ973" s="3">
        <v>3.0897546</v>
      </c>
      <c r="BA973" s="3">
        <v>3.0715938</v>
      </c>
      <c r="BB973" s="3">
        <v>3.054325</v>
      </c>
      <c r="BC973" s="3">
        <v>3.0379198999999999</v>
      </c>
      <c r="BD973" s="3">
        <v>3.0223502999999998</v>
      </c>
      <c r="BE973" s="3">
        <v>3.0075880000000002</v>
      </c>
      <c r="BF973" s="3">
        <v>2.9936047000000001</v>
      </c>
      <c r="BG973" s="3">
        <v>2.9803722000000001</v>
      </c>
      <c r="BH973" s="3">
        <v>2.9678621999999999</v>
      </c>
      <c r="BI973" s="3">
        <v>2.9560464999999998</v>
      </c>
      <c r="BJ973" s="3">
        <v>2.9448968</v>
      </c>
      <c r="BK973" s="3">
        <v>2.9343849999999998</v>
      </c>
      <c r="BL973" s="3">
        <v>2.9244827999999998</v>
      </c>
      <c r="BM973" s="3">
        <v>2.8769014999999998</v>
      </c>
      <c r="BN973" s="3">
        <v>2.8478621</v>
      </c>
    </row>
    <row r="974" spans="1:66" x14ac:dyDescent="0.35">
      <c r="A974" s="5">
        <f t="shared" si="14"/>
        <v>44818</v>
      </c>
      <c r="B974" t="s">
        <v>2367</v>
      </c>
      <c r="C974" s="2">
        <v>1.75</v>
      </c>
      <c r="D974" s="2">
        <v>1.6914</v>
      </c>
      <c r="E974" s="3">
        <v>2.4626598</v>
      </c>
      <c r="F974" s="3">
        <v>2.8876393</v>
      </c>
      <c r="G974" s="3">
        <v>3.3135792999999998</v>
      </c>
      <c r="H974" s="3">
        <v>3.6777275</v>
      </c>
      <c r="I974" s="3">
        <v>3.9525926999999998</v>
      </c>
      <c r="J974" s="3">
        <v>4.1495667999999997</v>
      </c>
      <c r="K974" s="3">
        <v>4.2818655000000003</v>
      </c>
      <c r="L974" s="3">
        <v>4.3662257000000002</v>
      </c>
      <c r="M974" s="3">
        <v>4.4159667000000002</v>
      </c>
      <c r="N974" s="3">
        <v>4.4411484000000003</v>
      </c>
      <c r="O974" s="3">
        <v>4.4481216000000003</v>
      </c>
      <c r="P974" s="3">
        <v>4.4411436999999996</v>
      </c>
      <c r="Q974" s="3">
        <v>4.4228690999999998</v>
      </c>
      <c r="R974" s="3">
        <v>4.3949408999999999</v>
      </c>
      <c r="S974" s="3">
        <v>4.3588195000000001</v>
      </c>
      <c r="T974" s="3">
        <v>4.3159653000000002</v>
      </c>
      <c r="U974" s="3">
        <v>4.2678386000000001</v>
      </c>
      <c r="V974" s="3">
        <v>4.2158996999999996</v>
      </c>
      <c r="W974" s="3">
        <v>4.1614830999999999</v>
      </c>
      <c r="X974" s="3">
        <v>4.1054440000000003</v>
      </c>
      <c r="Y974" s="3">
        <v>4.0485237999999999</v>
      </c>
      <c r="Z974" s="3">
        <v>3.9914635999999999</v>
      </c>
      <c r="AA974" s="3">
        <v>3.9350046999999999</v>
      </c>
      <c r="AB974" s="3">
        <v>3.8798884</v>
      </c>
      <c r="AC974" s="3">
        <v>3.8267587999999999</v>
      </c>
      <c r="AD974" s="3">
        <v>3.7757374000000001</v>
      </c>
      <c r="AE974" s="3">
        <v>3.7267703000000001</v>
      </c>
      <c r="AF974" s="3">
        <v>3.6798036000000001</v>
      </c>
      <c r="AG974" s="3">
        <v>3.6347833999999999</v>
      </c>
      <c r="AH974" s="3">
        <v>3.5916557</v>
      </c>
      <c r="AI974" s="3">
        <v>3.5503665</v>
      </c>
      <c r="AJ974" s="3">
        <v>3.5108619000000001</v>
      </c>
      <c r="AK974" s="3">
        <v>3.4730881</v>
      </c>
      <c r="AL974" s="3">
        <v>3.4369909000000001</v>
      </c>
      <c r="AM974" s="3">
        <v>3.4025164999999999</v>
      </c>
      <c r="AN974" s="3">
        <v>3.3696109999999999</v>
      </c>
      <c r="AO974" s="3">
        <v>3.3382185</v>
      </c>
      <c r="AP974" s="3">
        <v>3.3082742999999999</v>
      </c>
      <c r="AQ974" s="3">
        <v>3.2797106</v>
      </c>
      <c r="AR974" s="3">
        <v>3.2524601</v>
      </c>
      <c r="AS974" s="3">
        <v>3.2264550999999999</v>
      </c>
      <c r="AT974" s="3">
        <v>3.2016279999999999</v>
      </c>
      <c r="AU974" s="3">
        <v>3.1779112999999999</v>
      </c>
      <c r="AV974" s="3">
        <v>3.1552375000000001</v>
      </c>
      <c r="AW974" s="3">
        <v>3.1335389</v>
      </c>
      <c r="AX974" s="3">
        <v>3.1127479</v>
      </c>
      <c r="AY974" s="3">
        <v>3.0927970999999999</v>
      </c>
      <c r="AZ974" s="3">
        <v>3.0736188000000002</v>
      </c>
      <c r="BA974" s="3">
        <v>3.0551542</v>
      </c>
      <c r="BB974" s="3">
        <v>3.0373828</v>
      </c>
      <c r="BC974" s="3">
        <v>3.0202947</v>
      </c>
      <c r="BD974" s="3">
        <v>3.0038800000000001</v>
      </c>
      <c r="BE974" s="3">
        <v>2.9881289</v>
      </c>
      <c r="BF974" s="3">
        <v>2.9730314999999998</v>
      </c>
      <c r="BG974" s="3">
        <v>2.9585780000000002</v>
      </c>
      <c r="BH974" s="3">
        <v>2.9447583000000002</v>
      </c>
      <c r="BI974" s="3">
        <v>2.9315627000000002</v>
      </c>
      <c r="BJ974" s="3">
        <v>2.9189813</v>
      </c>
      <c r="BK974" s="3">
        <v>2.9070041999999998</v>
      </c>
      <c r="BL974" s="3">
        <v>2.8956216000000001</v>
      </c>
      <c r="BM974" s="3">
        <v>2.8393182000000001</v>
      </c>
      <c r="BN974" s="3">
        <v>2.8023066000000001</v>
      </c>
    </row>
    <row r="975" spans="1:66" x14ac:dyDescent="0.35">
      <c r="A975" s="5">
        <f t="shared" si="14"/>
        <v>44819</v>
      </c>
      <c r="B975" t="s">
        <v>2368</v>
      </c>
      <c r="C975" s="2">
        <v>1.75</v>
      </c>
      <c r="D975" s="2">
        <v>1.6910000000000001</v>
      </c>
      <c r="E975" s="3">
        <v>2.4312315</v>
      </c>
      <c r="F975" s="3">
        <v>2.8690003000000002</v>
      </c>
      <c r="G975" s="3">
        <v>3.3087724000000001</v>
      </c>
      <c r="H975" s="3">
        <v>3.6914691999999998</v>
      </c>
      <c r="I975" s="3">
        <v>3.9859600999999998</v>
      </c>
      <c r="J975" s="3">
        <v>4.1984108999999998</v>
      </c>
      <c r="K975" s="3">
        <v>4.3408467000000002</v>
      </c>
      <c r="L975" s="3">
        <v>4.4312217</v>
      </c>
      <c r="M975" s="3">
        <v>4.4860236000000002</v>
      </c>
      <c r="N975" s="3">
        <v>4.5160081999999999</v>
      </c>
      <c r="O975" s="3">
        <v>4.5282406000000002</v>
      </c>
      <c r="P975" s="3">
        <v>4.5264850000000001</v>
      </c>
      <c r="Q975" s="3">
        <v>4.5130651000000004</v>
      </c>
      <c r="R975" s="3">
        <v>4.489528</v>
      </c>
      <c r="S975" s="3">
        <v>4.4572593999999999</v>
      </c>
      <c r="T975" s="3">
        <v>4.4176447999999997</v>
      </c>
      <c r="U975" s="3">
        <v>4.3720698000000002</v>
      </c>
      <c r="V975" s="3">
        <v>4.3219200999999998</v>
      </c>
      <c r="W975" s="3">
        <v>4.2684702000000003</v>
      </c>
      <c r="X975" s="3">
        <v>4.2125724</v>
      </c>
      <c r="Y975" s="3">
        <v>4.1549782000000004</v>
      </c>
      <c r="Z975" s="3">
        <v>4.0964393000000001</v>
      </c>
      <c r="AA975" s="3">
        <v>4.0377071000000004</v>
      </c>
      <c r="AB975" s="3">
        <v>3.9795334000000002</v>
      </c>
      <c r="AC975" s="3">
        <v>3.9225745000000001</v>
      </c>
      <c r="AD975" s="3">
        <v>3.8670220999999998</v>
      </c>
      <c r="AE975" s="3">
        <v>3.8129268999999999</v>
      </c>
      <c r="AF975" s="3">
        <v>3.7603392000000002</v>
      </c>
      <c r="AG975" s="3">
        <v>3.7093096999999999</v>
      </c>
      <c r="AH975" s="3">
        <v>3.6598887000000002</v>
      </c>
      <c r="AI975" s="3">
        <v>3.6121268999999998</v>
      </c>
      <c r="AJ975" s="3">
        <v>3.5660745</v>
      </c>
      <c r="AK975" s="3">
        <v>3.5217822999999999</v>
      </c>
      <c r="AL975" s="3">
        <v>3.4793006000000002</v>
      </c>
      <c r="AM975" s="3">
        <v>3.4386798999999999</v>
      </c>
      <c r="AN975" s="3">
        <v>3.3999706999999999</v>
      </c>
      <c r="AO975" s="3">
        <v>3.3632040999999999</v>
      </c>
      <c r="AP975" s="3">
        <v>3.3283252000000001</v>
      </c>
      <c r="AQ975" s="3">
        <v>3.2952556</v>
      </c>
      <c r="AR975" s="3">
        <v>3.2639165999999999</v>
      </c>
      <c r="AS975" s="3">
        <v>3.2342297000000002</v>
      </c>
      <c r="AT975" s="3">
        <v>3.2061164999999998</v>
      </c>
      <c r="AU975" s="3">
        <v>3.1794983000000001</v>
      </c>
      <c r="AV975" s="3">
        <v>3.1542967000000002</v>
      </c>
      <c r="AW975" s="3">
        <v>3.1304332000000001</v>
      </c>
      <c r="AX975" s="3">
        <v>3.1078291999999998</v>
      </c>
      <c r="AY975" s="3">
        <v>3.0864061</v>
      </c>
      <c r="AZ975" s="3">
        <v>3.0660854999999998</v>
      </c>
      <c r="BA975" s="3">
        <v>3.0467949000000001</v>
      </c>
      <c r="BB975" s="3">
        <v>3.0284887999999999</v>
      </c>
      <c r="BC975" s="3">
        <v>3.0111290999999998</v>
      </c>
      <c r="BD975" s="3">
        <v>2.9946777</v>
      </c>
      <c r="BE975" s="3">
        <v>2.9790964999999998</v>
      </c>
      <c r="BF975" s="3">
        <v>2.9643473</v>
      </c>
      <c r="BG975" s="3">
        <v>2.9503922</v>
      </c>
      <c r="BH975" s="3">
        <v>2.9371928999999999</v>
      </c>
      <c r="BI975" s="3">
        <v>2.9247112999999998</v>
      </c>
      <c r="BJ975" s="3">
        <v>2.9129095</v>
      </c>
      <c r="BK975" s="3">
        <v>2.9017491</v>
      </c>
      <c r="BL975" s="3">
        <v>2.8911923000000002</v>
      </c>
      <c r="BM975" s="3">
        <v>2.8394184999999998</v>
      </c>
      <c r="BN975" s="3">
        <v>2.8060073000000001</v>
      </c>
    </row>
    <row r="976" spans="1:66" x14ac:dyDescent="0.35">
      <c r="A976" s="5">
        <f t="shared" si="14"/>
        <v>44820</v>
      </c>
      <c r="B976" t="s">
        <v>2369</v>
      </c>
      <c r="C976" s="2">
        <v>1.75</v>
      </c>
      <c r="D976" s="2">
        <v>1.6906000000000001</v>
      </c>
      <c r="E976" s="3">
        <v>2.4153753999999998</v>
      </c>
      <c r="F976" s="3">
        <v>2.8617572</v>
      </c>
      <c r="G976" s="3">
        <v>3.2999782</v>
      </c>
      <c r="H976" s="3">
        <v>3.6750913000000001</v>
      </c>
      <c r="I976" s="3">
        <v>3.9644590000000002</v>
      </c>
      <c r="J976" s="3">
        <v>4.1779542000000003</v>
      </c>
      <c r="K976" s="3">
        <v>4.3280779999999996</v>
      </c>
      <c r="L976" s="3">
        <v>4.4289629000000001</v>
      </c>
      <c r="M976" s="3">
        <v>4.4929733000000001</v>
      </c>
      <c r="N976" s="3">
        <v>4.5290157999999998</v>
      </c>
      <c r="O976" s="3">
        <v>4.5437620000000001</v>
      </c>
      <c r="P976" s="3">
        <v>4.5418023999999999</v>
      </c>
      <c r="Q976" s="3">
        <v>4.5261792999999999</v>
      </c>
      <c r="R976" s="3">
        <v>4.4989613999999998</v>
      </c>
      <c r="S976" s="3">
        <v>4.4619949999999999</v>
      </c>
      <c r="T976" s="3">
        <v>4.4171263999999999</v>
      </c>
      <c r="U976" s="3">
        <v>4.3662017999999998</v>
      </c>
      <c r="V976" s="3">
        <v>4.3110673999999998</v>
      </c>
      <c r="W976" s="3">
        <v>4.2534067999999996</v>
      </c>
      <c r="X976" s="3">
        <v>4.1941487000000004</v>
      </c>
      <c r="Y976" s="3">
        <v>4.1340029999999999</v>
      </c>
      <c r="Z976" s="3">
        <v>4.0736796999999996</v>
      </c>
      <c r="AA976" s="3">
        <v>4.0138888000000001</v>
      </c>
      <c r="AB976" s="3">
        <v>3.9553403</v>
      </c>
      <c r="AC976" s="3">
        <v>3.8986339000000001</v>
      </c>
      <c r="AD976" s="3">
        <v>3.8438832000000001</v>
      </c>
      <c r="AE976" s="3">
        <v>3.7910674000000002</v>
      </c>
      <c r="AF976" s="3">
        <v>3.7401658000000002</v>
      </c>
      <c r="AG976" s="3">
        <v>3.6911577000000002</v>
      </c>
      <c r="AH976" s="3">
        <v>3.6440222000000002</v>
      </c>
      <c r="AI976" s="3">
        <v>3.5987388</v>
      </c>
      <c r="AJ976" s="3">
        <v>3.5552866999999999</v>
      </c>
      <c r="AK976" s="3">
        <v>3.5136451000000002</v>
      </c>
      <c r="AL976" s="3">
        <v>3.4737933000000001</v>
      </c>
      <c r="AM976" s="3">
        <v>3.4357106000000002</v>
      </c>
      <c r="AN976" s="3">
        <v>3.3993761999999998</v>
      </c>
      <c r="AO976" s="3">
        <v>3.3647616999999999</v>
      </c>
      <c r="AP976" s="3">
        <v>3.3318042000000001</v>
      </c>
      <c r="AQ976" s="3">
        <v>3.3004313999999999</v>
      </c>
      <c r="AR976" s="3">
        <v>3.2705709000000001</v>
      </c>
      <c r="AS976" s="3">
        <v>3.2421503999999999</v>
      </c>
      <c r="AT976" s="3">
        <v>3.2150975000000002</v>
      </c>
      <c r="AU976" s="3">
        <v>3.1893398999999998</v>
      </c>
      <c r="AV976" s="3">
        <v>3.1648052999999998</v>
      </c>
      <c r="AW976" s="3">
        <v>3.1414213000000002</v>
      </c>
      <c r="AX976" s="3">
        <v>3.1191157</v>
      </c>
      <c r="AY976" s="3">
        <v>3.0978159000000001</v>
      </c>
      <c r="AZ976" s="3">
        <v>3.0774499</v>
      </c>
      <c r="BA976" s="3">
        <v>3.0579523000000002</v>
      </c>
      <c r="BB976" s="3">
        <v>3.0392902999999998</v>
      </c>
      <c r="BC976" s="3">
        <v>3.0214397000000002</v>
      </c>
      <c r="BD976" s="3">
        <v>3.0043763000000001</v>
      </c>
      <c r="BE976" s="3">
        <v>2.988076</v>
      </c>
      <c r="BF976" s="3">
        <v>2.9725144999999999</v>
      </c>
      <c r="BG976" s="3">
        <v>2.9576677999999998</v>
      </c>
      <c r="BH976" s="3">
        <v>2.9435115999999999</v>
      </c>
      <c r="BI976" s="3">
        <v>2.9300218</v>
      </c>
      <c r="BJ976" s="3">
        <v>2.9171743000000001</v>
      </c>
      <c r="BK976" s="3">
        <v>2.9049448</v>
      </c>
      <c r="BL976" s="3">
        <v>2.8933092</v>
      </c>
      <c r="BM976" s="3">
        <v>2.8351503</v>
      </c>
      <c r="BN976" s="3">
        <v>2.7955315999999999</v>
      </c>
    </row>
    <row r="977" spans="1:66" x14ac:dyDescent="0.35">
      <c r="A977" s="5">
        <f t="shared" ref="A977:A1040" si="15">+A972+7</f>
        <v>44823</v>
      </c>
      <c r="B977" t="s">
        <v>2370</v>
      </c>
      <c r="C977" s="2">
        <v>1.75</v>
      </c>
      <c r="D977" s="2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  <c r="P977" s="3" t="e">
        <v>#N/A</v>
      </c>
      <c r="Q977" s="3" t="e">
        <v>#N/A</v>
      </c>
      <c r="R977" s="3" t="e">
        <v>#N/A</v>
      </c>
      <c r="S977" s="3" t="e">
        <v>#N/A</v>
      </c>
      <c r="T977" s="3" t="e">
        <v>#N/A</v>
      </c>
      <c r="U977" s="3" t="e">
        <v>#N/A</v>
      </c>
      <c r="V977" s="3" t="e">
        <v>#N/A</v>
      </c>
      <c r="W977" s="3" t="e">
        <v>#N/A</v>
      </c>
      <c r="X977" s="3" t="e">
        <v>#N/A</v>
      </c>
      <c r="Y977" s="3" t="e">
        <v>#N/A</v>
      </c>
      <c r="Z977" s="3" t="e">
        <v>#N/A</v>
      </c>
      <c r="AA977" s="3" t="e">
        <v>#N/A</v>
      </c>
      <c r="AB977" s="3" t="e">
        <v>#N/A</v>
      </c>
      <c r="AC977" s="3" t="e">
        <v>#N/A</v>
      </c>
      <c r="AD977" s="3" t="e">
        <v>#N/A</v>
      </c>
      <c r="AE977" s="3" t="e">
        <v>#N/A</v>
      </c>
      <c r="AF977" s="3" t="e">
        <v>#N/A</v>
      </c>
      <c r="AG977" s="3" t="e">
        <v>#N/A</v>
      </c>
      <c r="AH977" s="3" t="e">
        <v>#N/A</v>
      </c>
      <c r="AI977" s="3" t="e">
        <v>#N/A</v>
      </c>
      <c r="AJ977" s="3" t="e">
        <v>#N/A</v>
      </c>
      <c r="AK977" s="3" t="e">
        <v>#N/A</v>
      </c>
      <c r="AL977" s="3" t="e">
        <v>#N/A</v>
      </c>
      <c r="AM977" s="3" t="e">
        <v>#N/A</v>
      </c>
      <c r="AN977" s="3" t="e">
        <v>#N/A</v>
      </c>
      <c r="AO977" s="3" t="e">
        <v>#N/A</v>
      </c>
      <c r="AP977" s="3" t="e">
        <v>#N/A</v>
      </c>
      <c r="AQ977" s="3" t="e">
        <v>#N/A</v>
      </c>
      <c r="AR977" s="3" t="e">
        <v>#N/A</v>
      </c>
      <c r="AS977" s="3" t="e">
        <v>#N/A</v>
      </c>
      <c r="AT977" s="3" t="e">
        <v>#N/A</v>
      </c>
      <c r="AU977" s="3" t="e">
        <v>#N/A</v>
      </c>
      <c r="AV977" s="3" t="e">
        <v>#N/A</v>
      </c>
      <c r="AW977" s="3" t="e">
        <v>#N/A</v>
      </c>
      <c r="AX977" s="3" t="e">
        <v>#N/A</v>
      </c>
      <c r="AY977" s="3" t="e">
        <v>#N/A</v>
      </c>
      <c r="AZ977" s="3" t="e">
        <v>#N/A</v>
      </c>
      <c r="BA977" s="3" t="e">
        <v>#N/A</v>
      </c>
      <c r="BB977" s="3" t="e">
        <v>#N/A</v>
      </c>
      <c r="BC977" s="3" t="e">
        <v>#N/A</v>
      </c>
      <c r="BD977" s="3" t="e">
        <v>#N/A</v>
      </c>
      <c r="BE977" s="3" t="e">
        <v>#N/A</v>
      </c>
      <c r="BF977" s="3" t="e">
        <v>#N/A</v>
      </c>
      <c r="BG977" s="3" t="e">
        <v>#N/A</v>
      </c>
      <c r="BH977" s="3" t="e">
        <v>#N/A</v>
      </c>
      <c r="BI977" s="3" t="e">
        <v>#N/A</v>
      </c>
      <c r="BJ977" s="3" t="e">
        <v>#N/A</v>
      </c>
      <c r="BK977" s="3" t="e">
        <v>#N/A</v>
      </c>
      <c r="BL977" s="3" t="e">
        <v>#N/A</v>
      </c>
      <c r="BM977" s="3" t="e">
        <v>#N/A</v>
      </c>
      <c r="BN977" s="3" t="e">
        <v>#N/A</v>
      </c>
    </row>
    <row r="978" spans="1:66" x14ac:dyDescent="0.35">
      <c r="A978" s="5">
        <f t="shared" si="15"/>
        <v>44824</v>
      </c>
      <c r="B978" t="s">
        <v>2371</v>
      </c>
      <c r="C978" s="2">
        <v>1.75</v>
      </c>
      <c r="D978" s="2">
        <v>1.6910000000000001</v>
      </c>
      <c r="E978" s="3">
        <v>2.4845554000000001</v>
      </c>
      <c r="F978" s="3">
        <v>2.9832903000000002</v>
      </c>
      <c r="G978" s="3">
        <v>3.4486857</v>
      </c>
      <c r="H978" s="3">
        <v>3.8418095000000001</v>
      </c>
      <c r="I978" s="3">
        <v>4.1487731999999999</v>
      </c>
      <c r="J978" s="3">
        <v>4.3787938999999998</v>
      </c>
      <c r="K978" s="3">
        <v>4.5421284000000002</v>
      </c>
      <c r="L978" s="3">
        <v>4.6528761000000003</v>
      </c>
      <c r="M978" s="3">
        <v>4.7231528999999997</v>
      </c>
      <c r="N978" s="3">
        <v>4.7642503999999999</v>
      </c>
      <c r="O978" s="3">
        <v>4.7835692999999999</v>
      </c>
      <c r="P978" s="3">
        <v>4.7863708000000003</v>
      </c>
      <c r="Q978" s="3">
        <v>4.7758887000000003</v>
      </c>
      <c r="R978" s="3">
        <v>4.7539708999999997</v>
      </c>
      <c r="S978" s="3">
        <v>4.7222229999999996</v>
      </c>
      <c r="T978" s="3">
        <v>4.6822505999999997</v>
      </c>
      <c r="U978" s="3">
        <v>4.6356590999999998</v>
      </c>
      <c r="V978" s="3">
        <v>4.5840543</v>
      </c>
      <c r="W978" s="3">
        <v>4.5289045999999997</v>
      </c>
      <c r="X978" s="3">
        <v>4.4711569000000004</v>
      </c>
      <c r="Y978" s="3">
        <v>4.4116337999999997</v>
      </c>
      <c r="Z978" s="3">
        <v>4.3511579999999999</v>
      </c>
      <c r="AA978" s="3">
        <v>4.2905521000000002</v>
      </c>
      <c r="AB978" s="3">
        <v>4.2306388000000004</v>
      </c>
      <c r="AC978" s="3">
        <v>4.1721189000000001</v>
      </c>
      <c r="AD978" s="3">
        <v>4.1151559000000004</v>
      </c>
      <c r="AE978" s="3">
        <v>4.0597649999999996</v>
      </c>
      <c r="AF978" s="3">
        <v>4.0059611999999998</v>
      </c>
      <c r="AG978" s="3">
        <v>3.9537596000000002</v>
      </c>
      <c r="AH978" s="3">
        <v>3.9031753999999999</v>
      </c>
      <c r="AI978" s="3">
        <v>3.8542238000000002</v>
      </c>
      <c r="AJ978" s="3">
        <v>3.8069196999999999</v>
      </c>
      <c r="AK978" s="3">
        <v>3.7612782999999999</v>
      </c>
      <c r="AL978" s="3">
        <v>3.7173148</v>
      </c>
      <c r="AM978" s="3">
        <v>3.6750441999999999</v>
      </c>
      <c r="AN978" s="3">
        <v>3.6344818000000001</v>
      </c>
      <c r="AO978" s="3">
        <v>3.5956321999999998</v>
      </c>
      <c r="AP978" s="3">
        <v>3.5584449999999999</v>
      </c>
      <c r="AQ978" s="3">
        <v>3.5228510000000002</v>
      </c>
      <c r="AR978" s="3">
        <v>3.4887809000000001</v>
      </c>
      <c r="AS978" s="3">
        <v>3.4561657000000001</v>
      </c>
      <c r="AT978" s="3">
        <v>3.4249361</v>
      </c>
      <c r="AU978" s="3">
        <v>3.3950228999999998</v>
      </c>
      <c r="AV978" s="3">
        <v>3.3663571000000001</v>
      </c>
      <c r="AW978" s="3">
        <v>3.3388694000000001</v>
      </c>
      <c r="AX978" s="3">
        <v>3.3124905999999998</v>
      </c>
      <c r="AY978" s="3">
        <v>3.2871516000000001</v>
      </c>
      <c r="AZ978" s="3">
        <v>3.2627831999999999</v>
      </c>
      <c r="BA978" s="3">
        <v>3.2393239</v>
      </c>
      <c r="BB978" s="3">
        <v>3.2167493999999999</v>
      </c>
      <c r="BC978" s="3">
        <v>3.1950468999999999</v>
      </c>
      <c r="BD978" s="3">
        <v>3.1742035</v>
      </c>
      <c r="BE978" s="3">
        <v>3.1542064000000001</v>
      </c>
      <c r="BF978" s="3">
        <v>3.1350427000000001</v>
      </c>
      <c r="BG978" s="3">
        <v>3.1166996</v>
      </c>
      <c r="BH978" s="3">
        <v>3.0991640999999999</v>
      </c>
      <c r="BI978" s="3">
        <v>3.0824234000000001</v>
      </c>
      <c r="BJ978" s="3">
        <v>3.0664646000000002</v>
      </c>
      <c r="BK978" s="3">
        <v>3.051275</v>
      </c>
      <c r="BL978" s="3">
        <v>3.0368415999999998</v>
      </c>
      <c r="BM978" s="3">
        <v>2.9653849000000001</v>
      </c>
      <c r="BN978" s="3">
        <v>2.9178115999999998</v>
      </c>
    </row>
    <row r="979" spans="1:66" x14ac:dyDescent="0.35">
      <c r="A979" s="5">
        <f t="shared" si="15"/>
        <v>44825</v>
      </c>
      <c r="B979" t="s">
        <v>2372</v>
      </c>
      <c r="C979" s="2">
        <v>1.75</v>
      </c>
      <c r="D979" s="2">
        <v>1.6902999999999999</v>
      </c>
      <c r="E979" s="3">
        <v>2.5123928000000002</v>
      </c>
      <c r="F979" s="3">
        <v>3.0032396000000001</v>
      </c>
      <c r="G979" s="3">
        <v>3.4590483999999999</v>
      </c>
      <c r="H979" s="3">
        <v>3.8513215000000001</v>
      </c>
      <c r="I979" s="3">
        <v>4.1649374000000003</v>
      </c>
      <c r="J979" s="3">
        <v>4.4073422999999998</v>
      </c>
      <c r="K979" s="3">
        <v>4.5862322999999998</v>
      </c>
      <c r="L979" s="3">
        <v>4.7137694000000003</v>
      </c>
      <c r="M979" s="3">
        <v>4.8013671999999996</v>
      </c>
      <c r="N979" s="3">
        <v>4.8590453</v>
      </c>
      <c r="O979" s="3">
        <v>4.8936409999999997</v>
      </c>
      <c r="P979" s="3">
        <v>4.9099016999999998</v>
      </c>
      <c r="Q979" s="3">
        <v>4.910482</v>
      </c>
      <c r="R979" s="3">
        <v>4.8972676999999996</v>
      </c>
      <c r="S979" s="3">
        <v>4.8720581999999997</v>
      </c>
      <c r="T979" s="3">
        <v>4.8366528000000004</v>
      </c>
      <c r="U979" s="3">
        <v>4.7928509999999998</v>
      </c>
      <c r="V979" s="3">
        <v>4.7424523000000001</v>
      </c>
      <c r="W979" s="3">
        <v>4.6871229000000003</v>
      </c>
      <c r="X979" s="3">
        <v>4.6280222999999996</v>
      </c>
      <c r="Y979" s="3">
        <v>4.5661895000000001</v>
      </c>
      <c r="Z979" s="3">
        <v>4.5026633</v>
      </c>
      <c r="AA979" s="3">
        <v>4.4384826999999998</v>
      </c>
      <c r="AB979" s="3">
        <v>4.3746866999999998</v>
      </c>
      <c r="AC979" s="3">
        <v>4.3121898999999999</v>
      </c>
      <c r="AD979" s="3">
        <v>4.2512385000000004</v>
      </c>
      <c r="AE979" s="3">
        <v>4.1918546000000001</v>
      </c>
      <c r="AF979" s="3">
        <v>4.1340599999999998</v>
      </c>
      <c r="AG979" s="3">
        <v>4.0778765999999997</v>
      </c>
      <c r="AH979" s="3">
        <v>4.0233261999999996</v>
      </c>
      <c r="AI979" s="3">
        <v>3.9704307999999999</v>
      </c>
      <c r="AJ979" s="3">
        <v>3.9192122</v>
      </c>
      <c r="AK979" s="3">
        <v>3.8696921999999998</v>
      </c>
      <c r="AL979" s="3">
        <v>3.8218928000000001</v>
      </c>
      <c r="AM979" s="3">
        <v>3.7758357999999999</v>
      </c>
      <c r="AN979" s="3">
        <v>3.7315431000000001</v>
      </c>
      <c r="AO979" s="3">
        <v>3.6890236000000001</v>
      </c>
      <c r="AP979" s="3">
        <v>3.6482241000000002</v>
      </c>
      <c r="AQ979" s="3">
        <v>3.6090719</v>
      </c>
      <c r="AR979" s="3">
        <v>3.5714947000000001</v>
      </c>
      <c r="AS979" s="3">
        <v>3.5354198999999999</v>
      </c>
      <c r="AT979" s="3">
        <v>3.500775</v>
      </c>
      <c r="AU979" s="3">
        <v>3.4674877</v>
      </c>
      <c r="AV979" s="3">
        <v>3.4354854000000001</v>
      </c>
      <c r="AW979" s="3">
        <v>3.4046956000000002</v>
      </c>
      <c r="AX979" s="3">
        <v>3.3750458999999999</v>
      </c>
      <c r="AY979" s="3">
        <v>3.3464638</v>
      </c>
      <c r="AZ979" s="3">
        <v>3.3188768</v>
      </c>
      <c r="BA979" s="3">
        <v>3.2922208999999998</v>
      </c>
      <c r="BB979" s="3">
        <v>3.2664696000000002</v>
      </c>
      <c r="BC979" s="3">
        <v>3.2416067000000002</v>
      </c>
      <c r="BD979" s="3">
        <v>3.2176157999999999</v>
      </c>
      <c r="BE979" s="3">
        <v>3.1944808</v>
      </c>
      <c r="BF979" s="3">
        <v>3.1721854999999999</v>
      </c>
      <c r="BG979" s="3">
        <v>3.1507136</v>
      </c>
      <c r="BH979" s="3">
        <v>3.1300488999999998</v>
      </c>
      <c r="BI979" s="3">
        <v>3.1101751000000002</v>
      </c>
      <c r="BJ979" s="3">
        <v>3.0910761</v>
      </c>
      <c r="BK979" s="3">
        <v>3.0727356000000001</v>
      </c>
      <c r="BL979" s="3">
        <v>3.0551373000000002</v>
      </c>
      <c r="BM979" s="3">
        <v>2.9645709</v>
      </c>
      <c r="BN979" s="3">
        <v>2.8987240000000001</v>
      </c>
    </row>
    <row r="980" spans="1:66" x14ac:dyDescent="0.35">
      <c r="A980" s="5">
        <f t="shared" si="15"/>
        <v>44826</v>
      </c>
      <c r="B980" t="s">
        <v>2373</v>
      </c>
      <c r="C980" s="2">
        <v>2.25</v>
      </c>
      <c r="D980" s="2">
        <v>2.1876000000000002</v>
      </c>
      <c r="E980" s="3">
        <v>2.3383378000000001</v>
      </c>
      <c r="F980" s="3">
        <v>2.8574991999999999</v>
      </c>
      <c r="G980" s="3">
        <v>3.3440894999999999</v>
      </c>
      <c r="H980" s="3">
        <v>3.7733750000000001</v>
      </c>
      <c r="I980" s="3">
        <v>4.1251860000000002</v>
      </c>
      <c r="J980" s="3">
        <v>4.3985630000000002</v>
      </c>
      <c r="K980" s="3">
        <v>4.5979239999999999</v>
      </c>
      <c r="L980" s="3">
        <v>4.7376678999999999</v>
      </c>
      <c r="M980" s="3">
        <v>4.8352858999999997</v>
      </c>
      <c r="N980" s="3">
        <v>4.9032600999999998</v>
      </c>
      <c r="O980" s="3">
        <v>4.9497954999999996</v>
      </c>
      <c r="P980" s="3">
        <v>4.9789781</v>
      </c>
      <c r="Q980" s="3">
        <v>4.9929353000000001</v>
      </c>
      <c r="R980" s="3">
        <v>4.9932473999999996</v>
      </c>
      <c r="S980" s="3">
        <v>4.9814157000000003</v>
      </c>
      <c r="T980" s="3">
        <v>4.9589416999999996</v>
      </c>
      <c r="U980" s="3">
        <v>4.9273267000000001</v>
      </c>
      <c r="V980" s="3">
        <v>4.8880720999999996</v>
      </c>
      <c r="W980" s="3">
        <v>4.8426119999999999</v>
      </c>
      <c r="X980" s="3">
        <v>4.7921239</v>
      </c>
      <c r="Y980" s="3">
        <v>4.7377238999999998</v>
      </c>
      <c r="Z980" s="3">
        <v>4.6805287</v>
      </c>
      <c r="AA980" s="3">
        <v>4.6216543999999997</v>
      </c>
      <c r="AB980" s="3">
        <v>4.5622175</v>
      </c>
      <c r="AC980" s="3">
        <v>4.5031962999999999</v>
      </c>
      <c r="AD980" s="3">
        <v>4.4448961999999996</v>
      </c>
      <c r="AE980" s="3">
        <v>4.3874177999999997</v>
      </c>
      <c r="AF980" s="3">
        <v>4.3308616000000004</v>
      </c>
      <c r="AG980" s="3">
        <v>4.2753284000000003</v>
      </c>
      <c r="AH980" s="3">
        <v>4.2209187000000004</v>
      </c>
      <c r="AI980" s="3">
        <v>4.1677330000000001</v>
      </c>
      <c r="AJ980" s="3">
        <v>4.1158720000000004</v>
      </c>
      <c r="AK980" s="3">
        <v>4.0654363</v>
      </c>
      <c r="AL980" s="3">
        <v>4.0165264000000001</v>
      </c>
      <c r="AM980" s="3">
        <v>3.9692428999999998</v>
      </c>
      <c r="AN980" s="3">
        <v>3.9236865000000001</v>
      </c>
      <c r="AO980" s="3">
        <v>3.8799318</v>
      </c>
      <c r="AP980" s="3">
        <v>3.8379398</v>
      </c>
      <c r="AQ980" s="3">
        <v>3.7976397</v>
      </c>
      <c r="AR980" s="3">
        <v>3.7589608000000001</v>
      </c>
      <c r="AS980" s="3">
        <v>3.7218325999999999</v>
      </c>
      <c r="AT980" s="3">
        <v>3.6861842</v>
      </c>
      <c r="AU980" s="3">
        <v>3.6519452000000001</v>
      </c>
      <c r="AV980" s="3">
        <v>3.6190446999999999</v>
      </c>
      <c r="AW980" s="3">
        <v>3.5874122000000002</v>
      </c>
      <c r="AX980" s="3">
        <v>3.5569769999999998</v>
      </c>
      <c r="AY980" s="3">
        <v>3.5276683000000002</v>
      </c>
      <c r="AZ980" s="3">
        <v>3.4994155999999998</v>
      </c>
      <c r="BA980" s="3">
        <v>3.4721555999999998</v>
      </c>
      <c r="BB980" s="3">
        <v>3.4458574</v>
      </c>
      <c r="BC980" s="3">
        <v>3.4204992000000001</v>
      </c>
      <c r="BD980" s="3">
        <v>3.3960591999999998</v>
      </c>
      <c r="BE980" s="3">
        <v>3.3725155</v>
      </c>
      <c r="BF980" s="3">
        <v>3.3498462999999998</v>
      </c>
      <c r="BG980" s="3">
        <v>3.3280297999999999</v>
      </c>
      <c r="BH980" s="3">
        <v>3.3070439999999999</v>
      </c>
      <c r="BI980" s="3">
        <v>3.2868672999999999</v>
      </c>
      <c r="BJ980" s="3">
        <v>3.2674777000000002</v>
      </c>
      <c r="BK980" s="3">
        <v>3.2488535000000001</v>
      </c>
      <c r="BL980" s="3">
        <v>3.2309727000000001</v>
      </c>
      <c r="BM980" s="3">
        <v>3.1385594999999999</v>
      </c>
      <c r="BN980" s="3">
        <v>3.0703303000000002</v>
      </c>
    </row>
    <row r="981" spans="1:66" x14ac:dyDescent="0.35">
      <c r="A981" s="5">
        <f t="shared" si="15"/>
        <v>44827</v>
      </c>
      <c r="B981" t="s">
        <v>2374</v>
      </c>
      <c r="C981" s="2">
        <v>2.25</v>
      </c>
      <c r="D981" s="2">
        <v>2.1884000000000001</v>
      </c>
      <c r="E981" s="3">
        <v>2.6932767000000002</v>
      </c>
      <c r="F981" s="3">
        <v>3.3747378000000001</v>
      </c>
      <c r="G981" s="3">
        <v>3.9864644</v>
      </c>
      <c r="H981" s="3">
        <v>4.4918003000000004</v>
      </c>
      <c r="I981" s="3">
        <v>4.8725668999999998</v>
      </c>
      <c r="J981" s="3">
        <v>5.1377185000000001</v>
      </c>
      <c r="K981" s="3">
        <v>5.3056273000000003</v>
      </c>
      <c r="L981" s="3">
        <v>5.4058465</v>
      </c>
      <c r="M981" s="3">
        <v>5.4664311999999997</v>
      </c>
      <c r="N981" s="3">
        <v>5.506507</v>
      </c>
      <c r="O981" s="3">
        <v>5.5369023999999998</v>
      </c>
      <c r="P981" s="3">
        <v>5.5600971000000001</v>
      </c>
      <c r="Q981" s="3">
        <v>5.5730538999999997</v>
      </c>
      <c r="R981" s="3">
        <v>5.5750172999999998</v>
      </c>
      <c r="S981" s="3">
        <v>5.5662687999999996</v>
      </c>
      <c r="T981" s="3">
        <v>5.5470902000000004</v>
      </c>
      <c r="U981" s="3">
        <v>5.5177630000000004</v>
      </c>
      <c r="V981" s="3">
        <v>5.4785690999999996</v>
      </c>
      <c r="W981" s="3">
        <v>5.4299692000000004</v>
      </c>
      <c r="X981" s="3">
        <v>5.3732544000000004</v>
      </c>
      <c r="Y981" s="3">
        <v>5.3099563999999999</v>
      </c>
      <c r="Z981" s="3">
        <v>5.2416071000000004</v>
      </c>
      <c r="AA981" s="3">
        <v>5.1697382000000003</v>
      </c>
      <c r="AB981" s="3">
        <v>5.0958816000000002</v>
      </c>
      <c r="AC981" s="3">
        <v>5.0213863999999999</v>
      </c>
      <c r="AD981" s="3">
        <v>4.9467964000000002</v>
      </c>
      <c r="AE981" s="3">
        <v>4.8724331000000003</v>
      </c>
      <c r="AF981" s="3">
        <v>4.7986179</v>
      </c>
      <c r="AG981" s="3">
        <v>4.7256722</v>
      </c>
      <c r="AH981" s="3">
        <v>4.6539174000000001</v>
      </c>
      <c r="AI981" s="3">
        <v>4.5836750000000004</v>
      </c>
      <c r="AJ981" s="3">
        <v>4.5152663999999998</v>
      </c>
      <c r="AK981" s="3">
        <v>4.4490131000000002</v>
      </c>
      <c r="AL981" s="3">
        <v>4.3852364000000001</v>
      </c>
      <c r="AM981" s="3">
        <v>4.3242579000000001</v>
      </c>
      <c r="AN981" s="3">
        <v>4.2663989000000004</v>
      </c>
      <c r="AO981" s="3">
        <v>4.2119004999999996</v>
      </c>
      <c r="AP981" s="3">
        <v>4.1606487000000003</v>
      </c>
      <c r="AQ981" s="3">
        <v>4.1124315999999999</v>
      </c>
      <c r="AR981" s="3">
        <v>4.0670374000000002</v>
      </c>
      <c r="AS981" s="3">
        <v>4.0242541999999997</v>
      </c>
      <c r="AT981" s="3">
        <v>3.98387</v>
      </c>
      <c r="AU981" s="3">
        <v>3.9456730000000002</v>
      </c>
      <c r="AV981" s="3">
        <v>3.9094513000000002</v>
      </c>
      <c r="AW981" s="3">
        <v>3.8749929999999999</v>
      </c>
      <c r="AX981" s="3">
        <v>3.8420863000000001</v>
      </c>
      <c r="AY981" s="3">
        <v>3.8105191</v>
      </c>
      <c r="AZ981" s="3">
        <v>3.7800796999999999</v>
      </c>
      <c r="BA981" s="3">
        <v>3.7505812000000001</v>
      </c>
      <c r="BB981" s="3">
        <v>3.7219479</v>
      </c>
      <c r="BC981" s="3">
        <v>3.6941343</v>
      </c>
      <c r="BD981" s="3">
        <v>3.6670954</v>
      </c>
      <c r="BE981" s="3">
        <v>3.6407859</v>
      </c>
      <c r="BF981" s="3">
        <v>3.6151604000000002</v>
      </c>
      <c r="BG981" s="3">
        <v>3.5901736999999998</v>
      </c>
      <c r="BH981" s="3">
        <v>3.5657806000000001</v>
      </c>
      <c r="BI981" s="3">
        <v>3.5419356999999998</v>
      </c>
      <c r="BJ981" s="3">
        <v>3.5185940000000002</v>
      </c>
      <c r="BK981" s="3">
        <v>3.4957099999999999</v>
      </c>
      <c r="BL981" s="3">
        <v>3.4732386000000002</v>
      </c>
      <c r="BM981" s="3">
        <v>3.3471974000000002</v>
      </c>
      <c r="BN981" s="3">
        <v>3.2407313000000002</v>
      </c>
    </row>
    <row r="982" spans="1:66" x14ac:dyDescent="0.35">
      <c r="A982" s="5">
        <f t="shared" si="15"/>
        <v>44830</v>
      </c>
      <c r="B982" t="s">
        <v>2375</v>
      </c>
      <c r="C982" s="2">
        <v>2.25</v>
      </c>
      <c r="D982" s="2">
        <v>2.1890000000000001</v>
      </c>
      <c r="E982" s="3">
        <v>2.8262418999999999</v>
      </c>
      <c r="F982" s="3">
        <v>3.7180040999999999</v>
      </c>
      <c r="G982" s="3">
        <v>4.4254043999999997</v>
      </c>
      <c r="H982" s="3">
        <v>4.9538190999999996</v>
      </c>
      <c r="I982" s="3">
        <v>5.3389483999999996</v>
      </c>
      <c r="J982" s="3">
        <v>5.6112839000000001</v>
      </c>
      <c r="K982" s="3">
        <v>5.7950331000000004</v>
      </c>
      <c r="L982" s="3">
        <v>5.9169039999999997</v>
      </c>
      <c r="M982" s="3">
        <v>6.0000732000000001</v>
      </c>
      <c r="N982" s="3">
        <v>6.0594093000000004</v>
      </c>
      <c r="O982" s="3">
        <v>6.1027481999999997</v>
      </c>
      <c r="P982" s="3">
        <v>6.1334688999999996</v>
      </c>
      <c r="Q982" s="3">
        <v>6.1523266000000003</v>
      </c>
      <c r="R982" s="3">
        <v>6.1596948999999999</v>
      </c>
      <c r="S982" s="3">
        <v>6.1560132000000003</v>
      </c>
      <c r="T982" s="3">
        <v>6.1417206999999996</v>
      </c>
      <c r="U982" s="3">
        <v>6.1172569000000001</v>
      </c>
      <c r="V982" s="3">
        <v>6.0830609000000004</v>
      </c>
      <c r="W982" s="3">
        <v>6.0397002999999998</v>
      </c>
      <c r="X982" s="3">
        <v>5.9882308000000002</v>
      </c>
      <c r="Y982" s="3">
        <v>5.9298241999999997</v>
      </c>
      <c r="Z982" s="3">
        <v>5.8656522999999998</v>
      </c>
      <c r="AA982" s="3">
        <v>5.7968868999999996</v>
      </c>
      <c r="AB982" s="3">
        <v>5.7246999000000001</v>
      </c>
      <c r="AC982" s="3">
        <v>5.6501467999999999</v>
      </c>
      <c r="AD982" s="3">
        <v>5.5737703999999999</v>
      </c>
      <c r="AE982" s="3">
        <v>5.4959718999999998</v>
      </c>
      <c r="AF982" s="3">
        <v>5.4171524</v>
      </c>
      <c r="AG982" s="3">
        <v>5.3377131999999996</v>
      </c>
      <c r="AH982" s="3">
        <v>5.2580553999999999</v>
      </c>
      <c r="AI982" s="3">
        <v>5.1785801999999999</v>
      </c>
      <c r="AJ982" s="3">
        <v>5.0996889000000003</v>
      </c>
      <c r="AK982" s="3">
        <v>5.0217824999999996</v>
      </c>
      <c r="AL982" s="3">
        <v>4.9452623000000004</v>
      </c>
      <c r="AM982" s="3">
        <v>4.8705295</v>
      </c>
      <c r="AN982" s="3">
        <v>4.7979852000000003</v>
      </c>
      <c r="AO982" s="3">
        <v>4.7279638000000004</v>
      </c>
      <c r="AP982" s="3">
        <v>4.6605043999999998</v>
      </c>
      <c r="AQ982" s="3">
        <v>4.5955649000000003</v>
      </c>
      <c r="AR982" s="3">
        <v>4.5331029000000003</v>
      </c>
      <c r="AS982" s="3">
        <v>4.4730762000000004</v>
      </c>
      <c r="AT982" s="3">
        <v>4.4154426000000004</v>
      </c>
      <c r="AU982" s="3">
        <v>4.3601597999999999</v>
      </c>
      <c r="AV982" s="3">
        <v>4.3071853999999998</v>
      </c>
      <c r="AW982" s="3">
        <v>4.2564773999999996</v>
      </c>
      <c r="AX982" s="3">
        <v>4.2079934000000003</v>
      </c>
      <c r="AY982" s="3">
        <v>4.1616910999999996</v>
      </c>
      <c r="AZ982" s="3">
        <v>4.1175284000000003</v>
      </c>
      <c r="BA982" s="3">
        <v>4.0754603999999999</v>
      </c>
      <c r="BB982" s="3">
        <v>4.0354283000000004</v>
      </c>
      <c r="BC982" s="3">
        <v>3.997369</v>
      </c>
      <c r="BD982" s="3">
        <v>3.9612191000000001</v>
      </c>
      <c r="BE982" s="3">
        <v>3.9269153000000001</v>
      </c>
      <c r="BF982" s="3">
        <v>3.8943943000000001</v>
      </c>
      <c r="BG982" s="3">
        <v>3.8635926999999999</v>
      </c>
      <c r="BH982" s="3">
        <v>3.8344472999999999</v>
      </c>
      <c r="BI982" s="3">
        <v>3.8068947999999998</v>
      </c>
      <c r="BJ982" s="3">
        <v>3.7808717999999999</v>
      </c>
      <c r="BK982" s="3">
        <v>3.7563149999999998</v>
      </c>
      <c r="BL982" s="3">
        <v>3.7331612000000001</v>
      </c>
      <c r="BM982" s="3">
        <v>3.620835</v>
      </c>
      <c r="BN982" s="3">
        <v>3.5472372000000001</v>
      </c>
    </row>
    <row r="983" spans="1:66" x14ac:dyDescent="0.35">
      <c r="A983" s="5">
        <f t="shared" si="15"/>
        <v>44831</v>
      </c>
      <c r="B983" t="s">
        <v>2376</v>
      </c>
      <c r="C983" s="2">
        <v>2.25</v>
      </c>
      <c r="D983" s="2">
        <v>2.1890000000000001</v>
      </c>
      <c r="E983" s="3">
        <v>2.8611434</v>
      </c>
      <c r="F983" s="3">
        <v>3.8979428</v>
      </c>
      <c r="G983" s="3">
        <v>4.6988386999999996</v>
      </c>
      <c r="H983" s="3">
        <v>5.2739187000000003</v>
      </c>
      <c r="I983" s="3">
        <v>5.6717313000000003</v>
      </c>
      <c r="J983" s="3">
        <v>5.9390587000000004</v>
      </c>
      <c r="K983" s="3">
        <v>6.1094321000000003</v>
      </c>
      <c r="L983" s="3">
        <v>6.2155376999999996</v>
      </c>
      <c r="M983" s="3">
        <v>6.2817077000000001</v>
      </c>
      <c r="N983" s="3">
        <v>6.3257991999999996</v>
      </c>
      <c r="O983" s="3">
        <v>6.3569789999999999</v>
      </c>
      <c r="P983" s="3">
        <v>6.3790063000000004</v>
      </c>
      <c r="Q983" s="3">
        <v>6.3904192000000002</v>
      </c>
      <c r="R983" s="3">
        <v>6.3909165000000003</v>
      </c>
      <c r="S983" s="3">
        <v>6.3808692999999996</v>
      </c>
      <c r="T983" s="3">
        <v>6.3606484999999999</v>
      </c>
      <c r="U983" s="3">
        <v>6.3306253000000003</v>
      </c>
      <c r="V983" s="3">
        <v>6.2911707000000003</v>
      </c>
      <c r="W983" s="3">
        <v>6.2428610000000004</v>
      </c>
      <c r="X983" s="3">
        <v>6.1870538000000002</v>
      </c>
      <c r="Y983" s="3">
        <v>6.1252927000000001</v>
      </c>
      <c r="Z983" s="3">
        <v>6.0591214000000004</v>
      </c>
      <c r="AA983" s="3">
        <v>5.9900834999999999</v>
      </c>
      <c r="AB983" s="3">
        <v>5.9197226000000001</v>
      </c>
      <c r="AC983" s="3">
        <v>5.8493683000000001</v>
      </c>
      <c r="AD983" s="3">
        <v>5.7794062000000004</v>
      </c>
      <c r="AE983" s="3">
        <v>5.7099611000000001</v>
      </c>
      <c r="AF983" s="3">
        <v>5.6411578999999996</v>
      </c>
      <c r="AG983" s="3">
        <v>5.5731215000000001</v>
      </c>
      <c r="AH983" s="3">
        <v>5.5059769000000003</v>
      </c>
      <c r="AI983" s="3">
        <v>5.4398488</v>
      </c>
      <c r="AJ983" s="3">
        <v>5.3748623000000002</v>
      </c>
      <c r="AK983" s="3">
        <v>5.3111420999999996</v>
      </c>
      <c r="AL983" s="3">
        <v>5.2488133000000001</v>
      </c>
      <c r="AM983" s="3">
        <v>5.1880005999999996</v>
      </c>
      <c r="AN983" s="3">
        <v>5.1288289999999996</v>
      </c>
      <c r="AO983" s="3">
        <v>5.0713993000000004</v>
      </c>
      <c r="AP983" s="3">
        <v>5.0156831000000004</v>
      </c>
      <c r="AQ983" s="3">
        <v>4.9616084000000003</v>
      </c>
      <c r="AR983" s="3">
        <v>4.9091031999999997</v>
      </c>
      <c r="AS983" s="3">
        <v>4.8580956999999998</v>
      </c>
      <c r="AT983" s="3">
        <v>4.8085139000000003</v>
      </c>
      <c r="AU983" s="3">
        <v>4.7602858000000001</v>
      </c>
      <c r="AV983" s="3">
        <v>4.7133395</v>
      </c>
      <c r="AW983" s="3">
        <v>4.6676031</v>
      </c>
      <c r="AX983" s="3">
        <v>4.6230045000000004</v>
      </c>
      <c r="AY983" s="3">
        <v>4.579472</v>
      </c>
      <c r="AZ983" s="3">
        <v>4.5369335</v>
      </c>
      <c r="BA983" s="3">
        <v>4.4953291000000002</v>
      </c>
      <c r="BB983" s="3">
        <v>4.4546568999999998</v>
      </c>
      <c r="BC983" s="3">
        <v>4.4149327999999999</v>
      </c>
      <c r="BD983" s="3">
        <v>4.3761728</v>
      </c>
      <c r="BE983" s="3">
        <v>4.3383928000000003</v>
      </c>
      <c r="BF983" s="3">
        <v>4.3016088000000003</v>
      </c>
      <c r="BG983" s="3">
        <v>4.2658366000000001</v>
      </c>
      <c r="BH983" s="3">
        <v>4.2310920999999997</v>
      </c>
      <c r="BI983" s="3">
        <v>4.1973912999999996</v>
      </c>
      <c r="BJ983" s="3">
        <v>4.1647501</v>
      </c>
      <c r="BK983" s="3">
        <v>4.1331844000000002</v>
      </c>
      <c r="BL983" s="3">
        <v>4.1027101000000004</v>
      </c>
      <c r="BM983" s="3">
        <v>3.9430763</v>
      </c>
      <c r="BN983" s="3">
        <v>3.823108</v>
      </c>
    </row>
    <row r="984" spans="1:66" x14ac:dyDescent="0.35">
      <c r="A984" s="5">
        <f t="shared" si="15"/>
        <v>44832</v>
      </c>
      <c r="B984" t="s">
        <v>2377</v>
      </c>
      <c r="C984" s="2">
        <v>2.25</v>
      </c>
      <c r="D984" s="2">
        <v>2.1890999999999998</v>
      </c>
      <c r="E984" s="3">
        <v>2.9106782999999998</v>
      </c>
      <c r="F984" s="3">
        <v>3.8366736000000001</v>
      </c>
      <c r="G984" s="3">
        <v>4.5175888000000004</v>
      </c>
      <c r="H984" s="3">
        <v>5.0021632</v>
      </c>
      <c r="I984" s="3">
        <v>5.3415797999999999</v>
      </c>
      <c r="J984" s="3">
        <v>5.5720948999999997</v>
      </c>
      <c r="K984" s="3">
        <v>5.7145400000000004</v>
      </c>
      <c r="L984" s="3">
        <v>5.7936421999999999</v>
      </c>
      <c r="M984" s="3">
        <v>5.8310300000000002</v>
      </c>
      <c r="N984" s="3">
        <v>5.8445220999999998</v>
      </c>
      <c r="O984" s="3">
        <v>5.8448631000000004</v>
      </c>
      <c r="P984" s="3">
        <v>5.8376299999999999</v>
      </c>
      <c r="Q984" s="3">
        <v>5.8248705000000003</v>
      </c>
      <c r="R984" s="3">
        <v>5.8069021999999997</v>
      </c>
      <c r="S984" s="3">
        <v>5.7837766999999998</v>
      </c>
      <c r="T984" s="3">
        <v>5.7555452999999996</v>
      </c>
      <c r="U984" s="3">
        <v>5.7222594999999998</v>
      </c>
      <c r="V984" s="3">
        <v>5.6839708</v>
      </c>
      <c r="W984" s="3">
        <v>5.6408385000000001</v>
      </c>
      <c r="X984" s="3">
        <v>5.5934334000000003</v>
      </c>
      <c r="Y984" s="3">
        <v>5.5424239999999996</v>
      </c>
      <c r="Z984" s="3">
        <v>5.4884789999999999</v>
      </c>
      <c r="AA984" s="3">
        <v>5.4322667999999998</v>
      </c>
      <c r="AB984" s="3">
        <v>5.3744560000000003</v>
      </c>
      <c r="AC984" s="3">
        <v>5.3156568000000002</v>
      </c>
      <c r="AD984" s="3">
        <v>5.2561643</v>
      </c>
      <c r="AE984" s="3">
        <v>5.1961680000000001</v>
      </c>
      <c r="AF984" s="3">
        <v>5.1358575999999996</v>
      </c>
      <c r="AG984" s="3">
        <v>5.0754223999999999</v>
      </c>
      <c r="AH984" s="3">
        <v>5.0150522000000004</v>
      </c>
      <c r="AI984" s="3">
        <v>4.9549361999999997</v>
      </c>
      <c r="AJ984" s="3">
        <v>4.8952641999999997</v>
      </c>
      <c r="AK984" s="3">
        <v>4.8362255999999997</v>
      </c>
      <c r="AL984" s="3">
        <v>4.7780098999999998</v>
      </c>
      <c r="AM984" s="3">
        <v>4.7208066000000004</v>
      </c>
      <c r="AN984" s="3">
        <v>4.6648053000000003</v>
      </c>
      <c r="AO984" s="3">
        <v>4.6101666999999997</v>
      </c>
      <c r="AP984" s="3">
        <v>4.5569110000000004</v>
      </c>
      <c r="AQ984" s="3">
        <v>4.5050156000000001</v>
      </c>
      <c r="AR984" s="3">
        <v>4.4544579999999998</v>
      </c>
      <c r="AS984" s="3">
        <v>4.4052157999999997</v>
      </c>
      <c r="AT984" s="3">
        <v>4.3572661999999998</v>
      </c>
      <c r="AU984" s="3">
        <v>4.3105868999999997</v>
      </c>
      <c r="AV984" s="3">
        <v>4.2651553</v>
      </c>
      <c r="AW984" s="3">
        <v>4.2209488000000004</v>
      </c>
      <c r="AX984" s="3">
        <v>4.1779449</v>
      </c>
      <c r="AY984" s="3">
        <v>4.1361211000000004</v>
      </c>
      <c r="AZ984" s="3">
        <v>4.0954547999999997</v>
      </c>
      <c r="BA984" s="3">
        <v>4.0559256000000001</v>
      </c>
      <c r="BB984" s="3">
        <v>4.0175225000000001</v>
      </c>
      <c r="BC984" s="3">
        <v>3.9802369999999998</v>
      </c>
      <c r="BD984" s="3">
        <v>3.9440605999999998</v>
      </c>
      <c r="BE984" s="3">
        <v>3.9089849000000001</v>
      </c>
      <c r="BF984" s="3">
        <v>3.8750013999999999</v>
      </c>
      <c r="BG984" s="3">
        <v>3.8421015999999999</v>
      </c>
      <c r="BH984" s="3">
        <v>3.8102770000000001</v>
      </c>
      <c r="BI984" s="3">
        <v>3.7795192000000002</v>
      </c>
      <c r="BJ984" s="3">
        <v>3.7498197000000002</v>
      </c>
      <c r="BK984" s="3">
        <v>3.7211701000000001</v>
      </c>
      <c r="BL984" s="3">
        <v>3.6935619000000002</v>
      </c>
      <c r="BM984" s="3">
        <v>3.5492045000000001</v>
      </c>
      <c r="BN984" s="3">
        <v>3.4395812000000001</v>
      </c>
    </row>
    <row r="985" spans="1:66" x14ac:dyDescent="0.35">
      <c r="A985" s="5">
        <f t="shared" si="15"/>
        <v>44833</v>
      </c>
      <c r="B985" t="s">
        <v>2378</v>
      </c>
      <c r="C985" s="2">
        <v>2.25</v>
      </c>
      <c r="D985" s="2">
        <v>2.1890000000000001</v>
      </c>
      <c r="E985" s="3">
        <v>2.7583712</v>
      </c>
      <c r="F985" s="3">
        <v>3.7659010999999998</v>
      </c>
      <c r="G985" s="3">
        <v>4.4821838999999999</v>
      </c>
      <c r="H985" s="3">
        <v>4.9719204000000001</v>
      </c>
      <c r="I985" s="3">
        <v>5.3064058999999997</v>
      </c>
      <c r="J985" s="3">
        <v>5.5336300999999999</v>
      </c>
      <c r="K985" s="3">
        <v>5.6826182999999997</v>
      </c>
      <c r="L985" s="3">
        <v>5.7764894</v>
      </c>
      <c r="M985" s="3">
        <v>5.8311377999999996</v>
      </c>
      <c r="N985" s="3">
        <v>5.85989</v>
      </c>
      <c r="O985" s="3">
        <v>5.8730843999999998</v>
      </c>
      <c r="P985" s="3">
        <v>5.8765906000000001</v>
      </c>
      <c r="Q985" s="3">
        <v>5.8734352000000003</v>
      </c>
      <c r="R985" s="3">
        <v>5.8641509000000003</v>
      </c>
      <c r="S985" s="3">
        <v>5.8487247</v>
      </c>
      <c r="T985" s="3">
        <v>5.8271436999999997</v>
      </c>
      <c r="U985" s="3">
        <v>5.7993949999999996</v>
      </c>
      <c r="V985" s="3">
        <v>5.7654658000000003</v>
      </c>
      <c r="W985" s="3">
        <v>5.7254541000000003</v>
      </c>
      <c r="X985" s="3">
        <v>5.6800883999999998</v>
      </c>
      <c r="Y985" s="3">
        <v>5.6303184000000002</v>
      </c>
      <c r="Z985" s="3">
        <v>5.5770941000000001</v>
      </c>
      <c r="AA985" s="3">
        <v>5.5213656000000002</v>
      </c>
      <c r="AB985" s="3">
        <v>5.4640827999999999</v>
      </c>
      <c r="AC985" s="3">
        <v>5.4060940999999998</v>
      </c>
      <c r="AD985" s="3">
        <v>5.3477515000000002</v>
      </c>
      <c r="AE985" s="3">
        <v>5.2892561000000002</v>
      </c>
      <c r="AF985" s="3">
        <v>5.2308089999999998</v>
      </c>
      <c r="AG985" s="3">
        <v>5.1726112000000004</v>
      </c>
      <c r="AH985" s="3">
        <v>5.1148638999999996</v>
      </c>
      <c r="AI985" s="3">
        <v>5.0577681999999999</v>
      </c>
      <c r="AJ985" s="3">
        <v>5.001525</v>
      </c>
      <c r="AK985" s="3">
        <v>4.9463355</v>
      </c>
      <c r="AL985" s="3">
        <v>4.8924007999999999</v>
      </c>
      <c r="AM985" s="3">
        <v>4.8399219999999996</v>
      </c>
      <c r="AN985" s="3">
        <v>4.7891000999999997</v>
      </c>
      <c r="AO985" s="3">
        <v>4.7400960999999997</v>
      </c>
      <c r="AP985" s="3">
        <v>4.6928938000000002</v>
      </c>
      <c r="AQ985" s="3">
        <v>4.6474283999999999</v>
      </c>
      <c r="AR985" s="3">
        <v>4.6036346999999997</v>
      </c>
      <c r="AS985" s="3">
        <v>4.5614477999999998</v>
      </c>
      <c r="AT985" s="3">
        <v>4.5208028000000002</v>
      </c>
      <c r="AU985" s="3">
        <v>4.4816345000000002</v>
      </c>
      <c r="AV985" s="3">
        <v>4.4438781000000001</v>
      </c>
      <c r="AW985" s="3">
        <v>4.4074685999999996</v>
      </c>
      <c r="AX985" s="3">
        <v>4.3723409000000002</v>
      </c>
      <c r="AY985" s="3">
        <v>4.3384301000000001</v>
      </c>
      <c r="AZ985" s="3">
        <v>4.3056711999999999</v>
      </c>
      <c r="BA985" s="3">
        <v>4.2740052999999998</v>
      </c>
      <c r="BB985" s="3">
        <v>4.2434010000000004</v>
      </c>
      <c r="BC985" s="3">
        <v>4.2138340000000003</v>
      </c>
      <c r="BD985" s="3">
        <v>4.1852805000000002</v>
      </c>
      <c r="BE985" s="3">
        <v>4.1577164</v>
      </c>
      <c r="BF985" s="3">
        <v>4.1311175999999996</v>
      </c>
      <c r="BG985" s="3">
        <v>4.1054599999999999</v>
      </c>
      <c r="BH985" s="3">
        <v>4.0807197000000004</v>
      </c>
      <c r="BI985" s="3">
        <v>4.0568724999999999</v>
      </c>
      <c r="BJ985" s="3">
        <v>4.0338944999999997</v>
      </c>
      <c r="BK985" s="3">
        <v>4.0117615999999998</v>
      </c>
      <c r="BL985" s="3">
        <v>3.9904495999999998</v>
      </c>
      <c r="BM985" s="3">
        <v>3.8789284999999998</v>
      </c>
      <c r="BN985" s="3">
        <v>3.7936670000000001</v>
      </c>
    </row>
    <row r="986" spans="1:66" x14ac:dyDescent="0.35">
      <c r="A986" s="5">
        <f t="shared" si="15"/>
        <v>44834</v>
      </c>
      <c r="B986" t="s">
        <v>2379</v>
      </c>
      <c r="C986" s="2">
        <v>2.25</v>
      </c>
      <c r="D986" s="2">
        <v>2.1901000000000002</v>
      </c>
      <c r="E986" s="3">
        <v>2.6910517999999999</v>
      </c>
      <c r="F986" s="3">
        <v>3.6736920999999998</v>
      </c>
      <c r="G986" s="3">
        <v>4.4164265</v>
      </c>
      <c r="H986" s="3">
        <v>4.9471791999999999</v>
      </c>
      <c r="I986" s="3">
        <v>5.3043648000000001</v>
      </c>
      <c r="J986" s="3">
        <v>5.5308589000000001</v>
      </c>
      <c r="K986" s="3">
        <v>5.6671617999999997</v>
      </c>
      <c r="L986" s="3">
        <v>5.7434153999999999</v>
      </c>
      <c r="M986" s="3">
        <v>5.7832100999999998</v>
      </c>
      <c r="N986" s="3">
        <v>5.8042087999999996</v>
      </c>
      <c r="O986" s="3">
        <v>5.8168847000000001</v>
      </c>
      <c r="P986" s="3">
        <v>5.8254408</v>
      </c>
      <c r="Q986" s="3">
        <v>5.8283277</v>
      </c>
      <c r="R986" s="3">
        <v>5.8249651</v>
      </c>
      <c r="S986" s="3">
        <v>5.8154892</v>
      </c>
      <c r="T986" s="3">
        <v>5.8000360999999998</v>
      </c>
      <c r="U986" s="3">
        <v>5.7787420000000003</v>
      </c>
      <c r="V986" s="3">
        <v>5.7517430999999997</v>
      </c>
      <c r="W986" s="3">
        <v>5.7192664000000004</v>
      </c>
      <c r="X986" s="3">
        <v>5.6820038999999998</v>
      </c>
      <c r="Y986" s="3">
        <v>5.6407961999999996</v>
      </c>
      <c r="Z986" s="3">
        <v>5.5964840999999996</v>
      </c>
      <c r="AA986" s="3">
        <v>5.5499080000000003</v>
      </c>
      <c r="AB986" s="3">
        <v>5.5019087999999998</v>
      </c>
      <c r="AC986" s="3">
        <v>5.4532179000000003</v>
      </c>
      <c r="AD986" s="3">
        <v>5.4040847000000003</v>
      </c>
      <c r="AE986" s="3">
        <v>5.3546258</v>
      </c>
      <c r="AF986" s="3">
        <v>5.3049577000000001</v>
      </c>
      <c r="AG986" s="3">
        <v>5.2551969999999999</v>
      </c>
      <c r="AH986" s="3">
        <v>5.2054600000000004</v>
      </c>
      <c r="AI986" s="3">
        <v>5.1558634000000003</v>
      </c>
      <c r="AJ986" s="3">
        <v>5.1065234999999998</v>
      </c>
      <c r="AK986" s="3">
        <v>5.0575571000000004</v>
      </c>
      <c r="AL986" s="3">
        <v>5.0090804000000002</v>
      </c>
      <c r="AM986" s="3">
        <v>4.9612100999999997</v>
      </c>
      <c r="AN986" s="3">
        <v>4.9140626999999997</v>
      </c>
      <c r="AO986" s="3">
        <v>4.8677358999999996</v>
      </c>
      <c r="AP986" s="3">
        <v>4.8222443999999998</v>
      </c>
      <c r="AQ986" s="3">
        <v>4.7775800999999998</v>
      </c>
      <c r="AR986" s="3">
        <v>4.7337349</v>
      </c>
      <c r="AS986" s="3">
        <v>4.6907006000000004</v>
      </c>
      <c r="AT986" s="3">
        <v>4.6484692000000001</v>
      </c>
      <c r="AU986" s="3">
        <v>4.6070324999999999</v>
      </c>
      <c r="AV986" s="3">
        <v>4.5663822999999999</v>
      </c>
      <c r="AW986" s="3">
        <v>4.5265105999999999</v>
      </c>
      <c r="AX986" s="3">
        <v>4.4874092000000001</v>
      </c>
      <c r="AY986" s="3">
        <v>4.4490699999999999</v>
      </c>
      <c r="AZ986" s="3">
        <v>4.4114848000000002</v>
      </c>
      <c r="BA986" s="3">
        <v>4.3746486999999998</v>
      </c>
      <c r="BB986" s="3">
        <v>4.3385705000000003</v>
      </c>
      <c r="BC986" s="3">
        <v>4.3032627000000003</v>
      </c>
      <c r="BD986" s="3">
        <v>4.2687379999999999</v>
      </c>
      <c r="BE986" s="3">
        <v>4.2350089000000004</v>
      </c>
      <c r="BF986" s="3">
        <v>4.2020881000000001</v>
      </c>
      <c r="BG986" s="3">
        <v>4.1699881999999997</v>
      </c>
      <c r="BH986" s="3">
        <v>4.1387216999999996</v>
      </c>
      <c r="BI986" s="3">
        <v>4.1083012999999999</v>
      </c>
      <c r="BJ986" s="3">
        <v>4.0787396999999999</v>
      </c>
      <c r="BK986" s="3">
        <v>4.0500492000000001</v>
      </c>
      <c r="BL986" s="3">
        <v>4.0222426999999996</v>
      </c>
      <c r="BM986" s="3">
        <v>3.8740983999999998</v>
      </c>
      <c r="BN986" s="3">
        <v>3.7574768000000001</v>
      </c>
    </row>
    <row r="987" spans="1:66" x14ac:dyDescent="0.35">
      <c r="A987" s="5">
        <f t="shared" si="15"/>
        <v>44837</v>
      </c>
      <c r="B987" t="s">
        <v>2381</v>
      </c>
      <c r="C987" s="2">
        <v>2.25</v>
      </c>
      <c r="D987" s="2">
        <v>2.1880000000000002</v>
      </c>
      <c r="E987" s="3">
        <v>2.6720747</v>
      </c>
      <c r="F987" s="3">
        <v>3.5734020000000002</v>
      </c>
      <c r="G987" s="3">
        <v>4.2401581999999998</v>
      </c>
      <c r="H987" s="3">
        <v>4.7143721999999997</v>
      </c>
      <c r="I987" s="3">
        <v>5.0524633999999997</v>
      </c>
      <c r="J987" s="3">
        <v>5.2820546000000004</v>
      </c>
      <c r="K987" s="3">
        <v>5.4255133999999998</v>
      </c>
      <c r="L987" s="3">
        <v>5.5061795</v>
      </c>
      <c r="M987" s="3">
        <v>5.5451088000000004</v>
      </c>
      <c r="N987" s="3">
        <v>5.560346</v>
      </c>
      <c r="O987" s="3">
        <v>5.5629841999999998</v>
      </c>
      <c r="P987" s="3">
        <v>5.5590137999999998</v>
      </c>
      <c r="Q987" s="3">
        <v>5.5504294999999999</v>
      </c>
      <c r="R987" s="3">
        <v>5.5375972999999998</v>
      </c>
      <c r="S987" s="3">
        <v>5.5206954000000001</v>
      </c>
      <c r="T987" s="3">
        <v>5.4999020999999999</v>
      </c>
      <c r="U987" s="3">
        <v>5.4753957</v>
      </c>
      <c r="V987" s="3">
        <v>5.4473545000000003</v>
      </c>
      <c r="W987" s="3">
        <v>5.4160037000000001</v>
      </c>
      <c r="X987" s="3">
        <v>5.3817665999999997</v>
      </c>
      <c r="Y987" s="3">
        <v>5.3451181999999999</v>
      </c>
      <c r="Z987" s="3">
        <v>5.3065335999999999</v>
      </c>
      <c r="AA987" s="3">
        <v>5.2664879999999998</v>
      </c>
      <c r="AB987" s="3">
        <v>5.2254563999999997</v>
      </c>
      <c r="AC987" s="3">
        <v>5.1838525999999998</v>
      </c>
      <c r="AD987" s="3">
        <v>5.1418198000000004</v>
      </c>
      <c r="AE987" s="3">
        <v>5.0994269000000001</v>
      </c>
      <c r="AF987" s="3">
        <v>5.0567422999999998</v>
      </c>
      <c r="AG987" s="3">
        <v>5.0138347000000003</v>
      </c>
      <c r="AH987" s="3">
        <v>4.9707727000000004</v>
      </c>
      <c r="AI987" s="3">
        <v>4.9276249999999999</v>
      </c>
      <c r="AJ987" s="3">
        <v>4.8844602000000004</v>
      </c>
      <c r="AK987" s="3">
        <v>4.8413468999999996</v>
      </c>
      <c r="AL987" s="3">
        <v>4.7983538000000001</v>
      </c>
      <c r="AM987" s="3">
        <v>4.7555493999999996</v>
      </c>
      <c r="AN987" s="3">
        <v>4.7130026000000003</v>
      </c>
      <c r="AO987" s="3">
        <v>4.6707770000000002</v>
      </c>
      <c r="AP987" s="3">
        <v>4.6289159</v>
      </c>
      <c r="AQ987" s="3">
        <v>4.5874566000000003</v>
      </c>
      <c r="AR987" s="3">
        <v>4.5464365000000004</v>
      </c>
      <c r="AS987" s="3">
        <v>4.5058929000000001</v>
      </c>
      <c r="AT987" s="3">
        <v>4.4658632000000003</v>
      </c>
      <c r="AU987" s="3">
        <v>4.4263846999999998</v>
      </c>
      <c r="AV987" s="3">
        <v>4.3874949000000001</v>
      </c>
      <c r="AW987" s="3">
        <v>4.3492309999999996</v>
      </c>
      <c r="AX987" s="3">
        <v>4.3116304000000003</v>
      </c>
      <c r="AY987" s="3">
        <v>4.2747305000000004</v>
      </c>
      <c r="AZ987" s="3">
        <v>4.2385685999999998</v>
      </c>
      <c r="BA987" s="3">
        <v>4.2031798</v>
      </c>
      <c r="BB987" s="3">
        <v>4.1685869000000002</v>
      </c>
      <c r="BC987" s="3">
        <v>4.1348086000000004</v>
      </c>
      <c r="BD987" s="3">
        <v>4.1018632999999998</v>
      </c>
      <c r="BE987" s="3">
        <v>4.0697698999999998</v>
      </c>
      <c r="BF987" s="3">
        <v>4.0385467999999998</v>
      </c>
      <c r="BG987" s="3">
        <v>4.0082127999999999</v>
      </c>
      <c r="BH987" s="3">
        <v>3.9787865</v>
      </c>
      <c r="BI987" s="3">
        <v>3.9502864999999998</v>
      </c>
      <c r="BJ987" s="3">
        <v>3.9227314</v>
      </c>
      <c r="BK987" s="3">
        <v>3.8961399999999999</v>
      </c>
      <c r="BL987" s="3">
        <v>3.8705307000000002</v>
      </c>
      <c r="BM987" s="3">
        <v>3.7372836</v>
      </c>
      <c r="BN987" s="3">
        <v>3.6363553999999998</v>
      </c>
    </row>
    <row r="988" spans="1:66" x14ac:dyDescent="0.35">
      <c r="A988" s="5">
        <f t="shared" si="15"/>
        <v>44838</v>
      </c>
      <c r="B988" t="s">
        <v>2382</v>
      </c>
      <c r="C988" s="2">
        <v>2.25</v>
      </c>
      <c r="D988" s="2">
        <v>2.1859999999999999</v>
      </c>
      <c r="E988" s="3">
        <v>2.6811398</v>
      </c>
      <c r="F988" s="3">
        <v>3.5461998000000001</v>
      </c>
      <c r="G988" s="3">
        <v>4.1841692999999998</v>
      </c>
      <c r="H988" s="3">
        <v>4.6432570999999996</v>
      </c>
      <c r="I988" s="3">
        <v>4.9712819000000001</v>
      </c>
      <c r="J988" s="3">
        <v>5.1953779999999998</v>
      </c>
      <c r="K988" s="3">
        <v>5.3306114000000004</v>
      </c>
      <c r="L988" s="3">
        <v>5.3996938999999999</v>
      </c>
      <c r="M988" s="3">
        <v>5.4249688000000003</v>
      </c>
      <c r="N988" s="3">
        <v>5.4260159999999997</v>
      </c>
      <c r="O988" s="3">
        <v>5.4153092000000003</v>
      </c>
      <c r="P988" s="3">
        <v>5.3991018999999998</v>
      </c>
      <c r="Q988" s="3">
        <v>5.3805858999999998</v>
      </c>
      <c r="R988" s="3">
        <v>5.3602381000000001</v>
      </c>
      <c r="S988" s="3">
        <v>5.3379450000000004</v>
      </c>
      <c r="T988" s="3">
        <v>5.3135931000000003</v>
      </c>
      <c r="U988" s="3">
        <v>5.2870691000000001</v>
      </c>
      <c r="V988" s="3">
        <v>5.2582595000000003</v>
      </c>
      <c r="W988" s="3">
        <v>5.2271232000000003</v>
      </c>
      <c r="X988" s="3">
        <v>5.1939232000000004</v>
      </c>
      <c r="Y988" s="3">
        <v>5.1590023</v>
      </c>
      <c r="Z988" s="3">
        <v>5.1227033000000004</v>
      </c>
      <c r="AA988" s="3">
        <v>5.0853691000000003</v>
      </c>
      <c r="AB988" s="3">
        <v>5.0473425000000001</v>
      </c>
      <c r="AC988" s="3">
        <v>5.0089249000000002</v>
      </c>
      <c r="AD988" s="3">
        <v>4.9702346000000004</v>
      </c>
      <c r="AE988" s="3">
        <v>4.9313393999999997</v>
      </c>
      <c r="AF988" s="3">
        <v>4.8923072999999997</v>
      </c>
      <c r="AG988" s="3">
        <v>4.8532061000000004</v>
      </c>
      <c r="AH988" s="3">
        <v>4.8141034999999999</v>
      </c>
      <c r="AI988" s="3">
        <v>4.7750674999999996</v>
      </c>
      <c r="AJ988" s="3">
        <v>4.7361658999999996</v>
      </c>
      <c r="AK988" s="3">
        <v>4.6974666000000003</v>
      </c>
      <c r="AL988" s="3">
        <v>4.6590372999999996</v>
      </c>
      <c r="AM988" s="3">
        <v>4.6209458999999997</v>
      </c>
      <c r="AN988" s="3">
        <v>4.5832603000000001</v>
      </c>
      <c r="AO988" s="3">
        <v>4.5460396999999997</v>
      </c>
      <c r="AP988" s="3">
        <v>4.5092976</v>
      </c>
      <c r="AQ988" s="3">
        <v>4.4730318999999996</v>
      </c>
      <c r="AR988" s="3">
        <v>4.4372404000000003</v>
      </c>
      <c r="AS988" s="3">
        <v>4.4019212000000003</v>
      </c>
      <c r="AT988" s="3">
        <v>4.3670722</v>
      </c>
      <c r="AU988" s="3">
        <v>4.3326912000000002</v>
      </c>
      <c r="AV988" s="3">
        <v>4.2987763000000001</v>
      </c>
      <c r="AW988" s="3">
        <v>4.2653254</v>
      </c>
      <c r="AX988" s="3">
        <v>4.2323363000000001</v>
      </c>
      <c r="AY988" s="3">
        <v>4.1998071000000001</v>
      </c>
      <c r="AZ988" s="3">
        <v>4.1677356000000003</v>
      </c>
      <c r="BA988" s="3">
        <v>4.1361235000000001</v>
      </c>
      <c r="BB988" s="3">
        <v>4.1049905000000004</v>
      </c>
      <c r="BC988" s="3">
        <v>4.0743615999999996</v>
      </c>
      <c r="BD988" s="3">
        <v>4.0442619000000004</v>
      </c>
      <c r="BE988" s="3">
        <v>4.0147165999999999</v>
      </c>
      <c r="BF988" s="3">
        <v>3.9857509000000002</v>
      </c>
      <c r="BG988" s="3">
        <v>3.9573896999999998</v>
      </c>
      <c r="BH988" s="3">
        <v>3.9296582999999998</v>
      </c>
      <c r="BI988" s="3">
        <v>3.9025818000000001</v>
      </c>
      <c r="BJ988" s="3">
        <v>3.8761852000000001</v>
      </c>
      <c r="BK988" s="3">
        <v>3.8504938000000002</v>
      </c>
      <c r="BL988" s="3">
        <v>3.8255325</v>
      </c>
      <c r="BM988" s="3">
        <v>3.6917458000000001</v>
      </c>
      <c r="BN988" s="3">
        <v>3.5859632000000001</v>
      </c>
    </row>
    <row r="989" spans="1:66" x14ac:dyDescent="0.35">
      <c r="A989" s="5">
        <f t="shared" si="15"/>
        <v>44839</v>
      </c>
      <c r="B989" t="s">
        <v>2383</v>
      </c>
      <c r="C989" s="2">
        <v>2.25</v>
      </c>
      <c r="D989" s="2">
        <v>2.1865999999999999</v>
      </c>
      <c r="E989" s="3">
        <v>2.7404609999999998</v>
      </c>
      <c r="F989" s="3">
        <v>3.5865729000000002</v>
      </c>
      <c r="G989" s="3">
        <v>4.233174</v>
      </c>
      <c r="H989" s="3">
        <v>4.7128521000000001</v>
      </c>
      <c r="I989" s="3">
        <v>5.0636659000000002</v>
      </c>
      <c r="J989" s="3">
        <v>5.3096870000000003</v>
      </c>
      <c r="K989" s="3">
        <v>5.4698567000000002</v>
      </c>
      <c r="L989" s="3">
        <v>5.5671755999999997</v>
      </c>
      <c r="M989" s="3">
        <v>5.6229551000000004</v>
      </c>
      <c r="N989" s="3">
        <v>5.6535320999999996</v>
      </c>
      <c r="O989" s="3">
        <v>5.6693942000000002</v>
      </c>
      <c r="P989" s="3">
        <v>5.6754537000000003</v>
      </c>
      <c r="Q989" s="3">
        <v>5.6736825</v>
      </c>
      <c r="R989" s="3">
        <v>5.6646625000000004</v>
      </c>
      <c r="S989" s="3">
        <v>5.6487194000000001</v>
      </c>
      <c r="T989" s="3">
        <v>5.6261789999999996</v>
      </c>
      <c r="U989" s="3">
        <v>5.5973670999999996</v>
      </c>
      <c r="V989" s="3">
        <v>5.5626096</v>
      </c>
      <c r="W989" s="3">
        <v>5.5223363000000001</v>
      </c>
      <c r="X989" s="3">
        <v>5.4774158999999996</v>
      </c>
      <c r="Y989" s="3">
        <v>5.4288315999999996</v>
      </c>
      <c r="Z989" s="3">
        <v>5.3775668999999997</v>
      </c>
      <c r="AA989" s="3">
        <v>5.3246053</v>
      </c>
      <c r="AB989" s="3">
        <v>5.2709302999999998</v>
      </c>
      <c r="AC989" s="3">
        <v>5.2174161999999997</v>
      </c>
      <c r="AD989" s="3">
        <v>5.1643502999999997</v>
      </c>
      <c r="AE989" s="3">
        <v>5.1118228999999999</v>
      </c>
      <c r="AF989" s="3">
        <v>5.0599242000000002</v>
      </c>
      <c r="AG989" s="3">
        <v>5.0087443</v>
      </c>
      <c r="AH989" s="3">
        <v>4.9583735000000004</v>
      </c>
      <c r="AI989" s="3">
        <v>4.9089019</v>
      </c>
      <c r="AJ989" s="3">
        <v>4.8604197999999998</v>
      </c>
      <c r="AK989" s="3">
        <v>4.8130173000000003</v>
      </c>
      <c r="AL989" s="3">
        <v>4.7667846999999997</v>
      </c>
      <c r="AM989" s="3">
        <v>4.7218121000000002</v>
      </c>
      <c r="AN989" s="3">
        <v>4.6781896999999999</v>
      </c>
      <c r="AO989" s="3">
        <v>4.6359861000000002</v>
      </c>
      <c r="AP989" s="3">
        <v>4.5951648</v>
      </c>
      <c r="AQ989" s="3">
        <v>4.5556571999999997</v>
      </c>
      <c r="AR989" s="3">
        <v>4.5173947999999999</v>
      </c>
      <c r="AS989" s="3">
        <v>4.4803088999999998</v>
      </c>
      <c r="AT989" s="3">
        <v>4.444331</v>
      </c>
      <c r="AU989" s="3">
        <v>4.4093925</v>
      </c>
      <c r="AV989" s="3">
        <v>4.3754248000000002</v>
      </c>
      <c r="AW989" s="3">
        <v>4.3423594000000003</v>
      </c>
      <c r="AX989" s="3">
        <v>4.3101276999999998</v>
      </c>
      <c r="AY989" s="3">
        <v>4.2786612000000002</v>
      </c>
      <c r="AZ989" s="3">
        <v>4.2478911000000004</v>
      </c>
      <c r="BA989" s="3">
        <v>4.2177594999999997</v>
      </c>
      <c r="BB989" s="3">
        <v>4.1882539999999997</v>
      </c>
      <c r="BC989" s="3">
        <v>4.1593749999999998</v>
      </c>
      <c r="BD989" s="3">
        <v>4.1311230999999999</v>
      </c>
      <c r="BE989" s="3">
        <v>4.1034986</v>
      </c>
      <c r="BF989" s="3">
        <v>4.0765019999999996</v>
      </c>
      <c r="BG989" s="3">
        <v>4.0501336999999999</v>
      </c>
      <c r="BH989" s="3">
        <v>4.0243941999999997</v>
      </c>
      <c r="BI989" s="3">
        <v>3.9992838000000002</v>
      </c>
      <c r="BJ989" s="3">
        <v>3.9748030000000001</v>
      </c>
      <c r="BK989" s="3">
        <v>3.9509522000000001</v>
      </c>
      <c r="BL989" s="3">
        <v>3.9277319999999998</v>
      </c>
      <c r="BM989" s="3">
        <v>3.8017791000000001</v>
      </c>
      <c r="BN989" s="3">
        <v>3.6992661999999998</v>
      </c>
    </row>
    <row r="990" spans="1:66" x14ac:dyDescent="0.35">
      <c r="A990" s="5">
        <f t="shared" si="15"/>
        <v>44840</v>
      </c>
      <c r="B990" t="s">
        <v>2384</v>
      </c>
      <c r="C990" s="2">
        <v>2.25</v>
      </c>
      <c r="D990" s="2">
        <v>2.1869000000000001</v>
      </c>
      <c r="E990" s="3">
        <v>2.8104547000000002</v>
      </c>
      <c r="F990" s="3">
        <v>3.6746715000000001</v>
      </c>
      <c r="G990" s="3">
        <v>4.3274436999999999</v>
      </c>
      <c r="H990" s="3">
        <v>4.8076860999999997</v>
      </c>
      <c r="I990" s="3">
        <v>5.1611393999999997</v>
      </c>
      <c r="J990" s="3">
        <v>5.4121487000000004</v>
      </c>
      <c r="K990" s="3">
        <v>5.5820999999999996</v>
      </c>
      <c r="L990" s="3">
        <v>5.6920902</v>
      </c>
      <c r="M990" s="3">
        <v>5.7615629000000004</v>
      </c>
      <c r="N990" s="3">
        <v>5.8048601</v>
      </c>
      <c r="O990" s="3">
        <v>5.8310748999999999</v>
      </c>
      <c r="P990" s="3">
        <v>5.8447905999999996</v>
      </c>
      <c r="Q990" s="3">
        <v>5.8477220000000001</v>
      </c>
      <c r="R990" s="3">
        <v>5.8408990000000003</v>
      </c>
      <c r="S990" s="3">
        <v>5.8253069999999996</v>
      </c>
      <c r="T990" s="3">
        <v>5.8019315999999996</v>
      </c>
      <c r="U990" s="3">
        <v>5.7717584999999998</v>
      </c>
      <c r="V990" s="3">
        <v>5.7357731999999997</v>
      </c>
      <c r="W990" s="3">
        <v>5.6949513999999999</v>
      </c>
      <c r="X990" s="3">
        <v>5.6502182999999997</v>
      </c>
      <c r="Y990" s="3">
        <v>5.6024832</v>
      </c>
      <c r="Z990" s="3">
        <v>5.5526551</v>
      </c>
      <c r="AA990" s="3">
        <v>5.5016433999999999</v>
      </c>
      <c r="AB990" s="3">
        <v>5.4503569000000001</v>
      </c>
      <c r="AC990" s="3">
        <v>5.3995847000000001</v>
      </c>
      <c r="AD990" s="3">
        <v>5.3495283999999996</v>
      </c>
      <c r="AE990" s="3">
        <v>5.3002113</v>
      </c>
      <c r="AF990" s="3">
        <v>5.2516565999999996</v>
      </c>
      <c r="AG990" s="3">
        <v>5.2038877000000001</v>
      </c>
      <c r="AH990" s="3">
        <v>5.1569276000000004</v>
      </c>
      <c r="AI990" s="3">
        <v>5.1107994999999997</v>
      </c>
      <c r="AJ990" s="3">
        <v>5.0655267999999998</v>
      </c>
      <c r="AK990" s="3">
        <v>5.0211326999999999</v>
      </c>
      <c r="AL990" s="3">
        <v>4.9776403</v>
      </c>
      <c r="AM990" s="3">
        <v>4.9350728000000004</v>
      </c>
      <c r="AN990" s="3">
        <v>4.8934536</v>
      </c>
      <c r="AO990" s="3">
        <v>4.8527962999999996</v>
      </c>
      <c r="AP990" s="3">
        <v>4.8130737000000003</v>
      </c>
      <c r="AQ990" s="3">
        <v>4.7742467</v>
      </c>
      <c r="AR990" s="3">
        <v>4.7362766000000001</v>
      </c>
      <c r="AS990" s="3">
        <v>4.6991244999999999</v>
      </c>
      <c r="AT990" s="3">
        <v>4.6627514999999997</v>
      </c>
      <c r="AU990" s="3">
        <v>4.6271186999999996</v>
      </c>
      <c r="AV990" s="3">
        <v>4.5921873</v>
      </c>
      <c r="AW990" s="3">
        <v>4.5579185000000004</v>
      </c>
      <c r="AX990" s="3">
        <v>4.5242731999999997</v>
      </c>
      <c r="AY990" s="3">
        <v>4.4912127999999996</v>
      </c>
      <c r="AZ990" s="3">
        <v>4.4586981999999997</v>
      </c>
      <c r="BA990" s="3">
        <v>4.4266991999999998</v>
      </c>
      <c r="BB990" s="3">
        <v>4.3952226000000003</v>
      </c>
      <c r="BC990" s="3">
        <v>4.3642856999999999</v>
      </c>
      <c r="BD990" s="3">
        <v>4.3339056999999999</v>
      </c>
      <c r="BE990" s="3">
        <v>4.3040998000000004</v>
      </c>
      <c r="BF990" s="3">
        <v>4.2748853000000002</v>
      </c>
      <c r="BG990" s="3">
        <v>4.2462793999999997</v>
      </c>
      <c r="BH990" s="3">
        <v>4.2182994000000003</v>
      </c>
      <c r="BI990" s="3">
        <v>4.1909624000000001</v>
      </c>
      <c r="BJ990" s="3">
        <v>4.1642856999999998</v>
      </c>
      <c r="BK990" s="3">
        <v>4.1382865999999998</v>
      </c>
      <c r="BL990" s="3">
        <v>4.1129822000000003</v>
      </c>
      <c r="BM990" s="3">
        <v>3.9762685000000002</v>
      </c>
      <c r="BN990" s="3">
        <v>3.8662225000000001</v>
      </c>
    </row>
    <row r="991" spans="1:66" x14ac:dyDescent="0.35">
      <c r="A991" s="5">
        <f t="shared" si="15"/>
        <v>44841</v>
      </c>
      <c r="B991" t="s">
        <v>2385</v>
      </c>
      <c r="C991" s="2">
        <v>2.25</v>
      </c>
      <c r="D991" s="2">
        <v>2.1876000000000002</v>
      </c>
      <c r="E991" s="3">
        <v>2.8319163999999999</v>
      </c>
      <c r="F991" s="3">
        <v>3.6922755999999999</v>
      </c>
      <c r="G991" s="3">
        <v>4.3501792000000004</v>
      </c>
      <c r="H991" s="3">
        <v>4.8376522</v>
      </c>
      <c r="I991" s="3">
        <v>5.1970768999999999</v>
      </c>
      <c r="J991" s="3">
        <v>5.4481915000000001</v>
      </c>
      <c r="K991" s="3">
        <v>5.6131966999999996</v>
      </c>
      <c r="L991" s="3">
        <v>5.7089637</v>
      </c>
      <c r="M991" s="3">
        <v>5.7571383999999997</v>
      </c>
      <c r="N991" s="3">
        <v>5.7752229000000002</v>
      </c>
      <c r="O991" s="3">
        <v>5.7759590999999997</v>
      </c>
      <c r="P991" s="3">
        <v>5.7677792999999999</v>
      </c>
      <c r="Q991" s="3">
        <v>5.7569211999999998</v>
      </c>
      <c r="R991" s="3">
        <v>5.7446387000000003</v>
      </c>
      <c r="S991" s="3">
        <v>5.7306914999999998</v>
      </c>
      <c r="T991" s="3">
        <v>5.7148389999999996</v>
      </c>
      <c r="U991" s="3">
        <v>5.6968407000000001</v>
      </c>
      <c r="V991" s="3">
        <v>5.6764558000000003</v>
      </c>
      <c r="W991" s="3">
        <v>5.6535032999999997</v>
      </c>
      <c r="X991" s="3">
        <v>5.6280783999999997</v>
      </c>
      <c r="Y991" s="3">
        <v>5.6003560999999999</v>
      </c>
      <c r="Z991" s="3">
        <v>5.5705115000000003</v>
      </c>
      <c r="AA991" s="3">
        <v>5.5387196999999997</v>
      </c>
      <c r="AB991" s="3">
        <v>5.5051557000000004</v>
      </c>
      <c r="AC991" s="3">
        <v>5.4699954999999996</v>
      </c>
      <c r="AD991" s="3">
        <v>5.4334176999999997</v>
      </c>
      <c r="AE991" s="3">
        <v>5.3956019</v>
      </c>
      <c r="AF991" s="3">
        <v>5.3567276000000001</v>
      </c>
      <c r="AG991" s="3">
        <v>5.3169744999999997</v>
      </c>
      <c r="AH991" s="3">
        <v>5.2765221999999996</v>
      </c>
      <c r="AI991" s="3">
        <v>5.2355501000000002</v>
      </c>
      <c r="AJ991" s="3">
        <v>5.1942379000000001</v>
      </c>
      <c r="AK991" s="3">
        <v>5.1527650999999999</v>
      </c>
      <c r="AL991" s="3">
        <v>5.1113112999999997</v>
      </c>
      <c r="AM991" s="3">
        <v>5.0700561000000004</v>
      </c>
      <c r="AN991" s="3">
        <v>5.0291791000000003</v>
      </c>
      <c r="AO991" s="3">
        <v>4.9888329999999996</v>
      </c>
      <c r="AP991" s="3">
        <v>4.9490521000000003</v>
      </c>
      <c r="AQ991" s="3">
        <v>4.9098379000000003</v>
      </c>
      <c r="AR991" s="3">
        <v>4.8711921</v>
      </c>
      <c r="AS991" s="3">
        <v>4.8331163999999998</v>
      </c>
      <c r="AT991" s="3">
        <v>4.7956120999999996</v>
      </c>
      <c r="AU991" s="3">
        <v>4.7586811000000004</v>
      </c>
      <c r="AV991" s="3">
        <v>4.7223249000000003</v>
      </c>
      <c r="AW991" s="3">
        <v>4.6865449999999997</v>
      </c>
      <c r="AX991" s="3">
        <v>4.6513431000000001</v>
      </c>
      <c r="AY991" s="3">
        <v>4.6167207000000001</v>
      </c>
      <c r="AZ991" s="3">
        <v>4.5826795999999996</v>
      </c>
      <c r="BA991" s="3">
        <v>4.5492229999999996</v>
      </c>
      <c r="BB991" s="3">
        <v>4.5163618999999997</v>
      </c>
      <c r="BC991" s="3">
        <v>4.4841096</v>
      </c>
      <c r="BD991" s="3">
        <v>4.4524792</v>
      </c>
      <c r="BE991" s="3">
        <v>4.4214839000000001</v>
      </c>
      <c r="BF991" s="3">
        <v>4.3911369000000002</v>
      </c>
      <c r="BG991" s="3">
        <v>4.3614512999999997</v>
      </c>
      <c r="BH991" s="3">
        <v>4.3324404000000003</v>
      </c>
      <c r="BI991" s="3">
        <v>4.3041172000000003</v>
      </c>
      <c r="BJ991" s="3">
        <v>4.2764951</v>
      </c>
      <c r="BK991" s="3">
        <v>4.2495871000000003</v>
      </c>
      <c r="BL991" s="3">
        <v>4.2234065000000003</v>
      </c>
      <c r="BM991" s="3">
        <v>4.0820898000000003</v>
      </c>
      <c r="BN991" s="3">
        <v>3.9687926</v>
      </c>
    </row>
    <row r="992" spans="1:66" x14ac:dyDescent="0.35">
      <c r="A992" s="5">
        <f t="shared" si="15"/>
        <v>44844</v>
      </c>
      <c r="B992" t="s">
        <v>2386</v>
      </c>
      <c r="C992" s="2">
        <v>2.25</v>
      </c>
      <c r="D992" s="2">
        <v>2.1863999999999999</v>
      </c>
      <c r="E992" s="3">
        <v>2.9549432000000002</v>
      </c>
      <c r="F992" s="3">
        <v>3.7839548999999999</v>
      </c>
      <c r="G992" s="3">
        <v>4.4407807999999998</v>
      </c>
      <c r="H992" s="3">
        <v>4.9305123000000002</v>
      </c>
      <c r="I992" s="3">
        <v>5.2886787999999996</v>
      </c>
      <c r="J992" s="3">
        <v>5.5380694000000004</v>
      </c>
      <c r="K992" s="3">
        <v>5.7002259000000004</v>
      </c>
      <c r="L992" s="3">
        <v>5.7978702000000002</v>
      </c>
      <c r="M992" s="3">
        <v>5.8515876999999996</v>
      </c>
      <c r="N992" s="3">
        <v>5.8790316999999996</v>
      </c>
      <c r="O992" s="3">
        <v>5.8911930999999997</v>
      </c>
      <c r="P992" s="3">
        <v>5.8946911999999996</v>
      </c>
      <c r="Q992" s="3">
        <v>5.8932921</v>
      </c>
      <c r="R992" s="3">
        <v>5.8877905999999998</v>
      </c>
      <c r="S992" s="3">
        <v>5.8783507999999998</v>
      </c>
      <c r="T992" s="3">
        <v>5.8651365999999996</v>
      </c>
      <c r="U992" s="3">
        <v>5.8483118999999997</v>
      </c>
      <c r="V992" s="3">
        <v>5.8280405999999996</v>
      </c>
      <c r="W992" s="3">
        <v>5.8045298000000001</v>
      </c>
      <c r="X992" s="3">
        <v>5.7781684999999996</v>
      </c>
      <c r="Y992" s="3">
        <v>5.7493930999999998</v>
      </c>
      <c r="Z992" s="3">
        <v>5.7186402000000003</v>
      </c>
      <c r="AA992" s="3">
        <v>5.6863463999999997</v>
      </c>
      <c r="AB992" s="3">
        <v>5.6529480999999997</v>
      </c>
      <c r="AC992" s="3">
        <v>5.6188275000000001</v>
      </c>
      <c r="AD992" s="3">
        <v>5.5841262</v>
      </c>
      <c r="AE992" s="3">
        <v>5.5489195999999996</v>
      </c>
      <c r="AF992" s="3">
        <v>5.5132829000000001</v>
      </c>
      <c r="AG992" s="3">
        <v>5.4772914000000004</v>
      </c>
      <c r="AH992" s="3">
        <v>5.4410204000000002</v>
      </c>
      <c r="AI992" s="3">
        <v>5.4045452000000003</v>
      </c>
      <c r="AJ992" s="3">
        <v>5.3679411999999997</v>
      </c>
      <c r="AK992" s="3">
        <v>5.3312835999999999</v>
      </c>
      <c r="AL992" s="3">
        <v>5.2946476999999996</v>
      </c>
      <c r="AM992" s="3">
        <v>5.2581088999999999</v>
      </c>
      <c r="AN992" s="3">
        <v>5.2217422999999998</v>
      </c>
      <c r="AO992" s="3">
        <v>5.1856137000000002</v>
      </c>
      <c r="AP992" s="3">
        <v>5.1497453999999996</v>
      </c>
      <c r="AQ992" s="3">
        <v>5.1141478999999999</v>
      </c>
      <c r="AR992" s="3">
        <v>5.0788317999999997</v>
      </c>
      <c r="AS992" s="3">
        <v>5.0438076000000001</v>
      </c>
      <c r="AT992" s="3">
        <v>5.0090858999999996</v>
      </c>
      <c r="AU992" s="3">
        <v>4.9746772999999997</v>
      </c>
      <c r="AV992" s="3">
        <v>4.9405922000000002</v>
      </c>
      <c r="AW992" s="3">
        <v>4.9068411999999997</v>
      </c>
      <c r="AX992" s="3">
        <v>4.8734349000000003</v>
      </c>
      <c r="AY992" s="3">
        <v>4.8403837000000003</v>
      </c>
      <c r="AZ992" s="3">
        <v>4.8076983000000002</v>
      </c>
      <c r="BA992" s="3">
        <v>4.7753921999999998</v>
      </c>
      <c r="BB992" s="3">
        <v>4.7434950000000002</v>
      </c>
      <c r="BC992" s="3">
        <v>4.7120417000000003</v>
      </c>
      <c r="BD992" s="3">
        <v>4.6810675000000002</v>
      </c>
      <c r="BE992" s="3">
        <v>4.6506074000000002</v>
      </c>
      <c r="BF992" s="3">
        <v>4.6206962999999996</v>
      </c>
      <c r="BG992" s="3">
        <v>4.5913694999999999</v>
      </c>
      <c r="BH992" s="3">
        <v>4.5626617999999999</v>
      </c>
      <c r="BI992" s="3">
        <v>4.5346085</v>
      </c>
      <c r="BJ992" s="3">
        <v>4.5072444000000003</v>
      </c>
      <c r="BK992" s="3">
        <v>4.4806048000000001</v>
      </c>
      <c r="BL992" s="3">
        <v>4.4547245999999996</v>
      </c>
      <c r="BM992" s="3">
        <v>4.3162896000000002</v>
      </c>
      <c r="BN992" s="3">
        <v>4.2074967000000001</v>
      </c>
    </row>
    <row r="993" spans="1:66" x14ac:dyDescent="0.35">
      <c r="A993" s="5">
        <f t="shared" si="15"/>
        <v>44845</v>
      </c>
      <c r="B993" t="s">
        <v>2387</v>
      </c>
      <c r="C993" s="2">
        <v>2.25</v>
      </c>
      <c r="D993" s="2">
        <v>2.1873</v>
      </c>
      <c r="E993" s="3">
        <v>2.9580513000000002</v>
      </c>
      <c r="F993" s="3">
        <v>3.7596056999999998</v>
      </c>
      <c r="G993" s="3">
        <v>4.4116011999999998</v>
      </c>
      <c r="H993" s="3">
        <v>4.9055745999999996</v>
      </c>
      <c r="I993" s="3">
        <v>5.2625726000000004</v>
      </c>
      <c r="J993" s="3">
        <v>5.5073635000000003</v>
      </c>
      <c r="K993" s="3">
        <v>5.6572975000000003</v>
      </c>
      <c r="L993" s="3">
        <v>5.7388310999999996</v>
      </c>
      <c r="M993" s="3">
        <v>5.7763204999999997</v>
      </c>
      <c r="N993" s="3">
        <v>5.7898782000000004</v>
      </c>
      <c r="O993" s="3">
        <v>5.7918281</v>
      </c>
      <c r="P993" s="3">
        <v>5.7884909000000002</v>
      </c>
      <c r="Q993" s="3">
        <v>5.7824511000000003</v>
      </c>
      <c r="R993" s="3">
        <v>5.7740790999999998</v>
      </c>
      <c r="S993" s="3">
        <v>5.7633462</v>
      </c>
      <c r="T993" s="3">
        <v>5.7502237000000003</v>
      </c>
      <c r="U993" s="3">
        <v>5.7346830999999998</v>
      </c>
      <c r="V993" s="3">
        <v>5.7166953999999999</v>
      </c>
      <c r="W993" s="3">
        <v>5.6962881000000003</v>
      </c>
      <c r="X993" s="3">
        <v>5.6737229999999998</v>
      </c>
      <c r="Y993" s="3">
        <v>5.6493238999999997</v>
      </c>
      <c r="Z993" s="3">
        <v>5.6234143999999997</v>
      </c>
      <c r="AA993" s="3">
        <v>5.5963183000000001</v>
      </c>
      <c r="AB993" s="3">
        <v>5.5683593</v>
      </c>
      <c r="AC993" s="3">
        <v>5.5398198000000001</v>
      </c>
      <c r="AD993" s="3">
        <v>5.5108005999999996</v>
      </c>
      <c r="AE993" s="3">
        <v>5.4813521999999999</v>
      </c>
      <c r="AF993" s="3">
        <v>5.4515250000000002</v>
      </c>
      <c r="AG993" s="3">
        <v>5.4213696000000002</v>
      </c>
      <c r="AH993" s="3">
        <v>5.3909365999999999</v>
      </c>
      <c r="AI993" s="3">
        <v>5.3602762999999998</v>
      </c>
      <c r="AJ993" s="3">
        <v>5.3294392999999998</v>
      </c>
      <c r="AK993" s="3">
        <v>5.2984761999999996</v>
      </c>
      <c r="AL993" s="3">
        <v>5.2674374999999998</v>
      </c>
      <c r="AM993" s="3">
        <v>5.2363736000000003</v>
      </c>
      <c r="AN993" s="3">
        <v>5.2053351000000001</v>
      </c>
      <c r="AO993" s="3">
        <v>5.1743674000000004</v>
      </c>
      <c r="AP993" s="3">
        <v>5.1434892000000003</v>
      </c>
      <c r="AQ993" s="3">
        <v>5.1127098000000002</v>
      </c>
      <c r="AR993" s="3">
        <v>5.0820387</v>
      </c>
      <c r="AS993" s="3">
        <v>5.0514855000000001</v>
      </c>
      <c r="AT993" s="3">
        <v>5.0210594000000004</v>
      </c>
      <c r="AU993" s="3">
        <v>4.9907700999999998</v>
      </c>
      <c r="AV993" s="3">
        <v>4.9606269999999997</v>
      </c>
      <c r="AW993" s="3">
        <v>4.9306396000000001</v>
      </c>
      <c r="AX993" s="3">
        <v>4.9008171999999997</v>
      </c>
      <c r="AY993" s="3">
        <v>4.8711694999999997</v>
      </c>
      <c r="AZ993" s="3">
        <v>4.8417057000000003</v>
      </c>
      <c r="BA993" s="3">
        <v>4.8124389000000001</v>
      </c>
      <c r="BB993" s="3">
        <v>4.7833987000000002</v>
      </c>
      <c r="BC993" s="3">
        <v>4.7546197000000001</v>
      </c>
      <c r="BD993" s="3">
        <v>4.7261367999999999</v>
      </c>
      <c r="BE993" s="3">
        <v>4.6979844999999996</v>
      </c>
      <c r="BF993" s="3">
        <v>4.6701975999999998</v>
      </c>
      <c r="BG993" s="3">
        <v>4.6428108999999997</v>
      </c>
      <c r="BH993" s="3">
        <v>4.6158590000000004</v>
      </c>
      <c r="BI993" s="3">
        <v>4.5893766999999999</v>
      </c>
      <c r="BJ993" s="3">
        <v>4.5633986000000002</v>
      </c>
      <c r="BK993" s="3">
        <v>4.5379595000000004</v>
      </c>
      <c r="BL993" s="3">
        <v>4.5130941</v>
      </c>
      <c r="BM993" s="3">
        <v>4.3771089999999999</v>
      </c>
      <c r="BN993" s="3">
        <v>4.2657669</v>
      </c>
    </row>
    <row r="994" spans="1:66" x14ac:dyDescent="0.35">
      <c r="A994" s="5">
        <f t="shared" si="15"/>
        <v>44846</v>
      </c>
      <c r="B994" t="s">
        <v>2388</v>
      </c>
      <c r="C994" s="2">
        <v>2.25</v>
      </c>
      <c r="D994" s="2">
        <v>2.1859999999999999</v>
      </c>
      <c r="E994" s="3">
        <v>2.9848097</v>
      </c>
      <c r="F994" s="3">
        <v>3.7135967000000001</v>
      </c>
      <c r="G994" s="3">
        <v>4.3291918999999996</v>
      </c>
      <c r="H994" s="3">
        <v>4.8131180999999996</v>
      </c>
      <c r="I994" s="3">
        <v>5.1708388000000003</v>
      </c>
      <c r="J994" s="3">
        <v>5.4134096999999999</v>
      </c>
      <c r="K994" s="3">
        <v>5.5576205999999999</v>
      </c>
      <c r="L994" s="3">
        <v>5.6313066999999997</v>
      </c>
      <c r="M994" s="3">
        <v>5.6612229000000003</v>
      </c>
      <c r="N994" s="3">
        <v>5.6679215000000003</v>
      </c>
      <c r="O994" s="3">
        <v>5.6641209000000003</v>
      </c>
      <c r="P994" s="3">
        <v>5.6557167000000002</v>
      </c>
      <c r="Q994" s="3">
        <v>5.6448523000000002</v>
      </c>
      <c r="R994" s="3">
        <v>5.6319254000000001</v>
      </c>
      <c r="S994" s="3">
        <v>5.6170232999999996</v>
      </c>
      <c r="T994" s="3">
        <v>5.6002337999999998</v>
      </c>
      <c r="U994" s="3">
        <v>5.5816442000000004</v>
      </c>
      <c r="V994" s="3">
        <v>5.5613422999999997</v>
      </c>
      <c r="W994" s="3">
        <v>5.5394658000000003</v>
      </c>
      <c r="X994" s="3">
        <v>5.5163633000000001</v>
      </c>
      <c r="Y994" s="3">
        <v>5.4924390000000001</v>
      </c>
      <c r="Z994" s="3">
        <v>5.4680970999999996</v>
      </c>
      <c r="AA994" s="3">
        <v>5.4437414999999998</v>
      </c>
      <c r="AB994" s="3">
        <v>5.4197763999999999</v>
      </c>
      <c r="AC994" s="3">
        <v>5.3965468999999997</v>
      </c>
      <c r="AD994" s="3">
        <v>5.3740800000000002</v>
      </c>
      <c r="AE994" s="3">
        <v>5.3522958000000003</v>
      </c>
      <c r="AF994" s="3">
        <v>5.3311146999999997</v>
      </c>
      <c r="AG994" s="3">
        <v>5.3104569000000001</v>
      </c>
      <c r="AH994" s="3">
        <v>5.2902427000000003</v>
      </c>
      <c r="AI994" s="3">
        <v>5.2703921999999999</v>
      </c>
      <c r="AJ994" s="3">
        <v>5.2508258000000003</v>
      </c>
      <c r="AK994" s="3">
        <v>5.2314635999999997</v>
      </c>
      <c r="AL994" s="3">
        <v>5.2122260000000002</v>
      </c>
      <c r="AM994" s="3">
        <v>5.1930331000000001</v>
      </c>
      <c r="AN994" s="3">
        <v>5.1738051</v>
      </c>
      <c r="AO994" s="3">
        <v>5.1544704000000001</v>
      </c>
      <c r="AP994" s="3">
        <v>5.1349964000000003</v>
      </c>
      <c r="AQ994" s="3">
        <v>5.1153624000000004</v>
      </c>
      <c r="AR994" s="3">
        <v>5.0955475999999997</v>
      </c>
      <c r="AS994" s="3">
        <v>5.0755315000000003</v>
      </c>
      <c r="AT994" s="3">
        <v>5.0552934</v>
      </c>
      <c r="AU994" s="3">
        <v>5.0348125000000001</v>
      </c>
      <c r="AV994" s="3">
        <v>5.0140681999999996</v>
      </c>
      <c r="AW994" s="3">
        <v>4.9930399000000003</v>
      </c>
      <c r="AX994" s="3">
        <v>4.9717067999999998</v>
      </c>
      <c r="AY994" s="3">
        <v>4.9500482000000003</v>
      </c>
      <c r="AZ994" s="3">
        <v>4.9280435999999996</v>
      </c>
      <c r="BA994" s="3">
        <v>4.9056841000000002</v>
      </c>
      <c r="BB994" s="3">
        <v>4.8830143000000001</v>
      </c>
      <c r="BC994" s="3">
        <v>4.860093</v>
      </c>
      <c r="BD994" s="3">
        <v>4.8369792</v>
      </c>
      <c r="BE994" s="3">
        <v>4.8137318999999996</v>
      </c>
      <c r="BF994" s="3">
        <v>4.7904100999999999</v>
      </c>
      <c r="BG994" s="3">
        <v>4.7670726999999999</v>
      </c>
      <c r="BH994" s="3">
        <v>4.7437788000000003</v>
      </c>
      <c r="BI994" s="3">
        <v>4.7205871999999998</v>
      </c>
      <c r="BJ994" s="3">
        <v>4.6975569999999998</v>
      </c>
      <c r="BK994" s="3">
        <v>4.6747471999999997</v>
      </c>
      <c r="BL994" s="3">
        <v>4.6522167000000003</v>
      </c>
      <c r="BM994" s="3">
        <v>4.5251086999999997</v>
      </c>
      <c r="BN994" s="3">
        <v>4.4162863999999997</v>
      </c>
    </row>
    <row r="995" spans="1:66" x14ac:dyDescent="0.35">
      <c r="A995" s="5">
        <f t="shared" si="15"/>
        <v>44847</v>
      </c>
      <c r="B995" t="s">
        <v>2389</v>
      </c>
      <c r="C995" s="2">
        <v>2.25</v>
      </c>
      <c r="D995" s="2">
        <v>2.1861999999999999</v>
      </c>
      <c r="E995" s="3">
        <v>2.9694522000000001</v>
      </c>
      <c r="F995" s="3">
        <v>3.6939155000000001</v>
      </c>
      <c r="G995" s="3">
        <v>4.2992178000000001</v>
      </c>
      <c r="H995" s="3">
        <v>4.7661429999999996</v>
      </c>
      <c r="I995" s="3">
        <v>5.1065877999999998</v>
      </c>
      <c r="J995" s="3">
        <v>5.3335903</v>
      </c>
      <c r="K995" s="3">
        <v>5.4652836000000002</v>
      </c>
      <c r="L995" s="3">
        <v>5.5260249999999997</v>
      </c>
      <c r="M995" s="3">
        <v>5.5414281000000001</v>
      </c>
      <c r="N995" s="3">
        <v>5.5316049999999999</v>
      </c>
      <c r="O995" s="3">
        <v>5.5098282999999997</v>
      </c>
      <c r="P995" s="3">
        <v>5.4833926999999996</v>
      </c>
      <c r="Q995" s="3">
        <v>5.4566283000000002</v>
      </c>
      <c r="R995" s="3">
        <v>5.4302790999999999</v>
      </c>
      <c r="S995" s="3">
        <v>5.4042475999999997</v>
      </c>
      <c r="T995" s="3">
        <v>5.3784361000000001</v>
      </c>
      <c r="U995" s="3">
        <v>5.3527471999999996</v>
      </c>
      <c r="V995" s="3">
        <v>5.3270834000000002</v>
      </c>
      <c r="W995" s="3">
        <v>5.3013705</v>
      </c>
      <c r="X995" s="3">
        <v>5.2756533000000001</v>
      </c>
      <c r="Y995" s="3">
        <v>5.2500147999999998</v>
      </c>
      <c r="Z995" s="3">
        <v>5.2245381000000002</v>
      </c>
      <c r="AA995" s="3">
        <v>5.1993062999999999</v>
      </c>
      <c r="AB995" s="3">
        <v>5.1744022999999997</v>
      </c>
      <c r="AC995" s="3">
        <v>5.1498932000000002</v>
      </c>
      <c r="AD995" s="3">
        <v>5.1257679999999999</v>
      </c>
      <c r="AE995" s="3">
        <v>5.1019920000000001</v>
      </c>
      <c r="AF995" s="3">
        <v>5.0785305000000003</v>
      </c>
      <c r="AG995" s="3">
        <v>5.0553489000000003</v>
      </c>
      <c r="AH995" s="3">
        <v>5.0324122999999998</v>
      </c>
      <c r="AI995" s="3">
        <v>5.0096862</v>
      </c>
      <c r="AJ995" s="3">
        <v>4.9871357999999999</v>
      </c>
      <c r="AK995" s="3">
        <v>4.9647264</v>
      </c>
      <c r="AL995" s="3">
        <v>4.9424234</v>
      </c>
      <c r="AM995" s="3">
        <v>4.9201920000000001</v>
      </c>
      <c r="AN995" s="3">
        <v>4.8979974999999998</v>
      </c>
      <c r="AO995" s="3">
        <v>4.8758071000000003</v>
      </c>
      <c r="AP995" s="3">
        <v>4.8535966999999998</v>
      </c>
      <c r="AQ995" s="3">
        <v>4.8313442999999996</v>
      </c>
      <c r="AR995" s="3">
        <v>4.8090282000000002</v>
      </c>
      <c r="AS995" s="3">
        <v>4.7866263</v>
      </c>
      <c r="AT995" s="3">
        <v>4.7641169000000003</v>
      </c>
      <c r="AU995" s="3">
        <v>4.7414779999999999</v>
      </c>
      <c r="AV995" s="3">
        <v>4.7186877999999997</v>
      </c>
      <c r="AW995" s="3">
        <v>4.6957244999999999</v>
      </c>
      <c r="AX995" s="3">
        <v>4.6725661000000001</v>
      </c>
      <c r="AY995" s="3">
        <v>4.6491907000000001</v>
      </c>
      <c r="AZ995" s="3">
        <v>4.6255765999999996</v>
      </c>
      <c r="BA995" s="3">
        <v>4.6017123</v>
      </c>
      <c r="BB995" s="3">
        <v>4.5776326999999997</v>
      </c>
      <c r="BC995" s="3">
        <v>4.5533856000000004</v>
      </c>
      <c r="BD995" s="3">
        <v>4.5290185999999997</v>
      </c>
      <c r="BE995" s="3">
        <v>4.5045795000000002</v>
      </c>
      <c r="BF995" s="3">
        <v>4.4801159000000004</v>
      </c>
      <c r="BG995" s="3">
        <v>4.4556756000000002</v>
      </c>
      <c r="BH995" s="3">
        <v>4.4313063000000001</v>
      </c>
      <c r="BI995" s="3">
        <v>4.4070556999999999</v>
      </c>
      <c r="BJ995" s="3">
        <v>4.3829713999999997</v>
      </c>
      <c r="BK995" s="3">
        <v>4.3591011999999996</v>
      </c>
      <c r="BL995" s="3">
        <v>4.3354929000000002</v>
      </c>
      <c r="BM995" s="3">
        <v>4.2014709000000003</v>
      </c>
      <c r="BN995" s="3">
        <v>4.0856152000000003</v>
      </c>
    </row>
    <row r="996" spans="1:66" x14ac:dyDescent="0.35">
      <c r="A996" s="5">
        <f t="shared" si="15"/>
        <v>44848</v>
      </c>
      <c r="B996" t="s">
        <v>2390</v>
      </c>
      <c r="C996" s="2">
        <v>2.25</v>
      </c>
      <c r="D996" s="2">
        <v>2.1844000000000001</v>
      </c>
      <c r="E996" s="3">
        <v>2.9635750000000001</v>
      </c>
      <c r="F996" s="3">
        <v>3.6733229000000001</v>
      </c>
      <c r="G996" s="3">
        <v>4.2731450999999998</v>
      </c>
      <c r="H996" s="3">
        <v>4.7357996</v>
      </c>
      <c r="I996" s="3">
        <v>5.0747849</v>
      </c>
      <c r="J996" s="3">
        <v>5.3060431000000001</v>
      </c>
      <c r="K996" s="3">
        <v>5.4477703000000002</v>
      </c>
      <c r="L996" s="3">
        <v>5.5232112999999998</v>
      </c>
      <c r="M996" s="3">
        <v>5.5558861000000004</v>
      </c>
      <c r="N996" s="3">
        <v>5.5640578999999999</v>
      </c>
      <c r="O996" s="3">
        <v>5.5593026999999999</v>
      </c>
      <c r="P996" s="3">
        <v>5.5478094000000002</v>
      </c>
      <c r="Q996" s="3">
        <v>5.5321309999999997</v>
      </c>
      <c r="R996" s="3">
        <v>5.5132032999999998</v>
      </c>
      <c r="S996" s="3">
        <v>5.4916710000000002</v>
      </c>
      <c r="T996" s="3">
        <v>5.4681791000000004</v>
      </c>
      <c r="U996" s="3">
        <v>5.4433723000000001</v>
      </c>
      <c r="V996" s="3">
        <v>5.4178953999999999</v>
      </c>
      <c r="W996" s="3">
        <v>5.3923227000000002</v>
      </c>
      <c r="X996" s="3">
        <v>5.3669016999999997</v>
      </c>
      <c r="Y996" s="3">
        <v>5.3417851000000001</v>
      </c>
      <c r="Z996" s="3">
        <v>5.3171257000000001</v>
      </c>
      <c r="AA996" s="3">
        <v>5.2930761000000004</v>
      </c>
      <c r="AB996" s="3">
        <v>5.2697890999999997</v>
      </c>
      <c r="AC996" s="3">
        <v>5.2473784999999999</v>
      </c>
      <c r="AD996" s="3">
        <v>5.2257864999999999</v>
      </c>
      <c r="AE996" s="3">
        <v>5.2049079999999996</v>
      </c>
      <c r="AF996" s="3">
        <v>5.1846376000000003</v>
      </c>
      <c r="AG996" s="3">
        <v>5.1648702999999996</v>
      </c>
      <c r="AH996" s="3">
        <v>5.1455007000000004</v>
      </c>
      <c r="AI996" s="3">
        <v>5.1264237000000001</v>
      </c>
      <c r="AJ996" s="3">
        <v>5.1075340999999996</v>
      </c>
      <c r="AK996" s="3">
        <v>5.0887266999999996</v>
      </c>
      <c r="AL996" s="3">
        <v>5.0698962999999999</v>
      </c>
      <c r="AM996" s="3">
        <v>5.0509377000000004</v>
      </c>
      <c r="AN996" s="3">
        <v>5.0317455999999998</v>
      </c>
      <c r="AO996" s="3">
        <v>5.0122308999999996</v>
      </c>
      <c r="AP996" s="3">
        <v>4.9923742999999998</v>
      </c>
      <c r="AQ996" s="3">
        <v>4.9721764000000004</v>
      </c>
      <c r="AR996" s="3">
        <v>4.9516375000000004</v>
      </c>
      <c r="AS996" s="3">
        <v>4.9307578999999997</v>
      </c>
      <c r="AT996" s="3">
        <v>4.9095379000000001</v>
      </c>
      <c r="AU996" s="3">
        <v>4.8879780000000004</v>
      </c>
      <c r="AV996" s="3">
        <v>4.8660785000000004</v>
      </c>
      <c r="AW996" s="3">
        <v>4.8438395999999999</v>
      </c>
      <c r="AX996" s="3">
        <v>4.8212618999999997</v>
      </c>
      <c r="AY996" s="3">
        <v>4.7983456000000002</v>
      </c>
      <c r="AZ996" s="3">
        <v>4.7750909999999998</v>
      </c>
      <c r="BA996" s="3">
        <v>4.7515070000000001</v>
      </c>
      <c r="BB996" s="3">
        <v>4.7276392999999999</v>
      </c>
      <c r="BC996" s="3">
        <v>4.7035438000000003</v>
      </c>
      <c r="BD996" s="3">
        <v>4.6792765000000003</v>
      </c>
      <c r="BE996" s="3">
        <v>4.6548933999999997</v>
      </c>
      <c r="BF996" s="3">
        <v>4.6304505000000002</v>
      </c>
      <c r="BG996" s="3">
        <v>4.6060036999999996</v>
      </c>
      <c r="BH996" s="3">
        <v>4.5816089</v>
      </c>
      <c r="BI996" s="3">
        <v>4.5573223</v>
      </c>
      <c r="BJ996" s="3">
        <v>4.5331996999999999</v>
      </c>
      <c r="BK996" s="3">
        <v>4.5092971000000004</v>
      </c>
      <c r="BL996" s="3">
        <v>4.4856704000000001</v>
      </c>
      <c r="BM996" s="3">
        <v>4.3520542999999998</v>
      </c>
      <c r="BN996" s="3">
        <v>4.2377094</v>
      </c>
    </row>
    <row r="997" spans="1:66" x14ac:dyDescent="0.35">
      <c r="A997" s="5">
        <f t="shared" si="15"/>
        <v>44851</v>
      </c>
      <c r="B997" t="s">
        <v>2391</v>
      </c>
      <c r="C997" s="2">
        <v>2.25</v>
      </c>
      <c r="D997" s="2">
        <v>2.1839</v>
      </c>
      <c r="E997" s="3">
        <v>3.0272917000000001</v>
      </c>
      <c r="F997" s="3">
        <v>3.5298585999999998</v>
      </c>
      <c r="G997" s="3">
        <v>4.0138585999999998</v>
      </c>
      <c r="H997" s="3">
        <v>4.4215127000000001</v>
      </c>
      <c r="I997" s="3">
        <v>4.7331460999999999</v>
      </c>
      <c r="J997" s="3">
        <v>4.9490091999999999</v>
      </c>
      <c r="K997" s="3">
        <v>5.0815041000000001</v>
      </c>
      <c r="L997" s="3">
        <v>5.1524165999999996</v>
      </c>
      <c r="M997" s="3">
        <v>5.1823436000000003</v>
      </c>
      <c r="N997" s="3">
        <v>5.1883241</v>
      </c>
      <c r="O997" s="3">
        <v>5.1798785000000001</v>
      </c>
      <c r="P997" s="3">
        <v>5.1622450000000004</v>
      </c>
      <c r="Q997" s="3">
        <v>5.1388077000000001</v>
      </c>
      <c r="R997" s="3">
        <v>5.1110113000000004</v>
      </c>
      <c r="S997" s="3">
        <v>5.0798727000000001</v>
      </c>
      <c r="T997" s="3">
        <v>5.0464086000000004</v>
      </c>
      <c r="U997" s="3">
        <v>5.0116357000000002</v>
      </c>
      <c r="V997" s="3">
        <v>4.9765708000000002</v>
      </c>
      <c r="W997" s="3">
        <v>4.9421008000000004</v>
      </c>
      <c r="X997" s="3">
        <v>4.9085675999999996</v>
      </c>
      <c r="Y997" s="3">
        <v>4.8761698999999998</v>
      </c>
      <c r="Z997" s="3">
        <v>4.8451065</v>
      </c>
      <c r="AA997" s="3">
        <v>4.8155760000000001</v>
      </c>
      <c r="AB997" s="3">
        <v>4.7877770999999996</v>
      </c>
      <c r="AC997" s="3">
        <v>4.7618514000000003</v>
      </c>
      <c r="AD997" s="3">
        <v>4.7376886000000002</v>
      </c>
      <c r="AE997" s="3">
        <v>4.7151087</v>
      </c>
      <c r="AF997" s="3">
        <v>4.6939318999999999</v>
      </c>
      <c r="AG997" s="3">
        <v>4.6739781000000002</v>
      </c>
      <c r="AH997" s="3">
        <v>4.6550675999999998</v>
      </c>
      <c r="AI997" s="3">
        <v>4.6370202999999997</v>
      </c>
      <c r="AJ997" s="3">
        <v>4.6196562999999999</v>
      </c>
      <c r="AK997" s="3">
        <v>4.6027958</v>
      </c>
      <c r="AL997" s="3">
        <v>4.5862588999999998</v>
      </c>
      <c r="AM997" s="3">
        <v>4.5698654999999997</v>
      </c>
      <c r="AN997" s="3">
        <v>4.5534357999999999</v>
      </c>
      <c r="AO997" s="3">
        <v>4.5368154000000001</v>
      </c>
      <c r="AP997" s="3">
        <v>4.5199625000000001</v>
      </c>
      <c r="AQ997" s="3">
        <v>4.5028663</v>
      </c>
      <c r="AR997" s="3">
        <v>4.4855159000000002</v>
      </c>
      <c r="AS997" s="3">
        <v>4.4679007999999998</v>
      </c>
      <c r="AT997" s="3">
        <v>4.4500101000000001</v>
      </c>
      <c r="AU997" s="3">
        <v>4.4318331000000004</v>
      </c>
      <c r="AV997" s="3">
        <v>4.4133589000000004</v>
      </c>
      <c r="AW997" s="3">
        <v>4.3945768999999997</v>
      </c>
      <c r="AX997" s="3">
        <v>4.3754762999999999</v>
      </c>
      <c r="AY997" s="3">
        <v>4.3560463</v>
      </c>
      <c r="AZ997" s="3">
        <v>4.3362762000000004</v>
      </c>
      <c r="BA997" s="3">
        <v>4.3161635</v>
      </c>
      <c r="BB997" s="3">
        <v>4.2957507000000001</v>
      </c>
      <c r="BC997" s="3">
        <v>4.2750953999999997</v>
      </c>
      <c r="BD997" s="3">
        <v>4.2542552000000002</v>
      </c>
      <c r="BE997" s="3">
        <v>4.2332875000000003</v>
      </c>
      <c r="BF997" s="3">
        <v>4.21225</v>
      </c>
      <c r="BG997" s="3">
        <v>4.1912000999999997</v>
      </c>
      <c r="BH997" s="3">
        <v>4.1701955000000002</v>
      </c>
      <c r="BI997" s="3">
        <v>4.1492937000000003</v>
      </c>
      <c r="BJ997" s="3">
        <v>4.1285523</v>
      </c>
      <c r="BK997" s="3">
        <v>4.1080287000000002</v>
      </c>
      <c r="BL997" s="3">
        <v>4.0877806000000003</v>
      </c>
      <c r="BM997" s="3">
        <v>3.9741719</v>
      </c>
      <c r="BN997" s="3">
        <v>3.8780663999999998</v>
      </c>
    </row>
    <row r="998" spans="1:66" x14ac:dyDescent="0.35">
      <c r="A998" s="5">
        <f t="shared" si="15"/>
        <v>44852</v>
      </c>
      <c r="B998" t="s">
        <v>2392</v>
      </c>
      <c r="C998" s="2">
        <v>2.25</v>
      </c>
      <c r="D998" s="2">
        <v>2.1842000000000001</v>
      </c>
      <c r="E998" s="3">
        <v>3.0979467000000001</v>
      </c>
      <c r="F998" s="3">
        <v>3.5918421</v>
      </c>
      <c r="G998" s="3">
        <v>4.0842073000000001</v>
      </c>
      <c r="H998" s="3">
        <v>4.5022916999999998</v>
      </c>
      <c r="I998" s="3">
        <v>4.8172712999999998</v>
      </c>
      <c r="J998" s="3">
        <v>5.0344696000000004</v>
      </c>
      <c r="K998" s="3">
        <v>5.1652794000000002</v>
      </c>
      <c r="L998" s="3">
        <v>5.2335943</v>
      </c>
      <c r="M998" s="3">
        <v>5.2608351999999998</v>
      </c>
      <c r="N998" s="3">
        <v>5.2638641000000002</v>
      </c>
      <c r="O998" s="3">
        <v>5.2527400999999996</v>
      </c>
      <c r="P998" s="3">
        <v>5.2331234000000002</v>
      </c>
      <c r="Q998" s="3">
        <v>5.2082037000000003</v>
      </c>
      <c r="R998" s="3">
        <v>5.1793206999999999</v>
      </c>
      <c r="S998" s="3">
        <v>5.1474443000000001</v>
      </c>
      <c r="T998" s="3">
        <v>5.1135441999999998</v>
      </c>
      <c r="U998" s="3">
        <v>5.0785903000000001</v>
      </c>
      <c r="V998" s="3">
        <v>5.0435524000000003</v>
      </c>
      <c r="W998" s="3">
        <v>5.0092454999999996</v>
      </c>
      <c r="X998" s="3">
        <v>4.9758342999999998</v>
      </c>
      <c r="Y998" s="3">
        <v>4.9433123999999999</v>
      </c>
      <c r="Z998" s="3">
        <v>4.9116735</v>
      </c>
      <c r="AA998" s="3">
        <v>4.8809113999999996</v>
      </c>
      <c r="AB998" s="3">
        <v>4.8510198000000004</v>
      </c>
      <c r="AC998" s="3">
        <v>4.8219861000000002</v>
      </c>
      <c r="AD998" s="3">
        <v>4.7937702</v>
      </c>
      <c r="AE998" s="3">
        <v>4.7663241000000003</v>
      </c>
      <c r="AF998" s="3">
        <v>4.7396000000000003</v>
      </c>
      <c r="AG998" s="3">
        <v>4.7135499000000003</v>
      </c>
      <c r="AH998" s="3">
        <v>4.6881260999999999</v>
      </c>
      <c r="AI998" s="3">
        <v>4.6632806999999996</v>
      </c>
      <c r="AJ998" s="3">
        <v>4.6389658000000003</v>
      </c>
      <c r="AK998" s="3">
        <v>4.6151334999999998</v>
      </c>
      <c r="AL998" s="3">
        <v>4.591736</v>
      </c>
      <c r="AM998" s="3">
        <v>4.5687252999999997</v>
      </c>
      <c r="AN998" s="3">
        <v>4.5460536999999999</v>
      </c>
      <c r="AO998" s="3">
        <v>4.5236767000000002</v>
      </c>
      <c r="AP998" s="3">
        <v>4.5015687</v>
      </c>
      <c r="AQ998" s="3">
        <v>4.4797101000000001</v>
      </c>
      <c r="AR998" s="3">
        <v>4.4580818000000004</v>
      </c>
      <c r="AS998" s="3">
        <v>4.4366640999999998</v>
      </c>
      <c r="AT998" s="3">
        <v>4.4154378000000003</v>
      </c>
      <c r="AU998" s="3">
        <v>4.3943833999999997</v>
      </c>
      <c r="AV998" s="3">
        <v>4.3734814999999996</v>
      </c>
      <c r="AW998" s="3">
        <v>4.3527127999999999</v>
      </c>
      <c r="AX998" s="3">
        <v>4.3320578000000003</v>
      </c>
      <c r="AY998" s="3">
        <v>4.3114970000000001</v>
      </c>
      <c r="AZ998" s="3">
        <v>4.2910113000000001</v>
      </c>
      <c r="BA998" s="3">
        <v>4.2705864</v>
      </c>
      <c r="BB998" s="3">
        <v>4.2502347</v>
      </c>
      <c r="BC998" s="3">
        <v>4.2299764</v>
      </c>
      <c r="BD998" s="3">
        <v>4.2098319999999996</v>
      </c>
      <c r="BE998" s="3">
        <v>4.1898216000000001</v>
      </c>
      <c r="BF998" s="3">
        <v>4.1699655</v>
      </c>
      <c r="BG998" s="3">
        <v>4.1502841000000004</v>
      </c>
      <c r="BH998" s="3">
        <v>4.1307976000000002</v>
      </c>
      <c r="BI998" s="3">
        <v>4.1115263000000004</v>
      </c>
      <c r="BJ998" s="3">
        <v>4.0924905000000003</v>
      </c>
      <c r="BK998" s="3">
        <v>4.0737104999999998</v>
      </c>
      <c r="BL998" s="3">
        <v>4.0552066</v>
      </c>
      <c r="BM998" s="3">
        <v>3.9511452</v>
      </c>
      <c r="BN998" s="3">
        <v>3.8623080999999999</v>
      </c>
    </row>
    <row r="999" spans="1:66" x14ac:dyDescent="0.35">
      <c r="A999" s="5">
        <f t="shared" si="15"/>
        <v>44853</v>
      </c>
      <c r="B999" t="s">
        <v>2393</v>
      </c>
      <c r="C999" s="2">
        <v>2.25</v>
      </c>
      <c r="D999" s="2">
        <v>2.1842999999999999</v>
      </c>
      <c r="E999" s="3">
        <v>3.1013218</v>
      </c>
      <c r="F999" s="3">
        <v>3.5585178000000002</v>
      </c>
      <c r="G999" s="3">
        <v>4.0360046000000001</v>
      </c>
      <c r="H999" s="3">
        <v>4.4503833000000004</v>
      </c>
      <c r="I999" s="3">
        <v>4.7666588000000001</v>
      </c>
      <c r="J999" s="3">
        <v>4.9848125999999997</v>
      </c>
      <c r="K999" s="3">
        <v>5.1169693000000001</v>
      </c>
      <c r="L999" s="3">
        <v>5.1865702000000002</v>
      </c>
      <c r="M999" s="3">
        <v>5.2156808000000003</v>
      </c>
      <c r="N999" s="3">
        <v>5.2205630999999997</v>
      </c>
      <c r="O999" s="3">
        <v>5.2113839999999998</v>
      </c>
      <c r="P999" s="3">
        <v>5.1931767999999998</v>
      </c>
      <c r="Q999" s="3">
        <v>5.1684980999999999</v>
      </c>
      <c r="R999" s="3">
        <v>5.1385918999999998</v>
      </c>
      <c r="S999" s="3">
        <v>5.1044431000000001</v>
      </c>
      <c r="T999" s="3">
        <v>5.0670365000000004</v>
      </c>
      <c r="U999" s="3">
        <v>5.0273569</v>
      </c>
      <c r="V999" s="3">
        <v>4.9863891000000002</v>
      </c>
      <c r="W999" s="3">
        <v>4.9450247999999997</v>
      </c>
      <c r="X999" s="3">
        <v>4.9037644</v>
      </c>
      <c r="Y999" s="3">
        <v>4.8630053000000002</v>
      </c>
      <c r="Z999" s="3">
        <v>4.8231453000000002</v>
      </c>
      <c r="AA999" s="3">
        <v>4.7845817999999998</v>
      </c>
      <c r="AB999" s="3">
        <v>4.7477124999999996</v>
      </c>
      <c r="AC999" s="3">
        <v>4.7128684999999999</v>
      </c>
      <c r="AD999" s="3">
        <v>4.6800237999999998</v>
      </c>
      <c r="AE999" s="3">
        <v>4.6490327000000002</v>
      </c>
      <c r="AF999" s="3">
        <v>4.6197493999999999</v>
      </c>
      <c r="AG999" s="3">
        <v>4.5920278999999997</v>
      </c>
      <c r="AH999" s="3">
        <v>4.5657224999999997</v>
      </c>
      <c r="AI999" s="3">
        <v>4.5406871999999998</v>
      </c>
      <c r="AJ999" s="3">
        <v>4.5167763000000001</v>
      </c>
      <c r="AK999" s="3">
        <v>4.4938437999999996</v>
      </c>
      <c r="AL999" s="3">
        <v>4.4717440000000002</v>
      </c>
      <c r="AM999" s="3">
        <v>4.4503310000000003</v>
      </c>
      <c r="AN999" s="3">
        <v>4.4294589000000002</v>
      </c>
      <c r="AO999" s="3">
        <v>4.4089951000000003</v>
      </c>
      <c r="AP999" s="3">
        <v>4.388871</v>
      </c>
      <c r="AQ999" s="3">
        <v>4.3690378000000001</v>
      </c>
      <c r="AR999" s="3">
        <v>4.3494463999999997</v>
      </c>
      <c r="AS999" s="3">
        <v>4.3300478</v>
      </c>
      <c r="AT999" s="3">
        <v>4.3107932</v>
      </c>
      <c r="AU999" s="3">
        <v>4.2916335999999999</v>
      </c>
      <c r="AV999" s="3">
        <v>4.2725200000000001</v>
      </c>
      <c r="AW999" s="3">
        <v>4.2534035000000001</v>
      </c>
      <c r="AX999" s="3">
        <v>4.234235</v>
      </c>
      <c r="AY999" s="3">
        <v>4.2149656999999996</v>
      </c>
      <c r="AZ999" s="3">
        <v>4.1955466000000001</v>
      </c>
      <c r="BA999" s="3">
        <v>4.1759414000000001</v>
      </c>
      <c r="BB999" s="3">
        <v>4.1561691999999999</v>
      </c>
      <c r="BC999" s="3">
        <v>4.1362648999999996</v>
      </c>
      <c r="BD999" s="3">
        <v>4.116263</v>
      </c>
      <c r="BE999" s="3">
        <v>4.0961983000000002</v>
      </c>
      <c r="BF999" s="3">
        <v>4.0761053</v>
      </c>
      <c r="BG999" s="3">
        <v>4.0560187000000001</v>
      </c>
      <c r="BH999" s="3">
        <v>4.0359731999999999</v>
      </c>
      <c r="BI999" s="3">
        <v>4.0160033999999998</v>
      </c>
      <c r="BJ999" s="3">
        <v>3.9961440000000001</v>
      </c>
      <c r="BK999" s="3">
        <v>3.9764297000000002</v>
      </c>
      <c r="BL999" s="3">
        <v>3.9568949999999998</v>
      </c>
      <c r="BM999" s="3">
        <v>3.8450356000000001</v>
      </c>
      <c r="BN999" s="3">
        <v>3.7461582</v>
      </c>
    </row>
    <row r="1000" spans="1:66" x14ac:dyDescent="0.35">
      <c r="A1000" s="5">
        <f t="shared" si="15"/>
        <v>44854</v>
      </c>
      <c r="B1000" t="s">
        <v>2394</v>
      </c>
      <c r="C1000" s="2">
        <v>2.25</v>
      </c>
      <c r="D1000" s="2">
        <v>2.1850999999999998</v>
      </c>
      <c r="E1000" s="3">
        <v>3.0954541999999998</v>
      </c>
      <c r="F1000" s="3">
        <v>3.5210685000000002</v>
      </c>
      <c r="G1000" s="3">
        <v>3.9787808</v>
      </c>
      <c r="H1000" s="3">
        <v>4.3848189</v>
      </c>
      <c r="I1000" s="3">
        <v>4.7015881000000004</v>
      </c>
      <c r="J1000" s="3">
        <v>4.9241777999999998</v>
      </c>
      <c r="K1000" s="3">
        <v>5.0652477999999999</v>
      </c>
      <c r="L1000" s="3">
        <v>5.1467948000000003</v>
      </c>
      <c r="M1000" s="3">
        <v>5.1901292000000003</v>
      </c>
      <c r="N1000" s="3">
        <v>5.2102994999999996</v>
      </c>
      <c r="O1000" s="3">
        <v>5.2162837</v>
      </c>
      <c r="P1000" s="3">
        <v>5.2124094999999997</v>
      </c>
      <c r="Q1000" s="3">
        <v>5.2005042000000001</v>
      </c>
      <c r="R1000" s="3">
        <v>5.1817038999999996</v>
      </c>
      <c r="S1000" s="3">
        <v>5.1570711999999999</v>
      </c>
      <c r="T1000" s="3">
        <v>5.1276688000000004</v>
      </c>
      <c r="U1000" s="3">
        <v>5.0945593999999996</v>
      </c>
      <c r="V1000" s="3">
        <v>5.0588056999999997</v>
      </c>
      <c r="W1000" s="3">
        <v>5.0214005999999998</v>
      </c>
      <c r="X1000" s="3">
        <v>4.9829799000000001</v>
      </c>
      <c r="Y1000" s="3">
        <v>4.9440653000000001</v>
      </c>
      <c r="Z1000" s="3">
        <v>4.9051783000000002</v>
      </c>
      <c r="AA1000" s="3">
        <v>4.8668407</v>
      </c>
      <c r="AB1000" s="3">
        <v>4.829574</v>
      </c>
      <c r="AC1000" s="3">
        <v>4.7938174</v>
      </c>
      <c r="AD1000" s="3">
        <v>4.7596084000000003</v>
      </c>
      <c r="AE1000" s="3">
        <v>4.7268622999999996</v>
      </c>
      <c r="AF1000" s="3">
        <v>4.6954941000000003</v>
      </c>
      <c r="AG1000" s="3">
        <v>4.6654191000000003</v>
      </c>
      <c r="AH1000" s="3">
        <v>4.6365524000000002</v>
      </c>
      <c r="AI1000" s="3">
        <v>4.6088092999999999</v>
      </c>
      <c r="AJ1000" s="3">
        <v>4.5821049</v>
      </c>
      <c r="AK1000" s="3">
        <v>4.5563544</v>
      </c>
      <c r="AL1000" s="3">
        <v>4.5314730000000001</v>
      </c>
      <c r="AM1000" s="3">
        <v>4.5073759000000004</v>
      </c>
      <c r="AN1000" s="3">
        <v>4.4839783000000004</v>
      </c>
      <c r="AO1000" s="3">
        <v>4.4611995000000002</v>
      </c>
      <c r="AP1000" s="3">
        <v>4.4389772000000001</v>
      </c>
      <c r="AQ1000" s="3">
        <v>4.4172542999999997</v>
      </c>
      <c r="AR1000" s="3">
        <v>4.3959733999999999</v>
      </c>
      <c r="AS1000" s="3">
        <v>4.3750774999999997</v>
      </c>
      <c r="AT1000" s="3">
        <v>4.3545091999999999</v>
      </c>
      <c r="AU1000" s="3">
        <v>4.3342115000000003</v>
      </c>
      <c r="AV1000" s="3">
        <v>4.314127</v>
      </c>
      <c r="AW1000" s="3">
        <v>4.2941985000000003</v>
      </c>
      <c r="AX1000" s="3">
        <v>4.2743688999999998</v>
      </c>
      <c r="AY1000" s="3">
        <v>4.2545808999999997</v>
      </c>
      <c r="AZ1000" s="3">
        <v>4.2347773000000002</v>
      </c>
      <c r="BA1000" s="3">
        <v>4.2149128999999999</v>
      </c>
      <c r="BB1000" s="3">
        <v>4.1949953000000004</v>
      </c>
      <c r="BC1000" s="3">
        <v>4.1750467999999996</v>
      </c>
      <c r="BD1000" s="3">
        <v>4.1550896000000002</v>
      </c>
      <c r="BE1000" s="3">
        <v>4.1351459000000004</v>
      </c>
      <c r="BF1000" s="3">
        <v>4.1152379999999997</v>
      </c>
      <c r="BG1000" s="3">
        <v>4.0953881000000001</v>
      </c>
      <c r="BH1000" s="3">
        <v>4.0756183999999998</v>
      </c>
      <c r="BI1000" s="3">
        <v>4.0559510999999997</v>
      </c>
      <c r="BJ1000" s="3">
        <v>4.0364085999999997</v>
      </c>
      <c r="BK1000" s="3">
        <v>4.0170130000000004</v>
      </c>
      <c r="BL1000" s="3">
        <v>3.9977865000000001</v>
      </c>
      <c r="BM1000" s="3">
        <v>3.8872781000000001</v>
      </c>
      <c r="BN1000" s="3">
        <v>3.7887829000000002</v>
      </c>
    </row>
    <row r="1001" spans="1:66" x14ac:dyDescent="0.35">
      <c r="A1001" s="5">
        <f t="shared" si="15"/>
        <v>44855</v>
      </c>
      <c r="B1001" t="s">
        <v>2395</v>
      </c>
      <c r="C1001" s="2">
        <v>2.25</v>
      </c>
      <c r="D1001" s="2">
        <v>2.1850000000000001</v>
      </c>
      <c r="E1001" s="3">
        <v>3.1189431999999999</v>
      </c>
      <c r="F1001" s="3">
        <v>3.5346251</v>
      </c>
      <c r="G1001" s="3">
        <v>3.9921563</v>
      </c>
      <c r="H1001" s="3">
        <v>4.4060607999999997</v>
      </c>
      <c r="I1001" s="3">
        <v>4.7338521</v>
      </c>
      <c r="J1001" s="3">
        <v>4.9681661000000004</v>
      </c>
      <c r="K1001" s="3">
        <v>5.1195541999999996</v>
      </c>
      <c r="L1001" s="3">
        <v>5.2091146000000004</v>
      </c>
      <c r="M1001" s="3">
        <v>5.2582898</v>
      </c>
      <c r="N1001" s="3">
        <v>5.2826200999999999</v>
      </c>
      <c r="O1001" s="3">
        <v>5.2906503000000003</v>
      </c>
      <c r="P1001" s="3">
        <v>5.2864022000000004</v>
      </c>
      <c r="Q1001" s="3">
        <v>5.2722968000000003</v>
      </c>
      <c r="R1001" s="3">
        <v>5.2500914999999999</v>
      </c>
      <c r="S1001" s="3">
        <v>5.2213997000000001</v>
      </c>
      <c r="T1001" s="3">
        <v>5.1878348000000001</v>
      </c>
      <c r="U1001" s="3">
        <v>5.1510100999999997</v>
      </c>
      <c r="V1001" s="3">
        <v>5.1125391000000002</v>
      </c>
      <c r="W1001" s="3">
        <v>5.0738507999999998</v>
      </c>
      <c r="X1001" s="3">
        <v>5.0355204000000002</v>
      </c>
      <c r="Y1001" s="3">
        <v>4.9978753999999999</v>
      </c>
      <c r="Z1001" s="3">
        <v>4.9612433999999999</v>
      </c>
      <c r="AA1001" s="3">
        <v>4.9259519000000003</v>
      </c>
      <c r="AB1001" s="3">
        <v>4.8923284999999996</v>
      </c>
      <c r="AC1001" s="3">
        <v>4.8606268999999998</v>
      </c>
      <c r="AD1001" s="3">
        <v>4.8307744000000001</v>
      </c>
      <c r="AE1001" s="3">
        <v>4.8026087999999998</v>
      </c>
      <c r="AF1001" s="3">
        <v>4.7759673999999999</v>
      </c>
      <c r="AG1001" s="3">
        <v>4.7506879</v>
      </c>
      <c r="AH1001" s="3">
        <v>4.7266076000000004</v>
      </c>
      <c r="AI1001" s="3">
        <v>4.7035643</v>
      </c>
      <c r="AJ1001" s="3">
        <v>4.6813953000000001</v>
      </c>
      <c r="AK1001" s="3">
        <v>4.6599380999999997</v>
      </c>
      <c r="AL1001" s="3">
        <v>4.6390304000000002</v>
      </c>
      <c r="AM1001" s="3">
        <v>4.6185096000000003</v>
      </c>
      <c r="AN1001" s="3">
        <v>4.5982133000000003</v>
      </c>
      <c r="AO1001" s="3">
        <v>4.5780003999999996</v>
      </c>
      <c r="AP1001" s="3">
        <v>4.5578249</v>
      </c>
      <c r="AQ1001" s="3">
        <v>4.5376669999999999</v>
      </c>
      <c r="AR1001" s="3">
        <v>4.5175067000000002</v>
      </c>
      <c r="AS1001" s="3">
        <v>4.4973242000000004</v>
      </c>
      <c r="AT1001" s="3">
        <v>4.4770997000000001</v>
      </c>
      <c r="AU1001" s="3">
        <v>4.4568132</v>
      </c>
      <c r="AV1001" s="3">
        <v>4.4364448999999997</v>
      </c>
      <c r="AW1001" s="3">
        <v>4.4159750000000004</v>
      </c>
      <c r="AX1001" s="3">
        <v>4.3953834000000001</v>
      </c>
      <c r="AY1001" s="3">
        <v>4.3746505000000004</v>
      </c>
      <c r="AZ1001" s="3">
        <v>4.3537562999999997</v>
      </c>
      <c r="BA1001" s="3">
        <v>4.3326903000000003</v>
      </c>
      <c r="BB1001" s="3">
        <v>4.3114838000000004</v>
      </c>
      <c r="BC1001" s="3">
        <v>4.2901790999999996</v>
      </c>
      <c r="BD1001" s="3">
        <v>4.2688189999999997</v>
      </c>
      <c r="BE1001" s="3">
        <v>4.2474461000000003</v>
      </c>
      <c r="BF1001" s="3">
        <v>4.2261027999999996</v>
      </c>
      <c r="BG1001" s="3">
        <v>4.2048318</v>
      </c>
      <c r="BH1001" s="3">
        <v>4.1836757000000002</v>
      </c>
      <c r="BI1001" s="3">
        <v>4.1626770000000004</v>
      </c>
      <c r="BJ1001" s="3">
        <v>4.1418784000000004</v>
      </c>
      <c r="BK1001" s="3">
        <v>4.1213224000000004</v>
      </c>
      <c r="BL1001" s="3">
        <v>4.1010514999999996</v>
      </c>
      <c r="BM1001" s="3">
        <v>3.9870895000000002</v>
      </c>
      <c r="BN1001" s="3">
        <v>3.8898139999999999</v>
      </c>
    </row>
    <row r="1002" spans="1:66" x14ac:dyDescent="0.35">
      <c r="A1002" s="5">
        <f t="shared" si="15"/>
        <v>44858</v>
      </c>
      <c r="B1002" t="s">
        <v>2396</v>
      </c>
      <c r="C1002" s="2">
        <v>2.25</v>
      </c>
      <c r="D1002" s="2">
        <v>2.1861999999999999</v>
      </c>
      <c r="E1002" s="3">
        <v>3.0795275000000002</v>
      </c>
      <c r="F1002" s="3">
        <v>3.4846045999999999</v>
      </c>
      <c r="G1002" s="3">
        <v>3.9048240999999999</v>
      </c>
      <c r="H1002" s="3">
        <v>4.2832008000000004</v>
      </c>
      <c r="I1002" s="3">
        <v>4.5843657000000002</v>
      </c>
      <c r="J1002" s="3">
        <v>4.8006770999999997</v>
      </c>
      <c r="K1002" s="3">
        <v>4.9407005000000002</v>
      </c>
      <c r="L1002" s="3">
        <v>5.0241275999999999</v>
      </c>
      <c r="M1002" s="3">
        <v>5.0695112</v>
      </c>
      <c r="N1002" s="3">
        <v>5.0918815000000004</v>
      </c>
      <c r="O1002" s="3">
        <v>5.0995961000000003</v>
      </c>
      <c r="P1002" s="3">
        <v>5.0971070000000003</v>
      </c>
      <c r="Q1002" s="3">
        <v>5.0864148</v>
      </c>
      <c r="R1002" s="3">
        <v>5.0686852</v>
      </c>
      <c r="S1002" s="3">
        <v>5.0450077000000002</v>
      </c>
      <c r="T1002" s="3">
        <v>5.0164714000000004</v>
      </c>
      <c r="U1002" s="3">
        <v>4.9841658000000004</v>
      </c>
      <c r="V1002" s="3">
        <v>4.9491801999999998</v>
      </c>
      <c r="W1002" s="3">
        <v>4.9124916000000001</v>
      </c>
      <c r="X1002" s="3">
        <v>4.874606</v>
      </c>
      <c r="Y1002" s="3">
        <v>4.8359055</v>
      </c>
      <c r="Z1002" s="3">
        <v>4.7967721000000001</v>
      </c>
      <c r="AA1002" s="3">
        <v>4.7575878999999999</v>
      </c>
      <c r="AB1002" s="3">
        <v>4.7187349999999997</v>
      </c>
      <c r="AC1002" s="3">
        <v>4.6805351999999996</v>
      </c>
      <c r="AD1002" s="3">
        <v>4.6430439000000003</v>
      </c>
      <c r="AE1002" s="3">
        <v>4.6062433</v>
      </c>
      <c r="AF1002" s="3">
        <v>4.5701153999999997</v>
      </c>
      <c r="AG1002" s="3">
        <v>4.5346422000000004</v>
      </c>
      <c r="AH1002" s="3">
        <v>4.4998059000000001</v>
      </c>
      <c r="AI1002" s="3">
        <v>4.4655883000000003</v>
      </c>
      <c r="AJ1002" s="3">
        <v>4.4319718000000003</v>
      </c>
      <c r="AK1002" s="3">
        <v>4.3989380999999996</v>
      </c>
      <c r="AL1002" s="3">
        <v>4.3664695</v>
      </c>
      <c r="AM1002" s="3">
        <v>4.3345479999999998</v>
      </c>
      <c r="AN1002" s="3">
        <v>4.3031556999999996</v>
      </c>
      <c r="AO1002" s="3">
        <v>4.2722753000000004</v>
      </c>
      <c r="AP1002" s="3">
        <v>4.2418931999999998</v>
      </c>
      <c r="AQ1002" s="3">
        <v>4.2119967000000003</v>
      </c>
      <c r="AR1002" s="3">
        <v>4.1825729999999997</v>
      </c>
      <c r="AS1002" s="3">
        <v>4.1536093999999997</v>
      </c>
      <c r="AT1002" s="3">
        <v>4.1250931</v>
      </c>
      <c r="AU1002" s="3">
        <v>4.0970114000000004</v>
      </c>
      <c r="AV1002" s="3">
        <v>4.0693514999999998</v>
      </c>
      <c r="AW1002" s="3">
        <v>4.0421008</v>
      </c>
      <c r="AX1002" s="3">
        <v>4.0152463999999997</v>
      </c>
      <c r="AY1002" s="3">
        <v>3.9887757000000001</v>
      </c>
      <c r="AZ1002" s="3">
        <v>3.9626758999999998</v>
      </c>
      <c r="BA1002" s="3">
        <v>3.9369380999999999</v>
      </c>
      <c r="BB1002" s="3">
        <v>3.9115738000000002</v>
      </c>
      <c r="BC1002" s="3">
        <v>3.8866014</v>
      </c>
      <c r="BD1002" s="3">
        <v>3.8620394</v>
      </c>
      <c r="BE1002" s="3">
        <v>3.8379063000000002</v>
      </c>
      <c r="BF1002" s="3">
        <v>3.8142204</v>
      </c>
      <c r="BG1002" s="3">
        <v>3.7910002</v>
      </c>
      <c r="BH1002" s="3">
        <v>3.7682641000000001</v>
      </c>
      <c r="BI1002" s="3">
        <v>3.7460306000000001</v>
      </c>
      <c r="BJ1002" s="3">
        <v>3.7243179999999998</v>
      </c>
      <c r="BK1002" s="3">
        <v>3.7031448999999999</v>
      </c>
      <c r="BL1002" s="3">
        <v>3.6825296999999999</v>
      </c>
      <c r="BM1002" s="3">
        <v>3.5711680000000001</v>
      </c>
      <c r="BN1002" s="3">
        <v>3.4819749</v>
      </c>
    </row>
    <row r="1003" spans="1:66" x14ac:dyDescent="0.35">
      <c r="A1003" s="5">
        <f t="shared" si="15"/>
        <v>44859</v>
      </c>
      <c r="B1003" t="s">
        <v>2397</v>
      </c>
      <c r="C1003" s="2">
        <v>2.25</v>
      </c>
      <c r="D1003" s="2">
        <v>2.1861999999999999</v>
      </c>
      <c r="E1003" s="3">
        <v>3.0874456000000001</v>
      </c>
      <c r="F1003" s="3">
        <v>3.5042531000000001</v>
      </c>
      <c r="G1003" s="3">
        <v>3.9129499000000001</v>
      </c>
      <c r="H1003" s="3">
        <v>4.2684879999999996</v>
      </c>
      <c r="I1003" s="3">
        <v>4.5419298000000001</v>
      </c>
      <c r="J1003" s="3">
        <v>4.7347052999999999</v>
      </c>
      <c r="K1003" s="3">
        <v>4.8557361999999999</v>
      </c>
      <c r="L1003" s="3">
        <v>4.9253381999999997</v>
      </c>
      <c r="M1003" s="3">
        <v>4.9620945000000001</v>
      </c>
      <c r="N1003" s="3">
        <v>4.9807854000000003</v>
      </c>
      <c r="O1003" s="3">
        <v>4.9903104000000003</v>
      </c>
      <c r="P1003" s="3">
        <v>4.9947609000000002</v>
      </c>
      <c r="Q1003" s="3">
        <v>4.9917176999999997</v>
      </c>
      <c r="R1003" s="3">
        <v>4.9809872000000004</v>
      </c>
      <c r="S1003" s="3">
        <v>4.9633910999999999</v>
      </c>
      <c r="T1003" s="3">
        <v>4.9397510000000002</v>
      </c>
      <c r="U1003" s="3">
        <v>4.9108885000000004</v>
      </c>
      <c r="V1003" s="3">
        <v>4.8776251999999998</v>
      </c>
      <c r="W1003" s="3">
        <v>4.8407904999999998</v>
      </c>
      <c r="X1003" s="3">
        <v>4.8012461000000002</v>
      </c>
      <c r="Y1003" s="3">
        <v>4.7598624000000003</v>
      </c>
      <c r="Z1003" s="3">
        <v>4.7175095999999996</v>
      </c>
      <c r="AA1003" s="3">
        <v>4.6750581000000002</v>
      </c>
      <c r="AB1003" s="3">
        <v>4.6333780000000004</v>
      </c>
      <c r="AC1003" s="3">
        <v>4.5931940999999998</v>
      </c>
      <c r="AD1003" s="3">
        <v>4.5545878000000002</v>
      </c>
      <c r="AE1003" s="3">
        <v>4.5174631999999999</v>
      </c>
      <c r="AF1003" s="3">
        <v>4.4817241000000001</v>
      </c>
      <c r="AG1003" s="3">
        <v>4.4472747000000004</v>
      </c>
      <c r="AH1003" s="3">
        <v>4.4140189999999997</v>
      </c>
      <c r="AI1003" s="3">
        <v>4.3818609999999998</v>
      </c>
      <c r="AJ1003" s="3">
        <v>4.3507046999999996</v>
      </c>
      <c r="AK1003" s="3">
        <v>4.3204542000000004</v>
      </c>
      <c r="AL1003" s="3">
        <v>4.2910133999999998</v>
      </c>
      <c r="AM1003" s="3">
        <v>4.2622865000000001</v>
      </c>
      <c r="AN1003" s="3">
        <v>4.2341772999999998</v>
      </c>
      <c r="AO1003" s="3">
        <v>4.2065976000000003</v>
      </c>
      <c r="AP1003" s="3">
        <v>4.1795001999999997</v>
      </c>
      <c r="AQ1003" s="3">
        <v>4.1528520000000002</v>
      </c>
      <c r="AR1003" s="3">
        <v>4.1266195999999997</v>
      </c>
      <c r="AS1003" s="3">
        <v>4.1007696999999999</v>
      </c>
      <c r="AT1003" s="3">
        <v>4.0752690999999999</v>
      </c>
      <c r="AU1003" s="3">
        <v>4.0500844999999996</v>
      </c>
      <c r="AV1003" s="3">
        <v>4.0251825999999999</v>
      </c>
      <c r="AW1003" s="3">
        <v>4.0005300999999998</v>
      </c>
      <c r="AX1003" s="3">
        <v>3.9760938000000001</v>
      </c>
      <c r="AY1003" s="3">
        <v>3.9518404</v>
      </c>
      <c r="AZ1003" s="3">
        <v>3.9277367000000001</v>
      </c>
      <c r="BA1003" s="3">
        <v>3.9037576999999999</v>
      </c>
      <c r="BB1003" s="3">
        <v>3.8799203000000002</v>
      </c>
      <c r="BC1003" s="3">
        <v>3.8562536999999999</v>
      </c>
      <c r="BD1003" s="3">
        <v>3.8327871999999998</v>
      </c>
      <c r="BE1003" s="3">
        <v>3.8095501000000001</v>
      </c>
      <c r="BF1003" s="3">
        <v>3.7865715999999998</v>
      </c>
      <c r="BG1003" s="3">
        <v>3.7638810999999999</v>
      </c>
      <c r="BH1003" s="3">
        <v>3.7415077000000001</v>
      </c>
      <c r="BI1003" s="3">
        <v>3.7194809000000002</v>
      </c>
      <c r="BJ1003" s="3">
        <v>3.6978298999999999</v>
      </c>
      <c r="BK1003" s="3">
        <v>3.6765838999999998</v>
      </c>
      <c r="BL1003" s="3">
        <v>3.6557723000000002</v>
      </c>
      <c r="BM1003" s="3">
        <v>3.5410506000000002</v>
      </c>
      <c r="BN1003" s="3">
        <v>3.4456234000000001</v>
      </c>
    </row>
    <row r="1004" spans="1:66" x14ac:dyDescent="0.35">
      <c r="A1004" s="5">
        <f t="shared" si="15"/>
        <v>44860</v>
      </c>
      <c r="B1004" t="s">
        <v>2398</v>
      </c>
      <c r="C1004" s="2">
        <v>2.25</v>
      </c>
      <c r="D1004" s="2">
        <v>2.1852</v>
      </c>
      <c r="E1004" s="3">
        <v>3.0267520999999999</v>
      </c>
      <c r="F1004" s="3">
        <v>3.4244563000000001</v>
      </c>
      <c r="G1004" s="3">
        <v>3.8111727000000002</v>
      </c>
      <c r="H1004" s="3">
        <v>4.1530123000000003</v>
      </c>
      <c r="I1004" s="3">
        <v>4.4276919000000001</v>
      </c>
      <c r="J1004" s="3">
        <v>4.6330312999999999</v>
      </c>
      <c r="K1004" s="3">
        <v>4.7738095999999999</v>
      </c>
      <c r="L1004" s="3">
        <v>4.8632989999999996</v>
      </c>
      <c r="M1004" s="3">
        <v>4.9155652999999999</v>
      </c>
      <c r="N1004" s="3">
        <v>4.9420221</v>
      </c>
      <c r="O1004" s="3">
        <v>4.9509014000000002</v>
      </c>
      <c r="P1004" s="3">
        <v>4.9463343000000002</v>
      </c>
      <c r="Q1004" s="3">
        <v>4.9313460999999998</v>
      </c>
      <c r="R1004" s="3">
        <v>4.9076944999999998</v>
      </c>
      <c r="S1004" s="3">
        <v>4.8767892000000002</v>
      </c>
      <c r="T1004" s="3">
        <v>4.8400397999999996</v>
      </c>
      <c r="U1004" s="3">
        <v>4.7988561000000001</v>
      </c>
      <c r="V1004" s="3">
        <v>4.7546479000000001</v>
      </c>
      <c r="W1004" s="3">
        <v>4.7087114999999997</v>
      </c>
      <c r="X1004" s="3">
        <v>4.6618678999999998</v>
      </c>
      <c r="Y1004" s="3">
        <v>4.6148129000000004</v>
      </c>
      <c r="Z1004" s="3">
        <v>4.5682422999999996</v>
      </c>
      <c r="AA1004" s="3">
        <v>4.5228520000000003</v>
      </c>
      <c r="AB1004" s="3">
        <v>4.4793377999999997</v>
      </c>
      <c r="AC1004" s="3">
        <v>4.4382903000000002</v>
      </c>
      <c r="AD1004" s="3">
        <v>4.3997327000000004</v>
      </c>
      <c r="AE1004" s="3">
        <v>4.3634979999999999</v>
      </c>
      <c r="AF1004" s="3">
        <v>4.3294189999999997</v>
      </c>
      <c r="AG1004" s="3">
        <v>4.2973286000000002</v>
      </c>
      <c r="AH1004" s="3">
        <v>4.2670596999999999</v>
      </c>
      <c r="AI1004" s="3">
        <v>4.2384452000000001</v>
      </c>
      <c r="AJ1004" s="3">
        <v>4.2113179000000001</v>
      </c>
      <c r="AK1004" s="3">
        <v>4.1855108000000003</v>
      </c>
      <c r="AL1004" s="3">
        <v>4.1608567000000001</v>
      </c>
      <c r="AM1004" s="3">
        <v>4.1371884999999997</v>
      </c>
      <c r="AN1004" s="3">
        <v>4.1143390000000002</v>
      </c>
      <c r="AO1004" s="3">
        <v>4.0921547</v>
      </c>
      <c r="AP1004" s="3">
        <v>4.0705482000000002</v>
      </c>
      <c r="AQ1004" s="3">
        <v>4.0494519000000002</v>
      </c>
      <c r="AR1004" s="3">
        <v>4.0287986</v>
      </c>
      <c r="AS1004" s="3">
        <v>4.0085208000000003</v>
      </c>
      <c r="AT1004" s="3">
        <v>3.9885511999999999</v>
      </c>
      <c r="AU1004" s="3">
        <v>3.9688222999999998</v>
      </c>
      <c r="AV1004" s="3">
        <v>3.9492669</v>
      </c>
      <c r="AW1004" s="3">
        <v>3.9298174000000001</v>
      </c>
      <c r="AX1004" s="3">
        <v>3.9104066</v>
      </c>
      <c r="AY1004" s="3">
        <v>3.8909669999999998</v>
      </c>
      <c r="AZ1004" s="3">
        <v>3.8714312999999998</v>
      </c>
      <c r="BA1004" s="3">
        <v>3.8517478000000001</v>
      </c>
      <c r="BB1004" s="3">
        <v>3.8319342000000001</v>
      </c>
      <c r="BC1004" s="3">
        <v>3.8120275000000001</v>
      </c>
      <c r="BD1004" s="3">
        <v>3.7920645999999998</v>
      </c>
      <c r="BE1004" s="3">
        <v>3.7720823999999999</v>
      </c>
      <c r="BF1004" s="3">
        <v>3.7521176999999999</v>
      </c>
      <c r="BG1004" s="3">
        <v>3.7322076000000002</v>
      </c>
      <c r="BH1004" s="3">
        <v>3.7123889000000001</v>
      </c>
      <c r="BI1004" s="3">
        <v>3.6926985999999999</v>
      </c>
      <c r="BJ1004" s="3">
        <v>3.6731734999999999</v>
      </c>
      <c r="BK1004" s="3">
        <v>3.6538504999999999</v>
      </c>
      <c r="BL1004" s="3">
        <v>3.6347665999999998</v>
      </c>
      <c r="BM1004" s="3">
        <v>3.5268144000000001</v>
      </c>
      <c r="BN1004" s="3">
        <v>3.4335165999999999</v>
      </c>
    </row>
    <row r="1005" spans="1:66" x14ac:dyDescent="0.35">
      <c r="A1005" s="5">
        <f t="shared" si="15"/>
        <v>44861</v>
      </c>
      <c r="B1005" t="s">
        <v>2399</v>
      </c>
      <c r="C1005" s="2">
        <v>2.25</v>
      </c>
      <c r="D1005" s="2">
        <v>2.1852</v>
      </c>
      <c r="E1005" s="3">
        <v>3.0095219000000002</v>
      </c>
      <c r="F1005" s="3">
        <v>3.3916965000000001</v>
      </c>
      <c r="G1005" s="3">
        <v>3.7637725999999998</v>
      </c>
      <c r="H1005" s="3">
        <v>4.0845852000000002</v>
      </c>
      <c r="I1005" s="3">
        <v>4.3341658000000001</v>
      </c>
      <c r="J1005" s="3">
        <v>4.5128826999999996</v>
      </c>
      <c r="K1005" s="3">
        <v>4.6302880999999996</v>
      </c>
      <c r="L1005" s="3">
        <v>4.7016796999999997</v>
      </c>
      <c r="M1005" s="3">
        <v>4.7425198000000002</v>
      </c>
      <c r="N1005" s="3">
        <v>4.7640026000000004</v>
      </c>
      <c r="O1005" s="3">
        <v>4.7727681999999998</v>
      </c>
      <c r="P1005" s="3">
        <v>4.7715285999999999</v>
      </c>
      <c r="Q1005" s="3">
        <v>4.7611695000000003</v>
      </c>
      <c r="R1005" s="3">
        <v>4.7427337999999999</v>
      </c>
      <c r="S1005" s="3">
        <v>4.7173720000000001</v>
      </c>
      <c r="T1005" s="3">
        <v>4.6862347</v>
      </c>
      <c r="U1005" s="3">
        <v>4.6504724</v>
      </c>
      <c r="V1005" s="3">
        <v>4.6112358000000002</v>
      </c>
      <c r="W1005" s="3">
        <v>4.5696228000000003</v>
      </c>
      <c r="X1005" s="3">
        <v>4.5264625000000001</v>
      </c>
      <c r="Y1005" s="3">
        <v>4.4824979000000003</v>
      </c>
      <c r="Z1005" s="3">
        <v>4.4384718999999997</v>
      </c>
      <c r="AA1005" s="3">
        <v>4.3951276000000004</v>
      </c>
      <c r="AB1005" s="3">
        <v>4.3532079000000001</v>
      </c>
      <c r="AC1005" s="3">
        <v>4.3133365000000001</v>
      </c>
      <c r="AD1005" s="3">
        <v>4.2755555999999997</v>
      </c>
      <c r="AE1005" s="3">
        <v>4.2397299999999998</v>
      </c>
      <c r="AF1005" s="3">
        <v>4.2057248999999999</v>
      </c>
      <c r="AG1005" s="3">
        <v>4.1734052000000004</v>
      </c>
      <c r="AH1005" s="3">
        <v>4.1426360999999998</v>
      </c>
      <c r="AI1005" s="3">
        <v>4.1132824000000001</v>
      </c>
      <c r="AJ1005" s="3">
        <v>4.0852092999999998</v>
      </c>
      <c r="AK1005" s="3">
        <v>4.0582817999999996</v>
      </c>
      <c r="AL1005" s="3">
        <v>4.0323649000000001</v>
      </c>
      <c r="AM1005" s="3">
        <v>4.0073236000000003</v>
      </c>
      <c r="AN1005" s="3">
        <v>3.9830228999999999</v>
      </c>
      <c r="AO1005" s="3">
        <v>3.9593395999999998</v>
      </c>
      <c r="AP1005" s="3">
        <v>3.9362024999999998</v>
      </c>
      <c r="AQ1005" s="3">
        <v>3.9135548</v>
      </c>
      <c r="AR1005" s="3">
        <v>3.8913394000000001</v>
      </c>
      <c r="AS1005" s="3">
        <v>3.8694994999999999</v>
      </c>
      <c r="AT1005" s="3">
        <v>3.8479782999999999</v>
      </c>
      <c r="AU1005" s="3">
        <v>3.8267186999999998</v>
      </c>
      <c r="AV1005" s="3">
        <v>3.8056638999999999</v>
      </c>
      <c r="AW1005" s="3">
        <v>3.7847569999999999</v>
      </c>
      <c r="AX1005" s="3">
        <v>3.7639410999999998</v>
      </c>
      <c r="AY1005" s="3">
        <v>3.7431592999999999</v>
      </c>
      <c r="AZ1005" s="3">
        <v>3.7223546999999999</v>
      </c>
      <c r="BA1005" s="3">
        <v>3.7014844999999998</v>
      </c>
      <c r="BB1005" s="3">
        <v>3.6805674000000002</v>
      </c>
      <c r="BC1005" s="3">
        <v>3.6596397000000001</v>
      </c>
      <c r="BD1005" s="3">
        <v>3.6387372</v>
      </c>
      <c r="BE1005" s="3">
        <v>3.6178960999999998</v>
      </c>
      <c r="BF1005" s="3">
        <v>3.5971522</v>
      </c>
      <c r="BG1005" s="3">
        <v>3.5765416999999999</v>
      </c>
      <c r="BH1005" s="3">
        <v>3.5561004999999999</v>
      </c>
      <c r="BI1005" s="3">
        <v>3.5358646</v>
      </c>
      <c r="BJ1005" s="3">
        <v>3.5158700999999999</v>
      </c>
      <c r="BK1005" s="3">
        <v>3.4961530000000001</v>
      </c>
      <c r="BL1005" s="3">
        <v>3.4767492</v>
      </c>
      <c r="BM1005" s="3">
        <v>3.3682761999999999</v>
      </c>
      <c r="BN1005" s="3">
        <v>3.2762283999999999</v>
      </c>
    </row>
    <row r="1006" spans="1:66" x14ac:dyDescent="0.35">
      <c r="A1006" s="5">
        <f t="shared" si="15"/>
        <v>44862</v>
      </c>
      <c r="B1006" t="s">
        <v>2400</v>
      </c>
      <c r="C1006" s="2">
        <v>2.25</v>
      </c>
      <c r="D1006" s="2">
        <v>2.1852999999999998</v>
      </c>
      <c r="E1006" s="3">
        <v>3.0317523999999998</v>
      </c>
      <c r="F1006" s="3">
        <v>3.4213471000000002</v>
      </c>
      <c r="G1006" s="3">
        <v>3.7996789999999998</v>
      </c>
      <c r="H1006" s="3">
        <v>4.1272532000000002</v>
      </c>
      <c r="I1006" s="3">
        <v>4.3836689</v>
      </c>
      <c r="J1006" s="3">
        <v>4.5701125999999999</v>
      </c>
      <c r="K1006" s="3">
        <v>4.6966732000000002</v>
      </c>
      <c r="L1006" s="3">
        <v>4.7781731000000001</v>
      </c>
      <c r="M1006" s="3">
        <v>4.8292676999999999</v>
      </c>
      <c r="N1006" s="3">
        <v>4.8604951999999999</v>
      </c>
      <c r="O1006" s="3">
        <v>4.8777898999999998</v>
      </c>
      <c r="P1006" s="3">
        <v>4.8832503000000003</v>
      </c>
      <c r="Q1006" s="3">
        <v>4.8771570000000004</v>
      </c>
      <c r="R1006" s="3">
        <v>4.8607526999999999</v>
      </c>
      <c r="S1006" s="3">
        <v>4.8356789999999998</v>
      </c>
      <c r="T1006" s="3">
        <v>4.8035772999999997</v>
      </c>
      <c r="U1006" s="3">
        <v>4.7660891999999997</v>
      </c>
      <c r="V1006" s="3">
        <v>4.7248562999999999</v>
      </c>
      <c r="W1006" s="3">
        <v>4.6813862999999998</v>
      </c>
      <c r="X1006" s="3">
        <v>4.6365667000000004</v>
      </c>
      <c r="Y1006" s="3">
        <v>4.5911051</v>
      </c>
      <c r="Z1006" s="3">
        <v>4.5457093000000004</v>
      </c>
      <c r="AA1006" s="3">
        <v>4.5010868000000004</v>
      </c>
      <c r="AB1006" s="3">
        <v>4.4579453000000004</v>
      </c>
      <c r="AC1006" s="3">
        <v>4.4168646999999996</v>
      </c>
      <c r="AD1006" s="3">
        <v>4.3778607999999997</v>
      </c>
      <c r="AE1006" s="3">
        <v>4.3407936999999999</v>
      </c>
      <c r="AF1006" s="3">
        <v>4.3055234000000002</v>
      </c>
      <c r="AG1006" s="3">
        <v>4.2719103</v>
      </c>
      <c r="AH1006" s="3">
        <v>4.2398142999999999</v>
      </c>
      <c r="AI1006" s="3">
        <v>4.2090956000000004</v>
      </c>
      <c r="AJ1006" s="3">
        <v>4.1796142999999999</v>
      </c>
      <c r="AK1006" s="3">
        <v>4.1512305999999999</v>
      </c>
      <c r="AL1006" s="3">
        <v>4.1238045999999997</v>
      </c>
      <c r="AM1006" s="3">
        <v>4.0971963999999996</v>
      </c>
      <c r="AN1006" s="3">
        <v>4.0712662000000002</v>
      </c>
      <c r="AO1006" s="3">
        <v>4.0458886999999999</v>
      </c>
      <c r="AP1006" s="3">
        <v>4.0210033999999997</v>
      </c>
      <c r="AQ1006" s="3">
        <v>3.9965676999999999</v>
      </c>
      <c r="AR1006" s="3">
        <v>3.9725389</v>
      </c>
      <c r="AS1006" s="3">
        <v>3.9488743999999998</v>
      </c>
      <c r="AT1006" s="3">
        <v>3.9255315999999998</v>
      </c>
      <c r="AU1006" s="3">
        <v>3.9024678000000002</v>
      </c>
      <c r="AV1006" s="3">
        <v>3.8796403000000002</v>
      </c>
      <c r="AW1006" s="3">
        <v>3.8570064999999998</v>
      </c>
      <c r="AX1006" s="3">
        <v>3.8345237000000001</v>
      </c>
      <c r="AY1006" s="3">
        <v>3.8121493000000002</v>
      </c>
      <c r="AZ1006" s="3">
        <v>3.7898407000000001</v>
      </c>
      <c r="BA1006" s="3">
        <v>3.7675662999999999</v>
      </c>
      <c r="BB1006" s="3">
        <v>3.7453432000000002</v>
      </c>
      <c r="BC1006" s="3">
        <v>3.7232020000000001</v>
      </c>
      <c r="BD1006" s="3">
        <v>3.7011736000000002</v>
      </c>
      <c r="BE1006" s="3">
        <v>3.6792883000000001</v>
      </c>
      <c r="BF1006" s="3">
        <v>3.6575769999999999</v>
      </c>
      <c r="BG1006" s="3">
        <v>3.6360703000000001</v>
      </c>
      <c r="BH1006" s="3">
        <v>3.6147988</v>
      </c>
      <c r="BI1006" s="3">
        <v>3.5937931000000001</v>
      </c>
      <c r="BJ1006" s="3">
        <v>3.5730840000000001</v>
      </c>
      <c r="BK1006" s="3">
        <v>3.552702</v>
      </c>
      <c r="BL1006" s="3">
        <v>3.5326776999999998</v>
      </c>
      <c r="BM1006" s="3">
        <v>3.4212748999999998</v>
      </c>
      <c r="BN1006" s="3">
        <v>3.3275188999999998</v>
      </c>
    </row>
    <row r="1007" spans="1:66" x14ac:dyDescent="0.35">
      <c r="A1007" s="5">
        <f t="shared" si="15"/>
        <v>44865</v>
      </c>
      <c r="B1007" t="s">
        <v>2401</v>
      </c>
      <c r="C1007" s="2">
        <v>2.25</v>
      </c>
      <c r="D1007" s="2">
        <v>2.1838000000000002</v>
      </c>
      <c r="E1007" s="3">
        <v>3.0172056</v>
      </c>
      <c r="F1007" s="3">
        <v>3.4165608999999999</v>
      </c>
      <c r="G1007" s="3">
        <v>3.8012516999999999</v>
      </c>
      <c r="H1007" s="3">
        <v>4.1185504999999996</v>
      </c>
      <c r="I1007" s="3">
        <v>4.3607475000000004</v>
      </c>
      <c r="J1007" s="3">
        <v>4.5378936999999997</v>
      </c>
      <c r="K1007" s="3">
        <v>4.6624129999999999</v>
      </c>
      <c r="L1007" s="3">
        <v>4.7455974000000003</v>
      </c>
      <c r="M1007" s="3">
        <v>4.8000841000000003</v>
      </c>
      <c r="N1007" s="3">
        <v>4.8348750000000003</v>
      </c>
      <c r="O1007" s="3">
        <v>4.8555184000000002</v>
      </c>
      <c r="P1007" s="3">
        <v>4.8648661000000004</v>
      </c>
      <c r="Q1007" s="3">
        <v>4.8645288999999998</v>
      </c>
      <c r="R1007" s="3">
        <v>4.8556454000000002</v>
      </c>
      <c r="S1007" s="3">
        <v>4.8392840000000001</v>
      </c>
      <c r="T1007" s="3">
        <v>4.8165129000000002</v>
      </c>
      <c r="U1007" s="3">
        <v>4.7884003000000002</v>
      </c>
      <c r="V1007" s="3">
        <v>4.7560145</v>
      </c>
      <c r="W1007" s="3">
        <v>4.7203679000000003</v>
      </c>
      <c r="X1007" s="3">
        <v>4.6822600000000003</v>
      </c>
      <c r="Y1007" s="3">
        <v>4.6424396000000003</v>
      </c>
      <c r="Z1007" s="3">
        <v>4.6016557000000002</v>
      </c>
      <c r="AA1007" s="3">
        <v>4.5606568999999997</v>
      </c>
      <c r="AB1007" s="3">
        <v>4.5201922999999997</v>
      </c>
      <c r="AC1007" s="3">
        <v>4.4808884999999998</v>
      </c>
      <c r="AD1007" s="3">
        <v>4.4428330000000003</v>
      </c>
      <c r="AE1007" s="3">
        <v>4.4059642999999999</v>
      </c>
      <c r="AF1007" s="3">
        <v>4.3702214000000001</v>
      </c>
      <c r="AG1007" s="3">
        <v>4.3355427000000004</v>
      </c>
      <c r="AH1007" s="3">
        <v>4.3018669000000003</v>
      </c>
      <c r="AI1007" s="3">
        <v>4.2691328000000004</v>
      </c>
      <c r="AJ1007" s="3">
        <v>4.237279</v>
      </c>
      <c r="AK1007" s="3">
        <v>4.2062442000000004</v>
      </c>
      <c r="AL1007" s="3">
        <v>4.1759671000000003</v>
      </c>
      <c r="AM1007" s="3">
        <v>4.1463862999999996</v>
      </c>
      <c r="AN1007" s="3">
        <v>4.1174403999999996</v>
      </c>
      <c r="AO1007" s="3">
        <v>4.0890727</v>
      </c>
      <c r="AP1007" s="3">
        <v>4.0612455000000001</v>
      </c>
      <c r="AQ1007" s="3">
        <v>4.0339266</v>
      </c>
      <c r="AR1007" s="3">
        <v>4.0070838000000002</v>
      </c>
      <c r="AS1007" s="3">
        <v>3.9806848000000001</v>
      </c>
      <c r="AT1007" s="3">
        <v>3.9546975999999998</v>
      </c>
      <c r="AU1007" s="3">
        <v>3.9290897999999999</v>
      </c>
      <c r="AV1007" s="3">
        <v>3.9038293999999998</v>
      </c>
      <c r="AW1007" s="3">
        <v>3.8788838999999999</v>
      </c>
      <c r="AX1007" s="3">
        <v>3.8542214000000001</v>
      </c>
      <c r="AY1007" s="3">
        <v>3.8298095000000001</v>
      </c>
      <c r="AZ1007" s="3">
        <v>3.8056160000000001</v>
      </c>
      <c r="BA1007" s="3">
        <v>3.7816158999999998</v>
      </c>
      <c r="BB1007" s="3">
        <v>3.7578231</v>
      </c>
      <c r="BC1007" s="3">
        <v>3.7342642000000001</v>
      </c>
      <c r="BD1007" s="3">
        <v>3.710966</v>
      </c>
      <c r="BE1007" s="3">
        <v>3.6879553</v>
      </c>
      <c r="BF1007" s="3">
        <v>3.6652588000000002</v>
      </c>
      <c r="BG1007" s="3">
        <v>3.6429033999999998</v>
      </c>
      <c r="BH1007" s="3">
        <v>3.6209156999999998</v>
      </c>
      <c r="BI1007" s="3">
        <v>3.5993225999999998</v>
      </c>
      <c r="BJ1007" s="3">
        <v>3.5781508</v>
      </c>
      <c r="BK1007" s="3">
        <v>3.5574270000000001</v>
      </c>
      <c r="BL1007" s="3">
        <v>3.5371782000000001</v>
      </c>
      <c r="BM1007" s="3">
        <v>3.4264977000000001</v>
      </c>
      <c r="BN1007" s="3">
        <v>3.3356226000000002</v>
      </c>
    </row>
    <row r="1008" spans="1:66" x14ac:dyDescent="0.35">
      <c r="A1008" s="5">
        <f t="shared" si="15"/>
        <v>44866</v>
      </c>
      <c r="B1008" t="s">
        <v>2403</v>
      </c>
      <c r="C1008" s="2">
        <v>2.25</v>
      </c>
      <c r="D1008" s="2">
        <v>2.1856</v>
      </c>
      <c r="E1008" s="3">
        <v>3.0316561000000002</v>
      </c>
      <c r="F1008" s="3">
        <v>3.4240404999999998</v>
      </c>
      <c r="G1008" s="3">
        <v>3.781288</v>
      </c>
      <c r="H1008" s="3">
        <v>4.0793710000000001</v>
      </c>
      <c r="I1008" s="3">
        <v>4.3091824000000001</v>
      </c>
      <c r="J1008" s="3">
        <v>4.4770488999999998</v>
      </c>
      <c r="K1008" s="3">
        <v>4.5939399999999999</v>
      </c>
      <c r="L1008" s="3">
        <v>4.6739869000000001</v>
      </c>
      <c r="M1008" s="3">
        <v>4.7276790000000002</v>
      </c>
      <c r="N1008" s="3">
        <v>4.7626150000000003</v>
      </c>
      <c r="O1008" s="3">
        <v>4.7827393999999996</v>
      </c>
      <c r="P1008" s="3">
        <v>4.7903472000000002</v>
      </c>
      <c r="Q1008" s="3">
        <v>4.7870261000000003</v>
      </c>
      <c r="R1008" s="3">
        <v>4.7742836999999998</v>
      </c>
      <c r="S1008" s="3">
        <v>4.7536421000000004</v>
      </c>
      <c r="T1008" s="3">
        <v>4.7266234000000003</v>
      </c>
      <c r="U1008" s="3">
        <v>4.6947495000000004</v>
      </c>
      <c r="V1008" s="3">
        <v>4.6595424000000003</v>
      </c>
      <c r="W1008" s="3">
        <v>4.6223380000000001</v>
      </c>
      <c r="X1008" s="3">
        <v>4.5837621999999998</v>
      </c>
      <c r="Y1008" s="3">
        <v>4.5442722</v>
      </c>
      <c r="Z1008" s="3">
        <v>4.5043253999999999</v>
      </c>
      <c r="AA1008" s="3">
        <v>4.4643788999999998</v>
      </c>
      <c r="AB1008" s="3">
        <v>4.4248899000000002</v>
      </c>
      <c r="AC1008" s="3">
        <v>4.3862426000000001</v>
      </c>
      <c r="AD1008" s="3">
        <v>4.3484980999999996</v>
      </c>
      <c r="AE1008" s="3">
        <v>4.3116287</v>
      </c>
      <c r="AF1008" s="3">
        <v>4.2756065000000003</v>
      </c>
      <c r="AG1008" s="3">
        <v>4.2404035000000002</v>
      </c>
      <c r="AH1008" s="3">
        <v>4.2059920000000002</v>
      </c>
      <c r="AI1008" s="3">
        <v>4.1723442000000004</v>
      </c>
      <c r="AJ1008" s="3">
        <v>4.1394320000000002</v>
      </c>
      <c r="AK1008" s="3">
        <v>4.1072278000000004</v>
      </c>
      <c r="AL1008" s="3">
        <v>4.0757035999999998</v>
      </c>
      <c r="AM1008" s="3">
        <v>4.0448314999999999</v>
      </c>
      <c r="AN1008" s="3">
        <v>4.0145837999999996</v>
      </c>
      <c r="AO1008" s="3">
        <v>3.9849344000000002</v>
      </c>
      <c r="AP1008" s="3">
        <v>3.9558672000000001</v>
      </c>
      <c r="AQ1008" s="3">
        <v>3.9273690999999999</v>
      </c>
      <c r="AR1008" s="3">
        <v>3.8994274999999998</v>
      </c>
      <c r="AS1008" s="3">
        <v>3.8720292999999999</v>
      </c>
      <c r="AT1008" s="3">
        <v>3.8451618000000001</v>
      </c>
      <c r="AU1008" s="3">
        <v>3.8188119999999999</v>
      </c>
      <c r="AV1008" s="3">
        <v>3.7929670999999998</v>
      </c>
      <c r="AW1008" s="3">
        <v>3.7676142000000001</v>
      </c>
      <c r="AX1008" s="3">
        <v>3.7427405</v>
      </c>
      <c r="AY1008" s="3">
        <v>3.7183329999999999</v>
      </c>
      <c r="AZ1008" s="3">
        <v>3.6943788</v>
      </c>
      <c r="BA1008" s="3">
        <v>3.6708682000000001</v>
      </c>
      <c r="BB1008" s="3">
        <v>3.6478054000000002</v>
      </c>
      <c r="BC1008" s="3">
        <v>3.6251992999999998</v>
      </c>
      <c r="BD1008" s="3">
        <v>3.6030587999999999</v>
      </c>
      <c r="BE1008" s="3">
        <v>3.5813926</v>
      </c>
      <c r="BF1008" s="3">
        <v>3.5602095</v>
      </c>
      <c r="BG1008" s="3">
        <v>3.5395184</v>
      </c>
      <c r="BH1008" s="3">
        <v>3.5193279999999998</v>
      </c>
      <c r="BI1008" s="3">
        <v>3.4996472000000001</v>
      </c>
      <c r="BJ1008" s="3">
        <v>3.4804849</v>
      </c>
      <c r="BK1008" s="3">
        <v>3.4618497000000001</v>
      </c>
      <c r="BL1008" s="3">
        <v>3.4437505000000002</v>
      </c>
      <c r="BM1008" s="3">
        <v>3.3466269</v>
      </c>
      <c r="BN1008" s="3">
        <v>3.2693314999999998</v>
      </c>
    </row>
    <row r="1009" spans="1:66" x14ac:dyDescent="0.35">
      <c r="A1009" s="5">
        <f t="shared" si="15"/>
        <v>44867</v>
      </c>
      <c r="B1009" t="s">
        <v>2404</v>
      </c>
      <c r="C1009" s="2">
        <v>2.25</v>
      </c>
      <c r="D1009" s="2">
        <v>2.1859000000000002</v>
      </c>
      <c r="E1009" s="3">
        <v>3.0295930000000002</v>
      </c>
      <c r="F1009" s="3">
        <v>3.4186006999999998</v>
      </c>
      <c r="G1009" s="3">
        <v>3.7700301999999999</v>
      </c>
      <c r="H1009" s="3">
        <v>4.0602235000000002</v>
      </c>
      <c r="I1009" s="3">
        <v>4.2802597000000002</v>
      </c>
      <c r="J1009" s="3">
        <v>4.4364977000000003</v>
      </c>
      <c r="K1009" s="3">
        <v>4.5408251000000002</v>
      </c>
      <c r="L1009" s="3">
        <v>4.6075194000000002</v>
      </c>
      <c r="M1009" s="3">
        <v>4.6485146999999998</v>
      </c>
      <c r="N1009" s="3">
        <v>4.6717516000000003</v>
      </c>
      <c r="O1009" s="3">
        <v>4.6819649999999999</v>
      </c>
      <c r="P1009" s="3">
        <v>4.6818964999999997</v>
      </c>
      <c r="Q1009" s="3">
        <v>4.6728544999999997</v>
      </c>
      <c r="R1009" s="3">
        <v>4.6560934999999999</v>
      </c>
      <c r="S1009" s="3">
        <v>4.6329212999999996</v>
      </c>
      <c r="T1009" s="3">
        <v>4.6046459000000004</v>
      </c>
      <c r="U1009" s="3">
        <v>4.5725750999999999</v>
      </c>
      <c r="V1009" s="3">
        <v>4.538017</v>
      </c>
      <c r="W1009" s="3">
        <v>4.5021040000000001</v>
      </c>
      <c r="X1009" s="3">
        <v>4.4653010000000002</v>
      </c>
      <c r="Y1009" s="3">
        <v>4.4279136000000001</v>
      </c>
      <c r="Z1009" s="3">
        <v>4.3902479000000003</v>
      </c>
      <c r="AA1009" s="3">
        <v>4.3526094999999998</v>
      </c>
      <c r="AB1009" s="3">
        <v>4.3153043999999996</v>
      </c>
      <c r="AC1009" s="3">
        <v>4.2786004000000002</v>
      </c>
      <c r="AD1009" s="3">
        <v>4.2425617000000004</v>
      </c>
      <c r="AE1009" s="3">
        <v>4.2071839000000004</v>
      </c>
      <c r="AF1009" s="3">
        <v>4.1724626999999996</v>
      </c>
      <c r="AG1009" s="3">
        <v>4.1383935999999997</v>
      </c>
      <c r="AH1009" s="3">
        <v>4.1049724000000003</v>
      </c>
      <c r="AI1009" s="3">
        <v>4.0721946999999998</v>
      </c>
      <c r="AJ1009" s="3">
        <v>4.0400561000000001</v>
      </c>
      <c r="AK1009" s="3">
        <v>4.0085521999999996</v>
      </c>
      <c r="AL1009" s="3">
        <v>3.9776788000000001</v>
      </c>
      <c r="AM1009" s="3">
        <v>3.9474312999999999</v>
      </c>
      <c r="AN1009" s="3">
        <v>3.9178055999999999</v>
      </c>
      <c r="AO1009" s="3">
        <v>3.8887966</v>
      </c>
      <c r="AP1009" s="3">
        <v>3.8603966999999999</v>
      </c>
      <c r="AQ1009" s="3">
        <v>3.8325974</v>
      </c>
      <c r="AR1009" s="3">
        <v>3.8053903</v>
      </c>
      <c r="AS1009" s="3">
        <v>3.7787668000000001</v>
      </c>
      <c r="AT1009" s="3">
        <v>3.7527184999999998</v>
      </c>
      <c r="AU1009" s="3">
        <v>3.7272368999999999</v>
      </c>
      <c r="AV1009" s="3">
        <v>3.7023134</v>
      </c>
      <c r="AW1009" s="3">
        <v>3.6779397</v>
      </c>
      <c r="AX1009" s="3">
        <v>3.6541073000000002</v>
      </c>
      <c r="AY1009" s="3">
        <v>3.6308075999999998</v>
      </c>
      <c r="AZ1009" s="3">
        <v>3.6080321999999998</v>
      </c>
      <c r="BA1009" s="3">
        <v>3.5857738000000001</v>
      </c>
      <c r="BB1009" s="3">
        <v>3.5640307999999998</v>
      </c>
      <c r="BC1009" s="3">
        <v>3.5428028999999999</v>
      </c>
      <c r="BD1009" s="3">
        <v>3.5220899000000001</v>
      </c>
      <c r="BE1009" s="3">
        <v>3.5018916999999998</v>
      </c>
      <c r="BF1009" s="3">
        <v>3.4822080999999998</v>
      </c>
      <c r="BG1009" s="3">
        <v>3.4630388000000001</v>
      </c>
      <c r="BH1009" s="3">
        <v>3.4443836999999999</v>
      </c>
      <c r="BI1009" s="3">
        <v>3.4262426000000001</v>
      </c>
      <c r="BJ1009" s="3">
        <v>3.4086153000000001</v>
      </c>
      <c r="BK1009" s="3">
        <v>3.3915014999999999</v>
      </c>
      <c r="BL1009" s="3">
        <v>3.3749012</v>
      </c>
      <c r="BM1009" s="3">
        <v>3.2861001000000001</v>
      </c>
      <c r="BN1009" s="3">
        <v>3.2159168</v>
      </c>
    </row>
    <row r="1010" spans="1:66" x14ac:dyDescent="0.35">
      <c r="A1010" s="5">
        <f t="shared" si="15"/>
        <v>44868</v>
      </c>
      <c r="B1010" t="s">
        <v>2405</v>
      </c>
      <c r="C1010" s="2">
        <v>3</v>
      </c>
      <c r="D1010" s="2">
        <v>2.9306000000000001</v>
      </c>
      <c r="E1010" s="3">
        <v>3.0860216999999999</v>
      </c>
      <c r="F1010" s="3">
        <v>3.4749933</v>
      </c>
      <c r="G1010" s="3">
        <v>3.8234244999999998</v>
      </c>
      <c r="H1010" s="3">
        <v>4.1100770000000004</v>
      </c>
      <c r="I1010" s="3">
        <v>4.3288305999999999</v>
      </c>
      <c r="J1010" s="3">
        <v>4.4848008000000004</v>
      </c>
      <c r="K1010" s="3">
        <v>4.5898437000000003</v>
      </c>
      <c r="L1010" s="3">
        <v>4.6572826000000003</v>
      </c>
      <c r="M1010" s="3">
        <v>4.6997447000000001</v>
      </c>
      <c r="N1010" s="3">
        <v>4.7251614999999996</v>
      </c>
      <c r="O1010" s="3">
        <v>4.7381450000000003</v>
      </c>
      <c r="P1010" s="3">
        <v>4.7407440999999997</v>
      </c>
      <c r="Q1010" s="3">
        <v>4.7337562000000002</v>
      </c>
      <c r="R1010" s="3">
        <v>4.7183638999999999</v>
      </c>
      <c r="S1010" s="3">
        <v>4.6958986999999999</v>
      </c>
      <c r="T1010" s="3">
        <v>4.6676921</v>
      </c>
      <c r="U1010" s="3">
        <v>4.6350756000000004</v>
      </c>
      <c r="V1010" s="3">
        <v>4.5993807999999996</v>
      </c>
      <c r="W1010" s="3">
        <v>4.5617998999999996</v>
      </c>
      <c r="X1010" s="3">
        <v>4.5229949999999999</v>
      </c>
      <c r="Y1010" s="3">
        <v>4.4835020999999999</v>
      </c>
      <c r="Z1010" s="3">
        <v>4.4438572000000001</v>
      </c>
      <c r="AA1010" s="3">
        <v>4.4045962000000003</v>
      </c>
      <c r="AB1010" s="3">
        <v>4.3662551000000001</v>
      </c>
      <c r="AC1010" s="3">
        <v>4.329288</v>
      </c>
      <c r="AD1010" s="3">
        <v>4.2937491999999997</v>
      </c>
      <c r="AE1010" s="3">
        <v>4.2595717000000004</v>
      </c>
      <c r="AF1010" s="3">
        <v>4.2266883999999996</v>
      </c>
      <c r="AG1010" s="3">
        <v>4.1950322</v>
      </c>
      <c r="AH1010" s="3">
        <v>4.164536</v>
      </c>
      <c r="AI1010" s="3">
        <v>4.1351326000000004</v>
      </c>
      <c r="AJ1010" s="3">
        <v>4.1067549999999997</v>
      </c>
      <c r="AK1010" s="3">
        <v>4.0793360999999999</v>
      </c>
      <c r="AL1010" s="3">
        <v>4.0528085999999997</v>
      </c>
      <c r="AM1010" s="3">
        <v>4.0271056999999999</v>
      </c>
      <c r="AN1010" s="3">
        <v>4.0021599999999999</v>
      </c>
      <c r="AO1010" s="3">
        <v>3.9779097999999999</v>
      </c>
      <c r="AP1010" s="3">
        <v>3.9543160999999998</v>
      </c>
      <c r="AQ1010" s="3">
        <v>3.9313463</v>
      </c>
      <c r="AR1010" s="3">
        <v>3.9089678999999999</v>
      </c>
      <c r="AS1010" s="3">
        <v>3.8871481999999999</v>
      </c>
      <c r="AT1010" s="3">
        <v>3.8658546999999999</v>
      </c>
      <c r="AU1010" s="3">
        <v>3.8450548000000002</v>
      </c>
      <c r="AV1010" s="3">
        <v>3.824716</v>
      </c>
      <c r="AW1010" s="3">
        <v>3.8048055999999999</v>
      </c>
      <c r="AX1010" s="3">
        <v>3.785291</v>
      </c>
      <c r="AY1010" s="3">
        <v>3.7661397000000001</v>
      </c>
      <c r="AZ1010" s="3">
        <v>3.7473192000000002</v>
      </c>
      <c r="BA1010" s="3">
        <v>3.7288028999999998</v>
      </c>
      <c r="BB1010" s="3">
        <v>3.7105912999999999</v>
      </c>
      <c r="BC1010" s="3">
        <v>3.6926925000000002</v>
      </c>
      <c r="BD1010" s="3">
        <v>3.6751143000000002</v>
      </c>
      <c r="BE1010" s="3">
        <v>3.6578648999999999</v>
      </c>
      <c r="BF1010" s="3">
        <v>3.640952</v>
      </c>
      <c r="BG1010" s="3">
        <v>3.6243837999999999</v>
      </c>
      <c r="BH1010" s="3">
        <v>3.6081682000000002</v>
      </c>
      <c r="BI1010" s="3">
        <v>3.5923129999999999</v>
      </c>
      <c r="BJ1010" s="3">
        <v>3.5768263999999999</v>
      </c>
      <c r="BK1010" s="3">
        <v>3.5617163000000001</v>
      </c>
      <c r="BL1010" s="3">
        <v>3.5469906</v>
      </c>
      <c r="BM1010" s="3">
        <v>3.4670610000000002</v>
      </c>
      <c r="BN1010" s="3">
        <v>3.4024032000000002</v>
      </c>
    </row>
    <row r="1011" spans="1:66" x14ac:dyDescent="0.35">
      <c r="A1011" s="5">
        <f t="shared" si="15"/>
        <v>44869</v>
      </c>
      <c r="B1011" t="s">
        <v>2407</v>
      </c>
      <c r="C1011" s="2">
        <v>3</v>
      </c>
      <c r="D1011" s="2">
        <v>2.9264999999999999</v>
      </c>
      <c r="E1011" s="3">
        <v>3.0815446999999998</v>
      </c>
      <c r="F1011" s="3">
        <v>3.4721498999999998</v>
      </c>
      <c r="G1011" s="3">
        <v>3.8051504999999999</v>
      </c>
      <c r="H1011" s="3">
        <v>4.0731292999999997</v>
      </c>
      <c r="I1011" s="3">
        <v>4.2771067</v>
      </c>
      <c r="J1011" s="3">
        <v>4.4239369000000002</v>
      </c>
      <c r="K1011" s="3">
        <v>4.5240185999999998</v>
      </c>
      <c r="L1011" s="3">
        <v>4.5892096999999996</v>
      </c>
      <c r="M1011" s="3">
        <v>4.630808</v>
      </c>
      <c r="N1011" s="3">
        <v>4.6560785999999998</v>
      </c>
      <c r="O1011" s="3">
        <v>4.6690367000000004</v>
      </c>
      <c r="P1011" s="3">
        <v>4.6715347999999999</v>
      </c>
      <c r="Q1011" s="3">
        <v>4.6637589999999998</v>
      </c>
      <c r="R1011" s="3">
        <v>4.6468819999999997</v>
      </c>
      <c r="S1011" s="3">
        <v>4.6224949000000004</v>
      </c>
      <c r="T1011" s="3">
        <v>4.5921889</v>
      </c>
      <c r="U1011" s="3">
        <v>4.5575552000000004</v>
      </c>
      <c r="V1011" s="3">
        <v>4.5201849999999997</v>
      </c>
      <c r="W1011" s="3">
        <v>4.4815301999999999</v>
      </c>
      <c r="X1011" s="3">
        <v>4.4423300000000001</v>
      </c>
      <c r="Y1011" s="3">
        <v>4.4030956999999997</v>
      </c>
      <c r="Z1011" s="3">
        <v>4.3643386</v>
      </c>
      <c r="AA1011" s="3">
        <v>4.3265699</v>
      </c>
      <c r="AB1011" s="3">
        <v>4.2903007999999998</v>
      </c>
      <c r="AC1011" s="3">
        <v>4.2559450999999999</v>
      </c>
      <c r="AD1011" s="3">
        <v>4.2234860000000003</v>
      </c>
      <c r="AE1011" s="3">
        <v>4.1927875999999999</v>
      </c>
      <c r="AF1011" s="3">
        <v>4.1637143999999999</v>
      </c>
      <c r="AG1011" s="3">
        <v>4.1361306000000004</v>
      </c>
      <c r="AH1011" s="3">
        <v>4.1099005999999996</v>
      </c>
      <c r="AI1011" s="3">
        <v>4.0848886999999996</v>
      </c>
      <c r="AJ1011" s="3">
        <v>4.0609592000000001</v>
      </c>
      <c r="AK1011" s="3">
        <v>4.0379765000000001</v>
      </c>
      <c r="AL1011" s="3">
        <v>4.0158047999999997</v>
      </c>
      <c r="AM1011" s="3">
        <v>3.9943084999999998</v>
      </c>
      <c r="AN1011" s="3">
        <v>3.9733518000000001</v>
      </c>
      <c r="AO1011" s="3">
        <v>3.9528162</v>
      </c>
      <c r="AP1011" s="3">
        <v>3.9326577</v>
      </c>
      <c r="AQ1011" s="3">
        <v>3.9128533999999999</v>
      </c>
      <c r="AR1011" s="3">
        <v>3.8933800999999999</v>
      </c>
      <c r="AS1011" s="3">
        <v>3.8742147999999998</v>
      </c>
      <c r="AT1011" s="3">
        <v>3.8553343</v>
      </c>
      <c r="AU1011" s="3">
        <v>3.8367154999999999</v>
      </c>
      <c r="AV1011" s="3">
        <v>3.8183354</v>
      </c>
      <c r="AW1011" s="3">
        <v>3.8001708999999999</v>
      </c>
      <c r="AX1011" s="3">
        <v>3.7821989</v>
      </c>
      <c r="AY1011" s="3">
        <v>3.7643962000000002</v>
      </c>
      <c r="AZ1011" s="3">
        <v>3.7467397999999998</v>
      </c>
      <c r="BA1011" s="3">
        <v>3.7292136999999999</v>
      </c>
      <c r="BB1011" s="3">
        <v>3.7118332000000001</v>
      </c>
      <c r="BC1011" s="3">
        <v>3.6946222</v>
      </c>
      <c r="BD1011" s="3">
        <v>3.6776048000000001</v>
      </c>
      <c r="BE1011" s="3">
        <v>3.6608049</v>
      </c>
      <c r="BF1011" s="3">
        <v>3.6442464999999999</v>
      </c>
      <c r="BG1011" s="3">
        <v>3.6279534999999998</v>
      </c>
      <c r="BH1011" s="3">
        <v>3.6119498999999999</v>
      </c>
      <c r="BI1011" s="3">
        <v>3.5962595999999998</v>
      </c>
      <c r="BJ1011" s="3">
        <v>3.5809066000000001</v>
      </c>
      <c r="BK1011" s="3">
        <v>3.5659149999999999</v>
      </c>
      <c r="BL1011" s="3">
        <v>3.5513085000000002</v>
      </c>
      <c r="BM1011" s="3">
        <v>3.4725921</v>
      </c>
      <c r="BN1011" s="3">
        <v>3.4106898000000001</v>
      </c>
    </row>
    <row r="1012" spans="1:66" x14ac:dyDescent="0.35">
      <c r="A1012" s="5">
        <f t="shared" si="15"/>
        <v>44872</v>
      </c>
      <c r="B1012" t="s">
        <v>2408</v>
      </c>
      <c r="C1012" s="2">
        <v>3</v>
      </c>
      <c r="D1012" s="2">
        <v>2.9268000000000001</v>
      </c>
      <c r="E1012" s="3">
        <v>3.1069314000000001</v>
      </c>
      <c r="F1012" s="3">
        <v>3.5106989999999998</v>
      </c>
      <c r="G1012" s="3">
        <v>3.8413008</v>
      </c>
      <c r="H1012" s="3">
        <v>4.1026521999999996</v>
      </c>
      <c r="I1012" s="3">
        <v>4.3025858000000001</v>
      </c>
      <c r="J1012" s="3">
        <v>4.4483886000000004</v>
      </c>
      <c r="K1012" s="3">
        <v>4.5488384000000002</v>
      </c>
      <c r="L1012" s="3">
        <v>4.6141768000000001</v>
      </c>
      <c r="M1012" s="3">
        <v>4.6542051000000004</v>
      </c>
      <c r="N1012" s="3">
        <v>4.6759363</v>
      </c>
      <c r="O1012" s="3">
        <v>4.6840253000000001</v>
      </c>
      <c r="P1012" s="3">
        <v>4.6814305999999997</v>
      </c>
      <c r="Q1012" s="3">
        <v>4.6700312000000004</v>
      </c>
      <c r="R1012" s="3">
        <v>4.6512324999999999</v>
      </c>
      <c r="S1012" s="3">
        <v>4.6263737000000003</v>
      </c>
      <c r="T1012" s="3">
        <v>4.5967938000000004</v>
      </c>
      <c r="U1012" s="3">
        <v>4.5638319000000003</v>
      </c>
      <c r="V1012" s="3">
        <v>4.5288269000000003</v>
      </c>
      <c r="W1012" s="3">
        <v>4.4929525000000003</v>
      </c>
      <c r="X1012" s="3">
        <v>4.4567525000000003</v>
      </c>
      <c r="Y1012" s="3">
        <v>4.4206206999999997</v>
      </c>
      <c r="Z1012" s="3">
        <v>4.3849508999999998</v>
      </c>
      <c r="AA1012" s="3">
        <v>4.3501370000000001</v>
      </c>
      <c r="AB1012" s="3">
        <v>4.3165727</v>
      </c>
      <c r="AC1012" s="3">
        <v>4.2845757999999998</v>
      </c>
      <c r="AD1012" s="3">
        <v>4.2541270000000004</v>
      </c>
      <c r="AE1012" s="3">
        <v>4.2251143000000004</v>
      </c>
      <c r="AF1012" s="3">
        <v>4.1974257000000001</v>
      </c>
      <c r="AG1012" s="3">
        <v>4.1709490999999996</v>
      </c>
      <c r="AH1012" s="3">
        <v>4.1455725000000001</v>
      </c>
      <c r="AI1012" s="3">
        <v>4.1211840000000004</v>
      </c>
      <c r="AJ1012" s="3">
        <v>4.0976713</v>
      </c>
      <c r="AK1012" s="3">
        <v>4.0749225999999998</v>
      </c>
      <c r="AL1012" s="3">
        <v>4.0528257999999999</v>
      </c>
      <c r="AM1012" s="3">
        <v>4.0312688000000003</v>
      </c>
      <c r="AN1012" s="3">
        <v>4.0101395999999996</v>
      </c>
      <c r="AO1012" s="3">
        <v>3.9893418999999999</v>
      </c>
      <c r="AP1012" s="3">
        <v>3.9688485</v>
      </c>
      <c r="AQ1012" s="3">
        <v>3.9486515999999998</v>
      </c>
      <c r="AR1012" s="3">
        <v>3.9287432</v>
      </c>
      <c r="AS1012" s="3">
        <v>3.9091152</v>
      </c>
      <c r="AT1012" s="3">
        <v>3.8897598000000002</v>
      </c>
      <c r="AU1012" s="3">
        <v>3.8706689000000001</v>
      </c>
      <c r="AV1012" s="3">
        <v>3.8518346000000001</v>
      </c>
      <c r="AW1012" s="3">
        <v>3.8332489000000001</v>
      </c>
      <c r="AX1012" s="3">
        <v>3.8149039</v>
      </c>
      <c r="AY1012" s="3">
        <v>3.7967914999999999</v>
      </c>
      <c r="AZ1012" s="3">
        <v>3.7789038000000001</v>
      </c>
      <c r="BA1012" s="3">
        <v>3.7612369000000001</v>
      </c>
      <c r="BB1012" s="3">
        <v>3.7438082000000001</v>
      </c>
      <c r="BC1012" s="3">
        <v>3.7266425999999999</v>
      </c>
      <c r="BD1012" s="3">
        <v>3.7097647</v>
      </c>
      <c r="BE1012" s="3">
        <v>3.6931992999999999</v>
      </c>
      <c r="BF1012" s="3">
        <v>3.6769712000000001</v>
      </c>
      <c r="BG1012" s="3">
        <v>3.6611050999999999</v>
      </c>
      <c r="BH1012" s="3">
        <v>3.6456257999999999</v>
      </c>
      <c r="BI1012" s="3">
        <v>3.6305578999999999</v>
      </c>
      <c r="BJ1012" s="3">
        <v>3.6159264000000002</v>
      </c>
      <c r="BK1012" s="3">
        <v>3.6017557999999998</v>
      </c>
      <c r="BL1012" s="3">
        <v>3.5880709999999998</v>
      </c>
      <c r="BM1012" s="3">
        <v>3.5167565000000001</v>
      </c>
      <c r="BN1012" s="3">
        <v>3.4643035000000002</v>
      </c>
    </row>
    <row r="1013" spans="1:66" x14ac:dyDescent="0.35">
      <c r="A1013" s="5">
        <f t="shared" si="15"/>
        <v>44873</v>
      </c>
      <c r="B1013" t="s">
        <v>2409</v>
      </c>
      <c r="C1013" s="2">
        <v>3</v>
      </c>
      <c r="D1013" s="2">
        <v>2.9276</v>
      </c>
      <c r="E1013" s="3">
        <v>3.1085373000000001</v>
      </c>
      <c r="F1013" s="3">
        <v>3.5156304</v>
      </c>
      <c r="G1013" s="3">
        <v>3.8458416999999998</v>
      </c>
      <c r="H1013" s="3">
        <v>4.1059713000000002</v>
      </c>
      <c r="I1013" s="3">
        <v>4.3037733999999999</v>
      </c>
      <c r="J1013" s="3">
        <v>4.4470846999999996</v>
      </c>
      <c r="K1013" s="3">
        <v>4.5443236000000002</v>
      </c>
      <c r="L1013" s="3">
        <v>4.6073830999999998</v>
      </c>
      <c r="M1013" s="3">
        <v>4.6462931999999997</v>
      </c>
      <c r="N1013" s="3">
        <v>4.6689764</v>
      </c>
      <c r="O1013" s="3">
        <v>4.6798320000000002</v>
      </c>
      <c r="P1013" s="3">
        <v>4.6811936999999997</v>
      </c>
      <c r="Q1013" s="3">
        <v>4.6739180999999999</v>
      </c>
      <c r="R1013" s="3">
        <v>4.6590179000000003</v>
      </c>
      <c r="S1013" s="3">
        <v>4.6376331000000004</v>
      </c>
      <c r="T1013" s="3">
        <v>4.6109038</v>
      </c>
      <c r="U1013" s="3">
        <v>4.5799699</v>
      </c>
      <c r="V1013" s="3">
        <v>4.5459715000000003</v>
      </c>
      <c r="W1013" s="3">
        <v>4.5099451999999998</v>
      </c>
      <c r="X1013" s="3">
        <v>4.4725340999999998</v>
      </c>
      <c r="Y1013" s="3">
        <v>4.4342876999999996</v>
      </c>
      <c r="Z1013" s="3">
        <v>4.3957556000000002</v>
      </c>
      <c r="AA1013" s="3">
        <v>4.3574871999999996</v>
      </c>
      <c r="AB1013" s="3">
        <v>4.3200319</v>
      </c>
      <c r="AC1013" s="3">
        <v>4.2838459999999996</v>
      </c>
      <c r="AD1013" s="3">
        <v>4.2489733999999997</v>
      </c>
      <c r="AE1013" s="3">
        <v>4.2153444999999996</v>
      </c>
      <c r="AF1013" s="3">
        <v>4.1828897999999999</v>
      </c>
      <c r="AG1013" s="3">
        <v>4.1515393999999999</v>
      </c>
      <c r="AH1013" s="3">
        <v>4.1212239000000004</v>
      </c>
      <c r="AI1013" s="3">
        <v>4.0918733999999999</v>
      </c>
      <c r="AJ1013" s="3">
        <v>4.0634185</v>
      </c>
      <c r="AK1013" s="3">
        <v>4.0357893999999996</v>
      </c>
      <c r="AL1013" s="3">
        <v>4.0089164999999998</v>
      </c>
      <c r="AM1013" s="3">
        <v>3.9827302000000002</v>
      </c>
      <c r="AN1013" s="3">
        <v>3.9571608</v>
      </c>
      <c r="AO1013" s="3">
        <v>3.9321451000000001</v>
      </c>
      <c r="AP1013" s="3">
        <v>3.9076555000000002</v>
      </c>
      <c r="AQ1013" s="3">
        <v>3.8836757999999998</v>
      </c>
      <c r="AR1013" s="3">
        <v>3.8601901999999999</v>
      </c>
      <c r="AS1013" s="3">
        <v>3.8371824999999999</v>
      </c>
      <c r="AT1013" s="3">
        <v>3.8146369</v>
      </c>
      <c r="AU1013" s="3">
        <v>3.7925372999999998</v>
      </c>
      <c r="AV1013" s="3">
        <v>3.7708677000000002</v>
      </c>
      <c r="AW1013" s="3">
        <v>3.7496122000000001</v>
      </c>
      <c r="AX1013" s="3">
        <v>3.7287547000000001</v>
      </c>
      <c r="AY1013" s="3">
        <v>3.7082793000000001</v>
      </c>
      <c r="AZ1013" s="3">
        <v>3.6881699999999999</v>
      </c>
      <c r="BA1013" s="3">
        <v>3.6684154000000002</v>
      </c>
      <c r="BB1013" s="3">
        <v>3.6490266</v>
      </c>
      <c r="BC1013" s="3">
        <v>3.6300216000000001</v>
      </c>
      <c r="BD1013" s="3">
        <v>3.6114185000000001</v>
      </c>
      <c r="BE1013" s="3">
        <v>3.5932350999999998</v>
      </c>
      <c r="BF1013" s="3">
        <v>3.5754893999999999</v>
      </c>
      <c r="BG1013" s="3">
        <v>3.5581995000000002</v>
      </c>
      <c r="BH1013" s="3">
        <v>3.5413833000000001</v>
      </c>
      <c r="BI1013" s="3">
        <v>3.5250588</v>
      </c>
      <c r="BJ1013" s="3">
        <v>3.5092439999999998</v>
      </c>
      <c r="BK1013" s="3">
        <v>3.4939567999999999</v>
      </c>
      <c r="BL1013" s="3">
        <v>3.4792152000000001</v>
      </c>
      <c r="BM1013" s="3">
        <v>3.4025561999999998</v>
      </c>
      <c r="BN1013" s="3">
        <v>3.3459780000000001</v>
      </c>
    </row>
    <row r="1014" spans="1:66" x14ac:dyDescent="0.35">
      <c r="A1014" s="5">
        <f t="shared" si="15"/>
        <v>44874</v>
      </c>
      <c r="B1014" t="s">
        <v>2410</v>
      </c>
      <c r="C1014" s="2">
        <v>3</v>
      </c>
      <c r="D1014" s="2">
        <v>2.9262999999999999</v>
      </c>
      <c r="E1014" s="3">
        <v>3.1185982000000001</v>
      </c>
      <c r="F1014" s="3">
        <v>3.5287321</v>
      </c>
      <c r="G1014" s="3">
        <v>3.8523196999999998</v>
      </c>
      <c r="H1014" s="3">
        <v>4.1018144000000003</v>
      </c>
      <c r="I1014" s="3">
        <v>4.2885223000000003</v>
      </c>
      <c r="J1014" s="3">
        <v>4.4225162999999998</v>
      </c>
      <c r="K1014" s="3">
        <v>4.5135382999999996</v>
      </c>
      <c r="L1014" s="3">
        <v>4.5739599999999996</v>
      </c>
      <c r="M1014" s="3">
        <v>4.6139754999999996</v>
      </c>
      <c r="N1014" s="3">
        <v>4.6402051000000002</v>
      </c>
      <c r="O1014" s="3">
        <v>4.6560419</v>
      </c>
      <c r="P1014" s="3">
        <v>4.6625354999999997</v>
      </c>
      <c r="Q1014" s="3">
        <v>4.6589463000000002</v>
      </c>
      <c r="R1014" s="3">
        <v>4.6459967999999998</v>
      </c>
      <c r="S1014" s="3">
        <v>4.6248860000000001</v>
      </c>
      <c r="T1014" s="3">
        <v>4.5968125999999998</v>
      </c>
      <c r="U1014" s="3">
        <v>4.5629754</v>
      </c>
      <c r="V1014" s="3">
        <v>4.5245734000000004</v>
      </c>
      <c r="W1014" s="3">
        <v>4.4827456000000003</v>
      </c>
      <c r="X1014" s="3">
        <v>4.4384034000000003</v>
      </c>
      <c r="Y1014" s="3">
        <v>4.3924041000000003</v>
      </c>
      <c r="Z1014" s="3">
        <v>4.3456049999999999</v>
      </c>
      <c r="AA1014" s="3">
        <v>4.2988632000000004</v>
      </c>
      <c r="AB1014" s="3">
        <v>4.2530361000000001</v>
      </c>
      <c r="AC1014" s="3">
        <v>4.2088656000000002</v>
      </c>
      <c r="AD1014" s="3">
        <v>4.1664729999999999</v>
      </c>
      <c r="AE1014" s="3">
        <v>4.1257713000000003</v>
      </c>
      <c r="AF1014" s="3">
        <v>4.0866734999999998</v>
      </c>
      <c r="AG1014" s="3">
        <v>4.0490925999999998</v>
      </c>
      <c r="AH1014" s="3">
        <v>4.0129416000000004</v>
      </c>
      <c r="AI1014" s="3">
        <v>3.9781333999999999</v>
      </c>
      <c r="AJ1014" s="3">
        <v>3.9445809000000001</v>
      </c>
      <c r="AK1014" s="3">
        <v>3.9121971000000002</v>
      </c>
      <c r="AL1014" s="3">
        <v>3.8808950000000002</v>
      </c>
      <c r="AM1014" s="3">
        <v>3.8505875999999999</v>
      </c>
      <c r="AN1014" s="3">
        <v>3.8211878000000001</v>
      </c>
      <c r="AO1014" s="3">
        <v>3.7926152000000002</v>
      </c>
      <c r="AP1014" s="3">
        <v>3.7648223000000001</v>
      </c>
      <c r="AQ1014" s="3">
        <v>3.7377715</v>
      </c>
      <c r="AR1014" s="3">
        <v>3.7114251</v>
      </c>
      <c r="AS1014" s="3">
        <v>3.6857454999999999</v>
      </c>
      <c r="AT1014" s="3">
        <v>3.6606950999999999</v>
      </c>
      <c r="AU1014" s="3">
        <v>3.6362361999999999</v>
      </c>
      <c r="AV1014" s="3">
        <v>3.6123311999999999</v>
      </c>
      <c r="AW1014" s="3">
        <v>3.5889424999999999</v>
      </c>
      <c r="AX1014" s="3">
        <v>3.5660324999999999</v>
      </c>
      <c r="AY1014" s="3">
        <v>3.5435634</v>
      </c>
      <c r="AZ1014" s="3">
        <v>3.5214978000000001</v>
      </c>
      <c r="BA1014" s="3">
        <v>3.4998064000000002</v>
      </c>
      <c r="BB1014" s="3">
        <v>3.4784978</v>
      </c>
      <c r="BC1014" s="3">
        <v>3.4575906000000001</v>
      </c>
      <c r="BD1014" s="3">
        <v>3.4371037000000002</v>
      </c>
      <c r="BE1014" s="3">
        <v>3.4170558</v>
      </c>
      <c r="BF1014" s="3">
        <v>3.3974658999999998</v>
      </c>
      <c r="BG1014" s="3">
        <v>3.3783525000000001</v>
      </c>
      <c r="BH1014" s="3">
        <v>3.3597345999999999</v>
      </c>
      <c r="BI1014" s="3">
        <v>3.3416309000000002</v>
      </c>
      <c r="BJ1014" s="3">
        <v>3.3240601999999999</v>
      </c>
      <c r="BK1014" s="3">
        <v>3.3070412999999999</v>
      </c>
      <c r="BL1014" s="3">
        <v>3.2905929999999999</v>
      </c>
      <c r="BM1014" s="3">
        <v>3.2042826999999998</v>
      </c>
      <c r="BN1014" s="3">
        <v>3.1392758999999999</v>
      </c>
    </row>
    <row r="1015" spans="1:66" x14ac:dyDescent="0.35">
      <c r="A1015" s="5">
        <f t="shared" si="15"/>
        <v>44875</v>
      </c>
      <c r="B1015" t="s">
        <v>2411</v>
      </c>
      <c r="C1015" s="2">
        <v>3</v>
      </c>
      <c r="D1015" s="2">
        <v>2.9264999999999999</v>
      </c>
      <c r="E1015" s="3">
        <v>3.1055437000000001</v>
      </c>
      <c r="F1015" s="3">
        <v>3.5093093</v>
      </c>
      <c r="G1015" s="3">
        <v>3.8227481000000001</v>
      </c>
      <c r="H1015" s="3">
        <v>4.0607949000000003</v>
      </c>
      <c r="I1015" s="3">
        <v>4.236256</v>
      </c>
      <c r="J1015" s="3">
        <v>4.3571109000000003</v>
      </c>
      <c r="K1015" s="3">
        <v>4.4328015000000001</v>
      </c>
      <c r="L1015" s="3">
        <v>4.4755684999999996</v>
      </c>
      <c r="M1015" s="3">
        <v>4.4977270999999996</v>
      </c>
      <c r="N1015" s="3">
        <v>4.5072501999999997</v>
      </c>
      <c r="O1015" s="3">
        <v>4.5085014000000001</v>
      </c>
      <c r="P1015" s="3">
        <v>4.5029338000000001</v>
      </c>
      <c r="Q1015" s="3">
        <v>4.4900244000000002</v>
      </c>
      <c r="R1015" s="3">
        <v>4.4702963000000002</v>
      </c>
      <c r="S1015" s="3">
        <v>4.4446418000000003</v>
      </c>
      <c r="T1015" s="3">
        <v>4.4139533999999996</v>
      </c>
      <c r="U1015" s="3">
        <v>4.3791235999999998</v>
      </c>
      <c r="V1015" s="3">
        <v>4.3410450000000003</v>
      </c>
      <c r="W1015" s="3">
        <v>4.3005601999999996</v>
      </c>
      <c r="X1015" s="3">
        <v>4.2583224</v>
      </c>
      <c r="Y1015" s="3">
        <v>4.2149397000000004</v>
      </c>
      <c r="Z1015" s="3">
        <v>4.1710203000000003</v>
      </c>
      <c r="AA1015" s="3">
        <v>4.1271722000000004</v>
      </c>
      <c r="AB1015" s="3">
        <v>4.0840036</v>
      </c>
      <c r="AC1015" s="3">
        <v>4.0420353000000002</v>
      </c>
      <c r="AD1015" s="3">
        <v>4.0013633000000004</v>
      </c>
      <c r="AE1015" s="3">
        <v>3.9619540999999998</v>
      </c>
      <c r="AF1015" s="3">
        <v>3.9237742999999998</v>
      </c>
      <c r="AG1015" s="3">
        <v>3.8867902999999999</v>
      </c>
      <c r="AH1015" s="3">
        <v>3.8509685999999999</v>
      </c>
      <c r="AI1015" s="3">
        <v>3.8162758999999999</v>
      </c>
      <c r="AJ1015" s="3">
        <v>3.7826786000000001</v>
      </c>
      <c r="AK1015" s="3">
        <v>3.7501432000000001</v>
      </c>
      <c r="AL1015" s="3">
        <v>3.7186363</v>
      </c>
      <c r="AM1015" s="3">
        <v>3.6881244</v>
      </c>
      <c r="AN1015" s="3">
        <v>3.6585740000000002</v>
      </c>
      <c r="AO1015" s="3">
        <v>3.6299518000000002</v>
      </c>
      <c r="AP1015" s="3">
        <v>3.6022246</v>
      </c>
      <c r="AQ1015" s="3">
        <v>3.5753594999999998</v>
      </c>
      <c r="AR1015" s="3">
        <v>3.5493237</v>
      </c>
      <c r="AS1015" s="3">
        <v>3.5240840000000002</v>
      </c>
      <c r="AT1015" s="3">
        <v>3.4996076999999999</v>
      </c>
      <c r="AU1015" s="3">
        <v>3.4758616</v>
      </c>
      <c r="AV1015" s="3">
        <v>3.4528129999999999</v>
      </c>
      <c r="AW1015" s="3">
        <v>3.4304287000000002</v>
      </c>
      <c r="AX1015" s="3">
        <v>3.4086759999999998</v>
      </c>
      <c r="AY1015" s="3">
        <v>3.3875217000000002</v>
      </c>
      <c r="AZ1015" s="3">
        <v>3.3669330999999998</v>
      </c>
      <c r="BA1015" s="3">
        <v>3.3468819999999999</v>
      </c>
      <c r="BB1015" s="3">
        <v>3.3273625</v>
      </c>
      <c r="BC1015" s="3">
        <v>3.3083748000000002</v>
      </c>
      <c r="BD1015" s="3">
        <v>3.2899186999999999</v>
      </c>
      <c r="BE1015" s="3">
        <v>3.2719944999999999</v>
      </c>
      <c r="BF1015" s="3">
        <v>3.2546021999999999</v>
      </c>
      <c r="BG1015" s="3">
        <v>3.2377417999999998</v>
      </c>
      <c r="BH1015" s="3">
        <v>3.2214133999999999</v>
      </c>
      <c r="BI1015" s="3">
        <v>3.2056171</v>
      </c>
      <c r="BJ1015" s="3">
        <v>3.190353</v>
      </c>
      <c r="BK1015" s="3">
        <v>3.1756212000000001</v>
      </c>
      <c r="BL1015" s="3">
        <v>3.1614216000000002</v>
      </c>
      <c r="BM1015" s="3">
        <v>3.0873105999999999</v>
      </c>
      <c r="BN1015" s="3">
        <v>3.0318003</v>
      </c>
    </row>
    <row r="1016" spans="1:66" x14ac:dyDescent="0.35">
      <c r="A1016" s="5">
        <f t="shared" si="15"/>
        <v>44876</v>
      </c>
      <c r="B1016" t="s">
        <v>2412</v>
      </c>
      <c r="C1016" s="2">
        <v>3</v>
      </c>
      <c r="D1016" s="2">
        <v>2.9268000000000001</v>
      </c>
      <c r="E1016" s="3">
        <v>3.1176039000000002</v>
      </c>
      <c r="F1016" s="3">
        <v>3.5168043</v>
      </c>
      <c r="G1016" s="3">
        <v>3.8236718000000001</v>
      </c>
      <c r="H1016" s="3">
        <v>4.0586263999999996</v>
      </c>
      <c r="I1016" s="3">
        <v>4.2368866000000001</v>
      </c>
      <c r="J1016" s="3">
        <v>4.3654035000000002</v>
      </c>
      <c r="K1016" s="3">
        <v>4.4518863</v>
      </c>
      <c r="L1016" s="3">
        <v>4.5057029000000002</v>
      </c>
      <c r="M1016" s="3">
        <v>4.5365824000000003</v>
      </c>
      <c r="N1016" s="3">
        <v>4.5509136999999997</v>
      </c>
      <c r="O1016" s="3">
        <v>4.552397</v>
      </c>
      <c r="P1016" s="3">
        <v>4.5429769000000002</v>
      </c>
      <c r="Q1016" s="3">
        <v>4.5233280000000002</v>
      </c>
      <c r="R1016" s="3">
        <v>4.4948268999999996</v>
      </c>
      <c r="S1016" s="3">
        <v>4.4591512</v>
      </c>
      <c r="T1016" s="3">
        <v>4.4179785000000003</v>
      </c>
      <c r="U1016" s="3">
        <v>4.3729864999999997</v>
      </c>
      <c r="V1016" s="3">
        <v>4.3258527999999998</v>
      </c>
      <c r="W1016" s="3">
        <v>4.2780858000000004</v>
      </c>
      <c r="X1016" s="3">
        <v>4.2304078000000001</v>
      </c>
      <c r="Y1016" s="3">
        <v>4.1833133</v>
      </c>
      <c r="Z1016" s="3">
        <v>4.1372970000000002</v>
      </c>
      <c r="AA1016" s="3">
        <v>4.0928535000000004</v>
      </c>
      <c r="AB1016" s="3">
        <v>4.0504772999999998</v>
      </c>
      <c r="AC1016" s="3">
        <v>4.0105615999999999</v>
      </c>
      <c r="AD1016" s="3">
        <v>3.9730512</v>
      </c>
      <c r="AE1016" s="3">
        <v>3.9377675999999999</v>
      </c>
      <c r="AF1016" s="3">
        <v>3.9045318999999998</v>
      </c>
      <c r="AG1016" s="3">
        <v>3.8731654</v>
      </c>
      <c r="AH1016" s="3">
        <v>3.8434895</v>
      </c>
      <c r="AI1016" s="3">
        <v>3.8153255000000001</v>
      </c>
      <c r="AJ1016" s="3">
        <v>3.7884945999999999</v>
      </c>
      <c r="AK1016" s="3">
        <v>3.7628181000000001</v>
      </c>
      <c r="AL1016" s="3">
        <v>3.7381172999999999</v>
      </c>
      <c r="AM1016" s="3">
        <v>3.7142135999999999</v>
      </c>
      <c r="AN1016" s="3">
        <v>3.6909280999999998</v>
      </c>
      <c r="AO1016" s="3">
        <v>3.6681062999999998</v>
      </c>
      <c r="AP1016" s="3">
        <v>3.6456993</v>
      </c>
      <c r="AQ1016" s="3">
        <v>3.6236875999999998</v>
      </c>
      <c r="AR1016" s="3">
        <v>3.6020519000000002</v>
      </c>
      <c r="AS1016" s="3">
        <v>3.5807725000000001</v>
      </c>
      <c r="AT1016" s="3">
        <v>3.5598299</v>
      </c>
      <c r="AU1016" s="3">
        <v>3.5392047999999998</v>
      </c>
      <c r="AV1016" s="3">
        <v>3.5188774999999999</v>
      </c>
      <c r="AW1016" s="3">
        <v>3.4988286</v>
      </c>
      <c r="AX1016" s="3">
        <v>3.4790385000000001</v>
      </c>
      <c r="AY1016" s="3">
        <v>3.4594879000000001</v>
      </c>
      <c r="AZ1016" s="3">
        <v>3.4401571</v>
      </c>
      <c r="BA1016" s="3">
        <v>3.4210335999999999</v>
      </c>
      <c r="BB1016" s="3">
        <v>3.4021351000000002</v>
      </c>
      <c r="BC1016" s="3">
        <v>3.3834875000000002</v>
      </c>
      <c r="BD1016" s="3">
        <v>3.3651170000000001</v>
      </c>
      <c r="BE1016" s="3">
        <v>3.3470496000000001</v>
      </c>
      <c r="BF1016" s="3">
        <v>3.3293113000000001</v>
      </c>
      <c r="BG1016" s="3">
        <v>3.3119282000000001</v>
      </c>
      <c r="BH1016" s="3">
        <v>3.2949264</v>
      </c>
      <c r="BI1016" s="3">
        <v>3.2783319</v>
      </c>
      <c r="BJ1016" s="3">
        <v>3.2621707999999998</v>
      </c>
      <c r="BK1016" s="3">
        <v>3.2464689999999998</v>
      </c>
      <c r="BL1016" s="3">
        <v>3.2312528</v>
      </c>
      <c r="BM1016" s="3">
        <v>3.1507998000000002</v>
      </c>
      <c r="BN1016" s="3">
        <v>3.0894811999999998</v>
      </c>
    </row>
    <row r="1017" spans="1:66" x14ac:dyDescent="0.35">
      <c r="A1017" s="5">
        <f t="shared" si="15"/>
        <v>44879</v>
      </c>
      <c r="B1017" t="s">
        <v>2413</v>
      </c>
      <c r="C1017" s="2">
        <v>3</v>
      </c>
      <c r="D1017" s="2">
        <v>2.9266000000000001</v>
      </c>
      <c r="E1017" s="3">
        <v>3.1592072</v>
      </c>
      <c r="F1017" s="3">
        <v>3.5861428000000002</v>
      </c>
      <c r="G1017" s="3">
        <v>3.8942017</v>
      </c>
      <c r="H1017" s="3">
        <v>4.1158614</v>
      </c>
      <c r="I1017" s="3">
        <v>4.2789083000000003</v>
      </c>
      <c r="J1017" s="3">
        <v>4.3937081999999998</v>
      </c>
      <c r="K1017" s="3">
        <v>4.4692331000000003</v>
      </c>
      <c r="L1017" s="3">
        <v>4.5144402000000001</v>
      </c>
      <c r="M1017" s="3">
        <v>4.5381752000000004</v>
      </c>
      <c r="N1017" s="3">
        <v>4.5465941000000001</v>
      </c>
      <c r="O1017" s="3">
        <v>4.5435414999999999</v>
      </c>
      <c r="P1017" s="3">
        <v>4.5313331999999997</v>
      </c>
      <c r="Q1017" s="3">
        <v>4.5113608999999997</v>
      </c>
      <c r="R1017" s="3">
        <v>4.4848191999999996</v>
      </c>
      <c r="S1017" s="3">
        <v>4.4529008000000001</v>
      </c>
      <c r="T1017" s="3">
        <v>4.4167987000000002</v>
      </c>
      <c r="U1017" s="3">
        <v>4.3777059999999999</v>
      </c>
      <c r="V1017" s="3">
        <v>4.3368155000000002</v>
      </c>
      <c r="W1017" s="3">
        <v>4.2951743999999996</v>
      </c>
      <c r="X1017" s="3">
        <v>4.2532743999999996</v>
      </c>
      <c r="Y1017" s="3">
        <v>4.2114751999999998</v>
      </c>
      <c r="Z1017" s="3">
        <v>4.1701363000000002</v>
      </c>
      <c r="AA1017" s="3">
        <v>4.1296173999999999</v>
      </c>
      <c r="AB1017" s="3">
        <v>4.0902779999999996</v>
      </c>
      <c r="AC1017" s="3">
        <v>4.0524108999999999</v>
      </c>
      <c r="AD1017" s="3">
        <v>4.0160134999999997</v>
      </c>
      <c r="AE1017" s="3">
        <v>3.9810020000000002</v>
      </c>
      <c r="AF1017" s="3">
        <v>3.9472922000000001</v>
      </c>
      <c r="AG1017" s="3">
        <v>3.9148003</v>
      </c>
      <c r="AH1017" s="3">
        <v>3.8834422000000002</v>
      </c>
      <c r="AI1017" s="3">
        <v>3.8531339999999998</v>
      </c>
      <c r="AJ1017" s="3">
        <v>3.8237915999999998</v>
      </c>
      <c r="AK1017" s="3">
        <v>3.7953310999999998</v>
      </c>
      <c r="AL1017" s="3">
        <v>3.7676685000000001</v>
      </c>
      <c r="AM1017" s="3">
        <v>3.7407197999999999</v>
      </c>
      <c r="AN1017" s="3">
        <v>3.7144010999999999</v>
      </c>
      <c r="AO1017" s="3">
        <v>3.6886391000000001</v>
      </c>
      <c r="AP1017" s="3">
        <v>3.6634083</v>
      </c>
      <c r="AQ1017" s="3">
        <v>3.6386962999999999</v>
      </c>
      <c r="AR1017" s="3">
        <v>3.6144907000000002</v>
      </c>
      <c r="AS1017" s="3">
        <v>3.5907790999999998</v>
      </c>
      <c r="AT1017" s="3">
        <v>3.5675492000000002</v>
      </c>
      <c r="AU1017" s="3">
        <v>3.5447883999999998</v>
      </c>
      <c r="AV1017" s="3">
        <v>3.5224845</v>
      </c>
      <c r="AW1017" s="3">
        <v>3.5006249999999999</v>
      </c>
      <c r="AX1017" s="3">
        <v>3.4791975000000002</v>
      </c>
      <c r="AY1017" s="3">
        <v>3.4581895999999999</v>
      </c>
      <c r="AZ1017" s="3">
        <v>3.437589</v>
      </c>
      <c r="BA1017" s="3">
        <v>3.4173867000000002</v>
      </c>
      <c r="BB1017" s="3">
        <v>3.3975928</v>
      </c>
      <c r="BC1017" s="3">
        <v>3.3782236000000001</v>
      </c>
      <c r="BD1017" s="3">
        <v>3.3592954000000002</v>
      </c>
      <c r="BE1017" s="3">
        <v>3.3408248</v>
      </c>
      <c r="BF1017" s="3">
        <v>3.3228279000000001</v>
      </c>
      <c r="BG1017" s="3">
        <v>3.3053213000000001</v>
      </c>
      <c r="BH1017" s="3">
        <v>3.2883211000000001</v>
      </c>
      <c r="BI1017" s="3">
        <v>3.2718438999999999</v>
      </c>
      <c r="BJ1017" s="3">
        <v>3.255906</v>
      </c>
      <c r="BK1017" s="3">
        <v>3.2405236999999998</v>
      </c>
      <c r="BL1017" s="3">
        <v>3.2257134000000001</v>
      </c>
      <c r="BM1017" s="3">
        <v>3.1491520999999998</v>
      </c>
      <c r="BN1017" s="3">
        <v>3.0934539000000001</v>
      </c>
    </row>
    <row r="1018" spans="1:66" x14ac:dyDescent="0.35">
      <c r="A1018" s="5">
        <f t="shared" si="15"/>
        <v>44880</v>
      </c>
      <c r="B1018" t="s">
        <v>2414</v>
      </c>
      <c r="C1018" s="2">
        <v>3</v>
      </c>
      <c r="D1018" s="2">
        <v>2.9268999999999998</v>
      </c>
      <c r="E1018" s="3">
        <v>3.1676981999999998</v>
      </c>
      <c r="F1018" s="3">
        <v>3.6024077999999999</v>
      </c>
      <c r="G1018" s="3">
        <v>3.9081692000000001</v>
      </c>
      <c r="H1018" s="3">
        <v>4.1220862</v>
      </c>
      <c r="I1018" s="3">
        <v>4.2759653999999996</v>
      </c>
      <c r="J1018" s="3">
        <v>4.3845913000000003</v>
      </c>
      <c r="K1018" s="3">
        <v>4.4563354000000004</v>
      </c>
      <c r="L1018" s="3">
        <v>4.5003973000000004</v>
      </c>
      <c r="M1018" s="3">
        <v>4.5240277000000004</v>
      </c>
      <c r="N1018" s="3">
        <v>4.5327792000000002</v>
      </c>
      <c r="O1018" s="3">
        <v>4.5297371000000002</v>
      </c>
      <c r="P1018" s="3">
        <v>4.5169043000000002</v>
      </c>
      <c r="Q1018" s="3">
        <v>4.4956141000000001</v>
      </c>
      <c r="R1018" s="3">
        <v>4.4671669999999999</v>
      </c>
      <c r="S1018" s="3">
        <v>4.4328934000000002</v>
      </c>
      <c r="T1018" s="3">
        <v>4.3941238</v>
      </c>
      <c r="U1018" s="3">
        <v>4.3521888999999998</v>
      </c>
      <c r="V1018" s="3">
        <v>4.3084191000000001</v>
      </c>
      <c r="W1018" s="3">
        <v>4.2639722000000004</v>
      </c>
      <c r="X1018" s="3">
        <v>4.2193478999999998</v>
      </c>
      <c r="Y1018" s="3">
        <v>4.1748896000000002</v>
      </c>
      <c r="Z1018" s="3">
        <v>4.1309402000000004</v>
      </c>
      <c r="AA1018" s="3">
        <v>4.0878430000000003</v>
      </c>
      <c r="AB1018" s="3">
        <v>4.0459413</v>
      </c>
      <c r="AC1018" s="3">
        <v>4.0055149999999999</v>
      </c>
      <c r="AD1018" s="3">
        <v>3.9665659999999998</v>
      </c>
      <c r="AE1018" s="3">
        <v>3.9290193000000002</v>
      </c>
      <c r="AF1018" s="3">
        <v>3.8927998000000001</v>
      </c>
      <c r="AG1018" s="3">
        <v>3.8578323999999999</v>
      </c>
      <c r="AH1018" s="3">
        <v>3.8240422000000001</v>
      </c>
      <c r="AI1018" s="3">
        <v>3.7913540999999999</v>
      </c>
      <c r="AJ1018" s="3">
        <v>3.759693</v>
      </c>
      <c r="AK1018" s="3">
        <v>3.7289840000000001</v>
      </c>
      <c r="AL1018" s="3">
        <v>3.6991518999999999</v>
      </c>
      <c r="AM1018" s="3">
        <v>3.6701218</v>
      </c>
      <c r="AN1018" s="3">
        <v>3.6418187</v>
      </c>
      <c r="AO1018" s="3">
        <v>3.6141746000000001</v>
      </c>
      <c r="AP1018" s="3">
        <v>3.5871607999999999</v>
      </c>
      <c r="AQ1018" s="3">
        <v>3.5607617</v>
      </c>
      <c r="AR1018" s="3">
        <v>3.5349613999999998</v>
      </c>
      <c r="AS1018" s="3">
        <v>3.5097442000000001</v>
      </c>
      <c r="AT1018" s="3">
        <v>3.4850945000000002</v>
      </c>
      <c r="AU1018" s="3">
        <v>3.4609964999999998</v>
      </c>
      <c r="AV1018" s="3">
        <v>3.4374343999999999</v>
      </c>
      <c r="AW1018" s="3">
        <v>3.4143927000000001</v>
      </c>
      <c r="AX1018" s="3">
        <v>3.3918553999999999</v>
      </c>
      <c r="AY1018" s="3">
        <v>3.3698070000000002</v>
      </c>
      <c r="AZ1018" s="3">
        <v>3.3482316999999999</v>
      </c>
      <c r="BA1018" s="3">
        <v>3.3271174000000001</v>
      </c>
      <c r="BB1018" s="3">
        <v>3.3064699000000002</v>
      </c>
      <c r="BC1018" s="3">
        <v>3.2863001000000001</v>
      </c>
      <c r="BD1018" s="3">
        <v>3.2666192999999999</v>
      </c>
      <c r="BE1018" s="3">
        <v>3.2474384999999999</v>
      </c>
      <c r="BF1018" s="3">
        <v>3.2287688000000001</v>
      </c>
      <c r="BG1018" s="3">
        <v>3.2106214</v>
      </c>
      <c r="BH1018" s="3">
        <v>3.1930071999999998</v>
      </c>
      <c r="BI1018" s="3">
        <v>3.1759374999999999</v>
      </c>
      <c r="BJ1018" s="3">
        <v>3.1594232999999998</v>
      </c>
      <c r="BK1018" s="3">
        <v>3.1434757000000002</v>
      </c>
      <c r="BL1018" s="3">
        <v>3.1281059</v>
      </c>
      <c r="BM1018" s="3">
        <v>3.0482078000000001</v>
      </c>
      <c r="BN1018" s="3">
        <v>2.9892794</v>
      </c>
    </row>
    <row r="1019" spans="1:66" x14ac:dyDescent="0.35">
      <c r="A1019" s="5">
        <f t="shared" si="15"/>
        <v>44881</v>
      </c>
      <c r="B1019" t="s">
        <v>2415</v>
      </c>
      <c r="C1019" s="2">
        <v>3</v>
      </c>
      <c r="D1019" s="2">
        <v>2.9264999999999999</v>
      </c>
      <c r="E1019" s="3">
        <v>3.1857264000000001</v>
      </c>
      <c r="F1019" s="3">
        <v>3.6141448999999999</v>
      </c>
      <c r="G1019" s="3">
        <v>3.9207721000000002</v>
      </c>
      <c r="H1019" s="3">
        <v>4.1381380999999999</v>
      </c>
      <c r="I1019" s="3">
        <v>4.2936247999999999</v>
      </c>
      <c r="J1019" s="3">
        <v>4.4007123999999997</v>
      </c>
      <c r="K1019" s="3">
        <v>4.4695644000000003</v>
      </c>
      <c r="L1019" s="3">
        <v>4.5093370000000004</v>
      </c>
      <c r="M1019" s="3">
        <v>4.5272610000000002</v>
      </c>
      <c r="N1019" s="3">
        <v>4.5284142000000003</v>
      </c>
      <c r="O1019" s="3">
        <v>4.5162146999999999</v>
      </c>
      <c r="P1019" s="3">
        <v>4.4926566000000001</v>
      </c>
      <c r="Q1019" s="3">
        <v>4.4597281999999998</v>
      </c>
      <c r="R1019" s="3">
        <v>4.4191510999999997</v>
      </c>
      <c r="S1019" s="3">
        <v>4.3725522000000003</v>
      </c>
      <c r="T1019" s="3">
        <v>4.3215579000000002</v>
      </c>
      <c r="U1019" s="3">
        <v>4.2677950999999998</v>
      </c>
      <c r="V1019" s="3">
        <v>4.2128902999999998</v>
      </c>
      <c r="W1019" s="3">
        <v>4.1582499000000004</v>
      </c>
      <c r="X1019" s="3">
        <v>4.1044407999999999</v>
      </c>
      <c r="Y1019" s="3">
        <v>4.0518302999999998</v>
      </c>
      <c r="Z1019" s="3">
        <v>4.0007858000000001</v>
      </c>
      <c r="AA1019" s="3">
        <v>3.9516746</v>
      </c>
      <c r="AB1019" s="3">
        <v>3.9048639000000001</v>
      </c>
      <c r="AC1019" s="3">
        <v>3.8606541999999999</v>
      </c>
      <c r="AD1019" s="3">
        <v>3.8189850000000001</v>
      </c>
      <c r="AE1019" s="3">
        <v>3.7796750000000001</v>
      </c>
      <c r="AF1019" s="3">
        <v>3.7425429000000001</v>
      </c>
      <c r="AG1019" s="3">
        <v>3.7074072</v>
      </c>
      <c r="AH1019" s="3">
        <v>3.6740865</v>
      </c>
      <c r="AI1019" s="3">
        <v>3.6423994999999998</v>
      </c>
      <c r="AJ1019" s="3">
        <v>3.6121648</v>
      </c>
      <c r="AK1019" s="3">
        <v>3.5832009</v>
      </c>
      <c r="AL1019" s="3">
        <v>3.5553264000000002</v>
      </c>
      <c r="AM1019" s="3">
        <v>3.5283601</v>
      </c>
      <c r="AN1019" s="3">
        <v>3.5021203999999999</v>
      </c>
      <c r="AO1019" s="3">
        <v>3.4764477</v>
      </c>
      <c r="AP1019" s="3">
        <v>3.4512877</v>
      </c>
      <c r="AQ1019" s="3">
        <v>3.4266182999999999</v>
      </c>
      <c r="AR1019" s="3">
        <v>3.4024174999999999</v>
      </c>
      <c r="AS1019" s="3">
        <v>3.378663</v>
      </c>
      <c r="AT1019" s="3">
        <v>3.3553329000000001</v>
      </c>
      <c r="AU1019" s="3">
        <v>3.3324050000000001</v>
      </c>
      <c r="AV1019" s="3">
        <v>3.3098570999999999</v>
      </c>
      <c r="AW1019" s="3">
        <v>3.2876672999999998</v>
      </c>
      <c r="AX1019" s="3">
        <v>3.2658133999999999</v>
      </c>
      <c r="AY1019" s="3">
        <v>3.2442734</v>
      </c>
      <c r="AZ1019" s="3">
        <v>3.2230249999999998</v>
      </c>
      <c r="BA1019" s="3">
        <v>3.2020533000000002</v>
      </c>
      <c r="BB1019" s="3">
        <v>3.1813745</v>
      </c>
      <c r="BC1019" s="3">
        <v>3.1610133</v>
      </c>
      <c r="BD1019" s="3">
        <v>3.1409945000000001</v>
      </c>
      <c r="BE1019" s="3">
        <v>3.1213429000000001</v>
      </c>
      <c r="BF1019" s="3">
        <v>3.1020832</v>
      </c>
      <c r="BG1019" s="3">
        <v>3.0832402999999999</v>
      </c>
      <c r="BH1019" s="3">
        <v>3.0648390000000001</v>
      </c>
      <c r="BI1019" s="3">
        <v>3.0469039000000002</v>
      </c>
      <c r="BJ1019" s="3">
        <v>3.0294599</v>
      </c>
      <c r="BK1019" s="3">
        <v>3.0125318000000001</v>
      </c>
      <c r="BL1019" s="3">
        <v>2.9961443999999999</v>
      </c>
      <c r="BM1019" s="3">
        <v>2.9097563000000002</v>
      </c>
      <c r="BN1019" s="3">
        <v>2.8441949000000002</v>
      </c>
    </row>
    <row r="1020" spans="1:66" x14ac:dyDescent="0.35">
      <c r="A1020" s="5">
        <f t="shared" si="15"/>
        <v>44882</v>
      </c>
      <c r="B1020" t="s">
        <v>2416</v>
      </c>
      <c r="C1020" s="2">
        <v>3</v>
      </c>
      <c r="D1020" s="2">
        <v>2.9266000000000001</v>
      </c>
      <c r="E1020" s="3">
        <v>3.2181552999999998</v>
      </c>
      <c r="F1020" s="3">
        <v>3.6265814999999999</v>
      </c>
      <c r="G1020" s="3">
        <v>3.9381916000000001</v>
      </c>
      <c r="H1020" s="3">
        <v>4.1723337000000003</v>
      </c>
      <c r="I1020" s="3">
        <v>4.3456967000000004</v>
      </c>
      <c r="J1020" s="3">
        <v>4.4662538999999999</v>
      </c>
      <c r="K1020" s="3">
        <v>4.5439850000000002</v>
      </c>
      <c r="L1020" s="3">
        <v>4.5887612000000004</v>
      </c>
      <c r="M1020" s="3">
        <v>4.6101631000000003</v>
      </c>
      <c r="N1020" s="3">
        <v>4.6145395000000002</v>
      </c>
      <c r="O1020" s="3">
        <v>4.6059508999999998</v>
      </c>
      <c r="P1020" s="3">
        <v>4.5863825</v>
      </c>
      <c r="Q1020" s="3">
        <v>4.5567586999999996</v>
      </c>
      <c r="R1020" s="3">
        <v>4.5185629</v>
      </c>
      <c r="S1020" s="3">
        <v>4.4734670000000003</v>
      </c>
      <c r="T1020" s="3">
        <v>4.4231427999999999</v>
      </c>
      <c r="U1020" s="3">
        <v>4.3692621000000003</v>
      </c>
      <c r="V1020" s="3">
        <v>4.3134968999999996</v>
      </c>
      <c r="W1020" s="3">
        <v>4.2573153000000001</v>
      </c>
      <c r="X1020" s="3">
        <v>4.2014101999999998</v>
      </c>
      <c r="Y1020" s="3">
        <v>4.1462903000000004</v>
      </c>
      <c r="Z1020" s="3">
        <v>4.0924639000000003</v>
      </c>
      <c r="AA1020" s="3">
        <v>4.0404394999999997</v>
      </c>
      <c r="AB1020" s="3">
        <v>3.9907257</v>
      </c>
      <c r="AC1020" s="3">
        <v>3.9437376</v>
      </c>
      <c r="AD1020" s="3">
        <v>3.8994355000000001</v>
      </c>
      <c r="AE1020" s="3">
        <v>3.8576412000000002</v>
      </c>
      <c r="AF1020" s="3">
        <v>3.8181767999999998</v>
      </c>
      <c r="AG1020" s="3">
        <v>3.7808638999999999</v>
      </c>
      <c r="AH1020" s="3">
        <v>3.7455246</v>
      </c>
      <c r="AI1020" s="3">
        <v>3.7119806</v>
      </c>
      <c r="AJ1020" s="3">
        <v>3.6800538</v>
      </c>
      <c r="AK1020" s="3">
        <v>3.6495662000000002</v>
      </c>
      <c r="AL1020" s="3">
        <v>3.6203395</v>
      </c>
      <c r="AM1020" s="3">
        <v>3.5921956000000002</v>
      </c>
      <c r="AN1020" s="3">
        <v>3.5649565000000001</v>
      </c>
      <c r="AO1020" s="3">
        <v>3.5384649000000001</v>
      </c>
      <c r="AP1020" s="3">
        <v>3.5126566000000001</v>
      </c>
      <c r="AQ1020" s="3">
        <v>3.4874928000000001</v>
      </c>
      <c r="AR1020" s="3">
        <v>3.4629348000000002</v>
      </c>
      <c r="AS1020" s="3">
        <v>3.4389436999999998</v>
      </c>
      <c r="AT1020" s="3">
        <v>3.4154810000000002</v>
      </c>
      <c r="AU1020" s="3">
        <v>3.3925078000000002</v>
      </c>
      <c r="AV1020" s="3">
        <v>3.3699854</v>
      </c>
      <c r="AW1020" s="3">
        <v>3.3478751</v>
      </c>
      <c r="AX1020" s="3">
        <v>3.3261379999999998</v>
      </c>
      <c r="AY1020" s="3">
        <v>3.3047355999999999</v>
      </c>
      <c r="AZ1020" s="3">
        <v>3.2836289999999999</v>
      </c>
      <c r="BA1020" s="3">
        <v>3.2627885000000001</v>
      </c>
      <c r="BB1020" s="3">
        <v>3.2422236</v>
      </c>
      <c r="BC1020" s="3">
        <v>3.2219549999999999</v>
      </c>
      <c r="BD1020" s="3">
        <v>3.2020031000000002</v>
      </c>
      <c r="BE1020" s="3">
        <v>3.1823885999999999</v>
      </c>
      <c r="BF1020" s="3">
        <v>3.1631320000000001</v>
      </c>
      <c r="BG1020" s="3">
        <v>3.1442538</v>
      </c>
      <c r="BH1020" s="3">
        <v>3.1257746000000002</v>
      </c>
      <c r="BI1020" s="3">
        <v>3.1077148000000001</v>
      </c>
      <c r="BJ1020" s="3">
        <v>3.0900951999999999</v>
      </c>
      <c r="BK1020" s="3">
        <v>3.0729361000000002</v>
      </c>
      <c r="BL1020" s="3">
        <v>3.0562581999999998</v>
      </c>
      <c r="BM1020" s="3">
        <v>2.9669325999999998</v>
      </c>
      <c r="BN1020" s="3">
        <v>2.8969960000000001</v>
      </c>
    </row>
    <row r="1021" spans="1:66" x14ac:dyDescent="0.35">
      <c r="A1021" s="5">
        <f t="shared" si="15"/>
        <v>44883</v>
      </c>
      <c r="B1021" t="s">
        <v>2417</v>
      </c>
      <c r="C1021" s="2">
        <v>3</v>
      </c>
      <c r="D1021" s="2">
        <v>2.9275000000000002</v>
      </c>
      <c r="E1021" s="3">
        <v>3.2353695</v>
      </c>
      <c r="F1021" s="3">
        <v>3.6392136000000002</v>
      </c>
      <c r="G1021" s="3">
        <v>3.9472632000000001</v>
      </c>
      <c r="H1021" s="3">
        <v>4.1813849000000003</v>
      </c>
      <c r="I1021" s="3">
        <v>4.3567749999999998</v>
      </c>
      <c r="J1021" s="3">
        <v>4.4796788999999997</v>
      </c>
      <c r="K1021" s="3">
        <v>4.5591787000000004</v>
      </c>
      <c r="L1021" s="3">
        <v>4.6057129000000003</v>
      </c>
      <c r="M1021" s="3">
        <v>4.6293213</v>
      </c>
      <c r="N1021" s="3">
        <v>4.6364571999999997</v>
      </c>
      <c r="O1021" s="3">
        <v>4.6308661000000004</v>
      </c>
      <c r="P1021" s="3">
        <v>4.6146592000000002</v>
      </c>
      <c r="Q1021" s="3">
        <v>4.5887621000000003</v>
      </c>
      <c r="R1021" s="3">
        <v>4.5545787999999998</v>
      </c>
      <c r="S1021" s="3">
        <v>4.5137388999999999</v>
      </c>
      <c r="T1021" s="3">
        <v>4.4678718999999996</v>
      </c>
      <c r="U1021" s="3">
        <v>4.4186071</v>
      </c>
      <c r="V1021" s="3">
        <v>4.3675742</v>
      </c>
      <c r="W1021" s="3">
        <v>4.3162208</v>
      </c>
      <c r="X1021" s="3">
        <v>4.2651510000000004</v>
      </c>
      <c r="Y1021" s="3">
        <v>4.2147243000000003</v>
      </c>
      <c r="Z1021" s="3">
        <v>4.1653003000000002</v>
      </c>
      <c r="AA1021" s="3">
        <v>4.1172385</v>
      </c>
      <c r="AB1021" s="3">
        <v>4.0708986999999999</v>
      </c>
      <c r="AC1021" s="3">
        <v>4.0265671000000003</v>
      </c>
      <c r="AD1021" s="3">
        <v>3.9842067000000001</v>
      </c>
      <c r="AE1021" s="3">
        <v>3.9436914000000001</v>
      </c>
      <c r="AF1021" s="3">
        <v>3.9048949999999998</v>
      </c>
      <c r="AG1021" s="3">
        <v>3.8676913000000002</v>
      </c>
      <c r="AH1021" s="3">
        <v>3.8319543</v>
      </c>
      <c r="AI1021" s="3">
        <v>3.7975576000000002</v>
      </c>
      <c r="AJ1021" s="3">
        <v>3.7643751999999999</v>
      </c>
      <c r="AK1021" s="3">
        <v>3.7322809000000001</v>
      </c>
      <c r="AL1021" s="3">
        <v>3.7011485</v>
      </c>
      <c r="AM1021" s="3">
        <v>3.6708517999999999</v>
      </c>
      <c r="AN1021" s="3">
        <v>3.6412646999999998</v>
      </c>
      <c r="AO1021" s="3">
        <v>3.6122774999999998</v>
      </c>
      <c r="AP1021" s="3">
        <v>3.5838527999999998</v>
      </c>
      <c r="AQ1021" s="3">
        <v>3.5559737</v>
      </c>
      <c r="AR1021" s="3">
        <v>3.5286227999999999</v>
      </c>
      <c r="AS1021" s="3">
        <v>3.5017830000000001</v>
      </c>
      <c r="AT1021" s="3">
        <v>3.4754371000000002</v>
      </c>
      <c r="AU1021" s="3">
        <v>3.4495678999999999</v>
      </c>
      <c r="AV1021" s="3">
        <v>3.4241581999999999</v>
      </c>
      <c r="AW1021" s="3">
        <v>3.3991908999999998</v>
      </c>
      <c r="AX1021" s="3">
        <v>3.3746486999999998</v>
      </c>
      <c r="AY1021" s="3">
        <v>3.3505145000000001</v>
      </c>
      <c r="AZ1021" s="3">
        <v>3.3267711000000002</v>
      </c>
      <c r="BA1021" s="3">
        <v>3.3034064999999999</v>
      </c>
      <c r="BB1021" s="3">
        <v>3.2804318000000001</v>
      </c>
      <c r="BC1021" s="3">
        <v>3.2578646999999998</v>
      </c>
      <c r="BD1021" s="3">
        <v>3.2357225000000001</v>
      </c>
      <c r="BE1021" s="3">
        <v>3.2140227000000001</v>
      </c>
      <c r="BF1021" s="3">
        <v>3.1927829999999999</v>
      </c>
      <c r="BG1021" s="3">
        <v>3.1720207</v>
      </c>
      <c r="BH1021" s="3">
        <v>3.1517534999999999</v>
      </c>
      <c r="BI1021" s="3">
        <v>3.1319987</v>
      </c>
      <c r="BJ1021" s="3">
        <v>3.1127739000000001</v>
      </c>
      <c r="BK1021" s="3">
        <v>3.0940965999999999</v>
      </c>
      <c r="BL1021" s="3">
        <v>3.0759843</v>
      </c>
      <c r="BM1021" s="3">
        <v>2.9797585999999998</v>
      </c>
      <c r="BN1021" s="3">
        <v>2.9058742</v>
      </c>
    </row>
    <row r="1022" spans="1:66" x14ac:dyDescent="0.35">
      <c r="A1022" s="5">
        <f t="shared" si="15"/>
        <v>44886</v>
      </c>
      <c r="B1022" t="s">
        <v>2418</v>
      </c>
      <c r="C1022" s="2">
        <v>3</v>
      </c>
      <c r="D1022" s="2">
        <v>2.9275000000000002</v>
      </c>
      <c r="E1022" s="3">
        <v>3.2762902999999999</v>
      </c>
      <c r="F1022" s="3">
        <v>3.6504851999999999</v>
      </c>
      <c r="G1022" s="3">
        <v>3.9481080999999998</v>
      </c>
      <c r="H1022" s="3">
        <v>4.1801782999999997</v>
      </c>
      <c r="I1022" s="3">
        <v>4.3555533000000004</v>
      </c>
      <c r="J1022" s="3">
        <v>4.4765899999999998</v>
      </c>
      <c r="K1022" s="3">
        <v>4.5521115999999999</v>
      </c>
      <c r="L1022" s="3">
        <v>4.5932005</v>
      </c>
      <c r="M1022" s="3">
        <v>4.6107889000000002</v>
      </c>
      <c r="N1022" s="3">
        <v>4.6124561000000002</v>
      </c>
      <c r="O1022" s="3">
        <v>4.6029299999999997</v>
      </c>
      <c r="P1022" s="3">
        <v>4.5849209000000002</v>
      </c>
      <c r="Q1022" s="3">
        <v>4.5598121999999996</v>
      </c>
      <c r="R1022" s="3">
        <v>4.5286761000000002</v>
      </c>
      <c r="S1022" s="3">
        <v>4.4925781000000002</v>
      </c>
      <c r="T1022" s="3">
        <v>4.4525834</v>
      </c>
      <c r="U1022" s="3">
        <v>4.4097572999999999</v>
      </c>
      <c r="V1022" s="3">
        <v>4.3651650999999996</v>
      </c>
      <c r="W1022" s="3">
        <v>4.3197460000000003</v>
      </c>
      <c r="X1022" s="3">
        <v>4.2739592999999996</v>
      </c>
      <c r="Y1022" s="3">
        <v>4.2281500000000003</v>
      </c>
      <c r="Z1022" s="3">
        <v>4.1826634</v>
      </c>
      <c r="AA1022" s="3">
        <v>4.1378443000000003</v>
      </c>
      <c r="AB1022" s="3">
        <v>4.0940380000000003</v>
      </c>
      <c r="AC1022" s="3">
        <v>4.0515276</v>
      </c>
      <c r="AD1022" s="3">
        <v>4.0103226000000003</v>
      </c>
      <c r="AE1022" s="3">
        <v>3.9703574000000001</v>
      </c>
      <c r="AF1022" s="3">
        <v>3.9315660000000001</v>
      </c>
      <c r="AG1022" s="3">
        <v>3.8938826</v>
      </c>
      <c r="AH1022" s="3">
        <v>3.8572413999999999</v>
      </c>
      <c r="AI1022" s="3">
        <v>3.8215767</v>
      </c>
      <c r="AJ1022" s="3">
        <v>3.7868225</v>
      </c>
      <c r="AK1022" s="3">
        <v>3.7529130999999998</v>
      </c>
      <c r="AL1022" s="3">
        <v>3.7197825999999998</v>
      </c>
      <c r="AM1022" s="3">
        <v>3.6873651999999999</v>
      </c>
      <c r="AN1022" s="3">
        <v>3.6555951000000002</v>
      </c>
      <c r="AO1022" s="3">
        <v>3.6244152000000001</v>
      </c>
      <c r="AP1022" s="3">
        <v>3.5938064999999999</v>
      </c>
      <c r="AQ1022" s="3">
        <v>3.5637607</v>
      </c>
      <c r="AR1022" s="3">
        <v>3.5342695000000002</v>
      </c>
      <c r="AS1022" s="3">
        <v>3.5053245</v>
      </c>
      <c r="AT1022" s="3">
        <v>3.4769173000000002</v>
      </c>
      <c r="AU1022" s="3">
        <v>3.4490397000000002</v>
      </c>
      <c r="AV1022" s="3">
        <v>3.4216831999999999</v>
      </c>
      <c r="AW1022" s="3">
        <v>3.3948396000000001</v>
      </c>
      <c r="AX1022" s="3">
        <v>3.3685003999999998</v>
      </c>
      <c r="AY1022" s="3">
        <v>3.3426575000000001</v>
      </c>
      <c r="AZ1022" s="3">
        <v>3.3173023000000001</v>
      </c>
      <c r="BA1022" s="3">
        <v>3.2924292999999998</v>
      </c>
      <c r="BB1022" s="3">
        <v>3.2680479999999998</v>
      </c>
      <c r="BC1022" s="3">
        <v>3.244173</v>
      </c>
      <c r="BD1022" s="3">
        <v>3.2208185999999999</v>
      </c>
      <c r="BE1022" s="3">
        <v>3.1979994</v>
      </c>
      <c r="BF1022" s="3">
        <v>3.1757298</v>
      </c>
      <c r="BG1022" s="3">
        <v>3.1540244</v>
      </c>
      <c r="BH1022" s="3">
        <v>3.1328977</v>
      </c>
      <c r="BI1022" s="3">
        <v>3.1123639999999999</v>
      </c>
      <c r="BJ1022" s="3">
        <v>3.0924380999999999</v>
      </c>
      <c r="BK1022" s="3">
        <v>3.0731342000000001</v>
      </c>
      <c r="BL1022" s="3">
        <v>3.0544669999999998</v>
      </c>
      <c r="BM1022" s="3">
        <v>2.9560879</v>
      </c>
      <c r="BN1022" s="3">
        <v>2.8808666000000001</v>
      </c>
    </row>
    <row r="1023" spans="1:66" x14ac:dyDescent="0.35">
      <c r="A1023" s="5">
        <f t="shared" si="15"/>
        <v>44887</v>
      </c>
      <c r="B1023" t="s">
        <v>2419</v>
      </c>
      <c r="C1023" s="2">
        <v>3</v>
      </c>
      <c r="D1023" s="2">
        <v>2.9270999999999998</v>
      </c>
      <c r="E1023" s="3">
        <v>3.2930543999999999</v>
      </c>
      <c r="F1023" s="3">
        <v>3.6531977000000002</v>
      </c>
      <c r="G1023" s="3">
        <v>3.9432594000000001</v>
      </c>
      <c r="H1023" s="3">
        <v>4.1728322999999996</v>
      </c>
      <c r="I1023" s="3">
        <v>4.3456340000000004</v>
      </c>
      <c r="J1023" s="3">
        <v>4.4633650999999999</v>
      </c>
      <c r="K1023" s="3">
        <v>4.5334712000000001</v>
      </c>
      <c r="L1023" s="3">
        <v>4.5693247000000001</v>
      </c>
      <c r="M1023" s="3">
        <v>4.5820248000000001</v>
      </c>
      <c r="N1023" s="3">
        <v>4.5796861</v>
      </c>
      <c r="O1023" s="3">
        <v>4.5665215000000003</v>
      </c>
      <c r="P1023" s="3">
        <v>4.5446938000000001</v>
      </c>
      <c r="Q1023" s="3">
        <v>4.5150136999999999</v>
      </c>
      <c r="R1023" s="3">
        <v>4.4786212000000001</v>
      </c>
      <c r="S1023" s="3">
        <v>4.4368216</v>
      </c>
      <c r="T1023" s="3">
        <v>4.3909203999999997</v>
      </c>
      <c r="U1023" s="3">
        <v>4.3422229999999997</v>
      </c>
      <c r="V1023" s="3">
        <v>4.2920347999999997</v>
      </c>
      <c r="W1023" s="3">
        <v>4.2414904</v>
      </c>
      <c r="X1023" s="3">
        <v>4.1910749999999997</v>
      </c>
      <c r="Y1023" s="3">
        <v>4.1411186999999998</v>
      </c>
      <c r="Z1023" s="3">
        <v>4.091952</v>
      </c>
      <c r="AA1023" s="3">
        <v>4.0439052999999996</v>
      </c>
      <c r="AB1023" s="3">
        <v>3.9973087999999999</v>
      </c>
      <c r="AC1023" s="3">
        <v>3.9524294000000002</v>
      </c>
      <c r="AD1023" s="3">
        <v>3.9092541999999999</v>
      </c>
      <c r="AE1023" s="3">
        <v>3.8676927999999999</v>
      </c>
      <c r="AF1023" s="3">
        <v>3.8276547999999999</v>
      </c>
      <c r="AG1023" s="3">
        <v>3.7890499000000002</v>
      </c>
      <c r="AH1023" s="3">
        <v>3.7517879000000001</v>
      </c>
      <c r="AI1023" s="3">
        <v>3.7157784</v>
      </c>
      <c r="AJ1023" s="3">
        <v>3.6809310000000002</v>
      </c>
      <c r="AK1023" s="3">
        <v>3.6471555000000002</v>
      </c>
      <c r="AL1023" s="3">
        <v>3.6143614999999998</v>
      </c>
      <c r="AM1023" s="3">
        <v>3.5824587999999999</v>
      </c>
      <c r="AN1023" s="3">
        <v>3.5513569</v>
      </c>
      <c r="AO1023" s="3">
        <v>3.5209736999999999</v>
      </c>
      <c r="AP1023" s="3">
        <v>3.4912700999999999</v>
      </c>
      <c r="AQ1023" s="3">
        <v>3.4622218</v>
      </c>
      <c r="AR1023" s="3">
        <v>3.4338044000000001</v>
      </c>
      <c r="AS1023" s="3">
        <v>3.4059933999999998</v>
      </c>
      <c r="AT1023" s="3">
        <v>3.3787645999999998</v>
      </c>
      <c r="AU1023" s="3">
        <v>3.3520933999999998</v>
      </c>
      <c r="AV1023" s="3">
        <v>3.3259555000000001</v>
      </c>
      <c r="AW1023" s="3">
        <v>3.3003265000000002</v>
      </c>
      <c r="AX1023" s="3">
        <v>3.275182</v>
      </c>
      <c r="AY1023" s="3">
        <v>3.2504976000000001</v>
      </c>
      <c r="AZ1023" s="3">
        <v>3.2262488999999999</v>
      </c>
      <c r="BA1023" s="3">
        <v>3.2024168999999998</v>
      </c>
      <c r="BB1023" s="3">
        <v>3.1790090000000002</v>
      </c>
      <c r="BC1023" s="3">
        <v>3.1560404000000002</v>
      </c>
      <c r="BD1023" s="3">
        <v>3.1335267999999998</v>
      </c>
      <c r="BE1023" s="3">
        <v>3.1114831999999999</v>
      </c>
      <c r="BF1023" s="3">
        <v>3.0899253</v>
      </c>
      <c r="BG1023" s="3">
        <v>3.0688683000000001</v>
      </c>
      <c r="BH1023" s="3">
        <v>3.0483275999999999</v>
      </c>
      <c r="BI1023" s="3">
        <v>3.0283186</v>
      </c>
      <c r="BJ1023" s="3">
        <v>3.0088566999999999</v>
      </c>
      <c r="BK1023" s="3">
        <v>2.9899572000000001</v>
      </c>
      <c r="BL1023" s="3">
        <v>2.9716355000000001</v>
      </c>
      <c r="BM1023" s="3">
        <v>2.8743218000000001</v>
      </c>
      <c r="BN1023" s="3">
        <v>2.7993868000000002</v>
      </c>
    </row>
    <row r="1024" spans="1:66" x14ac:dyDescent="0.35">
      <c r="A1024" s="5">
        <f t="shared" si="15"/>
        <v>44888</v>
      </c>
      <c r="B1024" t="s">
        <v>2420</v>
      </c>
      <c r="C1024" s="2">
        <v>3</v>
      </c>
      <c r="D1024" s="2">
        <v>2.9270999999999998</v>
      </c>
      <c r="E1024" s="3">
        <v>3.3203790999999998</v>
      </c>
      <c r="F1024" s="3">
        <v>3.6709301000000001</v>
      </c>
      <c r="G1024" s="3">
        <v>3.9565902999999998</v>
      </c>
      <c r="H1024" s="3">
        <v>4.1864281999999999</v>
      </c>
      <c r="I1024" s="3">
        <v>4.3630266000000004</v>
      </c>
      <c r="J1024" s="3">
        <v>4.4863523000000001</v>
      </c>
      <c r="K1024" s="3">
        <v>4.5635573000000003</v>
      </c>
      <c r="L1024" s="3">
        <v>4.6058459000000003</v>
      </c>
      <c r="M1024" s="3">
        <v>4.6231454999999997</v>
      </c>
      <c r="N1024" s="3">
        <v>4.6225490000000002</v>
      </c>
      <c r="O1024" s="3">
        <v>4.6084814999999999</v>
      </c>
      <c r="P1024" s="3">
        <v>4.5830035000000002</v>
      </c>
      <c r="Q1024" s="3">
        <v>4.5473388999999997</v>
      </c>
      <c r="R1024" s="3">
        <v>4.5031179000000003</v>
      </c>
      <c r="S1024" s="3">
        <v>4.4520967999999996</v>
      </c>
      <c r="T1024" s="3">
        <v>4.3960315000000003</v>
      </c>
      <c r="U1024" s="3">
        <v>4.3366783</v>
      </c>
      <c r="V1024" s="3">
        <v>4.2757933000000001</v>
      </c>
      <c r="W1024" s="3">
        <v>4.2148944000000004</v>
      </c>
      <c r="X1024" s="3">
        <v>4.1545927999999996</v>
      </c>
      <c r="Y1024" s="3">
        <v>4.0952837000000004</v>
      </c>
      <c r="Z1024" s="3">
        <v>4.0373625000000004</v>
      </c>
      <c r="AA1024" s="3">
        <v>3.9812245000000002</v>
      </c>
      <c r="AB1024" s="3">
        <v>3.9272649999999998</v>
      </c>
      <c r="AC1024" s="3">
        <v>3.875813</v>
      </c>
      <c r="AD1024" s="3">
        <v>3.8268399</v>
      </c>
      <c r="AE1024" s="3">
        <v>3.7801973000000002</v>
      </c>
      <c r="AF1024" s="3">
        <v>3.7357368000000002</v>
      </c>
      <c r="AG1024" s="3">
        <v>3.6933099</v>
      </c>
      <c r="AH1024" s="3">
        <v>3.6527680999999999</v>
      </c>
      <c r="AI1024" s="3">
        <v>3.613963</v>
      </c>
      <c r="AJ1024" s="3">
        <v>3.576746</v>
      </c>
      <c r="AK1024" s="3">
        <v>3.5409687999999999</v>
      </c>
      <c r="AL1024" s="3">
        <v>3.5064829</v>
      </c>
      <c r="AM1024" s="3">
        <v>3.4731398000000002</v>
      </c>
      <c r="AN1024" s="3">
        <v>3.4407909999999999</v>
      </c>
      <c r="AO1024" s="3">
        <v>3.4093037000000002</v>
      </c>
      <c r="AP1024" s="3">
        <v>3.3786217999999999</v>
      </c>
      <c r="AQ1024" s="3">
        <v>3.3487122999999999</v>
      </c>
      <c r="AR1024" s="3">
        <v>3.3195421000000001</v>
      </c>
      <c r="AS1024" s="3">
        <v>3.2910784999999998</v>
      </c>
      <c r="AT1024" s="3">
        <v>3.2632883000000001</v>
      </c>
      <c r="AU1024" s="3">
        <v>3.2361387000000001</v>
      </c>
      <c r="AV1024" s="3">
        <v>3.2095967000000001</v>
      </c>
      <c r="AW1024" s="3">
        <v>3.1836294000000001</v>
      </c>
      <c r="AX1024" s="3">
        <v>3.1582037999999999</v>
      </c>
      <c r="AY1024" s="3">
        <v>3.1332868999999999</v>
      </c>
      <c r="AZ1024" s="3">
        <v>3.1088458999999999</v>
      </c>
      <c r="BA1024" s="3">
        <v>3.0848539000000001</v>
      </c>
      <c r="BB1024" s="3">
        <v>3.0613123</v>
      </c>
      <c r="BC1024" s="3">
        <v>3.0382299000000001</v>
      </c>
      <c r="BD1024" s="3">
        <v>3.0156152999999999</v>
      </c>
      <c r="BE1024" s="3">
        <v>2.9934775999999998</v>
      </c>
      <c r="BF1024" s="3">
        <v>2.9718254000000002</v>
      </c>
      <c r="BG1024" s="3">
        <v>2.9506676000000001</v>
      </c>
      <c r="BH1024" s="3">
        <v>2.9300130000000002</v>
      </c>
      <c r="BI1024" s="3">
        <v>2.9098704999999998</v>
      </c>
      <c r="BJ1024" s="3">
        <v>2.8902489</v>
      </c>
      <c r="BK1024" s="3">
        <v>2.8711570000000002</v>
      </c>
      <c r="BL1024" s="3">
        <v>2.8526036000000001</v>
      </c>
      <c r="BM1024" s="3">
        <v>2.7528774</v>
      </c>
      <c r="BN1024" s="3">
        <v>2.6734965000000002</v>
      </c>
    </row>
    <row r="1025" spans="1:66" x14ac:dyDescent="0.35">
      <c r="A1025" s="5">
        <f t="shared" si="15"/>
        <v>44889</v>
      </c>
      <c r="B1025" t="s">
        <v>2421</v>
      </c>
      <c r="C1025" s="2">
        <v>3</v>
      </c>
      <c r="D1025" s="2">
        <v>2.9277000000000002</v>
      </c>
      <c r="E1025" s="3">
        <v>3.3436408000000002</v>
      </c>
      <c r="F1025" s="3">
        <v>3.6698265999999999</v>
      </c>
      <c r="G1025" s="3">
        <v>3.9452345000000002</v>
      </c>
      <c r="H1025" s="3">
        <v>4.1743924000000003</v>
      </c>
      <c r="I1025" s="3">
        <v>4.3552321000000003</v>
      </c>
      <c r="J1025" s="3">
        <v>4.4852407999999997</v>
      </c>
      <c r="K1025" s="3">
        <v>4.5712536999999998</v>
      </c>
      <c r="L1025" s="3">
        <v>4.6227416000000003</v>
      </c>
      <c r="M1025" s="3">
        <v>4.6495379000000003</v>
      </c>
      <c r="N1025" s="3">
        <v>4.6583123000000004</v>
      </c>
      <c r="O1025" s="3">
        <v>4.6534307999999998</v>
      </c>
      <c r="P1025" s="3">
        <v>4.6371878000000004</v>
      </c>
      <c r="Q1025" s="3">
        <v>4.6105383</v>
      </c>
      <c r="R1025" s="3">
        <v>4.5748572999999997</v>
      </c>
      <c r="S1025" s="3">
        <v>4.5316901999999999</v>
      </c>
      <c r="T1025" s="3">
        <v>4.4825825000000004</v>
      </c>
      <c r="U1025" s="3">
        <v>4.4290795999999997</v>
      </c>
      <c r="V1025" s="3">
        <v>4.3727269</v>
      </c>
      <c r="W1025" s="3">
        <v>4.3149031999999998</v>
      </c>
      <c r="X1025" s="3">
        <v>4.2563519000000003</v>
      </c>
      <c r="Y1025" s="3">
        <v>4.1976655000000003</v>
      </c>
      <c r="Z1025" s="3">
        <v>4.1394365000000004</v>
      </c>
      <c r="AA1025" s="3">
        <v>4.0822571999999999</v>
      </c>
      <c r="AB1025" s="3">
        <v>4.0267201000000004</v>
      </c>
      <c r="AC1025" s="3">
        <v>3.9733239</v>
      </c>
      <c r="AD1025" s="3">
        <v>3.9221097</v>
      </c>
      <c r="AE1025" s="3">
        <v>3.8729797000000001</v>
      </c>
      <c r="AF1025" s="3">
        <v>3.8258361000000001</v>
      </c>
      <c r="AG1025" s="3">
        <v>3.7805808999999999</v>
      </c>
      <c r="AH1025" s="3">
        <v>3.7371162999999998</v>
      </c>
      <c r="AI1025" s="3">
        <v>3.6953442000000001</v>
      </c>
      <c r="AJ1025" s="3">
        <v>3.6551670000000001</v>
      </c>
      <c r="AK1025" s="3">
        <v>3.6164865000000002</v>
      </c>
      <c r="AL1025" s="3">
        <v>3.5792050999999998</v>
      </c>
      <c r="AM1025" s="3">
        <v>3.5432245999999998</v>
      </c>
      <c r="AN1025" s="3">
        <v>3.5084474000000001</v>
      </c>
      <c r="AO1025" s="3">
        <v>3.4747843</v>
      </c>
      <c r="AP1025" s="3">
        <v>3.4421862000000001</v>
      </c>
      <c r="AQ1025" s="3">
        <v>3.4106144999999999</v>
      </c>
      <c r="AR1025" s="3">
        <v>3.3800308000000001</v>
      </c>
      <c r="AS1025" s="3">
        <v>3.3503968</v>
      </c>
      <c r="AT1025" s="3">
        <v>3.3216739</v>
      </c>
      <c r="AU1025" s="3">
        <v>3.2938238000000002</v>
      </c>
      <c r="AV1025" s="3">
        <v>3.2668081</v>
      </c>
      <c r="AW1025" s="3">
        <v>3.2405883000000002</v>
      </c>
      <c r="AX1025" s="3">
        <v>3.2151260000000002</v>
      </c>
      <c r="AY1025" s="3">
        <v>3.1903828000000001</v>
      </c>
      <c r="AZ1025" s="3">
        <v>3.1663203000000002</v>
      </c>
      <c r="BA1025" s="3">
        <v>3.1429040000000001</v>
      </c>
      <c r="BB1025" s="3">
        <v>3.1201173999999998</v>
      </c>
      <c r="BC1025" s="3">
        <v>3.0979486999999999</v>
      </c>
      <c r="BD1025" s="3">
        <v>3.0763864000000001</v>
      </c>
      <c r="BE1025" s="3">
        <v>3.0554185999999999</v>
      </c>
      <c r="BF1025" s="3">
        <v>3.0350337999999999</v>
      </c>
      <c r="BG1025" s="3">
        <v>3.0152201000000001</v>
      </c>
      <c r="BH1025" s="3">
        <v>2.9959660000000001</v>
      </c>
      <c r="BI1025" s="3">
        <v>2.9772596999999998</v>
      </c>
      <c r="BJ1025" s="3">
        <v>2.9590895000000002</v>
      </c>
      <c r="BK1025" s="3">
        <v>2.9414438000000001</v>
      </c>
      <c r="BL1025" s="3">
        <v>2.9243109</v>
      </c>
      <c r="BM1025" s="3">
        <v>2.8318631999999999</v>
      </c>
      <c r="BN1025" s="3">
        <v>2.7563662999999998</v>
      </c>
    </row>
    <row r="1026" spans="1:66" x14ac:dyDescent="0.35">
      <c r="A1026" s="5">
        <f t="shared" si="15"/>
        <v>44890</v>
      </c>
      <c r="B1026" t="s">
        <v>2422</v>
      </c>
      <c r="C1026" s="2">
        <v>3</v>
      </c>
      <c r="D1026" s="2">
        <v>2.9278</v>
      </c>
      <c r="E1026" s="3">
        <v>3.3657501000000001</v>
      </c>
      <c r="F1026" s="3">
        <v>3.6818628000000002</v>
      </c>
      <c r="G1026" s="3">
        <v>3.9581572999999999</v>
      </c>
      <c r="H1026" s="3">
        <v>4.1885510999999997</v>
      </c>
      <c r="I1026" s="3">
        <v>4.3693631000000002</v>
      </c>
      <c r="J1026" s="3">
        <v>4.5001213</v>
      </c>
      <c r="K1026" s="3">
        <v>4.5876396000000002</v>
      </c>
      <c r="L1026" s="3">
        <v>4.6411894</v>
      </c>
      <c r="M1026" s="3">
        <v>4.6699685000000004</v>
      </c>
      <c r="N1026" s="3">
        <v>4.6800804999999999</v>
      </c>
      <c r="O1026" s="3">
        <v>4.6752251999999999</v>
      </c>
      <c r="P1026" s="3">
        <v>4.6575772000000004</v>
      </c>
      <c r="Q1026" s="3">
        <v>4.6280068999999999</v>
      </c>
      <c r="R1026" s="3">
        <v>4.5881729</v>
      </c>
      <c r="S1026" s="3">
        <v>4.5400691999999996</v>
      </c>
      <c r="T1026" s="3">
        <v>4.4856898000000003</v>
      </c>
      <c r="U1026" s="3">
        <v>4.4270288000000004</v>
      </c>
      <c r="V1026" s="3">
        <v>4.3660804000000004</v>
      </c>
      <c r="W1026" s="3">
        <v>4.3046506000000004</v>
      </c>
      <c r="X1026" s="3">
        <v>4.2435828000000004</v>
      </c>
      <c r="Y1026" s="3">
        <v>4.1834131000000001</v>
      </c>
      <c r="Z1026" s="3">
        <v>4.1246771999999998</v>
      </c>
      <c r="AA1026" s="3">
        <v>4.0679107999999999</v>
      </c>
      <c r="AB1026" s="3">
        <v>4.0136497999999996</v>
      </c>
      <c r="AC1026" s="3">
        <v>3.9623214</v>
      </c>
      <c r="AD1026" s="3">
        <v>3.9138730000000002</v>
      </c>
      <c r="AE1026" s="3">
        <v>3.8681199999999998</v>
      </c>
      <c r="AF1026" s="3">
        <v>3.8248774000000001</v>
      </c>
      <c r="AG1026" s="3">
        <v>3.7839605000000001</v>
      </c>
      <c r="AH1026" s="3">
        <v>3.7451846</v>
      </c>
      <c r="AI1026" s="3">
        <v>3.7083647000000002</v>
      </c>
      <c r="AJ1026" s="3">
        <v>3.6733163000000002</v>
      </c>
      <c r="AK1026" s="3">
        <v>3.6398543999999999</v>
      </c>
      <c r="AL1026" s="3">
        <v>3.6077941999999998</v>
      </c>
      <c r="AM1026" s="3">
        <v>3.5769511000000001</v>
      </c>
      <c r="AN1026" s="3">
        <v>3.5471401</v>
      </c>
      <c r="AO1026" s="3">
        <v>3.5181973000000002</v>
      </c>
      <c r="AP1026" s="3">
        <v>3.4900500000000001</v>
      </c>
      <c r="AQ1026" s="3">
        <v>3.4626508</v>
      </c>
      <c r="AR1026" s="3">
        <v>3.4359525999999998</v>
      </c>
      <c r="AS1026" s="3">
        <v>3.4099078</v>
      </c>
      <c r="AT1026" s="3">
        <v>3.3844691</v>
      </c>
      <c r="AU1026" s="3">
        <v>3.3595891999999998</v>
      </c>
      <c r="AV1026" s="3">
        <v>3.3352206999999998</v>
      </c>
      <c r="AW1026" s="3">
        <v>3.3113163999999999</v>
      </c>
      <c r="AX1026" s="3">
        <v>3.2878286999999999</v>
      </c>
      <c r="AY1026" s="3">
        <v>3.2647103999999998</v>
      </c>
      <c r="AZ1026" s="3">
        <v>3.2419142000000001</v>
      </c>
      <c r="BA1026" s="3">
        <v>3.2194020000000001</v>
      </c>
      <c r="BB1026" s="3">
        <v>3.1971772000000001</v>
      </c>
      <c r="BC1026" s="3">
        <v>3.1752546000000001</v>
      </c>
      <c r="BD1026" s="3">
        <v>3.1536491</v>
      </c>
      <c r="BE1026" s="3">
        <v>3.1323753999999999</v>
      </c>
      <c r="BF1026" s="3">
        <v>3.1114483000000002</v>
      </c>
      <c r="BG1026" s="3">
        <v>3.0908826</v>
      </c>
      <c r="BH1026" s="3">
        <v>3.0706931000000002</v>
      </c>
      <c r="BI1026" s="3">
        <v>3.0508945999999999</v>
      </c>
      <c r="BJ1026" s="3">
        <v>3.0315018999999999</v>
      </c>
      <c r="BK1026" s="3">
        <v>3.0125297999999998</v>
      </c>
      <c r="BL1026" s="3">
        <v>2.9939931</v>
      </c>
      <c r="BM1026" s="3">
        <v>2.8925497</v>
      </c>
      <c r="BN1026" s="3">
        <v>2.8093281000000001</v>
      </c>
    </row>
    <row r="1027" spans="1:66" x14ac:dyDescent="0.35">
      <c r="A1027" s="5">
        <f t="shared" si="15"/>
        <v>44893</v>
      </c>
      <c r="B1027" t="s">
        <v>2423</v>
      </c>
      <c r="C1027" s="2">
        <v>3</v>
      </c>
      <c r="D1027" s="2">
        <v>2.9278</v>
      </c>
      <c r="E1027" s="3">
        <v>3.4283860000000002</v>
      </c>
      <c r="F1027" s="3">
        <v>3.6958552</v>
      </c>
      <c r="G1027" s="3">
        <v>3.9637785999999999</v>
      </c>
      <c r="H1027" s="3">
        <v>4.1953658999999996</v>
      </c>
      <c r="I1027" s="3">
        <v>4.3758331999999998</v>
      </c>
      <c r="J1027" s="3">
        <v>4.5021424999999997</v>
      </c>
      <c r="K1027" s="3">
        <v>4.5824859</v>
      </c>
      <c r="L1027" s="3">
        <v>4.6270486000000002</v>
      </c>
      <c r="M1027" s="3">
        <v>4.6456052999999997</v>
      </c>
      <c r="N1027" s="3">
        <v>4.6451384999999998</v>
      </c>
      <c r="O1027" s="3">
        <v>4.6299089999999996</v>
      </c>
      <c r="P1027" s="3">
        <v>4.6031759000000001</v>
      </c>
      <c r="Q1027" s="3">
        <v>4.5676636999999998</v>
      </c>
      <c r="R1027" s="3">
        <v>4.5250671999999996</v>
      </c>
      <c r="S1027" s="3">
        <v>4.4768374</v>
      </c>
      <c r="T1027" s="3">
        <v>4.4244251999999999</v>
      </c>
      <c r="U1027" s="3">
        <v>4.3692812999999999</v>
      </c>
      <c r="V1027" s="3">
        <v>4.3128568999999999</v>
      </c>
      <c r="W1027" s="3">
        <v>4.2564126</v>
      </c>
      <c r="X1027" s="3">
        <v>4.2004862000000003</v>
      </c>
      <c r="Y1027" s="3">
        <v>4.1454427999999997</v>
      </c>
      <c r="Z1027" s="3">
        <v>4.0916477999999996</v>
      </c>
      <c r="AA1027" s="3">
        <v>4.0394664999999996</v>
      </c>
      <c r="AB1027" s="3">
        <v>3.9892642999999999</v>
      </c>
      <c r="AC1027" s="3">
        <v>3.9413334</v>
      </c>
      <c r="AD1027" s="3">
        <v>3.8956426999999998</v>
      </c>
      <c r="AE1027" s="3">
        <v>3.8520721</v>
      </c>
      <c r="AF1027" s="3">
        <v>3.8105014000000001</v>
      </c>
      <c r="AG1027" s="3">
        <v>3.7708105999999999</v>
      </c>
      <c r="AH1027" s="3">
        <v>3.7328795000000001</v>
      </c>
      <c r="AI1027" s="3">
        <v>3.6965878999999999</v>
      </c>
      <c r="AJ1027" s="3">
        <v>3.6618157</v>
      </c>
      <c r="AK1027" s="3">
        <v>3.6284429</v>
      </c>
      <c r="AL1027" s="3">
        <v>3.5963490999999999</v>
      </c>
      <c r="AM1027" s="3">
        <v>3.5654143999999999</v>
      </c>
      <c r="AN1027" s="3">
        <v>3.5355184999999998</v>
      </c>
      <c r="AO1027" s="3">
        <v>3.5065526</v>
      </c>
      <c r="AP1027" s="3">
        <v>3.4784568</v>
      </c>
      <c r="AQ1027" s="3">
        <v>3.4511848999999999</v>
      </c>
      <c r="AR1027" s="3">
        <v>3.4246908999999999</v>
      </c>
      <c r="AS1027" s="3">
        <v>3.3989284999999998</v>
      </c>
      <c r="AT1027" s="3">
        <v>3.3738516999999999</v>
      </c>
      <c r="AU1027" s="3">
        <v>3.3494142</v>
      </c>
      <c r="AV1027" s="3">
        <v>3.3255699000000001</v>
      </c>
      <c r="AW1027" s="3">
        <v>3.3022727000000001</v>
      </c>
      <c r="AX1027" s="3">
        <v>3.2794762999999998</v>
      </c>
      <c r="AY1027" s="3">
        <v>3.2571346000000001</v>
      </c>
      <c r="AZ1027" s="3">
        <v>3.2352015000000001</v>
      </c>
      <c r="BA1027" s="3">
        <v>3.2136377</v>
      </c>
      <c r="BB1027" s="3">
        <v>3.1924405</v>
      </c>
      <c r="BC1027" s="3">
        <v>3.1716199999999999</v>
      </c>
      <c r="BD1027" s="3">
        <v>3.1511859000000002</v>
      </c>
      <c r="BE1027" s="3">
        <v>3.131148</v>
      </c>
      <c r="BF1027" s="3">
        <v>3.1115162999999999</v>
      </c>
      <c r="BG1027" s="3">
        <v>3.0923004999999999</v>
      </c>
      <c r="BH1027" s="3">
        <v>3.0735106000000001</v>
      </c>
      <c r="BI1027" s="3">
        <v>3.0551563000000002</v>
      </c>
      <c r="BJ1027" s="3">
        <v>3.0372476000000002</v>
      </c>
      <c r="BK1027" s="3">
        <v>3.0197942000000002</v>
      </c>
      <c r="BL1027" s="3">
        <v>3.0028060000000001</v>
      </c>
      <c r="BM1027" s="3">
        <v>2.9110819999999999</v>
      </c>
      <c r="BN1027" s="3">
        <v>2.8378757999999999</v>
      </c>
    </row>
    <row r="1028" spans="1:66" x14ac:dyDescent="0.35">
      <c r="A1028" s="5">
        <f t="shared" si="15"/>
        <v>44894</v>
      </c>
      <c r="B1028" t="s">
        <v>2424</v>
      </c>
      <c r="C1028" s="2">
        <v>3</v>
      </c>
      <c r="D1028" s="2">
        <v>2.9281999999999999</v>
      </c>
      <c r="E1028" s="3">
        <v>3.4776646000000002</v>
      </c>
      <c r="F1028" s="3">
        <v>3.7198980000000001</v>
      </c>
      <c r="G1028" s="3">
        <v>3.9770441000000001</v>
      </c>
      <c r="H1028" s="3">
        <v>4.2051071000000002</v>
      </c>
      <c r="I1028" s="3">
        <v>4.3839072999999997</v>
      </c>
      <c r="J1028" s="3">
        <v>4.5080741</v>
      </c>
      <c r="K1028" s="3">
        <v>4.5820299000000002</v>
      </c>
      <c r="L1028" s="3">
        <v>4.6191483</v>
      </c>
      <c r="M1028" s="3">
        <v>4.6309009999999997</v>
      </c>
      <c r="N1028" s="3">
        <v>4.6255701</v>
      </c>
      <c r="O1028" s="3">
        <v>4.6074776999999996</v>
      </c>
      <c r="P1028" s="3">
        <v>4.5789748000000001</v>
      </c>
      <c r="Q1028" s="3">
        <v>4.5416261999999996</v>
      </c>
      <c r="R1028" s="3">
        <v>4.4968937000000002</v>
      </c>
      <c r="S1028" s="3">
        <v>4.4462475000000001</v>
      </c>
      <c r="T1028" s="3">
        <v>4.3911578999999996</v>
      </c>
      <c r="U1028" s="3">
        <v>4.3330951000000004</v>
      </c>
      <c r="V1028" s="3">
        <v>4.2735292999999999</v>
      </c>
      <c r="W1028" s="3">
        <v>4.2137557000000001</v>
      </c>
      <c r="X1028" s="3">
        <v>4.1544024999999998</v>
      </c>
      <c r="Y1028" s="3">
        <v>4.0959392000000001</v>
      </c>
      <c r="Z1028" s="3">
        <v>4.0388352999999997</v>
      </c>
      <c r="AA1028" s="3">
        <v>3.9835603000000002</v>
      </c>
      <c r="AB1028" s="3">
        <v>3.9305838</v>
      </c>
      <c r="AC1028" s="3">
        <v>3.8802821000000001</v>
      </c>
      <c r="AD1028" s="3">
        <v>3.8326204000000001</v>
      </c>
      <c r="AE1028" s="3">
        <v>3.7874506000000001</v>
      </c>
      <c r="AF1028" s="3">
        <v>3.7446244000000002</v>
      </c>
      <c r="AG1028" s="3">
        <v>3.7039935000000002</v>
      </c>
      <c r="AH1028" s="3">
        <v>3.6654097000000001</v>
      </c>
      <c r="AI1028" s="3">
        <v>3.6287248000000001</v>
      </c>
      <c r="AJ1028" s="3">
        <v>3.5937904999999999</v>
      </c>
      <c r="AK1028" s="3">
        <v>3.5604586</v>
      </c>
      <c r="AL1028" s="3">
        <v>3.5285809000000001</v>
      </c>
      <c r="AM1028" s="3">
        <v>3.4980091</v>
      </c>
      <c r="AN1028" s="3">
        <v>3.4685950000000001</v>
      </c>
      <c r="AO1028" s="3">
        <v>3.4402016</v>
      </c>
      <c r="AP1028" s="3">
        <v>3.4127527</v>
      </c>
      <c r="AQ1028" s="3">
        <v>3.3861924000000001</v>
      </c>
      <c r="AR1028" s="3">
        <v>3.3604649000000002</v>
      </c>
      <c r="AS1028" s="3">
        <v>3.3355142</v>
      </c>
      <c r="AT1028" s="3">
        <v>3.3112845000000002</v>
      </c>
      <c r="AU1028" s="3">
        <v>3.2877200000000002</v>
      </c>
      <c r="AV1028" s="3">
        <v>3.2647647000000002</v>
      </c>
      <c r="AW1028" s="3">
        <v>3.2423627000000002</v>
      </c>
      <c r="AX1028" s="3">
        <v>3.2204583000000002</v>
      </c>
      <c r="AY1028" s="3">
        <v>3.1989955999999999</v>
      </c>
      <c r="AZ1028" s="3">
        <v>3.1779185999999999</v>
      </c>
      <c r="BA1028" s="3">
        <v>3.1571807000000001</v>
      </c>
      <c r="BB1028" s="3">
        <v>3.1367799000000001</v>
      </c>
      <c r="BC1028" s="3">
        <v>3.1167278</v>
      </c>
      <c r="BD1028" s="3">
        <v>3.0970360000000001</v>
      </c>
      <c r="BE1028" s="3">
        <v>3.0777161</v>
      </c>
      <c r="BF1028" s="3">
        <v>3.0587797000000001</v>
      </c>
      <c r="BG1028" s="3">
        <v>3.0402383999999998</v>
      </c>
      <c r="BH1028" s="3">
        <v>3.0221038999999998</v>
      </c>
      <c r="BI1028" s="3">
        <v>3.0043877000000001</v>
      </c>
      <c r="BJ1028" s="3">
        <v>2.9871013999999998</v>
      </c>
      <c r="BK1028" s="3">
        <v>2.9702567000000002</v>
      </c>
      <c r="BL1028" s="3">
        <v>2.9538652000000001</v>
      </c>
      <c r="BM1028" s="3">
        <v>2.8654836000000001</v>
      </c>
      <c r="BN1028" s="3">
        <v>2.7951358000000002</v>
      </c>
    </row>
    <row r="1029" spans="1:66" x14ac:dyDescent="0.35">
      <c r="A1029" s="5">
        <f t="shared" si="15"/>
        <v>44895</v>
      </c>
      <c r="B1029" t="s">
        <v>2425</v>
      </c>
      <c r="C1029" s="2">
        <v>3</v>
      </c>
      <c r="D1029" s="2">
        <v>2.9272999999999998</v>
      </c>
      <c r="E1029" s="3">
        <v>3.4617197000000002</v>
      </c>
      <c r="F1029" s="3">
        <v>3.7191736999999998</v>
      </c>
      <c r="G1029" s="3">
        <v>3.9809021000000002</v>
      </c>
      <c r="H1029" s="3">
        <v>4.2059990999999997</v>
      </c>
      <c r="I1029" s="3">
        <v>4.3810551000000002</v>
      </c>
      <c r="J1029" s="3">
        <v>4.5045095999999996</v>
      </c>
      <c r="K1029" s="3">
        <v>4.5819510000000001</v>
      </c>
      <c r="L1029" s="3">
        <v>4.6264038000000003</v>
      </c>
      <c r="M1029" s="3">
        <v>4.6487414999999999</v>
      </c>
      <c r="N1029" s="3">
        <v>4.6559729000000001</v>
      </c>
      <c r="O1029" s="3">
        <v>4.6511749</v>
      </c>
      <c r="P1029" s="3">
        <v>4.6352232000000004</v>
      </c>
      <c r="Q1029" s="3">
        <v>4.6082090999999998</v>
      </c>
      <c r="R1029" s="3">
        <v>4.5713971999999998</v>
      </c>
      <c r="S1029" s="3">
        <v>4.5263951000000002</v>
      </c>
      <c r="T1029" s="3">
        <v>4.4748105000000002</v>
      </c>
      <c r="U1029" s="3">
        <v>4.4182509999999997</v>
      </c>
      <c r="V1029" s="3">
        <v>4.3583242999999996</v>
      </c>
      <c r="W1029" s="3">
        <v>4.2965112999999997</v>
      </c>
      <c r="X1029" s="3">
        <v>4.2337615</v>
      </c>
      <c r="Y1029" s="3">
        <v>4.1708845999999999</v>
      </c>
      <c r="Z1029" s="3">
        <v>4.1086904999999998</v>
      </c>
      <c r="AA1029" s="3">
        <v>4.0479887000000003</v>
      </c>
      <c r="AB1029" s="3">
        <v>3.9895892000000002</v>
      </c>
      <c r="AC1029" s="3">
        <v>3.9341840000000001</v>
      </c>
      <c r="AD1029" s="3">
        <v>3.8818313</v>
      </c>
      <c r="AE1029" s="3">
        <v>3.8323768999999999</v>
      </c>
      <c r="AF1029" s="3">
        <v>3.7856665</v>
      </c>
      <c r="AG1029" s="3">
        <v>3.7415457999999999</v>
      </c>
      <c r="AH1029" s="3">
        <v>3.6998603000000001</v>
      </c>
      <c r="AI1029" s="3">
        <v>3.6604557999999998</v>
      </c>
      <c r="AJ1029" s="3">
        <v>3.6231779</v>
      </c>
      <c r="AK1029" s="3">
        <v>3.5878722000000001</v>
      </c>
      <c r="AL1029" s="3">
        <v>3.5543844</v>
      </c>
      <c r="AM1029" s="3">
        <v>3.5225602</v>
      </c>
      <c r="AN1029" s="3">
        <v>3.4922450999999999</v>
      </c>
      <c r="AO1029" s="3">
        <v>3.4632944000000001</v>
      </c>
      <c r="AP1029" s="3">
        <v>3.4356095</v>
      </c>
      <c r="AQ1029" s="3">
        <v>3.4091057999999999</v>
      </c>
      <c r="AR1029" s="3">
        <v>3.383699</v>
      </c>
      <c r="AS1029" s="3">
        <v>3.3593046000000002</v>
      </c>
      <c r="AT1029" s="3">
        <v>3.3358379999999999</v>
      </c>
      <c r="AU1029" s="3">
        <v>3.3132147999999999</v>
      </c>
      <c r="AV1029" s="3">
        <v>3.2913505999999999</v>
      </c>
      <c r="AW1029" s="3">
        <v>3.2701608000000002</v>
      </c>
      <c r="AX1029" s="3">
        <v>3.2495609999999999</v>
      </c>
      <c r="AY1029" s="3">
        <v>3.2294668</v>
      </c>
      <c r="AZ1029" s="3">
        <v>3.2097935999999998</v>
      </c>
      <c r="BA1029" s="3">
        <v>3.1904705</v>
      </c>
      <c r="BB1029" s="3">
        <v>3.1714861000000001</v>
      </c>
      <c r="BC1029" s="3">
        <v>3.1528456999999999</v>
      </c>
      <c r="BD1029" s="3">
        <v>3.1345545000000001</v>
      </c>
      <c r="BE1029" s="3">
        <v>3.1166174999999998</v>
      </c>
      <c r="BF1029" s="3">
        <v>3.09904</v>
      </c>
      <c r="BG1029" s="3">
        <v>3.0818270999999999</v>
      </c>
      <c r="BH1029" s="3">
        <v>3.0649839999999999</v>
      </c>
      <c r="BI1029" s="3">
        <v>3.0485158999999999</v>
      </c>
      <c r="BJ1029" s="3">
        <v>3.0324279000000001</v>
      </c>
      <c r="BK1029" s="3">
        <v>3.0167250999999999</v>
      </c>
      <c r="BL1029" s="3">
        <v>3.0014129000000001</v>
      </c>
      <c r="BM1029" s="3">
        <v>2.9180959999999998</v>
      </c>
      <c r="BN1029" s="3">
        <v>2.8505497000000002</v>
      </c>
    </row>
    <row r="1030" spans="1:66" x14ac:dyDescent="0.35">
      <c r="A1030" s="5">
        <f t="shared" si="15"/>
        <v>44896</v>
      </c>
      <c r="B1030" t="s">
        <v>2427</v>
      </c>
      <c r="C1030" s="2">
        <v>3</v>
      </c>
      <c r="D1030" s="2">
        <v>2.9279000000000002</v>
      </c>
      <c r="E1030" s="3">
        <v>3.4815496000000001</v>
      </c>
      <c r="F1030" s="3">
        <v>3.6984061000000001</v>
      </c>
      <c r="G1030" s="3">
        <v>3.9538210999999999</v>
      </c>
      <c r="H1030" s="3">
        <v>4.1805539999999999</v>
      </c>
      <c r="I1030" s="3">
        <v>4.3508573000000004</v>
      </c>
      <c r="J1030" s="3">
        <v>4.4657004000000002</v>
      </c>
      <c r="K1030" s="3">
        <v>4.5354825999999999</v>
      </c>
      <c r="L1030" s="3">
        <v>4.5734729999999999</v>
      </c>
      <c r="M1030" s="3">
        <v>4.5899861</v>
      </c>
      <c r="N1030" s="3">
        <v>4.5913133999999998</v>
      </c>
      <c r="O1030" s="3">
        <v>4.5801730999999997</v>
      </c>
      <c r="P1030" s="3">
        <v>4.5576637</v>
      </c>
      <c r="Q1030" s="3">
        <v>4.5238152999999999</v>
      </c>
      <c r="R1030" s="3">
        <v>4.4799771000000002</v>
      </c>
      <c r="S1030" s="3">
        <v>4.4279146999999996</v>
      </c>
      <c r="T1030" s="3">
        <v>4.3693935000000002</v>
      </c>
      <c r="U1030" s="3">
        <v>4.3061790999999996</v>
      </c>
      <c r="V1030" s="3">
        <v>4.2400371000000003</v>
      </c>
      <c r="W1030" s="3">
        <v>4.1726244000000001</v>
      </c>
      <c r="X1030" s="3">
        <v>4.1050408999999997</v>
      </c>
      <c r="Y1030" s="3">
        <v>4.0382087999999996</v>
      </c>
      <c r="Z1030" s="3">
        <v>3.9730501999999999</v>
      </c>
      <c r="AA1030" s="3">
        <v>3.9104871999999999</v>
      </c>
      <c r="AB1030" s="3">
        <v>3.851442</v>
      </c>
      <c r="AC1030" s="3">
        <v>3.7966726999999998</v>
      </c>
      <c r="AD1030" s="3">
        <v>3.7461386000000001</v>
      </c>
      <c r="AE1030" s="3">
        <v>3.6995561000000001</v>
      </c>
      <c r="AF1030" s="3">
        <v>3.6566413999999998</v>
      </c>
      <c r="AG1030" s="3">
        <v>3.6171106000000002</v>
      </c>
      <c r="AH1030" s="3">
        <v>3.5806800000000001</v>
      </c>
      <c r="AI1030" s="3">
        <v>3.5470657999999999</v>
      </c>
      <c r="AJ1030" s="3">
        <v>3.5159842000000001</v>
      </c>
      <c r="AK1030" s="3">
        <v>3.4871515</v>
      </c>
      <c r="AL1030" s="3">
        <v>3.4602838</v>
      </c>
      <c r="AM1030" s="3">
        <v>3.4350974000000001</v>
      </c>
      <c r="AN1030" s="3">
        <v>3.4113085000000001</v>
      </c>
      <c r="AO1030" s="3">
        <v>3.3886615</v>
      </c>
      <c r="AP1030" s="3">
        <v>3.3670252000000001</v>
      </c>
      <c r="AQ1030" s="3">
        <v>3.3463026999999999</v>
      </c>
      <c r="AR1030" s="3">
        <v>3.3263972000000002</v>
      </c>
      <c r="AS1030" s="3">
        <v>3.3072119</v>
      </c>
      <c r="AT1030" s="3">
        <v>3.2886497000000001</v>
      </c>
      <c r="AU1030" s="3">
        <v>3.2706138999999999</v>
      </c>
      <c r="AV1030" s="3">
        <v>3.2530076000000001</v>
      </c>
      <c r="AW1030" s="3">
        <v>3.2357339999999999</v>
      </c>
      <c r="AX1030" s="3">
        <v>3.2186960999999998</v>
      </c>
      <c r="AY1030" s="3">
        <v>3.2017972000000001</v>
      </c>
      <c r="AZ1030" s="3">
        <v>3.1849403000000001</v>
      </c>
      <c r="BA1030" s="3">
        <v>3.1680478000000001</v>
      </c>
      <c r="BB1030" s="3">
        <v>3.1511274999999999</v>
      </c>
      <c r="BC1030" s="3">
        <v>3.1342105999999998</v>
      </c>
      <c r="BD1030" s="3">
        <v>3.1173283000000001</v>
      </c>
      <c r="BE1030" s="3">
        <v>3.1005117000000002</v>
      </c>
      <c r="BF1030" s="3">
        <v>3.0837919999999999</v>
      </c>
      <c r="BG1030" s="3">
        <v>3.0672006000000001</v>
      </c>
      <c r="BH1030" s="3">
        <v>3.0507685000000002</v>
      </c>
      <c r="BI1030" s="3">
        <v>3.0345270000000002</v>
      </c>
      <c r="BJ1030" s="3">
        <v>3.0185073</v>
      </c>
      <c r="BK1030" s="3">
        <v>3.0027404999999998</v>
      </c>
      <c r="BL1030" s="3">
        <v>2.9872578999999999</v>
      </c>
      <c r="BM1030" s="3">
        <v>2.9015365000000002</v>
      </c>
      <c r="BN1030" s="3">
        <v>2.8306282</v>
      </c>
    </row>
    <row r="1031" spans="1:66" x14ac:dyDescent="0.35">
      <c r="A1031" s="5">
        <f t="shared" si="15"/>
        <v>44897</v>
      </c>
      <c r="B1031" t="s">
        <v>2428</v>
      </c>
      <c r="C1031" s="2">
        <v>3</v>
      </c>
      <c r="D1031" s="2">
        <v>2.9281000000000001</v>
      </c>
      <c r="E1031" s="3">
        <v>3.4836187000000001</v>
      </c>
      <c r="F1031" s="3">
        <v>3.7079605</v>
      </c>
      <c r="G1031" s="3">
        <v>3.9681377000000002</v>
      </c>
      <c r="H1031" s="3">
        <v>4.1962419000000004</v>
      </c>
      <c r="I1031" s="3">
        <v>4.3676402999999997</v>
      </c>
      <c r="J1031" s="3">
        <v>4.4832637999999996</v>
      </c>
      <c r="K1031" s="3">
        <v>4.5552275</v>
      </c>
      <c r="L1031" s="3">
        <v>4.5967243</v>
      </c>
      <c r="M1031" s="3">
        <v>4.6175347999999996</v>
      </c>
      <c r="N1031" s="3">
        <v>4.6226772</v>
      </c>
      <c r="O1031" s="3">
        <v>4.6142063000000002</v>
      </c>
      <c r="P1031" s="3">
        <v>4.5928215000000003</v>
      </c>
      <c r="Q1031" s="3">
        <v>4.5583787999999998</v>
      </c>
      <c r="R1031" s="3">
        <v>4.512524</v>
      </c>
      <c r="S1031" s="3">
        <v>4.4575391</v>
      </c>
      <c r="T1031" s="3">
        <v>4.3957065999999996</v>
      </c>
      <c r="U1031" s="3">
        <v>4.3293084999999998</v>
      </c>
      <c r="V1031" s="3">
        <v>4.2606270999999998</v>
      </c>
      <c r="W1031" s="3">
        <v>4.1917175000000002</v>
      </c>
      <c r="X1031" s="3">
        <v>4.1235812999999997</v>
      </c>
      <c r="Y1031" s="3">
        <v>4.0569147000000001</v>
      </c>
      <c r="Z1031" s="3">
        <v>3.9924138</v>
      </c>
      <c r="AA1031" s="3">
        <v>3.9307748</v>
      </c>
      <c r="AB1031" s="3">
        <v>3.8726940000000001</v>
      </c>
      <c r="AC1031" s="3">
        <v>3.818721</v>
      </c>
      <c r="AD1031" s="3">
        <v>3.7687591999999999</v>
      </c>
      <c r="AE1031" s="3">
        <v>3.7225334999999999</v>
      </c>
      <c r="AF1031" s="3">
        <v>3.6797686000000001</v>
      </c>
      <c r="AG1031" s="3">
        <v>3.6401895999999998</v>
      </c>
      <c r="AH1031" s="3">
        <v>3.6035213000000001</v>
      </c>
      <c r="AI1031" s="3">
        <v>3.5694886000000001</v>
      </c>
      <c r="AJ1031" s="3">
        <v>3.5378164000000001</v>
      </c>
      <c r="AK1031" s="3">
        <v>3.5082295999999999</v>
      </c>
      <c r="AL1031" s="3">
        <v>3.4804531000000001</v>
      </c>
      <c r="AM1031" s="3">
        <v>3.4542117000000001</v>
      </c>
      <c r="AN1031" s="3">
        <v>3.4292303999999998</v>
      </c>
      <c r="AO1031" s="3">
        <v>3.405265</v>
      </c>
      <c r="AP1031" s="3">
        <v>3.3822079</v>
      </c>
      <c r="AQ1031" s="3">
        <v>3.3599891</v>
      </c>
      <c r="AR1031" s="3">
        <v>3.3385387999999998</v>
      </c>
      <c r="AS1031" s="3">
        <v>3.317787</v>
      </c>
      <c r="AT1031" s="3">
        <v>3.2976637000000002</v>
      </c>
      <c r="AU1031" s="3">
        <v>3.2780992000000002</v>
      </c>
      <c r="AV1031" s="3">
        <v>3.2590233</v>
      </c>
      <c r="AW1031" s="3">
        <v>3.2403662999999998</v>
      </c>
      <c r="AX1031" s="3">
        <v>3.2220582000000002</v>
      </c>
      <c r="AY1031" s="3">
        <v>3.2040291000000001</v>
      </c>
      <c r="AZ1031" s="3">
        <v>3.1862089999999998</v>
      </c>
      <c r="BA1031" s="3">
        <v>3.1685417999999999</v>
      </c>
      <c r="BB1031" s="3">
        <v>3.1510322999999998</v>
      </c>
      <c r="BC1031" s="3">
        <v>3.1337019000000002</v>
      </c>
      <c r="BD1031" s="3">
        <v>3.1165721999999998</v>
      </c>
      <c r="BE1031" s="3">
        <v>3.0996648000000002</v>
      </c>
      <c r="BF1031" s="3">
        <v>3.0830011000000002</v>
      </c>
      <c r="BG1031" s="3">
        <v>3.0666026999999998</v>
      </c>
      <c r="BH1031" s="3">
        <v>3.0504910999999999</v>
      </c>
      <c r="BI1031" s="3">
        <v>3.0346877999999999</v>
      </c>
      <c r="BJ1031" s="3">
        <v>3.0192144000000001</v>
      </c>
      <c r="BK1031" s="3">
        <v>3.0040924000000002</v>
      </c>
      <c r="BL1031" s="3">
        <v>2.9893432</v>
      </c>
      <c r="BM1031" s="3">
        <v>2.9095135999999999</v>
      </c>
      <c r="BN1031" s="3">
        <v>2.8462800000000001</v>
      </c>
    </row>
    <row r="1032" spans="1:66" x14ac:dyDescent="0.35">
      <c r="A1032" s="5">
        <f t="shared" si="15"/>
        <v>44900</v>
      </c>
      <c r="B1032" t="s">
        <v>2429</v>
      </c>
      <c r="C1032" s="2">
        <v>3</v>
      </c>
      <c r="D1032" s="2">
        <v>2.9279000000000002</v>
      </c>
      <c r="E1032" s="3">
        <v>3.4967532000000001</v>
      </c>
      <c r="F1032" s="3">
        <v>3.7327336</v>
      </c>
      <c r="G1032" s="3">
        <v>3.9941838000000001</v>
      </c>
      <c r="H1032" s="3">
        <v>4.2217602000000003</v>
      </c>
      <c r="I1032" s="3">
        <v>4.3940323000000001</v>
      </c>
      <c r="J1032" s="3">
        <v>4.5113000999999997</v>
      </c>
      <c r="K1032" s="3">
        <v>4.5845924</v>
      </c>
      <c r="L1032" s="3">
        <v>4.6265253</v>
      </c>
      <c r="M1032" s="3">
        <v>4.6464362000000001</v>
      </c>
      <c r="N1032" s="3">
        <v>4.6508459000000002</v>
      </c>
      <c r="O1032" s="3">
        <v>4.6420915999999997</v>
      </c>
      <c r="P1032" s="3">
        <v>4.6213756999999998</v>
      </c>
      <c r="Q1032" s="3">
        <v>4.5883963999999997</v>
      </c>
      <c r="R1032" s="3">
        <v>4.5445342000000002</v>
      </c>
      <c r="S1032" s="3">
        <v>4.4917452999999998</v>
      </c>
      <c r="T1032" s="3">
        <v>4.4319863000000002</v>
      </c>
      <c r="U1032" s="3">
        <v>4.3672133000000004</v>
      </c>
      <c r="V1032" s="3">
        <v>4.2993829000000003</v>
      </c>
      <c r="W1032" s="3">
        <v>4.2302705999999999</v>
      </c>
      <c r="X1032" s="3">
        <v>4.1608916000000002</v>
      </c>
      <c r="Y1032" s="3">
        <v>4.0920619</v>
      </c>
      <c r="Z1032" s="3">
        <v>4.0245971999999997</v>
      </c>
      <c r="AA1032" s="3">
        <v>3.9593134000000001</v>
      </c>
      <c r="AB1032" s="3">
        <v>3.8970261000000002</v>
      </c>
      <c r="AC1032" s="3">
        <v>3.8383940999999999</v>
      </c>
      <c r="AD1032" s="3">
        <v>3.7833825999999999</v>
      </c>
      <c r="AE1032" s="3">
        <v>3.7317651000000001</v>
      </c>
      <c r="AF1032" s="3">
        <v>3.6833154000000001</v>
      </c>
      <c r="AG1032" s="3">
        <v>3.6378072000000001</v>
      </c>
      <c r="AH1032" s="3">
        <v>3.5950141000000002</v>
      </c>
      <c r="AI1032" s="3">
        <v>3.55471</v>
      </c>
      <c r="AJ1032" s="3">
        <v>3.5166686</v>
      </c>
      <c r="AK1032" s="3">
        <v>3.4806634000000001</v>
      </c>
      <c r="AL1032" s="3">
        <v>3.4464682999999998</v>
      </c>
      <c r="AM1032" s="3">
        <v>3.4138568999999999</v>
      </c>
      <c r="AN1032" s="3">
        <v>3.3826029000000002</v>
      </c>
      <c r="AO1032" s="3">
        <v>3.3525049999999998</v>
      </c>
      <c r="AP1032" s="3">
        <v>3.3234715000000001</v>
      </c>
      <c r="AQ1032" s="3">
        <v>3.2954409999999998</v>
      </c>
      <c r="AR1032" s="3">
        <v>3.2683523000000001</v>
      </c>
      <c r="AS1032" s="3">
        <v>3.2421440000000001</v>
      </c>
      <c r="AT1032" s="3">
        <v>3.2167549000000002</v>
      </c>
      <c r="AU1032" s="3">
        <v>3.1921235000000001</v>
      </c>
      <c r="AV1032" s="3">
        <v>3.1681886000000001</v>
      </c>
      <c r="AW1032" s="3">
        <v>3.1448887999999999</v>
      </c>
      <c r="AX1032" s="3">
        <v>3.1221627999999999</v>
      </c>
      <c r="AY1032" s="3">
        <v>3.0999493</v>
      </c>
      <c r="AZ1032" s="3">
        <v>3.0781869999999998</v>
      </c>
      <c r="BA1032" s="3">
        <v>3.0568244999999998</v>
      </c>
      <c r="BB1032" s="3">
        <v>3.0358640000000001</v>
      </c>
      <c r="BC1032" s="3">
        <v>3.0153254999999999</v>
      </c>
      <c r="BD1032" s="3">
        <v>2.9952291999999998</v>
      </c>
      <c r="BE1032" s="3">
        <v>2.9755953000000002</v>
      </c>
      <c r="BF1032" s="3">
        <v>2.9564439</v>
      </c>
      <c r="BG1032" s="3">
        <v>2.9377952000000001</v>
      </c>
      <c r="BH1032" s="3">
        <v>2.9196692</v>
      </c>
      <c r="BI1032" s="3">
        <v>2.9020861</v>
      </c>
      <c r="BJ1032" s="3">
        <v>2.8850661</v>
      </c>
      <c r="BK1032" s="3">
        <v>2.8686292</v>
      </c>
      <c r="BL1032" s="3">
        <v>2.8527957000000002</v>
      </c>
      <c r="BM1032" s="3">
        <v>2.7708007000000001</v>
      </c>
      <c r="BN1032" s="3">
        <v>2.7107478</v>
      </c>
    </row>
    <row r="1033" spans="1:66" x14ac:dyDescent="0.35">
      <c r="A1033" s="5">
        <f t="shared" si="15"/>
        <v>44901</v>
      </c>
      <c r="B1033" t="s">
        <v>2430</v>
      </c>
      <c r="C1033" s="2">
        <v>3</v>
      </c>
      <c r="D1033" s="2">
        <v>2.9283999999999999</v>
      </c>
      <c r="E1033" s="3">
        <v>3.5000429</v>
      </c>
      <c r="F1033" s="3">
        <v>3.7392907000000002</v>
      </c>
      <c r="G1033" s="3">
        <v>3.9973945999999998</v>
      </c>
      <c r="H1033" s="3">
        <v>4.2204100999999996</v>
      </c>
      <c r="I1033" s="3">
        <v>4.3888153000000001</v>
      </c>
      <c r="J1033" s="3">
        <v>4.5041200000000003</v>
      </c>
      <c r="K1033" s="3">
        <v>4.5756765000000001</v>
      </c>
      <c r="L1033" s="3">
        <v>4.6169739999999999</v>
      </c>
      <c r="M1033" s="3">
        <v>4.6375709000000001</v>
      </c>
      <c r="N1033" s="3">
        <v>4.6435846999999999</v>
      </c>
      <c r="O1033" s="3">
        <v>4.6371547</v>
      </c>
      <c r="P1033" s="3">
        <v>4.6191940000000002</v>
      </c>
      <c r="Q1033" s="3">
        <v>4.5894306</v>
      </c>
      <c r="R1033" s="3">
        <v>4.5491276999999997</v>
      </c>
      <c r="S1033" s="3">
        <v>4.5000435000000003</v>
      </c>
      <c r="T1033" s="3">
        <v>4.4439361999999996</v>
      </c>
      <c r="U1033" s="3">
        <v>4.3825640000000003</v>
      </c>
      <c r="V1033" s="3">
        <v>4.317685</v>
      </c>
      <c r="W1033" s="3">
        <v>4.2509047999999998</v>
      </c>
      <c r="X1033" s="3">
        <v>4.1831877000000004</v>
      </c>
      <c r="Y1033" s="3">
        <v>4.1153297000000002</v>
      </c>
      <c r="Z1033" s="3">
        <v>4.0481267000000001</v>
      </c>
      <c r="AA1033" s="3">
        <v>3.9823746999999998</v>
      </c>
      <c r="AB1033" s="3">
        <v>3.9188695</v>
      </c>
      <c r="AC1033" s="3">
        <v>3.8582665999999999</v>
      </c>
      <c r="AD1033" s="3">
        <v>3.8006012999999998</v>
      </c>
      <c r="AE1033" s="3">
        <v>3.7457378000000001</v>
      </c>
      <c r="AF1033" s="3">
        <v>3.6935402000000002</v>
      </c>
      <c r="AG1033" s="3">
        <v>3.6438727000000002</v>
      </c>
      <c r="AH1033" s="3">
        <v>3.5965994999999999</v>
      </c>
      <c r="AI1033" s="3">
        <v>3.5515848000000001</v>
      </c>
      <c r="AJ1033" s="3">
        <v>3.5086927000000001</v>
      </c>
      <c r="AK1033" s="3">
        <v>3.4677872999999999</v>
      </c>
      <c r="AL1033" s="3">
        <v>3.4287329999999998</v>
      </c>
      <c r="AM1033" s="3">
        <v>3.3913937999999999</v>
      </c>
      <c r="AN1033" s="3">
        <v>3.3556338000000001</v>
      </c>
      <c r="AO1033" s="3">
        <v>3.3213265000000001</v>
      </c>
      <c r="AP1033" s="3">
        <v>3.2883939999999998</v>
      </c>
      <c r="AQ1033" s="3">
        <v>3.2567751</v>
      </c>
      <c r="AR1033" s="3">
        <v>3.2264084999999998</v>
      </c>
      <c r="AS1033" s="3">
        <v>3.1972328999999999</v>
      </c>
      <c r="AT1033" s="3">
        <v>3.169187</v>
      </c>
      <c r="AU1033" s="3">
        <v>3.1422094999999999</v>
      </c>
      <c r="AV1033" s="3">
        <v>3.1162391999999999</v>
      </c>
      <c r="AW1033" s="3">
        <v>3.0912147999999999</v>
      </c>
      <c r="AX1033" s="3">
        <v>3.067075</v>
      </c>
      <c r="AY1033" s="3">
        <v>3.0437585</v>
      </c>
      <c r="AZ1033" s="3">
        <v>3.0212040999999998</v>
      </c>
      <c r="BA1033" s="3">
        <v>2.9993584000000002</v>
      </c>
      <c r="BB1033" s="3">
        <v>2.9782071000000001</v>
      </c>
      <c r="BC1033" s="3">
        <v>2.957748</v>
      </c>
      <c r="BD1033" s="3">
        <v>2.9379784</v>
      </c>
      <c r="BE1033" s="3">
        <v>2.9188960000000002</v>
      </c>
      <c r="BF1033" s="3">
        <v>2.9004984</v>
      </c>
      <c r="BG1033" s="3">
        <v>2.8827832</v>
      </c>
      <c r="BH1033" s="3">
        <v>2.8657479000000001</v>
      </c>
      <c r="BI1033" s="3">
        <v>2.8493900999999999</v>
      </c>
      <c r="BJ1033" s="3">
        <v>2.8337074000000002</v>
      </c>
      <c r="BK1033" s="3">
        <v>2.8186974</v>
      </c>
      <c r="BL1033" s="3">
        <v>2.8043575999999999</v>
      </c>
      <c r="BM1033" s="3">
        <v>2.7320424999999999</v>
      </c>
      <c r="BN1033" s="3">
        <v>2.6819375999999999</v>
      </c>
    </row>
    <row r="1034" spans="1:66" x14ac:dyDescent="0.35">
      <c r="A1034" s="5">
        <f t="shared" si="15"/>
        <v>44902</v>
      </c>
      <c r="B1034" t="s">
        <v>2431</v>
      </c>
      <c r="C1034" s="2">
        <v>3</v>
      </c>
      <c r="D1034" s="2">
        <v>2.9275000000000002</v>
      </c>
      <c r="E1034" s="3">
        <v>3.4990108000000002</v>
      </c>
      <c r="F1034" s="3">
        <v>3.7424906</v>
      </c>
      <c r="G1034" s="3">
        <v>3.9983433000000002</v>
      </c>
      <c r="H1034" s="3">
        <v>4.2169998</v>
      </c>
      <c r="I1034" s="3">
        <v>4.3779858000000003</v>
      </c>
      <c r="J1034" s="3">
        <v>4.4864344000000003</v>
      </c>
      <c r="K1034" s="3">
        <v>4.5517364000000002</v>
      </c>
      <c r="L1034" s="3">
        <v>4.5874075999999997</v>
      </c>
      <c r="M1034" s="3">
        <v>4.6032931000000001</v>
      </c>
      <c r="N1034" s="3">
        <v>4.6051850999999999</v>
      </c>
      <c r="O1034" s="3">
        <v>4.5954959000000004</v>
      </c>
      <c r="P1034" s="3">
        <v>4.5747800999999999</v>
      </c>
      <c r="Q1034" s="3">
        <v>4.5427857999999999</v>
      </c>
      <c r="R1034" s="3">
        <v>4.5007473999999998</v>
      </c>
      <c r="S1034" s="3">
        <v>4.4503329999999997</v>
      </c>
      <c r="T1034" s="3">
        <v>4.3932104000000001</v>
      </c>
      <c r="U1034" s="3">
        <v>4.3310478000000003</v>
      </c>
      <c r="V1034" s="3">
        <v>4.2655133000000003</v>
      </c>
      <c r="W1034" s="3">
        <v>4.1981489999999999</v>
      </c>
      <c r="X1034" s="3">
        <v>4.1299694000000002</v>
      </c>
      <c r="Y1034" s="3">
        <v>4.0618499999999997</v>
      </c>
      <c r="Z1034" s="3">
        <v>3.9946663</v>
      </c>
      <c r="AA1034" s="3">
        <v>3.9292940999999999</v>
      </c>
      <c r="AB1034" s="3">
        <v>3.8666087</v>
      </c>
      <c r="AC1034" s="3">
        <v>3.8073551999999999</v>
      </c>
      <c r="AD1034" s="3">
        <v>3.7515736999999998</v>
      </c>
      <c r="AE1034" s="3">
        <v>3.6990687000000002</v>
      </c>
      <c r="AF1034" s="3">
        <v>3.6496442</v>
      </c>
      <c r="AG1034" s="3">
        <v>3.6031043</v>
      </c>
      <c r="AH1034" s="3">
        <v>3.5592532000000001</v>
      </c>
      <c r="AI1034" s="3">
        <v>3.5178948999999999</v>
      </c>
      <c r="AJ1034" s="3">
        <v>3.4788334999999999</v>
      </c>
      <c r="AK1034" s="3">
        <v>3.4418731999999999</v>
      </c>
      <c r="AL1034" s="3">
        <v>3.4068181000000002</v>
      </c>
      <c r="AM1034" s="3">
        <v>3.3734722000000001</v>
      </c>
      <c r="AN1034" s="3">
        <v>3.3416397</v>
      </c>
      <c r="AO1034" s="3">
        <v>3.3111408</v>
      </c>
      <c r="AP1034" s="3">
        <v>3.2818738999999999</v>
      </c>
      <c r="AQ1034" s="3">
        <v>3.2537614000000001</v>
      </c>
      <c r="AR1034" s="3">
        <v>3.2267256</v>
      </c>
      <c r="AS1034" s="3">
        <v>3.2006888999999998</v>
      </c>
      <c r="AT1034" s="3">
        <v>3.1755737000000002</v>
      </c>
      <c r="AU1034" s="3">
        <v>3.1513022999999998</v>
      </c>
      <c r="AV1034" s="3">
        <v>3.1277971</v>
      </c>
      <c r="AW1034" s="3">
        <v>3.1049802999999998</v>
      </c>
      <c r="AX1034" s="3">
        <v>3.0827743999999999</v>
      </c>
      <c r="AY1034" s="3">
        <v>3.0611017</v>
      </c>
      <c r="AZ1034" s="3">
        <v>3.0398846000000002</v>
      </c>
      <c r="BA1034" s="3">
        <v>3.0190591000000002</v>
      </c>
      <c r="BB1034" s="3">
        <v>2.9986220000000001</v>
      </c>
      <c r="BC1034" s="3">
        <v>2.9785868999999998</v>
      </c>
      <c r="BD1034" s="3">
        <v>2.9589672</v>
      </c>
      <c r="BE1034" s="3">
        <v>2.9397764999999998</v>
      </c>
      <c r="BF1034" s="3">
        <v>2.9210281999999999</v>
      </c>
      <c r="BG1034" s="3">
        <v>2.902736</v>
      </c>
      <c r="BH1034" s="3">
        <v>2.8849132000000002</v>
      </c>
      <c r="BI1034" s="3">
        <v>2.8675735000000002</v>
      </c>
      <c r="BJ1034" s="3">
        <v>2.8507302000000001</v>
      </c>
      <c r="BK1034" s="3">
        <v>2.8343970999999999</v>
      </c>
      <c r="BL1034" s="3">
        <v>2.8185875</v>
      </c>
      <c r="BM1034" s="3">
        <v>2.7351378999999998</v>
      </c>
      <c r="BN1034" s="3">
        <v>2.6718587999999999</v>
      </c>
    </row>
    <row r="1035" spans="1:66" x14ac:dyDescent="0.35">
      <c r="A1035" s="5">
        <f t="shared" si="15"/>
        <v>44903</v>
      </c>
      <c r="B1035" t="s">
        <v>2432</v>
      </c>
      <c r="C1035" s="2">
        <v>3</v>
      </c>
      <c r="D1035" s="2">
        <v>2.9281000000000001</v>
      </c>
      <c r="E1035" s="3">
        <v>3.4981141</v>
      </c>
      <c r="F1035" s="3">
        <v>3.7400199999999999</v>
      </c>
      <c r="G1035" s="3">
        <v>3.9892113999999999</v>
      </c>
      <c r="H1035" s="3">
        <v>4.2007953000000002</v>
      </c>
      <c r="I1035" s="3">
        <v>4.3578716000000002</v>
      </c>
      <c r="J1035" s="3">
        <v>4.4643902999999998</v>
      </c>
      <c r="K1035" s="3">
        <v>4.5291218999999998</v>
      </c>
      <c r="L1035" s="3">
        <v>4.5635972999999996</v>
      </c>
      <c r="M1035" s="3">
        <v>4.5770714000000003</v>
      </c>
      <c r="N1035" s="3">
        <v>4.5753678000000004</v>
      </c>
      <c r="O1035" s="3">
        <v>4.5611598999999998</v>
      </c>
      <c r="P1035" s="3">
        <v>4.5358014000000004</v>
      </c>
      <c r="Q1035" s="3">
        <v>4.4999136999999996</v>
      </c>
      <c r="R1035" s="3">
        <v>4.4550136</v>
      </c>
      <c r="S1035" s="3">
        <v>4.4028999999999998</v>
      </c>
      <c r="T1035" s="3">
        <v>4.3453717999999997</v>
      </c>
      <c r="U1035" s="3">
        <v>4.2842278</v>
      </c>
      <c r="V1035" s="3">
        <v>4.2212668999999998</v>
      </c>
      <c r="W1035" s="3">
        <v>4.1581222000000002</v>
      </c>
      <c r="X1035" s="3">
        <v>4.0955784</v>
      </c>
      <c r="Y1035" s="3">
        <v>4.0341490000000002</v>
      </c>
      <c r="Z1035" s="3">
        <v>3.9743474000000001</v>
      </c>
      <c r="AA1035" s="3">
        <v>3.9166870999999999</v>
      </c>
      <c r="AB1035" s="3">
        <v>3.8616815</v>
      </c>
      <c r="AC1035" s="3">
        <v>3.8097501</v>
      </c>
      <c r="AD1035" s="3">
        <v>3.7608543999999999</v>
      </c>
      <c r="AE1035" s="3">
        <v>3.7148169000000002</v>
      </c>
      <c r="AF1035" s="3">
        <v>3.6714597000000002</v>
      </c>
      <c r="AG1035" s="3">
        <v>3.6306050999999999</v>
      </c>
      <c r="AH1035" s="3">
        <v>3.5920754000000001</v>
      </c>
      <c r="AI1035" s="3">
        <v>3.5556928999999999</v>
      </c>
      <c r="AJ1035" s="3">
        <v>3.5212797</v>
      </c>
      <c r="AK1035" s="3">
        <v>3.4886583</v>
      </c>
      <c r="AL1035" s="3">
        <v>3.4576506999999999</v>
      </c>
      <c r="AM1035" s="3">
        <v>3.4280794000000001</v>
      </c>
      <c r="AN1035" s="3">
        <v>3.3997665000000001</v>
      </c>
      <c r="AO1035" s="3">
        <v>3.3725521000000001</v>
      </c>
      <c r="AP1035" s="3">
        <v>3.3463539999999998</v>
      </c>
      <c r="AQ1035" s="3">
        <v>3.3211118000000002</v>
      </c>
      <c r="AR1035" s="3">
        <v>3.2967650000000002</v>
      </c>
      <c r="AS1035" s="3">
        <v>3.2732530999999998</v>
      </c>
      <c r="AT1035" s="3">
        <v>3.2505156999999998</v>
      </c>
      <c r="AU1035" s="3">
        <v>3.2284921999999998</v>
      </c>
      <c r="AV1035" s="3">
        <v>3.2071220999999999</v>
      </c>
      <c r="AW1035" s="3">
        <v>3.1863448999999999</v>
      </c>
      <c r="AX1035" s="3">
        <v>3.1661003000000001</v>
      </c>
      <c r="AY1035" s="3">
        <v>3.1463275999999998</v>
      </c>
      <c r="AZ1035" s="3">
        <v>3.1269662999999999</v>
      </c>
      <c r="BA1035" s="3">
        <v>3.1079658999999999</v>
      </c>
      <c r="BB1035" s="3">
        <v>3.0893185000000001</v>
      </c>
      <c r="BC1035" s="3">
        <v>3.0710286</v>
      </c>
      <c r="BD1035" s="3">
        <v>3.0531003000000001</v>
      </c>
      <c r="BE1035" s="3">
        <v>3.0355379999999998</v>
      </c>
      <c r="BF1035" s="3">
        <v>3.0183458999999999</v>
      </c>
      <c r="BG1035" s="3">
        <v>3.0015282000000001</v>
      </c>
      <c r="BH1035" s="3">
        <v>2.9850892999999998</v>
      </c>
      <c r="BI1035" s="3">
        <v>2.9690333999999998</v>
      </c>
      <c r="BJ1035" s="3">
        <v>2.9533648000000001</v>
      </c>
      <c r="BK1035" s="3">
        <v>2.9380877999999999</v>
      </c>
      <c r="BL1035" s="3">
        <v>2.9232065999999999</v>
      </c>
      <c r="BM1035" s="3">
        <v>2.8426925000000001</v>
      </c>
      <c r="BN1035" s="3">
        <v>2.7788491</v>
      </c>
    </row>
    <row r="1036" spans="1:66" x14ac:dyDescent="0.35">
      <c r="A1036" s="5">
        <f t="shared" si="15"/>
        <v>44904</v>
      </c>
      <c r="B1036" t="s">
        <v>2433</v>
      </c>
      <c r="C1036" s="2">
        <v>3</v>
      </c>
      <c r="D1036" s="2">
        <v>2.9283999999999999</v>
      </c>
      <c r="E1036" s="3">
        <v>3.5132561999999998</v>
      </c>
      <c r="F1036" s="3">
        <v>3.7548050000000002</v>
      </c>
      <c r="G1036" s="3">
        <v>4.0000333000000001</v>
      </c>
      <c r="H1036" s="3">
        <v>4.2070616999999997</v>
      </c>
      <c r="I1036" s="3">
        <v>4.3618674999999998</v>
      </c>
      <c r="J1036" s="3">
        <v>4.4676670999999999</v>
      </c>
      <c r="K1036" s="3">
        <v>4.5332936000000004</v>
      </c>
      <c r="L1036" s="3">
        <v>4.5693263999999996</v>
      </c>
      <c r="M1036" s="3">
        <v>4.5844632000000001</v>
      </c>
      <c r="N1036" s="3">
        <v>4.5836423999999996</v>
      </c>
      <c r="O1036" s="3">
        <v>4.5692927000000001</v>
      </c>
      <c r="P1036" s="3">
        <v>4.5425722000000004</v>
      </c>
      <c r="Q1036" s="3">
        <v>4.5037281</v>
      </c>
      <c r="R1036" s="3">
        <v>4.4544736</v>
      </c>
      <c r="S1036" s="3">
        <v>4.3970593999999998</v>
      </c>
      <c r="T1036" s="3">
        <v>4.3337365999999999</v>
      </c>
      <c r="U1036" s="3">
        <v>4.266756</v>
      </c>
      <c r="V1036" s="3">
        <v>4.1983684999999999</v>
      </c>
      <c r="W1036" s="3">
        <v>4.1305864999999997</v>
      </c>
      <c r="X1036" s="3">
        <v>4.0643159000000004</v>
      </c>
      <c r="Y1036" s="3">
        <v>4.0001417999999997</v>
      </c>
      <c r="Z1036" s="3">
        <v>3.9386492999999998</v>
      </c>
      <c r="AA1036" s="3">
        <v>3.8804237000000001</v>
      </c>
      <c r="AB1036" s="3">
        <v>3.8260500999999998</v>
      </c>
      <c r="AC1036" s="3">
        <v>3.7759779</v>
      </c>
      <c r="AD1036" s="3">
        <v>3.7300572000000001</v>
      </c>
      <c r="AE1036" s="3">
        <v>3.6879726000000002</v>
      </c>
      <c r="AF1036" s="3">
        <v>3.6494087999999998</v>
      </c>
      <c r="AG1036" s="3">
        <v>3.6140506000000001</v>
      </c>
      <c r="AH1036" s="3">
        <v>3.5815826999999998</v>
      </c>
      <c r="AI1036" s="3">
        <v>3.5516896</v>
      </c>
      <c r="AJ1036" s="3">
        <v>3.5240562</v>
      </c>
      <c r="AK1036" s="3">
        <v>3.4983672000000001</v>
      </c>
      <c r="AL1036" s="3">
        <v>3.4743070999999999</v>
      </c>
      <c r="AM1036" s="3">
        <v>3.4515608000000002</v>
      </c>
      <c r="AN1036" s="3">
        <v>3.4298128999999999</v>
      </c>
      <c r="AO1036" s="3">
        <v>3.4087869999999998</v>
      </c>
      <c r="AP1036" s="3">
        <v>3.3883784000000001</v>
      </c>
      <c r="AQ1036" s="3">
        <v>3.3685301000000001</v>
      </c>
      <c r="AR1036" s="3">
        <v>3.3491848000000002</v>
      </c>
      <c r="AS1036" s="3">
        <v>3.3302852000000001</v>
      </c>
      <c r="AT1036" s="3">
        <v>3.3117741000000001</v>
      </c>
      <c r="AU1036" s="3">
        <v>3.2935943000000001</v>
      </c>
      <c r="AV1036" s="3">
        <v>3.2756886000000001</v>
      </c>
      <c r="AW1036" s="3">
        <v>3.2579997000000001</v>
      </c>
      <c r="AX1036" s="3">
        <v>3.2404704999999998</v>
      </c>
      <c r="AY1036" s="3">
        <v>3.2230436999999998</v>
      </c>
      <c r="AZ1036" s="3">
        <v>3.2056621000000001</v>
      </c>
      <c r="BA1036" s="3">
        <v>3.1882828000000001</v>
      </c>
      <c r="BB1036" s="3">
        <v>3.1709261999999998</v>
      </c>
      <c r="BC1036" s="3">
        <v>3.1536301</v>
      </c>
      <c r="BD1036" s="3">
        <v>3.1364323000000001</v>
      </c>
      <c r="BE1036" s="3">
        <v>3.1193705999999999</v>
      </c>
      <c r="BF1036" s="3">
        <v>3.1024829</v>
      </c>
      <c r="BG1036" s="3">
        <v>3.085807</v>
      </c>
      <c r="BH1036" s="3">
        <v>3.0693806000000001</v>
      </c>
      <c r="BI1036" s="3">
        <v>3.0532417000000001</v>
      </c>
      <c r="BJ1036" s="3">
        <v>3.0374281000000001</v>
      </c>
      <c r="BK1036" s="3">
        <v>3.0219775000000002</v>
      </c>
      <c r="BL1036" s="3">
        <v>3.0069276999999999</v>
      </c>
      <c r="BM1036" s="3">
        <v>2.9263043999999998</v>
      </c>
      <c r="BN1036" s="3">
        <v>2.8644183999999999</v>
      </c>
    </row>
    <row r="1037" spans="1:66" x14ac:dyDescent="0.35">
      <c r="A1037" s="5">
        <f t="shared" si="15"/>
        <v>44907</v>
      </c>
      <c r="B1037" t="s">
        <v>2434</v>
      </c>
      <c r="C1037" s="2">
        <v>3</v>
      </c>
      <c r="D1037" s="2">
        <v>2.9289000000000001</v>
      </c>
      <c r="E1037" s="3">
        <v>3.5282922999999999</v>
      </c>
      <c r="F1037" s="3">
        <v>3.7881197000000002</v>
      </c>
      <c r="G1037" s="3">
        <v>4.0378186999999999</v>
      </c>
      <c r="H1037" s="3">
        <v>4.2460968000000001</v>
      </c>
      <c r="I1037" s="3">
        <v>4.4047295000000002</v>
      </c>
      <c r="J1037" s="3">
        <v>4.5161575999999997</v>
      </c>
      <c r="K1037" s="3">
        <v>4.5885338999999998</v>
      </c>
      <c r="L1037" s="3">
        <v>4.6315068000000004</v>
      </c>
      <c r="M1037" s="3">
        <v>4.6522192999999996</v>
      </c>
      <c r="N1037" s="3">
        <v>4.6561890999999997</v>
      </c>
      <c r="O1037" s="3">
        <v>4.6454395999999996</v>
      </c>
      <c r="P1037" s="3">
        <v>4.6213509000000004</v>
      </c>
      <c r="Q1037" s="3">
        <v>4.5842774000000004</v>
      </c>
      <c r="R1037" s="3">
        <v>4.5360052</v>
      </c>
      <c r="S1037" s="3">
        <v>4.4787983999999996</v>
      </c>
      <c r="T1037" s="3">
        <v>4.4149208</v>
      </c>
      <c r="U1037" s="3">
        <v>4.3466363000000001</v>
      </c>
      <c r="V1037" s="3">
        <v>4.2762089000000003</v>
      </c>
      <c r="W1037" s="3">
        <v>4.2056513999999998</v>
      </c>
      <c r="X1037" s="3">
        <v>4.1359225999999998</v>
      </c>
      <c r="Y1037" s="3">
        <v>4.0677042999999999</v>
      </c>
      <c r="Z1037" s="3">
        <v>4.0016784000000003</v>
      </c>
      <c r="AA1037" s="3">
        <v>3.9385267000000002</v>
      </c>
      <c r="AB1037" s="3">
        <v>3.8789310000000001</v>
      </c>
      <c r="AC1037" s="3">
        <v>3.8234292999999999</v>
      </c>
      <c r="AD1037" s="3">
        <v>3.7719249000000001</v>
      </c>
      <c r="AE1037" s="3">
        <v>3.7241461</v>
      </c>
      <c r="AF1037" s="3">
        <v>3.6798207999999999</v>
      </c>
      <c r="AG1037" s="3">
        <v>3.6386774000000002</v>
      </c>
      <c r="AH1037" s="3">
        <v>3.6004437999999999</v>
      </c>
      <c r="AI1037" s="3">
        <v>3.5648483999999998</v>
      </c>
      <c r="AJ1037" s="3">
        <v>3.5316190999999999</v>
      </c>
      <c r="AK1037" s="3">
        <v>3.5004843000000001</v>
      </c>
      <c r="AL1037" s="3">
        <v>3.4711720000000001</v>
      </c>
      <c r="AM1037" s="3">
        <v>3.4434103</v>
      </c>
      <c r="AN1037" s="3">
        <v>3.4169274999999999</v>
      </c>
      <c r="AO1037" s="3">
        <v>3.3914829000000002</v>
      </c>
      <c r="AP1037" s="3">
        <v>3.3669731000000001</v>
      </c>
      <c r="AQ1037" s="3">
        <v>3.3433329999999999</v>
      </c>
      <c r="AR1037" s="3">
        <v>3.3204972000000001</v>
      </c>
      <c r="AS1037" s="3">
        <v>3.2984005999999999</v>
      </c>
      <c r="AT1037" s="3">
        <v>3.2769777000000002</v>
      </c>
      <c r="AU1037" s="3">
        <v>3.2561634000000002</v>
      </c>
      <c r="AV1037" s="3">
        <v>3.2358923000000002</v>
      </c>
      <c r="AW1037" s="3">
        <v>3.2160991999999999</v>
      </c>
      <c r="AX1037" s="3">
        <v>3.1967188000000002</v>
      </c>
      <c r="AY1037" s="3">
        <v>3.1776857999999999</v>
      </c>
      <c r="AZ1037" s="3">
        <v>3.1589349000000002</v>
      </c>
      <c r="BA1037" s="3">
        <v>3.1404117999999999</v>
      </c>
      <c r="BB1037" s="3">
        <v>3.1221206000000001</v>
      </c>
      <c r="BC1037" s="3">
        <v>3.104085</v>
      </c>
      <c r="BD1037" s="3">
        <v>3.0863288</v>
      </c>
      <c r="BE1037" s="3">
        <v>3.0688757</v>
      </c>
      <c r="BF1037" s="3">
        <v>3.0517495000000001</v>
      </c>
      <c r="BG1037" s="3">
        <v>3.0349740000000001</v>
      </c>
      <c r="BH1037" s="3">
        <v>3.0185729000000001</v>
      </c>
      <c r="BI1037" s="3">
        <v>3.0025700999999998</v>
      </c>
      <c r="BJ1037" s="3">
        <v>2.9869892</v>
      </c>
      <c r="BK1037" s="3">
        <v>2.971854</v>
      </c>
      <c r="BL1037" s="3">
        <v>2.9571884000000002</v>
      </c>
      <c r="BM1037" s="3">
        <v>2.8798002999999999</v>
      </c>
      <c r="BN1037" s="3">
        <v>2.8217173</v>
      </c>
    </row>
    <row r="1038" spans="1:66" x14ac:dyDescent="0.35">
      <c r="A1038" s="5">
        <f t="shared" si="15"/>
        <v>44908</v>
      </c>
      <c r="B1038" t="s">
        <v>2435</v>
      </c>
      <c r="C1038" s="2">
        <v>3</v>
      </c>
      <c r="D1038" s="2">
        <v>2.9287000000000001</v>
      </c>
      <c r="E1038" s="3">
        <v>3.5518046999999999</v>
      </c>
      <c r="F1038" s="3">
        <v>3.8298619</v>
      </c>
      <c r="G1038" s="3">
        <v>4.0898091000000001</v>
      </c>
      <c r="H1038" s="3">
        <v>4.3042210000000001</v>
      </c>
      <c r="I1038" s="3">
        <v>4.4654879999999997</v>
      </c>
      <c r="J1038" s="3">
        <v>4.5780493</v>
      </c>
      <c r="K1038" s="3">
        <v>4.6494555000000002</v>
      </c>
      <c r="L1038" s="3">
        <v>4.6903305</v>
      </c>
      <c r="M1038" s="3">
        <v>4.7087782000000002</v>
      </c>
      <c r="N1038" s="3">
        <v>4.7110345000000002</v>
      </c>
      <c r="O1038" s="3">
        <v>4.6999645000000001</v>
      </c>
      <c r="P1038" s="3">
        <v>4.6772843999999996</v>
      </c>
      <c r="Q1038" s="3">
        <v>4.6431538999999997</v>
      </c>
      <c r="R1038" s="3">
        <v>4.5989816000000001</v>
      </c>
      <c r="S1038" s="3">
        <v>4.5466224000000004</v>
      </c>
      <c r="T1038" s="3">
        <v>4.4879308</v>
      </c>
      <c r="U1038" s="3">
        <v>4.4247616000000001</v>
      </c>
      <c r="V1038" s="3">
        <v>4.3589694999999997</v>
      </c>
      <c r="W1038" s="3">
        <v>4.2922330999999998</v>
      </c>
      <c r="X1038" s="3">
        <v>4.2254908999999996</v>
      </c>
      <c r="Y1038" s="3">
        <v>4.1594873000000003</v>
      </c>
      <c r="Z1038" s="3">
        <v>4.0949663000000003</v>
      </c>
      <c r="AA1038" s="3">
        <v>4.0326724</v>
      </c>
      <c r="AB1038" s="3">
        <v>3.9733496000000001</v>
      </c>
      <c r="AC1038" s="3">
        <v>3.9175987999999999</v>
      </c>
      <c r="AD1038" s="3">
        <v>3.8653879999999998</v>
      </c>
      <c r="AE1038" s="3">
        <v>3.8165102000000002</v>
      </c>
      <c r="AF1038" s="3">
        <v>3.7707586000000002</v>
      </c>
      <c r="AG1038" s="3">
        <v>3.7279263999999999</v>
      </c>
      <c r="AH1038" s="3">
        <v>3.6878068000000002</v>
      </c>
      <c r="AI1038" s="3">
        <v>3.6501929</v>
      </c>
      <c r="AJ1038" s="3">
        <v>3.614878</v>
      </c>
      <c r="AK1038" s="3">
        <v>3.5816552000000001</v>
      </c>
      <c r="AL1038" s="3">
        <v>3.5503176999999999</v>
      </c>
      <c r="AM1038" s="3">
        <v>3.5206586999999998</v>
      </c>
      <c r="AN1038" s="3">
        <v>3.4924713000000001</v>
      </c>
      <c r="AO1038" s="3">
        <v>3.4655651000000001</v>
      </c>
      <c r="AP1038" s="3">
        <v>3.439838</v>
      </c>
      <c r="AQ1038" s="3">
        <v>3.4152173000000001</v>
      </c>
      <c r="AR1038" s="3">
        <v>3.3916305000000002</v>
      </c>
      <c r="AS1038" s="3">
        <v>3.369005</v>
      </c>
      <c r="AT1038" s="3">
        <v>3.3472683999999999</v>
      </c>
      <c r="AU1038" s="3">
        <v>3.3263479</v>
      </c>
      <c r="AV1038" s="3">
        <v>3.306171</v>
      </c>
      <c r="AW1038" s="3">
        <v>3.2866653000000001</v>
      </c>
      <c r="AX1038" s="3">
        <v>3.2677581</v>
      </c>
      <c r="AY1038" s="3">
        <v>3.2493769000000001</v>
      </c>
      <c r="AZ1038" s="3">
        <v>3.231449</v>
      </c>
      <c r="BA1038" s="3">
        <v>3.2139131999999999</v>
      </c>
      <c r="BB1038" s="3">
        <v>3.1967628000000001</v>
      </c>
      <c r="BC1038" s="3">
        <v>3.1800074</v>
      </c>
      <c r="BD1038" s="3">
        <v>3.1636571</v>
      </c>
      <c r="BE1038" s="3">
        <v>3.1477217</v>
      </c>
      <c r="BF1038" s="3">
        <v>3.1322109999999999</v>
      </c>
      <c r="BG1038" s="3">
        <v>3.1171350000000002</v>
      </c>
      <c r="BH1038" s="3">
        <v>3.1025033999999998</v>
      </c>
      <c r="BI1038" s="3">
        <v>3.0883262</v>
      </c>
      <c r="BJ1038" s="3">
        <v>3.0746131999999999</v>
      </c>
      <c r="BK1038" s="3">
        <v>3.0613741999999999</v>
      </c>
      <c r="BL1038" s="3">
        <v>3.0486192999999999</v>
      </c>
      <c r="BM1038" s="3">
        <v>2.9825336999999998</v>
      </c>
      <c r="BN1038" s="3">
        <v>2.9347127999999998</v>
      </c>
    </row>
    <row r="1039" spans="1:66" x14ac:dyDescent="0.35">
      <c r="A1039" s="5">
        <f t="shared" si="15"/>
        <v>44909</v>
      </c>
      <c r="B1039" t="s">
        <v>2436</v>
      </c>
      <c r="C1039" s="2">
        <v>3</v>
      </c>
      <c r="D1039" s="2">
        <v>2.9287999999999998</v>
      </c>
      <c r="E1039" s="3">
        <v>3.5147447000000001</v>
      </c>
      <c r="F1039" s="3">
        <v>3.7704582000000002</v>
      </c>
      <c r="G1039" s="3">
        <v>4.0123948</v>
      </c>
      <c r="H1039" s="3">
        <v>4.2121767999999999</v>
      </c>
      <c r="I1039" s="3">
        <v>4.3621138000000004</v>
      </c>
      <c r="J1039" s="3">
        <v>4.4653212</v>
      </c>
      <c r="K1039" s="3">
        <v>4.5291123999999998</v>
      </c>
      <c r="L1039" s="3">
        <v>4.5630997999999998</v>
      </c>
      <c r="M1039" s="3">
        <v>4.5752689999999996</v>
      </c>
      <c r="N1039" s="3">
        <v>4.5714119000000002</v>
      </c>
      <c r="O1039" s="3">
        <v>4.5548723999999998</v>
      </c>
      <c r="P1039" s="3">
        <v>4.5274023999999997</v>
      </c>
      <c r="Q1039" s="3">
        <v>4.4902125000000002</v>
      </c>
      <c r="R1039" s="3">
        <v>4.4448416000000002</v>
      </c>
      <c r="S1039" s="3">
        <v>4.3929327999999996</v>
      </c>
      <c r="T1039" s="3">
        <v>4.3361289999999997</v>
      </c>
      <c r="U1039" s="3">
        <v>4.2760733999999996</v>
      </c>
      <c r="V1039" s="3">
        <v>4.2144089999999998</v>
      </c>
      <c r="W1039" s="3">
        <v>4.1526157000000001</v>
      </c>
      <c r="X1039" s="3">
        <v>4.0914878999999997</v>
      </c>
      <c r="Y1039" s="3">
        <v>4.0316397000000004</v>
      </c>
      <c r="Z1039" s="3">
        <v>3.9736853999999999</v>
      </c>
      <c r="AA1039" s="3">
        <v>3.9182393000000002</v>
      </c>
      <c r="AB1039" s="3">
        <v>3.8659156000000001</v>
      </c>
      <c r="AC1039" s="3">
        <v>3.8172261000000001</v>
      </c>
      <c r="AD1039" s="3">
        <v>3.7721306999999999</v>
      </c>
      <c r="AE1039" s="3">
        <v>3.7304046999999998</v>
      </c>
      <c r="AF1039" s="3">
        <v>3.6918229</v>
      </c>
      <c r="AG1039" s="3">
        <v>3.6561602999999998</v>
      </c>
      <c r="AH1039" s="3">
        <v>3.6231917999999999</v>
      </c>
      <c r="AI1039" s="3">
        <v>3.5926925000000001</v>
      </c>
      <c r="AJ1039" s="3">
        <v>3.5644371000000001</v>
      </c>
      <c r="AK1039" s="3">
        <v>3.5382007999999998</v>
      </c>
      <c r="AL1039" s="3">
        <v>3.5137583999999999</v>
      </c>
      <c r="AM1039" s="3">
        <v>3.4908847999999999</v>
      </c>
      <c r="AN1039" s="3">
        <v>3.4693551</v>
      </c>
      <c r="AO1039" s="3">
        <v>3.4489635999999999</v>
      </c>
      <c r="AP1039" s="3">
        <v>3.4295990000000001</v>
      </c>
      <c r="AQ1039" s="3">
        <v>3.4111788000000001</v>
      </c>
      <c r="AR1039" s="3">
        <v>3.3936207</v>
      </c>
      <c r="AS1039" s="3">
        <v>3.3768419999999999</v>
      </c>
      <c r="AT1039" s="3">
        <v>3.3607605</v>
      </c>
      <c r="AU1039" s="3">
        <v>3.3452934999999999</v>
      </c>
      <c r="AV1039" s="3">
        <v>3.3303585999999998</v>
      </c>
      <c r="AW1039" s="3">
        <v>3.3158734000000001</v>
      </c>
      <c r="AX1039" s="3">
        <v>3.3017553999999998</v>
      </c>
      <c r="AY1039" s="3">
        <v>3.2879220999999998</v>
      </c>
      <c r="AZ1039" s="3">
        <v>3.2742911000000001</v>
      </c>
      <c r="BA1039" s="3">
        <v>3.2607949999999999</v>
      </c>
      <c r="BB1039" s="3">
        <v>3.2474333999999998</v>
      </c>
      <c r="BC1039" s="3">
        <v>3.2342241999999999</v>
      </c>
      <c r="BD1039" s="3">
        <v>3.2211854999999998</v>
      </c>
      <c r="BE1039" s="3">
        <v>3.2083352999999999</v>
      </c>
      <c r="BF1039" s="3">
        <v>3.1956916</v>
      </c>
      <c r="BG1039" s="3">
        <v>3.1832723000000001</v>
      </c>
      <c r="BH1039" s="3">
        <v>3.1710954</v>
      </c>
      <c r="BI1039" s="3">
        <v>3.159179</v>
      </c>
      <c r="BJ1039" s="3">
        <v>3.1475411000000002</v>
      </c>
      <c r="BK1039" s="3">
        <v>3.1361995999999999</v>
      </c>
      <c r="BL1039" s="3">
        <v>3.1251726</v>
      </c>
      <c r="BM1039" s="3">
        <v>3.0663478</v>
      </c>
      <c r="BN1039" s="3">
        <v>3.0217192000000002</v>
      </c>
    </row>
    <row r="1040" spans="1:66" x14ac:dyDescent="0.35">
      <c r="A1040" s="5">
        <f t="shared" si="15"/>
        <v>44910</v>
      </c>
      <c r="B1040" t="s">
        <v>2437</v>
      </c>
      <c r="C1040" s="2">
        <v>3.5</v>
      </c>
      <c r="D1040" s="2">
        <v>3.4268999999999998</v>
      </c>
      <c r="E1040" s="3">
        <v>3.4864394000000001</v>
      </c>
      <c r="F1040" s="3">
        <v>3.7387839</v>
      </c>
      <c r="G1040" s="3">
        <v>3.9743732000000001</v>
      </c>
      <c r="H1040" s="3">
        <v>4.1703212000000001</v>
      </c>
      <c r="I1040" s="3">
        <v>4.3189080000000004</v>
      </c>
      <c r="J1040" s="3">
        <v>4.4227604999999999</v>
      </c>
      <c r="K1040" s="3">
        <v>4.4881526999999997</v>
      </c>
      <c r="L1040" s="3">
        <v>4.5237641000000002</v>
      </c>
      <c r="M1040" s="3">
        <v>4.5376989999999999</v>
      </c>
      <c r="N1040" s="3">
        <v>4.5357867000000001</v>
      </c>
      <c r="O1040" s="3">
        <v>4.5210879999999998</v>
      </c>
      <c r="P1040" s="3">
        <v>4.4952819999999996</v>
      </c>
      <c r="Q1040" s="3">
        <v>4.4592986999999997</v>
      </c>
      <c r="R1040" s="3">
        <v>4.4145623000000001</v>
      </c>
      <c r="S1040" s="3">
        <v>4.3626693999999997</v>
      </c>
      <c r="T1040" s="3">
        <v>4.3052165000000002</v>
      </c>
      <c r="U1040" s="3">
        <v>4.2438000999999996</v>
      </c>
      <c r="V1040" s="3">
        <v>4.1800169</v>
      </c>
      <c r="W1040" s="3">
        <v>4.1153572</v>
      </c>
      <c r="X1040" s="3">
        <v>4.0507679999999997</v>
      </c>
      <c r="Y1040" s="3">
        <v>3.9870223</v>
      </c>
      <c r="Z1040" s="3">
        <v>3.9248935</v>
      </c>
      <c r="AA1040" s="3">
        <v>3.8651544000000002</v>
      </c>
      <c r="AB1040" s="3">
        <v>3.8085784999999999</v>
      </c>
      <c r="AC1040" s="3">
        <v>3.7558026</v>
      </c>
      <c r="AD1040" s="3">
        <v>3.7068007999999999</v>
      </c>
      <c r="AE1040" s="3">
        <v>3.6613454000000001</v>
      </c>
      <c r="AF1040" s="3">
        <v>3.6192085999999999</v>
      </c>
      <c r="AG1040" s="3">
        <v>3.5801626</v>
      </c>
      <c r="AH1040" s="3">
        <v>3.5439796000000001</v>
      </c>
      <c r="AI1040" s="3">
        <v>3.5104318000000001</v>
      </c>
      <c r="AJ1040" s="3">
        <v>3.4792914000000001</v>
      </c>
      <c r="AK1040" s="3">
        <v>3.4503306</v>
      </c>
      <c r="AL1040" s="3">
        <v>3.4233216</v>
      </c>
      <c r="AM1040" s="3">
        <v>3.3980366000000002</v>
      </c>
      <c r="AN1040" s="3">
        <v>3.3742478999999999</v>
      </c>
      <c r="AO1040" s="3">
        <v>3.3517488000000002</v>
      </c>
      <c r="AP1040" s="3">
        <v>3.3304263000000001</v>
      </c>
      <c r="AQ1040" s="3">
        <v>3.3101931000000002</v>
      </c>
      <c r="AR1040" s="3">
        <v>3.2909619000000001</v>
      </c>
      <c r="AS1040" s="3">
        <v>3.2726456000000002</v>
      </c>
      <c r="AT1040" s="3">
        <v>3.2551568</v>
      </c>
      <c r="AU1040" s="3">
        <v>3.2384083000000001</v>
      </c>
      <c r="AV1040" s="3">
        <v>3.2223128999999999</v>
      </c>
      <c r="AW1040" s="3">
        <v>3.2067833000000001</v>
      </c>
      <c r="AX1040" s="3">
        <v>3.1917322000000001</v>
      </c>
      <c r="AY1040" s="3">
        <v>3.1770724000000001</v>
      </c>
      <c r="AZ1040" s="3">
        <v>3.1627166999999998</v>
      </c>
      <c r="BA1040" s="3">
        <v>3.1485930999999998</v>
      </c>
      <c r="BB1040" s="3">
        <v>3.1346968999999998</v>
      </c>
      <c r="BC1040" s="3">
        <v>3.1210423999999999</v>
      </c>
      <c r="BD1040" s="3">
        <v>3.1076435</v>
      </c>
      <c r="BE1040" s="3">
        <v>3.0945141999999999</v>
      </c>
      <c r="BF1040" s="3">
        <v>3.0816686999999998</v>
      </c>
      <c r="BG1040" s="3">
        <v>3.069121</v>
      </c>
      <c r="BH1040" s="3">
        <v>3.0568851000000001</v>
      </c>
      <c r="BI1040" s="3">
        <v>3.0449750999999998</v>
      </c>
      <c r="BJ1040" s="3">
        <v>3.0334051</v>
      </c>
      <c r="BK1040" s="3">
        <v>3.0221890999999999</v>
      </c>
      <c r="BL1040" s="3">
        <v>3.0113411000000001</v>
      </c>
      <c r="BM1040" s="3">
        <v>2.9544834</v>
      </c>
      <c r="BN1040" s="3">
        <v>2.9126812000000002</v>
      </c>
    </row>
    <row r="1041" spans="1:66" x14ac:dyDescent="0.35">
      <c r="A1041" s="5">
        <f t="shared" ref="A1041:A1108" si="16">+A1036+7</f>
        <v>44911</v>
      </c>
      <c r="B1041" t="s">
        <v>2438</v>
      </c>
      <c r="C1041" s="2">
        <v>3.5</v>
      </c>
      <c r="D1041" s="2">
        <v>3.4272999999999998</v>
      </c>
      <c r="E1041" s="3">
        <v>3.4948220999999999</v>
      </c>
      <c r="F1041" s="3">
        <v>3.7575866000000002</v>
      </c>
      <c r="G1041" s="3">
        <v>4.0050663000000002</v>
      </c>
      <c r="H1041" s="3">
        <v>4.2132882</v>
      </c>
      <c r="I1041" s="3">
        <v>4.3735102000000001</v>
      </c>
      <c r="J1041" s="3">
        <v>4.4879018999999998</v>
      </c>
      <c r="K1041" s="3">
        <v>4.5629711999999998</v>
      </c>
      <c r="L1041" s="3">
        <v>4.6067412000000001</v>
      </c>
      <c r="M1041" s="3">
        <v>4.6267887999999999</v>
      </c>
      <c r="N1041" s="3">
        <v>4.6283919999999998</v>
      </c>
      <c r="O1041" s="3">
        <v>4.6151539000000001</v>
      </c>
      <c r="P1041" s="3">
        <v>4.5894953999999997</v>
      </c>
      <c r="Q1041" s="3">
        <v>4.5529301999999996</v>
      </c>
      <c r="R1041" s="3">
        <v>4.5072178000000003</v>
      </c>
      <c r="S1041" s="3">
        <v>4.4542593999999998</v>
      </c>
      <c r="T1041" s="3">
        <v>4.3959561000000003</v>
      </c>
      <c r="U1041" s="3">
        <v>4.3342087999999999</v>
      </c>
      <c r="V1041" s="3">
        <v>4.2709187000000002</v>
      </c>
      <c r="W1041" s="3">
        <v>4.2077935000000002</v>
      </c>
      <c r="X1041" s="3">
        <v>4.1456444000000001</v>
      </c>
      <c r="Y1041" s="3">
        <v>4.0850226999999997</v>
      </c>
      <c r="Z1041" s="3">
        <v>4.0264794000000004</v>
      </c>
      <c r="AA1041" s="3">
        <v>3.9705659999999998</v>
      </c>
      <c r="AB1041" s="3">
        <v>3.9178335999999998</v>
      </c>
      <c r="AC1041" s="3">
        <v>3.8687141</v>
      </c>
      <c r="AD1041" s="3">
        <v>3.8231112</v>
      </c>
      <c r="AE1041" s="3">
        <v>3.7807835000000001</v>
      </c>
      <c r="AF1041" s="3">
        <v>3.7414892000000002</v>
      </c>
      <c r="AG1041" s="3">
        <v>3.7049867000000001</v>
      </c>
      <c r="AH1041" s="3">
        <v>3.6710343999999999</v>
      </c>
      <c r="AI1041" s="3">
        <v>3.6393906999999999</v>
      </c>
      <c r="AJ1041" s="3">
        <v>3.6098138999999998</v>
      </c>
      <c r="AK1041" s="3">
        <v>3.5820623999999999</v>
      </c>
      <c r="AL1041" s="3">
        <v>3.5558945</v>
      </c>
      <c r="AM1041" s="3">
        <v>3.5310685999999998</v>
      </c>
      <c r="AN1041" s="3">
        <v>3.5073430000000001</v>
      </c>
      <c r="AO1041" s="3">
        <v>3.4845041000000001</v>
      </c>
      <c r="AP1041" s="3">
        <v>3.4624609999999998</v>
      </c>
      <c r="AQ1041" s="3">
        <v>3.441157</v>
      </c>
      <c r="AR1041" s="3">
        <v>3.4205353000000001</v>
      </c>
      <c r="AS1041" s="3">
        <v>3.4005390000000002</v>
      </c>
      <c r="AT1041" s="3">
        <v>3.3811114999999998</v>
      </c>
      <c r="AU1041" s="3">
        <v>3.3621957999999998</v>
      </c>
      <c r="AV1041" s="3">
        <v>3.3437353000000001</v>
      </c>
      <c r="AW1041" s="3">
        <v>3.3256730999999999</v>
      </c>
      <c r="AX1041" s="3">
        <v>3.3079524</v>
      </c>
      <c r="AY1041" s="3">
        <v>3.2905164</v>
      </c>
      <c r="AZ1041" s="3">
        <v>3.2733083999999999</v>
      </c>
      <c r="BA1041" s="3">
        <v>3.2562837</v>
      </c>
      <c r="BB1041" s="3">
        <v>3.2394514999999999</v>
      </c>
      <c r="BC1041" s="3">
        <v>3.2228357999999999</v>
      </c>
      <c r="BD1041" s="3">
        <v>3.2064604999999999</v>
      </c>
      <c r="BE1041" s="3">
        <v>3.1903497000000001</v>
      </c>
      <c r="BF1041" s="3">
        <v>3.1745272999999998</v>
      </c>
      <c r="BG1041" s="3">
        <v>3.1590172999999999</v>
      </c>
      <c r="BH1041" s="3">
        <v>3.1438437000000001</v>
      </c>
      <c r="BI1041" s="3">
        <v>3.1290306000000001</v>
      </c>
      <c r="BJ1041" s="3">
        <v>3.1146018</v>
      </c>
      <c r="BK1041" s="3">
        <v>3.1005813999999998</v>
      </c>
      <c r="BL1041" s="3">
        <v>3.0869933000000001</v>
      </c>
      <c r="BM1041" s="3">
        <v>3.0152926</v>
      </c>
      <c r="BN1041" s="3">
        <v>2.9615919000000002</v>
      </c>
    </row>
    <row r="1042" spans="1:66" x14ac:dyDescent="0.35">
      <c r="A1042" s="5">
        <f t="shared" si="16"/>
        <v>44914</v>
      </c>
      <c r="B1042" t="s">
        <v>2439</v>
      </c>
      <c r="C1042" s="2">
        <v>3.5</v>
      </c>
      <c r="D1042" s="2">
        <v>3.4268999999999998</v>
      </c>
      <c r="E1042" s="3">
        <v>3.5079031999999999</v>
      </c>
      <c r="F1042" s="3">
        <v>3.7958232999999999</v>
      </c>
      <c r="G1042" s="3">
        <v>4.0577265999999996</v>
      </c>
      <c r="H1042" s="3">
        <v>4.2745182000000002</v>
      </c>
      <c r="I1042" s="3">
        <v>4.4394146000000001</v>
      </c>
      <c r="J1042" s="3">
        <v>4.5553901999999997</v>
      </c>
      <c r="K1042" s="3">
        <v>4.6305664000000002</v>
      </c>
      <c r="L1042" s="3">
        <v>4.6745222000000002</v>
      </c>
      <c r="M1042" s="3">
        <v>4.6953597</v>
      </c>
      <c r="N1042" s="3">
        <v>4.7001704000000002</v>
      </c>
      <c r="O1042" s="3">
        <v>4.6925540000000003</v>
      </c>
      <c r="P1042" s="3">
        <v>4.6748260000000004</v>
      </c>
      <c r="Q1042" s="3">
        <v>4.6480297000000004</v>
      </c>
      <c r="R1042" s="3">
        <v>4.6133924999999998</v>
      </c>
      <c r="S1042" s="3">
        <v>4.5722887999999999</v>
      </c>
      <c r="T1042" s="3">
        <v>4.5260930999999998</v>
      </c>
      <c r="U1042" s="3">
        <v>4.4761796</v>
      </c>
      <c r="V1042" s="3">
        <v>4.4239227000000003</v>
      </c>
      <c r="W1042" s="3">
        <v>4.3705780000000001</v>
      </c>
      <c r="X1042" s="3">
        <v>4.3169010999999999</v>
      </c>
      <c r="Y1042" s="3">
        <v>4.2635164000000003</v>
      </c>
      <c r="Z1042" s="3">
        <v>4.2110485000000004</v>
      </c>
      <c r="AA1042" s="3">
        <v>4.1601219</v>
      </c>
      <c r="AB1042" s="3">
        <v>4.1113609000000002</v>
      </c>
      <c r="AC1042" s="3">
        <v>4.0652704999999996</v>
      </c>
      <c r="AD1042" s="3">
        <v>4.0218277999999996</v>
      </c>
      <c r="AE1042" s="3">
        <v>3.9808644000000002</v>
      </c>
      <c r="AF1042" s="3">
        <v>3.9422115999999998</v>
      </c>
      <c r="AG1042" s="3">
        <v>3.9057010999999999</v>
      </c>
      <c r="AH1042" s="3">
        <v>3.8711641999999999</v>
      </c>
      <c r="AI1042" s="3">
        <v>3.8384325000000001</v>
      </c>
      <c r="AJ1042" s="3">
        <v>3.8073375</v>
      </c>
      <c r="AK1042" s="3">
        <v>3.7777105999999998</v>
      </c>
      <c r="AL1042" s="3">
        <v>3.7493834000000001</v>
      </c>
      <c r="AM1042" s="3">
        <v>3.7221872999999999</v>
      </c>
      <c r="AN1042" s="3">
        <v>3.6959539000000001</v>
      </c>
      <c r="AO1042" s="3">
        <v>3.6705342000000001</v>
      </c>
      <c r="AP1042" s="3">
        <v>3.6458661000000001</v>
      </c>
      <c r="AQ1042" s="3">
        <v>3.6219109999999999</v>
      </c>
      <c r="AR1042" s="3">
        <v>3.5986307000000002</v>
      </c>
      <c r="AS1042" s="3">
        <v>3.5759867000000001</v>
      </c>
      <c r="AT1042" s="3">
        <v>3.5539407000000001</v>
      </c>
      <c r="AU1042" s="3">
        <v>3.5324544000000002</v>
      </c>
      <c r="AV1042" s="3">
        <v>3.5114893999999999</v>
      </c>
      <c r="AW1042" s="3">
        <v>3.4910071999999999</v>
      </c>
      <c r="AX1042" s="3">
        <v>3.4709694999999998</v>
      </c>
      <c r="AY1042" s="3">
        <v>3.4513379999999998</v>
      </c>
      <c r="AZ1042" s="3">
        <v>3.4320743</v>
      </c>
      <c r="BA1042" s="3">
        <v>3.4131472999999999</v>
      </c>
      <c r="BB1042" s="3">
        <v>3.3945647999999999</v>
      </c>
      <c r="BC1042" s="3">
        <v>3.3763478999999998</v>
      </c>
      <c r="BD1042" s="3">
        <v>3.3585177000000002</v>
      </c>
      <c r="BE1042" s="3">
        <v>3.3410950000000001</v>
      </c>
      <c r="BF1042" s="3">
        <v>3.3241010000000002</v>
      </c>
      <c r="BG1042" s="3">
        <v>3.3075567000000001</v>
      </c>
      <c r="BH1042" s="3">
        <v>3.2914831000000002</v>
      </c>
      <c r="BI1042" s="3">
        <v>3.2759011999999998</v>
      </c>
      <c r="BJ1042" s="3">
        <v>3.2608318999999999</v>
      </c>
      <c r="BK1042" s="3">
        <v>3.2462965000000001</v>
      </c>
      <c r="BL1042" s="3">
        <v>3.2323157999999999</v>
      </c>
      <c r="BM1042" s="3">
        <v>3.1604407999999999</v>
      </c>
      <c r="BN1042" s="3">
        <v>3.1088187</v>
      </c>
    </row>
    <row r="1043" spans="1:66" x14ac:dyDescent="0.35">
      <c r="A1043" s="5">
        <f t="shared" si="16"/>
        <v>44915</v>
      </c>
      <c r="B1043" t="s">
        <v>2440</v>
      </c>
      <c r="C1043" s="2">
        <v>3.5</v>
      </c>
      <c r="D1043" s="2">
        <v>3.4272999999999998</v>
      </c>
      <c r="E1043" s="3">
        <v>3.5187287</v>
      </c>
      <c r="F1043" s="3">
        <v>3.8054849000000002</v>
      </c>
      <c r="G1043" s="3">
        <v>4.0618423000000003</v>
      </c>
      <c r="H1043" s="3">
        <v>4.2695121</v>
      </c>
      <c r="I1043" s="3">
        <v>4.4244583999999998</v>
      </c>
      <c r="J1043" s="3">
        <v>4.5348934999999999</v>
      </c>
      <c r="K1043" s="3">
        <v>4.6095350000000002</v>
      </c>
      <c r="L1043" s="3">
        <v>4.6576781</v>
      </c>
      <c r="M1043" s="3">
        <v>4.6860777000000002</v>
      </c>
      <c r="N1043" s="3">
        <v>4.6999938999999999</v>
      </c>
      <c r="O1043" s="3">
        <v>4.7019130999999996</v>
      </c>
      <c r="P1043" s="3">
        <v>4.6933767</v>
      </c>
      <c r="Q1043" s="3">
        <v>4.6747408999999998</v>
      </c>
      <c r="R1043" s="3">
        <v>4.6471913000000002</v>
      </c>
      <c r="S1043" s="3">
        <v>4.6122207</v>
      </c>
      <c r="T1043" s="3">
        <v>4.5713214000000004</v>
      </c>
      <c r="U1043" s="3">
        <v>4.5259860999999999</v>
      </c>
      <c r="V1043" s="3">
        <v>4.4777072999999996</v>
      </c>
      <c r="W1043" s="3">
        <v>4.4278475999999998</v>
      </c>
      <c r="X1043" s="3">
        <v>4.3772232999999998</v>
      </c>
      <c r="Y1043" s="3">
        <v>4.3265072</v>
      </c>
      <c r="Z1043" s="3">
        <v>4.2763723999999996</v>
      </c>
      <c r="AA1043" s="3">
        <v>4.2274915999999996</v>
      </c>
      <c r="AB1043" s="3">
        <v>4.1805377999999997</v>
      </c>
      <c r="AC1043" s="3">
        <v>4.1360603999999999</v>
      </c>
      <c r="AD1043" s="3">
        <v>4.0940649999999996</v>
      </c>
      <c r="AE1043" s="3">
        <v>4.0544066000000001</v>
      </c>
      <c r="AF1043" s="3">
        <v>4.0169404999999996</v>
      </c>
      <c r="AG1043" s="3">
        <v>3.9815217999999999</v>
      </c>
      <c r="AH1043" s="3">
        <v>3.9480056000000001</v>
      </c>
      <c r="AI1043" s="3">
        <v>3.9162473000000002</v>
      </c>
      <c r="AJ1043" s="3">
        <v>3.8861018999999999</v>
      </c>
      <c r="AK1043" s="3">
        <v>3.8574247000000002</v>
      </c>
      <c r="AL1043" s="3">
        <v>3.8300708000000001</v>
      </c>
      <c r="AM1043" s="3">
        <v>3.8038954</v>
      </c>
      <c r="AN1043" s="3">
        <v>3.7787537000000002</v>
      </c>
      <c r="AO1043" s="3">
        <v>3.7545126999999998</v>
      </c>
      <c r="AP1043" s="3">
        <v>3.7311030999999999</v>
      </c>
      <c r="AQ1043" s="3">
        <v>3.7084768000000001</v>
      </c>
      <c r="AR1043" s="3">
        <v>3.6865858999999999</v>
      </c>
      <c r="AS1043" s="3">
        <v>3.6653825000000002</v>
      </c>
      <c r="AT1043" s="3">
        <v>3.6448184000000001</v>
      </c>
      <c r="AU1043" s="3">
        <v>3.6248459</v>
      </c>
      <c r="AV1043" s="3">
        <v>3.6054168999999998</v>
      </c>
      <c r="AW1043" s="3">
        <v>3.5864834000000001</v>
      </c>
      <c r="AX1043" s="3">
        <v>3.5679975000000002</v>
      </c>
      <c r="AY1043" s="3">
        <v>3.5499111000000001</v>
      </c>
      <c r="AZ1043" s="3">
        <v>3.5321764</v>
      </c>
      <c r="BA1043" s="3">
        <v>3.5147534999999999</v>
      </c>
      <c r="BB1043" s="3">
        <v>3.4976429000000002</v>
      </c>
      <c r="BC1043" s="3">
        <v>3.4808569999999999</v>
      </c>
      <c r="BD1043" s="3">
        <v>3.4644084999999998</v>
      </c>
      <c r="BE1043" s="3">
        <v>3.4483098999999999</v>
      </c>
      <c r="BF1043" s="3">
        <v>3.4325736999999998</v>
      </c>
      <c r="BG1043" s="3">
        <v>3.4172126</v>
      </c>
      <c r="BH1043" s="3">
        <v>3.4022389999999998</v>
      </c>
      <c r="BI1043" s="3">
        <v>3.3876656000000001</v>
      </c>
      <c r="BJ1043" s="3">
        <v>3.3735048999999999</v>
      </c>
      <c r="BK1043" s="3">
        <v>3.3597693999999998</v>
      </c>
      <c r="BL1043" s="3">
        <v>3.3464718000000002</v>
      </c>
      <c r="BM1043" s="3">
        <v>3.2761879999999999</v>
      </c>
      <c r="BN1043" s="3">
        <v>3.2224298</v>
      </c>
    </row>
    <row r="1044" spans="1:66" x14ac:dyDescent="0.35">
      <c r="A1044" s="5">
        <f t="shared" si="16"/>
        <v>44916</v>
      </c>
      <c r="B1044" t="s">
        <v>2441</v>
      </c>
      <c r="C1044" s="2">
        <v>3.5</v>
      </c>
      <c r="D1044" s="2">
        <v>3.4275000000000002</v>
      </c>
      <c r="E1044" s="3">
        <v>3.5204496999999999</v>
      </c>
      <c r="F1044" s="3">
        <v>3.8118080000000001</v>
      </c>
      <c r="G1044" s="3">
        <v>4.0621261000000004</v>
      </c>
      <c r="H1044" s="3">
        <v>4.2581407000000002</v>
      </c>
      <c r="I1044" s="3">
        <v>4.4005321000000004</v>
      </c>
      <c r="J1044" s="3">
        <v>4.4990376000000003</v>
      </c>
      <c r="K1044" s="3">
        <v>4.5639554999999996</v>
      </c>
      <c r="L1044" s="3">
        <v>4.6043915999999996</v>
      </c>
      <c r="M1044" s="3">
        <v>4.6271167999999996</v>
      </c>
      <c r="N1044" s="3">
        <v>4.6368128999999998</v>
      </c>
      <c r="O1044" s="3">
        <v>4.6360083000000003</v>
      </c>
      <c r="P1044" s="3">
        <v>4.6258964999999996</v>
      </c>
      <c r="Q1044" s="3">
        <v>4.6067361</v>
      </c>
      <c r="R1044" s="3">
        <v>4.5795655000000002</v>
      </c>
      <c r="S1044" s="3">
        <v>4.5456835</v>
      </c>
      <c r="T1044" s="3">
        <v>4.5063886000000002</v>
      </c>
      <c r="U1044" s="3">
        <v>4.4629792999999998</v>
      </c>
      <c r="V1044" s="3">
        <v>4.4167544999999997</v>
      </c>
      <c r="W1044" s="3">
        <v>4.3689103999999999</v>
      </c>
      <c r="X1044" s="3">
        <v>4.3202141000000003</v>
      </c>
      <c r="Y1044" s="3">
        <v>4.2713197000000003</v>
      </c>
      <c r="Z1044" s="3">
        <v>4.2228814999999997</v>
      </c>
      <c r="AA1044" s="3">
        <v>4.1755537</v>
      </c>
      <c r="AB1044" s="3">
        <v>4.1299904999999999</v>
      </c>
      <c r="AC1044" s="3">
        <v>4.0867509000000002</v>
      </c>
      <c r="AD1044" s="3">
        <v>4.0458809000000002</v>
      </c>
      <c r="AE1044" s="3">
        <v>4.0072546999999998</v>
      </c>
      <c r="AF1044" s="3">
        <v>3.9707463000000001</v>
      </c>
      <c r="AG1044" s="3">
        <v>3.9362297000000002</v>
      </c>
      <c r="AH1044" s="3">
        <v>3.9035790000000001</v>
      </c>
      <c r="AI1044" s="3">
        <v>3.8726682000000001</v>
      </c>
      <c r="AJ1044" s="3">
        <v>3.8433712</v>
      </c>
      <c r="AK1044" s="3">
        <v>3.8155621000000002</v>
      </c>
      <c r="AL1044" s="3">
        <v>3.7891149999999998</v>
      </c>
      <c r="AM1044" s="3">
        <v>3.7639038</v>
      </c>
      <c r="AN1044" s="3">
        <v>3.7398026</v>
      </c>
      <c r="AO1044" s="3">
        <v>3.7166950000000001</v>
      </c>
      <c r="AP1044" s="3">
        <v>3.6945114999999999</v>
      </c>
      <c r="AQ1044" s="3">
        <v>3.6731969000000002</v>
      </c>
      <c r="AR1044" s="3">
        <v>3.6526958999999999</v>
      </c>
      <c r="AS1044" s="3">
        <v>3.6329533000000001</v>
      </c>
      <c r="AT1044" s="3">
        <v>3.6139138000000002</v>
      </c>
      <c r="AU1044" s="3">
        <v>3.5955222999999998</v>
      </c>
      <c r="AV1044" s="3">
        <v>3.5777234</v>
      </c>
      <c r="AW1044" s="3">
        <v>3.5604619</v>
      </c>
      <c r="AX1044" s="3">
        <v>3.5436827000000002</v>
      </c>
      <c r="AY1044" s="3">
        <v>3.5273303999999999</v>
      </c>
      <c r="AZ1044" s="3">
        <v>3.5113498000000001</v>
      </c>
      <c r="BA1044" s="3">
        <v>3.495695</v>
      </c>
      <c r="BB1044" s="3">
        <v>3.4803609999999998</v>
      </c>
      <c r="BC1044" s="3">
        <v>3.4653542000000002</v>
      </c>
      <c r="BD1044" s="3">
        <v>3.4506808000000002</v>
      </c>
      <c r="BE1044" s="3">
        <v>3.4363473</v>
      </c>
      <c r="BF1044" s="3">
        <v>3.4223599999999998</v>
      </c>
      <c r="BG1044" s="3">
        <v>3.4087253</v>
      </c>
      <c r="BH1044" s="3">
        <v>3.3954494</v>
      </c>
      <c r="BI1044" s="3">
        <v>3.3825387</v>
      </c>
      <c r="BJ1044" s="3">
        <v>3.3699997000000002</v>
      </c>
      <c r="BK1044" s="3">
        <v>3.3578385000000002</v>
      </c>
      <c r="BL1044" s="3">
        <v>3.3460616000000001</v>
      </c>
      <c r="BM1044" s="3">
        <v>3.2836295</v>
      </c>
      <c r="BN1044" s="3">
        <v>3.2354424000000002</v>
      </c>
    </row>
    <row r="1045" spans="1:66" x14ac:dyDescent="0.35">
      <c r="A1045" s="5">
        <f t="shared" si="16"/>
        <v>44917</v>
      </c>
      <c r="B1045" t="s">
        <v>2442</v>
      </c>
      <c r="C1045" s="2">
        <v>3.5</v>
      </c>
      <c r="D1045" s="2">
        <v>3.4275000000000002</v>
      </c>
      <c r="E1045" s="3">
        <v>3.5250963999999998</v>
      </c>
      <c r="F1045" s="3">
        <v>3.8170904000000001</v>
      </c>
      <c r="G1045" s="3">
        <v>4.0719037</v>
      </c>
      <c r="H1045" s="3">
        <v>4.2779360999999998</v>
      </c>
      <c r="I1045" s="3">
        <v>4.4314321000000003</v>
      </c>
      <c r="J1045" s="3">
        <v>4.5404502000000004</v>
      </c>
      <c r="K1045" s="3">
        <v>4.6137962999999997</v>
      </c>
      <c r="L1045" s="3">
        <v>4.6594448999999996</v>
      </c>
      <c r="M1045" s="3">
        <v>4.684374</v>
      </c>
      <c r="N1045" s="3">
        <v>4.6938098999999998</v>
      </c>
      <c r="O1045" s="3">
        <v>4.6907743999999996</v>
      </c>
      <c r="P1045" s="3">
        <v>4.6772540999999999</v>
      </c>
      <c r="Q1045" s="3">
        <v>4.6546593999999999</v>
      </c>
      <c r="R1045" s="3">
        <v>4.6243347000000004</v>
      </c>
      <c r="S1045" s="3">
        <v>4.5876384999999997</v>
      </c>
      <c r="T1045" s="3">
        <v>4.5459290000000001</v>
      </c>
      <c r="U1045" s="3">
        <v>4.5005645000000003</v>
      </c>
      <c r="V1045" s="3">
        <v>4.4529034999999997</v>
      </c>
      <c r="W1045" s="3">
        <v>4.4042025000000002</v>
      </c>
      <c r="X1045" s="3">
        <v>4.3551973999999998</v>
      </c>
      <c r="Y1045" s="3">
        <v>4.3064578999999998</v>
      </c>
      <c r="Z1045" s="3">
        <v>4.2585533</v>
      </c>
      <c r="AA1045" s="3">
        <v>4.2120531000000003</v>
      </c>
      <c r="AB1045" s="3">
        <v>4.1675268000000001</v>
      </c>
      <c r="AC1045" s="3">
        <v>4.1254463000000001</v>
      </c>
      <c r="AD1045" s="3">
        <v>4.0858074000000002</v>
      </c>
      <c r="AE1045" s="3">
        <v>4.0484609999999996</v>
      </c>
      <c r="AF1045" s="3">
        <v>4.0132582000000001</v>
      </c>
      <c r="AG1045" s="3">
        <v>3.9800499999999999</v>
      </c>
      <c r="AH1045" s="3">
        <v>3.9486873999999998</v>
      </c>
      <c r="AI1045" s="3">
        <v>3.9190212999999998</v>
      </c>
      <c r="AJ1045" s="3">
        <v>3.8909026999999998</v>
      </c>
      <c r="AK1045" s="3">
        <v>3.8641825999999999</v>
      </c>
      <c r="AL1045" s="3">
        <v>3.8387121</v>
      </c>
      <c r="AM1045" s="3">
        <v>3.8143419999999999</v>
      </c>
      <c r="AN1045" s="3">
        <v>3.7909234999999999</v>
      </c>
      <c r="AO1045" s="3">
        <v>3.7683228</v>
      </c>
      <c r="AP1045" s="3">
        <v>3.7464746999999998</v>
      </c>
      <c r="AQ1045" s="3">
        <v>3.7253326000000002</v>
      </c>
      <c r="AR1045" s="3">
        <v>3.70485</v>
      </c>
      <c r="AS1045" s="3">
        <v>3.6849804000000002</v>
      </c>
      <c r="AT1045" s="3">
        <v>3.6656772000000002</v>
      </c>
      <c r="AU1045" s="3">
        <v>3.6468938</v>
      </c>
      <c r="AV1045" s="3">
        <v>3.6285837000000001</v>
      </c>
      <c r="AW1045" s="3">
        <v>3.6107005000000001</v>
      </c>
      <c r="AX1045" s="3">
        <v>3.5931975</v>
      </c>
      <c r="AY1045" s="3">
        <v>3.5760282000000001</v>
      </c>
      <c r="AZ1045" s="3">
        <v>3.5591461</v>
      </c>
      <c r="BA1045" s="3">
        <v>3.5425141</v>
      </c>
      <c r="BB1045" s="3">
        <v>3.5261371000000001</v>
      </c>
      <c r="BC1045" s="3">
        <v>3.5100315000000002</v>
      </c>
      <c r="BD1045" s="3">
        <v>3.4942137999999998</v>
      </c>
      <c r="BE1045" s="3">
        <v>3.4787002</v>
      </c>
      <c r="BF1045" s="3">
        <v>3.4635074000000001</v>
      </c>
      <c r="BG1045" s="3">
        <v>3.4486515999999998</v>
      </c>
      <c r="BH1045" s="3">
        <v>3.4341491999999998</v>
      </c>
      <c r="BI1045" s="3">
        <v>3.4200168</v>
      </c>
      <c r="BJ1045" s="3">
        <v>3.4062706999999999</v>
      </c>
      <c r="BK1045" s="3">
        <v>3.3929274</v>
      </c>
      <c r="BL1045" s="3">
        <v>3.3800032</v>
      </c>
      <c r="BM1045" s="3">
        <v>3.3116829999999999</v>
      </c>
      <c r="BN1045" s="3">
        <v>3.2595763999999998</v>
      </c>
    </row>
    <row r="1046" spans="1:66" x14ac:dyDescent="0.35">
      <c r="A1046" s="5">
        <f t="shared" si="16"/>
        <v>44918</v>
      </c>
      <c r="B1046" t="s">
        <v>2443</v>
      </c>
      <c r="C1046" s="2">
        <v>3.5</v>
      </c>
      <c r="D1046" s="2">
        <v>3.4281000000000001</v>
      </c>
      <c r="E1046" s="3">
        <v>3.5329633999999999</v>
      </c>
      <c r="F1046" s="3">
        <v>3.8266075000000002</v>
      </c>
      <c r="G1046" s="3">
        <v>4.0813594000000002</v>
      </c>
      <c r="H1046" s="3">
        <v>4.2866200000000001</v>
      </c>
      <c r="I1046" s="3">
        <v>4.4405146999999996</v>
      </c>
      <c r="J1046" s="3">
        <v>4.5515036999999996</v>
      </c>
      <c r="K1046" s="3">
        <v>4.6280372999999999</v>
      </c>
      <c r="L1046" s="3">
        <v>4.6771741000000002</v>
      </c>
      <c r="M1046" s="3">
        <v>4.7055129000000004</v>
      </c>
      <c r="N1046" s="3">
        <v>4.7175364999999996</v>
      </c>
      <c r="O1046" s="3">
        <v>4.7161058999999996</v>
      </c>
      <c r="P1046" s="3">
        <v>4.7029443000000004</v>
      </c>
      <c r="Q1046" s="3">
        <v>4.6786491000000003</v>
      </c>
      <c r="R1046" s="3">
        <v>4.6447865999999998</v>
      </c>
      <c r="S1046" s="3">
        <v>4.6033970000000002</v>
      </c>
      <c r="T1046" s="3">
        <v>4.5565211999999997</v>
      </c>
      <c r="U1046" s="3">
        <v>4.5061999999999998</v>
      </c>
      <c r="V1046" s="3">
        <v>4.4544743999999996</v>
      </c>
      <c r="W1046" s="3">
        <v>4.4031457999999999</v>
      </c>
      <c r="X1046" s="3">
        <v>4.3529045999999996</v>
      </c>
      <c r="Y1046" s="3">
        <v>4.3041197999999996</v>
      </c>
      <c r="Z1046" s="3">
        <v>4.2571599000000004</v>
      </c>
      <c r="AA1046" s="3">
        <v>4.2123938000000001</v>
      </c>
      <c r="AB1046" s="3">
        <v>4.1701901000000001</v>
      </c>
      <c r="AC1046" s="3">
        <v>4.1308302000000001</v>
      </c>
      <c r="AD1046" s="3">
        <v>4.0942091999999999</v>
      </c>
      <c r="AE1046" s="3">
        <v>4.0601159999999998</v>
      </c>
      <c r="AF1046" s="3">
        <v>4.0283394000000001</v>
      </c>
      <c r="AG1046" s="3">
        <v>3.9986681000000002</v>
      </c>
      <c r="AH1046" s="3">
        <v>3.9708909999999999</v>
      </c>
      <c r="AI1046" s="3">
        <v>3.9447968000000002</v>
      </c>
      <c r="AJ1046" s="3">
        <v>3.9201742999999998</v>
      </c>
      <c r="AK1046" s="3">
        <v>3.8968123000000001</v>
      </c>
      <c r="AL1046" s="3">
        <v>3.8744995000000002</v>
      </c>
      <c r="AM1046" s="3">
        <v>3.8530248999999999</v>
      </c>
      <c r="AN1046" s="3">
        <v>3.8321770000000002</v>
      </c>
      <c r="AO1046" s="3">
        <v>3.8117732000000002</v>
      </c>
      <c r="AP1046" s="3">
        <v>3.7917562999999999</v>
      </c>
      <c r="AQ1046" s="3">
        <v>3.7721037000000002</v>
      </c>
      <c r="AR1046" s="3">
        <v>3.7527929000000002</v>
      </c>
      <c r="AS1046" s="3">
        <v>3.7338013000000001</v>
      </c>
      <c r="AT1046" s="3">
        <v>3.7151063999999998</v>
      </c>
      <c r="AU1046" s="3">
        <v>3.6966855999999999</v>
      </c>
      <c r="AV1046" s="3">
        <v>3.6785163999999999</v>
      </c>
      <c r="AW1046" s="3">
        <v>3.6605761999999999</v>
      </c>
      <c r="AX1046" s="3">
        <v>3.6428425</v>
      </c>
      <c r="AY1046" s="3">
        <v>3.6252928</v>
      </c>
      <c r="AZ1046" s="3">
        <v>3.6079043999999998</v>
      </c>
      <c r="BA1046" s="3">
        <v>3.5906619000000002</v>
      </c>
      <c r="BB1046" s="3">
        <v>3.5735814000000001</v>
      </c>
      <c r="BC1046" s="3">
        <v>3.5566873000000001</v>
      </c>
      <c r="BD1046" s="3">
        <v>3.5400043000000001</v>
      </c>
      <c r="BE1046" s="3">
        <v>3.5235569999999998</v>
      </c>
      <c r="BF1046" s="3">
        <v>3.5073699999999999</v>
      </c>
      <c r="BG1046" s="3">
        <v>3.4914678000000001</v>
      </c>
      <c r="BH1046" s="3">
        <v>3.4758751999999999</v>
      </c>
      <c r="BI1046" s="3">
        <v>3.4606165999999998</v>
      </c>
      <c r="BJ1046" s="3">
        <v>3.4457168</v>
      </c>
      <c r="BK1046" s="3">
        <v>3.4312002000000001</v>
      </c>
      <c r="BL1046" s="3">
        <v>3.4170915000000002</v>
      </c>
      <c r="BM1046" s="3">
        <v>3.3418350000000001</v>
      </c>
      <c r="BN1046" s="3">
        <v>3.2841396</v>
      </c>
    </row>
    <row r="1047" spans="1:66" x14ac:dyDescent="0.35">
      <c r="A1047" s="5">
        <f t="shared" si="16"/>
        <v>44921</v>
      </c>
      <c r="B1047" t="s">
        <v>2444</v>
      </c>
      <c r="C1047" s="2">
        <v>3.5</v>
      </c>
      <c r="D1047" s="2" t="e">
        <v>#N/A</v>
      </c>
      <c r="E1047" s="3" t="e">
        <v>#N/A</v>
      </c>
      <c r="F1047" s="3" t="e">
        <v>#N/A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e">
        <v>#N/A</v>
      </c>
      <c r="L1047" s="3" t="e">
        <v>#N/A</v>
      </c>
      <c r="M1047" s="3" t="e">
        <v>#N/A</v>
      </c>
      <c r="N1047" s="3" t="e">
        <v>#N/A</v>
      </c>
      <c r="O1047" s="3" t="e">
        <v>#N/A</v>
      </c>
      <c r="P1047" s="3" t="e">
        <v>#N/A</v>
      </c>
      <c r="Q1047" s="3" t="e">
        <v>#N/A</v>
      </c>
      <c r="R1047" s="3" t="e">
        <v>#N/A</v>
      </c>
      <c r="S1047" s="3" t="e">
        <v>#N/A</v>
      </c>
      <c r="T1047" s="3" t="e">
        <v>#N/A</v>
      </c>
      <c r="U1047" s="3" t="e">
        <v>#N/A</v>
      </c>
      <c r="V1047" s="3" t="e">
        <v>#N/A</v>
      </c>
      <c r="W1047" s="3" t="e">
        <v>#N/A</v>
      </c>
      <c r="X1047" s="3" t="e">
        <v>#N/A</v>
      </c>
      <c r="Y1047" s="3" t="e">
        <v>#N/A</v>
      </c>
      <c r="Z1047" s="3" t="e">
        <v>#N/A</v>
      </c>
      <c r="AA1047" s="3" t="e">
        <v>#N/A</v>
      </c>
      <c r="AB1047" s="3" t="e">
        <v>#N/A</v>
      </c>
      <c r="AC1047" s="3" t="e">
        <v>#N/A</v>
      </c>
      <c r="AD1047" s="3" t="e">
        <v>#N/A</v>
      </c>
      <c r="AE1047" s="3" t="e">
        <v>#N/A</v>
      </c>
      <c r="AF1047" s="3" t="e">
        <v>#N/A</v>
      </c>
      <c r="AG1047" s="3" t="e">
        <v>#N/A</v>
      </c>
      <c r="AH1047" s="3" t="e">
        <v>#N/A</v>
      </c>
      <c r="AI1047" s="3" t="e">
        <v>#N/A</v>
      </c>
      <c r="AJ1047" s="3" t="e">
        <v>#N/A</v>
      </c>
      <c r="AK1047" s="3" t="e">
        <v>#N/A</v>
      </c>
      <c r="AL1047" s="3" t="e">
        <v>#N/A</v>
      </c>
      <c r="AM1047" s="3" t="e">
        <v>#N/A</v>
      </c>
      <c r="AN1047" s="3" t="e">
        <v>#N/A</v>
      </c>
      <c r="AO1047" s="3" t="e">
        <v>#N/A</v>
      </c>
      <c r="AP1047" s="3" t="e">
        <v>#N/A</v>
      </c>
      <c r="AQ1047" s="3" t="e">
        <v>#N/A</v>
      </c>
      <c r="AR1047" s="3" t="e">
        <v>#N/A</v>
      </c>
      <c r="AS1047" s="3" t="e">
        <v>#N/A</v>
      </c>
      <c r="AT1047" s="3" t="e">
        <v>#N/A</v>
      </c>
      <c r="AU1047" s="3" t="e">
        <v>#N/A</v>
      </c>
      <c r="AV1047" s="3" t="e">
        <v>#N/A</v>
      </c>
      <c r="AW1047" s="3" t="e">
        <v>#N/A</v>
      </c>
      <c r="AX1047" s="3" t="e">
        <v>#N/A</v>
      </c>
      <c r="AY1047" s="3" t="e">
        <v>#N/A</v>
      </c>
      <c r="AZ1047" s="3" t="e">
        <v>#N/A</v>
      </c>
      <c r="BA1047" s="3" t="e">
        <v>#N/A</v>
      </c>
      <c r="BB1047" s="3" t="e">
        <v>#N/A</v>
      </c>
      <c r="BC1047" s="3" t="e">
        <v>#N/A</v>
      </c>
      <c r="BD1047" s="3" t="e">
        <v>#N/A</v>
      </c>
      <c r="BE1047" s="3" t="e">
        <v>#N/A</v>
      </c>
      <c r="BF1047" s="3" t="e">
        <v>#N/A</v>
      </c>
      <c r="BG1047" s="3" t="e">
        <v>#N/A</v>
      </c>
      <c r="BH1047" s="3" t="e">
        <v>#N/A</v>
      </c>
      <c r="BI1047" s="3" t="e">
        <v>#N/A</v>
      </c>
      <c r="BJ1047" s="3" t="e">
        <v>#N/A</v>
      </c>
      <c r="BK1047" s="3" t="e">
        <v>#N/A</v>
      </c>
      <c r="BL1047" s="3" t="e">
        <v>#N/A</v>
      </c>
      <c r="BM1047" s="3" t="e">
        <v>#N/A</v>
      </c>
      <c r="BN1047" s="3" t="e">
        <v>#N/A</v>
      </c>
    </row>
    <row r="1048" spans="1:66" x14ac:dyDescent="0.35">
      <c r="A1048" s="5">
        <f t="shared" si="16"/>
        <v>44922</v>
      </c>
      <c r="B1048" t="s">
        <v>2445</v>
      </c>
      <c r="C1048" s="2">
        <v>3.5</v>
      </c>
      <c r="D1048" s="2" t="e">
        <v>#N/A</v>
      </c>
      <c r="E1048" s="3" t="e">
        <v>#N/A</v>
      </c>
      <c r="F1048" s="3" t="e">
        <v>#N/A</v>
      </c>
      <c r="G1048" s="3" t="e">
        <v>#N/A</v>
      </c>
      <c r="H1048" s="3" t="e">
        <v>#N/A</v>
      </c>
      <c r="I1048" s="3" t="e">
        <v>#N/A</v>
      </c>
      <c r="J1048" s="3" t="e">
        <v>#N/A</v>
      </c>
      <c r="K1048" s="3" t="e">
        <v>#N/A</v>
      </c>
      <c r="L1048" s="3" t="e">
        <v>#N/A</v>
      </c>
      <c r="M1048" s="3" t="e">
        <v>#N/A</v>
      </c>
      <c r="N1048" s="3" t="e">
        <v>#N/A</v>
      </c>
      <c r="O1048" s="3" t="e">
        <v>#N/A</v>
      </c>
      <c r="P1048" s="3" t="e">
        <v>#N/A</v>
      </c>
      <c r="Q1048" s="3" t="e">
        <v>#N/A</v>
      </c>
      <c r="R1048" s="3" t="e">
        <v>#N/A</v>
      </c>
      <c r="S1048" s="3" t="e">
        <v>#N/A</v>
      </c>
      <c r="T1048" s="3" t="e">
        <v>#N/A</v>
      </c>
      <c r="U1048" s="3" t="e">
        <v>#N/A</v>
      </c>
      <c r="V1048" s="3" t="e">
        <v>#N/A</v>
      </c>
      <c r="W1048" s="3" t="e">
        <v>#N/A</v>
      </c>
      <c r="X1048" s="3" t="e">
        <v>#N/A</v>
      </c>
      <c r="Y1048" s="3" t="e">
        <v>#N/A</v>
      </c>
      <c r="Z1048" s="3" t="e">
        <v>#N/A</v>
      </c>
      <c r="AA1048" s="3" t="e">
        <v>#N/A</v>
      </c>
      <c r="AB1048" s="3" t="e">
        <v>#N/A</v>
      </c>
      <c r="AC1048" s="3" t="e">
        <v>#N/A</v>
      </c>
      <c r="AD1048" s="3" t="e">
        <v>#N/A</v>
      </c>
      <c r="AE1048" s="3" t="e">
        <v>#N/A</v>
      </c>
      <c r="AF1048" s="3" t="e">
        <v>#N/A</v>
      </c>
      <c r="AG1048" s="3" t="e">
        <v>#N/A</v>
      </c>
      <c r="AH1048" s="3" t="e">
        <v>#N/A</v>
      </c>
      <c r="AI1048" s="3" t="e">
        <v>#N/A</v>
      </c>
      <c r="AJ1048" s="3" t="e">
        <v>#N/A</v>
      </c>
      <c r="AK1048" s="3" t="e">
        <v>#N/A</v>
      </c>
      <c r="AL1048" s="3" t="e">
        <v>#N/A</v>
      </c>
      <c r="AM1048" s="3" t="e">
        <v>#N/A</v>
      </c>
      <c r="AN1048" s="3" t="e">
        <v>#N/A</v>
      </c>
      <c r="AO1048" s="3" t="e">
        <v>#N/A</v>
      </c>
      <c r="AP1048" s="3" t="e">
        <v>#N/A</v>
      </c>
      <c r="AQ1048" s="3" t="e">
        <v>#N/A</v>
      </c>
      <c r="AR1048" s="3" t="e">
        <v>#N/A</v>
      </c>
      <c r="AS1048" s="3" t="e">
        <v>#N/A</v>
      </c>
      <c r="AT1048" s="3" t="e">
        <v>#N/A</v>
      </c>
      <c r="AU1048" s="3" t="e">
        <v>#N/A</v>
      </c>
      <c r="AV1048" s="3" t="e">
        <v>#N/A</v>
      </c>
      <c r="AW1048" s="3" t="e">
        <v>#N/A</v>
      </c>
      <c r="AX1048" s="3" t="e">
        <v>#N/A</v>
      </c>
      <c r="AY1048" s="3" t="e">
        <v>#N/A</v>
      </c>
      <c r="AZ1048" s="3" t="e">
        <v>#N/A</v>
      </c>
      <c r="BA1048" s="3" t="e">
        <v>#N/A</v>
      </c>
      <c r="BB1048" s="3" t="e">
        <v>#N/A</v>
      </c>
      <c r="BC1048" s="3" t="e">
        <v>#N/A</v>
      </c>
      <c r="BD1048" s="3" t="e">
        <v>#N/A</v>
      </c>
      <c r="BE1048" s="3" t="e">
        <v>#N/A</v>
      </c>
      <c r="BF1048" s="3" t="e">
        <v>#N/A</v>
      </c>
      <c r="BG1048" s="3" t="e">
        <v>#N/A</v>
      </c>
      <c r="BH1048" s="3" t="e">
        <v>#N/A</v>
      </c>
      <c r="BI1048" s="3" t="e">
        <v>#N/A</v>
      </c>
      <c r="BJ1048" s="3" t="e">
        <v>#N/A</v>
      </c>
      <c r="BK1048" s="3" t="e">
        <v>#N/A</v>
      </c>
      <c r="BL1048" s="3" t="e">
        <v>#N/A</v>
      </c>
      <c r="BM1048" s="3" t="e">
        <v>#N/A</v>
      </c>
      <c r="BN1048" s="3" t="e">
        <v>#N/A</v>
      </c>
    </row>
    <row r="1049" spans="1:66" x14ac:dyDescent="0.35">
      <c r="A1049" s="5">
        <f t="shared" si="16"/>
        <v>44923</v>
      </c>
      <c r="B1049" t="s">
        <v>2446</v>
      </c>
      <c r="C1049" s="2">
        <v>3.5</v>
      </c>
      <c r="D1049" s="2">
        <v>3.4281999999999999</v>
      </c>
      <c r="E1049" s="3">
        <v>3.5618539</v>
      </c>
      <c r="F1049" s="3">
        <v>3.8797720999999998</v>
      </c>
      <c r="G1049" s="3">
        <v>4.1245721</v>
      </c>
      <c r="H1049" s="3">
        <v>4.3081377999999999</v>
      </c>
      <c r="I1049" s="3">
        <v>4.4449227999999996</v>
      </c>
      <c r="J1049" s="3">
        <v>4.5456095999999997</v>
      </c>
      <c r="K1049" s="3">
        <v>4.6155847999999997</v>
      </c>
      <c r="L1049" s="3">
        <v>4.6601892999999999</v>
      </c>
      <c r="M1049" s="3">
        <v>4.6843520999999999</v>
      </c>
      <c r="N1049" s="3">
        <v>4.6929936999999997</v>
      </c>
      <c r="O1049" s="3">
        <v>4.6893279000000003</v>
      </c>
      <c r="P1049" s="3">
        <v>4.6753843000000002</v>
      </c>
      <c r="Q1049" s="3">
        <v>4.6527577999999998</v>
      </c>
      <c r="R1049" s="3">
        <v>4.6228398999999998</v>
      </c>
      <c r="S1049" s="3">
        <v>4.5869838999999999</v>
      </c>
      <c r="T1049" s="3">
        <v>4.5465429000000004</v>
      </c>
      <c r="U1049" s="3">
        <v>4.5028699000000003</v>
      </c>
      <c r="V1049" s="3">
        <v>4.4573181000000002</v>
      </c>
      <c r="W1049" s="3">
        <v>4.4110908000000002</v>
      </c>
      <c r="X1049" s="3">
        <v>4.3647615000000002</v>
      </c>
      <c r="Y1049" s="3">
        <v>4.3187382000000003</v>
      </c>
      <c r="Z1049" s="3">
        <v>4.2734291999999998</v>
      </c>
      <c r="AA1049" s="3">
        <v>4.2292424999999998</v>
      </c>
      <c r="AB1049" s="3">
        <v>4.1865863000000001</v>
      </c>
      <c r="AC1049" s="3">
        <v>4.1458069000000002</v>
      </c>
      <c r="AD1049" s="3">
        <v>4.1069186000000002</v>
      </c>
      <c r="AE1049" s="3">
        <v>4.0698242999999996</v>
      </c>
      <c r="AF1049" s="3">
        <v>4.0344267</v>
      </c>
      <c r="AG1049" s="3">
        <v>4.0006288000000003</v>
      </c>
      <c r="AH1049" s="3">
        <v>3.9683331000000002</v>
      </c>
      <c r="AI1049" s="3">
        <v>3.9374427000000001</v>
      </c>
      <c r="AJ1049" s="3">
        <v>3.9078601000000002</v>
      </c>
      <c r="AK1049" s="3">
        <v>3.8794882999999998</v>
      </c>
      <c r="AL1049" s="3">
        <v>3.85223</v>
      </c>
      <c r="AM1049" s="3">
        <v>3.8259881</v>
      </c>
      <c r="AN1049" s="3">
        <v>3.8006652000000001</v>
      </c>
      <c r="AO1049" s="3">
        <v>3.7761732000000001</v>
      </c>
      <c r="AP1049" s="3">
        <v>3.7524674999999998</v>
      </c>
      <c r="AQ1049" s="3">
        <v>3.7295167999999999</v>
      </c>
      <c r="AR1049" s="3">
        <v>3.7072897999999999</v>
      </c>
      <c r="AS1049" s="3">
        <v>3.6857552999999998</v>
      </c>
      <c r="AT1049" s="3">
        <v>3.6648817999999999</v>
      </c>
      <c r="AU1049" s="3">
        <v>3.6446383</v>
      </c>
      <c r="AV1049" s="3">
        <v>3.6249932999999999</v>
      </c>
      <c r="AW1049" s="3">
        <v>3.6059155999999999</v>
      </c>
      <c r="AX1049" s="3">
        <v>3.5873738999999998</v>
      </c>
      <c r="AY1049" s="3">
        <v>3.569337</v>
      </c>
      <c r="AZ1049" s="3">
        <v>3.5517734000000001</v>
      </c>
      <c r="BA1049" s="3">
        <v>3.5346571999999998</v>
      </c>
      <c r="BB1049" s="3">
        <v>3.5179876000000001</v>
      </c>
      <c r="BC1049" s="3">
        <v>3.5017714999999998</v>
      </c>
      <c r="BD1049" s="3">
        <v>3.4860158000000001</v>
      </c>
      <c r="BE1049" s="3">
        <v>3.4707275000000002</v>
      </c>
      <c r="BF1049" s="3">
        <v>3.4559134999999999</v>
      </c>
      <c r="BG1049" s="3">
        <v>3.4415806</v>
      </c>
      <c r="BH1049" s="3">
        <v>3.4277359999999999</v>
      </c>
      <c r="BI1049" s="3">
        <v>3.4143864000000002</v>
      </c>
      <c r="BJ1049" s="3">
        <v>3.4015388</v>
      </c>
      <c r="BK1049" s="3">
        <v>3.3892001999999999</v>
      </c>
      <c r="BL1049" s="3">
        <v>3.3773773999999999</v>
      </c>
      <c r="BM1049" s="3">
        <v>3.3173178000000001</v>
      </c>
      <c r="BN1049" s="3">
        <v>3.2754631999999999</v>
      </c>
    </row>
    <row r="1050" spans="1:66" x14ac:dyDescent="0.35">
      <c r="A1050" s="5">
        <f t="shared" si="16"/>
        <v>44924</v>
      </c>
      <c r="B1050" t="s">
        <v>2447</v>
      </c>
      <c r="C1050" s="2">
        <v>3.5</v>
      </c>
      <c r="D1050" s="2">
        <v>3.4281000000000001</v>
      </c>
      <c r="E1050" s="3">
        <v>3.5648100999999999</v>
      </c>
      <c r="F1050" s="3">
        <v>3.8714132000000001</v>
      </c>
      <c r="G1050" s="3">
        <v>4.1086679000000004</v>
      </c>
      <c r="H1050" s="3">
        <v>4.2941127999999997</v>
      </c>
      <c r="I1050" s="3">
        <v>4.4365513999999999</v>
      </c>
      <c r="J1050" s="3">
        <v>4.5414006000000002</v>
      </c>
      <c r="K1050" s="3">
        <v>4.6135618000000003</v>
      </c>
      <c r="L1050" s="3">
        <v>4.6589758999999997</v>
      </c>
      <c r="M1050" s="3">
        <v>4.6835955</v>
      </c>
      <c r="N1050" s="3">
        <v>4.6925575000000004</v>
      </c>
      <c r="O1050" s="3">
        <v>4.6890421</v>
      </c>
      <c r="P1050" s="3">
        <v>4.6750948000000001</v>
      </c>
      <c r="Q1050" s="3">
        <v>4.6520387999999997</v>
      </c>
      <c r="R1050" s="3">
        <v>4.6212464000000004</v>
      </c>
      <c r="S1050" s="3">
        <v>4.5841428999999998</v>
      </c>
      <c r="T1050" s="3">
        <v>4.542154</v>
      </c>
      <c r="U1050" s="3">
        <v>4.4967049000000001</v>
      </c>
      <c r="V1050" s="3">
        <v>4.4492212000000002</v>
      </c>
      <c r="W1050" s="3">
        <v>4.4010142999999999</v>
      </c>
      <c r="X1050" s="3">
        <v>4.3528105999999998</v>
      </c>
      <c r="Y1050" s="3">
        <v>4.3051500999999996</v>
      </c>
      <c r="Z1050" s="3">
        <v>4.2585724000000003</v>
      </c>
      <c r="AA1050" s="3">
        <v>4.2136173000000001</v>
      </c>
      <c r="AB1050" s="3">
        <v>4.1708246000000004</v>
      </c>
      <c r="AC1050" s="3">
        <v>4.1306380000000003</v>
      </c>
      <c r="AD1050" s="3">
        <v>4.0930337000000003</v>
      </c>
      <c r="AE1050" s="3">
        <v>4.0578459000000002</v>
      </c>
      <c r="AF1050" s="3">
        <v>4.0249085999999998</v>
      </c>
      <c r="AG1050" s="3">
        <v>3.9940555999999998</v>
      </c>
      <c r="AH1050" s="3">
        <v>3.9651209000000001</v>
      </c>
      <c r="AI1050" s="3">
        <v>3.9379387000000001</v>
      </c>
      <c r="AJ1050" s="3">
        <v>3.9123427999999998</v>
      </c>
      <c r="AK1050" s="3">
        <v>3.8881671999999998</v>
      </c>
      <c r="AL1050" s="3">
        <v>3.8652459000000001</v>
      </c>
      <c r="AM1050" s="3">
        <v>3.843413</v>
      </c>
      <c r="AN1050" s="3">
        <v>3.8225023</v>
      </c>
      <c r="AO1050" s="3">
        <v>3.8023655000000001</v>
      </c>
      <c r="AP1050" s="3">
        <v>3.7829321999999999</v>
      </c>
      <c r="AQ1050" s="3">
        <v>3.7641532999999998</v>
      </c>
      <c r="AR1050" s="3">
        <v>3.7459799</v>
      </c>
      <c r="AS1050" s="3">
        <v>3.7283629999999999</v>
      </c>
      <c r="AT1050" s="3">
        <v>3.7112536</v>
      </c>
      <c r="AU1050" s="3">
        <v>3.6946026999999999</v>
      </c>
      <c r="AV1050" s="3">
        <v>3.6783614</v>
      </c>
      <c r="AW1050" s="3">
        <v>3.6624807000000001</v>
      </c>
      <c r="AX1050" s="3">
        <v>3.6469116000000001</v>
      </c>
      <c r="AY1050" s="3">
        <v>3.6316050999999998</v>
      </c>
      <c r="AZ1050" s="3">
        <v>3.6165123000000001</v>
      </c>
      <c r="BA1050" s="3">
        <v>3.601594</v>
      </c>
      <c r="BB1050" s="3">
        <v>3.5868552999999999</v>
      </c>
      <c r="BC1050" s="3">
        <v>3.5723132</v>
      </c>
      <c r="BD1050" s="3">
        <v>3.5579847</v>
      </c>
      <c r="BE1050" s="3">
        <v>3.5438868000000001</v>
      </c>
      <c r="BF1050" s="3">
        <v>3.5300367000000001</v>
      </c>
      <c r="BG1050" s="3">
        <v>3.5164512999999999</v>
      </c>
      <c r="BH1050" s="3">
        <v>3.5031476000000001</v>
      </c>
      <c r="BI1050" s="3">
        <v>3.4901428000000001</v>
      </c>
      <c r="BJ1050" s="3">
        <v>3.4774539</v>
      </c>
      <c r="BK1050" s="3">
        <v>3.4650979</v>
      </c>
      <c r="BL1050" s="3">
        <v>3.4530918000000002</v>
      </c>
      <c r="BM1050" s="3">
        <v>3.3890196000000001</v>
      </c>
      <c r="BN1050" s="3">
        <v>3.3397823</v>
      </c>
    </row>
    <row r="1051" spans="1:66" x14ac:dyDescent="0.35">
      <c r="A1051" s="5">
        <f t="shared" si="16"/>
        <v>44925</v>
      </c>
      <c r="B1051" t="s">
        <v>2448</v>
      </c>
      <c r="C1051" s="2">
        <v>3.5</v>
      </c>
      <c r="D1051" s="2">
        <v>3.4281999999999999</v>
      </c>
      <c r="E1051" s="3">
        <v>3.5709396</v>
      </c>
      <c r="F1051" s="3">
        <v>3.8827834999999999</v>
      </c>
      <c r="G1051" s="3">
        <v>4.1223061000000003</v>
      </c>
      <c r="H1051" s="3">
        <v>4.3071463000000003</v>
      </c>
      <c r="I1051" s="3">
        <v>4.448836</v>
      </c>
      <c r="J1051" s="3">
        <v>4.5529419000000004</v>
      </c>
      <c r="K1051" s="3">
        <v>4.6252915000000003</v>
      </c>
      <c r="L1051" s="3">
        <v>4.6715308999999996</v>
      </c>
      <c r="M1051" s="3">
        <v>4.6974675000000001</v>
      </c>
      <c r="N1051" s="3">
        <v>4.7073206000000001</v>
      </c>
      <c r="O1051" s="3">
        <v>4.7041162999999999</v>
      </c>
      <c r="P1051" s="3">
        <v>4.6900463999999999</v>
      </c>
      <c r="Q1051" s="3">
        <v>4.6659392000000004</v>
      </c>
      <c r="R1051" s="3">
        <v>4.6332725999999997</v>
      </c>
      <c r="S1051" s="3">
        <v>4.5938730999999997</v>
      </c>
      <c r="T1051" s="3">
        <v>4.5495676999999999</v>
      </c>
      <c r="U1051" s="3">
        <v>4.5021830999999999</v>
      </c>
      <c r="V1051" s="3">
        <v>4.4535461999999999</v>
      </c>
      <c r="W1051" s="3">
        <v>4.4052707</v>
      </c>
      <c r="X1051" s="3">
        <v>4.3579825999999997</v>
      </c>
      <c r="Y1051" s="3">
        <v>4.3120218000000001</v>
      </c>
      <c r="Z1051" s="3">
        <v>4.2677278000000003</v>
      </c>
      <c r="AA1051" s="3">
        <v>4.2254404000000001</v>
      </c>
      <c r="AB1051" s="3">
        <v>4.1854991999999998</v>
      </c>
      <c r="AC1051" s="3">
        <v>4.1481636000000002</v>
      </c>
      <c r="AD1051" s="3">
        <v>4.1133378</v>
      </c>
      <c r="AE1051" s="3">
        <v>4.0808280000000003</v>
      </c>
      <c r="AF1051" s="3">
        <v>4.0504405999999999</v>
      </c>
      <c r="AG1051" s="3">
        <v>4.0219817999999998</v>
      </c>
      <c r="AH1051" s="3">
        <v>3.9952578999999999</v>
      </c>
      <c r="AI1051" s="3">
        <v>3.9700752000000001</v>
      </c>
      <c r="AJ1051" s="3">
        <v>3.9462397999999999</v>
      </c>
      <c r="AK1051" s="3">
        <v>3.9235582999999998</v>
      </c>
      <c r="AL1051" s="3">
        <v>3.9018367</v>
      </c>
      <c r="AM1051" s="3">
        <v>3.8808813999999998</v>
      </c>
      <c r="AN1051" s="3">
        <v>3.8604986000000001</v>
      </c>
      <c r="AO1051" s="3">
        <v>3.8405211000000001</v>
      </c>
      <c r="AP1051" s="3">
        <v>3.8208977000000002</v>
      </c>
      <c r="AQ1051" s="3">
        <v>3.8016095000000001</v>
      </c>
      <c r="AR1051" s="3">
        <v>3.7826377999999998</v>
      </c>
      <c r="AS1051" s="3">
        <v>3.7639634000000002</v>
      </c>
      <c r="AT1051" s="3">
        <v>3.7455676000000002</v>
      </c>
      <c r="AU1051" s="3">
        <v>3.7274314999999998</v>
      </c>
      <c r="AV1051" s="3">
        <v>3.7095359999999999</v>
      </c>
      <c r="AW1051" s="3">
        <v>3.6918624000000002</v>
      </c>
      <c r="AX1051" s="3">
        <v>3.6743915999999999</v>
      </c>
      <c r="AY1051" s="3">
        <v>3.6571047999999999</v>
      </c>
      <c r="AZ1051" s="3">
        <v>3.6399830999999998</v>
      </c>
      <c r="BA1051" s="3">
        <v>3.6230140999999998</v>
      </c>
      <c r="BB1051" s="3">
        <v>3.606214</v>
      </c>
      <c r="BC1051" s="3">
        <v>3.5896070999999998</v>
      </c>
      <c r="BD1051" s="3">
        <v>3.5732173999999999</v>
      </c>
      <c r="BE1051" s="3">
        <v>3.5570691999999999</v>
      </c>
      <c r="BF1051" s="3">
        <v>3.5411866999999999</v>
      </c>
      <c r="BG1051" s="3">
        <v>3.5255939999999999</v>
      </c>
      <c r="BH1051" s="3">
        <v>3.5103154000000001</v>
      </c>
      <c r="BI1051" s="3">
        <v>3.4953750000000001</v>
      </c>
      <c r="BJ1051" s="3">
        <v>3.4807969999999999</v>
      </c>
      <c r="BK1051" s="3">
        <v>3.4666055999999998</v>
      </c>
      <c r="BL1051" s="3">
        <v>3.4528249999999998</v>
      </c>
      <c r="BM1051" s="3">
        <v>3.3795798000000001</v>
      </c>
      <c r="BN1051" s="3">
        <v>3.3239291</v>
      </c>
    </row>
    <row r="1052" spans="1:66" x14ac:dyDescent="0.35">
      <c r="A1052" s="5">
        <f t="shared" si="16"/>
        <v>44928</v>
      </c>
      <c r="B1052" t="s">
        <v>2449</v>
      </c>
      <c r="C1052" s="2">
        <v>3.5</v>
      </c>
      <c r="D1052" s="2" t="e">
        <v>#N/A</v>
      </c>
      <c r="E1052" s="3" t="e">
        <v>#N/A</v>
      </c>
      <c r="F1052" s="3" t="e">
        <v>#N/A</v>
      </c>
      <c r="G1052" s="3" t="e">
        <v>#N/A</v>
      </c>
      <c r="H1052" s="3" t="e">
        <v>#N/A</v>
      </c>
      <c r="I1052" s="3" t="e">
        <v>#N/A</v>
      </c>
      <c r="J1052" s="3" t="e">
        <v>#N/A</v>
      </c>
      <c r="K1052" s="3" t="e">
        <v>#N/A</v>
      </c>
      <c r="L1052" s="3" t="e">
        <v>#N/A</v>
      </c>
      <c r="M1052" s="3" t="e">
        <v>#N/A</v>
      </c>
      <c r="N1052" s="3" t="e">
        <v>#N/A</v>
      </c>
      <c r="O1052" s="3" t="e">
        <v>#N/A</v>
      </c>
      <c r="P1052" s="3" t="e">
        <v>#N/A</v>
      </c>
      <c r="Q1052" s="3" t="e">
        <v>#N/A</v>
      </c>
      <c r="R1052" s="3" t="e">
        <v>#N/A</v>
      </c>
      <c r="S1052" s="3" t="e">
        <v>#N/A</v>
      </c>
      <c r="T1052" s="3" t="e">
        <v>#N/A</v>
      </c>
      <c r="U1052" s="3" t="e">
        <v>#N/A</v>
      </c>
      <c r="V1052" s="3" t="e">
        <v>#N/A</v>
      </c>
      <c r="W1052" s="3" t="e">
        <v>#N/A</v>
      </c>
      <c r="X1052" s="3" t="e">
        <v>#N/A</v>
      </c>
      <c r="Y1052" s="3" t="e">
        <v>#N/A</v>
      </c>
      <c r="Z1052" s="3" t="e">
        <v>#N/A</v>
      </c>
      <c r="AA1052" s="3" t="e">
        <v>#N/A</v>
      </c>
      <c r="AB1052" s="3" t="e">
        <v>#N/A</v>
      </c>
      <c r="AC1052" s="3" t="e">
        <v>#N/A</v>
      </c>
      <c r="AD1052" s="3" t="e">
        <v>#N/A</v>
      </c>
      <c r="AE1052" s="3" t="e">
        <v>#N/A</v>
      </c>
      <c r="AF1052" s="3" t="e">
        <v>#N/A</v>
      </c>
      <c r="AG1052" s="3" t="e">
        <v>#N/A</v>
      </c>
      <c r="AH1052" s="3" t="e">
        <v>#N/A</v>
      </c>
      <c r="AI1052" s="3" t="e">
        <v>#N/A</v>
      </c>
      <c r="AJ1052" s="3" t="e">
        <v>#N/A</v>
      </c>
      <c r="AK1052" s="3" t="e">
        <v>#N/A</v>
      </c>
      <c r="AL1052" s="3" t="e">
        <v>#N/A</v>
      </c>
      <c r="AM1052" s="3" t="e">
        <v>#N/A</v>
      </c>
      <c r="AN1052" s="3" t="e">
        <v>#N/A</v>
      </c>
      <c r="AO1052" s="3" t="e">
        <v>#N/A</v>
      </c>
      <c r="AP1052" s="3" t="e">
        <v>#N/A</v>
      </c>
      <c r="AQ1052" s="3" t="e">
        <v>#N/A</v>
      </c>
      <c r="AR1052" s="3" t="e">
        <v>#N/A</v>
      </c>
      <c r="AS1052" s="3" t="e">
        <v>#N/A</v>
      </c>
      <c r="AT1052" s="3" t="e">
        <v>#N/A</v>
      </c>
      <c r="AU1052" s="3" t="e">
        <v>#N/A</v>
      </c>
      <c r="AV1052" s="3" t="e">
        <v>#N/A</v>
      </c>
      <c r="AW1052" s="3" t="e">
        <v>#N/A</v>
      </c>
      <c r="AX1052" s="3" t="e">
        <v>#N/A</v>
      </c>
      <c r="AY1052" s="3" t="e">
        <v>#N/A</v>
      </c>
      <c r="AZ1052" s="3" t="e">
        <v>#N/A</v>
      </c>
      <c r="BA1052" s="3" t="e">
        <v>#N/A</v>
      </c>
      <c r="BB1052" s="3" t="e">
        <v>#N/A</v>
      </c>
      <c r="BC1052" s="3" t="e">
        <v>#N/A</v>
      </c>
      <c r="BD1052" s="3" t="e">
        <v>#N/A</v>
      </c>
      <c r="BE1052" s="3" t="e">
        <v>#N/A</v>
      </c>
      <c r="BF1052" s="3" t="e">
        <v>#N/A</v>
      </c>
      <c r="BG1052" s="3" t="e">
        <v>#N/A</v>
      </c>
      <c r="BH1052" s="3" t="e">
        <v>#N/A</v>
      </c>
      <c r="BI1052" s="3" t="e">
        <v>#N/A</v>
      </c>
      <c r="BJ1052" s="3" t="e">
        <v>#N/A</v>
      </c>
      <c r="BK1052" s="3" t="e">
        <v>#N/A</v>
      </c>
      <c r="BL1052" s="3" t="e">
        <v>#N/A</v>
      </c>
      <c r="BM1052" s="3" t="e">
        <v>#N/A</v>
      </c>
      <c r="BN1052" s="3" t="e">
        <v>#N/A</v>
      </c>
    </row>
    <row r="1053" spans="1:66" x14ac:dyDescent="0.35">
      <c r="A1053" s="5">
        <f t="shared" si="16"/>
        <v>44929</v>
      </c>
      <c r="B1053" t="s">
        <v>2450</v>
      </c>
      <c r="C1053" s="2">
        <v>3.5</v>
      </c>
      <c r="D1053" s="2">
        <v>3.4268999999999998</v>
      </c>
      <c r="E1053" s="3">
        <v>3.6168282</v>
      </c>
      <c r="F1053" s="3">
        <v>3.9229500000000002</v>
      </c>
      <c r="G1053" s="3">
        <v>4.1394662999999996</v>
      </c>
      <c r="H1053" s="3">
        <v>4.2950515999999999</v>
      </c>
      <c r="I1053" s="3">
        <v>4.4110022999999998</v>
      </c>
      <c r="J1053" s="3">
        <v>4.4978045</v>
      </c>
      <c r="K1053" s="3">
        <v>4.5596759999999996</v>
      </c>
      <c r="L1053" s="3">
        <v>4.6002707999999997</v>
      </c>
      <c r="M1053" s="3">
        <v>4.6225158000000004</v>
      </c>
      <c r="N1053" s="3">
        <v>4.6295726000000004</v>
      </c>
      <c r="O1053" s="3">
        <v>4.6235093000000003</v>
      </c>
      <c r="P1053" s="3">
        <v>4.6062333000000004</v>
      </c>
      <c r="Q1053" s="3">
        <v>4.5793863000000004</v>
      </c>
      <c r="R1053" s="3">
        <v>4.5446369999999998</v>
      </c>
      <c r="S1053" s="3">
        <v>4.5036841000000001</v>
      </c>
      <c r="T1053" s="3">
        <v>4.4582259999999998</v>
      </c>
      <c r="U1053" s="3">
        <v>4.4099614000000003</v>
      </c>
      <c r="V1053" s="3">
        <v>4.3605888999999998</v>
      </c>
      <c r="W1053" s="3">
        <v>4.3115654000000001</v>
      </c>
      <c r="X1053" s="3">
        <v>4.2634274000000003</v>
      </c>
      <c r="Y1053" s="3">
        <v>4.2164925000000002</v>
      </c>
      <c r="Z1053" s="3">
        <v>4.1710782000000002</v>
      </c>
      <c r="AA1053" s="3">
        <v>4.1275021000000001</v>
      </c>
      <c r="AB1053" s="3">
        <v>4.0860817000000003</v>
      </c>
      <c r="AC1053" s="3">
        <v>4.0470636999999998</v>
      </c>
      <c r="AD1053" s="3">
        <v>4.0103814</v>
      </c>
      <c r="AE1053" s="3">
        <v>3.9758817999999998</v>
      </c>
      <c r="AF1053" s="3">
        <v>3.9434121000000002</v>
      </c>
      <c r="AG1053" s="3">
        <v>3.9128189999999998</v>
      </c>
      <c r="AH1053" s="3">
        <v>3.8839497000000001</v>
      </c>
      <c r="AI1053" s="3">
        <v>3.8566511000000001</v>
      </c>
      <c r="AJ1053" s="3">
        <v>3.8307703000000002</v>
      </c>
      <c r="AK1053" s="3">
        <v>3.8061541999999999</v>
      </c>
      <c r="AL1053" s="3">
        <v>3.7826499</v>
      </c>
      <c r="AM1053" s="3">
        <v>3.7601043000000001</v>
      </c>
      <c r="AN1053" s="3">
        <v>3.7383644</v>
      </c>
      <c r="AO1053" s="3">
        <v>3.7172926999999998</v>
      </c>
      <c r="AP1053" s="3">
        <v>3.6968350000000001</v>
      </c>
      <c r="AQ1053" s="3">
        <v>3.676965</v>
      </c>
      <c r="AR1053" s="3">
        <v>3.6576563000000002</v>
      </c>
      <c r="AS1053" s="3">
        <v>3.6388826999999999</v>
      </c>
      <c r="AT1053" s="3">
        <v>3.6206179000000001</v>
      </c>
      <c r="AU1053" s="3">
        <v>3.6028357</v>
      </c>
      <c r="AV1053" s="3">
        <v>3.5855096</v>
      </c>
      <c r="AW1053" s="3">
        <v>3.5686135000000001</v>
      </c>
      <c r="AX1053" s="3">
        <v>3.5521210000000001</v>
      </c>
      <c r="AY1053" s="3">
        <v>3.5360057999999999</v>
      </c>
      <c r="AZ1053" s="3">
        <v>3.5202418</v>
      </c>
      <c r="BA1053" s="3">
        <v>3.5048080000000001</v>
      </c>
      <c r="BB1053" s="3">
        <v>3.4897106</v>
      </c>
      <c r="BC1053" s="3">
        <v>3.4749639000000001</v>
      </c>
      <c r="BD1053" s="3">
        <v>3.4605820999999999</v>
      </c>
      <c r="BE1053" s="3">
        <v>3.4465794999999999</v>
      </c>
      <c r="BF1053" s="3">
        <v>3.4329703</v>
      </c>
      <c r="BG1053" s="3">
        <v>3.4197687999999999</v>
      </c>
      <c r="BH1053" s="3">
        <v>3.4069894000000001</v>
      </c>
      <c r="BI1053" s="3">
        <v>3.3946461999999999</v>
      </c>
      <c r="BJ1053" s="3">
        <v>3.3827535000000002</v>
      </c>
      <c r="BK1053" s="3">
        <v>3.3713256</v>
      </c>
      <c r="BL1053" s="3">
        <v>3.3603768000000001</v>
      </c>
      <c r="BM1053" s="3">
        <v>3.3049914999999999</v>
      </c>
      <c r="BN1053" s="3">
        <v>3.2670637</v>
      </c>
    </row>
    <row r="1054" spans="1:66" x14ac:dyDescent="0.35">
      <c r="A1054" s="5">
        <f t="shared" si="16"/>
        <v>44930</v>
      </c>
      <c r="B1054" t="s">
        <v>2451</v>
      </c>
      <c r="C1054" s="2">
        <v>3.5</v>
      </c>
      <c r="D1054" s="2">
        <v>3.4266999999999999</v>
      </c>
      <c r="E1054" s="3">
        <v>3.6282033</v>
      </c>
      <c r="F1054" s="3">
        <v>3.9034064000000002</v>
      </c>
      <c r="G1054" s="3">
        <v>4.1027031999999997</v>
      </c>
      <c r="H1054" s="3">
        <v>4.2461710999999998</v>
      </c>
      <c r="I1054" s="3">
        <v>4.3509669000000004</v>
      </c>
      <c r="J1054" s="3">
        <v>4.4263193000000003</v>
      </c>
      <c r="K1054" s="3">
        <v>4.4776911000000004</v>
      </c>
      <c r="L1054" s="3">
        <v>4.5092049000000003</v>
      </c>
      <c r="M1054" s="3">
        <v>4.5239986999999999</v>
      </c>
      <c r="N1054" s="3">
        <v>4.5245332999999999</v>
      </c>
      <c r="O1054" s="3">
        <v>4.5127445000000002</v>
      </c>
      <c r="P1054" s="3">
        <v>4.4897159000000002</v>
      </c>
      <c r="Q1054" s="3">
        <v>4.4567896999999999</v>
      </c>
      <c r="R1054" s="3">
        <v>4.4156671999999997</v>
      </c>
      <c r="S1054" s="3">
        <v>4.3681117</v>
      </c>
      <c r="T1054" s="3">
        <v>4.3158862999999998</v>
      </c>
      <c r="U1054" s="3">
        <v>4.2607543999999997</v>
      </c>
      <c r="V1054" s="3">
        <v>4.2044791000000004</v>
      </c>
      <c r="W1054" s="3">
        <v>4.1485972999999996</v>
      </c>
      <c r="X1054" s="3">
        <v>4.0937843999999997</v>
      </c>
      <c r="Y1054" s="3">
        <v>4.0405104999999999</v>
      </c>
      <c r="Z1054" s="3">
        <v>3.9892458999999998</v>
      </c>
      <c r="AA1054" s="3">
        <v>3.9404607999999999</v>
      </c>
      <c r="AB1054" s="3">
        <v>3.8946255000000001</v>
      </c>
      <c r="AC1054" s="3">
        <v>3.8521245</v>
      </c>
      <c r="AD1054" s="3">
        <v>3.8128804999999999</v>
      </c>
      <c r="AE1054" s="3">
        <v>3.7766614999999999</v>
      </c>
      <c r="AF1054" s="3">
        <v>3.7432352999999998</v>
      </c>
      <c r="AG1054" s="3">
        <v>3.7123697</v>
      </c>
      <c r="AH1054" s="3">
        <v>3.6838327</v>
      </c>
      <c r="AI1054" s="3">
        <v>3.6573921</v>
      </c>
      <c r="AJ1054" s="3">
        <v>3.6328157000000001</v>
      </c>
      <c r="AK1054" s="3">
        <v>3.6098713999999998</v>
      </c>
      <c r="AL1054" s="3">
        <v>3.588327</v>
      </c>
      <c r="AM1054" s="3">
        <v>3.5679504</v>
      </c>
      <c r="AN1054" s="3">
        <v>3.5485093999999999</v>
      </c>
      <c r="AO1054" s="3">
        <v>3.529798</v>
      </c>
      <c r="AP1054" s="3">
        <v>3.5117373999999999</v>
      </c>
      <c r="AQ1054" s="3">
        <v>3.4942877999999999</v>
      </c>
      <c r="AR1054" s="3">
        <v>3.4774090000000002</v>
      </c>
      <c r="AS1054" s="3">
        <v>3.4610612000000001</v>
      </c>
      <c r="AT1054" s="3">
        <v>3.4452042999999999</v>
      </c>
      <c r="AU1054" s="3">
        <v>3.4297984000000001</v>
      </c>
      <c r="AV1054" s="3">
        <v>3.4148035000000001</v>
      </c>
      <c r="AW1054" s="3">
        <v>3.4001796999999998</v>
      </c>
      <c r="AX1054" s="3">
        <v>3.3858869</v>
      </c>
      <c r="AY1054" s="3">
        <v>3.3718851000000001</v>
      </c>
      <c r="AZ1054" s="3">
        <v>3.3581344999999998</v>
      </c>
      <c r="BA1054" s="3">
        <v>3.3446042</v>
      </c>
      <c r="BB1054" s="3">
        <v>3.3313047</v>
      </c>
      <c r="BC1054" s="3">
        <v>3.3182575999999999</v>
      </c>
      <c r="BD1054" s="3">
        <v>3.3054844999999999</v>
      </c>
      <c r="BE1054" s="3">
        <v>3.2930071000000001</v>
      </c>
      <c r="BF1054" s="3">
        <v>3.2808470999999999</v>
      </c>
      <c r="BG1054" s="3">
        <v>3.2690260000000002</v>
      </c>
      <c r="BH1054" s="3">
        <v>3.2575656</v>
      </c>
      <c r="BI1054" s="3">
        <v>3.2464873999999999</v>
      </c>
      <c r="BJ1054" s="3">
        <v>3.2358131999999999</v>
      </c>
      <c r="BK1054" s="3">
        <v>3.2255644999999999</v>
      </c>
      <c r="BL1054" s="3">
        <v>3.2157631000000002</v>
      </c>
      <c r="BM1054" s="3">
        <v>3.1667545000000001</v>
      </c>
      <c r="BN1054" s="3">
        <v>3.1344240999999999</v>
      </c>
    </row>
    <row r="1055" spans="1:66" x14ac:dyDescent="0.35">
      <c r="A1055" s="5">
        <f t="shared" si="16"/>
        <v>44931</v>
      </c>
      <c r="B1055" t="s">
        <v>2452</v>
      </c>
      <c r="C1055" s="2">
        <v>3.5</v>
      </c>
      <c r="D1055" s="2">
        <v>3.4270999999999998</v>
      </c>
      <c r="E1055" s="3">
        <v>3.6553631000000002</v>
      </c>
      <c r="F1055" s="3">
        <v>3.9488002999999998</v>
      </c>
      <c r="G1055" s="3">
        <v>4.1630092999999997</v>
      </c>
      <c r="H1055" s="3">
        <v>4.3218091000000003</v>
      </c>
      <c r="I1055" s="3">
        <v>4.4413935000000002</v>
      </c>
      <c r="J1055" s="3">
        <v>4.5281985999999996</v>
      </c>
      <c r="K1055" s="3">
        <v>4.5869397000000003</v>
      </c>
      <c r="L1055" s="3">
        <v>4.6221614000000004</v>
      </c>
      <c r="M1055" s="3">
        <v>4.6386437000000003</v>
      </c>
      <c r="N1055" s="3">
        <v>4.6403138999999998</v>
      </c>
      <c r="O1055" s="3">
        <v>4.6299600999999999</v>
      </c>
      <c r="P1055" s="3">
        <v>4.6093365999999998</v>
      </c>
      <c r="Q1055" s="3">
        <v>4.5795763999999997</v>
      </c>
      <c r="R1055" s="3">
        <v>4.5420346</v>
      </c>
      <c r="S1055" s="3">
        <v>4.4981524000000004</v>
      </c>
      <c r="T1055" s="3">
        <v>4.4493706</v>
      </c>
      <c r="U1055" s="3">
        <v>4.3971302000000003</v>
      </c>
      <c r="V1055" s="3">
        <v>4.3428722000000004</v>
      </c>
      <c r="W1055" s="3">
        <v>4.2878902999999999</v>
      </c>
      <c r="X1055" s="3">
        <v>4.2329178000000001</v>
      </c>
      <c r="Y1055" s="3">
        <v>4.1785547000000003</v>
      </c>
      <c r="Z1055" s="3">
        <v>4.1254008000000004</v>
      </c>
      <c r="AA1055" s="3">
        <v>4.0740559000000003</v>
      </c>
      <c r="AB1055" s="3">
        <v>4.0251200999999996</v>
      </c>
      <c r="AC1055" s="3">
        <v>3.9790884000000002</v>
      </c>
      <c r="AD1055" s="3">
        <v>3.9359454</v>
      </c>
      <c r="AE1055" s="3">
        <v>3.8955206000000002</v>
      </c>
      <c r="AF1055" s="3">
        <v>3.8576431000000002</v>
      </c>
      <c r="AG1055" s="3">
        <v>3.8221422</v>
      </c>
      <c r="AH1055" s="3">
        <v>3.7888472000000002</v>
      </c>
      <c r="AI1055" s="3">
        <v>3.7575873999999998</v>
      </c>
      <c r="AJ1055" s="3">
        <v>3.728192</v>
      </c>
      <c r="AK1055" s="3">
        <v>3.7004904000000001</v>
      </c>
      <c r="AL1055" s="3">
        <v>3.6743117000000001</v>
      </c>
      <c r="AM1055" s="3">
        <v>3.6494852</v>
      </c>
      <c r="AN1055" s="3">
        <v>3.6258403000000001</v>
      </c>
      <c r="AO1055" s="3">
        <v>3.6032232</v>
      </c>
      <c r="AP1055" s="3">
        <v>3.5815554999999999</v>
      </c>
      <c r="AQ1055" s="3">
        <v>3.5607795000000002</v>
      </c>
      <c r="AR1055" s="3">
        <v>3.5408376000000001</v>
      </c>
      <c r="AS1055" s="3">
        <v>3.5216720000000001</v>
      </c>
      <c r="AT1055" s="3">
        <v>3.5032250999999999</v>
      </c>
      <c r="AU1055" s="3">
        <v>3.4854392000000001</v>
      </c>
      <c r="AV1055" s="3">
        <v>3.4682567</v>
      </c>
      <c r="AW1055" s="3">
        <v>3.4516197000000002</v>
      </c>
      <c r="AX1055" s="3">
        <v>3.4354708</v>
      </c>
      <c r="AY1055" s="3">
        <v>3.4197521000000002</v>
      </c>
      <c r="AZ1055" s="3">
        <v>3.4044061000000001</v>
      </c>
      <c r="BA1055" s="3">
        <v>3.3893856000000002</v>
      </c>
      <c r="BB1055" s="3">
        <v>3.3746911000000002</v>
      </c>
      <c r="BC1055" s="3">
        <v>3.3603358000000001</v>
      </c>
      <c r="BD1055" s="3">
        <v>3.346333</v>
      </c>
      <c r="BE1055" s="3">
        <v>3.3326961000000002</v>
      </c>
      <c r="BF1055" s="3">
        <v>3.3194382</v>
      </c>
      <c r="BG1055" s="3">
        <v>3.3065728000000001</v>
      </c>
      <c r="BH1055" s="3">
        <v>3.2941132</v>
      </c>
      <c r="BI1055" s="3">
        <v>3.2820724999999999</v>
      </c>
      <c r="BJ1055" s="3">
        <v>3.2704642000000002</v>
      </c>
      <c r="BK1055" s="3">
        <v>3.2593016000000001</v>
      </c>
      <c r="BL1055" s="3">
        <v>3.2485979999999999</v>
      </c>
      <c r="BM1055" s="3">
        <v>3.1944015000000001</v>
      </c>
      <c r="BN1055" s="3">
        <v>3.1579104</v>
      </c>
    </row>
    <row r="1056" spans="1:66" x14ac:dyDescent="0.35">
      <c r="A1056" s="5">
        <f t="shared" si="16"/>
        <v>44932</v>
      </c>
      <c r="B1056" t="s">
        <v>2453</v>
      </c>
      <c r="C1056" s="2">
        <v>3.5</v>
      </c>
      <c r="D1056" s="2">
        <v>3.4272</v>
      </c>
      <c r="E1056" s="3">
        <v>3.6587691000000002</v>
      </c>
      <c r="F1056" s="3">
        <v>3.9402484000000002</v>
      </c>
      <c r="G1056" s="3">
        <v>4.1435332000000002</v>
      </c>
      <c r="H1056" s="3">
        <v>4.2909404000000002</v>
      </c>
      <c r="I1056" s="3">
        <v>4.3973908000000002</v>
      </c>
      <c r="J1056" s="3">
        <v>4.4711645999999998</v>
      </c>
      <c r="K1056" s="3">
        <v>4.5183413999999997</v>
      </c>
      <c r="L1056" s="3">
        <v>4.5444357000000002</v>
      </c>
      <c r="M1056" s="3">
        <v>4.5542255999999997</v>
      </c>
      <c r="N1056" s="3">
        <v>4.5512033000000001</v>
      </c>
      <c r="O1056" s="3">
        <v>4.5372773000000004</v>
      </c>
      <c r="P1056" s="3">
        <v>4.5135822000000001</v>
      </c>
      <c r="Q1056" s="3">
        <v>4.4799574</v>
      </c>
      <c r="R1056" s="3">
        <v>4.4377272999999997</v>
      </c>
      <c r="S1056" s="3">
        <v>4.3887890000000001</v>
      </c>
      <c r="T1056" s="3">
        <v>4.3350396</v>
      </c>
      <c r="U1056" s="3">
        <v>4.2783761</v>
      </c>
      <c r="V1056" s="3">
        <v>4.2206956</v>
      </c>
      <c r="W1056" s="3">
        <v>4.1636801999999999</v>
      </c>
      <c r="X1056" s="3">
        <v>4.1080142999999998</v>
      </c>
      <c r="Y1056" s="3">
        <v>4.0540931000000002</v>
      </c>
      <c r="Z1056" s="3">
        <v>4.0023118999999996</v>
      </c>
      <c r="AA1056" s="3">
        <v>3.9530661</v>
      </c>
      <c r="AB1056" s="3">
        <v>3.9067508000000002</v>
      </c>
      <c r="AC1056" s="3">
        <v>3.8636693000000002</v>
      </c>
      <c r="AD1056" s="3">
        <v>3.8237182000000001</v>
      </c>
      <c r="AE1056" s="3">
        <v>3.7866821000000002</v>
      </c>
      <c r="AF1056" s="3">
        <v>3.7523455000000001</v>
      </c>
      <c r="AG1056" s="3">
        <v>3.7204929999999998</v>
      </c>
      <c r="AH1056" s="3">
        <v>3.6909089000000002</v>
      </c>
      <c r="AI1056" s="3">
        <v>3.6633778000000001</v>
      </c>
      <c r="AJ1056" s="3">
        <v>3.6376843999999999</v>
      </c>
      <c r="AK1056" s="3">
        <v>3.613613</v>
      </c>
      <c r="AL1056" s="3">
        <v>3.5909480999999999</v>
      </c>
      <c r="AM1056" s="3">
        <v>3.5694743999999998</v>
      </c>
      <c r="AN1056" s="3">
        <v>3.5489763000000001</v>
      </c>
      <c r="AO1056" s="3">
        <v>3.5292653</v>
      </c>
      <c r="AP1056" s="3">
        <v>3.5102720999999999</v>
      </c>
      <c r="AQ1056" s="3">
        <v>3.4919598999999999</v>
      </c>
      <c r="AR1056" s="3">
        <v>3.4742923999999999</v>
      </c>
      <c r="AS1056" s="3">
        <v>3.457233</v>
      </c>
      <c r="AT1056" s="3">
        <v>3.4407450000000002</v>
      </c>
      <c r="AU1056" s="3">
        <v>3.4247920999999999</v>
      </c>
      <c r="AV1056" s="3">
        <v>3.4093374999999999</v>
      </c>
      <c r="AW1056" s="3">
        <v>3.3943447999999998</v>
      </c>
      <c r="AX1056" s="3">
        <v>3.3797774999999999</v>
      </c>
      <c r="AY1056" s="3">
        <v>3.3655989000000002</v>
      </c>
      <c r="AZ1056" s="3">
        <v>3.3517725</v>
      </c>
      <c r="BA1056" s="3">
        <v>3.3382689999999999</v>
      </c>
      <c r="BB1056" s="3">
        <v>3.3250905999999998</v>
      </c>
      <c r="BC1056" s="3">
        <v>3.3122484000000001</v>
      </c>
      <c r="BD1056" s="3">
        <v>3.2997532000000001</v>
      </c>
      <c r="BE1056" s="3">
        <v>3.2876162</v>
      </c>
      <c r="BF1056" s="3">
        <v>3.2758484000000001</v>
      </c>
      <c r="BG1056" s="3">
        <v>3.2644606999999999</v>
      </c>
      <c r="BH1056" s="3">
        <v>3.2534641</v>
      </c>
      <c r="BI1056" s="3">
        <v>3.2428697</v>
      </c>
      <c r="BJ1056" s="3">
        <v>3.2326885000000001</v>
      </c>
      <c r="BK1056" s="3">
        <v>3.2229315000000001</v>
      </c>
      <c r="BL1056" s="3">
        <v>3.2136095999999998</v>
      </c>
      <c r="BM1056" s="3">
        <v>3.1670351999999999</v>
      </c>
      <c r="BN1056" s="3">
        <v>3.1364836</v>
      </c>
    </row>
    <row r="1057" spans="1:66" x14ac:dyDescent="0.35">
      <c r="A1057" s="5">
        <f t="shared" si="16"/>
        <v>44935</v>
      </c>
      <c r="B1057" t="s">
        <v>2454</v>
      </c>
      <c r="C1057" s="2">
        <v>3.5</v>
      </c>
      <c r="D1057" s="2">
        <v>3.4272999999999998</v>
      </c>
      <c r="E1057" s="3">
        <v>3.7162381</v>
      </c>
      <c r="F1057" s="3">
        <v>3.9735887999999999</v>
      </c>
      <c r="G1057" s="3">
        <v>4.1585134000000004</v>
      </c>
      <c r="H1057" s="3">
        <v>4.2894544000000003</v>
      </c>
      <c r="I1057" s="3">
        <v>4.3814377999999996</v>
      </c>
      <c r="J1057" s="3">
        <v>4.4407211000000002</v>
      </c>
      <c r="K1057" s="3">
        <v>4.4733298000000001</v>
      </c>
      <c r="L1057" s="3">
        <v>4.4851020999999998</v>
      </c>
      <c r="M1057" s="3">
        <v>4.4808906999999998</v>
      </c>
      <c r="N1057" s="3">
        <v>4.4650208999999998</v>
      </c>
      <c r="O1057" s="3">
        <v>4.4399421999999999</v>
      </c>
      <c r="P1057" s="3">
        <v>4.4073146000000003</v>
      </c>
      <c r="Q1057" s="3">
        <v>4.3678933000000004</v>
      </c>
      <c r="R1057" s="3">
        <v>4.3228201000000004</v>
      </c>
      <c r="S1057" s="3">
        <v>4.2734091999999997</v>
      </c>
      <c r="T1057" s="3">
        <v>4.2209745999999999</v>
      </c>
      <c r="U1057" s="3">
        <v>4.1668301000000003</v>
      </c>
      <c r="V1057" s="3">
        <v>4.1122899000000004</v>
      </c>
      <c r="W1057" s="3">
        <v>4.0585068</v>
      </c>
      <c r="X1057" s="3">
        <v>4.0060194999999998</v>
      </c>
      <c r="Y1057" s="3">
        <v>3.9552209</v>
      </c>
      <c r="Z1057" s="3">
        <v>3.9065037999999999</v>
      </c>
      <c r="AA1057" s="3">
        <v>3.8602609999999999</v>
      </c>
      <c r="AB1057" s="3">
        <v>3.8168853</v>
      </c>
      <c r="AC1057" s="3">
        <v>3.7766804</v>
      </c>
      <c r="AD1057" s="3">
        <v>3.7395573</v>
      </c>
      <c r="AE1057" s="3">
        <v>3.7053181999999998</v>
      </c>
      <c r="AF1057" s="3">
        <v>3.6737657000000001</v>
      </c>
      <c r="AG1057" s="3">
        <v>3.6447020000000001</v>
      </c>
      <c r="AH1057" s="3">
        <v>3.6179296000000001</v>
      </c>
      <c r="AI1057" s="3">
        <v>3.5932509000000001</v>
      </c>
      <c r="AJ1057" s="3">
        <v>3.5704684000000002</v>
      </c>
      <c r="AK1057" s="3">
        <v>3.5493842999999998</v>
      </c>
      <c r="AL1057" s="3">
        <v>3.5298010999999998</v>
      </c>
      <c r="AM1057" s="3">
        <v>3.5115211999999998</v>
      </c>
      <c r="AN1057" s="3">
        <v>3.4943471000000002</v>
      </c>
      <c r="AO1057" s="3">
        <v>3.4781034000000002</v>
      </c>
      <c r="AP1057" s="3">
        <v>3.4627138</v>
      </c>
      <c r="AQ1057" s="3">
        <v>3.4481291999999999</v>
      </c>
      <c r="AR1057" s="3">
        <v>3.4343005</v>
      </c>
      <c r="AS1057" s="3">
        <v>3.4211784999999999</v>
      </c>
      <c r="AT1057" s="3">
        <v>3.4087141999999999</v>
      </c>
      <c r="AU1057" s="3">
        <v>3.3968585</v>
      </c>
      <c r="AV1057" s="3">
        <v>3.3855621999999999</v>
      </c>
      <c r="AW1057" s="3">
        <v>3.3747761999999999</v>
      </c>
      <c r="AX1057" s="3">
        <v>3.3644514000000001</v>
      </c>
      <c r="AY1057" s="3">
        <v>3.3545387</v>
      </c>
      <c r="AZ1057" s="3">
        <v>3.344989</v>
      </c>
      <c r="BA1057" s="3">
        <v>3.3357600999999999</v>
      </c>
      <c r="BB1057" s="3">
        <v>3.3268472</v>
      </c>
      <c r="BC1057" s="3">
        <v>3.3182578</v>
      </c>
      <c r="BD1057" s="3">
        <v>3.3099997000000001</v>
      </c>
      <c r="BE1057" s="3">
        <v>3.3020806</v>
      </c>
      <c r="BF1057" s="3">
        <v>3.294508</v>
      </c>
      <c r="BG1057" s="3">
        <v>3.2872897000000001</v>
      </c>
      <c r="BH1057" s="3">
        <v>3.2804332999999999</v>
      </c>
      <c r="BI1057" s="3">
        <v>3.2739463999999998</v>
      </c>
      <c r="BJ1057" s="3">
        <v>3.2678368</v>
      </c>
      <c r="BK1057" s="3">
        <v>3.2621121</v>
      </c>
      <c r="BL1057" s="3">
        <v>3.2567799000000002</v>
      </c>
      <c r="BM1057" s="3">
        <v>3.2330334999999999</v>
      </c>
      <c r="BN1057" s="3">
        <v>3.2227345000000001</v>
      </c>
    </row>
    <row r="1058" spans="1:66" x14ac:dyDescent="0.35">
      <c r="A1058" s="5">
        <f t="shared" si="16"/>
        <v>44936</v>
      </c>
      <c r="B1058" t="s">
        <v>2455</v>
      </c>
      <c r="C1058" s="2">
        <v>3.5</v>
      </c>
      <c r="D1058" s="2">
        <v>3.4272</v>
      </c>
      <c r="E1058" s="3">
        <v>3.7242380000000002</v>
      </c>
      <c r="F1058" s="3">
        <v>3.9765088999999998</v>
      </c>
      <c r="G1058" s="3">
        <v>4.1631035000000001</v>
      </c>
      <c r="H1058" s="3">
        <v>4.2994667</v>
      </c>
      <c r="I1058" s="3">
        <v>4.3973155999999998</v>
      </c>
      <c r="J1058" s="3">
        <v>4.4627907999999996</v>
      </c>
      <c r="K1058" s="3">
        <v>4.5008036000000002</v>
      </c>
      <c r="L1058" s="3">
        <v>4.5175932000000003</v>
      </c>
      <c r="M1058" s="3">
        <v>4.5180008000000003</v>
      </c>
      <c r="N1058" s="3">
        <v>4.5060225999999997</v>
      </c>
      <c r="O1058" s="3">
        <v>4.4839320000000003</v>
      </c>
      <c r="P1058" s="3">
        <v>4.4532427999999999</v>
      </c>
      <c r="Q1058" s="3">
        <v>4.4144600000000001</v>
      </c>
      <c r="R1058" s="3">
        <v>4.3688738999999996</v>
      </c>
      <c r="S1058" s="3">
        <v>4.3180547000000002</v>
      </c>
      <c r="T1058" s="3">
        <v>4.2635721999999996</v>
      </c>
      <c r="U1058" s="3">
        <v>4.2069964000000004</v>
      </c>
      <c r="V1058" s="3">
        <v>4.1498971999999998</v>
      </c>
      <c r="W1058" s="3">
        <v>4.0936415999999998</v>
      </c>
      <c r="X1058" s="3">
        <v>4.0388238999999997</v>
      </c>
      <c r="Y1058" s="3">
        <v>3.9858544999999999</v>
      </c>
      <c r="Z1058" s="3">
        <v>3.9351438999999999</v>
      </c>
      <c r="AA1058" s="3">
        <v>3.8871023</v>
      </c>
      <c r="AB1058" s="3">
        <v>3.8421403000000001</v>
      </c>
      <c r="AC1058" s="3">
        <v>3.8005741</v>
      </c>
      <c r="AD1058" s="3">
        <v>3.7623044999999999</v>
      </c>
      <c r="AE1058" s="3">
        <v>3.7271179000000001</v>
      </c>
      <c r="AF1058" s="3">
        <v>3.6948004000000001</v>
      </c>
      <c r="AG1058" s="3">
        <v>3.6651383000000002</v>
      </c>
      <c r="AH1058" s="3">
        <v>3.6379179000000001</v>
      </c>
      <c r="AI1058" s="3">
        <v>3.6129253000000001</v>
      </c>
      <c r="AJ1058" s="3">
        <v>3.5899467</v>
      </c>
      <c r="AK1058" s="3">
        <v>3.5687685</v>
      </c>
      <c r="AL1058" s="3">
        <v>3.5491769</v>
      </c>
      <c r="AM1058" s="3">
        <v>3.530958</v>
      </c>
      <c r="AN1058" s="3">
        <v>3.5138981999999999</v>
      </c>
      <c r="AO1058" s="3">
        <v>3.4978031999999999</v>
      </c>
      <c r="AP1058" s="3">
        <v>3.4825838</v>
      </c>
      <c r="AQ1058" s="3">
        <v>3.4681860000000002</v>
      </c>
      <c r="AR1058" s="3">
        <v>3.4545558999999999</v>
      </c>
      <c r="AS1058" s="3">
        <v>3.4416395</v>
      </c>
      <c r="AT1058" s="3">
        <v>3.4293830999999999</v>
      </c>
      <c r="AU1058" s="3">
        <v>3.4177325000000001</v>
      </c>
      <c r="AV1058" s="3">
        <v>3.4066339000000001</v>
      </c>
      <c r="AW1058" s="3">
        <v>3.3960333</v>
      </c>
      <c r="AX1058" s="3">
        <v>3.3858769</v>
      </c>
      <c r="AY1058" s="3">
        <v>3.3761106000000001</v>
      </c>
      <c r="AZ1058" s="3">
        <v>3.3666806</v>
      </c>
      <c r="BA1058" s="3">
        <v>3.3575412999999998</v>
      </c>
      <c r="BB1058" s="3">
        <v>3.3486885000000002</v>
      </c>
      <c r="BC1058" s="3">
        <v>3.3401304999999999</v>
      </c>
      <c r="BD1058" s="3">
        <v>3.3318753999999999</v>
      </c>
      <c r="BE1058" s="3">
        <v>3.3239315999999999</v>
      </c>
      <c r="BF1058" s="3">
        <v>3.3163071999999998</v>
      </c>
      <c r="BG1058" s="3">
        <v>3.3090106000000001</v>
      </c>
      <c r="BH1058" s="3">
        <v>3.3020499999999999</v>
      </c>
      <c r="BI1058" s="3">
        <v>3.2954336</v>
      </c>
      <c r="BJ1058" s="3">
        <v>3.2891697999999998</v>
      </c>
      <c r="BK1058" s="3">
        <v>3.2832667</v>
      </c>
      <c r="BL1058" s="3">
        <v>3.2777326000000002</v>
      </c>
      <c r="BM1058" s="3">
        <v>3.2523623000000002</v>
      </c>
      <c r="BN1058" s="3">
        <v>3.2400696</v>
      </c>
    </row>
    <row r="1059" spans="1:66" x14ac:dyDescent="0.35">
      <c r="A1059" s="5">
        <f t="shared" si="16"/>
        <v>44937</v>
      </c>
      <c r="B1059" t="s">
        <v>2457</v>
      </c>
      <c r="C1059" s="2">
        <v>3.5</v>
      </c>
      <c r="D1059" s="2">
        <v>3.4274</v>
      </c>
      <c r="E1059" s="3">
        <v>3.7366557</v>
      </c>
      <c r="F1059" s="3">
        <v>3.9677327</v>
      </c>
      <c r="G1059" s="3">
        <v>4.1395925</v>
      </c>
      <c r="H1059" s="3">
        <v>4.2638756999999998</v>
      </c>
      <c r="I1059" s="3">
        <v>4.3494655</v>
      </c>
      <c r="J1059" s="3">
        <v>4.4017662</v>
      </c>
      <c r="K1059" s="3">
        <v>4.4269290000000003</v>
      </c>
      <c r="L1059" s="3">
        <v>4.4314057</v>
      </c>
      <c r="M1059" s="3">
        <v>4.4202139999999996</v>
      </c>
      <c r="N1059" s="3">
        <v>4.3969572000000001</v>
      </c>
      <c r="O1059" s="3">
        <v>4.3641629999999996</v>
      </c>
      <c r="P1059" s="3">
        <v>4.3232654000000004</v>
      </c>
      <c r="Q1059" s="3">
        <v>4.2752238</v>
      </c>
      <c r="R1059" s="3">
        <v>4.2214486000000004</v>
      </c>
      <c r="S1059" s="3">
        <v>4.1634843000000004</v>
      </c>
      <c r="T1059" s="3">
        <v>4.1028754000000003</v>
      </c>
      <c r="U1059" s="3">
        <v>4.0411662000000002</v>
      </c>
      <c r="V1059" s="3">
        <v>3.9799011000000002</v>
      </c>
      <c r="W1059" s="3">
        <v>3.9203915999999999</v>
      </c>
      <c r="X1059" s="3">
        <v>3.8630618000000001</v>
      </c>
      <c r="Y1059" s="3">
        <v>3.8081247999999999</v>
      </c>
      <c r="Z1059" s="3">
        <v>3.7557938000000002</v>
      </c>
      <c r="AA1059" s="3">
        <v>3.7062818000000002</v>
      </c>
      <c r="AB1059" s="3">
        <v>3.6598017999999999</v>
      </c>
      <c r="AC1059" s="3">
        <v>3.6165162</v>
      </c>
      <c r="AD1059" s="3">
        <v>3.5763136000000002</v>
      </c>
      <c r="AE1059" s="3">
        <v>3.5389906999999998</v>
      </c>
      <c r="AF1059" s="3">
        <v>3.5043445000000002</v>
      </c>
      <c r="AG1059" s="3">
        <v>3.4721715999999998</v>
      </c>
      <c r="AH1059" s="3">
        <v>3.442269</v>
      </c>
      <c r="AI1059" s="3">
        <v>3.4144334000000001</v>
      </c>
      <c r="AJ1059" s="3">
        <v>3.3884615999999999</v>
      </c>
      <c r="AK1059" s="3">
        <v>3.3641504000000002</v>
      </c>
      <c r="AL1059" s="3">
        <v>3.3412966000000002</v>
      </c>
      <c r="AM1059" s="3">
        <v>3.3196970000000001</v>
      </c>
      <c r="AN1059" s="3">
        <v>3.2991484</v>
      </c>
      <c r="AO1059" s="3">
        <v>3.2794705999999998</v>
      </c>
      <c r="AP1059" s="3">
        <v>3.2605955</v>
      </c>
      <c r="AQ1059" s="3">
        <v>3.2424890999999998</v>
      </c>
      <c r="AR1059" s="3">
        <v>3.2251173999999998</v>
      </c>
      <c r="AS1059" s="3">
        <v>3.2084465</v>
      </c>
      <c r="AT1059" s="3">
        <v>3.1924424</v>
      </c>
      <c r="AU1059" s="3">
        <v>3.1770711</v>
      </c>
      <c r="AV1059" s="3">
        <v>3.1622986000000002</v>
      </c>
      <c r="AW1059" s="3">
        <v>3.1480909000000001</v>
      </c>
      <c r="AX1059" s="3">
        <v>3.1344140999999999</v>
      </c>
      <c r="AY1059" s="3">
        <v>3.1212342</v>
      </c>
      <c r="AZ1059" s="3">
        <v>3.1085172000000001</v>
      </c>
      <c r="BA1059" s="3">
        <v>3.0962348</v>
      </c>
      <c r="BB1059" s="3">
        <v>3.0843840999999999</v>
      </c>
      <c r="BC1059" s="3">
        <v>3.0729688999999998</v>
      </c>
      <c r="BD1059" s="3">
        <v>3.0619931</v>
      </c>
      <c r="BE1059" s="3">
        <v>3.0514608000000001</v>
      </c>
      <c r="BF1059" s="3">
        <v>3.0413757000000001</v>
      </c>
      <c r="BG1059" s="3">
        <v>3.0317419999999999</v>
      </c>
      <c r="BH1059" s="3">
        <v>3.0225634000000001</v>
      </c>
      <c r="BI1059" s="3">
        <v>3.0138440000000002</v>
      </c>
      <c r="BJ1059" s="3">
        <v>3.0055874999999999</v>
      </c>
      <c r="BK1059" s="3">
        <v>2.9977980999999998</v>
      </c>
      <c r="BL1059" s="3">
        <v>2.9904796</v>
      </c>
      <c r="BM1059" s="3">
        <v>2.9563480000000002</v>
      </c>
      <c r="BN1059" s="3">
        <v>2.9381602</v>
      </c>
    </row>
    <row r="1060" spans="1:66" x14ac:dyDescent="0.35">
      <c r="A1060" s="5">
        <f t="shared" si="16"/>
        <v>44938</v>
      </c>
      <c r="B1060" t="s">
        <v>2458</v>
      </c>
      <c r="C1060" s="2">
        <v>3.5</v>
      </c>
      <c r="D1060" s="2">
        <v>3.4274</v>
      </c>
      <c r="E1060" s="3">
        <v>3.7462122999999998</v>
      </c>
      <c r="F1060" s="3">
        <v>3.9761188999999999</v>
      </c>
      <c r="G1060" s="3">
        <v>4.1451114999999996</v>
      </c>
      <c r="H1060" s="3">
        <v>4.2614134999999997</v>
      </c>
      <c r="I1060" s="3">
        <v>4.3346527000000004</v>
      </c>
      <c r="J1060" s="3">
        <v>4.3724049999999997</v>
      </c>
      <c r="K1060" s="3">
        <v>4.3835392999999998</v>
      </c>
      <c r="L1060" s="3">
        <v>4.3753142</v>
      </c>
      <c r="M1060" s="3">
        <v>4.3530376000000004</v>
      </c>
      <c r="N1060" s="3">
        <v>4.3201423999999999</v>
      </c>
      <c r="O1060" s="3">
        <v>4.2788066000000002</v>
      </c>
      <c r="P1060" s="3">
        <v>4.2304326999999997</v>
      </c>
      <c r="Q1060" s="3">
        <v>4.1757948999999996</v>
      </c>
      <c r="R1060" s="3">
        <v>4.1162634000000002</v>
      </c>
      <c r="S1060" s="3">
        <v>4.0533992000000003</v>
      </c>
      <c r="T1060" s="3">
        <v>3.9887632000000002</v>
      </c>
      <c r="U1060" s="3">
        <v>3.9239168000000002</v>
      </c>
      <c r="V1060" s="3">
        <v>3.8604208</v>
      </c>
      <c r="W1060" s="3">
        <v>3.7995909000000001</v>
      </c>
      <c r="X1060" s="3">
        <v>3.7418081999999999</v>
      </c>
      <c r="Y1060" s="3">
        <v>3.6872310000000001</v>
      </c>
      <c r="Z1060" s="3">
        <v>3.636018</v>
      </c>
      <c r="AA1060" s="3">
        <v>3.5883276999999998</v>
      </c>
      <c r="AB1060" s="3">
        <v>3.5443186</v>
      </c>
      <c r="AC1060" s="3">
        <v>3.5040928</v>
      </c>
      <c r="AD1060" s="3">
        <v>3.4674771999999998</v>
      </c>
      <c r="AE1060" s="3">
        <v>3.4342153</v>
      </c>
      <c r="AF1060" s="3">
        <v>3.4040501000000001</v>
      </c>
      <c r="AG1060" s="3">
        <v>3.3767249000000001</v>
      </c>
      <c r="AH1060" s="3">
        <v>3.3519830000000002</v>
      </c>
      <c r="AI1060" s="3">
        <v>3.3295677000000001</v>
      </c>
      <c r="AJ1060" s="3">
        <v>3.3092220999999999</v>
      </c>
      <c r="AK1060" s="3">
        <v>3.2906895</v>
      </c>
      <c r="AL1060" s="3">
        <v>3.2737132</v>
      </c>
      <c r="AM1060" s="3">
        <v>3.2580363999999999</v>
      </c>
      <c r="AN1060" s="3">
        <v>3.2434023000000001</v>
      </c>
      <c r="AO1060" s="3">
        <v>3.2295851999999998</v>
      </c>
      <c r="AP1060" s="3">
        <v>3.2164964</v>
      </c>
      <c r="AQ1060" s="3">
        <v>3.2040850000000001</v>
      </c>
      <c r="AR1060" s="3">
        <v>3.1922999000000001</v>
      </c>
      <c r="AS1060" s="3">
        <v>3.1810901999999999</v>
      </c>
      <c r="AT1060" s="3">
        <v>3.1704051</v>
      </c>
      <c r="AU1060" s="3">
        <v>3.1601935000000001</v>
      </c>
      <c r="AV1060" s="3">
        <v>3.1504044000000002</v>
      </c>
      <c r="AW1060" s="3">
        <v>3.1409870999999998</v>
      </c>
      <c r="AX1060" s="3">
        <v>3.1318904000000001</v>
      </c>
      <c r="AY1060" s="3">
        <v>3.1230635000000002</v>
      </c>
      <c r="AZ1060" s="3">
        <v>3.1144552999999999</v>
      </c>
      <c r="BA1060" s="3">
        <v>3.1060248000000001</v>
      </c>
      <c r="BB1060" s="3">
        <v>3.0977739</v>
      </c>
      <c r="BC1060" s="3">
        <v>3.0897163000000001</v>
      </c>
      <c r="BD1060" s="3">
        <v>3.0818658000000001</v>
      </c>
      <c r="BE1060" s="3">
        <v>3.0742364000000002</v>
      </c>
      <c r="BF1060" s="3">
        <v>3.0668416999999999</v>
      </c>
      <c r="BG1060" s="3">
        <v>3.0596956</v>
      </c>
      <c r="BH1060" s="3">
        <v>3.0528119</v>
      </c>
      <c r="BI1060" s="3">
        <v>3.0462044000000001</v>
      </c>
      <c r="BJ1060" s="3">
        <v>3.0398868999999999</v>
      </c>
      <c r="BK1060" s="3">
        <v>3.0338733000000002</v>
      </c>
      <c r="BL1060" s="3">
        <v>3.0281772999999998</v>
      </c>
      <c r="BM1060" s="3">
        <v>3.0010905999999999</v>
      </c>
      <c r="BN1060" s="3">
        <v>2.9867674000000002</v>
      </c>
    </row>
    <row r="1061" spans="1:66" x14ac:dyDescent="0.35">
      <c r="A1061" s="5">
        <f t="shared" si="16"/>
        <v>44939</v>
      </c>
      <c r="B1061" t="s">
        <v>2459</v>
      </c>
      <c r="C1061" s="2">
        <v>3.5</v>
      </c>
      <c r="D1061" s="2">
        <v>3.4274</v>
      </c>
      <c r="E1061" s="3">
        <v>3.7676493</v>
      </c>
      <c r="F1061" s="3">
        <v>3.9912741999999999</v>
      </c>
      <c r="G1061" s="3">
        <v>4.1621231999999999</v>
      </c>
      <c r="H1061" s="3">
        <v>4.2817422000000001</v>
      </c>
      <c r="I1061" s="3">
        <v>4.3586020000000003</v>
      </c>
      <c r="J1061" s="3">
        <v>4.4017735</v>
      </c>
      <c r="K1061" s="3">
        <v>4.4199188999999999</v>
      </c>
      <c r="L1061" s="3">
        <v>4.4193689000000003</v>
      </c>
      <c r="M1061" s="3">
        <v>4.4039883</v>
      </c>
      <c r="N1061" s="3">
        <v>4.3760630999999997</v>
      </c>
      <c r="O1061" s="3">
        <v>4.3369825000000004</v>
      </c>
      <c r="P1061" s="3">
        <v>4.2881922000000001</v>
      </c>
      <c r="Q1061" s="3">
        <v>4.2306692999999997</v>
      </c>
      <c r="R1061" s="3">
        <v>4.1662423999999998</v>
      </c>
      <c r="S1061" s="3">
        <v>4.0970557000000003</v>
      </c>
      <c r="T1061" s="3">
        <v>4.0252537000000004</v>
      </c>
      <c r="U1061" s="3">
        <v>3.9529809999999999</v>
      </c>
      <c r="V1061" s="3">
        <v>3.8823820000000002</v>
      </c>
      <c r="W1061" s="3">
        <v>3.8153139999999999</v>
      </c>
      <c r="X1061" s="3">
        <v>3.7523015000000002</v>
      </c>
      <c r="Y1061" s="3">
        <v>3.6934833</v>
      </c>
      <c r="Z1061" s="3">
        <v>3.6389979000000001</v>
      </c>
      <c r="AA1061" s="3">
        <v>3.5889837999999998</v>
      </c>
      <c r="AB1061" s="3">
        <v>3.5435797</v>
      </c>
      <c r="AC1061" s="3">
        <v>3.5028511</v>
      </c>
      <c r="AD1061" s="3">
        <v>3.4665420999999998</v>
      </c>
      <c r="AE1061" s="3">
        <v>3.4343078</v>
      </c>
      <c r="AF1061" s="3">
        <v>3.4058033000000001</v>
      </c>
      <c r="AG1061" s="3">
        <v>3.3806839000000002</v>
      </c>
      <c r="AH1061" s="3">
        <v>3.3586046999999999</v>
      </c>
      <c r="AI1061" s="3">
        <v>3.3392208000000001</v>
      </c>
      <c r="AJ1061" s="3">
        <v>3.3221875000000001</v>
      </c>
      <c r="AK1061" s="3">
        <v>3.3071600000000001</v>
      </c>
      <c r="AL1061" s="3">
        <v>3.2937932000000001</v>
      </c>
      <c r="AM1061" s="3">
        <v>3.2817425999999998</v>
      </c>
      <c r="AN1061" s="3">
        <v>3.2706631000000002</v>
      </c>
      <c r="AO1061" s="3">
        <v>3.2602538000000001</v>
      </c>
      <c r="AP1061" s="3">
        <v>3.2504065</v>
      </c>
      <c r="AQ1061" s="3">
        <v>3.2410667000000002</v>
      </c>
      <c r="AR1061" s="3">
        <v>3.2321795</v>
      </c>
      <c r="AS1061" s="3">
        <v>3.2236902999999999</v>
      </c>
      <c r="AT1061" s="3">
        <v>3.2155442999999999</v>
      </c>
      <c r="AU1061" s="3">
        <v>3.2076869000000001</v>
      </c>
      <c r="AV1061" s="3">
        <v>3.2000630999999999</v>
      </c>
      <c r="AW1061" s="3">
        <v>3.1926185</v>
      </c>
      <c r="AX1061" s="3">
        <v>3.1852982000000001</v>
      </c>
      <c r="AY1061" s="3">
        <v>3.1780474999999999</v>
      </c>
      <c r="AZ1061" s="3">
        <v>3.1708116999999998</v>
      </c>
      <c r="BA1061" s="3">
        <v>3.1635477999999999</v>
      </c>
      <c r="BB1061" s="3">
        <v>3.1562649</v>
      </c>
      <c r="BC1061" s="3">
        <v>3.1489862999999998</v>
      </c>
      <c r="BD1061" s="3">
        <v>3.1417354</v>
      </c>
      <c r="BE1061" s="3">
        <v>3.1345356</v>
      </c>
      <c r="BF1061" s="3">
        <v>3.1274101999999999</v>
      </c>
      <c r="BG1061" s="3">
        <v>3.1203826000000001</v>
      </c>
      <c r="BH1061" s="3">
        <v>3.1134762</v>
      </c>
      <c r="BI1061" s="3">
        <v>3.1067143000000002</v>
      </c>
      <c r="BJ1061" s="3">
        <v>3.1001202000000001</v>
      </c>
      <c r="BK1061" s="3">
        <v>3.0937174999999999</v>
      </c>
      <c r="BL1061" s="3">
        <v>3.0875292999999999</v>
      </c>
      <c r="BM1061" s="3">
        <v>3.0558263999999999</v>
      </c>
      <c r="BN1061" s="3">
        <v>3.0353737999999999</v>
      </c>
    </row>
    <row r="1062" spans="1:66" x14ac:dyDescent="0.35">
      <c r="A1062" s="5">
        <f t="shared" si="16"/>
        <v>44942</v>
      </c>
      <c r="B1062" t="s">
        <v>2460</v>
      </c>
      <c r="C1062" s="2">
        <v>3.5</v>
      </c>
      <c r="D1062" s="2">
        <v>3.4279000000000002</v>
      </c>
      <c r="E1062" s="3">
        <v>3.8142673</v>
      </c>
      <c r="F1062" s="3">
        <v>3.9867873</v>
      </c>
      <c r="G1062" s="3">
        <v>4.1424560000000001</v>
      </c>
      <c r="H1062" s="3">
        <v>4.2632773999999998</v>
      </c>
      <c r="I1062" s="3">
        <v>4.3468692999999998</v>
      </c>
      <c r="J1062" s="3">
        <v>4.3961418999999999</v>
      </c>
      <c r="K1062" s="3">
        <v>4.4178322999999997</v>
      </c>
      <c r="L1062" s="3">
        <v>4.4181431</v>
      </c>
      <c r="M1062" s="3">
        <v>4.4010783</v>
      </c>
      <c r="N1062" s="3">
        <v>4.3700476000000004</v>
      </c>
      <c r="O1062" s="3">
        <v>4.3271842999999999</v>
      </c>
      <c r="P1062" s="3">
        <v>4.2747052999999999</v>
      </c>
      <c r="Q1062" s="3">
        <v>4.2146375999999997</v>
      </c>
      <c r="R1062" s="3">
        <v>4.1489238000000004</v>
      </c>
      <c r="S1062" s="3">
        <v>4.0795076000000003</v>
      </c>
      <c r="T1062" s="3">
        <v>4.0083330999999998</v>
      </c>
      <c r="U1062" s="3">
        <v>3.9373440999999998</v>
      </c>
      <c r="V1062" s="3">
        <v>3.8684847000000002</v>
      </c>
      <c r="W1062" s="3">
        <v>3.8033763</v>
      </c>
      <c r="X1062" s="3">
        <v>3.7424138999999998</v>
      </c>
      <c r="Y1062" s="3">
        <v>3.6857001</v>
      </c>
      <c r="Z1062" s="3">
        <v>3.6333376999999998</v>
      </c>
      <c r="AA1062" s="3">
        <v>3.5854294000000002</v>
      </c>
      <c r="AB1062" s="3">
        <v>3.5420780000000001</v>
      </c>
      <c r="AC1062" s="3">
        <v>3.5033183000000001</v>
      </c>
      <c r="AD1062" s="3">
        <v>3.4688851999999999</v>
      </c>
      <c r="AE1062" s="3">
        <v>3.4384310999999999</v>
      </c>
      <c r="AF1062" s="3">
        <v>3.4116081999999999</v>
      </c>
      <c r="AG1062" s="3">
        <v>3.3880686999999998</v>
      </c>
      <c r="AH1062" s="3">
        <v>3.3674648999999999</v>
      </c>
      <c r="AI1062" s="3">
        <v>3.3494489999999999</v>
      </c>
      <c r="AJ1062" s="3">
        <v>3.3336733000000001</v>
      </c>
      <c r="AK1062" s="3">
        <v>3.3197899999999998</v>
      </c>
      <c r="AL1062" s="3">
        <v>3.3074515</v>
      </c>
      <c r="AM1062" s="3">
        <v>3.2963098999999998</v>
      </c>
      <c r="AN1062" s="3">
        <v>3.2860174999999998</v>
      </c>
      <c r="AO1062" s="3">
        <v>3.2762723999999999</v>
      </c>
      <c r="AP1062" s="3">
        <v>3.2669752000000001</v>
      </c>
      <c r="AQ1062" s="3">
        <v>3.2580825</v>
      </c>
      <c r="AR1062" s="3">
        <v>3.2495508000000002</v>
      </c>
      <c r="AS1062" s="3">
        <v>3.2413365000000001</v>
      </c>
      <c r="AT1062" s="3">
        <v>3.2333961000000002</v>
      </c>
      <c r="AU1062" s="3">
        <v>3.2256860999999999</v>
      </c>
      <c r="AV1062" s="3">
        <v>3.2181630999999999</v>
      </c>
      <c r="AW1062" s="3">
        <v>3.2107836000000001</v>
      </c>
      <c r="AX1062" s="3">
        <v>3.2035038999999998</v>
      </c>
      <c r="AY1062" s="3">
        <v>3.1962807</v>
      </c>
      <c r="AZ1062" s="3">
        <v>3.1890703999999999</v>
      </c>
      <c r="BA1062" s="3">
        <v>3.1818380999999998</v>
      </c>
      <c r="BB1062" s="3">
        <v>3.1745945999999998</v>
      </c>
      <c r="BC1062" s="3">
        <v>3.1673662</v>
      </c>
      <c r="BD1062" s="3">
        <v>3.1601792</v>
      </c>
      <c r="BE1062" s="3">
        <v>3.1530599000000001</v>
      </c>
      <c r="BF1062" s="3">
        <v>3.1460344999999998</v>
      </c>
      <c r="BG1062" s="3">
        <v>3.1391293</v>
      </c>
      <c r="BH1062" s="3">
        <v>3.1323707000000001</v>
      </c>
      <c r="BI1062" s="3">
        <v>3.1257847999999999</v>
      </c>
      <c r="BJ1062" s="3">
        <v>3.1193979999999999</v>
      </c>
      <c r="BK1062" s="3">
        <v>3.1132366</v>
      </c>
      <c r="BL1062" s="3">
        <v>3.1073268000000001</v>
      </c>
      <c r="BM1062" s="3">
        <v>3.0779019999999999</v>
      </c>
      <c r="BN1062" s="3">
        <v>3.0597314999999998</v>
      </c>
    </row>
    <row r="1063" spans="1:66" x14ac:dyDescent="0.35">
      <c r="A1063" s="5">
        <f t="shared" si="16"/>
        <v>44943</v>
      </c>
      <c r="B1063" t="s">
        <v>2461</v>
      </c>
      <c r="C1063" s="2">
        <v>3.5</v>
      </c>
      <c r="D1063" s="2">
        <v>3.4279000000000002</v>
      </c>
      <c r="E1063" s="3">
        <v>3.8490877000000001</v>
      </c>
      <c r="F1063" s="3">
        <v>4.0123186000000004</v>
      </c>
      <c r="G1063" s="3">
        <v>4.1664535000000003</v>
      </c>
      <c r="H1063" s="3">
        <v>4.2842928000000002</v>
      </c>
      <c r="I1063" s="3">
        <v>4.3605112999999998</v>
      </c>
      <c r="J1063" s="3">
        <v>4.4007909999999999</v>
      </c>
      <c r="K1063" s="3">
        <v>4.4133386999999997</v>
      </c>
      <c r="L1063" s="3">
        <v>4.4064173000000002</v>
      </c>
      <c r="M1063" s="3">
        <v>4.3848789999999997</v>
      </c>
      <c r="N1063" s="3">
        <v>4.3519158999999998</v>
      </c>
      <c r="O1063" s="3">
        <v>4.3091965999999999</v>
      </c>
      <c r="P1063" s="3">
        <v>4.2581274999999996</v>
      </c>
      <c r="Q1063" s="3">
        <v>4.1998015999999998</v>
      </c>
      <c r="R1063" s="3">
        <v>4.1358642999999997</v>
      </c>
      <c r="S1063" s="3">
        <v>4.0681338</v>
      </c>
      <c r="T1063" s="3">
        <v>3.9984283999999999</v>
      </c>
      <c r="U1063" s="3">
        <v>3.928566</v>
      </c>
      <c r="V1063" s="3">
        <v>3.8603651000000001</v>
      </c>
      <c r="W1063" s="3">
        <v>3.7953516</v>
      </c>
      <c r="X1063" s="3">
        <v>3.7339391000000002</v>
      </c>
      <c r="Y1063" s="3">
        <v>3.6762766</v>
      </c>
      <c r="Z1063" s="3">
        <v>3.6225128999999998</v>
      </c>
      <c r="AA1063" s="3">
        <v>3.5727970999999998</v>
      </c>
      <c r="AB1063" s="3">
        <v>3.5272779999999999</v>
      </c>
      <c r="AC1063" s="3">
        <v>3.4860361000000002</v>
      </c>
      <c r="AD1063" s="3">
        <v>3.4488498999999999</v>
      </c>
      <c r="AE1063" s="3">
        <v>3.4154144</v>
      </c>
      <c r="AF1063" s="3">
        <v>3.3854248</v>
      </c>
      <c r="AG1063" s="3">
        <v>3.3585759999999998</v>
      </c>
      <c r="AH1063" s="3">
        <v>3.3345633000000001</v>
      </c>
      <c r="AI1063" s="3">
        <v>3.3130815999999998</v>
      </c>
      <c r="AJ1063" s="3">
        <v>3.2938261</v>
      </c>
      <c r="AK1063" s="3">
        <v>3.2764918999999999</v>
      </c>
      <c r="AL1063" s="3">
        <v>3.2607740000000001</v>
      </c>
      <c r="AM1063" s="3">
        <v>3.2463674999999999</v>
      </c>
      <c r="AN1063" s="3">
        <v>3.2329675999999998</v>
      </c>
      <c r="AO1063" s="3">
        <v>3.2203002000000001</v>
      </c>
      <c r="AP1063" s="3">
        <v>3.2082584000000001</v>
      </c>
      <c r="AQ1063" s="3">
        <v>3.1967910000000002</v>
      </c>
      <c r="AR1063" s="3">
        <v>3.1858471000000002</v>
      </c>
      <c r="AS1063" s="3">
        <v>3.1753754999999999</v>
      </c>
      <c r="AT1063" s="3">
        <v>3.1653251</v>
      </c>
      <c r="AU1063" s="3">
        <v>3.1556449999999998</v>
      </c>
      <c r="AV1063" s="3">
        <v>3.1462840999999999</v>
      </c>
      <c r="AW1063" s="3">
        <v>3.1371912000000002</v>
      </c>
      <c r="AX1063" s="3">
        <v>3.1283154</v>
      </c>
      <c r="AY1063" s="3">
        <v>3.1196057000000001</v>
      </c>
      <c r="AZ1063" s="3">
        <v>3.1110107999999999</v>
      </c>
      <c r="BA1063" s="3">
        <v>3.1024897</v>
      </c>
      <c r="BB1063" s="3">
        <v>3.0940487000000001</v>
      </c>
      <c r="BC1063" s="3">
        <v>3.0857087999999999</v>
      </c>
      <c r="BD1063" s="3">
        <v>3.0774911</v>
      </c>
      <c r="BE1063" s="3">
        <v>3.0694165999999998</v>
      </c>
      <c r="BF1063" s="3">
        <v>3.0615062000000002</v>
      </c>
      <c r="BG1063" s="3">
        <v>3.0537809999999999</v>
      </c>
      <c r="BH1063" s="3">
        <v>3.0462619000000002</v>
      </c>
      <c r="BI1063" s="3">
        <v>3.0389700999999998</v>
      </c>
      <c r="BJ1063" s="3">
        <v>3.0319264000000001</v>
      </c>
      <c r="BK1063" s="3">
        <v>3.0251519</v>
      </c>
      <c r="BL1063" s="3">
        <v>3.0186674999999998</v>
      </c>
      <c r="BM1063" s="3">
        <v>2.986504</v>
      </c>
      <c r="BN1063" s="3">
        <v>2.9668798999999999</v>
      </c>
    </row>
    <row r="1064" spans="1:66" x14ac:dyDescent="0.35">
      <c r="A1064" s="5">
        <f t="shared" si="16"/>
        <v>44944</v>
      </c>
      <c r="B1064" t="s">
        <v>2462</v>
      </c>
      <c r="C1064" s="2">
        <v>3.5</v>
      </c>
      <c r="D1064" s="2">
        <v>3.4281000000000001</v>
      </c>
      <c r="E1064" s="3">
        <v>3.8786132000000002</v>
      </c>
      <c r="F1064" s="3">
        <v>4.0372078</v>
      </c>
      <c r="G1064" s="3">
        <v>4.2012470999999998</v>
      </c>
      <c r="H1064" s="3">
        <v>4.3320543999999996</v>
      </c>
      <c r="I1064" s="3">
        <v>4.4189106999999996</v>
      </c>
      <c r="J1064" s="3">
        <v>4.4649200000000002</v>
      </c>
      <c r="K1064" s="3">
        <v>4.4783799999999996</v>
      </c>
      <c r="L1064" s="3">
        <v>4.4681297999999998</v>
      </c>
      <c r="M1064" s="3">
        <v>4.4405136000000001</v>
      </c>
      <c r="N1064" s="3">
        <v>4.3997707000000004</v>
      </c>
      <c r="O1064" s="3">
        <v>4.3489269999999998</v>
      </c>
      <c r="P1064" s="3">
        <v>4.2900137000000003</v>
      </c>
      <c r="Q1064" s="3">
        <v>4.2251969000000003</v>
      </c>
      <c r="R1064" s="3">
        <v>4.1562311999999997</v>
      </c>
      <c r="S1064" s="3">
        <v>4.0847348999999999</v>
      </c>
      <c r="T1064" s="3">
        <v>4.0123262000000004</v>
      </c>
      <c r="U1064" s="3">
        <v>3.9406232000000001</v>
      </c>
      <c r="V1064" s="3">
        <v>3.8712442999999999</v>
      </c>
      <c r="W1064" s="3">
        <v>3.8055317</v>
      </c>
      <c r="X1064" s="3">
        <v>3.7437768999999999</v>
      </c>
      <c r="Y1064" s="3">
        <v>3.6860214</v>
      </c>
      <c r="Z1064" s="3">
        <v>3.6323066000000002</v>
      </c>
      <c r="AA1064" s="3">
        <v>3.5826742</v>
      </c>
      <c r="AB1064" s="3">
        <v>3.5371655</v>
      </c>
      <c r="AC1064" s="3">
        <v>3.4957809000000002</v>
      </c>
      <c r="AD1064" s="3">
        <v>3.4582988000000001</v>
      </c>
      <c r="AE1064" s="3">
        <v>3.4244235000000001</v>
      </c>
      <c r="AF1064" s="3">
        <v>3.393859</v>
      </c>
      <c r="AG1064" s="3">
        <v>3.3663093000000002</v>
      </c>
      <c r="AH1064" s="3">
        <v>3.3414785999999999</v>
      </c>
      <c r="AI1064" s="3">
        <v>3.3190710000000001</v>
      </c>
      <c r="AJ1064" s="3">
        <v>3.2987905</v>
      </c>
      <c r="AK1064" s="3">
        <v>3.2803412000000001</v>
      </c>
      <c r="AL1064" s="3">
        <v>3.2634273</v>
      </c>
      <c r="AM1064" s="3">
        <v>3.2477526999999999</v>
      </c>
      <c r="AN1064" s="3">
        <v>3.2330215999999998</v>
      </c>
      <c r="AO1064" s="3">
        <v>3.2189722999999999</v>
      </c>
      <c r="AP1064" s="3">
        <v>3.2055093000000001</v>
      </c>
      <c r="AQ1064" s="3">
        <v>3.1925881</v>
      </c>
      <c r="AR1064" s="3">
        <v>3.180164</v>
      </c>
      <c r="AS1064" s="3">
        <v>3.1681922</v>
      </c>
      <c r="AT1064" s="3">
        <v>3.1566282000000001</v>
      </c>
      <c r="AU1064" s="3">
        <v>3.1454273000000001</v>
      </c>
      <c r="AV1064" s="3">
        <v>3.1345448</v>
      </c>
      <c r="AW1064" s="3">
        <v>3.123936</v>
      </c>
      <c r="AX1064" s="3">
        <v>3.1135563999999998</v>
      </c>
      <c r="AY1064" s="3">
        <v>3.1033612000000002</v>
      </c>
      <c r="AZ1064" s="3">
        <v>3.0933058</v>
      </c>
      <c r="BA1064" s="3">
        <v>3.0833553</v>
      </c>
      <c r="BB1064" s="3">
        <v>3.0735185999999999</v>
      </c>
      <c r="BC1064" s="3">
        <v>3.0638160999999999</v>
      </c>
      <c r="BD1064" s="3">
        <v>3.0542687000000002</v>
      </c>
      <c r="BE1064" s="3">
        <v>3.0448968999999999</v>
      </c>
      <c r="BF1064" s="3">
        <v>3.0357216</v>
      </c>
      <c r="BG1064" s="3">
        <v>3.0267632999999998</v>
      </c>
      <c r="BH1064" s="3">
        <v>3.0180427999999999</v>
      </c>
      <c r="BI1064" s="3">
        <v>3.0095806999999999</v>
      </c>
      <c r="BJ1064" s="3">
        <v>3.0013977999999999</v>
      </c>
      <c r="BK1064" s="3">
        <v>2.9935146000000001</v>
      </c>
      <c r="BL1064" s="3">
        <v>2.9859518999999999</v>
      </c>
      <c r="BM1064" s="3">
        <v>2.9479283000000001</v>
      </c>
      <c r="BN1064" s="3">
        <v>2.9234030999999998</v>
      </c>
    </row>
    <row r="1065" spans="1:66" x14ac:dyDescent="0.35">
      <c r="A1065" s="5">
        <f t="shared" si="16"/>
        <v>44945</v>
      </c>
      <c r="B1065" t="s">
        <v>2463</v>
      </c>
      <c r="C1065" s="2">
        <v>3.5</v>
      </c>
      <c r="D1065" s="2">
        <v>3.4277000000000002</v>
      </c>
      <c r="E1065" s="3">
        <v>3.8970929999999999</v>
      </c>
      <c r="F1065" s="3">
        <v>4.0384165999999997</v>
      </c>
      <c r="G1065" s="3">
        <v>4.1971897</v>
      </c>
      <c r="H1065" s="3">
        <v>4.3282518000000003</v>
      </c>
      <c r="I1065" s="3">
        <v>4.4169422999999997</v>
      </c>
      <c r="J1065" s="3">
        <v>4.4637218000000001</v>
      </c>
      <c r="K1065" s="3">
        <v>4.4766769999999996</v>
      </c>
      <c r="L1065" s="3">
        <v>4.4645308000000004</v>
      </c>
      <c r="M1065" s="3">
        <v>4.4345029</v>
      </c>
      <c r="N1065" s="3">
        <v>4.3916168999999998</v>
      </c>
      <c r="O1065" s="3">
        <v>4.3392312999999998</v>
      </c>
      <c r="P1065" s="3">
        <v>4.2796181000000004</v>
      </c>
      <c r="Q1065" s="3">
        <v>4.2144724</v>
      </c>
      <c r="R1065" s="3">
        <v>4.1453984000000004</v>
      </c>
      <c r="S1065" s="3">
        <v>4.0739992000000003</v>
      </c>
      <c r="T1065" s="3">
        <v>4.0018780999999999</v>
      </c>
      <c r="U1065" s="3">
        <v>3.9306383999999999</v>
      </c>
      <c r="V1065" s="3">
        <v>3.8618831999999998</v>
      </c>
      <c r="W1065" s="3">
        <v>3.7969379999999999</v>
      </c>
      <c r="X1065" s="3">
        <v>3.7360698000000001</v>
      </c>
      <c r="Y1065" s="3">
        <v>3.6792937000000001</v>
      </c>
      <c r="Z1065" s="3">
        <v>3.6266250000000002</v>
      </c>
      <c r="AA1065" s="3">
        <v>3.5780788000000001</v>
      </c>
      <c r="AB1065" s="3">
        <v>3.5336702999999998</v>
      </c>
      <c r="AC1065" s="3">
        <v>3.4933730999999999</v>
      </c>
      <c r="AD1065" s="3">
        <v>3.4569576</v>
      </c>
      <c r="AE1065" s="3">
        <v>3.4241324999999998</v>
      </c>
      <c r="AF1065" s="3">
        <v>3.3946065000000001</v>
      </c>
      <c r="AG1065" s="3">
        <v>3.3680883000000001</v>
      </c>
      <c r="AH1065" s="3">
        <v>3.3442866000000002</v>
      </c>
      <c r="AI1065" s="3">
        <v>3.3229099999999998</v>
      </c>
      <c r="AJ1065" s="3">
        <v>3.3036672</v>
      </c>
      <c r="AK1065" s="3">
        <v>3.2862669000000002</v>
      </c>
      <c r="AL1065" s="3">
        <v>3.2704178000000002</v>
      </c>
      <c r="AM1065" s="3">
        <v>3.2558284999999998</v>
      </c>
      <c r="AN1065" s="3">
        <v>3.2422078000000001</v>
      </c>
      <c r="AO1065" s="3">
        <v>3.229301</v>
      </c>
      <c r="AP1065" s="3">
        <v>3.2170155999999999</v>
      </c>
      <c r="AQ1065" s="3">
        <v>3.2053037</v>
      </c>
      <c r="AR1065" s="3">
        <v>3.1941174000000001</v>
      </c>
      <c r="AS1065" s="3">
        <v>3.1834090000000002</v>
      </c>
      <c r="AT1065" s="3">
        <v>3.1731305000000001</v>
      </c>
      <c r="AU1065" s="3">
        <v>3.1632342000000002</v>
      </c>
      <c r="AV1065" s="3">
        <v>3.1536721000000001</v>
      </c>
      <c r="AW1065" s="3">
        <v>3.1443964000000002</v>
      </c>
      <c r="AX1065" s="3">
        <v>3.1353593000000002</v>
      </c>
      <c r="AY1065" s="3">
        <v>3.1265128999999998</v>
      </c>
      <c r="AZ1065" s="3">
        <v>3.1178094000000001</v>
      </c>
      <c r="BA1065" s="3">
        <v>3.1092107000000002</v>
      </c>
      <c r="BB1065" s="3">
        <v>3.1007221999999999</v>
      </c>
      <c r="BC1065" s="3">
        <v>3.0923612999999999</v>
      </c>
      <c r="BD1065" s="3">
        <v>3.0841454000000001</v>
      </c>
      <c r="BE1065" s="3">
        <v>3.0760917000000001</v>
      </c>
      <c r="BF1065" s="3">
        <v>3.0682176999999999</v>
      </c>
      <c r="BG1065" s="3">
        <v>3.0605405999999999</v>
      </c>
      <c r="BH1065" s="3">
        <v>3.0530780000000002</v>
      </c>
      <c r="BI1065" s="3">
        <v>3.0458470000000002</v>
      </c>
      <c r="BJ1065" s="3">
        <v>3.0388649999999999</v>
      </c>
      <c r="BK1065" s="3">
        <v>3.0321495000000001</v>
      </c>
      <c r="BL1065" s="3">
        <v>3.0257177</v>
      </c>
      <c r="BM1065" s="3">
        <v>2.9935996999999999</v>
      </c>
      <c r="BN1065" s="3">
        <v>2.9732905999999999</v>
      </c>
    </row>
    <row r="1066" spans="1:66" x14ac:dyDescent="0.35">
      <c r="A1066" s="5">
        <f t="shared" si="16"/>
        <v>44946</v>
      </c>
      <c r="B1066" t="s">
        <v>2464</v>
      </c>
      <c r="C1066" s="2">
        <v>3.5</v>
      </c>
      <c r="D1066" s="2">
        <v>3.4277000000000002</v>
      </c>
      <c r="E1066" s="3">
        <v>3.8964981000000001</v>
      </c>
      <c r="F1066" s="3">
        <v>4.0457063</v>
      </c>
      <c r="G1066" s="3">
        <v>4.2053596999999998</v>
      </c>
      <c r="H1066" s="3">
        <v>4.3312311000000001</v>
      </c>
      <c r="I1066" s="3">
        <v>4.4118348000000003</v>
      </c>
      <c r="J1066" s="3">
        <v>4.4515798999999996</v>
      </c>
      <c r="K1066" s="3">
        <v>4.4596993999999999</v>
      </c>
      <c r="L1066" s="3">
        <v>4.4446911</v>
      </c>
      <c r="M1066" s="3">
        <v>4.4128731999999999</v>
      </c>
      <c r="N1066" s="3">
        <v>4.3686235</v>
      </c>
      <c r="O1066" s="3">
        <v>4.3147915000000001</v>
      </c>
      <c r="P1066" s="3">
        <v>4.2535461999999997</v>
      </c>
      <c r="Q1066" s="3">
        <v>4.1861987000000003</v>
      </c>
      <c r="R1066" s="3">
        <v>4.1144686999999998</v>
      </c>
      <c r="S1066" s="3">
        <v>4.0402686000000001</v>
      </c>
      <c r="T1066" s="3">
        <v>3.9655108000000001</v>
      </c>
      <c r="U1066" s="3">
        <v>3.8921076000000001</v>
      </c>
      <c r="V1066" s="3">
        <v>3.8219713999999998</v>
      </c>
      <c r="W1066" s="3">
        <v>3.7567287</v>
      </c>
      <c r="X1066" s="3">
        <v>3.6966796</v>
      </c>
      <c r="Y1066" s="3">
        <v>3.64174</v>
      </c>
      <c r="Z1066" s="3">
        <v>3.5918256</v>
      </c>
      <c r="AA1066" s="3">
        <v>3.5468522999999998</v>
      </c>
      <c r="AB1066" s="3">
        <v>3.5067360000000001</v>
      </c>
      <c r="AC1066" s="3">
        <v>3.4713484000000001</v>
      </c>
      <c r="AD1066" s="3">
        <v>3.4403668999999999</v>
      </c>
      <c r="AE1066" s="3">
        <v>3.4134156</v>
      </c>
      <c r="AF1066" s="3">
        <v>3.3901184</v>
      </c>
      <c r="AG1066" s="3">
        <v>3.3700991</v>
      </c>
      <c r="AH1066" s="3">
        <v>3.3529816000000001</v>
      </c>
      <c r="AI1066" s="3">
        <v>3.3383897999999999</v>
      </c>
      <c r="AJ1066" s="3">
        <v>3.3259477</v>
      </c>
      <c r="AK1066" s="3">
        <v>3.3152791000000001</v>
      </c>
      <c r="AL1066" s="3">
        <v>3.3060079999999998</v>
      </c>
      <c r="AM1066" s="3">
        <v>3.2977582000000001</v>
      </c>
      <c r="AN1066" s="3">
        <v>3.2901536999999998</v>
      </c>
      <c r="AO1066" s="3">
        <v>3.2828694999999999</v>
      </c>
      <c r="AP1066" s="3">
        <v>3.2758067</v>
      </c>
      <c r="AQ1066" s="3">
        <v>3.2689284999999999</v>
      </c>
      <c r="AR1066" s="3">
        <v>3.2621981999999998</v>
      </c>
      <c r="AS1066" s="3">
        <v>3.2555792000000001</v>
      </c>
      <c r="AT1066" s="3">
        <v>3.2490348999999998</v>
      </c>
      <c r="AU1066" s="3">
        <v>3.2425285000000001</v>
      </c>
      <c r="AV1066" s="3">
        <v>3.2360232999999998</v>
      </c>
      <c r="AW1066" s="3">
        <v>3.2294827000000002</v>
      </c>
      <c r="AX1066" s="3">
        <v>3.2228699999999999</v>
      </c>
      <c r="AY1066" s="3">
        <v>3.2161485000000001</v>
      </c>
      <c r="AZ1066" s="3">
        <v>3.2092816000000002</v>
      </c>
      <c r="BA1066" s="3">
        <v>3.2022431</v>
      </c>
      <c r="BB1066" s="3">
        <v>3.1950538000000002</v>
      </c>
      <c r="BC1066" s="3">
        <v>3.1877469999999999</v>
      </c>
      <c r="BD1066" s="3">
        <v>3.1803564999999998</v>
      </c>
      <c r="BE1066" s="3">
        <v>3.1729156000000001</v>
      </c>
      <c r="BF1066" s="3">
        <v>3.1654580000000001</v>
      </c>
      <c r="BG1066" s="3">
        <v>3.1580173</v>
      </c>
      <c r="BH1066" s="3">
        <v>3.1506267999999999</v>
      </c>
      <c r="BI1066" s="3">
        <v>3.1433201999999998</v>
      </c>
      <c r="BJ1066" s="3">
        <v>3.1361311000000001</v>
      </c>
      <c r="BK1066" s="3">
        <v>3.1290928999999998</v>
      </c>
      <c r="BL1066" s="3">
        <v>3.1222392000000001</v>
      </c>
      <c r="BM1066" s="3">
        <v>3.0861379000000002</v>
      </c>
      <c r="BN1066" s="3">
        <v>3.0606909</v>
      </c>
    </row>
    <row r="1067" spans="1:66" x14ac:dyDescent="0.35">
      <c r="A1067" s="5">
        <f t="shared" si="16"/>
        <v>44949</v>
      </c>
      <c r="B1067" t="s">
        <v>2465</v>
      </c>
      <c r="C1067" s="2">
        <v>3.5</v>
      </c>
      <c r="D1067" s="2">
        <v>3.4277000000000002</v>
      </c>
      <c r="E1067" s="3">
        <v>3.8913340999999999</v>
      </c>
      <c r="F1067" s="3">
        <v>4.0537701000000004</v>
      </c>
      <c r="G1067" s="3">
        <v>4.2203315999999997</v>
      </c>
      <c r="H1067" s="3">
        <v>4.3477959000000004</v>
      </c>
      <c r="I1067" s="3">
        <v>4.4292562000000002</v>
      </c>
      <c r="J1067" s="3">
        <v>4.4685734999999998</v>
      </c>
      <c r="K1067" s="3">
        <v>4.4739298999999999</v>
      </c>
      <c r="L1067" s="3">
        <v>4.4534995000000004</v>
      </c>
      <c r="M1067" s="3">
        <v>4.4136664000000003</v>
      </c>
      <c r="N1067" s="3">
        <v>4.3602454000000002</v>
      </c>
      <c r="O1067" s="3">
        <v>4.2972891000000004</v>
      </c>
      <c r="P1067" s="3">
        <v>4.2283518000000004</v>
      </c>
      <c r="Q1067" s="3">
        <v>4.1567670999999997</v>
      </c>
      <c r="R1067" s="3">
        <v>4.0842343000000003</v>
      </c>
      <c r="S1067" s="3">
        <v>4.0120237000000003</v>
      </c>
      <c r="T1067" s="3">
        <v>3.9414052000000002</v>
      </c>
      <c r="U1067" s="3">
        <v>3.8736492</v>
      </c>
      <c r="V1067" s="3">
        <v>3.8100258</v>
      </c>
      <c r="W1067" s="3">
        <v>3.7515318</v>
      </c>
      <c r="X1067" s="3">
        <v>3.6981237</v>
      </c>
      <c r="Y1067" s="3">
        <v>3.6495101999999999</v>
      </c>
      <c r="Z1067" s="3">
        <v>3.6053999999999999</v>
      </c>
      <c r="AA1067" s="3">
        <v>3.5655020999999998</v>
      </c>
      <c r="AB1067" s="3">
        <v>3.5295250999999999</v>
      </c>
      <c r="AC1067" s="3">
        <v>3.4971796999999998</v>
      </c>
      <c r="AD1067" s="3">
        <v>3.4681839999999999</v>
      </c>
      <c r="AE1067" s="3">
        <v>3.4422584999999999</v>
      </c>
      <c r="AF1067" s="3">
        <v>3.4191237999999999</v>
      </c>
      <c r="AG1067" s="3">
        <v>3.3985002999999998</v>
      </c>
      <c r="AH1067" s="3">
        <v>3.3801082999999998</v>
      </c>
      <c r="AI1067" s="3">
        <v>3.3636683999999999</v>
      </c>
      <c r="AJ1067" s="3">
        <v>3.3489011</v>
      </c>
      <c r="AK1067" s="3">
        <v>3.3355267</v>
      </c>
      <c r="AL1067" s="3">
        <v>3.3232656999999999</v>
      </c>
      <c r="AM1067" s="3">
        <v>3.3118386000000002</v>
      </c>
      <c r="AN1067" s="3">
        <v>3.3009659</v>
      </c>
      <c r="AO1067" s="3">
        <v>3.2904068999999998</v>
      </c>
      <c r="AP1067" s="3">
        <v>3.2800935999999998</v>
      </c>
      <c r="AQ1067" s="3">
        <v>3.2700052999999998</v>
      </c>
      <c r="AR1067" s="3">
        <v>3.2601214000000001</v>
      </c>
      <c r="AS1067" s="3">
        <v>3.2504213000000002</v>
      </c>
      <c r="AT1067" s="3">
        <v>3.2408842999999998</v>
      </c>
      <c r="AU1067" s="3">
        <v>3.2314897999999999</v>
      </c>
      <c r="AV1067" s="3">
        <v>3.2222170999999999</v>
      </c>
      <c r="AW1067" s="3">
        <v>3.2130458000000002</v>
      </c>
      <c r="AX1067" s="3">
        <v>3.2039550000000001</v>
      </c>
      <c r="AY1067" s="3">
        <v>3.1949242999999998</v>
      </c>
      <c r="AZ1067" s="3">
        <v>3.1859329000000001</v>
      </c>
      <c r="BA1067" s="3">
        <v>3.1769661999999999</v>
      </c>
      <c r="BB1067" s="3">
        <v>3.1680413000000001</v>
      </c>
      <c r="BC1067" s="3">
        <v>3.1591860999999999</v>
      </c>
      <c r="BD1067" s="3">
        <v>3.1504283000000002</v>
      </c>
      <c r="BE1067" s="3">
        <v>3.1417959999999998</v>
      </c>
      <c r="BF1067" s="3">
        <v>3.1333167999999998</v>
      </c>
      <c r="BG1067" s="3">
        <v>3.1250187999999999</v>
      </c>
      <c r="BH1067" s="3">
        <v>3.1169296000000002</v>
      </c>
      <c r="BI1067" s="3">
        <v>3.1090772000000002</v>
      </c>
      <c r="BJ1067" s="3">
        <v>3.1014894000000002</v>
      </c>
      <c r="BK1067" s="3">
        <v>3.0941941000000002</v>
      </c>
      <c r="BL1067" s="3">
        <v>3.0872190000000002</v>
      </c>
      <c r="BM1067" s="3">
        <v>3.0529185000000001</v>
      </c>
      <c r="BN1067" s="3">
        <v>3.0326498000000002</v>
      </c>
    </row>
    <row r="1068" spans="1:66" x14ac:dyDescent="0.35">
      <c r="A1068" s="5">
        <f t="shared" si="16"/>
        <v>44950</v>
      </c>
      <c r="B1068" t="s">
        <v>2466</v>
      </c>
      <c r="C1068" s="2">
        <v>3.5</v>
      </c>
      <c r="D1068" s="2">
        <v>3.4281000000000001</v>
      </c>
      <c r="E1068" s="3">
        <v>3.8832217</v>
      </c>
      <c r="F1068" s="3">
        <v>4.0379773999999999</v>
      </c>
      <c r="G1068" s="3">
        <v>4.1937648000000003</v>
      </c>
      <c r="H1068" s="3">
        <v>4.3133792</v>
      </c>
      <c r="I1068" s="3">
        <v>4.3901056000000001</v>
      </c>
      <c r="J1068" s="3">
        <v>4.4281531999999997</v>
      </c>
      <c r="K1068" s="3">
        <v>4.4331031000000003</v>
      </c>
      <c r="L1068" s="3">
        <v>4.4123741000000001</v>
      </c>
      <c r="M1068" s="3">
        <v>4.3719371999999996</v>
      </c>
      <c r="N1068" s="3">
        <v>4.3172626000000003</v>
      </c>
      <c r="O1068" s="3">
        <v>4.2522758999999999</v>
      </c>
      <c r="P1068" s="3">
        <v>4.1803933999999998</v>
      </c>
      <c r="Q1068" s="3">
        <v>4.1049331000000002</v>
      </c>
      <c r="R1068" s="3">
        <v>4.0278181000000002</v>
      </c>
      <c r="S1068" s="3">
        <v>3.9505968999999999</v>
      </c>
      <c r="T1068" s="3">
        <v>3.8748181000000002</v>
      </c>
      <c r="U1068" s="3">
        <v>3.8020301999999999</v>
      </c>
      <c r="V1068" s="3">
        <v>3.7337817000000002</v>
      </c>
      <c r="W1068" s="3">
        <v>3.6712900999999998</v>
      </c>
      <c r="X1068" s="3">
        <v>3.6145127000000001</v>
      </c>
      <c r="Y1068" s="3">
        <v>3.563107</v>
      </c>
      <c r="Z1068" s="3">
        <v>3.5167302</v>
      </c>
      <c r="AA1068" s="3">
        <v>3.4750397999999998</v>
      </c>
      <c r="AB1068" s="3">
        <v>3.4376931000000002</v>
      </c>
      <c r="AC1068" s="3">
        <v>3.4043534000000002</v>
      </c>
      <c r="AD1068" s="3">
        <v>3.3747093000000001</v>
      </c>
      <c r="AE1068" s="3">
        <v>3.3484566</v>
      </c>
      <c r="AF1068" s="3">
        <v>3.3252912000000001</v>
      </c>
      <c r="AG1068" s="3">
        <v>3.3049088000000002</v>
      </c>
      <c r="AH1068" s="3">
        <v>3.2870051</v>
      </c>
      <c r="AI1068" s="3">
        <v>3.2712759999999999</v>
      </c>
      <c r="AJ1068" s="3">
        <v>3.2574173000000002</v>
      </c>
      <c r="AK1068" s="3">
        <v>3.2451246999999999</v>
      </c>
      <c r="AL1068" s="3">
        <v>3.2340939999999998</v>
      </c>
      <c r="AM1068" s="3">
        <v>3.2240209000000002</v>
      </c>
      <c r="AN1068" s="3">
        <v>3.2146013999999998</v>
      </c>
      <c r="AO1068" s="3">
        <v>3.2055649000000002</v>
      </c>
      <c r="AP1068" s="3">
        <v>3.1968228999999999</v>
      </c>
      <c r="AQ1068" s="3">
        <v>3.188348</v>
      </c>
      <c r="AR1068" s="3">
        <v>3.1801127999999999</v>
      </c>
      <c r="AS1068" s="3">
        <v>3.1720898000000002</v>
      </c>
      <c r="AT1068" s="3">
        <v>3.1642515000000002</v>
      </c>
      <c r="AU1068" s="3">
        <v>3.1565705999999998</v>
      </c>
      <c r="AV1068" s="3">
        <v>3.1490195999999999</v>
      </c>
      <c r="AW1068" s="3">
        <v>3.1415709999999999</v>
      </c>
      <c r="AX1068" s="3">
        <v>3.1341975</v>
      </c>
      <c r="AY1068" s="3">
        <v>3.1268715</v>
      </c>
      <c r="AZ1068" s="3">
        <v>3.1195656999999999</v>
      </c>
      <c r="BA1068" s="3">
        <v>3.1122594000000001</v>
      </c>
      <c r="BB1068" s="3">
        <v>3.1049652000000001</v>
      </c>
      <c r="BC1068" s="3">
        <v>3.0977058999999998</v>
      </c>
      <c r="BD1068" s="3">
        <v>3.0905041</v>
      </c>
      <c r="BE1068" s="3">
        <v>3.0833826000000002</v>
      </c>
      <c r="BF1068" s="3">
        <v>3.0763639999999999</v>
      </c>
      <c r="BG1068" s="3">
        <v>3.0694712000000002</v>
      </c>
      <c r="BH1068" s="3">
        <v>3.0627266999999998</v>
      </c>
      <c r="BI1068" s="3">
        <v>3.0561533999999999</v>
      </c>
      <c r="BJ1068" s="3">
        <v>3.0497738999999999</v>
      </c>
      <c r="BK1068" s="3">
        <v>3.0436109999999998</v>
      </c>
      <c r="BL1068" s="3">
        <v>3.0376873</v>
      </c>
      <c r="BM1068" s="3">
        <v>3.0079170999999998</v>
      </c>
      <c r="BN1068" s="3">
        <v>2.9893017</v>
      </c>
    </row>
    <row r="1069" spans="1:66" x14ac:dyDescent="0.35">
      <c r="A1069" s="5">
        <f t="shared" si="16"/>
        <v>44951</v>
      </c>
      <c r="B1069" t="s">
        <v>2467</v>
      </c>
      <c r="C1069" s="2">
        <v>3.5</v>
      </c>
      <c r="D1069" s="2">
        <v>3.4279000000000002</v>
      </c>
      <c r="E1069" s="3">
        <v>3.8884623</v>
      </c>
      <c r="F1069" s="3">
        <v>4.0375541999999998</v>
      </c>
      <c r="G1069" s="3">
        <v>4.1824234999999996</v>
      </c>
      <c r="H1069" s="3">
        <v>4.2901924999999999</v>
      </c>
      <c r="I1069" s="3">
        <v>4.3539618000000004</v>
      </c>
      <c r="J1069" s="3">
        <v>4.3778585999999997</v>
      </c>
      <c r="K1069" s="3">
        <v>4.3695439</v>
      </c>
      <c r="L1069" s="3">
        <v>4.3374569999999997</v>
      </c>
      <c r="M1069" s="3">
        <v>4.2883797000000001</v>
      </c>
      <c r="N1069" s="3">
        <v>4.2274485000000004</v>
      </c>
      <c r="O1069" s="3">
        <v>4.1585003</v>
      </c>
      <c r="P1069" s="3">
        <v>4.0842596000000002</v>
      </c>
      <c r="Q1069" s="3">
        <v>4.0075130000000003</v>
      </c>
      <c r="R1069" s="3">
        <v>3.9299734000000002</v>
      </c>
      <c r="S1069" s="3">
        <v>3.8530351</v>
      </c>
      <c r="T1069" s="3">
        <v>3.7780920999999998</v>
      </c>
      <c r="U1069" s="3">
        <v>3.7065386999999999</v>
      </c>
      <c r="V1069" s="3">
        <v>3.6397688000000001</v>
      </c>
      <c r="W1069" s="3">
        <v>3.5788722000000002</v>
      </c>
      <c r="X1069" s="3">
        <v>3.5237786</v>
      </c>
      <c r="Y1069" s="3">
        <v>3.4741420000000001</v>
      </c>
      <c r="Z1069" s="3">
        <v>3.4296161999999999</v>
      </c>
      <c r="AA1069" s="3">
        <v>3.3898551000000001</v>
      </c>
      <c r="AB1069" s="3">
        <v>3.3545126000000001</v>
      </c>
      <c r="AC1069" s="3">
        <v>3.3232458999999999</v>
      </c>
      <c r="AD1069" s="3">
        <v>3.2957299999999998</v>
      </c>
      <c r="AE1069" s="3">
        <v>3.2716455</v>
      </c>
      <c r="AF1069" s="3">
        <v>3.2506735</v>
      </c>
      <c r="AG1069" s="3">
        <v>3.2324947000000002</v>
      </c>
      <c r="AH1069" s="3">
        <v>3.21679</v>
      </c>
      <c r="AI1069" s="3">
        <v>3.2032400999999999</v>
      </c>
      <c r="AJ1069" s="3">
        <v>3.1915260999999999</v>
      </c>
      <c r="AK1069" s="3">
        <v>3.1813286999999999</v>
      </c>
      <c r="AL1069" s="3">
        <v>3.1723287</v>
      </c>
      <c r="AM1069" s="3">
        <v>3.1642070000000002</v>
      </c>
      <c r="AN1069" s="3">
        <v>3.1566445000000001</v>
      </c>
      <c r="AO1069" s="3">
        <v>3.1493623999999998</v>
      </c>
      <c r="AP1069" s="3">
        <v>3.1422783000000001</v>
      </c>
      <c r="AQ1069" s="3">
        <v>3.13537</v>
      </c>
      <c r="AR1069" s="3">
        <v>3.1286151000000002</v>
      </c>
      <c r="AS1069" s="3">
        <v>3.1219912000000001</v>
      </c>
      <c r="AT1069" s="3">
        <v>3.1154760000000001</v>
      </c>
      <c r="AU1069" s="3">
        <v>3.1090471000000002</v>
      </c>
      <c r="AV1069" s="3">
        <v>3.1026821</v>
      </c>
      <c r="AW1069" s="3">
        <v>3.0963587000000001</v>
      </c>
      <c r="AX1069" s="3">
        <v>3.0900544999999999</v>
      </c>
      <c r="AY1069" s="3">
        <v>3.0837471999999999</v>
      </c>
      <c r="AZ1069" s="3">
        <v>3.0774143</v>
      </c>
      <c r="BA1069" s="3">
        <v>3.0710405999999999</v>
      </c>
      <c r="BB1069" s="3">
        <v>3.0646414000000002</v>
      </c>
      <c r="BC1069" s="3">
        <v>3.0582410000000002</v>
      </c>
      <c r="BD1069" s="3">
        <v>3.0518633999999998</v>
      </c>
      <c r="BE1069" s="3">
        <v>3.0455325000000002</v>
      </c>
      <c r="BF1069" s="3">
        <v>3.0392725</v>
      </c>
      <c r="BG1069" s="3">
        <v>3.0331074</v>
      </c>
      <c r="BH1069" s="3">
        <v>3.0270613000000002</v>
      </c>
      <c r="BI1069" s="3">
        <v>3.0211581999999999</v>
      </c>
      <c r="BJ1069" s="3">
        <v>3.0154222000000002</v>
      </c>
      <c r="BK1069" s="3">
        <v>3.0098774000000001</v>
      </c>
      <c r="BL1069" s="3">
        <v>3.0045476999999998</v>
      </c>
      <c r="BM1069" s="3">
        <v>2.977827</v>
      </c>
      <c r="BN1069" s="3">
        <v>2.9612232000000001</v>
      </c>
    </row>
    <row r="1070" spans="1:66" x14ac:dyDescent="0.35">
      <c r="A1070" s="5">
        <f t="shared" si="16"/>
        <v>44952</v>
      </c>
      <c r="B1070" t="s">
        <v>2468</v>
      </c>
      <c r="C1070" s="2">
        <v>3.5</v>
      </c>
      <c r="D1070" s="2">
        <v>3.4278</v>
      </c>
      <c r="E1070" s="3">
        <v>3.8951970999999999</v>
      </c>
      <c r="F1070" s="3">
        <v>4.0462787999999996</v>
      </c>
      <c r="G1070" s="3">
        <v>4.1894362000000003</v>
      </c>
      <c r="H1070" s="3">
        <v>4.293666</v>
      </c>
      <c r="I1070" s="3">
        <v>4.3550082000000003</v>
      </c>
      <c r="J1070" s="3">
        <v>4.3788878999999996</v>
      </c>
      <c r="K1070" s="3">
        <v>4.3738025</v>
      </c>
      <c r="L1070" s="3">
        <v>4.3471617</v>
      </c>
      <c r="M1070" s="3">
        <v>4.3048200000000003</v>
      </c>
      <c r="N1070" s="3">
        <v>4.2511619999999999</v>
      </c>
      <c r="O1070" s="3">
        <v>4.1894353000000004</v>
      </c>
      <c r="P1070" s="3">
        <v>4.1220695999999997</v>
      </c>
      <c r="Q1070" s="3">
        <v>4.0512471999999997</v>
      </c>
      <c r="R1070" s="3">
        <v>3.9785770999999999</v>
      </c>
      <c r="S1070" s="3">
        <v>3.9055195</v>
      </c>
      <c r="T1070" s="3">
        <v>3.8335347999999998</v>
      </c>
      <c r="U1070" s="3">
        <v>3.7640832999999998</v>
      </c>
      <c r="V1070" s="3">
        <v>3.6986251999999999</v>
      </c>
      <c r="W1070" s="3">
        <v>3.6383326</v>
      </c>
      <c r="X1070" s="3">
        <v>3.5832803000000002</v>
      </c>
      <c r="Y1070" s="3">
        <v>3.5332818000000001</v>
      </c>
      <c r="Z1070" s="3">
        <v>3.4881506999999998</v>
      </c>
      <c r="AA1070" s="3">
        <v>3.4477004999999998</v>
      </c>
      <c r="AB1070" s="3">
        <v>3.4117448000000001</v>
      </c>
      <c r="AC1070" s="3">
        <v>3.3800762</v>
      </c>
      <c r="AD1070" s="3">
        <v>3.3523852000000001</v>
      </c>
      <c r="AE1070" s="3">
        <v>3.3283311000000002</v>
      </c>
      <c r="AF1070" s="3">
        <v>3.3075732000000002</v>
      </c>
      <c r="AG1070" s="3">
        <v>3.2897709000000002</v>
      </c>
      <c r="AH1070" s="3">
        <v>3.2745836000000001</v>
      </c>
      <c r="AI1070" s="3">
        <v>3.2616706</v>
      </c>
      <c r="AJ1070" s="3">
        <v>3.2506911999999999</v>
      </c>
      <c r="AK1070" s="3">
        <v>3.2413048999999998</v>
      </c>
      <c r="AL1070" s="3">
        <v>3.2331709000000002</v>
      </c>
      <c r="AM1070" s="3">
        <v>3.2259484999999999</v>
      </c>
      <c r="AN1070" s="3">
        <v>3.2192973</v>
      </c>
      <c r="AO1070" s="3">
        <v>3.2129234000000002</v>
      </c>
      <c r="AP1070" s="3">
        <v>3.2067404000000002</v>
      </c>
      <c r="AQ1070" s="3">
        <v>3.2007192</v>
      </c>
      <c r="AR1070" s="3">
        <v>3.1948306</v>
      </c>
      <c r="AS1070" s="3">
        <v>3.1890453999999999</v>
      </c>
      <c r="AT1070" s="3">
        <v>3.1833344000000001</v>
      </c>
      <c r="AU1070" s="3">
        <v>3.1776683999999999</v>
      </c>
      <c r="AV1070" s="3">
        <v>3.1720180999999998</v>
      </c>
      <c r="AW1070" s="3">
        <v>3.1663545000000002</v>
      </c>
      <c r="AX1070" s="3">
        <v>3.1606483000000001</v>
      </c>
      <c r="AY1070" s="3">
        <v>3.1548702999999998</v>
      </c>
      <c r="AZ1070" s="3">
        <v>3.1489913999999999</v>
      </c>
      <c r="BA1070" s="3">
        <v>3.1429903000000001</v>
      </c>
      <c r="BB1070" s="3">
        <v>3.1368809999999998</v>
      </c>
      <c r="BC1070" s="3">
        <v>3.1306873</v>
      </c>
      <c r="BD1070" s="3">
        <v>3.1244329999999998</v>
      </c>
      <c r="BE1070" s="3">
        <v>3.1181416999999998</v>
      </c>
      <c r="BF1070" s="3">
        <v>3.1118372000000001</v>
      </c>
      <c r="BG1070" s="3">
        <v>3.1055432999999999</v>
      </c>
      <c r="BH1070" s="3">
        <v>3.0992837999999998</v>
      </c>
      <c r="BI1070" s="3">
        <v>3.0930822</v>
      </c>
      <c r="BJ1070" s="3">
        <v>3.0869624999999998</v>
      </c>
      <c r="BK1070" s="3">
        <v>3.0809484</v>
      </c>
      <c r="BL1070" s="3">
        <v>3.0750635000000002</v>
      </c>
      <c r="BM1070" s="3">
        <v>3.0433802000000001</v>
      </c>
      <c r="BN1070" s="3">
        <v>3.0197927</v>
      </c>
    </row>
    <row r="1071" spans="1:66" x14ac:dyDescent="0.35">
      <c r="A1071" s="5">
        <f t="shared" si="16"/>
        <v>44953</v>
      </c>
      <c r="B1071" t="s">
        <v>2469</v>
      </c>
      <c r="C1071" s="2">
        <v>3.5</v>
      </c>
      <c r="D1071" s="2">
        <v>3.4278</v>
      </c>
      <c r="E1071" s="3">
        <v>3.8979032999999998</v>
      </c>
      <c r="F1071" s="3">
        <v>4.0545366999999999</v>
      </c>
      <c r="G1071" s="3">
        <v>4.2025024999999996</v>
      </c>
      <c r="H1071" s="3">
        <v>4.3108712999999996</v>
      </c>
      <c r="I1071" s="3">
        <v>4.3743869000000002</v>
      </c>
      <c r="J1071" s="3">
        <v>4.3996712999999996</v>
      </c>
      <c r="K1071" s="3">
        <v>4.3952033000000004</v>
      </c>
      <c r="L1071" s="3">
        <v>4.3688219000000004</v>
      </c>
      <c r="M1071" s="3">
        <v>4.3268534000000001</v>
      </c>
      <c r="N1071" s="3">
        <v>4.2740327999999996</v>
      </c>
      <c r="O1071" s="3">
        <v>4.2136718999999996</v>
      </c>
      <c r="P1071" s="3">
        <v>4.1482315999999999</v>
      </c>
      <c r="Q1071" s="3">
        <v>4.0795101000000003</v>
      </c>
      <c r="R1071" s="3">
        <v>4.0089937000000004</v>
      </c>
      <c r="S1071" s="3">
        <v>3.9381099000000002</v>
      </c>
      <c r="T1071" s="3">
        <v>3.8682864000000001</v>
      </c>
      <c r="U1071" s="3">
        <v>3.8009507</v>
      </c>
      <c r="V1071" s="3">
        <v>3.7375305000000001</v>
      </c>
      <c r="W1071" s="3">
        <v>3.6792113</v>
      </c>
      <c r="X1071" s="3">
        <v>3.6260560000000002</v>
      </c>
      <c r="Y1071" s="3">
        <v>3.5778021</v>
      </c>
      <c r="Z1071" s="3">
        <v>3.5341871</v>
      </c>
      <c r="AA1071" s="3">
        <v>3.4949484000000002</v>
      </c>
      <c r="AB1071" s="3">
        <v>3.4598236</v>
      </c>
      <c r="AC1071" s="3">
        <v>3.4285450000000002</v>
      </c>
      <c r="AD1071" s="3">
        <v>3.4008231000000002</v>
      </c>
      <c r="AE1071" s="3">
        <v>3.3763618000000002</v>
      </c>
      <c r="AF1071" s="3">
        <v>3.3548656000000001</v>
      </c>
      <c r="AG1071" s="3">
        <v>3.3360384999999999</v>
      </c>
      <c r="AH1071" s="3">
        <v>3.3195847000000001</v>
      </c>
      <c r="AI1071" s="3">
        <v>3.3052084000000002</v>
      </c>
      <c r="AJ1071" s="3">
        <v>3.2926137999999998</v>
      </c>
      <c r="AK1071" s="3">
        <v>3.2815051</v>
      </c>
      <c r="AL1071" s="3">
        <v>3.2715863999999999</v>
      </c>
      <c r="AM1071" s="3">
        <v>3.2625620999999998</v>
      </c>
      <c r="AN1071" s="3">
        <v>3.2541361000000002</v>
      </c>
      <c r="AO1071" s="3">
        <v>3.2460534000000001</v>
      </c>
      <c r="AP1071" s="3">
        <v>3.2382374999999999</v>
      </c>
      <c r="AQ1071" s="3">
        <v>3.2306617000000002</v>
      </c>
      <c r="AR1071" s="3">
        <v>3.2232991000000002</v>
      </c>
      <c r="AS1071" s="3">
        <v>3.2161228999999998</v>
      </c>
      <c r="AT1071" s="3">
        <v>3.2091059999999998</v>
      </c>
      <c r="AU1071" s="3">
        <v>3.2022217999999998</v>
      </c>
      <c r="AV1071" s="3">
        <v>3.1954433</v>
      </c>
      <c r="AW1071" s="3">
        <v>3.1887436999999998</v>
      </c>
      <c r="AX1071" s="3">
        <v>3.1820960999999999</v>
      </c>
      <c r="AY1071" s="3">
        <v>3.1754736000000001</v>
      </c>
      <c r="AZ1071" s="3">
        <v>3.1688494</v>
      </c>
      <c r="BA1071" s="3">
        <v>3.1622037000000001</v>
      </c>
      <c r="BB1071" s="3">
        <v>3.1555485000000001</v>
      </c>
      <c r="BC1071" s="3">
        <v>3.1489042</v>
      </c>
      <c r="BD1071" s="3">
        <v>3.1422914</v>
      </c>
      <c r="BE1071" s="3">
        <v>3.1357308000000002</v>
      </c>
      <c r="BF1071" s="3">
        <v>3.1292428000000001</v>
      </c>
      <c r="BG1071" s="3">
        <v>3.1228479999999998</v>
      </c>
      <c r="BH1071" s="3">
        <v>3.1165669999999999</v>
      </c>
      <c r="BI1071" s="3">
        <v>3.1104204000000002</v>
      </c>
      <c r="BJ1071" s="3">
        <v>3.1044287000000002</v>
      </c>
      <c r="BK1071" s="3">
        <v>3.0986123999999999</v>
      </c>
      <c r="BL1071" s="3">
        <v>3.0929921</v>
      </c>
      <c r="BM1071" s="3">
        <v>3.0641357</v>
      </c>
      <c r="BN1071" s="3">
        <v>3.0450726000000001</v>
      </c>
    </row>
    <row r="1072" spans="1:66" x14ac:dyDescent="0.35">
      <c r="A1072" s="5">
        <f t="shared" si="16"/>
        <v>44956</v>
      </c>
      <c r="B1072" t="s">
        <v>2470</v>
      </c>
      <c r="C1072" s="2">
        <v>3.5</v>
      </c>
      <c r="D1072" s="2">
        <v>3.4281000000000001</v>
      </c>
      <c r="E1072" s="3">
        <v>3.9072355999999999</v>
      </c>
      <c r="F1072" s="3">
        <v>4.0719209999999997</v>
      </c>
      <c r="G1072" s="3">
        <v>4.2227877999999999</v>
      </c>
      <c r="H1072" s="3">
        <v>4.3311773999999996</v>
      </c>
      <c r="I1072" s="3">
        <v>4.3931956999999997</v>
      </c>
      <c r="J1072" s="3">
        <v>4.4156943000000002</v>
      </c>
      <c r="K1072" s="3">
        <v>4.4088799999999999</v>
      </c>
      <c r="L1072" s="3">
        <v>4.3812812000000001</v>
      </c>
      <c r="M1072" s="3">
        <v>4.3387203000000003</v>
      </c>
      <c r="N1072" s="3">
        <v>4.2860196999999998</v>
      </c>
      <c r="O1072" s="3">
        <v>4.2264857999999998</v>
      </c>
      <c r="P1072" s="3">
        <v>4.1627422999999997</v>
      </c>
      <c r="Q1072" s="3">
        <v>4.0971279999999997</v>
      </c>
      <c r="R1072" s="3">
        <v>4.0309460000000001</v>
      </c>
      <c r="S1072" s="3">
        <v>3.9652352999999998</v>
      </c>
      <c r="T1072" s="3">
        <v>3.9010343999999999</v>
      </c>
      <c r="U1072" s="3">
        <v>3.8393823</v>
      </c>
      <c r="V1072" s="3">
        <v>3.7813176999999998</v>
      </c>
      <c r="W1072" s="3">
        <v>3.7276563</v>
      </c>
      <c r="X1072" s="3">
        <v>3.6783641999999999</v>
      </c>
      <c r="Y1072" s="3">
        <v>3.6332053000000002</v>
      </c>
      <c r="Z1072" s="3">
        <v>3.5919436999999999</v>
      </c>
      <c r="AA1072" s="3">
        <v>3.5543431999999999</v>
      </c>
      <c r="AB1072" s="3">
        <v>3.5201679000000001</v>
      </c>
      <c r="AC1072" s="3">
        <v>3.4891812</v>
      </c>
      <c r="AD1072" s="3">
        <v>3.4611445000000001</v>
      </c>
      <c r="AE1072" s="3">
        <v>3.4358186000000002</v>
      </c>
      <c r="AF1072" s="3">
        <v>3.4129643000000001</v>
      </c>
      <c r="AG1072" s="3">
        <v>3.3923423000000001</v>
      </c>
      <c r="AH1072" s="3">
        <v>3.3737134000000002</v>
      </c>
      <c r="AI1072" s="3">
        <v>3.3568384999999998</v>
      </c>
      <c r="AJ1072" s="3">
        <v>3.3414782000000001</v>
      </c>
      <c r="AK1072" s="3">
        <v>3.3273934999999999</v>
      </c>
      <c r="AL1072" s="3">
        <v>3.3143449999999999</v>
      </c>
      <c r="AM1072" s="3">
        <v>3.3020934999999998</v>
      </c>
      <c r="AN1072" s="3">
        <v>3.2903999000000002</v>
      </c>
      <c r="AO1072" s="3">
        <v>3.2790591999999998</v>
      </c>
      <c r="AP1072" s="3">
        <v>3.2680172000000001</v>
      </c>
      <c r="AQ1072" s="3">
        <v>3.2572616999999999</v>
      </c>
      <c r="AR1072" s="3">
        <v>3.2467803000000002</v>
      </c>
      <c r="AS1072" s="3">
        <v>3.2365605999999998</v>
      </c>
      <c r="AT1072" s="3">
        <v>3.2265902999999998</v>
      </c>
      <c r="AU1072" s="3">
        <v>3.2168570000000001</v>
      </c>
      <c r="AV1072" s="3">
        <v>3.2073483</v>
      </c>
      <c r="AW1072" s="3">
        <v>3.1980520000000001</v>
      </c>
      <c r="AX1072" s="3">
        <v>3.1889555999999999</v>
      </c>
      <c r="AY1072" s="3">
        <v>3.1800467000000001</v>
      </c>
      <c r="AZ1072" s="3">
        <v>3.1713130999999999</v>
      </c>
      <c r="BA1072" s="3">
        <v>3.1627459</v>
      </c>
      <c r="BB1072" s="3">
        <v>3.1543554</v>
      </c>
      <c r="BC1072" s="3">
        <v>3.1461584</v>
      </c>
      <c r="BD1072" s="3">
        <v>3.1381714999999999</v>
      </c>
      <c r="BE1072" s="3">
        <v>3.1304116</v>
      </c>
      <c r="BF1072" s="3">
        <v>3.1228953000000002</v>
      </c>
      <c r="BG1072" s="3">
        <v>3.1156392999999998</v>
      </c>
      <c r="BH1072" s="3">
        <v>3.1086605</v>
      </c>
      <c r="BI1072" s="3">
        <v>3.1019755</v>
      </c>
      <c r="BJ1072" s="3">
        <v>3.0956009999999998</v>
      </c>
      <c r="BK1072" s="3">
        <v>3.0895538</v>
      </c>
      <c r="BL1072" s="3">
        <v>3.0838505999999999</v>
      </c>
      <c r="BM1072" s="3">
        <v>3.0571750999999998</v>
      </c>
      <c r="BN1072" s="3">
        <v>3.0433115000000002</v>
      </c>
    </row>
    <row r="1073" spans="1:66" x14ac:dyDescent="0.35">
      <c r="A1073" s="5">
        <f t="shared" si="16"/>
        <v>44957</v>
      </c>
      <c r="B1073" t="s">
        <v>2471</v>
      </c>
      <c r="C1073" s="2">
        <v>3.5</v>
      </c>
      <c r="D1073" s="2">
        <v>3.4268999999999998</v>
      </c>
      <c r="E1073" s="3">
        <v>3.9042490999999999</v>
      </c>
      <c r="F1073" s="3">
        <v>4.0639038000000003</v>
      </c>
      <c r="G1073" s="3">
        <v>4.2097613000000003</v>
      </c>
      <c r="H1073" s="3">
        <v>4.3142776999999999</v>
      </c>
      <c r="I1073" s="3">
        <v>4.3739404000000004</v>
      </c>
      <c r="J1073" s="3">
        <v>4.3950443999999997</v>
      </c>
      <c r="K1073" s="3">
        <v>4.3874057000000004</v>
      </c>
      <c r="L1073" s="3">
        <v>4.3590277000000004</v>
      </c>
      <c r="M1073" s="3">
        <v>4.3157537000000001</v>
      </c>
      <c r="N1073" s="3">
        <v>4.2622574999999996</v>
      </c>
      <c r="O1073" s="3">
        <v>4.2016517000000002</v>
      </c>
      <c r="P1073" s="3">
        <v>4.1364599999999996</v>
      </c>
      <c r="Q1073" s="3">
        <v>4.0690416999999997</v>
      </c>
      <c r="R1073" s="3">
        <v>4.0008409</v>
      </c>
      <c r="S1073" s="3">
        <v>3.9330628999999999</v>
      </c>
      <c r="T1073" s="3">
        <v>3.8669126999999999</v>
      </c>
      <c r="U1073" s="3">
        <v>3.8035956</v>
      </c>
      <c r="V1073" s="3">
        <v>3.7443165999999999</v>
      </c>
      <c r="W1073" s="3">
        <v>3.6900115000000002</v>
      </c>
      <c r="X1073" s="3">
        <v>3.6405899000000002</v>
      </c>
      <c r="Y1073" s="3">
        <v>3.5957170999999999</v>
      </c>
      <c r="Z1073" s="3">
        <v>3.5550587</v>
      </c>
      <c r="AA1073" s="3">
        <v>3.5182799999999999</v>
      </c>
      <c r="AB1073" s="3">
        <v>3.4850465000000002</v>
      </c>
      <c r="AC1073" s="3">
        <v>3.4550380000000001</v>
      </c>
      <c r="AD1073" s="3">
        <v>3.4279975</v>
      </c>
      <c r="AE1073" s="3">
        <v>3.4036856000000002</v>
      </c>
      <c r="AF1073" s="3">
        <v>3.3818630000000001</v>
      </c>
      <c r="AG1073" s="3">
        <v>3.3622901999999999</v>
      </c>
      <c r="AH1073" s="3">
        <v>3.3447277999999998</v>
      </c>
      <c r="AI1073" s="3">
        <v>3.3289363000000001</v>
      </c>
      <c r="AJ1073" s="3">
        <v>3.3146764000000002</v>
      </c>
      <c r="AK1073" s="3">
        <v>3.3017086</v>
      </c>
      <c r="AL1073" s="3">
        <v>3.2897935</v>
      </c>
      <c r="AM1073" s="3">
        <v>3.2786916000000002</v>
      </c>
      <c r="AN1073" s="3">
        <v>3.2681635999999998</v>
      </c>
      <c r="AO1073" s="3">
        <v>3.2579977000000002</v>
      </c>
      <c r="AP1073" s="3">
        <v>3.2481303000000001</v>
      </c>
      <c r="AQ1073" s="3">
        <v>3.2385480000000002</v>
      </c>
      <c r="AR1073" s="3">
        <v>3.2292372</v>
      </c>
      <c r="AS1073" s="3">
        <v>3.2201843000000001</v>
      </c>
      <c r="AT1073" s="3">
        <v>3.2113757999999999</v>
      </c>
      <c r="AU1073" s="3">
        <v>3.2027980999999999</v>
      </c>
      <c r="AV1073" s="3">
        <v>3.1944376999999999</v>
      </c>
      <c r="AW1073" s="3">
        <v>3.1862810000000001</v>
      </c>
      <c r="AX1073" s="3">
        <v>3.1783144999999999</v>
      </c>
      <c r="AY1073" s="3">
        <v>3.1705245999999998</v>
      </c>
      <c r="AZ1073" s="3">
        <v>3.1628976999999998</v>
      </c>
      <c r="BA1073" s="3">
        <v>3.1554240999999998</v>
      </c>
      <c r="BB1073" s="3">
        <v>3.1481118000000001</v>
      </c>
      <c r="BC1073" s="3">
        <v>3.1409745</v>
      </c>
      <c r="BD1073" s="3">
        <v>3.1340257999999999</v>
      </c>
      <c r="BE1073" s="3">
        <v>3.1272793000000001</v>
      </c>
      <c r="BF1073" s="3">
        <v>3.1207487</v>
      </c>
      <c r="BG1073" s="3">
        <v>3.1144476999999999</v>
      </c>
      <c r="BH1073" s="3">
        <v>3.1083897999999999</v>
      </c>
      <c r="BI1073" s="3">
        <v>3.1025885999999998</v>
      </c>
      <c r="BJ1073" s="3">
        <v>3.0970578999999998</v>
      </c>
      <c r="BK1073" s="3">
        <v>3.0918112</v>
      </c>
      <c r="BL1073" s="3">
        <v>3.0868622000000001</v>
      </c>
      <c r="BM1073" s="3">
        <v>3.0637395999999999</v>
      </c>
      <c r="BN1073" s="3">
        <v>3.0520801999999998</v>
      </c>
    </row>
    <row r="1074" spans="1:66" x14ac:dyDescent="0.35">
      <c r="A1074" s="5">
        <f t="shared" si="16"/>
        <v>44958</v>
      </c>
      <c r="B1074" t="s">
        <v>2473</v>
      </c>
      <c r="C1074" s="2">
        <v>3.5</v>
      </c>
      <c r="D1074" s="2">
        <v>3.4268000000000001</v>
      </c>
      <c r="E1074" s="3">
        <v>3.9131532999999998</v>
      </c>
      <c r="F1074" s="3">
        <v>4.0661383999999998</v>
      </c>
      <c r="G1074" s="3">
        <v>4.1995038999999998</v>
      </c>
      <c r="H1074" s="3">
        <v>4.2928670999999996</v>
      </c>
      <c r="I1074" s="3">
        <v>4.3447053999999996</v>
      </c>
      <c r="J1074" s="3">
        <v>4.3617751</v>
      </c>
      <c r="K1074" s="3">
        <v>4.3521096999999997</v>
      </c>
      <c r="L1074" s="3">
        <v>4.3230662999999998</v>
      </c>
      <c r="M1074" s="3">
        <v>4.2801809000000004</v>
      </c>
      <c r="N1074" s="3">
        <v>4.2275901999999999</v>
      </c>
      <c r="O1074" s="3">
        <v>4.1679722999999997</v>
      </c>
      <c r="P1074" s="3">
        <v>4.1033394000000003</v>
      </c>
      <c r="Q1074" s="3">
        <v>4.0353604000000001</v>
      </c>
      <c r="R1074" s="3">
        <v>3.9655166999999998</v>
      </c>
      <c r="S1074" s="3">
        <v>3.8952585000000002</v>
      </c>
      <c r="T1074" s="3">
        <v>3.8260361999999999</v>
      </c>
      <c r="U1074" s="3">
        <v>3.7593000000000001</v>
      </c>
      <c r="V1074" s="3">
        <v>3.6964999999999999</v>
      </c>
      <c r="W1074" s="3">
        <v>3.6387939</v>
      </c>
      <c r="X1074" s="3">
        <v>3.5862250000000002</v>
      </c>
      <c r="Y1074" s="3">
        <v>3.5385715000000002</v>
      </c>
      <c r="Z1074" s="3">
        <v>3.4956113000000002</v>
      </c>
      <c r="AA1074" s="3">
        <v>3.4571228000000001</v>
      </c>
      <c r="AB1074" s="3">
        <v>3.4228839</v>
      </c>
      <c r="AC1074" s="3">
        <v>3.3926601000000001</v>
      </c>
      <c r="AD1074" s="3">
        <v>3.3661481000000002</v>
      </c>
      <c r="AE1074" s="3">
        <v>3.3430217</v>
      </c>
      <c r="AF1074" s="3">
        <v>3.3229544</v>
      </c>
      <c r="AG1074" s="3">
        <v>3.3056199999999998</v>
      </c>
      <c r="AH1074" s="3">
        <v>3.2906922000000001</v>
      </c>
      <c r="AI1074" s="3">
        <v>3.2778445999999999</v>
      </c>
      <c r="AJ1074" s="3">
        <v>3.2667510000000002</v>
      </c>
      <c r="AK1074" s="3">
        <v>3.257085</v>
      </c>
      <c r="AL1074" s="3">
        <v>3.2485203</v>
      </c>
      <c r="AM1074" s="3">
        <v>3.2407306</v>
      </c>
      <c r="AN1074" s="3">
        <v>3.2333896000000002</v>
      </c>
      <c r="AO1074" s="3">
        <v>3.2262133</v>
      </c>
      <c r="AP1074" s="3">
        <v>3.2191242999999998</v>
      </c>
      <c r="AQ1074" s="3">
        <v>3.2121078000000001</v>
      </c>
      <c r="AR1074" s="3">
        <v>3.2051490999999999</v>
      </c>
      <c r="AS1074" s="3">
        <v>3.1982335000000002</v>
      </c>
      <c r="AT1074" s="3">
        <v>3.1913464</v>
      </c>
      <c r="AU1074" s="3">
        <v>3.1844730000000001</v>
      </c>
      <c r="AV1074" s="3">
        <v>3.1775988000000002</v>
      </c>
      <c r="AW1074" s="3">
        <v>3.1707089000000002</v>
      </c>
      <c r="AX1074" s="3">
        <v>3.1637887</v>
      </c>
      <c r="AY1074" s="3">
        <v>3.1568234999999998</v>
      </c>
      <c r="AZ1074" s="3">
        <v>3.1497986</v>
      </c>
      <c r="BA1074" s="3">
        <v>3.142706</v>
      </c>
      <c r="BB1074" s="3">
        <v>3.135567</v>
      </c>
      <c r="BC1074" s="3">
        <v>3.1284109999999998</v>
      </c>
      <c r="BD1074" s="3">
        <v>3.1212675000000001</v>
      </c>
      <c r="BE1074" s="3">
        <v>3.1141657</v>
      </c>
      <c r="BF1074" s="3">
        <v>3.1071352000000001</v>
      </c>
      <c r="BG1074" s="3">
        <v>3.1002054000000001</v>
      </c>
      <c r="BH1074" s="3">
        <v>3.0934056999999999</v>
      </c>
      <c r="BI1074" s="3">
        <v>3.0867654</v>
      </c>
      <c r="BJ1074" s="3">
        <v>3.080314</v>
      </c>
      <c r="BK1074" s="3">
        <v>3.0740810000000001</v>
      </c>
      <c r="BL1074" s="3">
        <v>3.0680955999999999</v>
      </c>
      <c r="BM1074" s="3">
        <v>3.0382007</v>
      </c>
      <c r="BN1074" s="3">
        <v>3.019587</v>
      </c>
    </row>
    <row r="1075" spans="1:66" x14ac:dyDescent="0.35">
      <c r="A1075" s="5">
        <f t="shared" si="16"/>
        <v>44959</v>
      </c>
      <c r="B1075" t="s">
        <v>2474</v>
      </c>
      <c r="C1075" s="2">
        <v>4</v>
      </c>
      <c r="D1075" s="2">
        <v>3.9264999999999999</v>
      </c>
      <c r="E1075" s="3">
        <v>3.9549221000000001</v>
      </c>
      <c r="F1075" s="3">
        <v>4.0711189000000001</v>
      </c>
      <c r="G1075" s="3">
        <v>4.1721249</v>
      </c>
      <c r="H1075" s="3">
        <v>4.2397562000000004</v>
      </c>
      <c r="I1075" s="3">
        <v>4.2684334000000002</v>
      </c>
      <c r="J1075" s="3">
        <v>4.2604796</v>
      </c>
      <c r="K1075" s="3">
        <v>4.2230464999999997</v>
      </c>
      <c r="L1075" s="3">
        <v>4.1641947999999998</v>
      </c>
      <c r="M1075" s="3">
        <v>4.0915970000000002</v>
      </c>
      <c r="N1075" s="3">
        <v>4.0108477999999996</v>
      </c>
      <c r="O1075" s="3">
        <v>3.9260378999999999</v>
      </c>
      <c r="P1075" s="3">
        <v>3.8397945</v>
      </c>
      <c r="Q1075" s="3">
        <v>3.7539844000000002</v>
      </c>
      <c r="R1075" s="3">
        <v>3.6697822000000002</v>
      </c>
      <c r="S1075" s="3">
        <v>3.5882057999999999</v>
      </c>
      <c r="T1075" s="3">
        <v>3.5102730000000002</v>
      </c>
      <c r="U1075" s="3">
        <v>3.4370018999999998</v>
      </c>
      <c r="V1075" s="3">
        <v>3.3694101999999999</v>
      </c>
      <c r="W1075" s="3">
        <v>3.3082493999999998</v>
      </c>
      <c r="X1075" s="3">
        <v>3.2532562</v>
      </c>
      <c r="Y1075" s="3">
        <v>3.2039259000000002</v>
      </c>
      <c r="Z1075" s="3">
        <v>3.1597537</v>
      </c>
      <c r="AA1075" s="3">
        <v>3.1202350000000001</v>
      </c>
      <c r="AB1075" s="3">
        <v>3.0848648999999999</v>
      </c>
      <c r="AC1075" s="3">
        <v>3.0531706999999999</v>
      </c>
      <c r="AD1075" s="3">
        <v>3.0248358</v>
      </c>
      <c r="AE1075" s="3">
        <v>2.9995908999999998</v>
      </c>
      <c r="AF1075" s="3">
        <v>2.9771668</v>
      </c>
      <c r="AG1075" s="3">
        <v>2.9572942000000002</v>
      </c>
      <c r="AH1075" s="3">
        <v>2.9397039999999999</v>
      </c>
      <c r="AI1075" s="3">
        <v>2.9241269000000001</v>
      </c>
      <c r="AJ1075" s="3">
        <v>2.9102937</v>
      </c>
      <c r="AK1075" s="3">
        <v>2.8979352</v>
      </c>
      <c r="AL1075" s="3">
        <v>2.8867821</v>
      </c>
      <c r="AM1075" s="3">
        <v>2.8765653000000002</v>
      </c>
      <c r="AN1075" s="3">
        <v>2.8670154999999999</v>
      </c>
      <c r="AO1075" s="3">
        <v>2.8579020000000002</v>
      </c>
      <c r="AP1075" s="3">
        <v>2.8491632999999998</v>
      </c>
      <c r="AQ1075" s="3">
        <v>2.8407849000000001</v>
      </c>
      <c r="AR1075" s="3">
        <v>2.8327523999999999</v>
      </c>
      <c r="AS1075" s="3">
        <v>2.8250511999999999</v>
      </c>
      <c r="AT1075" s="3">
        <v>2.8176668</v>
      </c>
      <c r="AU1075" s="3">
        <v>2.8105845999999999</v>
      </c>
      <c r="AV1075" s="3">
        <v>2.8037899999999998</v>
      </c>
      <c r="AW1075" s="3">
        <v>2.7972687000000001</v>
      </c>
      <c r="AX1075" s="3">
        <v>2.7910059999999999</v>
      </c>
      <c r="AY1075" s="3">
        <v>2.7849873999999999</v>
      </c>
      <c r="AZ1075" s="3">
        <v>2.7791983999999998</v>
      </c>
      <c r="BA1075" s="3">
        <v>2.7736284000000002</v>
      </c>
      <c r="BB1075" s="3">
        <v>2.7682847000000002</v>
      </c>
      <c r="BC1075" s="3">
        <v>2.7631790999999999</v>
      </c>
      <c r="BD1075" s="3">
        <v>2.7583237999999999</v>
      </c>
      <c r="BE1075" s="3">
        <v>2.7537308</v>
      </c>
      <c r="BF1075" s="3">
        <v>2.749412</v>
      </c>
      <c r="BG1075" s="3">
        <v>2.7453796000000001</v>
      </c>
      <c r="BH1075" s="3">
        <v>2.7416455000000002</v>
      </c>
      <c r="BI1075" s="3">
        <v>2.7382219000000001</v>
      </c>
      <c r="BJ1075" s="3">
        <v>2.7351206000000001</v>
      </c>
      <c r="BK1075" s="3">
        <v>2.7323537</v>
      </c>
      <c r="BL1075" s="3">
        <v>2.7299332999999999</v>
      </c>
      <c r="BM1075" s="3">
        <v>2.7230108999999998</v>
      </c>
      <c r="BN1075" s="3">
        <v>2.7294752999999998</v>
      </c>
    </row>
    <row r="1076" spans="1:66" x14ac:dyDescent="0.35">
      <c r="A1076" s="5">
        <f t="shared" si="16"/>
        <v>44960</v>
      </c>
      <c r="B1076" t="s">
        <v>2477</v>
      </c>
      <c r="C1076" s="2">
        <v>4</v>
      </c>
      <c r="D1076" s="2">
        <v>3.9272</v>
      </c>
      <c r="E1076" s="3">
        <v>3.9585696000000001</v>
      </c>
      <c r="F1076" s="3">
        <v>4.0702796000000001</v>
      </c>
      <c r="G1076" s="3">
        <v>4.1675263999999999</v>
      </c>
      <c r="H1076" s="3">
        <v>4.2320684000000002</v>
      </c>
      <c r="I1076" s="3">
        <v>4.2599184000000001</v>
      </c>
      <c r="J1076" s="3">
        <v>4.2549923999999999</v>
      </c>
      <c r="K1076" s="3">
        <v>4.2234942000000002</v>
      </c>
      <c r="L1076" s="3">
        <v>4.1710355999999997</v>
      </c>
      <c r="M1076" s="3">
        <v>4.1035265000000001</v>
      </c>
      <c r="N1076" s="3">
        <v>4.0260197</v>
      </c>
      <c r="O1076" s="3">
        <v>3.9427908</v>
      </c>
      <c r="P1076" s="3">
        <v>3.8570690000000001</v>
      </c>
      <c r="Q1076" s="3">
        <v>3.7717032000000001</v>
      </c>
      <c r="R1076" s="3">
        <v>3.6881911000000001</v>
      </c>
      <c r="S1076" s="3">
        <v>3.6076085999999998</v>
      </c>
      <c r="T1076" s="3">
        <v>3.531031</v>
      </c>
      <c r="U1076" s="3">
        <v>3.4595340999999999</v>
      </c>
      <c r="V1076" s="3">
        <v>3.3941933999999998</v>
      </c>
      <c r="W1076" s="3">
        <v>3.3358390999999998</v>
      </c>
      <c r="X1076" s="3">
        <v>3.2841634000000002</v>
      </c>
      <c r="Y1076" s="3">
        <v>3.2385285000000001</v>
      </c>
      <c r="Z1076" s="3">
        <v>3.1982967000000002</v>
      </c>
      <c r="AA1076" s="3">
        <v>3.1628305000000001</v>
      </c>
      <c r="AB1076" s="3">
        <v>3.1314918999999999</v>
      </c>
      <c r="AC1076" s="3">
        <v>3.1036988999999999</v>
      </c>
      <c r="AD1076" s="3">
        <v>3.0791137000000002</v>
      </c>
      <c r="AE1076" s="3">
        <v>3.0574661000000001</v>
      </c>
      <c r="AF1076" s="3">
        <v>3.0384861999999999</v>
      </c>
      <c r="AG1076" s="3">
        <v>3.0219035999999999</v>
      </c>
      <c r="AH1076" s="3">
        <v>3.0074483999999999</v>
      </c>
      <c r="AI1076" s="3">
        <v>2.9948503</v>
      </c>
      <c r="AJ1076" s="3">
        <v>2.9838393000000001</v>
      </c>
      <c r="AK1076" s="3">
        <v>2.9741450999999999</v>
      </c>
      <c r="AL1076" s="3">
        <v>2.9654976999999998</v>
      </c>
      <c r="AM1076" s="3">
        <v>2.9576269000000002</v>
      </c>
      <c r="AN1076" s="3">
        <v>2.9502625</v>
      </c>
      <c r="AO1076" s="3">
        <v>2.9431742000000001</v>
      </c>
      <c r="AP1076" s="3">
        <v>2.9363062000000002</v>
      </c>
      <c r="AQ1076" s="3">
        <v>2.9296513000000002</v>
      </c>
      <c r="AR1076" s="3">
        <v>2.9232022</v>
      </c>
      <c r="AS1076" s="3">
        <v>2.9169513999999999</v>
      </c>
      <c r="AT1076" s="3">
        <v>2.9108917999999999</v>
      </c>
      <c r="AU1076" s="3">
        <v>2.9050159</v>
      </c>
      <c r="AV1076" s="3">
        <v>2.8993164999999999</v>
      </c>
      <c r="AW1076" s="3">
        <v>2.8937860999999998</v>
      </c>
      <c r="AX1076" s="3">
        <v>2.8884175999999999</v>
      </c>
      <c r="AY1076" s="3">
        <v>2.8832035999999999</v>
      </c>
      <c r="AZ1076" s="3">
        <v>2.8781367000000002</v>
      </c>
      <c r="BA1076" s="3">
        <v>2.8732125000000002</v>
      </c>
      <c r="BB1076" s="3">
        <v>2.8684392999999999</v>
      </c>
      <c r="BC1076" s="3">
        <v>2.8638289000000001</v>
      </c>
      <c r="BD1076" s="3">
        <v>2.8593932</v>
      </c>
      <c r="BE1076" s="3">
        <v>2.8551440000000001</v>
      </c>
      <c r="BF1076" s="3">
        <v>2.8510930000000001</v>
      </c>
      <c r="BG1076" s="3">
        <v>2.8472520000000001</v>
      </c>
      <c r="BH1076" s="3">
        <v>2.8436330000000001</v>
      </c>
      <c r="BI1076" s="3">
        <v>2.8402476999999999</v>
      </c>
      <c r="BJ1076" s="3">
        <v>2.8371080000000002</v>
      </c>
      <c r="BK1076" s="3">
        <v>2.8342255000000001</v>
      </c>
      <c r="BL1076" s="3">
        <v>2.8316121999999999</v>
      </c>
      <c r="BM1076" s="3">
        <v>2.8219199000000001</v>
      </c>
      <c r="BN1076" s="3">
        <v>2.8229133000000002</v>
      </c>
    </row>
    <row r="1077" spans="1:66" x14ac:dyDescent="0.35">
      <c r="A1077" s="5">
        <f t="shared" si="16"/>
        <v>44963</v>
      </c>
      <c r="B1077" t="s">
        <v>2478</v>
      </c>
      <c r="C1077" s="2">
        <v>4</v>
      </c>
      <c r="D1077" s="2">
        <v>3.9270999999999998</v>
      </c>
      <c r="E1077" s="3">
        <v>3.9626527999999999</v>
      </c>
      <c r="F1077" s="3">
        <v>4.0791963999999998</v>
      </c>
      <c r="G1077" s="3">
        <v>4.1821301000000002</v>
      </c>
      <c r="H1077" s="3">
        <v>4.2579510999999997</v>
      </c>
      <c r="I1077" s="3">
        <v>4.3019957</v>
      </c>
      <c r="J1077" s="3">
        <v>4.3147228999999996</v>
      </c>
      <c r="K1077" s="3">
        <v>4.3005966000000004</v>
      </c>
      <c r="L1077" s="3">
        <v>4.2641926000000003</v>
      </c>
      <c r="M1077" s="3">
        <v>4.2108074999999996</v>
      </c>
      <c r="N1077" s="3">
        <v>4.1452888999999997</v>
      </c>
      <c r="O1077" s="3">
        <v>4.0719754999999997</v>
      </c>
      <c r="P1077" s="3">
        <v>3.9946628999999998</v>
      </c>
      <c r="Q1077" s="3">
        <v>3.9170612</v>
      </c>
      <c r="R1077" s="3">
        <v>3.8409678999999999</v>
      </c>
      <c r="S1077" s="3">
        <v>3.7676611000000002</v>
      </c>
      <c r="T1077" s="3">
        <v>3.6984187999999998</v>
      </c>
      <c r="U1077" s="3">
        <v>3.6345192000000002</v>
      </c>
      <c r="V1077" s="3">
        <v>3.5772403000000002</v>
      </c>
      <c r="W1077" s="3">
        <v>3.5274816000000002</v>
      </c>
      <c r="X1077" s="3">
        <v>3.4847017</v>
      </c>
      <c r="Y1077" s="3">
        <v>3.4480159000000001</v>
      </c>
      <c r="Z1077" s="3">
        <v>3.4165397</v>
      </c>
      <c r="AA1077" s="3">
        <v>3.3893884000000001</v>
      </c>
      <c r="AB1077" s="3">
        <v>3.3656776000000002</v>
      </c>
      <c r="AC1077" s="3">
        <v>3.3446216</v>
      </c>
      <c r="AD1077" s="3">
        <v>3.3258713000000002</v>
      </c>
      <c r="AE1077" s="3">
        <v>3.3091979999999999</v>
      </c>
      <c r="AF1077" s="3">
        <v>3.2943731000000001</v>
      </c>
      <c r="AG1077" s="3">
        <v>3.2811680999999999</v>
      </c>
      <c r="AH1077" s="3">
        <v>3.2693542</v>
      </c>
      <c r="AI1077" s="3">
        <v>3.2587028999999998</v>
      </c>
      <c r="AJ1077" s="3">
        <v>3.2489856000000001</v>
      </c>
      <c r="AK1077" s="3">
        <v>3.2399735000000001</v>
      </c>
      <c r="AL1077" s="3">
        <v>3.2314381999999999</v>
      </c>
      <c r="AM1077" s="3">
        <v>3.2231508999999998</v>
      </c>
      <c r="AN1077" s="3">
        <v>3.2148829999999999</v>
      </c>
      <c r="AO1077" s="3">
        <v>3.2064458</v>
      </c>
      <c r="AP1077" s="3">
        <v>3.1978270000000002</v>
      </c>
      <c r="AQ1077" s="3">
        <v>3.1890624999999999</v>
      </c>
      <c r="AR1077" s="3">
        <v>3.1801887999999998</v>
      </c>
      <c r="AS1077" s="3">
        <v>3.1712418000000002</v>
      </c>
      <c r="AT1077" s="3">
        <v>3.1622577000000001</v>
      </c>
      <c r="AU1077" s="3">
        <v>3.1532727999999999</v>
      </c>
      <c r="AV1077" s="3">
        <v>3.1443232000000001</v>
      </c>
      <c r="AW1077" s="3">
        <v>3.1354451999999999</v>
      </c>
      <c r="AX1077" s="3">
        <v>3.1266747000000001</v>
      </c>
      <c r="AY1077" s="3">
        <v>3.1180481000000002</v>
      </c>
      <c r="AZ1077" s="3">
        <v>3.1096015000000001</v>
      </c>
      <c r="BA1077" s="3">
        <v>3.1013685</v>
      </c>
      <c r="BB1077" s="3">
        <v>3.0933684000000001</v>
      </c>
      <c r="BC1077" s="3">
        <v>3.0856159000000001</v>
      </c>
      <c r="BD1077" s="3">
        <v>3.0781255999999999</v>
      </c>
      <c r="BE1077" s="3">
        <v>3.0709122</v>
      </c>
      <c r="BF1077" s="3">
        <v>3.0639902999999999</v>
      </c>
      <c r="BG1077" s="3">
        <v>3.0573744999999999</v>
      </c>
      <c r="BH1077" s="3">
        <v>3.0510795000000002</v>
      </c>
      <c r="BI1077" s="3">
        <v>3.0451199999999998</v>
      </c>
      <c r="BJ1077" s="3">
        <v>3.0395105999999998</v>
      </c>
      <c r="BK1077" s="3">
        <v>3.0342658999999998</v>
      </c>
      <c r="BL1077" s="3">
        <v>3.0294004999999999</v>
      </c>
      <c r="BM1077" s="3">
        <v>3.0084190999999998</v>
      </c>
      <c r="BN1077" s="3">
        <v>3.0012514000000001</v>
      </c>
    </row>
    <row r="1078" spans="1:66" x14ac:dyDescent="0.35">
      <c r="A1078" s="5">
        <f t="shared" si="16"/>
        <v>44964</v>
      </c>
      <c r="B1078" t="s">
        <v>2479</v>
      </c>
      <c r="C1078" s="2">
        <v>4</v>
      </c>
      <c r="D1078" s="2">
        <v>3.927</v>
      </c>
      <c r="E1078" s="3">
        <v>3.9647125999999999</v>
      </c>
      <c r="F1078" s="3">
        <v>4.0783088999999997</v>
      </c>
      <c r="G1078" s="3">
        <v>4.1777579999999999</v>
      </c>
      <c r="H1078" s="3">
        <v>4.2507549999999998</v>
      </c>
      <c r="I1078" s="3">
        <v>4.2927299000000003</v>
      </c>
      <c r="J1078" s="3">
        <v>4.3048546999999999</v>
      </c>
      <c r="K1078" s="3">
        <v>4.2919527999999998</v>
      </c>
      <c r="L1078" s="3">
        <v>4.2591295000000002</v>
      </c>
      <c r="M1078" s="3">
        <v>4.2113193999999998</v>
      </c>
      <c r="N1078" s="3">
        <v>4.1534293</v>
      </c>
      <c r="O1078" s="3">
        <v>4.0891149000000002</v>
      </c>
      <c r="P1078" s="3">
        <v>4.0212912000000003</v>
      </c>
      <c r="Q1078" s="3">
        <v>3.9524756000000001</v>
      </c>
      <c r="R1078" s="3">
        <v>3.8840545</v>
      </c>
      <c r="S1078" s="3">
        <v>3.8171327000000002</v>
      </c>
      <c r="T1078" s="3">
        <v>3.7528145999999998</v>
      </c>
      <c r="U1078" s="3">
        <v>3.692205</v>
      </c>
      <c r="V1078" s="3">
        <v>3.6364084999999999</v>
      </c>
      <c r="W1078" s="3">
        <v>3.5862707999999999</v>
      </c>
      <c r="X1078" s="3">
        <v>3.5416517999999999</v>
      </c>
      <c r="Y1078" s="3">
        <v>3.5021767000000001</v>
      </c>
      <c r="Z1078" s="3">
        <v>3.4674708999999999</v>
      </c>
      <c r="AA1078" s="3">
        <v>3.4371597</v>
      </c>
      <c r="AB1078" s="3">
        <v>3.4108681999999999</v>
      </c>
      <c r="AC1078" s="3">
        <v>3.3882287999999998</v>
      </c>
      <c r="AD1078" s="3">
        <v>3.3689041999999998</v>
      </c>
      <c r="AE1078" s="3">
        <v>3.3525656000000001</v>
      </c>
      <c r="AF1078" s="3">
        <v>3.3388841999999999</v>
      </c>
      <c r="AG1078" s="3">
        <v>3.327531</v>
      </c>
      <c r="AH1078" s="3">
        <v>3.3181774000000002</v>
      </c>
      <c r="AI1078" s="3">
        <v>3.3104946000000002</v>
      </c>
      <c r="AJ1078" s="3">
        <v>3.3041535999999998</v>
      </c>
      <c r="AK1078" s="3">
        <v>3.2988257000000001</v>
      </c>
      <c r="AL1078" s="3">
        <v>3.2941820000000002</v>
      </c>
      <c r="AM1078" s="3">
        <v>3.2898939</v>
      </c>
      <c r="AN1078" s="3">
        <v>3.2856323000000001</v>
      </c>
      <c r="AO1078" s="3">
        <v>3.2811078</v>
      </c>
      <c r="AP1078" s="3">
        <v>3.2762424999999999</v>
      </c>
      <c r="AQ1078" s="3">
        <v>3.2710290999999998</v>
      </c>
      <c r="AR1078" s="3">
        <v>3.2654605999999999</v>
      </c>
      <c r="AS1078" s="3">
        <v>3.2595299</v>
      </c>
      <c r="AT1078" s="3">
        <v>3.2532301000000001</v>
      </c>
      <c r="AU1078" s="3">
        <v>3.2465538999999999</v>
      </c>
      <c r="AV1078" s="3">
        <v>3.2394945000000002</v>
      </c>
      <c r="AW1078" s="3">
        <v>3.2320446999999999</v>
      </c>
      <c r="AX1078" s="3">
        <v>3.2241974999999998</v>
      </c>
      <c r="AY1078" s="3">
        <v>3.2159456999999998</v>
      </c>
      <c r="AZ1078" s="3">
        <v>3.2072824</v>
      </c>
      <c r="BA1078" s="3">
        <v>3.1982100999999998</v>
      </c>
      <c r="BB1078" s="3">
        <v>3.1887778</v>
      </c>
      <c r="BC1078" s="3">
        <v>3.179049</v>
      </c>
      <c r="BD1078" s="3">
        <v>3.1690868999999999</v>
      </c>
      <c r="BE1078" s="3">
        <v>3.1589548999999999</v>
      </c>
      <c r="BF1078" s="3">
        <v>3.1487164000000001</v>
      </c>
      <c r="BG1078" s="3">
        <v>3.1384344999999998</v>
      </c>
      <c r="BH1078" s="3">
        <v>3.1281726999999999</v>
      </c>
      <c r="BI1078" s="3">
        <v>3.1179942999999999</v>
      </c>
      <c r="BJ1078" s="3">
        <v>3.1079626</v>
      </c>
      <c r="BK1078" s="3">
        <v>3.098141</v>
      </c>
      <c r="BL1078" s="3">
        <v>3.0885927999999998</v>
      </c>
      <c r="BM1078" s="3">
        <v>3.0390533</v>
      </c>
      <c r="BN1078" s="3">
        <v>3.0059884000000001</v>
      </c>
    </row>
    <row r="1079" spans="1:66" x14ac:dyDescent="0.35">
      <c r="A1079" s="5">
        <f t="shared" si="16"/>
        <v>44965</v>
      </c>
      <c r="B1079" t="s">
        <v>2480</v>
      </c>
      <c r="C1079" s="2">
        <v>4</v>
      </c>
      <c r="D1079" s="2">
        <v>3.9268999999999998</v>
      </c>
      <c r="E1079" s="3">
        <v>3.9717804999999999</v>
      </c>
      <c r="F1079" s="3">
        <v>4.0958142000000004</v>
      </c>
      <c r="G1079" s="3">
        <v>4.2021674000000004</v>
      </c>
      <c r="H1079" s="3">
        <v>4.2806164000000004</v>
      </c>
      <c r="I1079" s="3">
        <v>4.3268319000000002</v>
      </c>
      <c r="J1079" s="3">
        <v>4.3424256999999997</v>
      </c>
      <c r="K1079" s="3">
        <v>4.3313481999999999</v>
      </c>
      <c r="L1079" s="3">
        <v>4.2990073999999998</v>
      </c>
      <c r="M1079" s="3">
        <v>4.2508433999999999</v>
      </c>
      <c r="N1079" s="3">
        <v>4.1919557000000003</v>
      </c>
      <c r="O1079" s="3">
        <v>4.1263500999999998</v>
      </c>
      <c r="P1079" s="3">
        <v>4.0571777000000004</v>
      </c>
      <c r="Q1079" s="3">
        <v>3.9872127000000002</v>
      </c>
      <c r="R1079" s="3">
        <v>3.9178112999999999</v>
      </c>
      <c r="S1079" s="3">
        <v>3.8499671000000002</v>
      </c>
      <c r="T1079" s="3">
        <v>3.7846739</v>
      </c>
      <c r="U1079" s="3">
        <v>3.7229253</v>
      </c>
      <c r="V1079" s="3">
        <v>3.6657149000000002</v>
      </c>
      <c r="W1079" s="3">
        <v>3.6137972999999999</v>
      </c>
      <c r="X1079" s="3">
        <v>3.5670161</v>
      </c>
      <c r="Y1079" s="3">
        <v>3.5249985000000001</v>
      </c>
      <c r="Z1079" s="3">
        <v>3.4873713</v>
      </c>
      <c r="AA1079" s="3">
        <v>3.4537615000000002</v>
      </c>
      <c r="AB1079" s="3">
        <v>3.4237962999999998</v>
      </c>
      <c r="AC1079" s="3">
        <v>3.3971162000000001</v>
      </c>
      <c r="AD1079" s="3">
        <v>3.3734351</v>
      </c>
      <c r="AE1079" s="3">
        <v>3.3524916</v>
      </c>
      <c r="AF1079" s="3">
        <v>3.3340241000000002</v>
      </c>
      <c r="AG1079" s="3">
        <v>3.3177713999999998</v>
      </c>
      <c r="AH1079" s="3">
        <v>3.3034718000000001</v>
      </c>
      <c r="AI1079" s="3">
        <v>3.2908639000000002</v>
      </c>
      <c r="AJ1079" s="3">
        <v>3.2796862</v>
      </c>
      <c r="AK1079" s="3">
        <v>3.2696774</v>
      </c>
      <c r="AL1079" s="3">
        <v>3.2605759000000001</v>
      </c>
      <c r="AM1079" s="3">
        <v>3.2521201999999998</v>
      </c>
      <c r="AN1079" s="3">
        <v>3.244049</v>
      </c>
      <c r="AO1079" s="3">
        <v>3.2361352000000001</v>
      </c>
      <c r="AP1079" s="3">
        <v>3.2283203</v>
      </c>
      <c r="AQ1079" s="3">
        <v>3.2205967000000002</v>
      </c>
      <c r="AR1079" s="3">
        <v>3.2129569999999998</v>
      </c>
      <c r="AS1079" s="3">
        <v>3.2053938999999998</v>
      </c>
      <c r="AT1079" s="3">
        <v>3.1978998000000001</v>
      </c>
      <c r="AU1079" s="3">
        <v>3.1904672999999999</v>
      </c>
      <c r="AV1079" s="3">
        <v>3.1830889999999998</v>
      </c>
      <c r="AW1079" s="3">
        <v>3.1757575</v>
      </c>
      <c r="AX1079" s="3">
        <v>3.1684652</v>
      </c>
      <c r="AY1079" s="3">
        <v>3.1612049</v>
      </c>
      <c r="AZ1079" s="3">
        <v>3.153969</v>
      </c>
      <c r="BA1079" s="3">
        <v>3.1467546</v>
      </c>
      <c r="BB1079" s="3">
        <v>3.1395786999999999</v>
      </c>
      <c r="BC1079" s="3">
        <v>3.1324638999999999</v>
      </c>
      <c r="BD1079" s="3">
        <v>3.1254325000000001</v>
      </c>
      <c r="BE1079" s="3">
        <v>3.1185071</v>
      </c>
      <c r="BF1079" s="3">
        <v>3.1117102000000001</v>
      </c>
      <c r="BG1079" s="3">
        <v>3.1050642000000002</v>
      </c>
      <c r="BH1079" s="3">
        <v>3.0985917000000001</v>
      </c>
      <c r="BI1079" s="3">
        <v>3.0923151999999998</v>
      </c>
      <c r="BJ1079" s="3">
        <v>3.0862569999999998</v>
      </c>
      <c r="BK1079" s="3">
        <v>3.0804398000000002</v>
      </c>
      <c r="BL1079" s="3">
        <v>3.0748858999999999</v>
      </c>
      <c r="BM1079" s="3">
        <v>3.0476785</v>
      </c>
      <c r="BN1079" s="3">
        <v>3.0315243999999999</v>
      </c>
    </row>
    <row r="1080" spans="1:66" x14ac:dyDescent="0.35">
      <c r="A1080" s="5">
        <f t="shared" si="16"/>
        <v>44966</v>
      </c>
      <c r="B1080" t="s">
        <v>2481</v>
      </c>
      <c r="C1080" s="2">
        <v>4</v>
      </c>
      <c r="D1080" s="2">
        <v>3.9266999999999999</v>
      </c>
      <c r="E1080" s="3">
        <v>3.9747766000000002</v>
      </c>
      <c r="F1080" s="3">
        <v>4.1008927000000002</v>
      </c>
      <c r="G1080" s="3">
        <v>4.2067354000000003</v>
      </c>
      <c r="H1080" s="3">
        <v>4.2834786999999999</v>
      </c>
      <c r="I1080" s="3">
        <v>4.3281986000000003</v>
      </c>
      <c r="J1080" s="3">
        <v>4.3437456000000001</v>
      </c>
      <c r="K1080" s="3">
        <v>4.3351096</v>
      </c>
      <c r="L1080" s="3">
        <v>4.3071666000000004</v>
      </c>
      <c r="M1080" s="3">
        <v>4.2651661000000001</v>
      </c>
      <c r="N1080" s="3">
        <v>4.2134138999999999</v>
      </c>
      <c r="O1080" s="3">
        <v>4.1555197000000001</v>
      </c>
      <c r="P1080" s="3">
        <v>4.0939996000000001</v>
      </c>
      <c r="Q1080" s="3">
        <v>4.0307858999999997</v>
      </c>
      <c r="R1080" s="3">
        <v>3.9670755999999998</v>
      </c>
      <c r="S1080" s="3">
        <v>3.9038903</v>
      </c>
      <c r="T1080" s="3">
        <v>3.8422513999999999</v>
      </c>
      <c r="U1080" s="3">
        <v>3.7831803000000002</v>
      </c>
      <c r="V1080" s="3">
        <v>3.7276986000000001</v>
      </c>
      <c r="W1080" s="3">
        <v>3.6765956000000002</v>
      </c>
      <c r="X1080" s="3">
        <v>3.6297774</v>
      </c>
      <c r="Y1080" s="3">
        <v>3.5869399999999998</v>
      </c>
      <c r="Z1080" s="3">
        <v>3.5477791000000001</v>
      </c>
      <c r="AA1080" s="3">
        <v>3.5119908</v>
      </c>
      <c r="AB1080" s="3">
        <v>3.4792706999999998</v>
      </c>
      <c r="AC1080" s="3">
        <v>3.4493298999999999</v>
      </c>
      <c r="AD1080" s="3">
        <v>3.4219526999999998</v>
      </c>
      <c r="AE1080" s="3">
        <v>3.3969455000000002</v>
      </c>
      <c r="AF1080" s="3">
        <v>3.3741150000000002</v>
      </c>
      <c r="AG1080" s="3">
        <v>3.3532677999999998</v>
      </c>
      <c r="AH1080" s="3">
        <v>3.3342103000000001</v>
      </c>
      <c r="AI1080" s="3">
        <v>3.3167493000000001</v>
      </c>
      <c r="AJ1080" s="3">
        <v>3.3006912000000002</v>
      </c>
      <c r="AK1080" s="3">
        <v>3.2858426999999999</v>
      </c>
      <c r="AL1080" s="3">
        <v>3.2720102999999998</v>
      </c>
      <c r="AM1080" s="3">
        <v>3.2590007000000001</v>
      </c>
      <c r="AN1080" s="3">
        <v>3.2466203</v>
      </c>
      <c r="AO1080" s="3">
        <v>3.234702</v>
      </c>
      <c r="AP1080" s="3">
        <v>3.2231945999999998</v>
      </c>
      <c r="AQ1080" s="3">
        <v>3.2120788</v>
      </c>
      <c r="AR1080" s="3">
        <v>3.2013353000000002</v>
      </c>
      <c r="AS1080" s="3">
        <v>3.1909448</v>
      </c>
      <c r="AT1080" s="3">
        <v>3.1808881000000002</v>
      </c>
      <c r="AU1080" s="3">
        <v>3.1711458000000001</v>
      </c>
      <c r="AV1080" s="3">
        <v>3.1616987999999999</v>
      </c>
      <c r="AW1080" s="3">
        <v>3.1525276</v>
      </c>
      <c r="AX1080" s="3">
        <v>3.1436131</v>
      </c>
      <c r="AY1080" s="3">
        <v>3.1349358999999999</v>
      </c>
      <c r="AZ1080" s="3">
        <v>3.1264767999999998</v>
      </c>
      <c r="BA1080" s="3">
        <v>3.1182205000000001</v>
      </c>
      <c r="BB1080" s="3">
        <v>3.1101687</v>
      </c>
      <c r="BC1080" s="3">
        <v>3.1023282000000001</v>
      </c>
      <c r="BD1080" s="3">
        <v>3.0947057</v>
      </c>
      <c r="BE1080" s="3">
        <v>3.0873078</v>
      </c>
      <c r="BF1080" s="3">
        <v>3.0801411000000001</v>
      </c>
      <c r="BG1080" s="3">
        <v>3.0732124000000001</v>
      </c>
      <c r="BH1080" s="3">
        <v>3.0665284000000002</v>
      </c>
      <c r="BI1080" s="3">
        <v>3.0600955999999999</v>
      </c>
      <c r="BJ1080" s="3">
        <v>3.0539206999999999</v>
      </c>
      <c r="BK1080" s="3">
        <v>3.0480105000000002</v>
      </c>
      <c r="BL1080" s="3">
        <v>3.0423714999999998</v>
      </c>
      <c r="BM1080" s="3">
        <v>3.0145439000000001</v>
      </c>
      <c r="BN1080" s="3">
        <v>2.9977743000000001</v>
      </c>
    </row>
    <row r="1081" spans="1:66" x14ac:dyDescent="0.35">
      <c r="A1081" s="5">
        <f t="shared" si="16"/>
        <v>44967</v>
      </c>
      <c r="B1081" t="s">
        <v>2482</v>
      </c>
      <c r="C1081" s="2">
        <v>4</v>
      </c>
      <c r="D1081" s="2">
        <v>3.927</v>
      </c>
      <c r="E1081" s="3">
        <v>3.9833294000000001</v>
      </c>
      <c r="F1081" s="3">
        <v>4.1244462999999998</v>
      </c>
      <c r="G1081" s="3">
        <v>4.2446707000000004</v>
      </c>
      <c r="H1081" s="3">
        <v>4.3375703000000003</v>
      </c>
      <c r="I1081" s="3">
        <v>4.3994626999999999</v>
      </c>
      <c r="J1081" s="3">
        <v>4.4320190000000004</v>
      </c>
      <c r="K1081" s="3">
        <v>4.4395766999999999</v>
      </c>
      <c r="L1081" s="3">
        <v>4.4266540000000001</v>
      </c>
      <c r="M1081" s="3">
        <v>4.3982390999999996</v>
      </c>
      <c r="N1081" s="3">
        <v>4.3582650999999997</v>
      </c>
      <c r="O1081" s="3">
        <v>4.3098020000000004</v>
      </c>
      <c r="P1081" s="3">
        <v>4.2551585000000003</v>
      </c>
      <c r="Q1081" s="3">
        <v>4.1961456000000004</v>
      </c>
      <c r="R1081" s="3">
        <v>4.1342840000000001</v>
      </c>
      <c r="S1081" s="3">
        <v>4.0710290999999996</v>
      </c>
      <c r="T1081" s="3">
        <v>4.0078360000000002</v>
      </c>
      <c r="U1081" s="3">
        <v>3.9461598000000002</v>
      </c>
      <c r="V1081" s="3">
        <v>3.8874559</v>
      </c>
      <c r="W1081" s="3">
        <v>3.8329423</v>
      </c>
      <c r="X1081" s="3">
        <v>3.7827381999999998</v>
      </c>
      <c r="Y1081" s="3">
        <v>3.7366440000000001</v>
      </c>
      <c r="Z1081" s="3">
        <v>3.6944602999999998</v>
      </c>
      <c r="AA1081" s="3">
        <v>3.6559875000000002</v>
      </c>
      <c r="AB1081" s="3">
        <v>3.6210263</v>
      </c>
      <c r="AC1081" s="3">
        <v>3.5893684000000001</v>
      </c>
      <c r="AD1081" s="3">
        <v>3.5607677999999998</v>
      </c>
      <c r="AE1081" s="3">
        <v>3.5349678999999998</v>
      </c>
      <c r="AF1081" s="3">
        <v>3.5117121</v>
      </c>
      <c r="AG1081" s="3">
        <v>3.4907436999999999</v>
      </c>
      <c r="AH1081" s="3">
        <v>3.4718062999999999</v>
      </c>
      <c r="AI1081" s="3">
        <v>3.4546431000000002</v>
      </c>
      <c r="AJ1081" s="3">
        <v>3.4389976</v>
      </c>
      <c r="AK1081" s="3">
        <v>3.4246132</v>
      </c>
      <c r="AL1081" s="3">
        <v>3.4112334</v>
      </c>
      <c r="AM1081" s="3">
        <v>3.3986014</v>
      </c>
      <c r="AN1081" s="3">
        <v>3.3864607000000002</v>
      </c>
      <c r="AO1081" s="3">
        <v>3.3745911</v>
      </c>
      <c r="AP1081" s="3">
        <v>3.3629327</v>
      </c>
      <c r="AQ1081" s="3">
        <v>3.3514700999999998</v>
      </c>
      <c r="AR1081" s="3">
        <v>3.3401877</v>
      </c>
      <c r="AS1081" s="3">
        <v>3.3290698999999999</v>
      </c>
      <c r="AT1081" s="3">
        <v>3.3181012999999999</v>
      </c>
      <c r="AU1081" s="3">
        <v>3.3072664000000001</v>
      </c>
      <c r="AV1081" s="3">
        <v>3.2965496000000001</v>
      </c>
      <c r="AW1081" s="3">
        <v>3.2859352999999998</v>
      </c>
      <c r="AX1081" s="3">
        <v>3.2754082000000002</v>
      </c>
      <c r="AY1081" s="3">
        <v>3.2649525000000001</v>
      </c>
      <c r="AZ1081" s="3">
        <v>3.2545529000000002</v>
      </c>
      <c r="BA1081" s="3">
        <v>3.2441993999999998</v>
      </c>
      <c r="BB1081" s="3">
        <v>3.2339072</v>
      </c>
      <c r="BC1081" s="3">
        <v>3.2236980000000002</v>
      </c>
      <c r="BD1081" s="3">
        <v>3.2135938999999998</v>
      </c>
      <c r="BE1081" s="3">
        <v>3.2036167999999998</v>
      </c>
      <c r="BF1081" s="3">
        <v>3.1937886</v>
      </c>
      <c r="BG1081" s="3">
        <v>3.1841313000000002</v>
      </c>
      <c r="BH1081" s="3">
        <v>3.1746667999999998</v>
      </c>
      <c r="BI1081" s="3">
        <v>3.1654170000000001</v>
      </c>
      <c r="BJ1081" s="3">
        <v>3.1564038000000001</v>
      </c>
      <c r="BK1081" s="3">
        <v>3.1476492</v>
      </c>
      <c r="BL1081" s="3">
        <v>3.1391751999999999</v>
      </c>
      <c r="BM1081" s="3">
        <v>3.095081</v>
      </c>
      <c r="BN1081" s="3">
        <v>3.0643753999999999</v>
      </c>
    </row>
    <row r="1082" spans="1:66" x14ac:dyDescent="0.35">
      <c r="A1082" s="5">
        <f t="shared" si="16"/>
        <v>44970</v>
      </c>
      <c r="B1082" t="s">
        <v>2483</v>
      </c>
      <c r="C1082" s="2">
        <v>4</v>
      </c>
      <c r="D1082" s="2">
        <v>3.9270999999999998</v>
      </c>
      <c r="E1082" s="3">
        <v>3.9919095000000002</v>
      </c>
      <c r="F1082" s="3">
        <v>4.1382285000000003</v>
      </c>
      <c r="G1082" s="3">
        <v>4.2604385999999996</v>
      </c>
      <c r="H1082" s="3">
        <v>4.3552283999999997</v>
      </c>
      <c r="I1082" s="3">
        <v>4.4207764999999997</v>
      </c>
      <c r="J1082" s="3">
        <v>4.4571646999999999</v>
      </c>
      <c r="K1082" s="3">
        <v>4.4674342999999999</v>
      </c>
      <c r="L1082" s="3">
        <v>4.4551141000000003</v>
      </c>
      <c r="M1082" s="3">
        <v>4.4250182000000002</v>
      </c>
      <c r="N1082" s="3">
        <v>4.3816877999999999</v>
      </c>
      <c r="O1082" s="3">
        <v>4.3291358999999998</v>
      </c>
      <c r="P1082" s="3">
        <v>4.2708177000000003</v>
      </c>
      <c r="Q1082" s="3">
        <v>4.2100051000000001</v>
      </c>
      <c r="R1082" s="3">
        <v>4.1482150000000004</v>
      </c>
      <c r="S1082" s="3">
        <v>4.0864953000000002</v>
      </c>
      <c r="T1082" s="3">
        <v>4.0258943</v>
      </c>
      <c r="U1082" s="3">
        <v>3.9674597999999999</v>
      </c>
      <c r="V1082" s="3">
        <v>3.9122400000000002</v>
      </c>
      <c r="W1082" s="3">
        <v>3.8610503999999999</v>
      </c>
      <c r="X1082" s="3">
        <v>3.8138207</v>
      </c>
      <c r="Y1082" s="3">
        <v>3.7702703</v>
      </c>
      <c r="Z1082" s="3">
        <v>3.7301180999999999</v>
      </c>
      <c r="AA1082" s="3">
        <v>3.6930833000000001</v>
      </c>
      <c r="AB1082" s="3">
        <v>3.6588851</v>
      </c>
      <c r="AC1082" s="3">
        <v>3.6272574</v>
      </c>
      <c r="AD1082" s="3">
        <v>3.5980002999999998</v>
      </c>
      <c r="AE1082" s="3">
        <v>3.570932</v>
      </c>
      <c r="AF1082" s="3">
        <v>3.5458706000000002</v>
      </c>
      <c r="AG1082" s="3">
        <v>3.5226342000000002</v>
      </c>
      <c r="AH1082" s="3">
        <v>3.5010412</v>
      </c>
      <c r="AI1082" s="3">
        <v>3.4809095000000001</v>
      </c>
      <c r="AJ1082" s="3">
        <v>3.4620574999999998</v>
      </c>
      <c r="AK1082" s="3">
        <v>3.4443031999999998</v>
      </c>
      <c r="AL1082" s="3">
        <v>3.4274648000000001</v>
      </c>
      <c r="AM1082" s="3">
        <v>3.4113606000000001</v>
      </c>
      <c r="AN1082" s="3">
        <v>3.3958086999999999</v>
      </c>
      <c r="AO1082" s="3">
        <v>3.3806539999999998</v>
      </c>
      <c r="AP1082" s="3">
        <v>3.3658602000000002</v>
      </c>
      <c r="AQ1082" s="3">
        <v>3.3514233</v>
      </c>
      <c r="AR1082" s="3">
        <v>3.3373396999999998</v>
      </c>
      <c r="AS1082" s="3">
        <v>3.3236056</v>
      </c>
      <c r="AT1082" s="3">
        <v>3.3102170000000002</v>
      </c>
      <c r="AU1082" s="3">
        <v>3.2971702999999999</v>
      </c>
      <c r="AV1082" s="3">
        <v>3.2844616000000002</v>
      </c>
      <c r="AW1082" s="3">
        <v>3.2720872000000001</v>
      </c>
      <c r="AX1082" s="3">
        <v>3.2600433</v>
      </c>
      <c r="AY1082" s="3">
        <v>3.248326</v>
      </c>
      <c r="AZ1082" s="3">
        <v>3.2369316000000001</v>
      </c>
      <c r="BA1082" s="3">
        <v>3.2258575</v>
      </c>
      <c r="BB1082" s="3">
        <v>3.2151079</v>
      </c>
      <c r="BC1082" s="3">
        <v>3.2046893999999999</v>
      </c>
      <c r="BD1082" s="3">
        <v>3.1946081999999998</v>
      </c>
      <c r="BE1082" s="3">
        <v>3.1848708999999999</v>
      </c>
      <c r="BF1082" s="3">
        <v>3.1754839000000001</v>
      </c>
      <c r="BG1082" s="3">
        <v>3.1664538000000002</v>
      </c>
      <c r="BH1082" s="3">
        <v>3.1577867999999998</v>
      </c>
      <c r="BI1082" s="3">
        <v>3.1494895999999999</v>
      </c>
      <c r="BJ1082" s="3">
        <v>3.1415684000000001</v>
      </c>
      <c r="BK1082" s="3">
        <v>3.1340298999999998</v>
      </c>
      <c r="BL1082" s="3">
        <v>3.1268804000000001</v>
      </c>
      <c r="BM1082" s="3">
        <v>3.0922062000000001</v>
      </c>
      <c r="BN1082" s="3">
        <v>3.0712714999999999</v>
      </c>
    </row>
    <row r="1083" spans="1:66" x14ac:dyDescent="0.35">
      <c r="A1083" s="5">
        <f t="shared" si="16"/>
        <v>44971</v>
      </c>
      <c r="B1083" t="s">
        <v>2484</v>
      </c>
      <c r="C1083" s="2">
        <v>4</v>
      </c>
      <c r="D1083" s="2">
        <v>3.9272</v>
      </c>
      <c r="E1083" s="3">
        <v>4.0092952000000004</v>
      </c>
      <c r="F1083" s="3">
        <v>4.1826163000000003</v>
      </c>
      <c r="G1083" s="3">
        <v>4.3252411999999998</v>
      </c>
      <c r="H1083" s="3">
        <v>4.4373534000000001</v>
      </c>
      <c r="I1083" s="3">
        <v>4.5182983999999999</v>
      </c>
      <c r="J1083" s="3">
        <v>4.5685449</v>
      </c>
      <c r="K1083" s="3">
        <v>4.5916454</v>
      </c>
      <c r="L1083" s="3">
        <v>4.5924046000000001</v>
      </c>
      <c r="M1083" s="3">
        <v>4.5760041999999999</v>
      </c>
      <c r="N1083" s="3">
        <v>4.5474845999999998</v>
      </c>
      <c r="O1083" s="3">
        <v>4.5101472999999999</v>
      </c>
      <c r="P1083" s="3">
        <v>4.4664415000000002</v>
      </c>
      <c r="Q1083" s="3">
        <v>4.4181530000000002</v>
      </c>
      <c r="R1083" s="3">
        <v>4.3665219000000004</v>
      </c>
      <c r="S1083" s="3">
        <v>4.3126832999999998</v>
      </c>
      <c r="T1083" s="3">
        <v>4.2577723000000001</v>
      </c>
      <c r="U1083" s="3">
        <v>4.2029239</v>
      </c>
      <c r="V1083" s="3">
        <v>4.1492732999999999</v>
      </c>
      <c r="W1083" s="3">
        <v>4.0977525999999997</v>
      </c>
      <c r="X1083" s="3">
        <v>4.048521</v>
      </c>
      <c r="Y1083" s="3">
        <v>4.0015539000000002</v>
      </c>
      <c r="Z1083" s="3">
        <v>3.9568265999999999</v>
      </c>
      <c r="AA1083" s="3">
        <v>3.9143143999999999</v>
      </c>
      <c r="AB1083" s="3">
        <v>3.8739927999999999</v>
      </c>
      <c r="AC1083" s="3">
        <v>3.8358237000000002</v>
      </c>
      <c r="AD1083" s="3">
        <v>3.7997097000000002</v>
      </c>
      <c r="AE1083" s="3">
        <v>3.7655373999999999</v>
      </c>
      <c r="AF1083" s="3">
        <v>3.7331932000000001</v>
      </c>
      <c r="AG1083" s="3">
        <v>3.7025636</v>
      </c>
      <c r="AH1083" s="3">
        <v>3.6735348999999999</v>
      </c>
      <c r="AI1083" s="3">
        <v>3.6459936000000002</v>
      </c>
      <c r="AJ1083" s="3">
        <v>3.6198261999999999</v>
      </c>
      <c r="AK1083" s="3">
        <v>3.594919</v>
      </c>
      <c r="AL1083" s="3">
        <v>3.5711586</v>
      </c>
      <c r="AM1083" s="3">
        <v>3.5484312999999998</v>
      </c>
      <c r="AN1083" s="3">
        <v>3.5266236000000002</v>
      </c>
      <c r="AO1083" s="3">
        <v>3.5056333999999998</v>
      </c>
      <c r="AP1083" s="3">
        <v>3.4854202000000001</v>
      </c>
      <c r="AQ1083" s="3">
        <v>3.4659642000000002</v>
      </c>
      <c r="AR1083" s="3">
        <v>3.4472455000000002</v>
      </c>
      <c r="AS1083" s="3">
        <v>3.4292444999999998</v>
      </c>
      <c r="AT1083" s="3">
        <v>3.4119411999999998</v>
      </c>
      <c r="AU1083" s="3">
        <v>3.3953158000000001</v>
      </c>
      <c r="AV1083" s="3">
        <v>3.3793486000000001</v>
      </c>
      <c r="AW1083" s="3">
        <v>3.3640197999999999</v>
      </c>
      <c r="AX1083" s="3">
        <v>3.3493096000000002</v>
      </c>
      <c r="AY1083" s="3">
        <v>3.3351980999999999</v>
      </c>
      <c r="AZ1083" s="3">
        <v>3.3216654999999999</v>
      </c>
      <c r="BA1083" s="3">
        <v>3.3086935999999998</v>
      </c>
      <c r="BB1083" s="3">
        <v>3.2962715999999999</v>
      </c>
      <c r="BC1083" s="3">
        <v>3.2843906999999999</v>
      </c>
      <c r="BD1083" s="3">
        <v>3.2730424999999999</v>
      </c>
      <c r="BE1083" s="3">
        <v>3.2622182</v>
      </c>
      <c r="BF1083" s="3">
        <v>3.2519094000000002</v>
      </c>
      <c r="BG1083" s="3">
        <v>3.2421074000000001</v>
      </c>
      <c r="BH1083" s="3">
        <v>3.2328036</v>
      </c>
      <c r="BI1083" s="3">
        <v>3.2239893999999998</v>
      </c>
      <c r="BJ1083" s="3">
        <v>3.2156562000000002</v>
      </c>
      <c r="BK1083" s="3">
        <v>3.2077954000000002</v>
      </c>
      <c r="BL1083" s="3">
        <v>3.2003984999999999</v>
      </c>
      <c r="BM1083" s="3">
        <v>3.1652879</v>
      </c>
      <c r="BN1083" s="3">
        <v>3.1447853000000001</v>
      </c>
    </row>
    <row r="1084" spans="1:66" x14ac:dyDescent="0.35">
      <c r="A1084" s="5">
        <f t="shared" si="16"/>
        <v>44972</v>
      </c>
      <c r="B1084" t="s">
        <v>2485</v>
      </c>
      <c r="C1084" s="2">
        <v>4</v>
      </c>
      <c r="D1084" s="2">
        <v>3.9272999999999998</v>
      </c>
      <c r="E1084" s="3">
        <v>3.9916738</v>
      </c>
      <c r="F1084" s="3">
        <v>4.1195415000000004</v>
      </c>
      <c r="G1084" s="3">
        <v>4.2192550999999998</v>
      </c>
      <c r="H1084" s="3">
        <v>4.2945780999999998</v>
      </c>
      <c r="I1084" s="3">
        <v>4.3476819000000004</v>
      </c>
      <c r="J1084" s="3">
        <v>4.3805110000000003</v>
      </c>
      <c r="K1084" s="3">
        <v>4.3948875000000003</v>
      </c>
      <c r="L1084" s="3">
        <v>4.3937707000000001</v>
      </c>
      <c r="M1084" s="3">
        <v>4.3805385000000001</v>
      </c>
      <c r="N1084" s="3">
        <v>4.3582498999999997</v>
      </c>
      <c r="O1084" s="3">
        <v>4.3289282</v>
      </c>
      <c r="P1084" s="3">
        <v>4.2940383000000004</v>
      </c>
      <c r="Q1084" s="3">
        <v>4.2544092999999998</v>
      </c>
      <c r="R1084" s="3">
        <v>4.2109727000000001</v>
      </c>
      <c r="S1084" s="3">
        <v>4.1647255999999997</v>
      </c>
      <c r="T1084" s="3">
        <v>4.1166644999999997</v>
      </c>
      <c r="U1084" s="3">
        <v>4.0677864000000001</v>
      </c>
      <c r="V1084" s="3">
        <v>4.0190878999999997</v>
      </c>
      <c r="W1084" s="3">
        <v>3.9714282000000001</v>
      </c>
      <c r="X1084" s="3">
        <v>3.9251421999999998</v>
      </c>
      <c r="Y1084" s="3">
        <v>3.8804401999999998</v>
      </c>
      <c r="Z1084" s="3">
        <v>3.8375324000000002</v>
      </c>
      <c r="AA1084" s="3">
        <v>3.7966288000000001</v>
      </c>
      <c r="AB1084" s="3">
        <v>3.7579399000000002</v>
      </c>
      <c r="AC1084" s="3">
        <v>3.7216342</v>
      </c>
      <c r="AD1084" s="3">
        <v>3.6876574</v>
      </c>
      <c r="AE1084" s="3">
        <v>3.6558801000000001</v>
      </c>
      <c r="AF1084" s="3">
        <v>3.6261728999999998</v>
      </c>
      <c r="AG1084" s="3">
        <v>3.5984064999999998</v>
      </c>
      <c r="AH1084" s="3">
        <v>3.5724513999999998</v>
      </c>
      <c r="AI1084" s="3">
        <v>3.5481782000000002</v>
      </c>
      <c r="AJ1084" s="3">
        <v>3.5254577</v>
      </c>
      <c r="AK1084" s="3">
        <v>3.5041604</v>
      </c>
      <c r="AL1084" s="3">
        <v>3.4841570000000002</v>
      </c>
      <c r="AM1084" s="3">
        <v>3.4653179000000001</v>
      </c>
      <c r="AN1084" s="3">
        <v>3.447514</v>
      </c>
      <c r="AO1084" s="3">
        <v>3.4306272</v>
      </c>
      <c r="AP1084" s="3">
        <v>3.4145948000000002</v>
      </c>
      <c r="AQ1084" s="3">
        <v>3.3993711000000002</v>
      </c>
      <c r="AR1084" s="3">
        <v>3.3849105000000002</v>
      </c>
      <c r="AS1084" s="3">
        <v>3.3711671000000001</v>
      </c>
      <c r="AT1084" s="3">
        <v>3.3580953</v>
      </c>
      <c r="AU1084" s="3">
        <v>3.3456492999999998</v>
      </c>
      <c r="AV1084" s="3">
        <v>3.3337832999999999</v>
      </c>
      <c r="AW1084" s="3">
        <v>3.3224518000000001</v>
      </c>
      <c r="AX1084" s="3">
        <v>3.3116088000000001</v>
      </c>
      <c r="AY1084" s="3">
        <v>3.3012087999999999</v>
      </c>
      <c r="AZ1084" s="3">
        <v>3.2912059</v>
      </c>
      <c r="BA1084" s="3">
        <v>3.2815612999999999</v>
      </c>
      <c r="BB1084" s="3">
        <v>3.2722658</v>
      </c>
      <c r="BC1084" s="3">
        <v>3.2633188999999998</v>
      </c>
      <c r="BD1084" s="3">
        <v>3.2547196999999999</v>
      </c>
      <c r="BE1084" s="3">
        <v>3.2464673999999998</v>
      </c>
      <c r="BF1084" s="3">
        <v>3.2385614999999999</v>
      </c>
      <c r="BG1084" s="3">
        <v>3.2310010999999998</v>
      </c>
      <c r="BH1084" s="3">
        <v>3.2237855</v>
      </c>
      <c r="BI1084" s="3">
        <v>3.2169139000000002</v>
      </c>
      <c r="BJ1084" s="3">
        <v>3.2103856</v>
      </c>
      <c r="BK1084" s="3">
        <v>3.2041998999999999</v>
      </c>
      <c r="BL1084" s="3">
        <v>3.1983560999999998</v>
      </c>
      <c r="BM1084" s="3">
        <v>3.1703847999999999</v>
      </c>
      <c r="BN1084" s="3">
        <v>3.1542579000000002</v>
      </c>
    </row>
    <row r="1085" spans="1:66" x14ac:dyDescent="0.35">
      <c r="A1085" s="5">
        <f t="shared" si="16"/>
        <v>44973</v>
      </c>
      <c r="B1085" t="s">
        <v>2486</v>
      </c>
      <c r="C1085" s="2">
        <v>4</v>
      </c>
      <c r="D1085" s="2">
        <v>3.9272999999999998</v>
      </c>
      <c r="E1085" s="3">
        <v>3.9902221999999998</v>
      </c>
      <c r="F1085" s="3">
        <v>4.1142696000000001</v>
      </c>
      <c r="G1085" s="3">
        <v>4.2122324999999998</v>
      </c>
      <c r="H1085" s="3">
        <v>4.2866375000000003</v>
      </c>
      <c r="I1085" s="3">
        <v>4.3375374999999998</v>
      </c>
      <c r="J1085" s="3">
        <v>4.3656325999999996</v>
      </c>
      <c r="K1085" s="3">
        <v>4.3737522000000002</v>
      </c>
      <c r="L1085" s="3">
        <v>4.3659990999999998</v>
      </c>
      <c r="M1085" s="3">
        <v>4.3470741000000004</v>
      </c>
      <c r="N1085" s="3">
        <v>4.3203123000000003</v>
      </c>
      <c r="O1085" s="3">
        <v>4.2879075000000002</v>
      </c>
      <c r="P1085" s="3">
        <v>4.2509537999999996</v>
      </c>
      <c r="Q1085" s="3">
        <v>4.2096970999999996</v>
      </c>
      <c r="R1085" s="3">
        <v>4.1650005999999999</v>
      </c>
      <c r="S1085" s="3">
        <v>4.1179328999999996</v>
      </c>
      <c r="T1085" s="3">
        <v>4.0695623000000003</v>
      </c>
      <c r="U1085" s="3">
        <v>4.0209574999999997</v>
      </c>
      <c r="V1085" s="3">
        <v>3.9731869</v>
      </c>
      <c r="W1085" s="3">
        <v>3.9271541000000001</v>
      </c>
      <c r="X1085" s="3">
        <v>3.8831348000000001</v>
      </c>
      <c r="Y1085" s="3">
        <v>3.8412552</v>
      </c>
      <c r="Z1085" s="3">
        <v>3.8016416999999998</v>
      </c>
      <c r="AA1085" s="3">
        <v>3.7644204000000001</v>
      </c>
      <c r="AB1085" s="3">
        <v>3.7297177000000001</v>
      </c>
      <c r="AC1085" s="3">
        <v>3.6976178000000002</v>
      </c>
      <c r="AD1085" s="3">
        <v>3.6679998999999999</v>
      </c>
      <c r="AE1085" s="3">
        <v>3.6406808000000002</v>
      </c>
      <c r="AF1085" s="3">
        <v>3.6154772999999998</v>
      </c>
      <c r="AG1085" s="3">
        <v>3.5922063</v>
      </c>
      <c r="AH1085" s="3">
        <v>3.5706845999999999</v>
      </c>
      <c r="AI1085" s="3">
        <v>3.550729</v>
      </c>
      <c r="AJ1085" s="3">
        <v>3.5321563</v>
      </c>
      <c r="AK1085" s="3">
        <v>3.5147833999999998</v>
      </c>
      <c r="AL1085" s="3">
        <v>3.4984270999999998</v>
      </c>
      <c r="AM1085" s="3">
        <v>3.4829042000000001</v>
      </c>
      <c r="AN1085" s="3">
        <v>3.4680314999999999</v>
      </c>
      <c r="AO1085" s="3">
        <v>3.4536511999999999</v>
      </c>
      <c r="AP1085" s="3">
        <v>3.4397175999999998</v>
      </c>
      <c r="AQ1085" s="3">
        <v>3.4262157000000002</v>
      </c>
      <c r="AR1085" s="3">
        <v>3.4131307</v>
      </c>
      <c r="AS1085" s="3">
        <v>3.4004477</v>
      </c>
      <c r="AT1085" s="3">
        <v>3.3881519</v>
      </c>
      <c r="AU1085" s="3">
        <v>3.3762281999999999</v>
      </c>
      <c r="AV1085" s="3">
        <v>3.364662</v>
      </c>
      <c r="AW1085" s="3">
        <v>3.3534381999999998</v>
      </c>
      <c r="AX1085" s="3">
        <v>3.3425419999999999</v>
      </c>
      <c r="AY1085" s="3">
        <v>3.3319586000000001</v>
      </c>
      <c r="AZ1085" s="3">
        <v>3.3216730000000001</v>
      </c>
      <c r="BA1085" s="3">
        <v>3.3116736000000002</v>
      </c>
      <c r="BB1085" s="3">
        <v>3.3019628999999999</v>
      </c>
      <c r="BC1085" s="3">
        <v>3.2925472999999998</v>
      </c>
      <c r="BD1085" s="3">
        <v>3.2834333</v>
      </c>
      <c r="BE1085" s="3">
        <v>3.2746273000000001</v>
      </c>
      <c r="BF1085" s="3">
        <v>3.2661356000000001</v>
      </c>
      <c r="BG1085" s="3">
        <v>3.2579647999999999</v>
      </c>
      <c r="BH1085" s="3">
        <v>3.2501213</v>
      </c>
      <c r="BI1085" s="3">
        <v>3.2426113999999999</v>
      </c>
      <c r="BJ1085" s="3">
        <v>3.2354416000000001</v>
      </c>
      <c r="BK1085" s="3">
        <v>3.2286184000000002</v>
      </c>
      <c r="BL1085" s="3">
        <v>3.2221481999999999</v>
      </c>
      <c r="BM1085" s="3">
        <v>3.1908238999999998</v>
      </c>
      <c r="BN1085" s="3">
        <v>3.1721575</v>
      </c>
    </row>
    <row r="1086" spans="1:66" x14ac:dyDescent="0.35">
      <c r="A1086" s="5">
        <f t="shared" si="16"/>
        <v>44974</v>
      </c>
      <c r="B1086" t="s">
        <v>2487</v>
      </c>
      <c r="C1086" s="2">
        <v>4</v>
      </c>
      <c r="D1086" s="2">
        <v>3.9270999999999998</v>
      </c>
      <c r="E1086" s="3">
        <v>3.9972854999999998</v>
      </c>
      <c r="F1086" s="3">
        <v>4.1331109000000001</v>
      </c>
      <c r="G1086" s="3">
        <v>4.2403177999999997</v>
      </c>
      <c r="H1086" s="3">
        <v>4.3224115999999997</v>
      </c>
      <c r="I1086" s="3">
        <v>4.3787903000000004</v>
      </c>
      <c r="J1086" s="3">
        <v>4.4096302999999999</v>
      </c>
      <c r="K1086" s="3">
        <v>4.4180200000000003</v>
      </c>
      <c r="L1086" s="3">
        <v>4.4084627999999997</v>
      </c>
      <c r="M1086" s="3">
        <v>4.3861831999999996</v>
      </c>
      <c r="N1086" s="3">
        <v>4.3550354000000002</v>
      </c>
      <c r="O1086" s="3">
        <v>4.317609</v>
      </c>
      <c r="P1086" s="3">
        <v>4.2754490000000001</v>
      </c>
      <c r="Q1086" s="3">
        <v>4.2290858</v>
      </c>
      <c r="R1086" s="3">
        <v>4.1794874000000002</v>
      </c>
      <c r="S1086" s="3">
        <v>4.1278275000000004</v>
      </c>
      <c r="T1086" s="3">
        <v>4.0752797999999997</v>
      </c>
      <c r="U1086" s="3">
        <v>4.0230179000000001</v>
      </c>
      <c r="V1086" s="3">
        <v>3.9722156000000002</v>
      </c>
      <c r="W1086" s="3">
        <v>3.9238784999999998</v>
      </c>
      <c r="X1086" s="3">
        <v>3.8782331999999999</v>
      </c>
      <c r="Y1086" s="3">
        <v>3.83528</v>
      </c>
      <c r="Z1086" s="3">
        <v>3.7950197999999999</v>
      </c>
      <c r="AA1086" s="3">
        <v>3.7574529999999999</v>
      </c>
      <c r="AB1086" s="3">
        <v>3.7225801999999999</v>
      </c>
      <c r="AC1086" s="3">
        <v>3.6903741000000001</v>
      </c>
      <c r="AD1086" s="3">
        <v>3.6606844999999999</v>
      </c>
      <c r="AE1086" s="3">
        <v>3.6333272000000001</v>
      </c>
      <c r="AF1086" s="3">
        <v>3.6081178</v>
      </c>
      <c r="AG1086" s="3">
        <v>3.5848722</v>
      </c>
      <c r="AH1086" s="3">
        <v>3.5634060999999999</v>
      </c>
      <c r="AI1086" s="3">
        <v>3.5435354000000001</v>
      </c>
      <c r="AJ1086" s="3">
        <v>3.5250756999999999</v>
      </c>
      <c r="AK1086" s="3">
        <v>3.5078428000000001</v>
      </c>
      <c r="AL1086" s="3">
        <v>3.4916526000000001</v>
      </c>
      <c r="AM1086" s="3">
        <v>3.4763207</v>
      </c>
      <c r="AN1086" s="3">
        <v>3.4616631</v>
      </c>
      <c r="AO1086" s="3">
        <v>3.4475202</v>
      </c>
      <c r="AP1086" s="3">
        <v>3.4338430999999998</v>
      </c>
      <c r="AQ1086" s="3">
        <v>3.4206127999999998</v>
      </c>
      <c r="AR1086" s="3">
        <v>3.4078105999999999</v>
      </c>
      <c r="AS1086" s="3">
        <v>3.3954175000000002</v>
      </c>
      <c r="AT1086" s="3">
        <v>3.3834149999999998</v>
      </c>
      <c r="AU1086" s="3">
        <v>3.3717839999999999</v>
      </c>
      <c r="AV1086" s="3">
        <v>3.3605057999999999</v>
      </c>
      <c r="AW1086" s="3">
        <v>3.3495615999999999</v>
      </c>
      <c r="AX1086" s="3">
        <v>3.3389324999999999</v>
      </c>
      <c r="AY1086" s="3">
        <v>3.3285998000000001</v>
      </c>
      <c r="AZ1086" s="3">
        <v>3.3185446000000001</v>
      </c>
      <c r="BA1086" s="3">
        <v>3.3087523000000001</v>
      </c>
      <c r="BB1086" s="3">
        <v>3.2992263999999998</v>
      </c>
      <c r="BC1086" s="3">
        <v>3.2899756</v>
      </c>
      <c r="BD1086" s="3">
        <v>3.2810082999999999</v>
      </c>
      <c r="BE1086" s="3">
        <v>3.2723333999999999</v>
      </c>
      <c r="BF1086" s="3">
        <v>3.2639591999999999</v>
      </c>
      <c r="BG1086" s="3">
        <v>3.2558946</v>
      </c>
      <c r="BH1086" s="3">
        <v>3.2481479000000002</v>
      </c>
      <c r="BI1086" s="3">
        <v>3.2407279999999998</v>
      </c>
      <c r="BJ1086" s="3">
        <v>3.2336433000000002</v>
      </c>
      <c r="BK1086" s="3">
        <v>3.2269025999999998</v>
      </c>
      <c r="BL1086" s="3">
        <v>3.2205143000000001</v>
      </c>
      <c r="BM1086" s="3">
        <v>3.1897522999999999</v>
      </c>
      <c r="BN1086" s="3">
        <v>3.1719300000000001</v>
      </c>
    </row>
    <row r="1087" spans="1:66" x14ac:dyDescent="0.35">
      <c r="A1087" s="5">
        <f t="shared" si="16"/>
        <v>44977</v>
      </c>
      <c r="B1087" t="s">
        <v>2488</v>
      </c>
      <c r="C1087" s="2">
        <v>4</v>
      </c>
      <c r="D1087" s="2">
        <v>3.9275000000000002</v>
      </c>
      <c r="E1087" s="3">
        <v>4.0103157999999999</v>
      </c>
      <c r="F1087" s="3">
        <v>4.1493658</v>
      </c>
      <c r="G1087" s="3">
        <v>4.2506405000000003</v>
      </c>
      <c r="H1087" s="3">
        <v>4.3236488</v>
      </c>
      <c r="I1087" s="3">
        <v>4.3726832</v>
      </c>
      <c r="J1087" s="3">
        <v>4.3976227999999997</v>
      </c>
      <c r="K1087" s="3">
        <v>4.4002596</v>
      </c>
      <c r="L1087" s="3">
        <v>4.3838616000000004</v>
      </c>
      <c r="M1087" s="3">
        <v>4.3531317999999999</v>
      </c>
      <c r="N1087" s="3">
        <v>4.3122943999999999</v>
      </c>
      <c r="O1087" s="3">
        <v>4.2648564999999996</v>
      </c>
      <c r="P1087" s="3">
        <v>4.2136309000000001</v>
      </c>
      <c r="Q1087" s="3">
        <v>4.1612375999999998</v>
      </c>
      <c r="R1087" s="3">
        <v>4.1087255000000003</v>
      </c>
      <c r="S1087" s="3">
        <v>4.0567235999999998</v>
      </c>
      <c r="T1087" s="3">
        <v>4.0058606000000001</v>
      </c>
      <c r="U1087" s="3">
        <v>3.9567654999999999</v>
      </c>
      <c r="V1087" s="3">
        <v>3.9100671999999999</v>
      </c>
      <c r="W1087" s="3">
        <v>3.8662531000000002</v>
      </c>
      <c r="X1087" s="3">
        <v>3.8252725999999999</v>
      </c>
      <c r="Y1087" s="3">
        <v>3.7869472000000002</v>
      </c>
      <c r="Z1087" s="3">
        <v>3.7510981000000001</v>
      </c>
      <c r="AA1087" s="3">
        <v>3.7175465999999999</v>
      </c>
      <c r="AB1087" s="3">
        <v>3.6861139999999999</v>
      </c>
      <c r="AC1087" s="3">
        <v>3.6566291</v>
      </c>
      <c r="AD1087" s="3">
        <v>3.6289528999999998</v>
      </c>
      <c r="AE1087" s="3">
        <v>3.6029553999999999</v>
      </c>
      <c r="AF1087" s="3">
        <v>3.5785067000000002</v>
      </c>
      <c r="AG1087" s="3">
        <v>3.5554766999999998</v>
      </c>
      <c r="AH1087" s="3">
        <v>3.5337356</v>
      </c>
      <c r="AI1087" s="3">
        <v>3.5131532999999999</v>
      </c>
      <c r="AJ1087" s="3">
        <v>3.4935999</v>
      </c>
      <c r="AK1087" s="3">
        <v>3.4749454000000002</v>
      </c>
      <c r="AL1087" s="3">
        <v>3.4570598000000001</v>
      </c>
      <c r="AM1087" s="3">
        <v>3.4398130999999998</v>
      </c>
      <c r="AN1087" s="3">
        <v>3.4230754999999999</v>
      </c>
      <c r="AO1087" s="3">
        <v>3.4067368</v>
      </c>
      <c r="AP1087" s="3">
        <v>3.3907756999999998</v>
      </c>
      <c r="AQ1087" s="3">
        <v>3.3751948999999999</v>
      </c>
      <c r="AR1087" s="3">
        <v>3.3599972999999999</v>
      </c>
      <c r="AS1087" s="3">
        <v>3.3451857999999999</v>
      </c>
      <c r="AT1087" s="3">
        <v>3.3307631999999998</v>
      </c>
      <c r="AU1087" s="3">
        <v>3.3167323999999998</v>
      </c>
      <c r="AV1087" s="3">
        <v>3.3030963</v>
      </c>
      <c r="AW1087" s="3">
        <v>3.2898575999999999</v>
      </c>
      <c r="AX1087" s="3">
        <v>3.2770193999999999</v>
      </c>
      <c r="AY1087" s="3">
        <v>3.2645843000000001</v>
      </c>
      <c r="AZ1087" s="3">
        <v>3.2525553999999999</v>
      </c>
      <c r="BA1087" s="3">
        <v>3.2409362000000002</v>
      </c>
      <c r="BB1087" s="3">
        <v>3.2297351999999999</v>
      </c>
      <c r="BC1087" s="3">
        <v>3.2189622999999998</v>
      </c>
      <c r="BD1087" s="3">
        <v>3.2086272</v>
      </c>
      <c r="BE1087" s="3">
        <v>3.1987399999999999</v>
      </c>
      <c r="BF1087" s="3">
        <v>3.1893104000000001</v>
      </c>
      <c r="BG1087" s="3">
        <v>3.1803485</v>
      </c>
      <c r="BH1087" s="3">
        <v>3.1718639999999998</v>
      </c>
      <c r="BI1087" s="3">
        <v>3.1638668999999999</v>
      </c>
      <c r="BJ1087" s="3">
        <v>3.1563671000000002</v>
      </c>
      <c r="BK1087" s="3">
        <v>3.1493744000000001</v>
      </c>
      <c r="BL1087" s="3">
        <v>3.1428988000000002</v>
      </c>
      <c r="BM1087" s="3">
        <v>3.1148075</v>
      </c>
      <c r="BN1087" s="3">
        <v>3.1038408999999998</v>
      </c>
    </row>
    <row r="1088" spans="1:66" x14ac:dyDescent="0.35">
      <c r="A1088" s="5">
        <f t="shared" si="16"/>
        <v>44978</v>
      </c>
      <c r="B1088" t="s">
        <v>2489</v>
      </c>
      <c r="C1088" s="2">
        <v>4</v>
      </c>
      <c r="D1088" s="2">
        <v>3.9272</v>
      </c>
      <c r="E1088" s="3">
        <v>4.0238743000000001</v>
      </c>
      <c r="F1088" s="3">
        <v>4.1958232000000004</v>
      </c>
      <c r="G1088" s="3">
        <v>4.3287275999999997</v>
      </c>
      <c r="H1088" s="3">
        <v>4.4305966000000003</v>
      </c>
      <c r="I1088" s="3">
        <v>4.5029684000000003</v>
      </c>
      <c r="J1088" s="3">
        <v>4.5455746000000001</v>
      </c>
      <c r="K1088" s="3">
        <v>4.5622748</v>
      </c>
      <c r="L1088" s="3">
        <v>4.5585401000000001</v>
      </c>
      <c r="M1088" s="3">
        <v>4.5398817999999999</v>
      </c>
      <c r="N1088" s="3">
        <v>4.5112291000000004</v>
      </c>
      <c r="O1088" s="3">
        <v>4.4756736000000004</v>
      </c>
      <c r="P1088" s="3">
        <v>4.4353154999999997</v>
      </c>
      <c r="Q1088" s="3">
        <v>4.3914333000000001</v>
      </c>
      <c r="R1088" s="3">
        <v>4.3449729000000001</v>
      </c>
      <c r="S1088" s="3">
        <v>4.2968419999999998</v>
      </c>
      <c r="T1088" s="3">
        <v>4.2479481999999997</v>
      </c>
      <c r="U1088" s="3">
        <v>4.1991987999999996</v>
      </c>
      <c r="V1088" s="3">
        <v>4.1515015999999996</v>
      </c>
      <c r="W1088" s="3">
        <v>4.1056014999999997</v>
      </c>
      <c r="X1088" s="3">
        <v>4.0616238999999998</v>
      </c>
      <c r="Y1088" s="3">
        <v>4.0195471999999999</v>
      </c>
      <c r="Z1088" s="3">
        <v>3.9793493</v>
      </c>
      <c r="AA1088" s="3">
        <v>3.9410086</v>
      </c>
      <c r="AB1088" s="3">
        <v>3.9045033</v>
      </c>
      <c r="AC1088" s="3">
        <v>3.8698014000000001</v>
      </c>
      <c r="AD1088" s="3">
        <v>3.836827</v>
      </c>
      <c r="AE1088" s="3">
        <v>3.8054918999999998</v>
      </c>
      <c r="AF1088" s="3">
        <v>3.7757079999999998</v>
      </c>
      <c r="AG1088" s="3">
        <v>3.7473869999999998</v>
      </c>
      <c r="AH1088" s="3">
        <v>3.7204408</v>
      </c>
      <c r="AI1088" s="3">
        <v>3.6947812999999998</v>
      </c>
      <c r="AJ1088" s="3">
        <v>3.6703201000000001</v>
      </c>
      <c r="AK1088" s="3">
        <v>3.6469692</v>
      </c>
      <c r="AL1088" s="3">
        <v>3.6246402999999998</v>
      </c>
      <c r="AM1088" s="3">
        <v>3.6032453000000002</v>
      </c>
      <c r="AN1088" s="3">
        <v>3.5826961000000002</v>
      </c>
      <c r="AO1088" s="3">
        <v>3.5629138999999999</v>
      </c>
      <c r="AP1088" s="3">
        <v>3.5438711000000001</v>
      </c>
      <c r="AQ1088" s="3">
        <v>3.5255575000000001</v>
      </c>
      <c r="AR1088" s="3">
        <v>3.5079627000000002</v>
      </c>
      <c r="AS1088" s="3">
        <v>3.4910763999999999</v>
      </c>
      <c r="AT1088" s="3">
        <v>3.4748880999999998</v>
      </c>
      <c r="AU1088" s="3">
        <v>3.4593875000000001</v>
      </c>
      <c r="AV1088" s="3">
        <v>3.4445643000000001</v>
      </c>
      <c r="AW1088" s="3">
        <v>3.4304082</v>
      </c>
      <c r="AX1088" s="3">
        <v>3.4169086000000002</v>
      </c>
      <c r="AY1088" s="3">
        <v>3.4040553999999998</v>
      </c>
      <c r="AZ1088" s="3">
        <v>3.3918382</v>
      </c>
      <c r="BA1088" s="3">
        <v>3.3802466999999998</v>
      </c>
      <c r="BB1088" s="3">
        <v>3.3692717999999999</v>
      </c>
      <c r="BC1088" s="3">
        <v>3.3589045999999998</v>
      </c>
      <c r="BD1088" s="3">
        <v>3.3491360999999999</v>
      </c>
      <c r="BE1088" s="3">
        <v>3.3399576</v>
      </c>
      <c r="BF1088" s="3">
        <v>3.3313600000000001</v>
      </c>
      <c r="BG1088" s="3">
        <v>3.3233343999999998</v>
      </c>
      <c r="BH1088" s="3">
        <v>3.3158720000000002</v>
      </c>
      <c r="BI1088" s="3">
        <v>3.3089639000000002</v>
      </c>
      <c r="BJ1088" s="3">
        <v>3.3026010000000001</v>
      </c>
      <c r="BK1088" s="3">
        <v>3.2967746</v>
      </c>
      <c r="BL1088" s="3">
        <v>3.2914756999999999</v>
      </c>
      <c r="BM1088" s="3">
        <v>3.2700266</v>
      </c>
      <c r="BN1088" s="3">
        <v>3.2638992</v>
      </c>
    </row>
    <row r="1089" spans="1:66" x14ac:dyDescent="0.35">
      <c r="A1089" s="5">
        <f t="shared" si="16"/>
        <v>44979</v>
      </c>
      <c r="B1089" t="s">
        <v>2490</v>
      </c>
      <c r="C1089" s="2">
        <v>4</v>
      </c>
      <c r="D1089" s="2">
        <v>3.927</v>
      </c>
      <c r="E1089" s="3">
        <v>4.0275848999999999</v>
      </c>
      <c r="F1089" s="3">
        <v>4.2035345</v>
      </c>
      <c r="G1089" s="3">
        <v>4.3358859000000001</v>
      </c>
      <c r="H1089" s="3">
        <v>4.4363450000000002</v>
      </c>
      <c r="I1089" s="3">
        <v>4.5077105</v>
      </c>
      <c r="J1089" s="3">
        <v>4.5500534000000004</v>
      </c>
      <c r="K1089" s="3">
        <v>4.5657551999999999</v>
      </c>
      <c r="L1089" s="3">
        <v>4.5600921000000003</v>
      </c>
      <c r="M1089" s="3">
        <v>4.5386566000000004</v>
      </c>
      <c r="N1089" s="3">
        <v>4.5062398999999997</v>
      </c>
      <c r="O1089" s="3">
        <v>4.4661654999999998</v>
      </c>
      <c r="P1089" s="3">
        <v>4.4209446999999997</v>
      </c>
      <c r="Q1089" s="3">
        <v>4.3725208999999996</v>
      </c>
      <c r="R1089" s="3">
        <v>4.3220045999999996</v>
      </c>
      <c r="S1089" s="3">
        <v>4.2703141000000002</v>
      </c>
      <c r="T1089" s="3">
        <v>4.2183675999999997</v>
      </c>
      <c r="U1089" s="3">
        <v>4.1670834000000001</v>
      </c>
      <c r="V1089" s="3">
        <v>4.1173799999999998</v>
      </c>
      <c r="W1089" s="3">
        <v>4.0700133999999997</v>
      </c>
      <c r="X1089" s="3">
        <v>4.0251219000000003</v>
      </c>
      <c r="Y1089" s="3">
        <v>3.9826969000000001</v>
      </c>
      <c r="Z1089" s="3">
        <v>3.9427298</v>
      </c>
      <c r="AA1089" s="3">
        <v>3.9052120000000001</v>
      </c>
      <c r="AB1089" s="3">
        <v>3.8701346999999999</v>
      </c>
      <c r="AC1089" s="3">
        <v>3.8374709</v>
      </c>
      <c r="AD1089" s="3">
        <v>3.8070940000000002</v>
      </c>
      <c r="AE1089" s="3">
        <v>3.7788439</v>
      </c>
      <c r="AF1089" s="3">
        <v>3.7525607000000001</v>
      </c>
      <c r="AG1089" s="3">
        <v>3.7280844000000002</v>
      </c>
      <c r="AH1089" s="3">
        <v>3.7052548000000001</v>
      </c>
      <c r="AI1089" s="3">
        <v>3.6839121000000001</v>
      </c>
      <c r="AJ1089" s="3">
        <v>3.6638961000000001</v>
      </c>
      <c r="AK1089" s="3">
        <v>3.6450469999999999</v>
      </c>
      <c r="AL1089" s="3">
        <v>3.6272045999999998</v>
      </c>
      <c r="AM1089" s="3">
        <v>3.6102088999999999</v>
      </c>
      <c r="AN1089" s="3">
        <v>3.5939000000000001</v>
      </c>
      <c r="AO1089" s="3">
        <v>3.5781369999999999</v>
      </c>
      <c r="AP1089" s="3">
        <v>3.5628730000000002</v>
      </c>
      <c r="AQ1089" s="3">
        <v>3.5480893</v>
      </c>
      <c r="AR1089" s="3">
        <v>3.5337673999999999</v>
      </c>
      <c r="AS1089" s="3">
        <v>3.5198887999999999</v>
      </c>
      <c r="AT1089" s="3">
        <v>3.5064350000000002</v>
      </c>
      <c r="AU1089" s="3">
        <v>3.4933874</v>
      </c>
      <c r="AV1089" s="3">
        <v>3.4807275</v>
      </c>
      <c r="AW1089" s="3">
        <v>3.4684366999999998</v>
      </c>
      <c r="AX1089" s="3">
        <v>3.4564965999999999</v>
      </c>
      <c r="AY1089" s="3">
        <v>3.4448884999999998</v>
      </c>
      <c r="AZ1089" s="3">
        <v>3.4335939999999998</v>
      </c>
      <c r="BA1089" s="3">
        <v>3.4225989999999999</v>
      </c>
      <c r="BB1089" s="3">
        <v>3.4119082999999999</v>
      </c>
      <c r="BC1089" s="3">
        <v>3.4015325000000001</v>
      </c>
      <c r="BD1089" s="3">
        <v>3.3914818000000002</v>
      </c>
      <c r="BE1089" s="3">
        <v>3.3817667999999999</v>
      </c>
      <c r="BF1089" s="3">
        <v>3.3723976000000002</v>
      </c>
      <c r="BG1089" s="3">
        <v>3.3633848</v>
      </c>
      <c r="BH1089" s="3">
        <v>3.3547386000000001</v>
      </c>
      <c r="BI1089" s="3">
        <v>3.3464695</v>
      </c>
      <c r="BJ1089" s="3">
        <v>3.3385878</v>
      </c>
      <c r="BK1089" s="3">
        <v>3.3311039</v>
      </c>
      <c r="BL1089" s="3">
        <v>3.3240281</v>
      </c>
      <c r="BM1089" s="3">
        <v>3.2902431000000001</v>
      </c>
      <c r="BN1089" s="3">
        <v>3.2708381000000002</v>
      </c>
    </row>
    <row r="1090" spans="1:66" x14ac:dyDescent="0.35">
      <c r="A1090" s="5">
        <f t="shared" si="16"/>
        <v>44980</v>
      </c>
      <c r="B1090" t="s">
        <v>2491</v>
      </c>
      <c r="C1090" s="2">
        <v>4</v>
      </c>
      <c r="D1090" s="2">
        <v>3.927</v>
      </c>
      <c r="E1090" s="3">
        <v>4.0310461999999996</v>
      </c>
      <c r="F1090" s="3">
        <v>4.2085036000000002</v>
      </c>
      <c r="G1090" s="3">
        <v>4.3429589999999996</v>
      </c>
      <c r="H1090" s="3">
        <v>4.4486661999999999</v>
      </c>
      <c r="I1090" s="3">
        <v>4.5284095000000004</v>
      </c>
      <c r="J1090" s="3">
        <v>4.5800561000000002</v>
      </c>
      <c r="K1090" s="3">
        <v>4.6041343000000001</v>
      </c>
      <c r="L1090" s="3">
        <v>4.6039108000000004</v>
      </c>
      <c r="M1090" s="3">
        <v>4.5848126999999996</v>
      </c>
      <c r="N1090" s="3">
        <v>4.5517158000000002</v>
      </c>
      <c r="O1090" s="3">
        <v>4.5092939000000003</v>
      </c>
      <c r="P1090" s="3">
        <v>4.4606338000000001</v>
      </c>
      <c r="Q1090" s="3">
        <v>4.4088272999999996</v>
      </c>
      <c r="R1090" s="3">
        <v>4.3552749000000004</v>
      </c>
      <c r="S1090" s="3">
        <v>4.3008863000000002</v>
      </c>
      <c r="T1090" s="3">
        <v>4.2465713000000003</v>
      </c>
      <c r="U1090" s="3">
        <v>4.1932394999999998</v>
      </c>
      <c r="V1090" s="3">
        <v>4.1418007000000001</v>
      </c>
      <c r="W1090" s="3">
        <v>4.0929884999999997</v>
      </c>
      <c r="X1090" s="3">
        <v>4.0468662999999996</v>
      </c>
      <c r="Y1090" s="3">
        <v>4.0033379</v>
      </c>
      <c r="Z1090" s="3">
        <v>3.9623069000000002</v>
      </c>
      <c r="AA1090" s="3">
        <v>3.9236773</v>
      </c>
      <c r="AB1090" s="3">
        <v>3.8873525999999998</v>
      </c>
      <c r="AC1090" s="3">
        <v>3.8532321999999999</v>
      </c>
      <c r="AD1090" s="3">
        <v>3.8211922</v>
      </c>
      <c r="AE1090" s="3">
        <v>3.7911019000000001</v>
      </c>
      <c r="AF1090" s="3">
        <v>3.7628306999999999</v>
      </c>
      <c r="AG1090" s="3">
        <v>3.7362479</v>
      </c>
      <c r="AH1090" s="3">
        <v>3.7112227</v>
      </c>
      <c r="AI1090" s="3">
        <v>3.6876245999999999</v>
      </c>
      <c r="AJ1090" s="3">
        <v>3.6653229000000001</v>
      </c>
      <c r="AK1090" s="3">
        <v>3.6441867999999999</v>
      </c>
      <c r="AL1090" s="3">
        <v>3.6240857000000002</v>
      </c>
      <c r="AM1090" s="3">
        <v>3.604889</v>
      </c>
      <c r="AN1090" s="3">
        <v>3.5864658</v>
      </c>
      <c r="AO1090" s="3">
        <v>3.5687023</v>
      </c>
      <c r="AP1090" s="3">
        <v>3.5515577999999999</v>
      </c>
      <c r="AQ1090" s="3">
        <v>3.5350120999999999</v>
      </c>
      <c r="AR1090" s="3">
        <v>3.5190448999999999</v>
      </c>
      <c r="AS1090" s="3">
        <v>3.5036360000000002</v>
      </c>
      <c r="AT1090" s="3">
        <v>3.4887651000000002</v>
      </c>
      <c r="AU1090" s="3">
        <v>3.4744120000000001</v>
      </c>
      <c r="AV1090" s="3">
        <v>3.4605562999999999</v>
      </c>
      <c r="AW1090" s="3">
        <v>3.4471778999999998</v>
      </c>
      <c r="AX1090" s="3">
        <v>3.4342564000000002</v>
      </c>
      <c r="AY1090" s="3">
        <v>3.4217715000000002</v>
      </c>
      <c r="AZ1090" s="3">
        <v>3.4097032</v>
      </c>
      <c r="BA1090" s="3">
        <v>3.3980343</v>
      </c>
      <c r="BB1090" s="3">
        <v>3.3867626</v>
      </c>
      <c r="BC1090" s="3">
        <v>3.3758900999999999</v>
      </c>
      <c r="BD1090" s="3">
        <v>3.3654185999999999</v>
      </c>
      <c r="BE1090" s="3">
        <v>3.3553499000000002</v>
      </c>
      <c r="BF1090" s="3">
        <v>3.3456858</v>
      </c>
      <c r="BG1090" s="3">
        <v>3.3364281999999998</v>
      </c>
      <c r="BH1090" s="3">
        <v>3.3275788999999998</v>
      </c>
      <c r="BI1090" s="3">
        <v>3.3191397</v>
      </c>
      <c r="BJ1090" s="3">
        <v>3.3111126</v>
      </c>
      <c r="BK1090" s="3">
        <v>3.3034992999999999</v>
      </c>
      <c r="BL1090" s="3">
        <v>3.2963018000000002</v>
      </c>
      <c r="BM1090" s="3">
        <v>3.2617604</v>
      </c>
      <c r="BN1090" s="3">
        <v>3.2415053999999999</v>
      </c>
    </row>
    <row r="1091" spans="1:66" x14ac:dyDescent="0.35">
      <c r="A1091" s="5">
        <f t="shared" si="16"/>
        <v>44981</v>
      </c>
      <c r="B1091" t="s">
        <v>2492</v>
      </c>
      <c r="C1091" s="2">
        <v>4</v>
      </c>
      <c r="D1091" s="2">
        <v>3.9274</v>
      </c>
      <c r="E1091" s="3">
        <v>4.0638088999999997</v>
      </c>
      <c r="F1091" s="3">
        <v>4.2625498000000004</v>
      </c>
      <c r="G1091" s="3">
        <v>4.4142999999999999</v>
      </c>
      <c r="H1091" s="3">
        <v>4.5368414000000001</v>
      </c>
      <c r="I1091" s="3">
        <v>4.6332873000000001</v>
      </c>
      <c r="J1091" s="3">
        <v>4.7011314999999998</v>
      </c>
      <c r="K1091" s="3">
        <v>4.7413470999999996</v>
      </c>
      <c r="L1091" s="3">
        <v>4.7574145999999997</v>
      </c>
      <c r="M1091" s="3">
        <v>4.7545029999999997</v>
      </c>
      <c r="N1091" s="3">
        <v>4.7367495999999996</v>
      </c>
      <c r="O1091" s="3">
        <v>4.7077150000000003</v>
      </c>
      <c r="P1091" s="3">
        <v>4.6697154999999997</v>
      </c>
      <c r="Q1091" s="3">
        <v>4.6249067999999998</v>
      </c>
      <c r="R1091" s="3">
        <v>4.5748844999999996</v>
      </c>
      <c r="S1091" s="3">
        <v>4.5210467000000003</v>
      </c>
      <c r="T1091" s="3">
        <v>4.4647914999999996</v>
      </c>
      <c r="U1091" s="3">
        <v>4.4075170000000004</v>
      </c>
      <c r="V1091" s="3">
        <v>4.3506213000000002</v>
      </c>
      <c r="W1091" s="3">
        <v>4.2953323000000001</v>
      </c>
      <c r="X1091" s="3">
        <v>4.2420061000000002</v>
      </c>
      <c r="Y1091" s="3">
        <v>4.1907205000000003</v>
      </c>
      <c r="Z1091" s="3">
        <v>4.1415531000000003</v>
      </c>
      <c r="AA1091" s="3">
        <v>4.0945815000000003</v>
      </c>
      <c r="AB1091" s="3">
        <v>4.0498830999999997</v>
      </c>
      <c r="AC1091" s="3">
        <v>4.0075070999999998</v>
      </c>
      <c r="AD1091" s="3">
        <v>3.9673756999999998</v>
      </c>
      <c r="AE1091" s="3">
        <v>3.9293767000000002</v>
      </c>
      <c r="AF1091" s="3">
        <v>3.8933974999999998</v>
      </c>
      <c r="AG1091" s="3">
        <v>3.8593256999999999</v>
      </c>
      <c r="AH1091" s="3">
        <v>3.8270488</v>
      </c>
      <c r="AI1091" s="3">
        <v>3.7964544999999998</v>
      </c>
      <c r="AJ1091" s="3">
        <v>3.7674303</v>
      </c>
      <c r="AK1091" s="3">
        <v>3.7398636999999999</v>
      </c>
      <c r="AL1091" s="3">
        <v>3.7136421999999998</v>
      </c>
      <c r="AM1091" s="3">
        <v>3.6886535999999999</v>
      </c>
      <c r="AN1091" s="3">
        <v>3.6647851999999999</v>
      </c>
      <c r="AO1091" s="3">
        <v>3.6419364000000001</v>
      </c>
      <c r="AP1091" s="3">
        <v>3.6200572000000002</v>
      </c>
      <c r="AQ1091" s="3">
        <v>3.5991119999999999</v>
      </c>
      <c r="AR1091" s="3">
        <v>3.5790652999999999</v>
      </c>
      <c r="AS1091" s="3">
        <v>3.5598814000000001</v>
      </c>
      <c r="AT1091" s="3">
        <v>3.5415245999999998</v>
      </c>
      <c r="AU1091" s="3">
        <v>3.5239593</v>
      </c>
      <c r="AV1091" s="3">
        <v>3.5071498000000001</v>
      </c>
      <c r="AW1091" s="3">
        <v>3.4910606</v>
      </c>
      <c r="AX1091" s="3">
        <v>3.4756559</v>
      </c>
      <c r="AY1091" s="3">
        <v>3.4609002000000002</v>
      </c>
      <c r="AZ1091" s="3">
        <v>3.4467577</v>
      </c>
      <c r="BA1091" s="3">
        <v>3.4331966999999999</v>
      </c>
      <c r="BB1091" s="3">
        <v>3.4202021</v>
      </c>
      <c r="BC1091" s="3">
        <v>3.4077633999999999</v>
      </c>
      <c r="BD1091" s="3">
        <v>3.3958702000000001</v>
      </c>
      <c r="BE1091" s="3">
        <v>3.3845120999999998</v>
      </c>
      <c r="BF1091" s="3">
        <v>3.3736785999999999</v>
      </c>
      <c r="BG1091" s="3">
        <v>3.3633594000000002</v>
      </c>
      <c r="BH1091" s="3">
        <v>3.3535439</v>
      </c>
      <c r="BI1091" s="3">
        <v>3.3442216999999999</v>
      </c>
      <c r="BJ1091" s="3">
        <v>3.3353825000000001</v>
      </c>
      <c r="BK1091" s="3">
        <v>3.3270157</v>
      </c>
      <c r="BL1091" s="3">
        <v>3.3191109000000001</v>
      </c>
      <c r="BM1091" s="3">
        <v>3.2810092000000002</v>
      </c>
      <c r="BN1091" s="3">
        <v>3.2581763000000001</v>
      </c>
    </row>
    <row r="1092" spans="1:66" x14ac:dyDescent="0.35">
      <c r="A1092" s="5">
        <f t="shared" si="16"/>
        <v>44984</v>
      </c>
      <c r="B1092" t="s">
        <v>2493</v>
      </c>
      <c r="C1092" s="2">
        <v>4</v>
      </c>
      <c r="D1092" s="2">
        <v>3.927</v>
      </c>
      <c r="E1092" s="3">
        <v>4.0930809999999997</v>
      </c>
      <c r="F1092" s="3">
        <v>4.2761943999999996</v>
      </c>
      <c r="G1092" s="3">
        <v>4.4184887000000002</v>
      </c>
      <c r="H1092" s="3">
        <v>4.531765</v>
      </c>
      <c r="I1092" s="3">
        <v>4.6212410999999998</v>
      </c>
      <c r="J1092" s="3">
        <v>4.6862237000000002</v>
      </c>
      <c r="K1092" s="3">
        <v>4.7279396</v>
      </c>
      <c r="L1092" s="3">
        <v>4.7483113000000001</v>
      </c>
      <c r="M1092" s="3">
        <v>4.7506608999999997</v>
      </c>
      <c r="N1092" s="3">
        <v>4.7381190000000002</v>
      </c>
      <c r="O1092" s="3">
        <v>4.7135436999999998</v>
      </c>
      <c r="P1092" s="3">
        <v>4.6798807</v>
      </c>
      <c r="Q1092" s="3">
        <v>4.6403467000000003</v>
      </c>
      <c r="R1092" s="3">
        <v>4.5964603999999998</v>
      </c>
      <c r="S1092" s="3">
        <v>4.5492616000000003</v>
      </c>
      <c r="T1092" s="3">
        <v>4.4997904000000002</v>
      </c>
      <c r="U1092" s="3">
        <v>4.4490864999999999</v>
      </c>
      <c r="V1092" s="3">
        <v>4.3981897999999999</v>
      </c>
      <c r="W1092" s="3">
        <v>4.3479937</v>
      </c>
      <c r="X1092" s="3">
        <v>4.2988337000000003</v>
      </c>
      <c r="Y1092" s="3">
        <v>4.2509123999999998</v>
      </c>
      <c r="Z1092" s="3">
        <v>4.2044325000000002</v>
      </c>
      <c r="AA1092" s="3">
        <v>4.1595969000000004</v>
      </c>
      <c r="AB1092" s="3">
        <v>4.1166081999999999</v>
      </c>
      <c r="AC1092" s="3">
        <v>4.0756240999999997</v>
      </c>
      <c r="AD1092" s="3">
        <v>4.0366039999999996</v>
      </c>
      <c r="AE1092" s="3">
        <v>3.9994524999999999</v>
      </c>
      <c r="AF1092" s="3">
        <v>3.9640740999999999</v>
      </c>
      <c r="AG1092" s="3">
        <v>3.9303732999999998</v>
      </c>
      <c r="AH1092" s="3">
        <v>3.8982549</v>
      </c>
      <c r="AI1092" s="3">
        <v>3.8676233</v>
      </c>
      <c r="AJ1092" s="3">
        <v>3.8383831000000002</v>
      </c>
      <c r="AK1092" s="3">
        <v>3.8104388</v>
      </c>
      <c r="AL1092" s="3">
        <v>3.7836951000000001</v>
      </c>
      <c r="AM1092" s="3">
        <v>3.7580564999999999</v>
      </c>
      <c r="AN1092" s="3">
        <v>3.7334276000000002</v>
      </c>
      <c r="AO1092" s="3">
        <v>3.7097235999999998</v>
      </c>
      <c r="AP1092" s="3">
        <v>3.6869067000000002</v>
      </c>
      <c r="AQ1092" s="3">
        <v>3.6649520999999998</v>
      </c>
      <c r="AR1092" s="3">
        <v>3.6438348999999999</v>
      </c>
      <c r="AS1092" s="3">
        <v>3.6235305000000002</v>
      </c>
      <c r="AT1092" s="3">
        <v>3.6040139</v>
      </c>
      <c r="AU1092" s="3">
        <v>3.5852604000000001</v>
      </c>
      <c r="AV1092" s="3">
        <v>3.5672451000000001</v>
      </c>
      <c r="AW1092" s="3">
        <v>3.5499432999999998</v>
      </c>
      <c r="AX1092" s="3">
        <v>3.5333299999999999</v>
      </c>
      <c r="AY1092" s="3">
        <v>3.5173806000000001</v>
      </c>
      <c r="AZ1092" s="3">
        <v>3.5020701999999999</v>
      </c>
      <c r="BA1092" s="3">
        <v>3.4873766000000002</v>
      </c>
      <c r="BB1092" s="3">
        <v>3.4732923000000002</v>
      </c>
      <c r="BC1092" s="3">
        <v>3.4598143000000001</v>
      </c>
      <c r="BD1092" s="3">
        <v>3.4469398999999998</v>
      </c>
      <c r="BE1092" s="3">
        <v>3.4346662999999999</v>
      </c>
      <c r="BF1092" s="3">
        <v>3.4229905999999999</v>
      </c>
      <c r="BG1092" s="3">
        <v>3.4119100000000002</v>
      </c>
      <c r="BH1092" s="3">
        <v>3.4014217000000002</v>
      </c>
      <c r="BI1092" s="3">
        <v>3.3915229</v>
      </c>
      <c r="BJ1092" s="3">
        <v>3.3822108000000002</v>
      </c>
      <c r="BK1092" s="3">
        <v>3.3734825000000002</v>
      </c>
      <c r="BL1092" s="3">
        <v>3.3653352999999999</v>
      </c>
      <c r="BM1092" s="3">
        <v>3.3281500999999998</v>
      </c>
      <c r="BN1092" s="3">
        <v>3.30905</v>
      </c>
    </row>
    <row r="1093" spans="1:66" x14ac:dyDescent="0.35">
      <c r="A1093" s="5">
        <f t="shared" si="16"/>
        <v>44985</v>
      </c>
      <c r="B1093" t="s">
        <v>2494</v>
      </c>
      <c r="C1093" s="2">
        <v>4</v>
      </c>
      <c r="D1093" s="2">
        <v>3.927</v>
      </c>
      <c r="E1093" s="3">
        <v>4.0962559000000001</v>
      </c>
      <c r="F1093" s="3">
        <v>4.2659250999999996</v>
      </c>
      <c r="G1093" s="3">
        <v>4.4042735000000004</v>
      </c>
      <c r="H1093" s="3">
        <v>4.5131563999999997</v>
      </c>
      <c r="I1093" s="3">
        <v>4.5986820000000002</v>
      </c>
      <c r="J1093" s="3">
        <v>4.6646633</v>
      </c>
      <c r="K1093" s="3">
        <v>4.7136347000000001</v>
      </c>
      <c r="L1093" s="3">
        <v>4.7479589000000004</v>
      </c>
      <c r="M1093" s="3">
        <v>4.7692188</v>
      </c>
      <c r="N1093" s="3">
        <v>4.7790860999999998</v>
      </c>
      <c r="O1093" s="3">
        <v>4.7782511000000003</v>
      </c>
      <c r="P1093" s="3">
        <v>4.7669841999999996</v>
      </c>
      <c r="Q1093" s="3">
        <v>4.7452395000000003</v>
      </c>
      <c r="R1093" s="3">
        <v>4.7140656999999999</v>
      </c>
      <c r="S1093" s="3">
        <v>4.6748675000000004</v>
      </c>
      <c r="T1093" s="3">
        <v>4.6290497000000004</v>
      </c>
      <c r="U1093" s="3">
        <v>4.5780173</v>
      </c>
      <c r="V1093" s="3">
        <v>4.5231748999999999</v>
      </c>
      <c r="W1093" s="3">
        <v>4.4658696999999998</v>
      </c>
      <c r="X1093" s="3">
        <v>4.4070865000000001</v>
      </c>
      <c r="Y1093" s="3">
        <v>4.3476698000000003</v>
      </c>
      <c r="Z1093" s="3">
        <v>4.2884640999999997</v>
      </c>
      <c r="AA1093" s="3">
        <v>4.2303137</v>
      </c>
      <c r="AB1093" s="3">
        <v>4.1740630999999997</v>
      </c>
      <c r="AC1093" s="3">
        <v>4.1204158</v>
      </c>
      <c r="AD1093" s="3">
        <v>4.0694542</v>
      </c>
      <c r="AE1093" s="3">
        <v>4.0210891000000002</v>
      </c>
      <c r="AF1093" s="3">
        <v>3.9752312999999999</v>
      </c>
      <c r="AG1093" s="3">
        <v>3.9317918000000001</v>
      </c>
      <c r="AH1093" s="3">
        <v>3.8906812999999998</v>
      </c>
      <c r="AI1093" s="3">
        <v>3.8518107000000001</v>
      </c>
      <c r="AJ1093" s="3">
        <v>3.8150909</v>
      </c>
      <c r="AK1093" s="3">
        <v>3.7804327999999998</v>
      </c>
      <c r="AL1093" s="3">
        <v>3.7477472000000001</v>
      </c>
      <c r="AM1093" s="3">
        <v>3.7169449000000001</v>
      </c>
      <c r="AN1093" s="3">
        <v>3.6879368000000001</v>
      </c>
      <c r="AO1093" s="3">
        <v>3.6606337</v>
      </c>
      <c r="AP1093" s="3">
        <v>3.6349466000000001</v>
      </c>
      <c r="AQ1093" s="3">
        <v>3.6107860999999999</v>
      </c>
      <c r="AR1093" s="3">
        <v>3.5880630999999998</v>
      </c>
      <c r="AS1093" s="3">
        <v>3.5666883999999999</v>
      </c>
      <c r="AT1093" s="3">
        <v>3.5465727999999999</v>
      </c>
      <c r="AU1093" s="3">
        <v>3.5276271000000001</v>
      </c>
      <c r="AV1093" s="3">
        <v>3.5097621999999999</v>
      </c>
      <c r="AW1093" s="3">
        <v>3.4928887999999998</v>
      </c>
      <c r="AX1093" s="3">
        <v>3.4769177</v>
      </c>
      <c r="AY1093" s="3">
        <v>3.4617597999999998</v>
      </c>
      <c r="AZ1093" s="3">
        <v>3.4473258000000002</v>
      </c>
      <c r="BA1093" s="3">
        <v>3.4335369999999998</v>
      </c>
      <c r="BB1093" s="3">
        <v>3.4203652</v>
      </c>
      <c r="BC1093" s="3">
        <v>3.4077975</v>
      </c>
      <c r="BD1093" s="3">
        <v>3.3958211999999999</v>
      </c>
      <c r="BE1093" s="3">
        <v>3.3844235999999999</v>
      </c>
      <c r="BF1093" s="3">
        <v>3.3735917999999998</v>
      </c>
      <c r="BG1093" s="3">
        <v>3.3633131000000001</v>
      </c>
      <c r="BH1093" s="3">
        <v>3.3535746999999998</v>
      </c>
      <c r="BI1093" s="3">
        <v>3.3443637000000002</v>
      </c>
      <c r="BJ1093" s="3">
        <v>3.3356675</v>
      </c>
      <c r="BK1093" s="3">
        <v>3.3274732999999999</v>
      </c>
      <c r="BL1093" s="3">
        <v>3.3197681999999999</v>
      </c>
      <c r="BM1093" s="3">
        <v>3.2834256000000002</v>
      </c>
      <c r="BN1093" s="3">
        <v>3.2635036999999998</v>
      </c>
    </row>
    <row r="1094" spans="1:66" x14ac:dyDescent="0.35">
      <c r="A1094" s="5">
        <f t="shared" si="16"/>
        <v>44986</v>
      </c>
      <c r="B1094" t="s">
        <v>2496</v>
      </c>
      <c r="C1094" s="2">
        <v>4</v>
      </c>
      <c r="D1094" s="2">
        <v>3.927</v>
      </c>
      <c r="E1094" s="3">
        <v>4.0969823999999999</v>
      </c>
      <c r="F1094" s="3">
        <v>4.2468155999999997</v>
      </c>
      <c r="G1094" s="3">
        <v>4.3762452999999999</v>
      </c>
      <c r="H1094" s="3">
        <v>4.4848962999999999</v>
      </c>
      <c r="I1094" s="3">
        <v>4.5701859000000002</v>
      </c>
      <c r="J1094" s="3">
        <v>4.6322204999999999</v>
      </c>
      <c r="K1094" s="3">
        <v>4.6731327</v>
      </c>
      <c r="L1094" s="3">
        <v>4.6971407000000003</v>
      </c>
      <c r="M1094" s="3">
        <v>4.7081413000000003</v>
      </c>
      <c r="N1094" s="3">
        <v>4.7090819000000002</v>
      </c>
      <c r="O1094" s="3">
        <v>4.7016365000000002</v>
      </c>
      <c r="P1094" s="3">
        <v>4.6863276999999997</v>
      </c>
      <c r="Q1094" s="3">
        <v>4.6628746000000003</v>
      </c>
      <c r="R1094" s="3">
        <v>4.6319350000000004</v>
      </c>
      <c r="S1094" s="3">
        <v>4.5944994000000001</v>
      </c>
      <c r="T1094" s="3">
        <v>4.5515584999999996</v>
      </c>
      <c r="U1094" s="3">
        <v>4.5041026999999998</v>
      </c>
      <c r="V1094" s="3">
        <v>4.4531228</v>
      </c>
      <c r="W1094" s="3">
        <v>4.3995953999999999</v>
      </c>
      <c r="X1094" s="3">
        <v>4.3444194999999999</v>
      </c>
      <c r="Y1094" s="3">
        <v>4.2884665999999996</v>
      </c>
      <c r="Z1094" s="3">
        <v>4.2326081000000002</v>
      </c>
      <c r="AA1094" s="3">
        <v>4.1777154000000003</v>
      </c>
      <c r="AB1094" s="3">
        <v>4.1246600999999998</v>
      </c>
      <c r="AC1094" s="3">
        <v>4.0741965999999996</v>
      </c>
      <c r="AD1094" s="3">
        <v>4.0264496999999997</v>
      </c>
      <c r="AE1094" s="3">
        <v>3.9813329999999998</v>
      </c>
      <c r="AF1094" s="3">
        <v>3.9387601000000001</v>
      </c>
      <c r="AG1094" s="3">
        <v>3.8986445000000001</v>
      </c>
      <c r="AH1094" s="3">
        <v>3.8608997</v>
      </c>
      <c r="AI1094" s="3">
        <v>3.8254391999999999</v>
      </c>
      <c r="AJ1094" s="3">
        <v>3.7921765000000001</v>
      </c>
      <c r="AK1094" s="3">
        <v>3.7610252000000002</v>
      </c>
      <c r="AL1094" s="3">
        <v>3.7318988000000002</v>
      </c>
      <c r="AM1094" s="3">
        <v>3.7047107000000001</v>
      </c>
      <c r="AN1094" s="3">
        <v>3.6793745000000002</v>
      </c>
      <c r="AO1094" s="3">
        <v>3.6558025999999999</v>
      </c>
      <c r="AP1094" s="3">
        <v>3.6339014999999999</v>
      </c>
      <c r="AQ1094" s="3">
        <v>3.6135761</v>
      </c>
      <c r="AR1094" s="3">
        <v>3.5947314000000001</v>
      </c>
      <c r="AS1094" s="3">
        <v>3.5772721999999999</v>
      </c>
      <c r="AT1094" s="3">
        <v>3.5611035000000002</v>
      </c>
      <c r="AU1094" s="3">
        <v>3.5461299999999998</v>
      </c>
      <c r="AV1094" s="3">
        <v>3.5322567999999999</v>
      </c>
      <c r="AW1094" s="3">
        <v>3.5193886000000001</v>
      </c>
      <c r="AX1094" s="3">
        <v>3.5074304000000001</v>
      </c>
      <c r="AY1094" s="3">
        <v>3.4962871</v>
      </c>
      <c r="AZ1094" s="3">
        <v>3.4858634999999998</v>
      </c>
      <c r="BA1094" s="3">
        <v>3.4760757</v>
      </c>
      <c r="BB1094" s="3">
        <v>3.4668884000000002</v>
      </c>
      <c r="BC1094" s="3">
        <v>3.4582799</v>
      </c>
      <c r="BD1094" s="3">
        <v>3.4502285000000001</v>
      </c>
      <c r="BE1094" s="3">
        <v>3.4427124999999998</v>
      </c>
      <c r="BF1094" s="3">
        <v>3.4357101999999999</v>
      </c>
      <c r="BG1094" s="3">
        <v>3.4291999</v>
      </c>
      <c r="BH1094" s="3">
        <v>3.4231598999999999</v>
      </c>
      <c r="BI1094" s="3">
        <v>3.4175684</v>
      </c>
      <c r="BJ1094" s="3">
        <v>3.4124039000000002</v>
      </c>
      <c r="BK1094" s="3">
        <v>3.4076445</v>
      </c>
      <c r="BL1094" s="3">
        <v>3.4032684999999998</v>
      </c>
      <c r="BM1094" s="3">
        <v>3.3843407000000001</v>
      </c>
      <c r="BN1094" s="3">
        <v>3.3767580000000001</v>
      </c>
    </row>
    <row r="1095" spans="1:66" x14ac:dyDescent="0.35">
      <c r="A1095" s="5">
        <f t="shared" si="16"/>
        <v>44987</v>
      </c>
      <c r="B1095" t="s">
        <v>2497</v>
      </c>
      <c r="C1095" s="2">
        <v>4</v>
      </c>
      <c r="D1095" s="2">
        <v>3.9272999999999998</v>
      </c>
      <c r="E1095" s="3">
        <v>4.0946733000000002</v>
      </c>
      <c r="F1095" s="3">
        <v>4.2411988999999997</v>
      </c>
      <c r="G1095" s="3">
        <v>4.3696079000000001</v>
      </c>
      <c r="H1095" s="3">
        <v>4.4794435999999997</v>
      </c>
      <c r="I1095" s="3">
        <v>4.5684487999999996</v>
      </c>
      <c r="J1095" s="3">
        <v>4.6354899999999999</v>
      </c>
      <c r="K1095" s="3">
        <v>4.6817845</v>
      </c>
      <c r="L1095" s="3">
        <v>4.7093799000000001</v>
      </c>
      <c r="M1095" s="3">
        <v>4.7216171999999998</v>
      </c>
      <c r="N1095" s="3">
        <v>4.7211534999999998</v>
      </c>
      <c r="O1095" s="3">
        <v>4.710445</v>
      </c>
      <c r="P1095" s="3">
        <v>4.6910743000000004</v>
      </c>
      <c r="Q1095" s="3">
        <v>4.6644556000000001</v>
      </c>
      <c r="R1095" s="3">
        <v>4.6317497999999997</v>
      </c>
      <c r="S1095" s="3">
        <v>4.5940113</v>
      </c>
      <c r="T1095" s="3">
        <v>4.5522945000000004</v>
      </c>
      <c r="U1095" s="3">
        <v>4.5076539000000002</v>
      </c>
      <c r="V1095" s="3">
        <v>4.4611438000000003</v>
      </c>
      <c r="W1095" s="3">
        <v>4.4137389999999996</v>
      </c>
      <c r="X1095" s="3">
        <v>4.3660063999999998</v>
      </c>
      <c r="Y1095" s="3">
        <v>4.3183822999999997</v>
      </c>
      <c r="Z1095" s="3">
        <v>4.2713030999999999</v>
      </c>
      <c r="AA1095" s="3">
        <v>4.2252052999999998</v>
      </c>
      <c r="AB1095" s="3">
        <v>4.1805251999999999</v>
      </c>
      <c r="AC1095" s="3">
        <v>4.1376321000000003</v>
      </c>
      <c r="AD1095" s="3">
        <v>4.0965673000000002</v>
      </c>
      <c r="AE1095" s="3">
        <v>4.0572723999999996</v>
      </c>
      <c r="AF1095" s="3">
        <v>4.0196892000000002</v>
      </c>
      <c r="AG1095" s="3">
        <v>3.9837590999999999</v>
      </c>
      <c r="AH1095" s="3">
        <v>3.949424</v>
      </c>
      <c r="AI1095" s="3">
        <v>3.9166253000000002</v>
      </c>
      <c r="AJ1095" s="3">
        <v>3.8853046999999998</v>
      </c>
      <c r="AK1095" s="3">
        <v>3.8554040000000001</v>
      </c>
      <c r="AL1095" s="3">
        <v>3.8268645999999999</v>
      </c>
      <c r="AM1095" s="3">
        <v>3.7996281999999999</v>
      </c>
      <c r="AN1095" s="3">
        <v>3.7736364999999998</v>
      </c>
      <c r="AO1095" s="3">
        <v>3.7488339000000002</v>
      </c>
      <c r="AP1095" s="3">
        <v>3.7251769000000001</v>
      </c>
      <c r="AQ1095" s="3">
        <v>3.7026254999999999</v>
      </c>
      <c r="AR1095" s="3">
        <v>3.6811397000000001</v>
      </c>
      <c r="AS1095" s="3">
        <v>3.6606792000000001</v>
      </c>
      <c r="AT1095" s="3">
        <v>3.6412041999999998</v>
      </c>
      <c r="AU1095" s="3">
        <v>3.6226745999999999</v>
      </c>
      <c r="AV1095" s="3">
        <v>3.6050502</v>
      </c>
      <c r="AW1095" s="3">
        <v>3.5882911000000002</v>
      </c>
      <c r="AX1095" s="3">
        <v>3.5723571000000001</v>
      </c>
      <c r="AY1095" s="3">
        <v>3.5572081999999998</v>
      </c>
      <c r="AZ1095" s="3">
        <v>3.5428044000000001</v>
      </c>
      <c r="BA1095" s="3">
        <v>3.5291100000000002</v>
      </c>
      <c r="BB1095" s="3">
        <v>3.5161087000000002</v>
      </c>
      <c r="BC1095" s="3">
        <v>3.5037897999999998</v>
      </c>
      <c r="BD1095" s="3">
        <v>3.4921422999999998</v>
      </c>
      <c r="BE1095" s="3">
        <v>3.4811553000000002</v>
      </c>
      <c r="BF1095" s="3">
        <v>3.4708180999999998</v>
      </c>
      <c r="BG1095" s="3">
        <v>3.4611196</v>
      </c>
      <c r="BH1095" s="3">
        <v>3.4520491999999998</v>
      </c>
      <c r="BI1095" s="3">
        <v>3.4435958000000002</v>
      </c>
      <c r="BJ1095" s="3">
        <v>3.4357487</v>
      </c>
      <c r="BK1095" s="3">
        <v>3.4284968999999998</v>
      </c>
      <c r="BL1095" s="3">
        <v>3.4218296000000001</v>
      </c>
      <c r="BM1095" s="3">
        <v>3.39344</v>
      </c>
      <c r="BN1095" s="3">
        <v>3.3830355000000001</v>
      </c>
    </row>
    <row r="1096" spans="1:66" x14ac:dyDescent="0.35">
      <c r="A1096" s="5">
        <f t="shared" si="16"/>
        <v>44988</v>
      </c>
      <c r="B1096" t="s">
        <v>2498</v>
      </c>
      <c r="C1096" s="2">
        <v>4</v>
      </c>
      <c r="D1096" s="2">
        <v>3.9272</v>
      </c>
      <c r="E1096" s="3">
        <v>4.0998739000000004</v>
      </c>
      <c r="F1096" s="3">
        <v>4.2412149000000001</v>
      </c>
      <c r="G1096" s="3">
        <v>4.3717597000000001</v>
      </c>
      <c r="H1096" s="3">
        <v>4.4861531000000001</v>
      </c>
      <c r="I1096" s="3">
        <v>4.5795228000000003</v>
      </c>
      <c r="J1096" s="3">
        <v>4.6495027999999996</v>
      </c>
      <c r="K1096" s="3">
        <v>4.6967810999999999</v>
      </c>
      <c r="L1096" s="3">
        <v>4.723884</v>
      </c>
      <c r="M1096" s="3">
        <v>4.7344100999999998</v>
      </c>
      <c r="N1096" s="3">
        <v>4.7316094</v>
      </c>
      <c r="O1096" s="3">
        <v>4.7180910000000003</v>
      </c>
      <c r="P1096" s="3">
        <v>4.6958317000000003</v>
      </c>
      <c r="Q1096" s="3">
        <v>4.6661460000000003</v>
      </c>
      <c r="R1096" s="3">
        <v>4.6301759999999996</v>
      </c>
      <c r="S1096" s="3">
        <v>4.5890747000000003</v>
      </c>
      <c r="T1096" s="3">
        <v>4.5439954</v>
      </c>
      <c r="U1096" s="3">
        <v>4.4960908999999996</v>
      </c>
      <c r="V1096" s="3">
        <v>4.4465146000000004</v>
      </c>
      <c r="W1096" s="3">
        <v>4.3963286000000004</v>
      </c>
      <c r="X1096" s="3">
        <v>4.3461303999999998</v>
      </c>
      <c r="Y1096" s="3">
        <v>4.2963690000000003</v>
      </c>
      <c r="Z1096" s="3">
        <v>4.2474933000000004</v>
      </c>
      <c r="AA1096" s="3">
        <v>4.1999519999999997</v>
      </c>
      <c r="AB1096" s="3">
        <v>4.1541942000000001</v>
      </c>
      <c r="AC1096" s="3">
        <v>4.1105862000000002</v>
      </c>
      <c r="AD1096" s="3">
        <v>4.0691302</v>
      </c>
      <c r="AE1096" s="3">
        <v>4.0297279000000001</v>
      </c>
      <c r="AF1096" s="3">
        <v>3.9922808999999999</v>
      </c>
      <c r="AG1096" s="3">
        <v>3.9566911</v>
      </c>
      <c r="AH1096" s="3">
        <v>3.9228600999999998</v>
      </c>
      <c r="AI1096" s="3">
        <v>3.8906896</v>
      </c>
      <c r="AJ1096" s="3">
        <v>3.8600813</v>
      </c>
      <c r="AK1096" s="3">
        <v>3.8309369000000002</v>
      </c>
      <c r="AL1096" s="3">
        <v>3.8031581000000001</v>
      </c>
      <c r="AM1096" s="3">
        <v>3.7766467000000001</v>
      </c>
      <c r="AN1096" s="3">
        <v>3.7513043000000001</v>
      </c>
      <c r="AO1096" s="3">
        <v>3.7270412999999998</v>
      </c>
      <c r="AP1096" s="3">
        <v>3.7038061999999998</v>
      </c>
      <c r="AQ1096" s="3">
        <v>3.6815582999999998</v>
      </c>
      <c r="AR1096" s="3">
        <v>3.6602565</v>
      </c>
      <c r="AS1096" s="3">
        <v>3.6398600999999999</v>
      </c>
      <c r="AT1096" s="3">
        <v>3.6203281</v>
      </c>
      <c r="AU1096" s="3">
        <v>3.6016197000000001</v>
      </c>
      <c r="AV1096" s="3">
        <v>3.5836939000000001</v>
      </c>
      <c r="AW1096" s="3">
        <v>3.5665098999999998</v>
      </c>
      <c r="AX1096" s="3">
        <v>3.5500267999999999</v>
      </c>
      <c r="AY1096" s="3">
        <v>3.5342037999999998</v>
      </c>
      <c r="AZ1096" s="3">
        <v>3.5189998999999998</v>
      </c>
      <c r="BA1096" s="3">
        <v>3.5043804000000001</v>
      </c>
      <c r="BB1096" s="3">
        <v>3.4903381000000002</v>
      </c>
      <c r="BC1096" s="3">
        <v>3.4768732</v>
      </c>
      <c r="BD1096" s="3">
        <v>3.4639859999999998</v>
      </c>
      <c r="BE1096" s="3">
        <v>3.4516765999999999</v>
      </c>
      <c r="BF1096" s="3">
        <v>3.4399453000000002</v>
      </c>
      <c r="BG1096" s="3">
        <v>3.4287923</v>
      </c>
      <c r="BH1096" s="3">
        <v>3.418218</v>
      </c>
      <c r="BI1096" s="3">
        <v>3.4082224000000001</v>
      </c>
      <c r="BJ1096" s="3">
        <v>3.398806</v>
      </c>
      <c r="BK1096" s="3">
        <v>3.3899688000000001</v>
      </c>
      <c r="BL1096" s="3">
        <v>3.3817111999999998</v>
      </c>
      <c r="BM1096" s="3">
        <v>3.3441253</v>
      </c>
      <c r="BN1096" s="3">
        <v>3.3260890000000001</v>
      </c>
    </row>
    <row r="1097" spans="1:66" x14ac:dyDescent="0.35">
      <c r="A1097" s="5">
        <f t="shared" si="16"/>
        <v>44991</v>
      </c>
      <c r="B1097" t="s">
        <v>2499</v>
      </c>
      <c r="C1097" s="2">
        <v>4</v>
      </c>
      <c r="D1097" s="2">
        <v>3.9272999999999998</v>
      </c>
      <c r="E1097" s="3">
        <v>4.1294000999999998</v>
      </c>
      <c r="F1097" s="3">
        <v>4.2544819</v>
      </c>
      <c r="G1097" s="3">
        <v>4.3854438</v>
      </c>
      <c r="H1097" s="3">
        <v>4.5032302</v>
      </c>
      <c r="I1097" s="3">
        <v>4.5989922999999999</v>
      </c>
      <c r="J1097" s="3">
        <v>4.6712712999999999</v>
      </c>
      <c r="K1097" s="3">
        <v>4.7213573000000002</v>
      </c>
      <c r="L1097" s="3">
        <v>4.7523175000000002</v>
      </c>
      <c r="M1097" s="3">
        <v>4.7675574000000003</v>
      </c>
      <c r="N1097" s="3">
        <v>4.7702811000000001</v>
      </c>
      <c r="O1097" s="3">
        <v>4.7626704000000002</v>
      </c>
      <c r="P1097" s="3">
        <v>4.7462105000000001</v>
      </c>
      <c r="Q1097" s="3">
        <v>4.7218941000000001</v>
      </c>
      <c r="R1097" s="3">
        <v>4.6907547000000003</v>
      </c>
      <c r="S1097" s="3">
        <v>4.6538725000000003</v>
      </c>
      <c r="T1097" s="3">
        <v>4.6123276999999998</v>
      </c>
      <c r="U1097" s="3">
        <v>4.5672005999999996</v>
      </c>
      <c r="V1097" s="3">
        <v>4.5195714999999996</v>
      </c>
      <c r="W1097" s="3">
        <v>4.4704467000000001</v>
      </c>
      <c r="X1097" s="3">
        <v>4.4204530999999996</v>
      </c>
      <c r="Y1097" s="3">
        <v>4.3700967999999998</v>
      </c>
      <c r="Z1097" s="3">
        <v>4.3198835999999998</v>
      </c>
      <c r="AA1097" s="3">
        <v>4.2703195000000003</v>
      </c>
      <c r="AB1097" s="3">
        <v>4.2219103000000002</v>
      </c>
      <c r="AC1097" s="3">
        <v>4.1750809999999996</v>
      </c>
      <c r="AD1097" s="3">
        <v>4.1298994999999996</v>
      </c>
      <c r="AE1097" s="3">
        <v>4.0863348999999998</v>
      </c>
      <c r="AF1097" s="3">
        <v>4.0443566000000004</v>
      </c>
      <c r="AG1097" s="3">
        <v>4.0039338000000004</v>
      </c>
      <c r="AH1097" s="3">
        <v>3.9650357999999999</v>
      </c>
      <c r="AI1097" s="3">
        <v>3.9276317999999999</v>
      </c>
      <c r="AJ1097" s="3">
        <v>3.8916911000000001</v>
      </c>
      <c r="AK1097" s="3">
        <v>3.8571829000000002</v>
      </c>
      <c r="AL1097" s="3">
        <v>3.8240764999999999</v>
      </c>
      <c r="AM1097" s="3">
        <v>3.7923410999999998</v>
      </c>
      <c r="AN1097" s="3">
        <v>3.761946</v>
      </c>
      <c r="AO1097" s="3">
        <v>3.7328606</v>
      </c>
      <c r="AP1097" s="3">
        <v>3.7050542000000002</v>
      </c>
      <c r="AQ1097" s="3">
        <v>3.6784962999999999</v>
      </c>
      <c r="AR1097" s="3">
        <v>3.6531563999999999</v>
      </c>
      <c r="AS1097" s="3">
        <v>3.6290040000000001</v>
      </c>
      <c r="AT1097" s="3">
        <v>3.6060086</v>
      </c>
      <c r="AU1097" s="3">
        <v>3.5841397000000002</v>
      </c>
      <c r="AV1097" s="3">
        <v>3.5633667</v>
      </c>
      <c r="AW1097" s="3">
        <v>3.5436592</v>
      </c>
      <c r="AX1097" s="3">
        <v>3.5249866000000001</v>
      </c>
      <c r="AY1097" s="3">
        <v>3.5073183000000001</v>
      </c>
      <c r="AZ1097" s="3">
        <v>3.4906239999999999</v>
      </c>
      <c r="BA1097" s="3">
        <v>3.4748741000000001</v>
      </c>
      <c r="BB1097" s="3">
        <v>3.4600442999999999</v>
      </c>
      <c r="BC1097" s="3">
        <v>3.4461121000000001</v>
      </c>
      <c r="BD1097" s="3">
        <v>3.4330550999999998</v>
      </c>
      <c r="BE1097" s="3">
        <v>3.4208508000000002</v>
      </c>
      <c r="BF1097" s="3">
        <v>3.4094766999999999</v>
      </c>
      <c r="BG1097" s="3">
        <v>3.3989104000000001</v>
      </c>
      <c r="BH1097" s="3">
        <v>3.3891293999999998</v>
      </c>
      <c r="BI1097" s="3">
        <v>3.3801112999999998</v>
      </c>
      <c r="BJ1097" s="3">
        <v>3.3718333999999999</v>
      </c>
      <c r="BK1097" s="3">
        <v>3.3642734999999999</v>
      </c>
      <c r="BL1097" s="3">
        <v>3.3574088999999998</v>
      </c>
      <c r="BM1097" s="3">
        <v>3.3295276999999999</v>
      </c>
      <c r="BN1097" s="3">
        <v>3.3207776</v>
      </c>
    </row>
    <row r="1098" spans="1:66" x14ac:dyDescent="0.35">
      <c r="A1098" s="5">
        <f t="shared" si="16"/>
        <v>44992</v>
      </c>
      <c r="B1098" t="s">
        <v>2500</v>
      </c>
      <c r="C1098" s="2">
        <v>4</v>
      </c>
      <c r="D1098" s="2">
        <v>3.9275000000000002</v>
      </c>
      <c r="E1098" s="3">
        <v>4.1739332999999998</v>
      </c>
      <c r="F1098" s="3">
        <v>4.3079147000000004</v>
      </c>
      <c r="G1098" s="3">
        <v>4.4570238</v>
      </c>
      <c r="H1098" s="3">
        <v>4.5954803999999996</v>
      </c>
      <c r="I1098" s="3">
        <v>4.7073383</v>
      </c>
      <c r="J1098" s="3">
        <v>4.7885520000000001</v>
      </c>
      <c r="K1098" s="3">
        <v>4.8407089000000001</v>
      </c>
      <c r="L1098" s="3">
        <v>4.8690534999999997</v>
      </c>
      <c r="M1098" s="3">
        <v>4.8788076</v>
      </c>
      <c r="N1098" s="3">
        <v>4.8745630000000002</v>
      </c>
      <c r="O1098" s="3">
        <v>4.8594027000000004</v>
      </c>
      <c r="P1098" s="3">
        <v>4.8349627000000002</v>
      </c>
      <c r="Q1098" s="3">
        <v>4.8022666000000003</v>
      </c>
      <c r="R1098" s="3">
        <v>4.7624252</v>
      </c>
      <c r="S1098" s="3">
        <v>4.7166015000000003</v>
      </c>
      <c r="T1098" s="3">
        <v>4.6659584000000001</v>
      </c>
      <c r="U1098" s="3">
        <v>4.6116587000000004</v>
      </c>
      <c r="V1098" s="3">
        <v>4.5548653999999997</v>
      </c>
      <c r="W1098" s="3">
        <v>4.4966873999999999</v>
      </c>
      <c r="X1098" s="3">
        <v>4.4378963999999996</v>
      </c>
      <c r="Y1098" s="3">
        <v>4.3791333999999997</v>
      </c>
      <c r="Z1098" s="3">
        <v>4.3210392000000004</v>
      </c>
      <c r="AA1098" s="3">
        <v>4.2642544999999998</v>
      </c>
      <c r="AB1098" s="3">
        <v>4.2094202000000003</v>
      </c>
      <c r="AC1098" s="3">
        <v>4.1570657999999998</v>
      </c>
      <c r="AD1098" s="3">
        <v>4.1072300999999998</v>
      </c>
      <c r="AE1098" s="3">
        <v>4.0598165000000002</v>
      </c>
      <c r="AF1098" s="3">
        <v>4.0147284000000001</v>
      </c>
      <c r="AG1098" s="3">
        <v>3.9718692</v>
      </c>
      <c r="AH1098" s="3">
        <v>3.9311422999999999</v>
      </c>
      <c r="AI1098" s="3">
        <v>3.8924509999999999</v>
      </c>
      <c r="AJ1098" s="3">
        <v>3.8556987999999999</v>
      </c>
      <c r="AK1098" s="3">
        <v>3.8207890999999998</v>
      </c>
      <c r="AL1098" s="3">
        <v>3.7876251000000001</v>
      </c>
      <c r="AM1098" s="3">
        <v>3.7561103</v>
      </c>
      <c r="AN1098" s="3">
        <v>3.7261481999999999</v>
      </c>
      <c r="AO1098" s="3">
        <v>3.6976461</v>
      </c>
      <c r="AP1098" s="3">
        <v>3.6705333000000002</v>
      </c>
      <c r="AQ1098" s="3">
        <v>3.6447465999999999</v>
      </c>
      <c r="AR1098" s="3">
        <v>3.6202226</v>
      </c>
      <c r="AS1098" s="3">
        <v>3.5968979000000001</v>
      </c>
      <c r="AT1098" s="3">
        <v>3.5747092</v>
      </c>
      <c r="AU1098" s="3">
        <v>3.5535931999999999</v>
      </c>
      <c r="AV1098" s="3">
        <v>3.5334865999999998</v>
      </c>
      <c r="AW1098" s="3">
        <v>3.5143258999999998</v>
      </c>
      <c r="AX1098" s="3">
        <v>3.496048</v>
      </c>
      <c r="AY1098" s="3">
        <v>3.4785892999999999</v>
      </c>
      <c r="AZ1098" s="3">
        <v>3.4618867</v>
      </c>
      <c r="BA1098" s="3">
        <v>3.4458839000000001</v>
      </c>
      <c r="BB1098" s="3">
        <v>3.4305602999999998</v>
      </c>
      <c r="BC1098" s="3">
        <v>3.4159058</v>
      </c>
      <c r="BD1098" s="3">
        <v>3.4019103999999998</v>
      </c>
      <c r="BE1098" s="3">
        <v>3.3885640000000001</v>
      </c>
      <c r="BF1098" s="3">
        <v>3.3758566999999999</v>
      </c>
      <c r="BG1098" s="3">
        <v>3.3637784000000002</v>
      </c>
      <c r="BH1098" s="3">
        <v>3.3523190999999999</v>
      </c>
      <c r="BI1098" s="3">
        <v>3.3414687999999999</v>
      </c>
      <c r="BJ1098" s="3">
        <v>3.3312173999999999</v>
      </c>
      <c r="BK1098" s="3">
        <v>3.3215549000000002</v>
      </c>
      <c r="BL1098" s="3">
        <v>3.3124714000000002</v>
      </c>
      <c r="BM1098" s="3">
        <v>3.2695205999999999</v>
      </c>
      <c r="BN1098" s="3">
        <v>3.2446068000000001</v>
      </c>
    </row>
    <row r="1099" spans="1:66" x14ac:dyDescent="0.35">
      <c r="A1099" s="5">
        <f t="shared" si="16"/>
        <v>44993</v>
      </c>
      <c r="B1099" t="s">
        <v>2501</v>
      </c>
      <c r="C1099" s="2">
        <v>4</v>
      </c>
      <c r="D1099" s="2">
        <v>3.9272999999999998</v>
      </c>
      <c r="E1099" s="3">
        <v>4.1774984999999996</v>
      </c>
      <c r="F1099" s="3">
        <v>4.2958331999999997</v>
      </c>
      <c r="G1099" s="3">
        <v>4.4381132000000001</v>
      </c>
      <c r="H1099" s="3">
        <v>4.5743704000000003</v>
      </c>
      <c r="I1099" s="3">
        <v>4.6863663000000004</v>
      </c>
      <c r="J1099" s="3">
        <v>4.7693326999999996</v>
      </c>
      <c r="K1099" s="3">
        <v>4.8232749000000004</v>
      </c>
      <c r="L1099" s="3">
        <v>4.8520553</v>
      </c>
      <c r="M1099" s="3">
        <v>4.8607617000000003</v>
      </c>
      <c r="N1099" s="3">
        <v>4.8545230999999998</v>
      </c>
      <c r="O1099" s="3">
        <v>4.8369438000000002</v>
      </c>
      <c r="P1099" s="3">
        <v>4.8102381999999997</v>
      </c>
      <c r="Q1099" s="3">
        <v>4.7758095999999997</v>
      </c>
      <c r="R1099" s="3">
        <v>4.7347691000000003</v>
      </c>
      <c r="S1099" s="3">
        <v>4.6881921000000002</v>
      </c>
      <c r="T1099" s="3">
        <v>4.6371541000000001</v>
      </c>
      <c r="U1099" s="3">
        <v>4.5827302999999997</v>
      </c>
      <c r="V1099" s="3">
        <v>4.5259964000000004</v>
      </c>
      <c r="W1099" s="3">
        <v>4.4679769</v>
      </c>
      <c r="X1099" s="3">
        <v>4.4094091000000004</v>
      </c>
      <c r="Y1099" s="3">
        <v>4.3509292000000004</v>
      </c>
      <c r="Z1099" s="3">
        <v>4.2931730999999997</v>
      </c>
      <c r="AA1099" s="3">
        <v>4.2367768000000003</v>
      </c>
      <c r="AB1099" s="3">
        <v>4.1823765000000002</v>
      </c>
      <c r="AC1099" s="3">
        <v>4.1305167000000003</v>
      </c>
      <c r="AD1099" s="3">
        <v>4.0812495000000002</v>
      </c>
      <c r="AE1099" s="3">
        <v>4.0344619000000002</v>
      </c>
      <c r="AF1099" s="3">
        <v>3.9900408000000001</v>
      </c>
      <c r="AG1099" s="3">
        <v>3.9478732999999999</v>
      </c>
      <c r="AH1099" s="3">
        <v>3.9078461</v>
      </c>
      <c r="AI1099" s="3">
        <v>3.8698462</v>
      </c>
      <c r="AJ1099" s="3">
        <v>3.8337604999999999</v>
      </c>
      <c r="AK1099" s="3">
        <v>3.7994759</v>
      </c>
      <c r="AL1099" s="3">
        <v>3.7668792999999998</v>
      </c>
      <c r="AM1099" s="3">
        <v>3.7358576999999999</v>
      </c>
      <c r="AN1099" s="3">
        <v>3.7062979999999999</v>
      </c>
      <c r="AO1099" s="3">
        <v>3.6780940000000002</v>
      </c>
      <c r="AP1099" s="3">
        <v>3.6511738</v>
      </c>
      <c r="AQ1099" s="3">
        <v>3.6254757</v>
      </c>
      <c r="AR1099" s="3">
        <v>3.6009381</v>
      </c>
      <c r="AS1099" s="3">
        <v>3.5774994000000002</v>
      </c>
      <c r="AT1099" s="3">
        <v>3.5550978</v>
      </c>
      <c r="AU1099" s="3">
        <v>3.5336718999999999</v>
      </c>
      <c r="AV1099" s="3">
        <v>3.5131598999999998</v>
      </c>
      <c r="AW1099" s="3">
        <v>3.4935002000000002</v>
      </c>
      <c r="AX1099" s="3">
        <v>3.4746313</v>
      </c>
      <c r="AY1099" s="3">
        <v>3.4564913000000002</v>
      </c>
      <c r="AZ1099" s="3">
        <v>3.4390187999999999</v>
      </c>
      <c r="BA1099" s="3">
        <v>3.422161</v>
      </c>
      <c r="BB1099" s="3">
        <v>3.4059043999999998</v>
      </c>
      <c r="BC1099" s="3">
        <v>3.3902464999999999</v>
      </c>
      <c r="BD1099" s="3">
        <v>3.3751847000000001</v>
      </c>
      <c r="BE1099" s="3">
        <v>3.3607165000000001</v>
      </c>
      <c r="BF1099" s="3">
        <v>3.3468393000000001</v>
      </c>
      <c r="BG1099" s="3">
        <v>3.3335504999999999</v>
      </c>
      <c r="BH1099" s="3">
        <v>3.3208473999999999</v>
      </c>
      <c r="BI1099" s="3">
        <v>3.3087276999999999</v>
      </c>
      <c r="BJ1099" s="3">
        <v>3.2971886000000001</v>
      </c>
      <c r="BK1099" s="3">
        <v>3.2862276000000001</v>
      </c>
      <c r="BL1099" s="3">
        <v>3.2758422</v>
      </c>
      <c r="BM1099" s="3">
        <v>3.2253029</v>
      </c>
      <c r="BN1099" s="3">
        <v>3.1937999000000001</v>
      </c>
    </row>
    <row r="1100" spans="1:66" x14ac:dyDescent="0.35">
      <c r="A1100" s="5">
        <f t="shared" si="16"/>
        <v>44994</v>
      </c>
      <c r="B1100" t="s">
        <v>2502</v>
      </c>
      <c r="C1100" s="2">
        <v>4</v>
      </c>
      <c r="D1100" s="2">
        <v>3.9274</v>
      </c>
      <c r="E1100" s="3">
        <v>4.1824437000000003</v>
      </c>
      <c r="F1100" s="3">
        <v>4.2906149999999998</v>
      </c>
      <c r="G1100" s="3">
        <v>4.4247642999999997</v>
      </c>
      <c r="H1100" s="3">
        <v>4.5537764999999997</v>
      </c>
      <c r="I1100" s="3">
        <v>4.6610073999999999</v>
      </c>
      <c r="J1100" s="3">
        <v>4.7418348000000003</v>
      </c>
      <c r="K1100" s="3">
        <v>4.7966952000000003</v>
      </c>
      <c r="L1100" s="3">
        <v>4.8272899999999996</v>
      </c>
      <c r="M1100" s="3">
        <v>4.8375298000000004</v>
      </c>
      <c r="N1100" s="3">
        <v>4.8310212999999997</v>
      </c>
      <c r="O1100" s="3">
        <v>4.8114713</v>
      </c>
      <c r="P1100" s="3">
        <v>4.7815310000000002</v>
      </c>
      <c r="Q1100" s="3">
        <v>4.7439352000000001</v>
      </c>
      <c r="R1100" s="3">
        <v>4.7003782999999997</v>
      </c>
      <c r="S1100" s="3">
        <v>4.6521258000000003</v>
      </c>
      <c r="T1100" s="3">
        <v>4.6004427000000003</v>
      </c>
      <c r="U1100" s="3">
        <v>4.5465942000000004</v>
      </c>
      <c r="V1100" s="3">
        <v>4.4918455000000002</v>
      </c>
      <c r="W1100" s="3">
        <v>4.4373367999999997</v>
      </c>
      <c r="X1100" s="3">
        <v>4.3835689999999996</v>
      </c>
      <c r="Y1100" s="3">
        <v>4.3308385999999999</v>
      </c>
      <c r="Z1100" s="3">
        <v>4.2794422000000001</v>
      </c>
      <c r="AA1100" s="3">
        <v>4.2296760999999998</v>
      </c>
      <c r="AB1100" s="3">
        <v>4.1818369999999998</v>
      </c>
      <c r="AC1100" s="3">
        <v>4.1361654999999997</v>
      </c>
      <c r="AD1100" s="3">
        <v>4.0926315999999998</v>
      </c>
      <c r="AE1100" s="3">
        <v>4.0511225</v>
      </c>
      <c r="AF1100" s="3">
        <v>4.0115252999999997</v>
      </c>
      <c r="AG1100" s="3">
        <v>3.9737274</v>
      </c>
      <c r="AH1100" s="3">
        <v>3.9376161000000001</v>
      </c>
      <c r="AI1100" s="3">
        <v>3.9030784999999999</v>
      </c>
      <c r="AJ1100" s="3">
        <v>3.8700019000000001</v>
      </c>
      <c r="AK1100" s="3">
        <v>3.8382736</v>
      </c>
      <c r="AL1100" s="3">
        <v>3.8077809</v>
      </c>
      <c r="AM1100" s="3">
        <v>3.7784108999999999</v>
      </c>
      <c r="AN1100" s="3">
        <v>3.7500509000000002</v>
      </c>
      <c r="AO1100" s="3">
        <v>3.7226016999999998</v>
      </c>
      <c r="AP1100" s="3">
        <v>3.6960231000000001</v>
      </c>
      <c r="AQ1100" s="3">
        <v>3.6702916000000001</v>
      </c>
      <c r="AR1100" s="3">
        <v>3.6453834000000001</v>
      </c>
      <c r="AS1100" s="3">
        <v>3.6212749999999998</v>
      </c>
      <c r="AT1100" s="3">
        <v>3.5979426000000001</v>
      </c>
      <c r="AU1100" s="3">
        <v>3.5753626999999999</v>
      </c>
      <c r="AV1100" s="3">
        <v>3.5535114999999999</v>
      </c>
      <c r="AW1100" s="3">
        <v>3.5323654000000002</v>
      </c>
      <c r="AX1100" s="3">
        <v>3.5119007</v>
      </c>
      <c r="AY1100" s="3">
        <v>3.4920938000000001</v>
      </c>
      <c r="AZ1100" s="3">
        <v>3.4729209999999999</v>
      </c>
      <c r="BA1100" s="3">
        <v>3.4543634000000001</v>
      </c>
      <c r="BB1100" s="3">
        <v>3.4364229000000002</v>
      </c>
      <c r="BC1100" s="3">
        <v>3.4191071000000002</v>
      </c>
      <c r="BD1100" s="3">
        <v>3.4024236999999999</v>
      </c>
      <c r="BE1100" s="3">
        <v>3.3863804000000002</v>
      </c>
      <c r="BF1100" s="3">
        <v>3.3709847000000002</v>
      </c>
      <c r="BG1100" s="3">
        <v>3.3562443000000002</v>
      </c>
      <c r="BH1100" s="3">
        <v>3.3421669999999999</v>
      </c>
      <c r="BI1100" s="3">
        <v>3.3287602000000001</v>
      </c>
      <c r="BJ1100" s="3">
        <v>3.3160316999999999</v>
      </c>
      <c r="BK1100" s="3">
        <v>3.3039892000000002</v>
      </c>
      <c r="BL1100" s="3">
        <v>3.2926402000000001</v>
      </c>
      <c r="BM1100" s="3">
        <v>3.2389222000000002</v>
      </c>
      <c r="BN1100" s="3">
        <v>3.2083113999999999</v>
      </c>
    </row>
    <row r="1101" spans="1:66" x14ac:dyDescent="0.35">
      <c r="A1101" s="5">
        <f t="shared" si="16"/>
        <v>44995</v>
      </c>
      <c r="B1101" t="s">
        <v>2503</v>
      </c>
      <c r="C1101" s="2">
        <v>4</v>
      </c>
      <c r="D1101" s="2">
        <v>3.9274</v>
      </c>
      <c r="E1101" s="3">
        <v>4.1486267999999997</v>
      </c>
      <c r="F1101" s="3">
        <v>4.2473707000000003</v>
      </c>
      <c r="G1101" s="3">
        <v>4.3642452</v>
      </c>
      <c r="H1101" s="3">
        <v>4.4697351000000003</v>
      </c>
      <c r="I1101" s="3">
        <v>4.5497142999999998</v>
      </c>
      <c r="J1101" s="3">
        <v>4.6020566000000001</v>
      </c>
      <c r="K1101" s="3">
        <v>4.6296825000000004</v>
      </c>
      <c r="L1101" s="3">
        <v>4.6375736999999999</v>
      </c>
      <c r="M1101" s="3">
        <v>4.6313531000000001</v>
      </c>
      <c r="N1101" s="3">
        <v>4.6154292999999997</v>
      </c>
      <c r="O1101" s="3">
        <v>4.5926651999999999</v>
      </c>
      <c r="P1101" s="3">
        <v>4.5646414000000002</v>
      </c>
      <c r="Q1101" s="3">
        <v>4.5318100000000001</v>
      </c>
      <c r="R1101" s="3">
        <v>4.4947528999999999</v>
      </c>
      <c r="S1101" s="3">
        <v>4.4542067000000003</v>
      </c>
      <c r="T1101" s="3">
        <v>4.4109081000000003</v>
      </c>
      <c r="U1101" s="3">
        <v>4.3655938000000001</v>
      </c>
      <c r="V1101" s="3">
        <v>4.3190004000000002</v>
      </c>
      <c r="W1101" s="3">
        <v>4.2718097000000004</v>
      </c>
      <c r="X1101" s="3">
        <v>4.2244219000000003</v>
      </c>
      <c r="Y1101" s="3">
        <v>4.1771472999999997</v>
      </c>
      <c r="Z1101" s="3">
        <v>4.1302960999999998</v>
      </c>
      <c r="AA1101" s="3">
        <v>4.0841785000000002</v>
      </c>
      <c r="AB1101" s="3">
        <v>4.0391048999999999</v>
      </c>
      <c r="AC1101" s="3">
        <v>3.995336</v>
      </c>
      <c r="AD1101" s="3">
        <v>3.9529147999999998</v>
      </c>
      <c r="AE1101" s="3">
        <v>3.9118240000000002</v>
      </c>
      <c r="AF1101" s="3">
        <v>3.8720463000000001</v>
      </c>
      <c r="AG1101" s="3">
        <v>3.8335645999999999</v>
      </c>
      <c r="AH1101" s="3">
        <v>3.7963615000000002</v>
      </c>
      <c r="AI1101" s="3">
        <v>3.7604199</v>
      </c>
      <c r="AJ1101" s="3">
        <v>3.7257224999999998</v>
      </c>
      <c r="AK1101" s="3">
        <v>3.6922519</v>
      </c>
      <c r="AL1101" s="3">
        <v>3.6599911000000001</v>
      </c>
      <c r="AM1101" s="3">
        <v>3.6289226999999999</v>
      </c>
      <c r="AN1101" s="3">
        <v>3.5990294999999999</v>
      </c>
      <c r="AO1101" s="3">
        <v>3.5702921999999999</v>
      </c>
      <c r="AP1101" s="3">
        <v>3.5426823999999999</v>
      </c>
      <c r="AQ1101" s="3">
        <v>3.5161695000000002</v>
      </c>
      <c r="AR1101" s="3">
        <v>3.4907224000000001</v>
      </c>
      <c r="AS1101" s="3">
        <v>3.4663105000000001</v>
      </c>
      <c r="AT1101" s="3">
        <v>3.4429029</v>
      </c>
      <c r="AU1101" s="3">
        <v>3.4204688999999999</v>
      </c>
      <c r="AV1101" s="3">
        <v>3.3989775</v>
      </c>
      <c r="AW1101" s="3">
        <v>3.3783979999999998</v>
      </c>
      <c r="AX1101" s="3">
        <v>3.3586995000000002</v>
      </c>
      <c r="AY1101" s="3">
        <v>3.3398514000000001</v>
      </c>
      <c r="AZ1101" s="3">
        <v>3.3218226</v>
      </c>
      <c r="BA1101" s="3">
        <v>3.3045852</v>
      </c>
      <c r="BB1101" s="3">
        <v>3.2881230000000001</v>
      </c>
      <c r="BC1101" s="3">
        <v>3.2724232999999998</v>
      </c>
      <c r="BD1101" s="3">
        <v>3.2574730999999999</v>
      </c>
      <c r="BE1101" s="3">
        <v>3.2432598000000001</v>
      </c>
      <c r="BF1101" s="3">
        <v>3.2297706000000002</v>
      </c>
      <c r="BG1101" s="3">
        <v>3.2169924999999999</v>
      </c>
      <c r="BH1101" s="3">
        <v>3.2049129000000001</v>
      </c>
      <c r="BI1101" s="3">
        <v>3.1935188999999999</v>
      </c>
      <c r="BJ1101" s="3">
        <v>3.1827977000000001</v>
      </c>
      <c r="BK1101" s="3">
        <v>3.1727365999999999</v>
      </c>
      <c r="BL1101" s="3">
        <v>3.1633225999999999</v>
      </c>
      <c r="BM1101" s="3">
        <v>3.1198006</v>
      </c>
      <c r="BN1101" s="3">
        <v>3.0968849999999999</v>
      </c>
    </row>
    <row r="1102" spans="1:66" x14ac:dyDescent="0.35">
      <c r="A1102" s="5">
        <f t="shared" si="16"/>
        <v>44998</v>
      </c>
      <c r="B1102" t="s">
        <v>2504</v>
      </c>
      <c r="C1102" s="2">
        <v>4</v>
      </c>
      <c r="D1102" s="2">
        <v>3.9275000000000002</v>
      </c>
      <c r="E1102" s="3">
        <v>4.1038575000000002</v>
      </c>
      <c r="F1102" s="3">
        <v>4.1681419000000002</v>
      </c>
      <c r="G1102" s="3">
        <v>4.2296348000000004</v>
      </c>
      <c r="H1102" s="3">
        <v>4.2688063999999999</v>
      </c>
      <c r="I1102" s="3">
        <v>4.2832033000000003</v>
      </c>
      <c r="J1102" s="3">
        <v>4.2789317999999996</v>
      </c>
      <c r="K1102" s="3">
        <v>4.2635382999999996</v>
      </c>
      <c r="L1102" s="3">
        <v>4.2438864000000001</v>
      </c>
      <c r="M1102" s="3">
        <v>4.2247658000000001</v>
      </c>
      <c r="N1102" s="3">
        <v>4.2085982</v>
      </c>
      <c r="O1102" s="3">
        <v>4.1957585999999996</v>
      </c>
      <c r="P1102" s="3">
        <v>4.1852448000000004</v>
      </c>
      <c r="Q1102" s="3">
        <v>4.1743477000000002</v>
      </c>
      <c r="R1102" s="3">
        <v>4.1620885000000003</v>
      </c>
      <c r="S1102" s="3">
        <v>4.1481440000000003</v>
      </c>
      <c r="T1102" s="3">
        <v>4.1321909999999997</v>
      </c>
      <c r="U1102" s="3">
        <v>4.1139064999999997</v>
      </c>
      <c r="V1102" s="3">
        <v>4.0929672000000004</v>
      </c>
      <c r="W1102" s="3">
        <v>4.0691383999999999</v>
      </c>
      <c r="X1102" s="3">
        <v>4.0426374000000003</v>
      </c>
      <c r="Y1102" s="3">
        <v>4.0138259999999999</v>
      </c>
      <c r="Z1102" s="3">
        <v>3.9830663999999998</v>
      </c>
      <c r="AA1102" s="3">
        <v>3.9507202000000001</v>
      </c>
      <c r="AB1102" s="3">
        <v>3.9171496000000001</v>
      </c>
      <c r="AC1102" s="3">
        <v>3.8826855999999998</v>
      </c>
      <c r="AD1102" s="3">
        <v>3.8475231999999999</v>
      </c>
      <c r="AE1102" s="3">
        <v>3.8118202999999999</v>
      </c>
      <c r="AF1102" s="3">
        <v>3.7757342</v>
      </c>
      <c r="AG1102" s="3">
        <v>3.7394227</v>
      </c>
      <c r="AH1102" s="3">
        <v>3.7030433</v>
      </c>
      <c r="AI1102" s="3">
        <v>3.6667535999999998</v>
      </c>
      <c r="AJ1102" s="3">
        <v>3.6307113000000002</v>
      </c>
      <c r="AK1102" s="3">
        <v>3.5950739</v>
      </c>
      <c r="AL1102" s="3">
        <v>3.5599989999999999</v>
      </c>
      <c r="AM1102" s="3">
        <v>3.5256443000000002</v>
      </c>
      <c r="AN1102" s="3">
        <v>3.4921673000000002</v>
      </c>
      <c r="AO1102" s="3">
        <v>3.4597020999999999</v>
      </c>
      <c r="AP1102" s="3">
        <v>3.4282791000000001</v>
      </c>
      <c r="AQ1102" s="3">
        <v>3.3978999000000001</v>
      </c>
      <c r="AR1102" s="3">
        <v>3.3685662999999999</v>
      </c>
      <c r="AS1102" s="3">
        <v>3.3402799000000001</v>
      </c>
      <c r="AT1102" s="3">
        <v>3.3130424000000001</v>
      </c>
      <c r="AU1102" s="3">
        <v>3.2868556</v>
      </c>
      <c r="AV1102" s="3">
        <v>3.2617210999999999</v>
      </c>
      <c r="AW1102" s="3">
        <v>3.2376406000000002</v>
      </c>
      <c r="AX1102" s="3">
        <v>3.2146157999999998</v>
      </c>
      <c r="AY1102" s="3">
        <v>3.1926483999999999</v>
      </c>
      <c r="AZ1102" s="3">
        <v>3.1717401000000001</v>
      </c>
      <c r="BA1102" s="3">
        <v>3.1518893000000001</v>
      </c>
      <c r="BB1102" s="3">
        <v>3.133076</v>
      </c>
      <c r="BC1102" s="3">
        <v>3.1152744000000001</v>
      </c>
      <c r="BD1102" s="3">
        <v>3.0984585</v>
      </c>
      <c r="BE1102" s="3">
        <v>3.0826023</v>
      </c>
      <c r="BF1102" s="3">
        <v>3.0676800000000002</v>
      </c>
      <c r="BG1102" s="3">
        <v>3.0536656</v>
      </c>
      <c r="BH1102" s="3">
        <v>3.0405331000000002</v>
      </c>
      <c r="BI1102" s="3">
        <v>3.0282566000000002</v>
      </c>
      <c r="BJ1102" s="3">
        <v>3.0168102000000001</v>
      </c>
      <c r="BK1102" s="3">
        <v>3.0061678999999999</v>
      </c>
      <c r="BL1102" s="3">
        <v>2.9963038000000002</v>
      </c>
      <c r="BM1102" s="3">
        <v>2.9522303999999999</v>
      </c>
      <c r="BN1102" s="3">
        <v>2.9309945000000002</v>
      </c>
    </row>
    <row r="1103" spans="1:66" x14ac:dyDescent="0.35">
      <c r="A1103" s="5">
        <f t="shared" si="16"/>
        <v>44999</v>
      </c>
      <c r="B1103" t="s">
        <v>2505</v>
      </c>
      <c r="C1103" s="2">
        <v>4</v>
      </c>
      <c r="D1103" s="2">
        <v>3.927</v>
      </c>
      <c r="E1103" s="3">
        <v>4.0864408000000001</v>
      </c>
      <c r="F1103" s="3">
        <v>4.1631429000000004</v>
      </c>
      <c r="G1103" s="3">
        <v>4.2368085999999998</v>
      </c>
      <c r="H1103" s="3">
        <v>4.2916971000000004</v>
      </c>
      <c r="I1103" s="3">
        <v>4.3235482999999997</v>
      </c>
      <c r="J1103" s="3">
        <v>4.3354616999999998</v>
      </c>
      <c r="K1103" s="3">
        <v>4.3331394000000003</v>
      </c>
      <c r="L1103" s="3">
        <v>4.3231672000000003</v>
      </c>
      <c r="M1103" s="3">
        <v>4.3106698999999997</v>
      </c>
      <c r="N1103" s="3">
        <v>4.2985192000000003</v>
      </c>
      <c r="O1103" s="3">
        <v>4.2875113999999996</v>
      </c>
      <c r="P1103" s="3">
        <v>4.2771669000000001</v>
      </c>
      <c r="Q1103" s="3">
        <v>4.2653784000000003</v>
      </c>
      <c r="R1103" s="3">
        <v>4.2515067999999996</v>
      </c>
      <c r="S1103" s="3">
        <v>4.2354881999999998</v>
      </c>
      <c r="T1103" s="3">
        <v>4.2172590000000003</v>
      </c>
      <c r="U1103" s="3">
        <v>4.1967553999999998</v>
      </c>
      <c r="V1103" s="3">
        <v>4.1739136999999999</v>
      </c>
      <c r="W1103" s="3">
        <v>4.1487147000000002</v>
      </c>
      <c r="X1103" s="3">
        <v>4.1214193999999997</v>
      </c>
      <c r="Y1103" s="3">
        <v>4.0923971000000003</v>
      </c>
      <c r="Z1103" s="3">
        <v>4.0620171999999997</v>
      </c>
      <c r="AA1103" s="3">
        <v>4.0306493000000003</v>
      </c>
      <c r="AB1103" s="3">
        <v>3.9986628</v>
      </c>
      <c r="AC1103" s="3">
        <v>3.9663835999999999</v>
      </c>
      <c r="AD1103" s="3">
        <v>3.9339445999999998</v>
      </c>
      <c r="AE1103" s="3">
        <v>3.9014258000000002</v>
      </c>
      <c r="AF1103" s="3">
        <v>3.8689068</v>
      </c>
      <c r="AG1103" s="3">
        <v>3.8364677</v>
      </c>
      <c r="AH1103" s="3">
        <v>3.8041882</v>
      </c>
      <c r="AI1103" s="3">
        <v>3.7721480999999999</v>
      </c>
      <c r="AJ1103" s="3">
        <v>3.7404272000000001</v>
      </c>
      <c r="AK1103" s="3">
        <v>3.7091055000000002</v>
      </c>
      <c r="AL1103" s="3">
        <v>3.6782626999999999</v>
      </c>
      <c r="AM1103" s="3">
        <v>3.6479786999999999</v>
      </c>
      <c r="AN1103" s="3">
        <v>3.6183333000000002</v>
      </c>
      <c r="AO1103" s="3">
        <v>3.5893969999999999</v>
      </c>
      <c r="AP1103" s="3">
        <v>3.5611907</v>
      </c>
      <c r="AQ1103" s="3">
        <v>3.5337182999999999</v>
      </c>
      <c r="AR1103" s="3">
        <v>3.5069840000000001</v>
      </c>
      <c r="AS1103" s="3">
        <v>3.4809917000000001</v>
      </c>
      <c r="AT1103" s="3">
        <v>3.4557456000000002</v>
      </c>
      <c r="AU1103" s="3">
        <v>3.4312494999999998</v>
      </c>
      <c r="AV1103" s="3">
        <v>3.4075076000000002</v>
      </c>
      <c r="AW1103" s="3">
        <v>3.3845239</v>
      </c>
      <c r="AX1103" s="3">
        <v>3.3623023999999999</v>
      </c>
      <c r="AY1103" s="3">
        <v>3.3408471999999998</v>
      </c>
      <c r="AZ1103" s="3">
        <v>3.3201624000000001</v>
      </c>
      <c r="BA1103" s="3">
        <v>3.3002501999999998</v>
      </c>
      <c r="BB1103" s="3">
        <v>3.2811054999999998</v>
      </c>
      <c r="BC1103" s="3">
        <v>3.2627206000000002</v>
      </c>
      <c r="BD1103" s="3">
        <v>3.2450877999999999</v>
      </c>
      <c r="BE1103" s="3">
        <v>3.2281993</v>
      </c>
      <c r="BF1103" s="3">
        <v>3.2120476</v>
      </c>
      <c r="BG1103" s="3">
        <v>3.1966249000000002</v>
      </c>
      <c r="BH1103" s="3">
        <v>3.1819236000000002</v>
      </c>
      <c r="BI1103" s="3">
        <v>3.1679360000000001</v>
      </c>
      <c r="BJ1103" s="3">
        <v>3.1546544000000001</v>
      </c>
      <c r="BK1103" s="3">
        <v>3.1420710999999999</v>
      </c>
      <c r="BL1103" s="3">
        <v>3.1301785</v>
      </c>
      <c r="BM1103" s="3">
        <v>3.0727598</v>
      </c>
      <c r="BN1103" s="3">
        <v>3.0374314999999998</v>
      </c>
    </row>
    <row r="1104" spans="1:66" x14ac:dyDescent="0.35">
      <c r="A1104" s="5">
        <f t="shared" si="16"/>
        <v>45000</v>
      </c>
      <c r="B1104" t="s">
        <v>2506</v>
      </c>
      <c r="C1104" s="2">
        <v>4</v>
      </c>
      <c r="D1104" s="2">
        <v>3.9272</v>
      </c>
      <c r="E1104" s="3">
        <v>4.0465513</v>
      </c>
      <c r="F1104" s="3">
        <v>4.1138579999999996</v>
      </c>
      <c r="G1104" s="3">
        <v>4.1769540000000003</v>
      </c>
      <c r="H1104" s="3">
        <v>4.2161359999999997</v>
      </c>
      <c r="I1104" s="3">
        <v>4.2235258</v>
      </c>
      <c r="J1104" s="3">
        <v>4.2058274000000004</v>
      </c>
      <c r="K1104" s="3">
        <v>4.1722808999999996</v>
      </c>
      <c r="L1104" s="3">
        <v>4.132053</v>
      </c>
      <c r="M1104" s="3">
        <v>4.0923333</v>
      </c>
      <c r="N1104" s="3">
        <v>4.0576049000000003</v>
      </c>
      <c r="O1104" s="3">
        <v>4.0296953000000002</v>
      </c>
      <c r="P1104" s="3">
        <v>4.0083925000000002</v>
      </c>
      <c r="Q1104" s="3">
        <v>3.9913778</v>
      </c>
      <c r="R1104" s="3">
        <v>3.9773057999999999</v>
      </c>
      <c r="S1104" s="3">
        <v>3.9652881999999998</v>
      </c>
      <c r="T1104" s="3">
        <v>3.9544364000000001</v>
      </c>
      <c r="U1104" s="3">
        <v>3.9438621999999999</v>
      </c>
      <c r="V1104" s="3">
        <v>3.9326770999999998</v>
      </c>
      <c r="W1104" s="3">
        <v>3.9201066</v>
      </c>
      <c r="X1104" s="3">
        <v>3.9060218999999998</v>
      </c>
      <c r="Y1104" s="3">
        <v>3.8905208</v>
      </c>
      <c r="Z1104" s="3">
        <v>3.8737016</v>
      </c>
      <c r="AA1104" s="3">
        <v>3.8556623999999999</v>
      </c>
      <c r="AB1104" s="3">
        <v>3.8365016000000001</v>
      </c>
      <c r="AC1104" s="3">
        <v>3.8163170000000002</v>
      </c>
      <c r="AD1104" s="3">
        <v>3.7952051</v>
      </c>
      <c r="AE1104" s="3">
        <v>3.7732618000000002</v>
      </c>
      <c r="AF1104" s="3">
        <v>3.7505831000000001</v>
      </c>
      <c r="AG1104" s="3">
        <v>3.7272647999999999</v>
      </c>
      <c r="AH1104" s="3">
        <v>3.7034029999999998</v>
      </c>
      <c r="AI1104" s="3">
        <v>3.6790935</v>
      </c>
      <c r="AJ1104" s="3">
        <v>3.6544322999999999</v>
      </c>
      <c r="AK1104" s="3">
        <v>3.6295153</v>
      </c>
      <c r="AL1104" s="3">
        <v>3.6044383999999998</v>
      </c>
      <c r="AM1104" s="3">
        <v>3.5792977000000001</v>
      </c>
      <c r="AN1104" s="3">
        <v>3.5541889000000002</v>
      </c>
      <c r="AO1104" s="3">
        <v>3.5292005</v>
      </c>
      <c r="AP1104" s="3">
        <v>3.5043839000000001</v>
      </c>
      <c r="AQ1104" s="3">
        <v>3.4797791</v>
      </c>
      <c r="AR1104" s="3">
        <v>3.4554263999999999</v>
      </c>
      <c r="AS1104" s="3">
        <v>3.4313658</v>
      </c>
      <c r="AT1104" s="3">
        <v>3.4076374</v>
      </c>
      <c r="AU1104" s="3">
        <v>3.3842815000000002</v>
      </c>
      <c r="AV1104" s="3">
        <v>3.3613381000000002</v>
      </c>
      <c r="AW1104" s="3">
        <v>3.3388472999999999</v>
      </c>
      <c r="AX1104" s="3">
        <v>3.3168492999999999</v>
      </c>
      <c r="AY1104" s="3">
        <v>3.2953842999999998</v>
      </c>
      <c r="AZ1104" s="3">
        <v>3.2744922999999999</v>
      </c>
      <c r="BA1104" s="3">
        <v>3.2542081</v>
      </c>
      <c r="BB1104" s="3">
        <v>3.2345424999999999</v>
      </c>
      <c r="BC1104" s="3">
        <v>3.2155</v>
      </c>
      <c r="BD1104" s="3">
        <v>3.1970847999999998</v>
      </c>
      <c r="BE1104" s="3">
        <v>3.1793011999999998</v>
      </c>
      <c r="BF1104" s="3">
        <v>3.1621537000000002</v>
      </c>
      <c r="BG1104" s="3">
        <v>3.1456464</v>
      </c>
      <c r="BH1104" s="3">
        <v>3.1297836999999999</v>
      </c>
      <c r="BI1104" s="3">
        <v>3.1145698999999998</v>
      </c>
      <c r="BJ1104" s="3">
        <v>3.1000093999999998</v>
      </c>
      <c r="BK1104" s="3">
        <v>3.0861065000000001</v>
      </c>
      <c r="BL1104" s="3">
        <v>3.0728654999999998</v>
      </c>
      <c r="BM1104" s="3">
        <v>3.0070991999999999</v>
      </c>
      <c r="BN1104" s="3">
        <v>2.9634149999999999</v>
      </c>
    </row>
    <row r="1105" spans="1:66" x14ac:dyDescent="0.35">
      <c r="A1105" s="5">
        <f t="shared" si="16"/>
        <v>45001</v>
      </c>
      <c r="B1105" t="s">
        <v>2507</v>
      </c>
      <c r="C1105" s="2">
        <v>4</v>
      </c>
      <c r="D1105" s="2">
        <v>3.9272</v>
      </c>
      <c r="E1105" s="3">
        <v>4.0874724000000002</v>
      </c>
      <c r="F1105" s="3">
        <v>4.1555467999999998</v>
      </c>
      <c r="G1105" s="3">
        <v>4.2238077000000001</v>
      </c>
      <c r="H1105" s="3">
        <v>4.2745138000000003</v>
      </c>
      <c r="I1105" s="3">
        <v>4.2999346000000003</v>
      </c>
      <c r="J1105" s="3">
        <v>4.3026721999999999</v>
      </c>
      <c r="K1105" s="3">
        <v>4.2887237000000002</v>
      </c>
      <c r="L1105" s="3">
        <v>4.2639696999999996</v>
      </c>
      <c r="M1105" s="3">
        <v>4.2340064999999996</v>
      </c>
      <c r="N1105" s="3">
        <v>4.2027432999999998</v>
      </c>
      <c r="O1105" s="3">
        <v>4.1724439999999996</v>
      </c>
      <c r="P1105" s="3">
        <v>4.1441407000000003</v>
      </c>
      <c r="Q1105" s="3">
        <v>4.1178280999999997</v>
      </c>
      <c r="R1105" s="3">
        <v>4.0932158999999997</v>
      </c>
      <c r="S1105" s="3">
        <v>4.0700048999999998</v>
      </c>
      <c r="T1105" s="3">
        <v>4.0478962000000003</v>
      </c>
      <c r="U1105" s="3">
        <v>4.0265905999999996</v>
      </c>
      <c r="V1105" s="3">
        <v>4.0057893</v>
      </c>
      <c r="W1105" s="3">
        <v>3.9852108999999998</v>
      </c>
      <c r="X1105" s="3">
        <v>3.9646661000000001</v>
      </c>
      <c r="Y1105" s="3">
        <v>3.9439943999999998</v>
      </c>
      <c r="Z1105" s="3">
        <v>3.9230356</v>
      </c>
      <c r="AA1105" s="3">
        <v>3.9016294999999999</v>
      </c>
      <c r="AB1105" s="3">
        <v>3.8796157999999998</v>
      </c>
      <c r="AC1105" s="3">
        <v>3.8568674999999999</v>
      </c>
      <c r="AD1105" s="3">
        <v>3.8334202999999998</v>
      </c>
      <c r="AE1105" s="3">
        <v>3.8093591</v>
      </c>
      <c r="AF1105" s="3">
        <v>3.7847689999999998</v>
      </c>
      <c r="AG1105" s="3">
        <v>3.759735</v>
      </c>
      <c r="AH1105" s="3">
        <v>3.7343419999999998</v>
      </c>
      <c r="AI1105" s="3">
        <v>3.7086750999999998</v>
      </c>
      <c r="AJ1105" s="3">
        <v>3.6828194000000001</v>
      </c>
      <c r="AK1105" s="3">
        <v>3.6568597999999999</v>
      </c>
      <c r="AL1105" s="3">
        <v>3.6308813</v>
      </c>
      <c r="AM1105" s="3">
        <v>3.6049690999999999</v>
      </c>
      <c r="AN1105" s="3">
        <v>3.5792079999999999</v>
      </c>
      <c r="AO1105" s="3">
        <v>3.5536775</v>
      </c>
      <c r="AP1105" s="3">
        <v>3.5284320999999998</v>
      </c>
      <c r="AQ1105" s="3">
        <v>3.5035194000000001</v>
      </c>
      <c r="AR1105" s="3">
        <v>3.4789870000000001</v>
      </c>
      <c r="AS1105" s="3">
        <v>3.4548827000000002</v>
      </c>
      <c r="AT1105" s="3">
        <v>3.431254</v>
      </c>
      <c r="AU1105" s="3">
        <v>3.4081486999999999</v>
      </c>
      <c r="AV1105" s="3">
        <v>3.3856142999999999</v>
      </c>
      <c r="AW1105" s="3">
        <v>3.3636984000000001</v>
      </c>
      <c r="AX1105" s="3">
        <v>3.3424488000000001</v>
      </c>
      <c r="AY1105" s="3">
        <v>3.3219131000000002</v>
      </c>
      <c r="AZ1105" s="3">
        <v>3.3021389999999999</v>
      </c>
      <c r="BA1105" s="3">
        <v>3.2831625999999998</v>
      </c>
      <c r="BB1105" s="3">
        <v>3.2649701000000002</v>
      </c>
      <c r="BC1105" s="3">
        <v>3.2475339000000001</v>
      </c>
      <c r="BD1105" s="3">
        <v>3.2308260999999998</v>
      </c>
      <c r="BE1105" s="3">
        <v>3.2148191000000002</v>
      </c>
      <c r="BF1105" s="3">
        <v>3.1994851999999998</v>
      </c>
      <c r="BG1105" s="3">
        <v>3.1847965</v>
      </c>
      <c r="BH1105" s="3">
        <v>3.1707255000000001</v>
      </c>
      <c r="BI1105" s="3">
        <v>3.1572444000000002</v>
      </c>
      <c r="BJ1105" s="3">
        <v>3.1443254</v>
      </c>
      <c r="BK1105" s="3">
        <v>3.1319409</v>
      </c>
      <c r="BL1105" s="3">
        <v>3.120063</v>
      </c>
      <c r="BM1105" s="3">
        <v>3.0587604000000002</v>
      </c>
      <c r="BN1105" s="3">
        <v>3.0140834000000001</v>
      </c>
    </row>
    <row r="1106" spans="1:66" x14ac:dyDescent="0.35">
      <c r="A1106" s="5">
        <f t="shared" si="16"/>
        <v>45002</v>
      </c>
      <c r="B1106" t="s">
        <v>2508</v>
      </c>
      <c r="C1106" s="2">
        <v>4</v>
      </c>
      <c r="D1106" s="2">
        <v>3.9268000000000001</v>
      </c>
      <c r="E1106" s="3">
        <v>4.0720675000000002</v>
      </c>
      <c r="F1106" s="3">
        <v>4.1068663000000001</v>
      </c>
      <c r="G1106" s="3">
        <v>4.1412636000000003</v>
      </c>
      <c r="H1106" s="3">
        <v>4.1628150000000002</v>
      </c>
      <c r="I1106" s="3">
        <v>4.1672950999999996</v>
      </c>
      <c r="J1106" s="3">
        <v>4.1562181999999996</v>
      </c>
      <c r="K1106" s="3">
        <v>4.1337069</v>
      </c>
      <c r="L1106" s="3">
        <v>4.1043759</v>
      </c>
      <c r="M1106" s="3">
        <v>4.0722135000000002</v>
      </c>
      <c r="N1106" s="3">
        <v>4.0398867999999997</v>
      </c>
      <c r="O1106" s="3">
        <v>4.0086820999999997</v>
      </c>
      <c r="P1106" s="3">
        <v>3.9788190999999999</v>
      </c>
      <c r="Q1106" s="3">
        <v>3.9496375000000001</v>
      </c>
      <c r="R1106" s="3">
        <v>3.9209507000000001</v>
      </c>
      <c r="S1106" s="3">
        <v>3.8928153000000001</v>
      </c>
      <c r="T1106" s="3">
        <v>3.8652882000000002</v>
      </c>
      <c r="U1106" s="3">
        <v>3.8384258999999998</v>
      </c>
      <c r="V1106" s="3">
        <v>3.8122851</v>
      </c>
      <c r="W1106" s="3">
        <v>3.7868976999999999</v>
      </c>
      <c r="X1106" s="3">
        <v>3.7621682000000001</v>
      </c>
      <c r="Y1106" s="3">
        <v>3.7379603000000001</v>
      </c>
      <c r="Z1106" s="3">
        <v>3.7141378</v>
      </c>
      <c r="AA1106" s="3">
        <v>3.6905644999999998</v>
      </c>
      <c r="AB1106" s="3">
        <v>3.6671041</v>
      </c>
      <c r="AC1106" s="3">
        <v>3.6436429000000001</v>
      </c>
      <c r="AD1106" s="3">
        <v>3.6201656999999998</v>
      </c>
      <c r="AE1106" s="3">
        <v>3.5966849000000001</v>
      </c>
      <c r="AF1106" s="3">
        <v>3.5732127999999999</v>
      </c>
      <c r="AG1106" s="3">
        <v>3.5497614999999998</v>
      </c>
      <c r="AH1106" s="3">
        <v>3.5263434999999999</v>
      </c>
      <c r="AI1106" s="3">
        <v>3.5029709000000002</v>
      </c>
      <c r="AJ1106" s="3">
        <v>3.4796561000000001</v>
      </c>
      <c r="AK1106" s="3">
        <v>3.4564111999999998</v>
      </c>
      <c r="AL1106" s="3">
        <v>3.4332487</v>
      </c>
      <c r="AM1106" s="3">
        <v>3.4101807000000002</v>
      </c>
      <c r="AN1106" s="3">
        <v>3.3872195</v>
      </c>
      <c r="AO1106" s="3">
        <v>3.3643814000000001</v>
      </c>
      <c r="AP1106" s="3">
        <v>3.3417007999999999</v>
      </c>
      <c r="AQ1106" s="3">
        <v>3.3192167000000001</v>
      </c>
      <c r="AR1106" s="3">
        <v>3.2969685000000002</v>
      </c>
      <c r="AS1106" s="3">
        <v>3.2749953000000001</v>
      </c>
      <c r="AT1106" s="3">
        <v>3.2533362000000001</v>
      </c>
      <c r="AU1106" s="3">
        <v>3.2320305999999999</v>
      </c>
      <c r="AV1106" s="3">
        <v>3.2111174999999998</v>
      </c>
      <c r="AW1106" s="3">
        <v>3.1906362000000001</v>
      </c>
      <c r="AX1106" s="3">
        <v>3.1706259000000001</v>
      </c>
      <c r="AY1106" s="3">
        <v>3.1511258</v>
      </c>
      <c r="AZ1106" s="3">
        <v>3.1321750000000002</v>
      </c>
      <c r="BA1106" s="3">
        <v>3.1138077000000002</v>
      </c>
      <c r="BB1106" s="3">
        <v>3.0960350000000001</v>
      </c>
      <c r="BC1106" s="3">
        <v>3.0788617999999999</v>
      </c>
      <c r="BD1106" s="3">
        <v>3.0622931000000002</v>
      </c>
      <c r="BE1106" s="3">
        <v>3.0463338000000002</v>
      </c>
      <c r="BF1106" s="3">
        <v>3.0309887999999998</v>
      </c>
      <c r="BG1106" s="3">
        <v>3.0162631000000002</v>
      </c>
      <c r="BH1106" s="3">
        <v>3.0021615000000001</v>
      </c>
      <c r="BI1106" s="3">
        <v>2.9886889999999999</v>
      </c>
      <c r="BJ1106" s="3">
        <v>2.9758505</v>
      </c>
      <c r="BK1106" s="3">
        <v>2.9636509000000002</v>
      </c>
      <c r="BL1106" s="3">
        <v>2.9520952</v>
      </c>
      <c r="BM1106" s="3">
        <v>2.8961169</v>
      </c>
      <c r="BN1106" s="3">
        <v>2.8618548000000001</v>
      </c>
    </row>
    <row r="1107" spans="1:66" x14ac:dyDescent="0.35">
      <c r="A1107" s="5">
        <f t="shared" si="16"/>
        <v>45005</v>
      </c>
      <c r="B1107" t="s">
        <v>2509</v>
      </c>
      <c r="C1107" s="2">
        <v>4</v>
      </c>
      <c r="D1107" s="2">
        <v>3.9268000000000001</v>
      </c>
      <c r="E1107" s="3">
        <v>4.0587860999999998</v>
      </c>
      <c r="F1107" s="3">
        <v>4.1050528999999996</v>
      </c>
      <c r="G1107" s="3">
        <v>4.1412136000000004</v>
      </c>
      <c r="H1107" s="3">
        <v>4.1574372000000004</v>
      </c>
      <c r="I1107" s="3">
        <v>4.1523298999999998</v>
      </c>
      <c r="J1107" s="3">
        <v>4.1304775999999999</v>
      </c>
      <c r="K1107" s="3">
        <v>4.0977601000000003</v>
      </c>
      <c r="L1107" s="3">
        <v>4.0595635999999997</v>
      </c>
      <c r="M1107" s="3">
        <v>4.0196567999999999</v>
      </c>
      <c r="N1107" s="3">
        <v>3.9802675999999999</v>
      </c>
      <c r="O1107" s="3">
        <v>3.9425512999999999</v>
      </c>
      <c r="P1107" s="3">
        <v>3.9070372</v>
      </c>
      <c r="Q1107" s="3">
        <v>3.8741650000000001</v>
      </c>
      <c r="R1107" s="3">
        <v>3.8438153000000002</v>
      </c>
      <c r="S1107" s="3">
        <v>3.8156949999999998</v>
      </c>
      <c r="T1107" s="3">
        <v>3.7895112000000002</v>
      </c>
      <c r="U1107" s="3">
        <v>3.7649705999999998</v>
      </c>
      <c r="V1107" s="3">
        <v>3.7417801000000002</v>
      </c>
      <c r="W1107" s="3">
        <v>3.7196535000000002</v>
      </c>
      <c r="X1107" s="3">
        <v>3.6983399000000001</v>
      </c>
      <c r="Y1107" s="3">
        <v>3.6775992999999998</v>
      </c>
      <c r="Z1107" s="3">
        <v>3.6571921999999999</v>
      </c>
      <c r="AA1107" s="3">
        <v>3.6368787999999999</v>
      </c>
      <c r="AB1107" s="3">
        <v>3.6164193999999998</v>
      </c>
      <c r="AC1107" s="3">
        <v>3.5956185000000001</v>
      </c>
      <c r="AD1107" s="3">
        <v>3.5744766000000001</v>
      </c>
      <c r="AE1107" s="3">
        <v>3.553048</v>
      </c>
      <c r="AF1107" s="3">
        <v>3.5313872000000002</v>
      </c>
      <c r="AG1107" s="3">
        <v>3.5095486</v>
      </c>
      <c r="AH1107" s="3">
        <v>3.4875864999999999</v>
      </c>
      <c r="AI1107" s="3">
        <v>3.4655554</v>
      </c>
      <c r="AJ1107" s="3">
        <v>3.4435098000000002</v>
      </c>
      <c r="AK1107" s="3">
        <v>3.4215038999999998</v>
      </c>
      <c r="AL1107" s="3">
        <v>3.3995921999999998</v>
      </c>
      <c r="AM1107" s="3">
        <v>3.3778291999999999</v>
      </c>
      <c r="AN1107" s="3">
        <v>3.3562691</v>
      </c>
      <c r="AO1107" s="3">
        <v>3.3349631</v>
      </c>
      <c r="AP1107" s="3">
        <v>3.3139470000000002</v>
      </c>
      <c r="AQ1107" s="3">
        <v>3.2932524999999999</v>
      </c>
      <c r="AR1107" s="3">
        <v>3.2729115000000002</v>
      </c>
      <c r="AS1107" s="3">
        <v>3.2529556999999998</v>
      </c>
      <c r="AT1107" s="3">
        <v>3.2334168999999999</v>
      </c>
      <c r="AU1107" s="3">
        <v>3.2143267</v>
      </c>
      <c r="AV1107" s="3">
        <v>3.1957171</v>
      </c>
      <c r="AW1107" s="3">
        <v>3.1776195999999999</v>
      </c>
      <c r="AX1107" s="3">
        <v>3.1600660999999999</v>
      </c>
      <c r="AY1107" s="3">
        <v>3.1430883000000001</v>
      </c>
      <c r="AZ1107" s="3">
        <v>3.1267181000000002</v>
      </c>
      <c r="BA1107" s="3">
        <v>3.1109825999999998</v>
      </c>
      <c r="BB1107" s="3">
        <v>3.0958855999999999</v>
      </c>
      <c r="BC1107" s="3">
        <v>3.0814227000000001</v>
      </c>
      <c r="BD1107" s="3">
        <v>3.0675894000000001</v>
      </c>
      <c r="BE1107" s="3">
        <v>3.0543814</v>
      </c>
      <c r="BF1107" s="3">
        <v>3.0417942999999998</v>
      </c>
      <c r="BG1107" s="3">
        <v>3.0298238</v>
      </c>
      <c r="BH1107" s="3">
        <v>3.0184654000000002</v>
      </c>
      <c r="BI1107" s="3">
        <v>3.0077148999999999</v>
      </c>
      <c r="BJ1107" s="3">
        <v>2.9975676999999998</v>
      </c>
      <c r="BK1107" s="3">
        <v>2.9880195999999999</v>
      </c>
      <c r="BL1107" s="3">
        <v>2.9790662000000001</v>
      </c>
      <c r="BM1107" s="3">
        <v>2.9374155000000002</v>
      </c>
      <c r="BN1107" s="3">
        <v>2.9150095999999999</v>
      </c>
    </row>
    <row r="1108" spans="1:66" x14ac:dyDescent="0.35">
      <c r="A1108" s="5">
        <f t="shared" si="16"/>
        <v>45006</v>
      </c>
      <c r="B1108" t="s">
        <v>2510</v>
      </c>
      <c r="C1108" s="2">
        <v>4</v>
      </c>
      <c r="D1108" s="2">
        <v>3.9268999999999998</v>
      </c>
      <c r="E1108" s="3">
        <v>4.0831891999999996</v>
      </c>
      <c r="F1108" s="3">
        <v>4.1518915999999999</v>
      </c>
      <c r="G1108" s="3">
        <v>4.2186678000000004</v>
      </c>
      <c r="H1108" s="3">
        <v>4.2626176999999998</v>
      </c>
      <c r="I1108" s="3">
        <v>4.2768503999999998</v>
      </c>
      <c r="J1108" s="3">
        <v>4.2665034000000004</v>
      </c>
      <c r="K1108" s="3">
        <v>4.2393583000000001</v>
      </c>
      <c r="L1108" s="3">
        <v>4.2026503000000002</v>
      </c>
      <c r="M1108" s="3">
        <v>4.1612672999999996</v>
      </c>
      <c r="N1108" s="3">
        <v>4.1180975000000002</v>
      </c>
      <c r="O1108" s="3">
        <v>4.0746042999999998</v>
      </c>
      <c r="P1108" s="3">
        <v>4.0315178999999999</v>
      </c>
      <c r="Q1108" s="3">
        <v>3.9893030999999999</v>
      </c>
      <c r="R1108" s="3">
        <v>3.9481942000000001</v>
      </c>
      <c r="S1108" s="3">
        <v>3.9083682999999998</v>
      </c>
      <c r="T1108" s="3">
        <v>3.8700027000000001</v>
      </c>
      <c r="U1108" s="3">
        <v>3.8332746000000002</v>
      </c>
      <c r="V1108" s="3">
        <v>3.7983614000000001</v>
      </c>
      <c r="W1108" s="3">
        <v>3.7653992000000001</v>
      </c>
      <c r="X1108" s="3">
        <v>3.7342672000000001</v>
      </c>
      <c r="Y1108" s="3">
        <v>3.704745</v>
      </c>
      <c r="Z1108" s="3">
        <v>3.6766120999999998</v>
      </c>
      <c r="AA1108" s="3">
        <v>3.649648</v>
      </c>
      <c r="AB1108" s="3">
        <v>3.6236320000000002</v>
      </c>
      <c r="AC1108" s="3">
        <v>3.5983717</v>
      </c>
      <c r="AD1108" s="3">
        <v>3.573798</v>
      </c>
      <c r="AE1108" s="3">
        <v>3.5498758000000001</v>
      </c>
      <c r="AF1108" s="3">
        <v>3.5265700999999998</v>
      </c>
      <c r="AG1108" s="3">
        <v>3.5038459999999998</v>
      </c>
      <c r="AH1108" s="3">
        <v>3.4816682999999999</v>
      </c>
      <c r="AI1108" s="3">
        <v>3.4600021999999999</v>
      </c>
      <c r="AJ1108" s="3">
        <v>3.4388125999999999</v>
      </c>
      <c r="AK1108" s="3">
        <v>3.4180644</v>
      </c>
      <c r="AL1108" s="3">
        <v>3.3977227999999999</v>
      </c>
      <c r="AM1108" s="3">
        <v>3.3777526</v>
      </c>
      <c r="AN1108" s="3">
        <v>3.3581188000000002</v>
      </c>
      <c r="AO1108" s="3">
        <v>3.3387929000000001</v>
      </c>
      <c r="AP1108" s="3">
        <v>3.3197806999999999</v>
      </c>
      <c r="AQ1108" s="3">
        <v>3.3010996000000001</v>
      </c>
      <c r="AR1108" s="3">
        <v>3.2827670000000002</v>
      </c>
      <c r="AS1108" s="3">
        <v>3.2648005000000002</v>
      </c>
      <c r="AT1108" s="3">
        <v>3.2472173</v>
      </c>
      <c r="AU1108" s="3">
        <v>3.230035</v>
      </c>
      <c r="AV1108" s="3">
        <v>3.2132710000000002</v>
      </c>
      <c r="AW1108" s="3">
        <v>3.1969425999999999</v>
      </c>
      <c r="AX1108" s="3">
        <v>3.1810673</v>
      </c>
      <c r="AY1108" s="3">
        <v>3.1656626000000001</v>
      </c>
      <c r="AZ1108" s="3">
        <v>3.1507459</v>
      </c>
      <c r="BA1108" s="3">
        <v>3.1363324000000001</v>
      </c>
      <c r="BB1108" s="3">
        <v>3.1224267999999999</v>
      </c>
      <c r="BC1108" s="3">
        <v>3.1090304999999998</v>
      </c>
      <c r="BD1108" s="3">
        <v>3.0961451000000002</v>
      </c>
      <c r="BE1108" s="3">
        <v>3.0837720000000002</v>
      </c>
      <c r="BF1108" s="3">
        <v>3.0719126999999999</v>
      </c>
      <c r="BG1108" s="3">
        <v>3.0605685</v>
      </c>
      <c r="BH1108" s="3">
        <v>3.049741</v>
      </c>
      <c r="BI1108" s="3">
        <v>3.0394317000000002</v>
      </c>
      <c r="BJ1108" s="3">
        <v>3.0296419000000001</v>
      </c>
      <c r="BK1108" s="3">
        <v>3.0203731999999999</v>
      </c>
      <c r="BL1108" s="3">
        <v>3.0116269999999998</v>
      </c>
      <c r="BM1108" s="3">
        <v>2.9699449000000002</v>
      </c>
      <c r="BN1108" s="3">
        <v>2.9458500000000001</v>
      </c>
    </row>
    <row r="1109" spans="1:66" x14ac:dyDescent="0.35">
      <c r="A1109" s="5">
        <f t="shared" ref="A1109:A1173" si="17">+A1104+7</f>
        <v>45007</v>
      </c>
      <c r="B1109" t="s">
        <v>2511</v>
      </c>
      <c r="C1109" s="2">
        <v>4</v>
      </c>
      <c r="D1109" s="2">
        <v>3.927</v>
      </c>
      <c r="E1109" s="3">
        <v>4.1520564000000002</v>
      </c>
      <c r="F1109" s="3">
        <v>4.2775607000000004</v>
      </c>
      <c r="G1109" s="3">
        <v>4.4035191999999999</v>
      </c>
      <c r="H1109" s="3">
        <v>4.5051987000000002</v>
      </c>
      <c r="I1109" s="3">
        <v>4.5683723000000001</v>
      </c>
      <c r="J1109" s="3">
        <v>4.5940205000000001</v>
      </c>
      <c r="K1109" s="3">
        <v>4.5888865000000001</v>
      </c>
      <c r="L1109" s="3">
        <v>4.5629</v>
      </c>
      <c r="M1109" s="3">
        <v>4.5239836999999996</v>
      </c>
      <c r="N1109" s="3">
        <v>4.4778513000000002</v>
      </c>
      <c r="O1109" s="3">
        <v>4.4284416999999996</v>
      </c>
      <c r="P1109" s="3">
        <v>4.3780559999999999</v>
      </c>
      <c r="Q1109" s="3">
        <v>4.3277343999999998</v>
      </c>
      <c r="R1109" s="3">
        <v>4.2778155</v>
      </c>
      <c r="S1109" s="3">
        <v>4.2285158000000003</v>
      </c>
      <c r="T1109" s="3">
        <v>4.1800519999999999</v>
      </c>
      <c r="U1109" s="3">
        <v>4.1326409000000002</v>
      </c>
      <c r="V1109" s="3">
        <v>4.0864991000000002</v>
      </c>
      <c r="W1109" s="3">
        <v>4.0418113</v>
      </c>
      <c r="X1109" s="3">
        <v>3.9985824000000001</v>
      </c>
      <c r="Y1109" s="3">
        <v>3.9567535999999999</v>
      </c>
      <c r="Z1109" s="3">
        <v>3.9162661000000001</v>
      </c>
      <c r="AA1109" s="3">
        <v>3.8770612</v>
      </c>
      <c r="AB1109" s="3">
        <v>3.8390800999999999</v>
      </c>
      <c r="AC1109" s="3">
        <v>3.8022656000000001</v>
      </c>
      <c r="AD1109" s="3">
        <v>3.7665692000000002</v>
      </c>
      <c r="AE1109" s="3">
        <v>3.7319453999999999</v>
      </c>
      <c r="AF1109" s="3">
        <v>3.6983484</v>
      </c>
      <c r="AG1109" s="3">
        <v>3.6657327999999998</v>
      </c>
      <c r="AH1109" s="3">
        <v>3.6340528000000001</v>
      </c>
      <c r="AI1109" s="3">
        <v>3.6032628999999998</v>
      </c>
      <c r="AJ1109" s="3">
        <v>3.5733174999999999</v>
      </c>
      <c r="AK1109" s="3">
        <v>3.5441709000000001</v>
      </c>
      <c r="AL1109" s="3">
        <v>3.5157775999999998</v>
      </c>
      <c r="AM1109" s="3">
        <v>3.488092</v>
      </c>
      <c r="AN1109" s="3">
        <v>3.4610683999999998</v>
      </c>
      <c r="AO1109" s="3">
        <v>3.4346681000000001</v>
      </c>
      <c r="AP1109" s="3">
        <v>3.4088859</v>
      </c>
      <c r="AQ1109" s="3">
        <v>3.3837267999999998</v>
      </c>
      <c r="AR1109" s="3">
        <v>3.3591958000000002</v>
      </c>
      <c r="AS1109" s="3">
        <v>3.3352979</v>
      </c>
      <c r="AT1109" s="3">
        <v>3.3120381999999999</v>
      </c>
      <c r="AU1109" s="3">
        <v>3.2894215999999998</v>
      </c>
      <c r="AV1109" s="3">
        <v>3.2674531999999998</v>
      </c>
      <c r="AW1109" s="3">
        <v>3.2461378999999999</v>
      </c>
      <c r="AX1109" s="3">
        <v>3.2254806999999999</v>
      </c>
      <c r="AY1109" s="3">
        <v>3.2054866999999998</v>
      </c>
      <c r="AZ1109" s="3">
        <v>3.1861608000000001</v>
      </c>
      <c r="BA1109" s="3">
        <v>3.1675072000000002</v>
      </c>
      <c r="BB1109" s="3">
        <v>3.1495255000000002</v>
      </c>
      <c r="BC1109" s="3">
        <v>3.1322144000000001</v>
      </c>
      <c r="BD1109" s="3">
        <v>3.1155724</v>
      </c>
      <c r="BE1109" s="3">
        <v>3.0995981000000001</v>
      </c>
      <c r="BF1109" s="3">
        <v>3.0842901999999999</v>
      </c>
      <c r="BG1109" s="3">
        <v>3.0696473000000002</v>
      </c>
      <c r="BH1109" s="3">
        <v>3.0556678000000002</v>
      </c>
      <c r="BI1109" s="3">
        <v>3.0423504000000001</v>
      </c>
      <c r="BJ1109" s="3">
        <v>3.0296937000000002</v>
      </c>
      <c r="BK1109" s="3">
        <v>3.0176962999999999</v>
      </c>
      <c r="BL1109" s="3">
        <v>3.0063567999999998</v>
      </c>
      <c r="BM1109" s="3">
        <v>2.9517369000000002</v>
      </c>
      <c r="BN1109" s="3">
        <v>2.9184871999999999</v>
      </c>
    </row>
    <row r="1110" spans="1:66" x14ac:dyDescent="0.35">
      <c r="A1110" s="5">
        <f t="shared" si="17"/>
        <v>45008</v>
      </c>
      <c r="B1110" t="s">
        <v>2512</v>
      </c>
      <c r="C1110" s="2">
        <v>4.25</v>
      </c>
      <c r="D1110" s="2">
        <v>4.1759000000000004</v>
      </c>
      <c r="E1110" s="3">
        <v>4.1876813000000004</v>
      </c>
      <c r="F1110" s="3">
        <v>4.2925022000000004</v>
      </c>
      <c r="G1110" s="3">
        <v>4.3875133000000002</v>
      </c>
      <c r="H1110" s="3">
        <v>4.4517986000000001</v>
      </c>
      <c r="I1110" s="3">
        <v>4.4772048</v>
      </c>
      <c r="J1110" s="3">
        <v>4.4683779000000001</v>
      </c>
      <c r="K1110" s="3">
        <v>4.4338857999999997</v>
      </c>
      <c r="L1110" s="3">
        <v>4.3813978000000002</v>
      </c>
      <c r="M1110" s="3">
        <v>4.3179284000000004</v>
      </c>
      <c r="N1110" s="3">
        <v>4.2482848999999998</v>
      </c>
      <c r="O1110" s="3">
        <v>4.1760763000000001</v>
      </c>
      <c r="P1110" s="3">
        <v>4.1037030000000003</v>
      </c>
      <c r="Q1110" s="3">
        <v>4.0334215000000002</v>
      </c>
      <c r="R1110" s="3">
        <v>3.9661995999999999</v>
      </c>
      <c r="S1110" s="3">
        <v>3.9025223000000002</v>
      </c>
      <c r="T1110" s="3">
        <v>3.8428743000000001</v>
      </c>
      <c r="U1110" s="3">
        <v>3.7877402999999998</v>
      </c>
      <c r="V1110" s="3">
        <v>3.7376051000000001</v>
      </c>
      <c r="W1110" s="3">
        <v>3.6928133000000001</v>
      </c>
      <c r="X1110" s="3">
        <v>3.6529921000000001</v>
      </c>
      <c r="Y1110" s="3">
        <v>3.6175392</v>
      </c>
      <c r="Z1110" s="3">
        <v>3.5858525999999999</v>
      </c>
      <c r="AA1110" s="3">
        <v>3.5573299999999999</v>
      </c>
      <c r="AB1110" s="3">
        <v>3.5313691999999999</v>
      </c>
      <c r="AC1110" s="3">
        <v>3.5074252000000001</v>
      </c>
      <c r="AD1110" s="3">
        <v>3.4852308999999999</v>
      </c>
      <c r="AE1110" s="3">
        <v>3.4646039000000002</v>
      </c>
      <c r="AF1110" s="3">
        <v>3.4453619999999998</v>
      </c>
      <c r="AG1110" s="3">
        <v>3.4273226999999999</v>
      </c>
      <c r="AH1110" s="3">
        <v>3.4103037999999999</v>
      </c>
      <c r="AI1110" s="3">
        <v>3.3941227999999999</v>
      </c>
      <c r="AJ1110" s="3">
        <v>3.3785975000000001</v>
      </c>
      <c r="AK1110" s="3">
        <v>3.3635454999999999</v>
      </c>
      <c r="AL1110" s="3">
        <v>3.3487844</v>
      </c>
      <c r="AM1110" s="3">
        <v>3.3341319999999999</v>
      </c>
      <c r="AN1110" s="3">
        <v>3.3194059</v>
      </c>
      <c r="AO1110" s="3">
        <v>3.3044571999999999</v>
      </c>
      <c r="AP1110" s="3">
        <v>3.2892853999999998</v>
      </c>
      <c r="AQ1110" s="3">
        <v>3.2739308</v>
      </c>
      <c r="AR1110" s="3">
        <v>3.2584336</v>
      </c>
      <c r="AS1110" s="3">
        <v>3.2428340000000002</v>
      </c>
      <c r="AT1110" s="3">
        <v>3.2271724000000002</v>
      </c>
      <c r="AU1110" s="3">
        <v>3.2114889</v>
      </c>
      <c r="AV1110" s="3">
        <v>3.1958239000000002</v>
      </c>
      <c r="AW1110" s="3">
        <v>3.1802176000000002</v>
      </c>
      <c r="AX1110" s="3">
        <v>3.1647102999999999</v>
      </c>
      <c r="AY1110" s="3">
        <v>3.1493422</v>
      </c>
      <c r="AZ1110" s="3">
        <v>3.1341535999999999</v>
      </c>
      <c r="BA1110" s="3">
        <v>3.1191829000000002</v>
      </c>
      <c r="BB1110" s="3">
        <v>3.1044597999999999</v>
      </c>
      <c r="BC1110" s="3">
        <v>3.0900118000000001</v>
      </c>
      <c r="BD1110" s="3">
        <v>3.0758662999999999</v>
      </c>
      <c r="BE1110" s="3">
        <v>3.0620509</v>
      </c>
      <c r="BF1110" s="3">
        <v>3.0485929</v>
      </c>
      <c r="BG1110" s="3">
        <v>3.03552</v>
      </c>
      <c r="BH1110" s="3">
        <v>3.0228594000000002</v>
      </c>
      <c r="BI1110" s="3">
        <v>3.0106386999999999</v>
      </c>
      <c r="BJ1110" s="3">
        <v>2.9988853</v>
      </c>
      <c r="BK1110" s="3">
        <v>2.9876268000000001</v>
      </c>
      <c r="BL1110" s="3">
        <v>2.9768903999999998</v>
      </c>
      <c r="BM1110" s="3">
        <v>2.9240206999999998</v>
      </c>
      <c r="BN1110" s="3">
        <v>2.8910019999999998</v>
      </c>
    </row>
    <row r="1111" spans="1:66" x14ac:dyDescent="0.35">
      <c r="A1111" s="5">
        <f t="shared" si="17"/>
        <v>45009</v>
      </c>
      <c r="B1111" t="s">
        <v>2514</v>
      </c>
      <c r="C1111" s="2">
        <v>4.25</v>
      </c>
      <c r="D1111" s="2">
        <v>4.1764999999999999</v>
      </c>
      <c r="E1111" s="3">
        <v>4.1651378000000001</v>
      </c>
      <c r="F1111" s="3">
        <v>4.2699670000000003</v>
      </c>
      <c r="G1111" s="3">
        <v>4.3582324000000003</v>
      </c>
      <c r="H1111" s="3">
        <v>4.4131606000000003</v>
      </c>
      <c r="I1111" s="3">
        <v>4.4293336999999999</v>
      </c>
      <c r="J1111" s="3">
        <v>4.4112065999999999</v>
      </c>
      <c r="K1111" s="3">
        <v>4.3673336999999997</v>
      </c>
      <c r="L1111" s="3">
        <v>4.3064480999999999</v>
      </c>
      <c r="M1111" s="3">
        <v>4.2359527999999997</v>
      </c>
      <c r="N1111" s="3">
        <v>4.1609242000000002</v>
      </c>
      <c r="O1111" s="3">
        <v>4.0850596000000001</v>
      </c>
      <c r="P1111" s="3">
        <v>4.0108097999999996</v>
      </c>
      <c r="Q1111" s="3">
        <v>3.9408416000000002</v>
      </c>
      <c r="R1111" s="3">
        <v>3.8758235999999999</v>
      </c>
      <c r="S1111" s="3">
        <v>3.8156911999999998</v>
      </c>
      <c r="T1111" s="3">
        <v>3.7603799000000002</v>
      </c>
      <c r="U1111" s="3">
        <v>3.7098251000000002</v>
      </c>
      <c r="V1111" s="3">
        <v>3.6639621999999998</v>
      </c>
      <c r="W1111" s="3">
        <v>3.6226672999999998</v>
      </c>
      <c r="X1111" s="3">
        <v>3.5855123</v>
      </c>
      <c r="Y1111" s="3">
        <v>3.5519721999999998</v>
      </c>
      <c r="Z1111" s="3">
        <v>3.5215217000000001</v>
      </c>
      <c r="AA1111" s="3">
        <v>3.4936357999999998</v>
      </c>
      <c r="AB1111" s="3">
        <v>3.4677891000000001</v>
      </c>
      <c r="AC1111" s="3">
        <v>3.4435172000000001</v>
      </c>
      <c r="AD1111" s="3">
        <v>3.4206232000000001</v>
      </c>
      <c r="AE1111" s="3">
        <v>3.3989843999999998</v>
      </c>
      <c r="AF1111" s="3">
        <v>3.3784778000000002</v>
      </c>
      <c r="AG1111" s="3">
        <v>3.3589804999999999</v>
      </c>
      <c r="AH1111" s="3">
        <v>3.3403695999999998</v>
      </c>
      <c r="AI1111" s="3">
        <v>3.3225221999999999</v>
      </c>
      <c r="AJ1111" s="3">
        <v>3.3053154</v>
      </c>
      <c r="AK1111" s="3">
        <v>3.2886261999999999</v>
      </c>
      <c r="AL1111" s="3">
        <v>3.2723319000000002</v>
      </c>
      <c r="AM1111" s="3">
        <v>3.2563095</v>
      </c>
      <c r="AN1111" s="3">
        <v>3.2404362</v>
      </c>
      <c r="AO1111" s="3">
        <v>3.2246108000000002</v>
      </c>
      <c r="AP1111" s="3">
        <v>3.2088296000000001</v>
      </c>
      <c r="AQ1111" s="3">
        <v>3.1931153999999999</v>
      </c>
      <c r="AR1111" s="3">
        <v>3.1774908000000002</v>
      </c>
      <c r="AS1111" s="3">
        <v>3.1619785999999999</v>
      </c>
      <c r="AT1111" s="3">
        <v>3.1466018</v>
      </c>
      <c r="AU1111" s="3">
        <v>3.1313830999999999</v>
      </c>
      <c r="AV1111" s="3">
        <v>3.1163452</v>
      </c>
      <c r="AW1111" s="3">
        <v>3.1015109999999999</v>
      </c>
      <c r="AX1111" s="3">
        <v>3.0869032999999999</v>
      </c>
      <c r="AY1111" s="3">
        <v>3.0725448000000002</v>
      </c>
      <c r="AZ1111" s="3">
        <v>3.0584582999999999</v>
      </c>
      <c r="BA1111" s="3">
        <v>3.0446662</v>
      </c>
      <c r="BB1111" s="3">
        <v>3.0311887999999998</v>
      </c>
      <c r="BC1111" s="3">
        <v>3.0180457999999999</v>
      </c>
      <c r="BD1111" s="3">
        <v>3.0052569999999998</v>
      </c>
      <c r="BE1111" s="3">
        <v>2.9928420999999998</v>
      </c>
      <c r="BF1111" s="3">
        <v>2.9808208999999999</v>
      </c>
      <c r="BG1111" s="3">
        <v>2.9692131000000002</v>
      </c>
      <c r="BH1111" s="3">
        <v>2.9580384</v>
      </c>
      <c r="BI1111" s="3">
        <v>2.9473166000000002</v>
      </c>
      <c r="BJ1111" s="3">
        <v>2.9370674000000001</v>
      </c>
      <c r="BK1111" s="3">
        <v>2.9273106000000002</v>
      </c>
      <c r="BL1111" s="3">
        <v>2.9180659000000002</v>
      </c>
      <c r="BM1111" s="3">
        <v>2.8737187</v>
      </c>
      <c r="BN1111" s="3">
        <v>2.8482489000000002</v>
      </c>
    </row>
    <row r="1112" spans="1:66" x14ac:dyDescent="0.35">
      <c r="A1112" s="5">
        <f t="shared" si="17"/>
        <v>45012</v>
      </c>
      <c r="B1112" t="s">
        <v>2515</v>
      </c>
      <c r="C1112" s="2">
        <v>4.25</v>
      </c>
      <c r="D1112" s="2">
        <v>4.1764999999999999</v>
      </c>
      <c r="E1112" s="3">
        <v>4.1872474999999998</v>
      </c>
      <c r="F1112" s="3">
        <v>4.3029440000000001</v>
      </c>
      <c r="G1112" s="3">
        <v>4.4007681999999999</v>
      </c>
      <c r="H1112" s="3">
        <v>4.4669487999999999</v>
      </c>
      <c r="I1112" s="3">
        <v>4.4978499999999997</v>
      </c>
      <c r="J1112" s="3">
        <v>4.4968512</v>
      </c>
      <c r="K1112" s="3">
        <v>4.4708392000000003</v>
      </c>
      <c r="L1112" s="3">
        <v>4.4272185000000004</v>
      </c>
      <c r="M1112" s="3">
        <v>4.3727375000000004</v>
      </c>
      <c r="N1112" s="3">
        <v>4.3126169000000001</v>
      </c>
      <c r="O1112" s="3">
        <v>4.2503723000000004</v>
      </c>
      <c r="P1112" s="3">
        <v>4.1882336999999996</v>
      </c>
      <c r="Q1112" s="3">
        <v>4.1280622999999999</v>
      </c>
      <c r="R1112" s="3">
        <v>4.0703763000000004</v>
      </c>
      <c r="S1112" s="3">
        <v>4.0152947000000001</v>
      </c>
      <c r="T1112" s="3">
        <v>3.9629368</v>
      </c>
      <c r="U1112" s="3">
        <v>3.9134215999999999</v>
      </c>
      <c r="V1112" s="3">
        <v>3.8668681999999999</v>
      </c>
      <c r="W1112" s="3">
        <v>3.8233450000000002</v>
      </c>
      <c r="X1112" s="3">
        <v>3.7826599000000001</v>
      </c>
      <c r="Y1112" s="3">
        <v>3.7445379000000001</v>
      </c>
      <c r="Z1112" s="3">
        <v>3.7087037999999999</v>
      </c>
      <c r="AA1112" s="3">
        <v>3.6748824999999998</v>
      </c>
      <c r="AB1112" s="3">
        <v>3.6427990000000001</v>
      </c>
      <c r="AC1112" s="3">
        <v>3.6122062000000001</v>
      </c>
      <c r="AD1112" s="3">
        <v>3.5829822</v>
      </c>
      <c r="AE1112" s="3">
        <v>3.5550392</v>
      </c>
      <c r="AF1112" s="3">
        <v>3.5282897000000002</v>
      </c>
      <c r="AG1112" s="3">
        <v>3.5026459999999999</v>
      </c>
      <c r="AH1112" s="3">
        <v>3.4780204000000001</v>
      </c>
      <c r="AI1112" s="3">
        <v>3.4543252</v>
      </c>
      <c r="AJ1112" s="3">
        <v>3.4314729000000002</v>
      </c>
      <c r="AK1112" s="3">
        <v>3.4093757</v>
      </c>
      <c r="AL1112" s="3">
        <v>3.3879459999999999</v>
      </c>
      <c r="AM1112" s="3">
        <v>3.3670962000000002</v>
      </c>
      <c r="AN1112" s="3">
        <v>3.3467386000000001</v>
      </c>
      <c r="AO1112" s="3">
        <v>3.3267997</v>
      </c>
      <c r="AP1112" s="3">
        <v>3.3072691000000001</v>
      </c>
      <c r="AQ1112" s="3">
        <v>3.2881535999999998</v>
      </c>
      <c r="AR1112" s="3">
        <v>3.2694599000000002</v>
      </c>
      <c r="AS1112" s="3">
        <v>3.2511949000000002</v>
      </c>
      <c r="AT1112" s="3">
        <v>3.2333653</v>
      </c>
      <c r="AU1112" s="3">
        <v>3.2159779999999998</v>
      </c>
      <c r="AV1112" s="3">
        <v>3.1990398</v>
      </c>
      <c r="AW1112" s="3">
        <v>3.1825573999999999</v>
      </c>
      <c r="AX1112" s="3">
        <v>3.1665378</v>
      </c>
      <c r="AY1112" s="3">
        <v>3.1509876000000001</v>
      </c>
      <c r="AZ1112" s="3">
        <v>3.1359137000000001</v>
      </c>
      <c r="BA1112" s="3">
        <v>3.1213226999999999</v>
      </c>
      <c r="BB1112" s="3">
        <v>3.1072202</v>
      </c>
      <c r="BC1112" s="3">
        <v>3.0936113000000001</v>
      </c>
      <c r="BD1112" s="3">
        <v>3.0805012000000001</v>
      </c>
      <c r="BE1112" s="3">
        <v>3.067895</v>
      </c>
      <c r="BF1112" s="3">
        <v>3.0557979999999998</v>
      </c>
      <c r="BG1112" s="3">
        <v>3.0442152999999998</v>
      </c>
      <c r="BH1112" s="3">
        <v>3.0331519999999998</v>
      </c>
      <c r="BI1112" s="3">
        <v>3.0226133000000002</v>
      </c>
      <c r="BJ1112" s="3">
        <v>3.0126043</v>
      </c>
      <c r="BK1112" s="3">
        <v>3.0031303</v>
      </c>
      <c r="BL1112" s="3">
        <v>2.9941963999999999</v>
      </c>
      <c r="BM1112" s="3">
        <v>2.9517833000000002</v>
      </c>
      <c r="BN1112" s="3">
        <v>2.9274132000000002</v>
      </c>
    </row>
    <row r="1113" spans="1:66" x14ac:dyDescent="0.35">
      <c r="A1113" s="5">
        <f t="shared" si="17"/>
        <v>45013</v>
      </c>
      <c r="B1113" t="s">
        <v>2516</v>
      </c>
      <c r="C1113" s="2">
        <v>4.25</v>
      </c>
      <c r="D1113" s="2">
        <v>4.1765999999999996</v>
      </c>
      <c r="E1113" s="3">
        <v>4.1980921999999996</v>
      </c>
      <c r="F1113" s="3">
        <v>4.3152584999999997</v>
      </c>
      <c r="G1113" s="3">
        <v>4.4171477000000001</v>
      </c>
      <c r="H1113" s="3">
        <v>4.4904815999999999</v>
      </c>
      <c r="I1113" s="3">
        <v>4.5286099999999996</v>
      </c>
      <c r="J1113" s="3">
        <v>4.5337551999999999</v>
      </c>
      <c r="K1113" s="3">
        <v>4.5121751999999997</v>
      </c>
      <c r="L1113" s="3">
        <v>4.4719310999999999</v>
      </c>
      <c r="M1113" s="3">
        <v>4.4201147000000001</v>
      </c>
      <c r="N1113" s="3">
        <v>4.3622363999999996</v>
      </c>
      <c r="O1113" s="3">
        <v>4.3018831000000004</v>
      </c>
      <c r="P1113" s="3">
        <v>4.2411579000000001</v>
      </c>
      <c r="Q1113" s="3">
        <v>4.1815860999999996</v>
      </c>
      <c r="R1113" s="3">
        <v>4.1236822999999996</v>
      </c>
      <c r="S1113" s="3">
        <v>4.0676819999999996</v>
      </c>
      <c r="T1113" s="3">
        <v>4.0138208000000004</v>
      </c>
      <c r="U1113" s="3">
        <v>3.9623341999999999</v>
      </c>
      <c r="V1113" s="3">
        <v>3.9134576000000001</v>
      </c>
      <c r="W1113" s="3">
        <v>3.8673888999999999</v>
      </c>
      <c r="X1113" s="3">
        <v>3.8240891000000001</v>
      </c>
      <c r="Y1113" s="3">
        <v>3.7834278000000001</v>
      </c>
      <c r="Z1113" s="3">
        <v>3.7452741999999999</v>
      </c>
      <c r="AA1113" s="3">
        <v>3.7094976000000002</v>
      </c>
      <c r="AB1113" s="3">
        <v>3.6759674000000002</v>
      </c>
      <c r="AC1113" s="3">
        <v>3.6445512999999998</v>
      </c>
      <c r="AD1113" s="3">
        <v>3.6151103999999998</v>
      </c>
      <c r="AE1113" s="3">
        <v>3.5875037999999999</v>
      </c>
      <c r="AF1113" s="3">
        <v>3.5615904999999999</v>
      </c>
      <c r="AG1113" s="3">
        <v>3.5372298</v>
      </c>
      <c r="AH1113" s="3">
        <v>3.5142807</v>
      </c>
      <c r="AI1113" s="3">
        <v>3.4926023000000002</v>
      </c>
      <c r="AJ1113" s="3">
        <v>3.4720537999999999</v>
      </c>
      <c r="AK1113" s="3">
        <v>3.4524943000000001</v>
      </c>
      <c r="AL1113" s="3">
        <v>3.433783</v>
      </c>
      <c r="AM1113" s="3">
        <v>3.4157788</v>
      </c>
      <c r="AN1113" s="3">
        <v>3.3983411000000001</v>
      </c>
      <c r="AO1113" s="3">
        <v>3.3813447000000001</v>
      </c>
      <c r="AP1113" s="3">
        <v>3.3647505</v>
      </c>
      <c r="AQ1113" s="3">
        <v>3.3485478999999998</v>
      </c>
      <c r="AR1113" s="3">
        <v>3.3327265000000001</v>
      </c>
      <c r="AS1113" s="3">
        <v>3.3172758</v>
      </c>
      <c r="AT1113" s="3">
        <v>3.3021853999999999</v>
      </c>
      <c r="AU1113" s="3">
        <v>3.2874446000000002</v>
      </c>
      <c r="AV1113" s="3">
        <v>3.2730431000000002</v>
      </c>
      <c r="AW1113" s="3">
        <v>3.2589703000000001</v>
      </c>
      <c r="AX1113" s="3">
        <v>3.2452158</v>
      </c>
      <c r="AY1113" s="3">
        <v>3.2317691000000002</v>
      </c>
      <c r="AZ1113" s="3">
        <v>3.2186197000000001</v>
      </c>
      <c r="BA1113" s="3">
        <v>3.2057601999999998</v>
      </c>
      <c r="BB1113" s="3">
        <v>3.1931997000000001</v>
      </c>
      <c r="BC1113" s="3">
        <v>3.1809527000000002</v>
      </c>
      <c r="BD1113" s="3">
        <v>3.1690339000000001</v>
      </c>
      <c r="BE1113" s="3">
        <v>3.1574578999999998</v>
      </c>
      <c r="BF1113" s="3">
        <v>3.1462393</v>
      </c>
      <c r="BG1113" s="3">
        <v>3.1353927000000001</v>
      </c>
      <c r="BH1113" s="3">
        <v>3.1249327999999998</v>
      </c>
      <c r="BI1113" s="3">
        <v>3.1148739999999999</v>
      </c>
      <c r="BJ1113" s="3">
        <v>3.1052311000000001</v>
      </c>
      <c r="BK1113" s="3">
        <v>3.0960185999999998</v>
      </c>
      <c r="BL1113" s="3">
        <v>3.0872511999999999</v>
      </c>
      <c r="BM1113" s="3">
        <v>3.0442507000000001</v>
      </c>
      <c r="BN1113" s="3">
        <v>3.0175169999999998</v>
      </c>
    </row>
    <row r="1114" spans="1:66" x14ac:dyDescent="0.35">
      <c r="A1114" s="5">
        <f t="shared" si="17"/>
        <v>45014</v>
      </c>
      <c r="B1114" t="s">
        <v>2517</v>
      </c>
      <c r="C1114" s="2">
        <v>4.25</v>
      </c>
      <c r="D1114" s="2">
        <v>4.1767000000000003</v>
      </c>
      <c r="E1114" s="3">
        <v>4.1972060000000004</v>
      </c>
      <c r="F1114" s="3">
        <v>4.3294813999999997</v>
      </c>
      <c r="G1114" s="3">
        <v>4.4402964999999996</v>
      </c>
      <c r="H1114" s="3">
        <v>4.5178940000000001</v>
      </c>
      <c r="I1114" s="3">
        <v>4.5578428999999998</v>
      </c>
      <c r="J1114" s="3">
        <v>4.5651526000000002</v>
      </c>
      <c r="K1114" s="3">
        <v>4.5469546000000003</v>
      </c>
      <c r="L1114" s="3">
        <v>4.5113531</v>
      </c>
      <c r="M1114" s="3">
        <v>4.4650941</v>
      </c>
      <c r="N1114" s="3">
        <v>4.4128964000000002</v>
      </c>
      <c r="O1114" s="3">
        <v>4.3575106999999997</v>
      </c>
      <c r="P1114" s="3">
        <v>4.3004432000000001</v>
      </c>
      <c r="Q1114" s="3">
        <v>4.2423523999999997</v>
      </c>
      <c r="R1114" s="3">
        <v>4.1839377999999998</v>
      </c>
      <c r="S1114" s="3">
        <v>4.1260026999999999</v>
      </c>
      <c r="T1114" s="3">
        <v>4.0693505999999999</v>
      </c>
      <c r="U1114" s="3">
        <v>4.0147851000000001</v>
      </c>
      <c r="V1114" s="3">
        <v>3.9631094999999998</v>
      </c>
      <c r="W1114" s="3">
        <v>3.9150021000000002</v>
      </c>
      <c r="X1114" s="3">
        <v>3.8704304</v>
      </c>
      <c r="Y1114" s="3">
        <v>3.8291122999999998</v>
      </c>
      <c r="Z1114" s="3">
        <v>3.7907652999999999</v>
      </c>
      <c r="AA1114" s="3">
        <v>3.7551068999999999</v>
      </c>
      <c r="AB1114" s="3">
        <v>3.7218548</v>
      </c>
      <c r="AC1114" s="3">
        <v>3.6907413999999998</v>
      </c>
      <c r="AD1114" s="3">
        <v>3.6615809000000001</v>
      </c>
      <c r="AE1114" s="3">
        <v>3.6342145000000001</v>
      </c>
      <c r="AF1114" s="3">
        <v>3.6084833999999999</v>
      </c>
      <c r="AG1114" s="3">
        <v>3.5842288999999998</v>
      </c>
      <c r="AH1114" s="3">
        <v>3.5612924000000001</v>
      </c>
      <c r="AI1114" s="3">
        <v>3.5395150000000002</v>
      </c>
      <c r="AJ1114" s="3">
        <v>3.5187381000000002</v>
      </c>
      <c r="AK1114" s="3">
        <v>3.4988030000000001</v>
      </c>
      <c r="AL1114" s="3">
        <v>3.4795509</v>
      </c>
      <c r="AM1114" s="3">
        <v>3.4608230999999998</v>
      </c>
      <c r="AN1114" s="3">
        <v>3.4424608999999999</v>
      </c>
      <c r="AO1114" s="3">
        <v>3.4243288000000001</v>
      </c>
      <c r="AP1114" s="3">
        <v>3.4064041999999999</v>
      </c>
      <c r="AQ1114" s="3">
        <v>3.3886989999999999</v>
      </c>
      <c r="AR1114" s="3">
        <v>3.3712251000000002</v>
      </c>
      <c r="AS1114" s="3">
        <v>3.3539943999999999</v>
      </c>
      <c r="AT1114" s="3">
        <v>3.3370186999999998</v>
      </c>
      <c r="AU1114" s="3">
        <v>3.3203098999999998</v>
      </c>
      <c r="AV1114" s="3">
        <v>3.3038799999999999</v>
      </c>
      <c r="AW1114" s="3">
        <v>3.2877407000000001</v>
      </c>
      <c r="AX1114" s="3">
        <v>3.2719040000000001</v>
      </c>
      <c r="AY1114" s="3">
        <v>3.2563816999999999</v>
      </c>
      <c r="AZ1114" s="3">
        <v>3.2411856999999999</v>
      </c>
      <c r="BA1114" s="3">
        <v>3.2263280999999999</v>
      </c>
      <c r="BB1114" s="3">
        <v>3.2118218000000001</v>
      </c>
      <c r="BC1114" s="3">
        <v>3.1976798</v>
      </c>
      <c r="BD1114" s="3">
        <v>3.1839152999999998</v>
      </c>
      <c r="BE1114" s="3">
        <v>3.1705413999999998</v>
      </c>
      <c r="BF1114" s="3">
        <v>3.1575712999999999</v>
      </c>
      <c r="BG1114" s="3">
        <v>3.1450181000000001</v>
      </c>
      <c r="BH1114" s="3">
        <v>3.1328949000000001</v>
      </c>
      <c r="BI1114" s="3">
        <v>3.1212149</v>
      </c>
      <c r="BJ1114" s="3">
        <v>3.1099912000000001</v>
      </c>
      <c r="BK1114" s="3">
        <v>3.0992367999999999</v>
      </c>
      <c r="BL1114" s="3">
        <v>3.088965</v>
      </c>
      <c r="BM1114" s="3">
        <v>3.0376870999999999</v>
      </c>
      <c r="BN1114" s="3">
        <v>3.0039267000000001</v>
      </c>
    </row>
    <row r="1115" spans="1:66" x14ac:dyDescent="0.35">
      <c r="A1115" s="5">
        <f t="shared" si="17"/>
        <v>45015</v>
      </c>
      <c r="B1115" t="s">
        <v>2518</v>
      </c>
      <c r="C1115" s="2">
        <v>4.25</v>
      </c>
      <c r="D1115" s="2">
        <v>4.1768000000000001</v>
      </c>
      <c r="E1115" s="3">
        <v>4.1994005000000003</v>
      </c>
      <c r="F1115" s="3">
        <v>4.3300947000000001</v>
      </c>
      <c r="G1115" s="3">
        <v>4.4392274</v>
      </c>
      <c r="H1115" s="3">
        <v>4.5191894000000001</v>
      </c>
      <c r="I1115" s="3">
        <v>4.5674741000000001</v>
      </c>
      <c r="J1115" s="3">
        <v>4.5866574</v>
      </c>
      <c r="K1115" s="3">
        <v>4.5813001</v>
      </c>
      <c r="L1115" s="3">
        <v>4.5556950000000001</v>
      </c>
      <c r="M1115" s="3">
        <v>4.5155611999999996</v>
      </c>
      <c r="N1115" s="3">
        <v>4.4654508000000002</v>
      </c>
      <c r="O1115" s="3">
        <v>4.4093385999999999</v>
      </c>
      <c r="P1115" s="3">
        <v>4.3500435</v>
      </c>
      <c r="Q1115" s="3">
        <v>4.2903903999999997</v>
      </c>
      <c r="R1115" s="3">
        <v>4.2316599999999998</v>
      </c>
      <c r="S1115" s="3">
        <v>4.1744797</v>
      </c>
      <c r="T1115" s="3">
        <v>4.1194758</v>
      </c>
      <c r="U1115" s="3">
        <v>4.0672747999999999</v>
      </c>
      <c r="V1115" s="3">
        <v>4.0185029999999999</v>
      </c>
      <c r="W1115" s="3">
        <v>3.973649</v>
      </c>
      <c r="X1115" s="3">
        <v>3.9324965000000001</v>
      </c>
      <c r="Y1115" s="3">
        <v>3.8946036999999998</v>
      </c>
      <c r="Z1115" s="3">
        <v>3.8595288999999999</v>
      </c>
      <c r="AA1115" s="3">
        <v>3.8268303000000001</v>
      </c>
      <c r="AB1115" s="3">
        <v>3.7960663000000001</v>
      </c>
      <c r="AC1115" s="3">
        <v>3.7668393</v>
      </c>
      <c r="AD1115" s="3">
        <v>3.7389684999999999</v>
      </c>
      <c r="AE1115" s="3">
        <v>3.7123387999999999</v>
      </c>
      <c r="AF1115" s="3">
        <v>3.6868352999999998</v>
      </c>
      <c r="AG1115" s="3">
        <v>3.6623427999999998</v>
      </c>
      <c r="AH1115" s="3">
        <v>3.6387463000000002</v>
      </c>
      <c r="AI1115" s="3">
        <v>3.6159308000000001</v>
      </c>
      <c r="AJ1115" s="3">
        <v>3.5937812</v>
      </c>
      <c r="AK1115" s="3">
        <v>3.5721824999999998</v>
      </c>
      <c r="AL1115" s="3">
        <v>3.5510196999999999</v>
      </c>
      <c r="AM1115" s="3">
        <v>3.5301776999999999</v>
      </c>
      <c r="AN1115" s="3">
        <v>3.5095413999999998</v>
      </c>
      <c r="AO1115" s="3">
        <v>3.4890173</v>
      </c>
      <c r="AP1115" s="3">
        <v>3.4686059</v>
      </c>
      <c r="AQ1115" s="3">
        <v>3.448334</v>
      </c>
      <c r="AR1115" s="3">
        <v>3.4282281999999999</v>
      </c>
      <c r="AS1115" s="3">
        <v>3.4083152000000001</v>
      </c>
      <c r="AT1115" s="3">
        <v>3.3886216</v>
      </c>
      <c r="AU1115" s="3">
        <v>3.3691741999999998</v>
      </c>
      <c r="AV1115" s="3">
        <v>3.3499997000000001</v>
      </c>
      <c r="AW1115" s="3">
        <v>3.3311247000000002</v>
      </c>
      <c r="AX1115" s="3">
        <v>3.3125757999999998</v>
      </c>
      <c r="AY1115" s="3">
        <v>3.2943799</v>
      </c>
      <c r="AZ1115" s="3">
        <v>3.2765635</v>
      </c>
      <c r="BA1115" s="3">
        <v>3.2591515000000002</v>
      </c>
      <c r="BB1115" s="3">
        <v>3.2421608000000002</v>
      </c>
      <c r="BC1115" s="3">
        <v>3.2256060999999998</v>
      </c>
      <c r="BD1115" s="3">
        <v>3.2095020000000001</v>
      </c>
      <c r="BE1115" s="3">
        <v>3.1938631000000002</v>
      </c>
      <c r="BF1115" s="3">
        <v>3.1787041</v>
      </c>
      <c r="BG1115" s="3">
        <v>3.1640397</v>
      </c>
      <c r="BH1115" s="3">
        <v>3.1498845000000002</v>
      </c>
      <c r="BI1115" s="3">
        <v>3.1362530999999998</v>
      </c>
      <c r="BJ1115" s="3">
        <v>3.1231602999999999</v>
      </c>
      <c r="BK1115" s="3">
        <v>3.1106207000000001</v>
      </c>
      <c r="BL1115" s="3">
        <v>3.0986489000000002</v>
      </c>
      <c r="BM1115" s="3">
        <v>3.0389889000000001</v>
      </c>
      <c r="BN1115" s="3">
        <v>2.9999416000000001</v>
      </c>
    </row>
    <row r="1116" spans="1:66" x14ac:dyDescent="0.35">
      <c r="A1116" s="5">
        <f t="shared" si="17"/>
        <v>45016</v>
      </c>
      <c r="B1116" t="s">
        <v>2519</v>
      </c>
      <c r="C1116" s="2">
        <v>4.25</v>
      </c>
      <c r="D1116" s="2">
        <v>4.1776999999999997</v>
      </c>
      <c r="E1116" s="3">
        <v>4.2023529000000002</v>
      </c>
      <c r="F1116" s="3">
        <v>4.3278242000000002</v>
      </c>
      <c r="G1116" s="3">
        <v>4.4341052000000003</v>
      </c>
      <c r="H1116" s="3">
        <v>4.5128509000000001</v>
      </c>
      <c r="I1116" s="3">
        <v>4.5607099</v>
      </c>
      <c r="J1116" s="3">
        <v>4.5794192999999996</v>
      </c>
      <c r="K1116" s="3">
        <v>4.5728887</v>
      </c>
      <c r="L1116" s="3">
        <v>4.5454078000000004</v>
      </c>
      <c r="M1116" s="3">
        <v>4.5023567</v>
      </c>
      <c r="N1116" s="3">
        <v>4.4480376000000001</v>
      </c>
      <c r="O1116" s="3">
        <v>4.3865312999999997</v>
      </c>
      <c r="P1116" s="3">
        <v>4.3208979999999997</v>
      </c>
      <c r="Q1116" s="3">
        <v>4.2545415999999996</v>
      </c>
      <c r="R1116" s="3">
        <v>4.1891109999999996</v>
      </c>
      <c r="S1116" s="3">
        <v>4.1255651999999996</v>
      </c>
      <c r="T1116" s="3">
        <v>4.0648622000000003</v>
      </c>
      <c r="U1116" s="3">
        <v>4.0079605000000003</v>
      </c>
      <c r="V1116" s="3">
        <v>3.9558184000000001</v>
      </c>
      <c r="W1116" s="3">
        <v>3.9091537999999999</v>
      </c>
      <c r="X1116" s="3">
        <v>3.8675706999999999</v>
      </c>
      <c r="Y1116" s="3">
        <v>3.8303501999999998</v>
      </c>
      <c r="Z1116" s="3">
        <v>3.7967732000000001</v>
      </c>
      <c r="AA1116" s="3">
        <v>3.7661207000000001</v>
      </c>
      <c r="AB1116" s="3">
        <v>3.7376738</v>
      </c>
      <c r="AC1116" s="3">
        <v>3.7108013999999998</v>
      </c>
      <c r="AD1116" s="3">
        <v>3.6852605000000001</v>
      </c>
      <c r="AE1116" s="3">
        <v>3.6609153000000001</v>
      </c>
      <c r="AF1116" s="3">
        <v>3.6376300000000001</v>
      </c>
      <c r="AG1116" s="3">
        <v>3.6152688999999998</v>
      </c>
      <c r="AH1116" s="3">
        <v>3.593696</v>
      </c>
      <c r="AI1116" s="3">
        <v>3.5727755000000001</v>
      </c>
      <c r="AJ1116" s="3">
        <v>3.5523717000000001</v>
      </c>
      <c r="AK1116" s="3">
        <v>3.5323487</v>
      </c>
      <c r="AL1116" s="3">
        <v>3.5125706999999999</v>
      </c>
      <c r="AM1116" s="3">
        <v>3.4929019000000001</v>
      </c>
      <c r="AN1116" s="3">
        <v>3.4732064</v>
      </c>
      <c r="AO1116" s="3">
        <v>3.4533763</v>
      </c>
      <c r="AP1116" s="3">
        <v>3.4334264999999999</v>
      </c>
      <c r="AQ1116" s="3">
        <v>3.4134055000000001</v>
      </c>
      <c r="AR1116" s="3">
        <v>3.3933623000000002</v>
      </c>
      <c r="AS1116" s="3">
        <v>3.3733455999999999</v>
      </c>
      <c r="AT1116" s="3">
        <v>3.3534041000000001</v>
      </c>
      <c r="AU1116" s="3">
        <v>3.3335865</v>
      </c>
      <c r="AV1116" s="3">
        <v>3.3139417</v>
      </c>
      <c r="AW1116" s="3">
        <v>3.2945183999999998</v>
      </c>
      <c r="AX1116" s="3">
        <v>3.2753652</v>
      </c>
      <c r="AY1116" s="3">
        <v>3.2565309999999998</v>
      </c>
      <c r="AZ1116" s="3">
        <v>3.2380645000000001</v>
      </c>
      <c r="BA1116" s="3">
        <v>3.2200095000000002</v>
      </c>
      <c r="BB1116" s="3">
        <v>3.2023874999999999</v>
      </c>
      <c r="BC1116" s="3">
        <v>3.1852138999999999</v>
      </c>
      <c r="BD1116" s="3">
        <v>3.1685040999999998</v>
      </c>
      <c r="BE1116" s="3">
        <v>3.1522736</v>
      </c>
      <c r="BF1116" s="3">
        <v>3.1365378000000002</v>
      </c>
      <c r="BG1116" s="3">
        <v>3.1213120999999999</v>
      </c>
      <c r="BH1116" s="3">
        <v>3.1066118999999999</v>
      </c>
      <c r="BI1116" s="3">
        <v>3.0924527999999998</v>
      </c>
      <c r="BJ1116" s="3">
        <v>3.0788500999999999</v>
      </c>
      <c r="BK1116" s="3">
        <v>3.0658191000000001</v>
      </c>
      <c r="BL1116" s="3">
        <v>3.0533755</v>
      </c>
      <c r="BM1116" s="3">
        <v>2.9913188000000002</v>
      </c>
      <c r="BN1116" s="3">
        <v>2.9506646999999999</v>
      </c>
    </row>
    <row r="1117" spans="1:66" x14ac:dyDescent="0.35">
      <c r="A1117" s="5">
        <f t="shared" si="17"/>
        <v>45019</v>
      </c>
      <c r="B1117" t="s">
        <v>2520</v>
      </c>
      <c r="C1117" s="2">
        <v>4.25</v>
      </c>
      <c r="D1117" s="2">
        <v>4.1768999999999998</v>
      </c>
      <c r="E1117" s="3">
        <v>4.2133944000000003</v>
      </c>
      <c r="F1117" s="3">
        <v>4.3471611000000001</v>
      </c>
      <c r="G1117" s="3">
        <v>4.4538481000000001</v>
      </c>
      <c r="H1117" s="3">
        <v>4.5263228</v>
      </c>
      <c r="I1117" s="3">
        <v>4.5623117000000004</v>
      </c>
      <c r="J1117" s="3">
        <v>4.5647865000000003</v>
      </c>
      <c r="K1117" s="3">
        <v>4.5393974999999998</v>
      </c>
      <c r="L1117" s="3">
        <v>4.4938161000000001</v>
      </c>
      <c r="M1117" s="3">
        <v>4.4349914999999998</v>
      </c>
      <c r="N1117" s="3">
        <v>4.3686308</v>
      </c>
      <c r="O1117" s="3">
        <v>4.2988527000000003</v>
      </c>
      <c r="P1117" s="3">
        <v>4.2285463999999999</v>
      </c>
      <c r="Q1117" s="3">
        <v>4.1603678999999998</v>
      </c>
      <c r="R1117" s="3">
        <v>4.0951424000000003</v>
      </c>
      <c r="S1117" s="3">
        <v>4.0331441000000003</v>
      </c>
      <c r="T1117" s="3">
        <v>3.9746473</v>
      </c>
      <c r="U1117" s="3">
        <v>3.9199259</v>
      </c>
      <c r="V1117" s="3">
        <v>3.8692543000000001</v>
      </c>
      <c r="W1117" s="3">
        <v>3.8228013000000001</v>
      </c>
      <c r="X1117" s="3">
        <v>3.7802479999999998</v>
      </c>
      <c r="Y1117" s="3">
        <v>3.7411341999999999</v>
      </c>
      <c r="Z1117" s="3">
        <v>3.7049994000000002</v>
      </c>
      <c r="AA1117" s="3">
        <v>3.6713835000000001</v>
      </c>
      <c r="AB1117" s="3">
        <v>3.6398259999999998</v>
      </c>
      <c r="AC1117" s="3">
        <v>3.6099206000000001</v>
      </c>
      <c r="AD1117" s="3">
        <v>3.5814989000000002</v>
      </c>
      <c r="AE1117" s="3">
        <v>3.5544582</v>
      </c>
      <c r="AF1117" s="3">
        <v>3.5286957000000001</v>
      </c>
      <c r="AG1117" s="3">
        <v>3.5041088999999999</v>
      </c>
      <c r="AH1117" s="3">
        <v>3.4805950000000001</v>
      </c>
      <c r="AI1117" s="3">
        <v>3.4580511999999999</v>
      </c>
      <c r="AJ1117" s="3">
        <v>3.436375</v>
      </c>
      <c r="AK1117" s="3">
        <v>3.4154635</v>
      </c>
      <c r="AL1117" s="3">
        <v>3.3952141</v>
      </c>
      <c r="AM1117" s="3">
        <v>3.3755240999999998</v>
      </c>
      <c r="AN1117" s="3">
        <v>3.3562908</v>
      </c>
      <c r="AO1117" s="3">
        <v>3.3374221999999998</v>
      </c>
      <c r="AP1117" s="3">
        <v>3.3188971999999999</v>
      </c>
      <c r="AQ1117" s="3">
        <v>3.3007236999999998</v>
      </c>
      <c r="AR1117" s="3">
        <v>3.2829093</v>
      </c>
      <c r="AS1117" s="3">
        <v>3.2654619</v>
      </c>
      <c r="AT1117" s="3">
        <v>3.2483892000000001</v>
      </c>
      <c r="AU1117" s="3">
        <v>3.2316989999999999</v>
      </c>
      <c r="AV1117" s="3">
        <v>3.2153991999999998</v>
      </c>
      <c r="AW1117" s="3">
        <v>3.1994973999999998</v>
      </c>
      <c r="AX1117" s="3">
        <v>3.1840014000000001</v>
      </c>
      <c r="AY1117" s="3">
        <v>3.1689191999999999</v>
      </c>
      <c r="AZ1117" s="3">
        <v>3.1542583</v>
      </c>
      <c r="BA1117" s="3">
        <v>3.1400263000000002</v>
      </c>
      <c r="BB1117" s="3">
        <v>3.1262283000000002</v>
      </c>
      <c r="BC1117" s="3">
        <v>3.1128688000000002</v>
      </c>
      <c r="BD1117" s="3">
        <v>3.0999523</v>
      </c>
      <c r="BE1117" s="3">
        <v>3.0874831999999999</v>
      </c>
      <c r="BF1117" s="3">
        <v>3.0754660999999999</v>
      </c>
      <c r="BG1117" s="3">
        <v>3.0639053999999999</v>
      </c>
      <c r="BH1117" s="3">
        <v>3.0528056000000001</v>
      </c>
      <c r="BI1117" s="3">
        <v>3.0421711999999999</v>
      </c>
      <c r="BJ1117" s="3">
        <v>3.0320065999999999</v>
      </c>
      <c r="BK1117" s="3">
        <v>3.0223163</v>
      </c>
      <c r="BL1117" s="3">
        <v>3.0131049000000001</v>
      </c>
      <c r="BM1117" s="3">
        <v>2.9678531000000001</v>
      </c>
      <c r="BN1117" s="3">
        <v>2.9391957999999998</v>
      </c>
    </row>
    <row r="1118" spans="1:66" x14ac:dyDescent="0.35">
      <c r="A1118" s="5">
        <f t="shared" si="17"/>
        <v>45020</v>
      </c>
      <c r="B1118" t="s">
        <v>2521</v>
      </c>
      <c r="C1118" s="2">
        <v>4.25</v>
      </c>
      <c r="D1118" s="2">
        <v>4.1767000000000003</v>
      </c>
      <c r="E1118" s="3">
        <v>4.1681299000000003</v>
      </c>
      <c r="F1118" s="3">
        <v>4.3520789000000004</v>
      </c>
      <c r="G1118" s="3">
        <v>4.4633187999999997</v>
      </c>
      <c r="H1118" s="3">
        <v>4.5186140999999997</v>
      </c>
      <c r="I1118" s="3">
        <v>4.5341060000000004</v>
      </c>
      <c r="J1118" s="3">
        <v>4.5193042999999999</v>
      </c>
      <c r="K1118" s="3">
        <v>4.4805790999999999</v>
      </c>
      <c r="L1118" s="3">
        <v>4.4247075999999996</v>
      </c>
      <c r="M1118" s="3">
        <v>4.3577066000000002</v>
      </c>
      <c r="N1118" s="3">
        <v>4.2846460000000004</v>
      </c>
      <c r="O1118" s="3">
        <v>4.2094076999999999</v>
      </c>
      <c r="P1118" s="3">
        <v>4.1347871999999999</v>
      </c>
      <c r="Q1118" s="3">
        <v>4.0632662000000002</v>
      </c>
      <c r="R1118" s="3">
        <v>3.9956269999999998</v>
      </c>
      <c r="S1118" s="3">
        <v>3.9321541999999998</v>
      </c>
      <c r="T1118" s="3">
        <v>3.8731323999999998</v>
      </c>
      <c r="U1118" s="3">
        <v>3.8188461</v>
      </c>
      <c r="V1118" s="3">
        <v>3.7695799999999999</v>
      </c>
      <c r="W1118" s="3">
        <v>3.7254908000000002</v>
      </c>
      <c r="X1118" s="3">
        <v>3.6861421000000001</v>
      </c>
      <c r="Y1118" s="3">
        <v>3.6509252999999999</v>
      </c>
      <c r="Z1118" s="3">
        <v>3.6192321999999999</v>
      </c>
      <c r="AA1118" s="3">
        <v>3.5904544</v>
      </c>
      <c r="AB1118" s="3">
        <v>3.5639834000000001</v>
      </c>
      <c r="AC1118" s="3">
        <v>3.5392826999999998</v>
      </c>
      <c r="AD1118" s="3">
        <v>3.5161324</v>
      </c>
      <c r="AE1118" s="3">
        <v>3.4944001</v>
      </c>
      <c r="AF1118" s="3">
        <v>3.4739534000000001</v>
      </c>
      <c r="AG1118" s="3">
        <v>3.4546597999999999</v>
      </c>
      <c r="AH1118" s="3">
        <v>3.4363869</v>
      </c>
      <c r="AI1118" s="3">
        <v>3.4190022999999998</v>
      </c>
      <c r="AJ1118" s="3">
        <v>3.4023734999999999</v>
      </c>
      <c r="AK1118" s="3">
        <v>3.3863682000000002</v>
      </c>
      <c r="AL1118" s="3">
        <v>3.3708537999999999</v>
      </c>
      <c r="AM1118" s="3">
        <v>3.3556981000000001</v>
      </c>
      <c r="AN1118" s="3">
        <v>3.3407684</v>
      </c>
      <c r="AO1118" s="3">
        <v>3.3259489000000002</v>
      </c>
      <c r="AP1118" s="3">
        <v>3.3112205000000001</v>
      </c>
      <c r="AQ1118" s="3">
        <v>3.2966004999999998</v>
      </c>
      <c r="AR1118" s="3">
        <v>3.2821058999999999</v>
      </c>
      <c r="AS1118" s="3">
        <v>3.2677539000000002</v>
      </c>
      <c r="AT1118" s="3">
        <v>3.2535615999999998</v>
      </c>
      <c r="AU1118" s="3">
        <v>3.2395461000000001</v>
      </c>
      <c r="AV1118" s="3">
        <v>3.2257246999999998</v>
      </c>
      <c r="AW1118" s="3">
        <v>3.2121143000000001</v>
      </c>
      <c r="AX1118" s="3">
        <v>3.1987321999999998</v>
      </c>
      <c r="AY1118" s="3">
        <v>3.1855954999999998</v>
      </c>
      <c r="AZ1118" s="3">
        <v>3.1727213000000001</v>
      </c>
      <c r="BA1118" s="3">
        <v>3.160126</v>
      </c>
      <c r="BB1118" s="3">
        <v>3.1478221999999998</v>
      </c>
      <c r="BC1118" s="3">
        <v>3.1358215999999999</v>
      </c>
      <c r="BD1118" s="3">
        <v>3.1241357000000001</v>
      </c>
      <c r="BE1118" s="3">
        <v>3.1127760000000002</v>
      </c>
      <c r="BF1118" s="3">
        <v>3.1017541</v>
      </c>
      <c r="BG1118" s="3">
        <v>3.0910815</v>
      </c>
      <c r="BH1118" s="3">
        <v>3.0807698000000001</v>
      </c>
      <c r="BI1118" s="3">
        <v>3.0708305999999999</v>
      </c>
      <c r="BJ1118" s="3">
        <v>3.0612754</v>
      </c>
      <c r="BK1118" s="3">
        <v>3.0521156999999999</v>
      </c>
      <c r="BL1118" s="3">
        <v>3.0433631999999999</v>
      </c>
      <c r="BM1118" s="3">
        <v>2.9996556000000001</v>
      </c>
      <c r="BN1118" s="3">
        <v>2.9711321000000002</v>
      </c>
    </row>
    <row r="1119" spans="1:66" x14ac:dyDescent="0.35">
      <c r="A1119" s="5">
        <f t="shared" si="17"/>
        <v>45021</v>
      </c>
      <c r="B1119" t="s">
        <v>2522</v>
      </c>
      <c r="C1119" s="2">
        <v>4.25</v>
      </c>
      <c r="D1119" s="2">
        <v>4.1768999999999998</v>
      </c>
      <c r="E1119" s="3">
        <v>4.2225140000000003</v>
      </c>
      <c r="F1119" s="3">
        <v>4.3540035000000001</v>
      </c>
      <c r="G1119" s="3">
        <v>4.4498382999999997</v>
      </c>
      <c r="H1119" s="3">
        <v>4.5089259999999998</v>
      </c>
      <c r="I1119" s="3">
        <v>4.5321065000000003</v>
      </c>
      <c r="J1119" s="3">
        <v>4.5234420999999996</v>
      </c>
      <c r="K1119" s="3">
        <v>4.4878415</v>
      </c>
      <c r="L1119" s="3">
        <v>4.4323842999999998</v>
      </c>
      <c r="M1119" s="3">
        <v>4.3638117000000003</v>
      </c>
      <c r="N1119" s="3">
        <v>4.2879395000000002</v>
      </c>
      <c r="O1119" s="3">
        <v>4.2091734000000001</v>
      </c>
      <c r="P1119" s="3">
        <v>4.1306269999999996</v>
      </c>
      <c r="Q1119" s="3">
        <v>4.0551450999999998</v>
      </c>
      <c r="R1119" s="3">
        <v>3.9835869000000002</v>
      </c>
      <c r="S1119" s="3">
        <v>3.9162243000000001</v>
      </c>
      <c r="T1119" s="3">
        <v>3.8533297000000002</v>
      </c>
      <c r="U1119" s="3">
        <v>3.7951749000000001</v>
      </c>
      <c r="V1119" s="3">
        <v>3.7420320999999999</v>
      </c>
      <c r="W1119" s="3">
        <v>3.6940876999999999</v>
      </c>
      <c r="X1119" s="3">
        <v>3.6510419999999999</v>
      </c>
      <c r="Y1119" s="3">
        <v>3.6124244999999999</v>
      </c>
      <c r="Z1119" s="3">
        <v>3.5777644999999998</v>
      </c>
      <c r="AA1119" s="3">
        <v>3.5465912999999998</v>
      </c>
      <c r="AB1119" s="3">
        <v>3.5184342000000002</v>
      </c>
      <c r="AC1119" s="3">
        <v>3.492855</v>
      </c>
      <c r="AD1119" s="3">
        <v>3.4695890999999999</v>
      </c>
      <c r="AE1119" s="3">
        <v>3.4484308000000001</v>
      </c>
      <c r="AF1119" s="3">
        <v>3.4291741</v>
      </c>
      <c r="AG1119" s="3">
        <v>3.4116130999999998</v>
      </c>
      <c r="AH1119" s="3">
        <v>3.3955418000000002</v>
      </c>
      <c r="AI1119" s="3">
        <v>3.3807543</v>
      </c>
      <c r="AJ1119" s="3">
        <v>3.3670447999999999</v>
      </c>
      <c r="AK1119" s="3">
        <v>3.3542073000000001</v>
      </c>
      <c r="AL1119" s="3">
        <v>3.3420358999999999</v>
      </c>
      <c r="AM1119" s="3">
        <v>3.3303246</v>
      </c>
      <c r="AN1119" s="3">
        <v>3.3188675999999999</v>
      </c>
      <c r="AO1119" s="3">
        <v>3.3074840000000001</v>
      </c>
      <c r="AP1119" s="3">
        <v>3.2961273000000002</v>
      </c>
      <c r="AQ1119" s="3">
        <v>3.2847963</v>
      </c>
      <c r="AR1119" s="3">
        <v>3.2734896999999998</v>
      </c>
      <c r="AS1119" s="3">
        <v>3.2622064000000002</v>
      </c>
      <c r="AT1119" s="3">
        <v>3.2509451</v>
      </c>
      <c r="AU1119" s="3">
        <v>3.2397046</v>
      </c>
      <c r="AV1119" s="3">
        <v>3.2284836000000001</v>
      </c>
      <c r="AW1119" s="3">
        <v>3.2172809999999998</v>
      </c>
      <c r="AX1119" s="3">
        <v>3.2060954000000002</v>
      </c>
      <c r="AY1119" s="3">
        <v>3.1949257000000002</v>
      </c>
      <c r="AZ1119" s="3">
        <v>3.1837705999999999</v>
      </c>
      <c r="BA1119" s="3">
        <v>3.1726331999999999</v>
      </c>
      <c r="BB1119" s="3">
        <v>3.1615354</v>
      </c>
      <c r="BC1119" s="3">
        <v>3.1505041</v>
      </c>
      <c r="BD1119" s="3">
        <v>3.1395666000000002</v>
      </c>
      <c r="BE1119" s="3">
        <v>3.1287498</v>
      </c>
      <c r="BF1119" s="3">
        <v>3.1180808999999998</v>
      </c>
      <c r="BG1119" s="3">
        <v>3.1075868</v>
      </c>
      <c r="BH1119" s="3">
        <v>3.0972947999999998</v>
      </c>
      <c r="BI1119" s="3">
        <v>3.0872316999999998</v>
      </c>
      <c r="BJ1119" s="3">
        <v>3.0774249</v>
      </c>
      <c r="BK1119" s="3">
        <v>3.0679012000000001</v>
      </c>
      <c r="BL1119" s="3">
        <v>3.0586878</v>
      </c>
      <c r="BM1119" s="3">
        <v>3.0107591</v>
      </c>
      <c r="BN1119" s="3">
        <v>2.9766507999999998</v>
      </c>
    </row>
    <row r="1120" spans="1:66" x14ac:dyDescent="0.35">
      <c r="A1120" s="5">
        <f t="shared" si="17"/>
        <v>45022</v>
      </c>
      <c r="B1120" t="s">
        <v>2523</v>
      </c>
      <c r="C1120" s="2">
        <v>4.25</v>
      </c>
      <c r="D1120" s="2">
        <v>4.1769999999999996</v>
      </c>
      <c r="E1120" s="3">
        <v>4.2233289999999997</v>
      </c>
      <c r="F1120" s="3">
        <v>4.3642428000000004</v>
      </c>
      <c r="G1120" s="3">
        <v>4.4643734000000004</v>
      </c>
      <c r="H1120" s="3">
        <v>4.5261456000000004</v>
      </c>
      <c r="I1120" s="3">
        <v>4.5529520000000003</v>
      </c>
      <c r="J1120" s="3">
        <v>4.5490630999999997</v>
      </c>
      <c r="K1120" s="3">
        <v>4.5181901</v>
      </c>
      <c r="L1120" s="3">
        <v>4.4659525000000002</v>
      </c>
      <c r="M1120" s="3">
        <v>4.3986612000000003</v>
      </c>
      <c r="N1120" s="3">
        <v>4.3218952000000002</v>
      </c>
      <c r="O1120" s="3">
        <v>4.2405872000000002</v>
      </c>
      <c r="P1120" s="3">
        <v>4.1583189999999997</v>
      </c>
      <c r="Q1120" s="3">
        <v>4.0782246000000004</v>
      </c>
      <c r="R1120" s="3">
        <v>4.0015954000000002</v>
      </c>
      <c r="S1120" s="3">
        <v>3.9290772</v>
      </c>
      <c r="T1120" s="3">
        <v>3.8613152999999998</v>
      </c>
      <c r="U1120" s="3">
        <v>3.7989552</v>
      </c>
      <c r="V1120" s="3">
        <v>3.742642</v>
      </c>
      <c r="W1120" s="3">
        <v>3.6928467</v>
      </c>
      <c r="X1120" s="3">
        <v>3.6491468</v>
      </c>
      <c r="Y1120" s="3">
        <v>3.6108343000000001</v>
      </c>
      <c r="Z1120" s="3">
        <v>3.5772008999999998</v>
      </c>
      <c r="AA1120" s="3">
        <v>3.5475387</v>
      </c>
      <c r="AB1120" s="3">
        <v>3.5211394999999999</v>
      </c>
      <c r="AC1120" s="3">
        <v>3.4973600999999999</v>
      </c>
      <c r="AD1120" s="3">
        <v>3.4758741</v>
      </c>
      <c r="AE1120" s="3">
        <v>3.4564515</v>
      </c>
      <c r="AF1120" s="3">
        <v>3.4388621000000001</v>
      </c>
      <c r="AG1120" s="3">
        <v>3.422876</v>
      </c>
      <c r="AH1120" s="3">
        <v>3.4082631000000001</v>
      </c>
      <c r="AI1120" s="3">
        <v>3.3947932999999999</v>
      </c>
      <c r="AJ1120" s="3">
        <v>3.3822366000000001</v>
      </c>
      <c r="AK1120" s="3">
        <v>3.3703628999999999</v>
      </c>
      <c r="AL1120" s="3">
        <v>3.3589422</v>
      </c>
      <c r="AM1120" s="3">
        <v>3.3477443999999998</v>
      </c>
      <c r="AN1120" s="3">
        <v>3.3365395000000002</v>
      </c>
      <c r="AO1120" s="3">
        <v>3.3251319000000001</v>
      </c>
      <c r="AP1120" s="3">
        <v>3.3134944000000002</v>
      </c>
      <c r="AQ1120" s="3">
        <v>3.3016508999999998</v>
      </c>
      <c r="AR1120" s="3">
        <v>3.2896252000000001</v>
      </c>
      <c r="AS1120" s="3">
        <v>3.2774413999999998</v>
      </c>
      <c r="AT1120" s="3">
        <v>3.2651232000000001</v>
      </c>
      <c r="AU1120" s="3">
        <v>3.2526947000000002</v>
      </c>
      <c r="AV1120" s="3">
        <v>3.2401797999999999</v>
      </c>
      <c r="AW1120" s="3">
        <v>3.2276023</v>
      </c>
      <c r="AX1120" s="3">
        <v>3.2149863000000001</v>
      </c>
      <c r="AY1120" s="3">
        <v>3.2023556000000002</v>
      </c>
      <c r="AZ1120" s="3">
        <v>3.1897340999999999</v>
      </c>
      <c r="BA1120" s="3">
        <v>3.1771465000000001</v>
      </c>
      <c r="BB1120" s="3">
        <v>3.1646207999999998</v>
      </c>
      <c r="BC1120" s="3">
        <v>3.1521857999999998</v>
      </c>
      <c r="BD1120" s="3">
        <v>3.1398704999999998</v>
      </c>
      <c r="BE1120" s="3">
        <v>3.1277037000000001</v>
      </c>
      <c r="BF1120" s="3">
        <v>3.1157142000000002</v>
      </c>
      <c r="BG1120" s="3">
        <v>3.1039311000000001</v>
      </c>
      <c r="BH1120" s="3">
        <v>3.0923829999999999</v>
      </c>
      <c r="BI1120" s="3">
        <v>3.081099</v>
      </c>
      <c r="BJ1120" s="3">
        <v>3.0701079</v>
      </c>
      <c r="BK1120" s="3">
        <v>3.0594385000000002</v>
      </c>
      <c r="BL1120" s="3">
        <v>3.0491198000000002</v>
      </c>
      <c r="BM1120" s="3">
        <v>2.9954472000000001</v>
      </c>
      <c r="BN1120" s="3">
        <v>2.9571299999999998</v>
      </c>
    </row>
    <row r="1121" spans="1:66" x14ac:dyDescent="0.35">
      <c r="A1121" s="5">
        <f t="shared" si="17"/>
        <v>45023</v>
      </c>
      <c r="B1121" t="s">
        <v>2524</v>
      </c>
      <c r="C1121" s="2">
        <v>4.25</v>
      </c>
      <c r="D1121" s="2" t="e">
        <v>#N/A</v>
      </c>
      <c r="E1121" s="3" t="e">
        <v>#N/A</v>
      </c>
      <c r="F1121" s="3" t="e">
        <v>#N/A</v>
      </c>
      <c r="G1121" s="3" t="e">
        <v>#N/A</v>
      </c>
      <c r="H1121" s="3" t="e">
        <v>#N/A</v>
      </c>
      <c r="I1121" s="3" t="e">
        <v>#N/A</v>
      </c>
      <c r="J1121" s="3" t="e">
        <v>#N/A</v>
      </c>
      <c r="K1121" s="3" t="e">
        <v>#N/A</v>
      </c>
      <c r="L1121" s="3" t="e">
        <v>#N/A</v>
      </c>
      <c r="M1121" s="3" t="e">
        <v>#N/A</v>
      </c>
      <c r="N1121" s="3" t="e">
        <v>#N/A</v>
      </c>
      <c r="O1121" s="3" t="e">
        <v>#N/A</v>
      </c>
      <c r="P1121" s="3" t="e">
        <v>#N/A</v>
      </c>
      <c r="Q1121" s="3" t="e">
        <v>#N/A</v>
      </c>
      <c r="R1121" s="3" t="e">
        <v>#N/A</v>
      </c>
      <c r="S1121" s="3" t="e">
        <v>#N/A</v>
      </c>
      <c r="T1121" s="3" t="e">
        <v>#N/A</v>
      </c>
      <c r="U1121" s="3" t="e">
        <v>#N/A</v>
      </c>
      <c r="V1121" s="3" t="e">
        <v>#N/A</v>
      </c>
      <c r="W1121" s="3" t="e">
        <v>#N/A</v>
      </c>
      <c r="X1121" s="3" t="e">
        <v>#N/A</v>
      </c>
      <c r="Y1121" s="3" t="e">
        <v>#N/A</v>
      </c>
      <c r="Z1121" s="3" t="e">
        <v>#N/A</v>
      </c>
      <c r="AA1121" s="3" t="e">
        <v>#N/A</v>
      </c>
      <c r="AB1121" s="3" t="e">
        <v>#N/A</v>
      </c>
      <c r="AC1121" s="3" t="e">
        <v>#N/A</v>
      </c>
      <c r="AD1121" s="3" t="e">
        <v>#N/A</v>
      </c>
      <c r="AE1121" s="3" t="e">
        <v>#N/A</v>
      </c>
      <c r="AF1121" s="3" t="e">
        <v>#N/A</v>
      </c>
      <c r="AG1121" s="3" t="e">
        <v>#N/A</v>
      </c>
      <c r="AH1121" s="3" t="e">
        <v>#N/A</v>
      </c>
      <c r="AI1121" s="3" t="e">
        <v>#N/A</v>
      </c>
      <c r="AJ1121" s="3" t="e">
        <v>#N/A</v>
      </c>
      <c r="AK1121" s="3" t="e">
        <v>#N/A</v>
      </c>
      <c r="AL1121" s="3" t="e">
        <v>#N/A</v>
      </c>
      <c r="AM1121" s="3" t="e">
        <v>#N/A</v>
      </c>
      <c r="AN1121" s="3" t="e">
        <v>#N/A</v>
      </c>
      <c r="AO1121" s="3" t="e">
        <v>#N/A</v>
      </c>
      <c r="AP1121" s="3" t="e">
        <v>#N/A</v>
      </c>
      <c r="AQ1121" s="3" t="e">
        <v>#N/A</v>
      </c>
      <c r="AR1121" s="3" t="e">
        <v>#N/A</v>
      </c>
      <c r="AS1121" s="3" t="e">
        <v>#N/A</v>
      </c>
      <c r="AT1121" s="3" t="e">
        <v>#N/A</v>
      </c>
      <c r="AU1121" s="3" t="e">
        <v>#N/A</v>
      </c>
      <c r="AV1121" s="3" t="e">
        <v>#N/A</v>
      </c>
      <c r="AW1121" s="3" t="e">
        <v>#N/A</v>
      </c>
      <c r="AX1121" s="3" t="e">
        <v>#N/A</v>
      </c>
      <c r="AY1121" s="3" t="e">
        <v>#N/A</v>
      </c>
      <c r="AZ1121" s="3" t="e">
        <v>#N/A</v>
      </c>
      <c r="BA1121" s="3" t="e">
        <v>#N/A</v>
      </c>
      <c r="BB1121" s="3" t="e">
        <v>#N/A</v>
      </c>
      <c r="BC1121" s="3" t="e">
        <v>#N/A</v>
      </c>
      <c r="BD1121" s="3" t="e">
        <v>#N/A</v>
      </c>
      <c r="BE1121" s="3" t="e">
        <v>#N/A</v>
      </c>
      <c r="BF1121" s="3" t="e">
        <v>#N/A</v>
      </c>
      <c r="BG1121" s="3" t="e">
        <v>#N/A</v>
      </c>
      <c r="BH1121" s="3" t="e">
        <v>#N/A</v>
      </c>
      <c r="BI1121" s="3" t="e">
        <v>#N/A</v>
      </c>
      <c r="BJ1121" s="3" t="e">
        <v>#N/A</v>
      </c>
      <c r="BK1121" s="3" t="e">
        <v>#N/A</v>
      </c>
      <c r="BL1121" s="3" t="e">
        <v>#N/A</v>
      </c>
      <c r="BM1121" s="3" t="e">
        <v>#N/A</v>
      </c>
      <c r="BN1121" s="3" t="e">
        <v>#N/A</v>
      </c>
    </row>
    <row r="1122" spans="1:66" x14ac:dyDescent="0.35">
      <c r="A1122" s="5">
        <f t="shared" si="17"/>
        <v>45026</v>
      </c>
      <c r="B1122" t="s">
        <v>2525</v>
      </c>
      <c r="C1122" s="2">
        <v>4.25</v>
      </c>
      <c r="D1122" s="2" t="e">
        <v>#N/A</v>
      </c>
      <c r="E1122" s="3" t="e">
        <v>#N/A</v>
      </c>
      <c r="F1122" s="3" t="e">
        <v>#N/A</v>
      </c>
      <c r="G1122" s="3" t="e">
        <v>#N/A</v>
      </c>
      <c r="H1122" s="3" t="e">
        <v>#N/A</v>
      </c>
      <c r="I1122" s="3" t="e">
        <v>#N/A</v>
      </c>
      <c r="J1122" s="3" t="e">
        <v>#N/A</v>
      </c>
      <c r="K1122" s="3" t="e">
        <v>#N/A</v>
      </c>
      <c r="L1122" s="3" t="e">
        <v>#N/A</v>
      </c>
      <c r="M1122" s="3" t="e">
        <v>#N/A</v>
      </c>
      <c r="N1122" s="3" t="e">
        <v>#N/A</v>
      </c>
      <c r="O1122" s="3" t="e">
        <v>#N/A</v>
      </c>
      <c r="P1122" s="3" t="e">
        <v>#N/A</v>
      </c>
      <c r="Q1122" s="3" t="e">
        <v>#N/A</v>
      </c>
      <c r="R1122" s="3" t="e">
        <v>#N/A</v>
      </c>
      <c r="S1122" s="3" t="e">
        <v>#N/A</v>
      </c>
      <c r="T1122" s="3" t="e">
        <v>#N/A</v>
      </c>
      <c r="U1122" s="3" t="e">
        <v>#N/A</v>
      </c>
      <c r="V1122" s="3" t="e">
        <v>#N/A</v>
      </c>
      <c r="W1122" s="3" t="e">
        <v>#N/A</v>
      </c>
      <c r="X1122" s="3" t="e">
        <v>#N/A</v>
      </c>
      <c r="Y1122" s="3" t="e">
        <v>#N/A</v>
      </c>
      <c r="Z1122" s="3" t="e">
        <v>#N/A</v>
      </c>
      <c r="AA1122" s="3" t="e">
        <v>#N/A</v>
      </c>
      <c r="AB1122" s="3" t="e">
        <v>#N/A</v>
      </c>
      <c r="AC1122" s="3" t="e">
        <v>#N/A</v>
      </c>
      <c r="AD1122" s="3" t="e">
        <v>#N/A</v>
      </c>
      <c r="AE1122" s="3" t="e">
        <v>#N/A</v>
      </c>
      <c r="AF1122" s="3" t="e">
        <v>#N/A</v>
      </c>
      <c r="AG1122" s="3" t="e">
        <v>#N/A</v>
      </c>
      <c r="AH1122" s="3" t="e">
        <v>#N/A</v>
      </c>
      <c r="AI1122" s="3" t="e">
        <v>#N/A</v>
      </c>
      <c r="AJ1122" s="3" t="e">
        <v>#N/A</v>
      </c>
      <c r="AK1122" s="3" t="e">
        <v>#N/A</v>
      </c>
      <c r="AL1122" s="3" t="e">
        <v>#N/A</v>
      </c>
      <c r="AM1122" s="3" t="e">
        <v>#N/A</v>
      </c>
      <c r="AN1122" s="3" t="e">
        <v>#N/A</v>
      </c>
      <c r="AO1122" s="3" t="e">
        <v>#N/A</v>
      </c>
      <c r="AP1122" s="3" t="e">
        <v>#N/A</v>
      </c>
      <c r="AQ1122" s="3" t="e">
        <v>#N/A</v>
      </c>
      <c r="AR1122" s="3" t="e">
        <v>#N/A</v>
      </c>
      <c r="AS1122" s="3" t="e">
        <v>#N/A</v>
      </c>
      <c r="AT1122" s="3" t="e">
        <v>#N/A</v>
      </c>
      <c r="AU1122" s="3" t="e">
        <v>#N/A</v>
      </c>
      <c r="AV1122" s="3" t="e">
        <v>#N/A</v>
      </c>
      <c r="AW1122" s="3" t="e">
        <v>#N/A</v>
      </c>
      <c r="AX1122" s="3" t="e">
        <v>#N/A</v>
      </c>
      <c r="AY1122" s="3" t="e">
        <v>#N/A</v>
      </c>
      <c r="AZ1122" s="3" t="e">
        <v>#N/A</v>
      </c>
      <c r="BA1122" s="3" t="e">
        <v>#N/A</v>
      </c>
      <c r="BB1122" s="3" t="e">
        <v>#N/A</v>
      </c>
      <c r="BC1122" s="3" t="e">
        <v>#N/A</v>
      </c>
      <c r="BD1122" s="3" t="e">
        <v>#N/A</v>
      </c>
      <c r="BE1122" s="3" t="e">
        <v>#N/A</v>
      </c>
      <c r="BF1122" s="3" t="e">
        <v>#N/A</v>
      </c>
      <c r="BG1122" s="3" t="e">
        <v>#N/A</v>
      </c>
      <c r="BH1122" s="3" t="e">
        <v>#N/A</v>
      </c>
      <c r="BI1122" s="3" t="e">
        <v>#N/A</v>
      </c>
      <c r="BJ1122" s="3" t="e">
        <v>#N/A</v>
      </c>
      <c r="BK1122" s="3" t="e">
        <v>#N/A</v>
      </c>
      <c r="BL1122" s="3" t="e">
        <v>#N/A</v>
      </c>
      <c r="BM1122" s="3" t="e">
        <v>#N/A</v>
      </c>
      <c r="BN1122" s="3" t="e">
        <v>#N/A</v>
      </c>
    </row>
    <row r="1123" spans="1:66" x14ac:dyDescent="0.35">
      <c r="A1123" s="5">
        <f t="shared" si="17"/>
        <v>45027</v>
      </c>
      <c r="B1123" t="s">
        <v>2526</v>
      </c>
      <c r="C1123" s="2">
        <v>4.25</v>
      </c>
      <c r="D1123" s="2">
        <v>4.1767000000000003</v>
      </c>
      <c r="E1123" s="3">
        <v>4.2495855000000002</v>
      </c>
      <c r="F1123" s="3">
        <v>4.4107466999999998</v>
      </c>
      <c r="G1123" s="3">
        <v>4.5226942000000001</v>
      </c>
      <c r="H1123" s="3">
        <v>4.5928931999999998</v>
      </c>
      <c r="I1123" s="3">
        <v>4.6297677999999998</v>
      </c>
      <c r="J1123" s="3">
        <v>4.6376350999999998</v>
      </c>
      <c r="K1123" s="3">
        <v>4.6190762999999997</v>
      </c>
      <c r="L1123" s="3">
        <v>4.5788051000000003</v>
      </c>
      <c r="M1123" s="3">
        <v>4.5222737000000004</v>
      </c>
      <c r="N1123" s="3">
        <v>4.4551065000000003</v>
      </c>
      <c r="O1123" s="3">
        <v>4.3820372000000001</v>
      </c>
      <c r="P1123" s="3">
        <v>4.3065134</v>
      </c>
      <c r="Q1123" s="3">
        <v>4.2318094999999998</v>
      </c>
      <c r="R1123" s="3">
        <v>4.1592513000000002</v>
      </c>
      <c r="S1123" s="3">
        <v>4.0895754999999996</v>
      </c>
      <c r="T1123" s="3">
        <v>4.0235186000000001</v>
      </c>
      <c r="U1123" s="3">
        <v>3.9618172</v>
      </c>
      <c r="V1123" s="3">
        <v>3.9052077999999999</v>
      </c>
      <c r="W1123" s="3">
        <v>3.8542382000000002</v>
      </c>
      <c r="X1123" s="3">
        <v>3.8085792999999999</v>
      </c>
      <c r="Y1123" s="3">
        <v>3.7676481000000002</v>
      </c>
      <c r="Z1123" s="3">
        <v>3.7308617000000002</v>
      </c>
      <c r="AA1123" s="3">
        <v>3.6976369999999998</v>
      </c>
      <c r="AB1123" s="3">
        <v>3.6673912</v>
      </c>
      <c r="AC1123" s="3">
        <v>3.6396012</v>
      </c>
      <c r="AD1123" s="3">
        <v>3.6140097999999998</v>
      </c>
      <c r="AE1123" s="3">
        <v>3.5904327</v>
      </c>
      <c r="AF1123" s="3">
        <v>3.5686857000000001</v>
      </c>
      <c r="AG1123" s="3">
        <v>3.5485847000000001</v>
      </c>
      <c r="AH1123" s="3">
        <v>3.5299455000000002</v>
      </c>
      <c r="AI1123" s="3">
        <v>3.5125837999999998</v>
      </c>
      <c r="AJ1123" s="3">
        <v>3.4963156</v>
      </c>
      <c r="AK1123" s="3">
        <v>3.4809567000000001</v>
      </c>
      <c r="AL1123" s="3">
        <v>3.4663227999999999</v>
      </c>
      <c r="AM1123" s="3">
        <v>3.4522297000000002</v>
      </c>
      <c r="AN1123" s="3">
        <v>3.4384934</v>
      </c>
      <c r="AO1123" s="3">
        <v>3.4249524999999998</v>
      </c>
      <c r="AP1123" s="3">
        <v>3.4115695000000001</v>
      </c>
      <c r="AQ1123" s="3">
        <v>3.3983479999999999</v>
      </c>
      <c r="AR1123" s="3">
        <v>3.3852918000000001</v>
      </c>
      <c r="AS1123" s="3">
        <v>3.3724048999999998</v>
      </c>
      <c r="AT1123" s="3">
        <v>3.3596908999999999</v>
      </c>
      <c r="AU1123" s="3">
        <v>3.3471536</v>
      </c>
      <c r="AV1123" s="3">
        <v>3.3347969000000002</v>
      </c>
      <c r="AW1123" s="3">
        <v>3.3226244999999999</v>
      </c>
      <c r="AX1123" s="3">
        <v>3.3106403000000002</v>
      </c>
      <c r="AY1123" s="3">
        <v>3.2988480999999998</v>
      </c>
      <c r="AZ1123" s="3">
        <v>3.2872515999999998</v>
      </c>
      <c r="BA1123" s="3">
        <v>3.2758555999999999</v>
      </c>
      <c r="BB1123" s="3">
        <v>3.2646703000000001</v>
      </c>
      <c r="BC1123" s="3">
        <v>3.2537072</v>
      </c>
      <c r="BD1123" s="3">
        <v>3.2429777999999998</v>
      </c>
      <c r="BE1123" s="3">
        <v>3.2324939000000001</v>
      </c>
      <c r="BF1123" s="3">
        <v>3.2222669000000002</v>
      </c>
      <c r="BG1123" s="3">
        <v>3.2123084</v>
      </c>
      <c r="BH1123" s="3">
        <v>3.2026300999999999</v>
      </c>
      <c r="BI1123" s="3">
        <v>3.1932434999999999</v>
      </c>
      <c r="BJ1123" s="3">
        <v>3.1841602</v>
      </c>
      <c r="BK1123" s="3">
        <v>3.1753917</v>
      </c>
      <c r="BL1123" s="3">
        <v>3.1669497999999998</v>
      </c>
      <c r="BM1123" s="3">
        <v>3.1235211000000001</v>
      </c>
      <c r="BN1123" s="3">
        <v>3.0930363999999999</v>
      </c>
    </row>
    <row r="1124" spans="1:66" x14ac:dyDescent="0.35">
      <c r="A1124" s="5">
        <f t="shared" si="17"/>
        <v>45028</v>
      </c>
      <c r="B1124" t="s">
        <v>2527</v>
      </c>
      <c r="C1124" s="2">
        <v>4.25</v>
      </c>
      <c r="D1124" s="2">
        <v>4.1767000000000003</v>
      </c>
      <c r="E1124" s="3">
        <v>4.2570456999999999</v>
      </c>
      <c r="F1124" s="3">
        <v>4.4184023999999997</v>
      </c>
      <c r="G1124" s="3">
        <v>4.5318391</v>
      </c>
      <c r="H1124" s="3">
        <v>4.6036840999999997</v>
      </c>
      <c r="I1124" s="3">
        <v>4.6414062999999999</v>
      </c>
      <c r="J1124" s="3">
        <v>4.6505453000000001</v>
      </c>
      <c r="K1124" s="3">
        <v>4.6340022000000003</v>
      </c>
      <c r="L1124" s="3">
        <v>4.5961536000000001</v>
      </c>
      <c r="M1124" s="3">
        <v>4.5420781999999997</v>
      </c>
      <c r="N1124" s="3">
        <v>4.4770295000000004</v>
      </c>
      <c r="O1124" s="3">
        <v>4.4056176000000002</v>
      </c>
      <c r="P1124" s="3">
        <v>4.3314896000000003</v>
      </c>
      <c r="Q1124" s="3">
        <v>4.2584831999999997</v>
      </c>
      <c r="R1124" s="3">
        <v>4.1878837999999998</v>
      </c>
      <c r="S1124" s="3">
        <v>4.1201891000000002</v>
      </c>
      <c r="T1124" s="3">
        <v>4.0558964</v>
      </c>
      <c r="U1124" s="3">
        <v>3.9955033000000002</v>
      </c>
      <c r="V1124" s="3">
        <v>3.9395072</v>
      </c>
      <c r="W1124" s="3">
        <v>3.8883060999999999</v>
      </c>
      <c r="X1124" s="3">
        <v>3.8417325999999998</v>
      </c>
      <c r="Y1124" s="3">
        <v>3.7994210000000002</v>
      </c>
      <c r="Z1124" s="3">
        <v>3.7610054000000002</v>
      </c>
      <c r="AA1124" s="3">
        <v>3.7261196000000001</v>
      </c>
      <c r="AB1124" s="3">
        <v>3.6943975999999998</v>
      </c>
      <c r="AC1124" s="3">
        <v>3.665492</v>
      </c>
      <c r="AD1124" s="3">
        <v>3.6391543</v>
      </c>
      <c r="AE1124" s="3">
        <v>3.6151697999999999</v>
      </c>
      <c r="AF1124" s="3">
        <v>3.5933233000000002</v>
      </c>
      <c r="AG1124" s="3">
        <v>3.5733999999999999</v>
      </c>
      <c r="AH1124" s="3">
        <v>3.5551849999999998</v>
      </c>
      <c r="AI1124" s="3">
        <v>3.5384633000000001</v>
      </c>
      <c r="AJ1124" s="3">
        <v>3.5230199</v>
      </c>
      <c r="AK1124" s="3">
        <v>3.5086398999999999</v>
      </c>
      <c r="AL1124" s="3">
        <v>3.4951083999999999</v>
      </c>
      <c r="AM1124" s="3">
        <v>3.4822104999999999</v>
      </c>
      <c r="AN1124" s="3">
        <v>3.4697311000000002</v>
      </c>
      <c r="AO1124" s="3">
        <v>3.4574829</v>
      </c>
      <c r="AP1124" s="3">
        <v>3.4454129</v>
      </c>
      <c r="AQ1124" s="3">
        <v>3.4335087</v>
      </c>
      <c r="AR1124" s="3">
        <v>3.4217580999999999</v>
      </c>
      <c r="AS1124" s="3">
        <v>3.4101488999999998</v>
      </c>
      <c r="AT1124" s="3">
        <v>3.3986689000000001</v>
      </c>
      <c r="AU1124" s="3">
        <v>3.3873058</v>
      </c>
      <c r="AV1124" s="3">
        <v>3.3760474</v>
      </c>
      <c r="AW1124" s="3">
        <v>3.3648815000000001</v>
      </c>
      <c r="AX1124" s="3">
        <v>3.3537959000000002</v>
      </c>
      <c r="AY1124" s="3">
        <v>3.3427782000000001</v>
      </c>
      <c r="AZ1124" s="3">
        <v>3.3318164000000001</v>
      </c>
      <c r="BA1124" s="3">
        <v>3.3209035999999998</v>
      </c>
      <c r="BB1124" s="3">
        <v>3.3100573999999998</v>
      </c>
      <c r="BC1124" s="3">
        <v>3.2993020999999998</v>
      </c>
      <c r="BD1124" s="3">
        <v>3.288662</v>
      </c>
      <c r="BE1124" s="3">
        <v>3.2781612999999998</v>
      </c>
      <c r="BF1124" s="3">
        <v>3.2678243999999999</v>
      </c>
      <c r="BG1124" s="3">
        <v>3.2576754999999999</v>
      </c>
      <c r="BH1124" s="3">
        <v>3.2477388999999999</v>
      </c>
      <c r="BI1124" s="3">
        <v>3.2380388</v>
      </c>
      <c r="BJ1124" s="3">
        <v>3.2285995999999999</v>
      </c>
      <c r="BK1124" s="3">
        <v>3.2194455</v>
      </c>
      <c r="BL1124" s="3">
        <v>3.2106007999999999</v>
      </c>
      <c r="BM1124" s="3">
        <v>3.1647251999999999</v>
      </c>
      <c r="BN1124" s="3">
        <v>3.1320329999999998</v>
      </c>
    </row>
    <row r="1125" spans="1:66" x14ac:dyDescent="0.35">
      <c r="A1125" s="5">
        <f t="shared" si="17"/>
        <v>45029</v>
      </c>
      <c r="B1125" t="s">
        <v>2528</v>
      </c>
      <c r="C1125" s="2">
        <v>4.25</v>
      </c>
      <c r="D1125" s="2">
        <v>4.1768999999999998</v>
      </c>
      <c r="E1125" s="3">
        <v>4.2706641000000003</v>
      </c>
      <c r="F1125" s="3">
        <v>4.4144126000000004</v>
      </c>
      <c r="G1125" s="3">
        <v>4.5157772999999999</v>
      </c>
      <c r="H1125" s="3">
        <v>4.5783740999999996</v>
      </c>
      <c r="I1125" s="3">
        <v>4.6089782000000001</v>
      </c>
      <c r="J1125" s="3">
        <v>4.6132175000000002</v>
      </c>
      <c r="K1125" s="3">
        <v>4.5944379</v>
      </c>
      <c r="L1125" s="3">
        <v>4.5569180999999999</v>
      </c>
      <c r="M1125" s="3">
        <v>4.5054217999999997</v>
      </c>
      <c r="N1125" s="3">
        <v>4.4440529</v>
      </c>
      <c r="O1125" s="3">
        <v>4.3766239000000002</v>
      </c>
      <c r="P1125" s="3">
        <v>4.3058687999999998</v>
      </c>
      <c r="Q1125" s="3">
        <v>4.2341081000000003</v>
      </c>
      <c r="R1125" s="3">
        <v>4.1627090000000004</v>
      </c>
      <c r="S1125" s="3">
        <v>4.0927091999999998</v>
      </c>
      <c r="T1125" s="3">
        <v>4.0251462</v>
      </c>
      <c r="U1125" s="3">
        <v>3.9610574999999999</v>
      </c>
      <c r="V1125" s="3">
        <v>3.9014807</v>
      </c>
      <c r="W1125" s="3">
        <v>3.8472775000000001</v>
      </c>
      <c r="X1125" s="3">
        <v>3.7984095</v>
      </c>
      <c r="Y1125" s="3">
        <v>3.7545508000000001</v>
      </c>
      <c r="Z1125" s="3">
        <v>3.7153752999999998</v>
      </c>
      <c r="AA1125" s="3">
        <v>3.6805572</v>
      </c>
      <c r="AB1125" s="3">
        <v>3.6497701999999999</v>
      </c>
      <c r="AC1125" s="3">
        <v>3.6226875000000001</v>
      </c>
      <c r="AD1125" s="3">
        <v>3.5989767000000001</v>
      </c>
      <c r="AE1125" s="3">
        <v>3.5783043999999999</v>
      </c>
      <c r="AF1125" s="3">
        <v>3.5603368999999998</v>
      </c>
      <c r="AG1125" s="3">
        <v>3.5447405999999999</v>
      </c>
      <c r="AH1125" s="3">
        <v>3.5311819</v>
      </c>
      <c r="AI1125" s="3">
        <v>3.5193270000000001</v>
      </c>
      <c r="AJ1125" s="3">
        <v>3.5088425000000001</v>
      </c>
      <c r="AK1125" s="3">
        <v>3.4993946</v>
      </c>
      <c r="AL1125" s="3">
        <v>3.4906497999999999</v>
      </c>
      <c r="AM1125" s="3">
        <v>3.4822744000000001</v>
      </c>
      <c r="AN1125" s="3">
        <v>3.4739347999999999</v>
      </c>
      <c r="AO1125" s="3">
        <v>3.4653496000000001</v>
      </c>
      <c r="AP1125" s="3">
        <v>3.4564683999999999</v>
      </c>
      <c r="AQ1125" s="3">
        <v>3.4473044000000002</v>
      </c>
      <c r="AR1125" s="3">
        <v>3.4378706999999999</v>
      </c>
      <c r="AS1125" s="3">
        <v>3.4281804999999999</v>
      </c>
      <c r="AT1125" s="3">
        <v>3.418247</v>
      </c>
      <c r="AU1125" s="3">
        <v>3.4080835</v>
      </c>
      <c r="AV1125" s="3">
        <v>3.3977029999999999</v>
      </c>
      <c r="AW1125" s="3">
        <v>3.3871188999999999</v>
      </c>
      <c r="AX1125" s="3">
        <v>3.3763442000000001</v>
      </c>
      <c r="AY1125" s="3">
        <v>3.3653922000000001</v>
      </c>
      <c r="AZ1125" s="3">
        <v>3.3542760999999999</v>
      </c>
      <c r="BA1125" s="3">
        <v>3.3430137000000002</v>
      </c>
      <c r="BB1125" s="3">
        <v>3.3316439</v>
      </c>
      <c r="BC1125" s="3">
        <v>3.3202110999999999</v>
      </c>
      <c r="BD1125" s="3">
        <v>3.3087599000000001</v>
      </c>
      <c r="BE1125" s="3">
        <v>3.2973346000000001</v>
      </c>
      <c r="BF1125" s="3">
        <v>3.2859799000000001</v>
      </c>
      <c r="BG1125" s="3">
        <v>3.2747402000000001</v>
      </c>
      <c r="BH1125" s="3">
        <v>3.2636601000000001</v>
      </c>
      <c r="BI1125" s="3">
        <v>3.2527838999999998</v>
      </c>
      <c r="BJ1125" s="3">
        <v>3.2421563</v>
      </c>
      <c r="BK1125" s="3">
        <v>3.2318216999999998</v>
      </c>
      <c r="BL1125" s="3">
        <v>3.2218246000000001</v>
      </c>
      <c r="BM1125" s="3">
        <v>3.1701000000000001</v>
      </c>
      <c r="BN1125" s="3">
        <v>3.1336309999999998</v>
      </c>
    </row>
    <row r="1126" spans="1:66" x14ac:dyDescent="0.35">
      <c r="A1126" s="5">
        <f t="shared" si="17"/>
        <v>45030</v>
      </c>
      <c r="B1126" t="s">
        <v>2530</v>
      </c>
      <c r="C1126" s="2">
        <v>4.25</v>
      </c>
      <c r="D1126" s="2">
        <v>4.1768999999999998</v>
      </c>
      <c r="E1126" s="3">
        <v>4.2799912999999998</v>
      </c>
      <c r="F1126" s="3">
        <v>4.4313083000000004</v>
      </c>
      <c r="G1126" s="3">
        <v>4.5419387999999996</v>
      </c>
      <c r="H1126" s="3">
        <v>4.6149633999999997</v>
      </c>
      <c r="I1126" s="3">
        <v>4.6567901000000003</v>
      </c>
      <c r="J1126" s="3">
        <v>4.6714862000000004</v>
      </c>
      <c r="K1126" s="3">
        <v>4.6618620000000002</v>
      </c>
      <c r="L1126" s="3">
        <v>4.6306655000000001</v>
      </c>
      <c r="M1126" s="3">
        <v>4.5823397000000003</v>
      </c>
      <c r="N1126" s="3">
        <v>4.5214879000000003</v>
      </c>
      <c r="O1126" s="3">
        <v>4.4528281999999999</v>
      </c>
      <c r="P1126" s="3">
        <v>4.3803025</v>
      </c>
      <c r="Q1126" s="3">
        <v>4.3086359999999999</v>
      </c>
      <c r="R1126" s="3">
        <v>4.2395294999999997</v>
      </c>
      <c r="S1126" s="3">
        <v>4.1736105999999999</v>
      </c>
      <c r="T1126" s="3">
        <v>4.1115066000000002</v>
      </c>
      <c r="U1126" s="3">
        <v>4.0538448999999996</v>
      </c>
      <c r="V1126" s="3">
        <v>4.0012530000000002</v>
      </c>
      <c r="W1126" s="3">
        <v>3.9541762999999999</v>
      </c>
      <c r="X1126" s="3">
        <v>3.9122170999999999</v>
      </c>
      <c r="Y1126" s="3">
        <v>3.8747330999999998</v>
      </c>
      <c r="Z1126" s="3">
        <v>3.8410820000000001</v>
      </c>
      <c r="AA1126" s="3">
        <v>3.8106214999999999</v>
      </c>
      <c r="AB1126" s="3">
        <v>3.7827095000000002</v>
      </c>
      <c r="AC1126" s="3">
        <v>3.7567767000000001</v>
      </c>
      <c r="AD1126" s="3">
        <v>3.7325775999999999</v>
      </c>
      <c r="AE1126" s="3">
        <v>3.7099552999999998</v>
      </c>
      <c r="AF1126" s="3">
        <v>3.6887534999999998</v>
      </c>
      <c r="AG1126" s="3">
        <v>3.6688154000000002</v>
      </c>
      <c r="AH1126" s="3">
        <v>3.6499845999999998</v>
      </c>
      <c r="AI1126" s="3">
        <v>3.6321043</v>
      </c>
      <c r="AJ1126" s="3">
        <v>3.6150180000000001</v>
      </c>
      <c r="AK1126" s="3">
        <v>3.5985691000000002</v>
      </c>
      <c r="AL1126" s="3">
        <v>3.5826011000000002</v>
      </c>
      <c r="AM1126" s="3">
        <v>3.5669572000000001</v>
      </c>
      <c r="AN1126" s="3">
        <v>3.5514809999999999</v>
      </c>
      <c r="AO1126" s="3">
        <v>3.5360423999999999</v>
      </c>
      <c r="AP1126" s="3">
        <v>3.5206289000000002</v>
      </c>
      <c r="AQ1126" s="3">
        <v>3.5052603000000002</v>
      </c>
      <c r="AR1126" s="3">
        <v>3.4899564000000001</v>
      </c>
      <c r="AS1126" s="3">
        <v>3.4747370000000002</v>
      </c>
      <c r="AT1126" s="3">
        <v>3.4596220999999998</v>
      </c>
      <c r="AU1126" s="3">
        <v>3.4446313000000002</v>
      </c>
      <c r="AV1126" s="3">
        <v>3.4297846000000001</v>
      </c>
      <c r="AW1126" s="3">
        <v>3.4151017000000001</v>
      </c>
      <c r="AX1126" s="3">
        <v>3.4006025000000002</v>
      </c>
      <c r="AY1126" s="3">
        <v>3.3863069000000001</v>
      </c>
      <c r="AZ1126" s="3">
        <v>3.3722344999999998</v>
      </c>
      <c r="BA1126" s="3">
        <v>3.3584054000000001</v>
      </c>
      <c r="BB1126" s="3">
        <v>3.3448395</v>
      </c>
      <c r="BC1126" s="3">
        <v>3.3315567000000001</v>
      </c>
      <c r="BD1126" s="3">
        <v>3.3185771000000002</v>
      </c>
      <c r="BE1126" s="3">
        <v>3.3059207000000002</v>
      </c>
      <c r="BF1126" s="3">
        <v>3.2936074999999998</v>
      </c>
      <c r="BG1126" s="3">
        <v>3.2816573999999998</v>
      </c>
      <c r="BH1126" s="3">
        <v>3.2700904999999998</v>
      </c>
      <c r="BI1126" s="3">
        <v>3.2589267</v>
      </c>
      <c r="BJ1126" s="3">
        <v>3.2481860999999999</v>
      </c>
      <c r="BK1126" s="3">
        <v>3.2378887000000001</v>
      </c>
      <c r="BL1126" s="3">
        <v>3.2280544999999998</v>
      </c>
      <c r="BM1126" s="3">
        <v>3.1792907000000001</v>
      </c>
      <c r="BN1126" s="3">
        <v>3.1483612000000001</v>
      </c>
    </row>
    <row r="1127" spans="1:66" x14ac:dyDescent="0.35">
      <c r="A1127" s="5">
        <f t="shared" si="17"/>
        <v>45033</v>
      </c>
      <c r="B1127" t="s">
        <v>2531</v>
      </c>
      <c r="C1127" s="2">
        <v>4.25</v>
      </c>
      <c r="D1127" s="2">
        <v>4.1771000000000003</v>
      </c>
      <c r="E1127" s="3">
        <v>4.2967968000000001</v>
      </c>
      <c r="F1127" s="3">
        <v>4.4325571999999998</v>
      </c>
      <c r="G1127" s="3">
        <v>4.5359768999999996</v>
      </c>
      <c r="H1127" s="3">
        <v>4.6079482</v>
      </c>
      <c r="I1127" s="3">
        <v>4.6527731000000001</v>
      </c>
      <c r="J1127" s="3">
        <v>4.6725586000000003</v>
      </c>
      <c r="K1127" s="3">
        <v>4.6682613999999996</v>
      </c>
      <c r="L1127" s="3">
        <v>4.6428115999999999</v>
      </c>
      <c r="M1127" s="3">
        <v>4.6001367000000002</v>
      </c>
      <c r="N1127" s="3">
        <v>4.5448687000000003</v>
      </c>
      <c r="O1127" s="3">
        <v>4.4812244999999997</v>
      </c>
      <c r="P1127" s="3">
        <v>4.4128214999999997</v>
      </c>
      <c r="Q1127" s="3">
        <v>4.3434635000000004</v>
      </c>
      <c r="R1127" s="3">
        <v>4.274851</v>
      </c>
      <c r="S1127" s="3">
        <v>4.2080273999999998</v>
      </c>
      <c r="T1127" s="3">
        <v>4.1440362999999998</v>
      </c>
      <c r="U1127" s="3">
        <v>4.0839211999999998</v>
      </c>
      <c r="V1127" s="3">
        <v>4.0287255000000002</v>
      </c>
      <c r="W1127" s="3">
        <v>3.9792447000000002</v>
      </c>
      <c r="X1127" s="3">
        <v>3.9351224999999999</v>
      </c>
      <c r="Y1127" s="3">
        <v>3.8956692999999998</v>
      </c>
      <c r="Z1127" s="3">
        <v>3.8601953</v>
      </c>
      <c r="AA1127" s="3">
        <v>3.8280107999999999</v>
      </c>
      <c r="AB1127" s="3">
        <v>3.7984260999999999</v>
      </c>
      <c r="AC1127" s="3">
        <v>3.7708339999999998</v>
      </c>
      <c r="AD1127" s="3">
        <v>3.7449921000000002</v>
      </c>
      <c r="AE1127" s="3">
        <v>3.7207588</v>
      </c>
      <c r="AF1127" s="3">
        <v>3.6979924</v>
      </c>
      <c r="AG1127" s="3">
        <v>3.6765512999999999</v>
      </c>
      <c r="AH1127" s="3">
        <v>3.6562936000000001</v>
      </c>
      <c r="AI1127" s="3">
        <v>3.6370776999999999</v>
      </c>
      <c r="AJ1127" s="3">
        <v>3.6187619</v>
      </c>
      <c r="AK1127" s="3">
        <v>3.6012045000000001</v>
      </c>
      <c r="AL1127" s="3">
        <v>3.5842638999999998</v>
      </c>
      <c r="AM1127" s="3">
        <v>3.5677983000000002</v>
      </c>
      <c r="AN1127" s="3">
        <v>3.5516660999999998</v>
      </c>
      <c r="AO1127" s="3">
        <v>3.5357501999999998</v>
      </c>
      <c r="AP1127" s="3">
        <v>3.5200429999999998</v>
      </c>
      <c r="AQ1127" s="3">
        <v>3.5045668000000001</v>
      </c>
      <c r="AR1127" s="3">
        <v>3.4893442000000001</v>
      </c>
      <c r="AS1127" s="3">
        <v>3.4743974</v>
      </c>
      <c r="AT1127" s="3">
        <v>3.4597489000000001</v>
      </c>
      <c r="AU1127" s="3">
        <v>3.4454212000000002</v>
      </c>
      <c r="AV1127" s="3">
        <v>3.4314366000000001</v>
      </c>
      <c r="AW1127" s="3">
        <v>3.4178175</v>
      </c>
      <c r="AX1127" s="3">
        <v>3.4045863000000001</v>
      </c>
      <c r="AY1127" s="3">
        <v>3.3917655</v>
      </c>
      <c r="AZ1127" s="3">
        <v>3.3793774000000001</v>
      </c>
      <c r="BA1127" s="3">
        <v>3.3674417000000001</v>
      </c>
      <c r="BB1127" s="3">
        <v>3.3559624000000001</v>
      </c>
      <c r="BC1127" s="3">
        <v>3.3449385999999999</v>
      </c>
      <c r="BD1127" s="3">
        <v>3.3343691</v>
      </c>
      <c r="BE1127" s="3">
        <v>3.3242531</v>
      </c>
      <c r="BF1127" s="3">
        <v>3.3145893000000002</v>
      </c>
      <c r="BG1127" s="3">
        <v>3.3053769000000002</v>
      </c>
      <c r="BH1127" s="3">
        <v>3.2966147000000001</v>
      </c>
      <c r="BI1127" s="3">
        <v>3.2883019</v>
      </c>
      <c r="BJ1127" s="3">
        <v>3.2804372000000002</v>
      </c>
      <c r="BK1127" s="3">
        <v>3.2730196999999999</v>
      </c>
      <c r="BL1127" s="3">
        <v>3.2660483999999999</v>
      </c>
      <c r="BM1127" s="3">
        <v>3.2333691999999998</v>
      </c>
      <c r="BN1127" s="3">
        <v>3.2154802999999998</v>
      </c>
    </row>
    <row r="1128" spans="1:66" x14ac:dyDescent="0.35">
      <c r="A1128" s="5">
        <f t="shared" si="17"/>
        <v>45034</v>
      </c>
      <c r="B1128" t="s">
        <v>2532</v>
      </c>
      <c r="C1128" s="2">
        <v>4.25</v>
      </c>
      <c r="D1128" s="2">
        <v>4.1773999999999996</v>
      </c>
      <c r="E1128" s="3">
        <v>4.3205377</v>
      </c>
      <c r="F1128" s="3">
        <v>4.4795543999999996</v>
      </c>
      <c r="G1128" s="3">
        <v>4.6039194999999999</v>
      </c>
      <c r="H1128" s="3">
        <v>4.6920770999999997</v>
      </c>
      <c r="I1128" s="3">
        <v>4.7473084999999999</v>
      </c>
      <c r="J1128" s="3">
        <v>4.7725667999999999</v>
      </c>
      <c r="K1128" s="3">
        <v>4.7700810999999996</v>
      </c>
      <c r="L1128" s="3">
        <v>4.7446408</v>
      </c>
      <c r="M1128" s="3">
        <v>4.7014985999999999</v>
      </c>
      <c r="N1128" s="3">
        <v>4.6460008999999998</v>
      </c>
      <c r="O1128" s="3">
        <v>4.5827942999999998</v>
      </c>
      <c r="P1128" s="3">
        <v>4.5153119000000004</v>
      </c>
      <c r="Q1128" s="3">
        <v>4.4473525</v>
      </c>
      <c r="R1128" s="3">
        <v>4.3802523999999998</v>
      </c>
      <c r="S1128" s="3">
        <v>4.3145629999999997</v>
      </c>
      <c r="T1128" s="3">
        <v>4.2508350999999998</v>
      </c>
      <c r="U1128" s="3">
        <v>4.1896199000000003</v>
      </c>
      <c r="V1128" s="3">
        <v>4.1314684000000002</v>
      </c>
      <c r="W1128" s="3">
        <v>4.0768351000000003</v>
      </c>
      <c r="X1128" s="3">
        <v>4.0257256000000003</v>
      </c>
      <c r="Y1128" s="3">
        <v>3.9780158999999999</v>
      </c>
      <c r="Z1128" s="3">
        <v>3.9335817</v>
      </c>
      <c r="AA1128" s="3">
        <v>3.8922987999999998</v>
      </c>
      <c r="AB1128" s="3">
        <v>3.8540431000000002</v>
      </c>
      <c r="AC1128" s="3">
        <v>3.8186841</v>
      </c>
      <c r="AD1128" s="3">
        <v>3.7860502999999999</v>
      </c>
      <c r="AE1128" s="3">
        <v>3.7559534999999999</v>
      </c>
      <c r="AF1128" s="3">
        <v>3.7282053999999998</v>
      </c>
      <c r="AG1128" s="3">
        <v>3.7026178999999999</v>
      </c>
      <c r="AH1128" s="3">
        <v>3.6790026</v>
      </c>
      <c r="AI1128" s="3">
        <v>3.6571714000000002</v>
      </c>
      <c r="AJ1128" s="3">
        <v>3.6369359999999999</v>
      </c>
      <c r="AK1128" s="3">
        <v>3.6181082</v>
      </c>
      <c r="AL1128" s="3">
        <v>3.6004996999999999</v>
      </c>
      <c r="AM1128" s="3">
        <v>3.5839222999999998</v>
      </c>
      <c r="AN1128" s="3">
        <v>3.5681877000000002</v>
      </c>
      <c r="AO1128" s="3">
        <v>3.5531267</v>
      </c>
      <c r="AP1128" s="3">
        <v>3.5386714000000001</v>
      </c>
      <c r="AQ1128" s="3">
        <v>3.5247883999999998</v>
      </c>
      <c r="AR1128" s="3">
        <v>3.5114440999999998</v>
      </c>
      <c r="AS1128" s="3">
        <v>3.4986049000000001</v>
      </c>
      <c r="AT1128" s="3">
        <v>3.4862372000000001</v>
      </c>
      <c r="AU1128" s="3">
        <v>3.4743073999999998</v>
      </c>
      <c r="AV1128" s="3">
        <v>3.4627821000000001</v>
      </c>
      <c r="AW1128" s="3">
        <v>3.4516274999999998</v>
      </c>
      <c r="AX1128" s="3">
        <v>3.4408102999999999</v>
      </c>
      <c r="AY1128" s="3">
        <v>3.4302967</v>
      </c>
      <c r="AZ1128" s="3">
        <v>3.4200533000000002</v>
      </c>
      <c r="BA1128" s="3">
        <v>3.4100522999999998</v>
      </c>
      <c r="BB1128" s="3">
        <v>3.4002952</v>
      </c>
      <c r="BC1128" s="3">
        <v>3.3907919999999998</v>
      </c>
      <c r="BD1128" s="3">
        <v>3.3815529</v>
      </c>
      <c r="BE1128" s="3">
        <v>3.3725881000000002</v>
      </c>
      <c r="BF1128" s="3">
        <v>3.3639076000000001</v>
      </c>
      <c r="BG1128" s="3">
        <v>3.3555215999999999</v>
      </c>
      <c r="BH1128" s="3">
        <v>3.3474401999999999</v>
      </c>
      <c r="BI1128" s="3">
        <v>3.3396737000000001</v>
      </c>
      <c r="BJ1128" s="3">
        <v>3.3322319999999999</v>
      </c>
      <c r="BK1128" s="3">
        <v>3.3251254000000001</v>
      </c>
      <c r="BL1128" s="3">
        <v>3.3183639</v>
      </c>
      <c r="BM1128" s="3">
        <v>3.2852687</v>
      </c>
      <c r="BN1128" s="3">
        <v>3.2650511</v>
      </c>
    </row>
    <row r="1129" spans="1:66" x14ac:dyDescent="0.35">
      <c r="A1129" s="5">
        <f t="shared" si="17"/>
        <v>45035</v>
      </c>
      <c r="B1129" t="s">
        <v>2533</v>
      </c>
      <c r="C1129" s="2">
        <v>4.25</v>
      </c>
      <c r="D1129" s="2">
        <v>4.1773999999999996</v>
      </c>
      <c r="E1129" s="3">
        <v>4.3695899000000002</v>
      </c>
      <c r="F1129" s="3">
        <v>4.5504543999999996</v>
      </c>
      <c r="G1129" s="3">
        <v>4.6959903000000001</v>
      </c>
      <c r="H1129" s="3">
        <v>4.8042873999999998</v>
      </c>
      <c r="I1129" s="3">
        <v>4.8764566</v>
      </c>
      <c r="J1129" s="3">
        <v>4.9156421000000003</v>
      </c>
      <c r="K1129" s="3">
        <v>4.9242046999999998</v>
      </c>
      <c r="L1129" s="3">
        <v>4.9077392</v>
      </c>
      <c r="M1129" s="3">
        <v>4.8725611000000004</v>
      </c>
      <c r="N1129" s="3">
        <v>4.8244201999999996</v>
      </c>
      <c r="O1129" s="3">
        <v>4.7678415999999997</v>
      </c>
      <c r="P1129" s="3">
        <v>4.7060497999999997</v>
      </c>
      <c r="Q1129" s="3">
        <v>4.6420605000000004</v>
      </c>
      <c r="R1129" s="3">
        <v>4.5771562000000001</v>
      </c>
      <c r="S1129" s="3">
        <v>4.5121003000000002</v>
      </c>
      <c r="T1129" s="3">
        <v>4.4476560000000003</v>
      </c>
      <c r="U1129" s="3">
        <v>4.3845866999999998</v>
      </c>
      <c r="V1129" s="3">
        <v>4.3236556000000004</v>
      </c>
      <c r="W1129" s="3">
        <v>4.2655417</v>
      </c>
      <c r="X1129" s="3">
        <v>4.2104445999999998</v>
      </c>
      <c r="Y1129" s="3">
        <v>4.1583956999999998</v>
      </c>
      <c r="Z1129" s="3">
        <v>4.1094261999999997</v>
      </c>
      <c r="AA1129" s="3">
        <v>4.0635672999999999</v>
      </c>
      <c r="AB1129" s="3">
        <v>4.0208501999999999</v>
      </c>
      <c r="AC1129" s="3">
        <v>3.9812801000000002</v>
      </c>
      <c r="AD1129" s="3">
        <v>3.9447084000000001</v>
      </c>
      <c r="AE1129" s="3">
        <v>3.9109291000000002</v>
      </c>
      <c r="AF1129" s="3">
        <v>3.8797366000000002</v>
      </c>
      <c r="AG1129" s="3">
        <v>3.8509251999999998</v>
      </c>
      <c r="AH1129" s="3">
        <v>3.8242889</v>
      </c>
      <c r="AI1129" s="3">
        <v>3.7996219999999998</v>
      </c>
      <c r="AJ1129" s="3">
        <v>3.7767187999999998</v>
      </c>
      <c r="AK1129" s="3">
        <v>3.7553735000000001</v>
      </c>
      <c r="AL1129" s="3">
        <v>3.7353801999999998</v>
      </c>
      <c r="AM1129" s="3">
        <v>3.7165332000000002</v>
      </c>
      <c r="AN1129" s="3">
        <v>3.6986267000000002</v>
      </c>
      <c r="AO1129" s="3">
        <v>3.6814770000000001</v>
      </c>
      <c r="AP1129" s="3">
        <v>3.6650076999999999</v>
      </c>
      <c r="AQ1129" s="3">
        <v>3.6491753</v>
      </c>
      <c r="AR1129" s="3">
        <v>3.6339361000000001</v>
      </c>
      <c r="AS1129" s="3">
        <v>3.6192464000000002</v>
      </c>
      <c r="AT1129" s="3">
        <v>3.6050627</v>
      </c>
      <c r="AU1129" s="3">
        <v>3.5913412999999998</v>
      </c>
      <c r="AV1129" s="3">
        <v>3.5780387</v>
      </c>
      <c r="AW1129" s="3">
        <v>3.5651111000000002</v>
      </c>
      <c r="AX1129" s="3">
        <v>3.5525150000000001</v>
      </c>
      <c r="AY1129" s="3">
        <v>3.5402068</v>
      </c>
      <c r="AZ1129" s="3">
        <v>3.5281427000000001</v>
      </c>
      <c r="BA1129" s="3">
        <v>3.5162879999999999</v>
      </c>
      <c r="BB1129" s="3">
        <v>3.5046465000000002</v>
      </c>
      <c r="BC1129" s="3">
        <v>3.4932325</v>
      </c>
      <c r="BD1129" s="3">
        <v>3.4820604999999998</v>
      </c>
      <c r="BE1129" s="3">
        <v>3.4711449000000001</v>
      </c>
      <c r="BF1129" s="3">
        <v>3.4605001</v>
      </c>
      <c r="BG1129" s="3">
        <v>3.4501406000000001</v>
      </c>
      <c r="BH1129" s="3">
        <v>3.4400808</v>
      </c>
      <c r="BI1129" s="3">
        <v>3.4303352</v>
      </c>
      <c r="BJ1129" s="3">
        <v>3.4209181000000002</v>
      </c>
      <c r="BK1129" s="3">
        <v>3.4118439999999999</v>
      </c>
      <c r="BL1129" s="3">
        <v>3.4031273</v>
      </c>
      <c r="BM1129" s="3">
        <v>3.3587834999999999</v>
      </c>
      <c r="BN1129" s="3">
        <v>3.3287483999999998</v>
      </c>
    </row>
    <row r="1130" spans="1:66" x14ac:dyDescent="0.35">
      <c r="A1130" s="5">
        <f t="shared" si="17"/>
        <v>45036</v>
      </c>
      <c r="B1130" t="s">
        <v>2534</v>
      </c>
      <c r="C1130" s="2">
        <v>4.25</v>
      </c>
      <c r="D1130" s="2">
        <v>4.1775000000000002</v>
      </c>
      <c r="E1130" s="3">
        <v>4.3710047999999997</v>
      </c>
      <c r="F1130" s="3">
        <v>4.5424593</v>
      </c>
      <c r="G1130" s="3">
        <v>4.6820373999999996</v>
      </c>
      <c r="H1130" s="3">
        <v>4.7866397000000003</v>
      </c>
      <c r="I1130" s="3">
        <v>4.8561101999999998</v>
      </c>
      <c r="J1130" s="3">
        <v>4.8918336</v>
      </c>
      <c r="K1130" s="3">
        <v>4.8953303999999997</v>
      </c>
      <c r="L1130" s="3">
        <v>4.8716410000000003</v>
      </c>
      <c r="M1130" s="3">
        <v>4.8271388000000002</v>
      </c>
      <c r="N1130" s="3">
        <v>4.7675684</v>
      </c>
      <c r="O1130" s="3">
        <v>4.6983798999999999</v>
      </c>
      <c r="P1130" s="3">
        <v>4.6234792999999996</v>
      </c>
      <c r="Q1130" s="3">
        <v>4.5469612000000001</v>
      </c>
      <c r="R1130" s="3">
        <v>4.4707150000000002</v>
      </c>
      <c r="S1130" s="3">
        <v>4.3957822999999996</v>
      </c>
      <c r="T1130" s="3">
        <v>4.3232037999999999</v>
      </c>
      <c r="U1130" s="3">
        <v>4.2540205000000002</v>
      </c>
      <c r="V1130" s="3">
        <v>4.1892734000000003</v>
      </c>
      <c r="W1130" s="3">
        <v>4.1298140999999999</v>
      </c>
      <c r="X1130" s="3">
        <v>4.0755258999999997</v>
      </c>
      <c r="Y1130" s="3">
        <v>4.0259824999999996</v>
      </c>
      <c r="Z1130" s="3">
        <v>3.9807576999999998</v>
      </c>
      <c r="AA1130" s="3">
        <v>3.9394249000000001</v>
      </c>
      <c r="AB1130" s="3">
        <v>3.9015580000000001</v>
      </c>
      <c r="AC1130" s="3">
        <v>3.8667543000000002</v>
      </c>
      <c r="AD1130" s="3">
        <v>3.8347391000000002</v>
      </c>
      <c r="AE1130" s="3">
        <v>3.8052804999999998</v>
      </c>
      <c r="AF1130" s="3">
        <v>3.7781470000000001</v>
      </c>
      <c r="AG1130" s="3">
        <v>3.7531066000000002</v>
      </c>
      <c r="AH1130" s="3">
        <v>3.7299275000000001</v>
      </c>
      <c r="AI1130" s="3">
        <v>3.7083781999999998</v>
      </c>
      <c r="AJ1130" s="3">
        <v>3.6882267</v>
      </c>
      <c r="AK1130" s="3">
        <v>3.6692412000000001</v>
      </c>
      <c r="AL1130" s="3">
        <v>3.6511901</v>
      </c>
      <c r="AM1130" s="3">
        <v>3.6338415999999998</v>
      </c>
      <c r="AN1130" s="3">
        <v>3.6169639</v>
      </c>
      <c r="AO1130" s="3">
        <v>3.6003601999999999</v>
      </c>
      <c r="AP1130" s="3">
        <v>3.5839886999999999</v>
      </c>
      <c r="AQ1130" s="3">
        <v>3.5678500999999998</v>
      </c>
      <c r="AR1130" s="3">
        <v>3.5519451000000002</v>
      </c>
      <c r="AS1130" s="3">
        <v>3.5362746</v>
      </c>
      <c r="AT1130" s="3">
        <v>3.5208392000000002</v>
      </c>
      <c r="AU1130" s="3">
        <v>3.5056397000000001</v>
      </c>
      <c r="AV1130" s="3">
        <v>3.4906769999999998</v>
      </c>
      <c r="AW1130" s="3">
        <v>3.4759517</v>
      </c>
      <c r="AX1130" s="3">
        <v>3.4614645999999998</v>
      </c>
      <c r="AY1130" s="3">
        <v>3.4472163999999998</v>
      </c>
      <c r="AZ1130" s="3">
        <v>3.433208</v>
      </c>
      <c r="BA1130" s="3">
        <v>3.4194429999999998</v>
      </c>
      <c r="BB1130" s="3">
        <v>3.4059377999999998</v>
      </c>
      <c r="BC1130" s="3">
        <v>3.3927125</v>
      </c>
      <c r="BD1130" s="3">
        <v>3.3797869999999999</v>
      </c>
      <c r="BE1130" s="3">
        <v>3.3671814000000002</v>
      </c>
      <c r="BF1130" s="3">
        <v>3.3549156</v>
      </c>
      <c r="BG1130" s="3">
        <v>3.3430095</v>
      </c>
      <c r="BH1130" s="3">
        <v>3.3314832999999999</v>
      </c>
      <c r="BI1130" s="3">
        <v>3.3203569000000002</v>
      </c>
      <c r="BJ1130" s="3">
        <v>3.3096504000000002</v>
      </c>
      <c r="BK1130" s="3">
        <v>3.2993836000000001</v>
      </c>
      <c r="BL1130" s="3">
        <v>3.2895766000000002</v>
      </c>
      <c r="BM1130" s="3">
        <v>3.2408560999999998</v>
      </c>
      <c r="BN1130" s="3">
        <v>3.2097178</v>
      </c>
    </row>
    <row r="1131" spans="1:66" x14ac:dyDescent="0.35">
      <c r="A1131" s="5">
        <f t="shared" si="17"/>
        <v>45037</v>
      </c>
      <c r="B1131" t="s">
        <v>2535</v>
      </c>
      <c r="C1131" s="2">
        <v>4.25</v>
      </c>
      <c r="D1131" s="2">
        <v>4.1773999999999996</v>
      </c>
      <c r="E1131" s="3">
        <v>4.3770376999999998</v>
      </c>
      <c r="F1131" s="3">
        <v>4.5379277</v>
      </c>
      <c r="G1131" s="3">
        <v>4.6731587000000001</v>
      </c>
      <c r="H1131" s="3">
        <v>4.7743745999999998</v>
      </c>
      <c r="I1131" s="3">
        <v>4.8402858999999996</v>
      </c>
      <c r="J1131" s="3">
        <v>4.8719165999999996</v>
      </c>
      <c r="K1131" s="3">
        <v>4.8720340000000002</v>
      </c>
      <c r="L1131" s="3">
        <v>4.8451883999999996</v>
      </c>
      <c r="M1131" s="3">
        <v>4.7979307000000002</v>
      </c>
      <c r="N1131" s="3">
        <v>4.7362649000000001</v>
      </c>
      <c r="O1131" s="3">
        <v>4.6656649000000003</v>
      </c>
      <c r="P1131" s="3">
        <v>4.5902956000000001</v>
      </c>
      <c r="Q1131" s="3">
        <v>4.5147311999999999</v>
      </c>
      <c r="R1131" s="3">
        <v>4.4407297000000003</v>
      </c>
      <c r="S1131" s="3">
        <v>4.3690658999999998</v>
      </c>
      <c r="T1131" s="3">
        <v>4.3005145999999996</v>
      </c>
      <c r="U1131" s="3">
        <v>4.2358504999999997</v>
      </c>
      <c r="V1131" s="3">
        <v>4.1758483999999996</v>
      </c>
      <c r="W1131" s="3">
        <v>4.1210987000000001</v>
      </c>
      <c r="X1131" s="3">
        <v>4.0713378000000002</v>
      </c>
      <c r="Y1131" s="3">
        <v>4.0260540999999996</v>
      </c>
      <c r="Z1131" s="3">
        <v>3.9847362999999998</v>
      </c>
      <c r="AA1131" s="3">
        <v>3.9468730999999999</v>
      </c>
      <c r="AB1131" s="3">
        <v>3.9119530999999998</v>
      </c>
      <c r="AC1131" s="3">
        <v>3.8795101999999999</v>
      </c>
      <c r="AD1131" s="3">
        <v>3.8492997999999998</v>
      </c>
      <c r="AE1131" s="3">
        <v>3.8211445999999998</v>
      </c>
      <c r="AF1131" s="3">
        <v>3.7948672999999999</v>
      </c>
      <c r="AG1131" s="3">
        <v>3.7702906</v>
      </c>
      <c r="AH1131" s="3">
        <v>3.7472371</v>
      </c>
      <c r="AI1131" s="3">
        <v>3.7255297000000001</v>
      </c>
      <c r="AJ1131" s="3">
        <v>3.7049908999999999</v>
      </c>
      <c r="AK1131" s="3">
        <v>3.6854434999999999</v>
      </c>
      <c r="AL1131" s="3">
        <v>3.6667101999999998</v>
      </c>
      <c r="AM1131" s="3">
        <v>3.6486136999999998</v>
      </c>
      <c r="AN1131" s="3">
        <v>3.6309767000000002</v>
      </c>
      <c r="AO1131" s="3">
        <v>3.6136490999999999</v>
      </c>
      <c r="AP1131" s="3">
        <v>3.5966019</v>
      </c>
      <c r="AQ1131" s="3">
        <v>3.5798391999999999</v>
      </c>
      <c r="AR1131" s="3">
        <v>3.5633650000000001</v>
      </c>
      <c r="AS1131" s="3">
        <v>3.5471835</v>
      </c>
      <c r="AT1131" s="3">
        <v>3.5312988000000001</v>
      </c>
      <c r="AU1131" s="3">
        <v>3.5157150000000001</v>
      </c>
      <c r="AV1131" s="3">
        <v>3.5004363000000001</v>
      </c>
      <c r="AW1131" s="3">
        <v>3.4854668000000002</v>
      </c>
      <c r="AX1131" s="3">
        <v>3.4708104999999998</v>
      </c>
      <c r="AY1131" s="3">
        <v>3.4564716999999998</v>
      </c>
      <c r="AZ1131" s="3">
        <v>3.4424543000000001</v>
      </c>
      <c r="BA1131" s="3">
        <v>3.4287638</v>
      </c>
      <c r="BB1131" s="3">
        <v>3.4154105000000001</v>
      </c>
      <c r="BC1131" s="3">
        <v>3.4024062000000002</v>
      </c>
      <c r="BD1131" s="3">
        <v>3.3897626999999999</v>
      </c>
      <c r="BE1131" s="3">
        <v>3.3774918</v>
      </c>
      <c r="BF1131" s="3">
        <v>3.3656052999999999</v>
      </c>
      <c r="BG1131" s="3">
        <v>3.3541150000000002</v>
      </c>
      <c r="BH1131" s="3">
        <v>3.3430327000000002</v>
      </c>
      <c r="BI1131" s="3">
        <v>3.3323703</v>
      </c>
      <c r="BJ1131" s="3">
        <v>3.3221395</v>
      </c>
      <c r="BK1131" s="3">
        <v>3.3123521</v>
      </c>
      <c r="BL1131" s="3">
        <v>3.3030200000000001</v>
      </c>
      <c r="BM1131" s="3">
        <v>3.2568575000000002</v>
      </c>
      <c r="BN1131" s="3">
        <v>3.2276620999999999</v>
      </c>
    </row>
    <row r="1132" spans="1:66" x14ac:dyDescent="0.35">
      <c r="A1132" s="5">
        <f t="shared" si="17"/>
        <v>45040</v>
      </c>
      <c r="B1132" t="s">
        <v>2536</v>
      </c>
      <c r="C1132" s="2">
        <v>4.25</v>
      </c>
      <c r="D1132" s="2">
        <v>4.1772999999999998</v>
      </c>
      <c r="E1132" s="3">
        <v>4.4180862999999997</v>
      </c>
      <c r="F1132" s="3">
        <v>4.5537508999999998</v>
      </c>
      <c r="G1132" s="3">
        <v>4.6870282999999997</v>
      </c>
      <c r="H1132" s="3">
        <v>4.7943083</v>
      </c>
      <c r="I1132" s="3">
        <v>4.8651803999999998</v>
      </c>
      <c r="J1132" s="3">
        <v>4.9001371999999996</v>
      </c>
      <c r="K1132" s="3">
        <v>4.9030224999999996</v>
      </c>
      <c r="L1132" s="3">
        <v>4.8806257999999998</v>
      </c>
      <c r="M1132" s="3">
        <v>4.8393280000000001</v>
      </c>
      <c r="N1132" s="3">
        <v>4.7851714999999997</v>
      </c>
      <c r="O1132" s="3">
        <v>4.7226938000000001</v>
      </c>
      <c r="P1132" s="3">
        <v>4.6552072999999998</v>
      </c>
      <c r="Q1132" s="3">
        <v>4.5857713000000002</v>
      </c>
      <c r="R1132" s="3">
        <v>4.5159075</v>
      </c>
      <c r="S1132" s="3">
        <v>4.4466771999999999</v>
      </c>
      <c r="T1132" s="3">
        <v>4.3791418999999996</v>
      </c>
      <c r="U1132" s="3">
        <v>4.3143627999999996</v>
      </c>
      <c r="V1132" s="3">
        <v>4.2534013000000002</v>
      </c>
      <c r="W1132" s="3">
        <v>4.1971125999999996</v>
      </c>
      <c r="X1132" s="3">
        <v>4.1453955000000002</v>
      </c>
      <c r="Y1132" s="3">
        <v>4.0978713999999998</v>
      </c>
      <c r="Z1132" s="3">
        <v>4.0541619999999998</v>
      </c>
      <c r="AA1132" s="3">
        <v>4.0138888000000001</v>
      </c>
      <c r="AB1132" s="3">
        <v>3.9766732</v>
      </c>
      <c r="AC1132" s="3">
        <v>3.9421634999999999</v>
      </c>
      <c r="AD1132" s="3">
        <v>3.9101246000000001</v>
      </c>
      <c r="AE1132" s="3">
        <v>3.8803540999999999</v>
      </c>
      <c r="AF1132" s="3">
        <v>3.8526490999999998</v>
      </c>
      <c r="AG1132" s="3">
        <v>3.8268072000000002</v>
      </c>
      <c r="AH1132" s="3">
        <v>3.8026257999999999</v>
      </c>
      <c r="AI1132" s="3">
        <v>3.7799021000000002</v>
      </c>
      <c r="AJ1132" s="3">
        <v>3.7584336999999999</v>
      </c>
      <c r="AK1132" s="3">
        <v>3.7380179</v>
      </c>
      <c r="AL1132" s="3">
        <v>3.7184520000000001</v>
      </c>
      <c r="AM1132" s="3">
        <v>3.6995336000000001</v>
      </c>
      <c r="AN1132" s="3">
        <v>3.6810599000000002</v>
      </c>
      <c r="AO1132" s="3">
        <v>3.6628612</v>
      </c>
      <c r="AP1132" s="3">
        <v>3.6449132</v>
      </c>
      <c r="AQ1132" s="3">
        <v>3.6272313999999999</v>
      </c>
      <c r="AR1132" s="3">
        <v>3.6098314999999999</v>
      </c>
      <c r="AS1132" s="3">
        <v>3.5927292</v>
      </c>
      <c r="AT1132" s="3">
        <v>3.5759400000000001</v>
      </c>
      <c r="AU1132" s="3">
        <v>3.5594796999999998</v>
      </c>
      <c r="AV1132" s="3">
        <v>3.5433639000000001</v>
      </c>
      <c r="AW1132" s="3">
        <v>3.5276082</v>
      </c>
      <c r="AX1132" s="3">
        <v>3.5122282</v>
      </c>
      <c r="AY1132" s="3">
        <v>3.4972397000000002</v>
      </c>
      <c r="AZ1132" s="3">
        <v>3.4826581999999999</v>
      </c>
      <c r="BA1132" s="3">
        <v>3.4684987</v>
      </c>
      <c r="BB1132" s="3">
        <v>3.4547729</v>
      </c>
      <c r="BC1132" s="3">
        <v>3.4414910999999999</v>
      </c>
      <c r="BD1132" s="3">
        <v>3.4286637</v>
      </c>
      <c r="BE1132" s="3">
        <v>3.4163013000000002</v>
      </c>
      <c r="BF1132" s="3">
        <v>3.4044140999999999</v>
      </c>
      <c r="BG1132" s="3">
        <v>3.3930126</v>
      </c>
      <c r="BH1132" s="3">
        <v>3.3821072999999999</v>
      </c>
      <c r="BI1132" s="3">
        <v>3.3717085</v>
      </c>
      <c r="BJ1132" s="3">
        <v>3.3618266999999999</v>
      </c>
      <c r="BK1132" s="3">
        <v>3.3524721999999998</v>
      </c>
      <c r="BL1132" s="3">
        <v>3.3436555000000001</v>
      </c>
      <c r="BM1132" s="3">
        <v>3.3019696000000001</v>
      </c>
      <c r="BN1132" s="3">
        <v>3.2782026000000002</v>
      </c>
    </row>
    <row r="1133" spans="1:66" x14ac:dyDescent="0.35">
      <c r="A1133" s="5">
        <f t="shared" si="17"/>
        <v>45041</v>
      </c>
      <c r="B1133" t="s">
        <v>2537</v>
      </c>
      <c r="C1133" s="2">
        <v>4.25</v>
      </c>
      <c r="D1133" s="2">
        <v>4.1773999999999996</v>
      </c>
      <c r="E1133" s="3">
        <v>4.4212182000000002</v>
      </c>
      <c r="F1133" s="3">
        <v>4.538564</v>
      </c>
      <c r="G1133" s="3">
        <v>4.6552083</v>
      </c>
      <c r="H1133" s="3">
        <v>4.7498453999999999</v>
      </c>
      <c r="I1133" s="3">
        <v>4.8114062999999998</v>
      </c>
      <c r="J1133" s="3">
        <v>4.8388016</v>
      </c>
      <c r="K1133" s="3">
        <v>4.8348544999999996</v>
      </c>
      <c r="L1133" s="3">
        <v>4.8065220999999996</v>
      </c>
      <c r="M1133" s="3">
        <v>4.7603657000000004</v>
      </c>
      <c r="N1133" s="3">
        <v>4.7026259000000001</v>
      </c>
      <c r="O1133" s="3">
        <v>4.6379431000000002</v>
      </c>
      <c r="P1133" s="3">
        <v>4.5693726999999997</v>
      </c>
      <c r="Q1133" s="3">
        <v>4.4994858999999998</v>
      </c>
      <c r="R1133" s="3">
        <v>4.4295850999999997</v>
      </c>
      <c r="S1133" s="3">
        <v>4.3606075999999998</v>
      </c>
      <c r="T1133" s="3">
        <v>4.2934907000000004</v>
      </c>
      <c r="U1133" s="3">
        <v>4.2291715999999999</v>
      </c>
      <c r="V1133" s="3">
        <v>4.1685876999999998</v>
      </c>
      <c r="W1133" s="3">
        <v>4.1124879999999999</v>
      </c>
      <c r="X1133" s="3">
        <v>4.0607493000000003</v>
      </c>
      <c r="Y1133" s="3">
        <v>4.0129951999999998</v>
      </c>
      <c r="Z1133" s="3">
        <v>3.9688495000000001</v>
      </c>
      <c r="AA1133" s="3">
        <v>3.9279359999999999</v>
      </c>
      <c r="AB1133" s="3">
        <v>3.8898784000000002</v>
      </c>
      <c r="AC1133" s="3">
        <v>3.8543324000000001</v>
      </c>
      <c r="AD1133" s="3">
        <v>3.8210948</v>
      </c>
      <c r="AE1133" s="3">
        <v>3.7900011999999998</v>
      </c>
      <c r="AF1133" s="3">
        <v>3.7608874999999999</v>
      </c>
      <c r="AG1133" s="3">
        <v>3.7335891000000001</v>
      </c>
      <c r="AH1133" s="3">
        <v>3.7079420000000001</v>
      </c>
      <c r="AI1133" s="3">
        <v>3.6837816999999999</v>
      </c>
      <c r="AJ1133" s="3">
        <v>3.6609440000000002</v>
      </c>
      <c r="AK1133" s="3">
        <v>3.6392644999999999</v>
      </c>
      <c r="AL1133" s="3">
        <v>3.6185789000000002</v>
      </c>
      <c r="AM1133" s="3">
        <v>3.5987230000000001</v>
      </c>
      <c r="AN1133" s="3">
        <v>3.5795324000000002</v>
      </c>
      <c r="AO1133" s="3">
        <v>3.5608628000000002</v>
      </c>
      <c r="AP1133" s="3">
        <v>3.5426768000000002</v>
      </c>
      <c r="AQ1133" s="3">
        <v>3.5249731</v>
      </c>
      <c r="AR1133" s="3">
        <v>3.5077503000000001</v>
      </c>
      <c r="AS1133" s="3">
        <v>3.4910071</v>
      </c>
      <c r="AT1133" s="3">
        <v>3.4747423</v>
      </c>
      <c r="AU1133" s="3">
        <v>3.4589544000000001</v>
      </c>
      <c r="AV1133" s="3">
        <v>3.4436420999999999</v>
      </c>
      <c r="AW1133" s="3">
        <v>3.4288040999999998</v>
      </c>
      <c r="AX1133" s="3">
        <v>3.4144391000000001</v>
      </c>
      <c r="AY1133" s="3">
        <v>3.4005456999999999</v>
      </c>
      <c r="AZ1133" s="3">
        <v>3.3871226000000001</v>
      </c>
      <c r="BA1133" s="3">
        <v>3.3741686</v>
      </c>
      <c r="BB1133" s="3">
        <v>3.3616830000000002</v>
      </c>
      <c r="BC1133" s="3">
        <v>3.3496652999999998</v>
      </c>
      <c r="BD1133" s="3">
        <v>3.3381151</v>
      </c>
      <c r="BE1133" s="3">
        <v>3.327032</v>
      </c>
      <c r="BF1133" s="3">
        <v>3.3164153999999999</v>
      </c>
      <c r="BG1133" s="3">
        <v>3.3062648000000001</v>
      </c>
      <c r="BH1133" s="3">
        <v>3.2965798999999998</v>
      </c>
      <c r="BI1133" s="3">
        <v>3.2873600999999999</v>
      </c>
      <c r="BJ1133" s="3">
        <v>3.2786050000000002</v>
      </c>
      <c r="BK1133" s="3">
        <v>3.2703139999999999</v>
      </c>
      <c r="BL1133" s="3">
        <v>3.2624867000000002</v>
      </c>
      <c r="BM1133" s="3">
        <v>3.2250573</v>
      </c>
      <c r="BN1133" s="3">
        <v>3.2031146000000001</v>
      </c>
    </row>
    <row r="1134" spans="1:66" x14ac:dyDescent="0.35">
      <c r="A1134" s="5">
        <f t="shared" si="17"/>
        <v>45042</v>
      </c>
      <c r="B1134" t="s">
        <v>2538</v>
      </c>
      <c r="C1134" s="2">
        <v>4.25</v>
      </c>
      <c r="D1134" s="2">
        <v>4.1783999999999999</v>
      </c>
      <c r="E1134" s="3">
        <v>4.4241849000000002</v>
      </c>
      <c r="F1134" s="3">
        <v>4.5389888999999997</v>
      </c>
      <c r="G1134" s="3">
        <v>4.6612894999999996</v>
      </c>
      <c r="H1134" s="3">
        <v>4.7621981</v>
      </c>
      <c r="I1134" s="3">
        <v>4.8270862000000001</v>
      </c>
      <c r="J1134" s="3">
        <v>4.8560401000000004</v>
      </c>
      <c r="K1134" s="3">
        <v>4.8522704000000001</v>
      </c>
      <c r="L1134" s="3">
        <v>4.8228754</v>
      </c>
      <c r="M1134" s="3">
        <v>4.7749242000000001</v>
      </c>
      <c r="N1134" s="3">
        <v>4.7148561999999998</v>
      </c>
      <c r="O1134" s="3">
        <v>4.6474529999999996</v>
      </c>
      <c r="P1134" s="3">
        <v>4.5760281000000003</v>
      </c>
      <c r="Q1134" s="3">
        <v>4.5035940999999999</v>
      </c>
      <c r="R1134" s="3">
        <v>4.4314625000000003</v>
      </c>
      <c r="S1134" s="3">
        <v>4.3604424000000002</v>
      </c>
      <c r="T1134" s="3">
        <v>4.2913427000000004</v>
      </c>
      <c r="U1134" s="3">
        <v>4.2249726000000001</v>
      </c>
      <c r="V1134" s="3">
        <v>4.1621411000000004</v>
      </c>
      <c r="W1134" s="3">
        <v>4.1035405000000003</v>
      </c>
      <c r="X1134" s="3">
        <v>4.0492026000000001</v>
      </c>
      <c r="Y1134" s="3">
        <v>3.9989268</v>
      </c>
      <c r="Z1134" s="3">
        <v>3.9525120999999999</v>
      </c>
      <c r="AA1134" s="3">
        <v>3.9097577000000001</v>
      </c>
      <c r="AB1134" s="3">
        <v>3.8704626000000002</v>
      </c>
      <c r="AC1134" s="3">
        <v>3.8344228</v>
      </c>
      <c r="AD1134" s="3">
        <v>3.8014169999999998</v>
      </c>
      <c r="AE1134" s="3">
        <v>3.7712180000000002</v>
      </c>
      <c r="AF1134" s="3">
        <v>3.7435987000000002</v>
      </c>
      <c r="AG1134" s="3">
        <v>3.7183321</v>
      </c>
      <c r="AH1134" s="3">
        <v>3.6951909999999999</v>
      </c>
      <c r="AI1134" s="3">
        <v>3.6739483000000002</v>
      </c>
      <c r="AJ1134" s="3">
        <v>3.6543770000000002</v>
      </c>
      <c r="AK1134" s="3">
        <v>3.6362499000000001</v>
      </c>
      <c r="AL1134" s="3">
        <v>3.6193398999999999</v>
      </c>
      <c r="AM1134" s="3">
        <v>3.6034199</v>
      </c>
      <c r="AN1134" s="3">
        <v>3.5882627999999999</v>
      </c>
      <c r="AO1134" s="3">
        <v>3.5736686</v>
      </c>
      <c r="AP1134" s="3">
        <v>3.5595691999999999</v>
      </c>
      <c r="AQ1134" s="3">
        <v>3.5459369000000001</v>
      </c>
      <c r="AR1134" s="3">
        <v>3.5327437000000002</v>
      </c>
      <c r="AS1134" s="3">
        <v>3.5199617999999999</v>
      </c>
      <c r="AT1134" s="3">
        <v>3.5075634999999998</v>
      </c>
      <c r="AU1134" s="3">
        <v>3.4955208</v>
      </c>
      <c r="AV1134" s="3">
        <v>3.4838059000000001</v>
      </c>
      <c r="AW1134" s="3">
        <v>3.472391</v>
      </c>
      <c r="AX1134" s="3">
        <v>3.4612482</v>
      </c>
      <c r="AY1134" s="3">
        <v>3.4503496999999999</v>
      </c>
      <c r="AZ1134" s="3">
        <v>3.4396677000000002</v>
      </c>
      <c r="BA1134" s="3">
        <v>3.4291806</v>
      </c>
      <c r="BB1134" s="3">
        <v>3.4188949000000002</v>
      </c>
      <c r="BC1134" s="3">
        <v>3.4088248000000001</v>
      </c>
      <c r="BD1134" s="3">
        <v>3.3989847000000002</v>
      </c>
      <c r="BE1134" s="3">
        <v>3.3893884999999999</v>
      </c>
      <c r="BF1134" s="3">
        <v>3.3800506000000001</v>
      </c>
      <c r="BG1134" s="3">
        <v>3.3709851999999998</v>
      </c>
      <c r="BH1134" s="3">
        <v>3.3622065000000001</v>
      </c>
      <c r="BI1134" s="3">
        <v>3.3537286000000002</v>
      </c>
      <c r="BJ1134" s="3">
        <v>3.3455658000000001</v>
      </c>
      <c r="BK1134" s="3">
        <v>3.3377322999999999</v>
      </c>
      <c r="BL1134" s="3">
        <v>3.3302423999999999</v>
      </c>
      <c r="BM1134" s="3">
        <v>3.2928858000000001</v>
      </c>
      <c r="BN1134" s="3">
        <v>3.2688646000000001</v>
      </c>
    </row>
    <row r="1135" spans="1:66" x14ac:dyDescent="0.35">
      <c r="A1135" s="5">
        <f t="shared" si="17"/>
        <v>45043</v>
      </c>
      <c r="B1135" t="s">
        <v>2539</v>
      </c>
      <c r="C1135" s="2">
        <v>4.25</v>
      </c>
      <c r="D1135" s="2">
        <v>4.1787000000000001</v>
      </c>
      <c r="E1135" s="3">
        <v>4.4429562999999996</v>
      </c>
      <c r="F1135" s="3">
        <v>4.5525707000000004</v>
      </c>
      <c r="G1135" s="3">
        <v>4.6742184</v>
      </c>
      <c r="H1135" s="3">
        <v>4.7772997000000004</v>
      </c>
      <c r="I1135" s="3">
        <v>4.8452121000000004</v>
      </c>
      <c r="J1135" s="3">
        <v>4.8773337999999997</v>
      </c>
      <c r="K1135" s="3">
        <v>4.8771852000000004</v>
      </c>
      <c r="L1135" s="3">
        <v>4.8518264999999996</v>
      </c>
      <c r="M1135" s="3">
        <v>4.8082174000000002</v>
      </c>
      <c r="N1135" s="3">
        <v>4.7516524000000002</v>
      </c>
      <c r="O1135" s="3">
        <v>4.6866909000000003</v>
      </c>
      <c r="P1135" s="3">
        <v>4.6164668000000004</v>
      </c>
      <c r="Q1135" s="3">
        <v>4.5440889000000002</v>
      </c>
      <c r="R1135" s="3">
        <v>4.4712703999999999</v>
      </c>
      <c r="S1135" s="3">
        <v>4.3991916</v>
      </c>
      <c r="T1135" s="3">
        <v>4.3290322000000003</v>
      </c>
      <c r="U1135" s="3">
        <v>4.2619721000000004</v>
      </c>
      <c r="V1135" s="3">
        <v>4.1991911000000002</v>
      </c>
      <c r="W1135" s="3">
        <v>4.1416645000000001</v>
      </c>
      <c r="X1135" s="3">
        <v>4.0893198999999996</v>
      </c>
      <c r="Y1135" s="3">
        <v>4.0417500000000004</v>
      </c>
      <c r="Z1135" s="3">
        <v>3.9985476000000002</v>
      </c>
      <c r="AA1135" s="3">
        <v>3.9593053999999999</v>
      </c>
      <c r="AB1135" s="3">
        <v>3.923616</v>
      </c>
      <c r="AC1135" s="3">
        <v>3.8910941000000001</v>
      </c>
      <c r="AD1135" s="3">
        <v>3.8614606</v>
      </c>
      <c r="AE1135" s="3">
        <v>3.8344692</v>
      </c>
      <c r="AF1135" s="3">
        <v>3.8098733999999999</v>
      </c>
      <c r="AG1135" s="3">
        <v>3.7874265999999999</v>
      </c>
      <c r="AH1135" s="3">
        <v>3.7668824000000001</v>
      </c>
      <c r="AI1135" s="3">
        <v>3.7479942999999998</v>
      </c>
      <c r="AJ1135" s="3">
        <v>3.7305158999999999</v>
      </c>
      <c r="AK1135" s="3">
        <v>3.7142005999999999</v>
      </c>
      <c r="AL1135" s="3">
        <v>3.6988020000000001</v>
      </c>
      <c r="AM1135" s="3">
        <v>3.6840736000000001</v>
      </c>
      <c r="AN1135" s="3">
        <v>3.6697688999999998</v>
      </c>
      <c r="AO1135" s="3">
        <v>3.6556788</v>
      </c>
      <c r="AP1135" s="3">
        <v>3.6417595999999999</v>
      </c>
      <c r="AQ1135" s="3">
        <v>3.6280128999999999</v>
      </c>
      <c r="AR1135" s="3">
        <v>3.6144405000000002</v>
      </c>
      <c r="AS1135" s="3">
        <v>3.6010439999999999</v>
      </c>
      <c r="AT1135" s="3">
        <v>3.5878250999999999</v>
      </c>
      <c r="AU1135" s="3">
        <v>3.5747857000000001</v>
      </c>
      <c r="AV1135" s="3">
        <v>3.5619274000000001</v>
      </c>
      <c r="AW1135" s="3">
        <v>3.5492518999999998</v>
      </c>
      <c r="AX1135" s="3">
        <v>3.5367609999999998</v>
      </c>
      <c r="AY1135" s="3">
        <v>3.5244564</v>
      </c>
      <c r="AZ1135" s="3">
        <v>3.5123397999999999</v>
      </c>
      <c r="BA1135" s="3">
        <v>3.5004154000000001</v>
      </c>
      <c r="BB1135" s="3">
        <v>3.4886984999999999</v>
      </c>
      <c r="BC1135" s="3">
        <v>3.4772074000000002</v>
      </c>
      <c r="BD1135" s="3">
        <v>3.4659604000000002</v>
      </c>
      <c r="BE1135" s="3">
        <v>3.4549759</v>
      </c>
      <c r="BF1135" s="3">
        <v>3.4442721999999999</v>
      </c>
      <c r="BG1135" s="3">
        <v>3.4338677</v>
      </c>
      <c r="BH1135" s="3">
        <v>3.4237806000000002</v>
      </c>
      <c r="BI1135" s="3">
        <v>3.4140291999999999</v>
      </c>
      <c r="BJ1135" s="3">
        <v>3.4046319</v>
      </c>
      <c r="BK1135" s="3">
        <v>3.3956070999999999</v>
      </c>
      <c r="BL1135" s="3">
        <v>3.3869729999999998</v>
      </c>
      <c r="BM1135" s="3">
        <v>3.3438132</v>
      </c>
      <c r="BN1135" s="3">
        <v>3.3157380999999999</v>
      </c>
    </row>
    <row r="1136" spans="1:66" x14ac:dyDescent="0.35">
      <c r="A1136" s="5">
        <f t="shared" si="17"/>
        <v>45044</v>
      </c>
      <c r="B1136" t="s">
        <v>2540</v>
      </c>
      <c r="C1136" s="2">
        <v>4.25</v>
      </c>
      <c r="D1136" s="2">
        <v>4.1791999999999998</v>
      </c>
      <c r="E1136" s="3">
        <v>4.4539</v>
      </c>
      <c r="F1136" s="3">
        <v>4.5670419999999998</v>
      </c>
      <c r="G1136" s="3">
        <v>4.6872726</v>
      </c>
      <c r="H1136" s="3">
        <v>4.7892828999999999</v>
      </c>
      <c r="I1136" s="3">
        <v>4.8569510999999999</v>
      </c>
      <c r="J1136" s="3">
        <v>4.8875957999999997</v>
      </c>
      <c r="K1136" s="3">
        <v>4.8841340999999998</v>
      </c>
      <c r="L1136" s="3">
        <v>4.8522344999999998</v>
      </c>
      <c r="M1136" s="3">
        <v>4.7993737999999997</v>
      </c>
      <c r="N1136" s="3">
        <v>4.7320450000000003</v>
      </c>
      <c r="O1136" s="3">
        <v>4.6561548000000004</v>
      </c>
      <c r="P1136" s="3">
        <v>4.5760379000000002</v>
      </c>
      <c r="Q1136" s="3">
        <v>4.4967673000000001</v>
      </c>
      <c r="R1136" s="3">
        <v>4.4201734999999998</v>
      </c>
      <c r="S1136" s="3">
        <v>4.3469233000000003</v>
      </c>
      <c r="T1136" s="3">
        <v>4.2776831</v>
      </c>
      <c r="U1136" s="3">
        <v>4.2131192000000004</v>
      </c>
      <c r="V1136" s="3">
        <v>4.1538982000000004</v>
      </c>
      <c r="W1136" s="3">
        <v>4.1005010000000004</v>
      </c>
      <c r="X1136" s="3">
        <v>4.0525481000000001</v>
      </c>
      <c r="Y1136" s="3">
        <v>4.0094110000000001</v>
      </c>
      <c r="Z1136" s="3">
        <v>3.9704609999999998</v>
      </c>
      <c r="AA1136" s="3">
        <v>3.9350692999999999</v>
      </c>
      <c r="AB1136" s="3">
        <v>3.9026073000000001</v>
      </c>
      <c r="AC1136" s="3">
        <v>3.8725141999999999</v>
      </c>
      <c r="AD1136" s="3">
        <v>3.8445285</v>
      </c>
      <c r="AE1136" s="3">
        <v>3.8184714999999998</v>
      </c>
      <c r="AF1136" s="3">
        <v>3.7941646000000002</v>
      </c>
      <c r="AG1136" s="3">
        <v>3.7714289999999999</v>
      </c>
      <c r="AH1136" s="3">
        <v>3.7500859000000002</v>
      </c>
      <c r="AI1136" s="3">
        <v>3.7299566999999998</v>
      </c>
      <c r="AJ1136" s="3">
        <v>3.7108626</v>
      </c>
      <c r="AK1136" s="3">
        <v>3.6926247999999999</v>
      </c>
      <c r="AL1136" s="3">
        <v>3.6750647000000001</v>
      </c>
      <c r="AM1136" s="3">
        <v>3.6580035999999998</v>
      </c>
      <c r="AN1136" s="3">
        <v>3.6412626000000001</v>
      </c>
      <c r="AO1136" s="3">
        <v>3.6246923</v>
      </c>
      <c r="AP1136" s="3">
        <v>3.6082719999999999</v>
      </c>
      <c r="AQ1136" s="3">
        <v>3.5920166999999998</v>
      </c>
      <c r="AR1136" s="3">
        <v>3.5759413000000002</v>
      </c>
      <c r="AS1136" s="3">
        <v>3.5600605999999999</v>
      </c>
      <c r="AT1136" s="3">
        <v>3.5443896000000001</v>
      </c>
      <c r="AU1136" s="3">
        <v>3.5289432999999999</v>
      </c>
      <c r="AV1136" s="3">
        <v>3.5137364999999998</v>
      </c>
      <c r="AW1136" s="3">
        <v>3.4987841999999998</v>
      </c>
      <c r="AX1136" s="3">
        <v>3.4841012999999998</v>
      </c>
      <c r="AY1136" s="3">
        <v>3.4697026000000002</v>
      </c>
      <c r="AZ1136" s="3">
        <v>3.4556032000000001</v>
      </c>
      <c r="BA1136" s="3">
        <v>3.4418179000000002</v>
      </c>
      <c r="BB1136" s="3">
        <v>3.4283613000000002</v>
      </c>
      <c r="BC1136" s="3">
        <v>3.4152477999999999</v>
      </c>
      <c r="BD1136" s="3">
        <v>3.4024918</v>
      </c>
      <c r="BE1136" s="3">
        <v>3.3901080000000001</v>
      </c>
      <c r="BF1136" s="3">
        <v>3.3781107000000001</v>
      </c>
      <c r="BG1136" s="3">
        <v>3.3665145000000001</v>
      </c>
      <c r="BH1136" s="3">
        <v>3.3553337000000001</v>
      </c>
      <c r="BI1136" s="3">
        <v>3.3445830000000001</v>
      </c>
      <c r="BJ1136" s="3">
        <v>3.3342768</v>
      </c>
      <c r="BK1136" s="3">
        <v>3.3244294999999999</v>
      </c>
      <c r="BL1136" s="3">
        <v>3.3150556999999998</v>
      </c>
      <c r="BM1136" s="3">
        <v>3.2690397</v>
      </c>
      <c r="BN1136" s="3">
        <v>3.2404901000000002</v>
      </c>
    </row>
    <row r="1137" spans="1:66" x14ac:dyDescent="0.35">
      <c r="A1137" s="5">
        <f t="shared" si="17"/>
        <v>45047</v>
      </c>
      <c r="B1137" t="s">
        <v>2541</v>
      </c>
      <c r="C1137" s="2">
        <v>4.25</v>
      </c>
      <c r="D1137" s="2" t="e">
        <v>#N/A</v>
      </c>
      <c r="E1137" s="3" t="e">
        <v>#N/A</v>
      </c>
      <c r="F1137" s="3" t="e">
        <v>#N/A</v>
      </c>
      <c r="G1137" s="3" t="e">
        <v>#N/A</v>
      </c>
      <c r="H1137" s="3" t="e">
        <v>#N/A</v>
      </c>
      <c r="I1137" s="3" t="e">
        <v>#N/A</v>
      </c>
      <c r="J1137" s="3" t="e">
        <v>#N/A</v>
      </c>
      <c r="K1137" s="3" t="e">
        <v>#N/A</v>
      </c>
      <c r="L1137" s="3" t="e">
        <v>#N/A</v>
      </c>
      <c r="M1137" s="3" t="e">
        <v>#N/A</v>
      </c>
      <c r="N1137" s="3" t="e">
        <v>#N/A</v>
      </c>
      <c r="O1137" s="3" t="e">
        <v>#N/A</v>
      </c>
      <c r="P1137" s="3" t="e">
        <v>#N/A</v>
      </c>
      <c r="Q1137" s="3" t="e">
        <v>#N/A</v>
      </c>
      <c r="R1137" s="3" t="e">
        <v>#N/A</v>
      </c>
      <c r="S1137" s="3" t="e">
        <v>#N/A</v>
      </c>
      <c r="T1137" s="3" t="e">
        <v>#N/A</v>
      </c>
      <c r="U1137" s="3" t="e">
        <v>#N/A</v>
      </c>
      <c r="V1137" s="3" t="e">
        <v>#N/A</v>
      </c>
      <c r="W1137" s="3" t="e">
        <v>#N/A</v>
      </c>
      <c r="X1137" s="3" t="e">
        <v>#N/A</v>
      </c>
      <c r="Y1137" s="3" t="e">
        <v>#N/A</v>
      </c>
      <c r="Z1137" s="3" t="e">
        <v>#N/A</v>
      </c>
      <c r="AA1137" s="3" t="e">
        <v>#N/A</v>
      </c>
      <c r="AB1137" s="3" t="e">
        <v>#N/A</v>
      </c>
      <c r="AC1137" s="3" t="e">
        <v>#N/A</v>
      </c>
      <c r="AD1137" s="3" t="e">
        <v>#N/A</v>
      </c>
      <c r="AE1137" s="3" t="e">
        <v>#N/A</v>
      </c>
      <c r="AF1137" s="3" t="e">
        <v>#N/A</v>
      </c>
      <c r="AG1137" s="3" t="e">
        <v>#N/A</v>
      </c>
      <c r="AH1137" s="3" t="e">
        <v>#N/A</v>
      </c>
      <c r="AI1137" s="3" t="e">
        <v>#N/A</v>
      </c>
      <c r="AJ1137" s="3" t="e">
        <v>#N/A</v>
      </c>
      <c r="AK1137" s="3" t="e">
        <v>#N/A</v>
      </c>
      <c r="AL1137" s="3" t="e">
        <v>#N/A</v>
      </c>
      <c r="AM1137" s="3" t="e">
        <v>#N/A</v>
      </c>
      <c r="AN1137" s="3" t="e">
        <v>#N/A</v>
      </c>
      <c r="AO1137" s="3" t="e">
        <v>#N/A</v>
      </c>
      <c r="AP1137" s="3" t="e">
        <v>#N/A</v>
      </c>
      <c r="AQ1137" s="3" t="e">
        <v>#N/A</v>
      </c>
      <c r="AR1137" s="3" t="e">
        <v>#N/A</v>
      </c>
      <c r="AS1137" s="3" t="e">
        <v>#N/A</v>
      </c>
      <c r="AT1137" s="3" t="e">
        <v>#N/A</v>
      </c>
      <c r="AU1137" s="3" t="e">
        <v>#N/A</v>
      </c>
      <c r="AV1137" s="3" t="e">
        <v>#N/A</v>
      </c>
      <c r="AW1137" s="3" t="e">
        <v>#N/A</v>
      </c>
      <c r="AX1137" s="3" t="e">
        <v>#N/A</v>
      </c>
      <c r="AY1137" s="3" t="e">
        <v>#N/A</v>
      </c>
      <c r="AZ1137" s="3" t="e">
        <v>#N/A</v>
      </c>
      <c r="BA1137" s="3" t="e">
        <v>#N/A</v>
      </c>
      <c r="BB1137" s="3" t="e">
        <v>#N/A</v>
      </c>
      <c r="BC1137" s="3" t="e">
        <v>#N/A</v>
      </c>
      <c r="BD1137" s="3" t="e">
        <v>#N/A</v>
      </c>
      <c r="BE1137" s="3" t="e">
        <v>#N/A</v>
      </c>
      <c r="BF1137" s="3" t="e">
        <v>#N/A</v>
      </c>
      <c r="BG1137" s="3" t="e">
        <v>#N/A</v>
      </c>
      <c r="BH1137" s="3" t="e">
        <v>#N/A</v>
      </c>
      <c r="BI1137" s="3" t="e">
        <v>#N/A</v>
      </c>
      <c r="BJ1137" s="3" t="e">
        <v>#N/A</v>
      </c>
      <c r="BK1137" s="3" t="e">
        <v>#N/A</v>
      </c>
      <c r="BL1137" s="3" t="e">
        <v>#N/A</v>
      </c>
      <c r="BM1137" s="3" t="e">
        <v>#N/A</v>
      </c>
      <c r="BN1137" s="3" t="e">
        <v>#N/A</v>
      </c>
    </row>
    <row r="1138" spans="1:66" x14ac:dyDescent="0.35">
      <c r="A1138" s="5">
        <f t="shared" si="17"/>
        <v>45048</v>
      </c>
      <c r="B1138" t="s">
        <v>2542</v>
      </c>
      <c r="C1138" s="2">
        <v>4.25</v>
      </c>
      <c r="D1138" s="2">
        <v>4.1791999999999998</v>
      </c>
      <c r="E1138" s="3">
        <v>4.4348150000000004</v>
      </c>
      <c r="F1138" s="3">
        <v>4.5492879999999998</v>
      </c>
      <c r="G1138" s="3">
        <v>4.6637842000000003</v>
      </c>
      <c r="H1138" s="3">
        <v>4.7551607999999996</v>
      </c>
      <c r="I1138" s="3">
        <v>4.8089829999999996</v>
      </c>
      <c r="J1138" s="3">
        <v>4.8259027000000003</v>
      </c>
      <c r="K1138" s="3">
        <v>4.8108547000000002</v>
      </c>
      <c r="L1138" s="3">
        <v>4.7720175999999999</v>
      </c>
      <c r="M1138" s="3">
        <v>4.7172086000000002</v>
      </c>
      <c r="N1138" s="3">
        <v>4.6529429000000002</v>
      </c>
      <c r="O1138" s="3">
        <v>4.5840603</v>
      </c>
      <c r="P1138" s="3">
        <v>4.5135791999999997</v>
      </c>
      <c r="Q1138" s="3">
        <v>4.4441449999999998</v>
      </c>
      <c r="R1138" s="3">
        <v>4.3766204000000002</v>
      </c>
      <c r="S1138" s="3">
        <v>4.3113324999999998</v>
      </c>
      <c r="T1138" s="3">
        <v>4.2486058</v>
      </c>
      <c r="U1138" s="3">
        <v>4.1887651999999997</v>
      </c>
      <c r="V1138" s="3">
        <v>4.1321374999999998</v>
      </c>
      <c r="W1138" s="3">
        <v>4.0789914999999999</v>
      </c>
      <c r="X1138" s="3">
        <v>4.0292447999999998</v>
      </c>
      <c r="Y1138" s="3">
        <v>3.9826809000000001</v>
      </c>
      <c r="Z1138" s="3">
        <v>3.9390811999999999</v>
      </c>
      <c r="AA1138" s="3">
        <v>3.8982272</v>
      </c>
      <c r="AB1138" s="3">
        <v>3.8599019999999999</v>
      </c>
      <c r="AC1138" s="3">
        <v>3.8239003</v>
      </c>
      <c r="AD1138" s="3">
        <v>3.7900754000000001</v>
      </c>
      <c r="AE1138" s="3">
        <v>3.7582979999999999</v>
      </c>
      <c r="AF1138" s="3">
        <v>3.7284373</v>
      </c>
      <c r="AG1138" s="3">
        <v>3.7003629</v>
      </c>
      <c r="AH1138" s="3">
        <v>3.6739453000000002</v>
      </c>
      <c r="AI1138" s="3">
        <v>3.6490537999999999</v>
      </c>
      <c r="AJ1138" s="3">
        <v>3.6255579999999998</v>
      </c>
      <c r="AK1138" s="3">
        <v>3.6033282999999998</v>
      </c>
      <c r="AL1138" s="3">
        <v>3.5822341999999998</v>
      </c>
      <c r="AM1138" s="3">
        <v>3.5621451999999998</v>
      </c>
      <c r="AN1138" s="3">
        <v>3.5429317</v>
      </c>
      <c r="AO1138" s="3">
        <v>3.5244746999999998</v>
      </c>
      <c r="AP1138" s="3">
        <v>3.5067249</v>
      </c>
      <c r="AQ1138" s="3">
        <v>3.4896588999999998</v>
      </c>
      <c r="AR1138" s="3">
        <v>3.4732528999999999</v>
      </c>
      <c r="AS1138" s="3">
        <v>3.4574831000000001</v>
      </c>
      <c r="AT1138" s="3">
        <v>3.4423260999999998</v>
      </c>
      <c r="AU1138" s="3">
        <v>3.4277581000000001</v>
      </c>
      <c r="AV1138" s="3">
        <v>3.4137553999999999</v>
      </c>
      <c r="AW1138" s="3">
        <v>3.4002945000000002</v>
      </c>
      <c r="AX1138" s="3">
        <v>3.3873516000000001</v>
      </c>
      <c r="AY1138" s="3">
        <v>3.3749031</v>
      </c>
      <c r="AZ1138" s="3">
        <v>3.3629254</v>
      </c>
      <c r="BA1138" s="3">
        <v>3.3513974000000002</v>
      </c>
      <c r="BB1138" s="3">
        <v>3.3403122999999999</v>
      </c>
      <c r="BC1138" s="3">
        <v>3.3296682</v>
      </c>
      <c r="BD1138" s="3">
        <v>3.3194631000000001</v>
      </c>
      <c r="BE1138" s="3">
        <v>3.3096947999999999</v>
      </c>
      <c r="BF1138" s="3">
        <v>3.3003615000000002</v>
      </c>
      <c r="BG1138" s="3">
        <v>3.2914612000000001</v>
      </c>
      <c r="BH1138" s="3">
        <v>3.2829917000000002</v>
      </c>
      <c r="BI1138" s="3">
        <v>3.2749513000000001</v>
      </c>
      <c r="BJ1138" s="3">
        <v>3.2673378</v>
      </c>
      <c r="BK1138" s="3">
        <v>3.2601491</v>
      </c>
      <c r="BL1138" s="3">
        <v>3.2533834000000001</v>
      </c>
      <c r="BM1138" s="3">
        <v>3.2214507000000001</v>
      </c>
      <c r="BN1138" s="3">
        <v>3.2035776999999999</v>
      </c>
    </row>
    <row r="1139" spans="1:66" x14ac:dyDescent="0.35">
      <c r="A1139" s="5">
        <f t="shared" si="17"/>
        <v>45049</v>
      </c>
      <c r="B1139" t="s">
        <v>2544</v>
      </c>
      <c r="C1139" s="2">
        <v>4.25</v>
      </c>
      <c r="D1139" s="2">
        <v>4.1778000000000004</v>
      </c>
      <c r="E1139" s="3">
        <v>4.4383134000000002</v>
      </c>
      <c r="F1139" s="3">
        <v>4.5600607000000002</v>
      </c>
      <c r="G1139" s="3">
        <v>4.6791163999999998</v>
      </c>
      <c r="H1139" s="3">
        <v>4.7732755999999998</v>
      </c>
      <c r="I1139" s="3">
        <v>4.8302019999999999</v>
      </c>
      <c r="J1139" s="3">
        <v>4.8514590000000002</v>
      </c>
      <c r="K1139" s="3">
        <v>4.8418450000000002</v>
      </c>
      <c r="L1139" s="3">
        <v>4.8084349</v>
      </c>
      <c r="M1139" s="3">
        <v>4.7585291999999999</v>
      </c>
      <c r="N1139" s="3">
        <v>4.6981748999999997</v>
      </c>
      <c r="O1139" s="3">
        <v>4.6322865999999996</v>
      </c>
      <c r="P1139" s="3">
        <v>4.5638912999999999</v>
      </c>
      <c r="Q1139" s="3">
        <v>4.4955986000000001</v>
      </c>
      <c r="R1139" s="3">
        <v>4.4283231000000001</v>
      </c>
      <c r="S1139" s="3">
        <v>4.3624707000000003</v>
      </c>
      <c r="T1139" s="3">
        <v>4.2984447000000001</v>
      </c>
      <c r="U1139" s="3">
        <v>4.2366485000000003</v>
      </c>
      <c r="V1139" s="3">
        <v>4.1774877999999998</v>
      </c>
      <c r="W1139" s="3">
        <v>4.1213145000000004</v>
      </c>
      <c r="X1139" s="3">
        <v>4.0681878999999999</v>
      </c>
      <c r="Y1139" s="3">
        <v>4.0180664999999998</v>
      </c>
      <c r="Z1139" s="3">
        <v>3.9709067</v>
      </c>
      <c r="AA1139" s="3">
        <v>3.9266651000000001</v>
      </c>
      <c r="AB1139" s="3">
        <v>3.8852997</v>
      </c>
      <c r="AC1139" s="3">
        <v>3.8467533</v>
      </c>
      <c r="AD1139" s="3">
        <v>3.8108865000000001</v>
      </c>
      <c r="AE1139" s="3">
        <v>3.7775306</v>
      </c>
      <c r="AF1139" s="3">
        <v>3.7465158000000001</v>
      </c>
      <c r="AG1139" s="3">
        <v>3.7176722999999998</v>
      </c>
      <c r="AH1139" s="3">
        <v>3.6908314</v>
      </c>
      <c r="AI1139" s="3">
        <v>3.6658230999999999</v>
      </c>
      <c r="AJ1139" s="3">
        <v>3.6424778999999998</v>
      </c>
      <c r="AK1139" s="3">
        <v>3.6206268000000001</v>
      </c>
      <c r="AL1139" s="3">
        <v>3.6001001000000001</v>
      </c>
      <c r="AM1139" s="3">
        <v>3.5807281</v>
      </c>
      <c r="AN1139" s="3">
        <v>3.5623418999999998</v>
      </c>
      <c r="AO1139" s="3">
        <v>3.5447874000000001</v>
      </c>
      <c r="AP1139" s="3">
        <v>3.5279954999999998</v>
      </c>
      <c r="AQ1139" s="3">
        <v>3.5119261000000002</v>
      </c>
      <c r="AR1139" s="3">
        <v>3.4965383999999999</v>
      </c>
      <c r="AS1139" s="3">
        <v>3.4817917999999999</v>
      </c>
      <c r="AT1139" s="3">
        <v>3.4676461000000001</v>
      </c>
      <c r="AU1139" s="3">
        <v>3.4540605000000002</v>
      </c>
      <c r="AV1139" s="3">
        <v>3.4409945</v>
      </c>
      <c r="AW1139" s="3">
        <v>3.4284077000000002</v>
      </c>
      <c r="AX1139" s="3">
        <v>3.4162596000000001</v>
      </c>
      <c r="AY1139" s="3">
        <v>3.4045093999999998</v>
      </c>
      <c r="AZ1139" s="3">
        <v>3.3931168999999999</v>
      </c>
      <c r="BA1139" s="3">
        <v>3.3820477000000002</v>
      </c>
      <c r="BB1139" s="3">
        <v>3.3712982</v>
      </c>
      <c r="BC1139" s="3">
        <v>3.3608745999999998</v>
      </c>
      <c r="BD1139" s="3">
        <v>3.3507823999999999</v>
      </c>
      <c r="BE1139" s="3">
        <v>3.3410274000000002</v>
      </c>
      <c r="BF1139" s="3">
        <v>3.3316157999999998</v>
      </c>
      <c r="BG1139" s="3">
        <v>3.3225530999999999</v>
      </c>
      <c r="BH1139" s="3">
        <v>3.3138451999999998</v>
      </c>
      <c r="BI1139" s="3">
        <v>3.3054980999999999</v>
      </c>
      <c r="BJ1139" s="3">
        <v>3.2975175000000001</v>
      </c>
      <c r="BK1139" s="3">
        <v>3.2899091</v>
      </c>
      <c r="BL1139" s="3">
        <v>3.2826789999999999</v>
      </c>
      <c r="BM1139" s="3">
        <v>3.2473363000000002</v>
      </c>
      <c r="BN1139" s="3">
        <v>3.2256626000000002</v>
      </c>
    </row>
    <row r="1140" spans="1:66" x14ac:dyDescent="0.35">
      <c r="A1140" s="5">
        <f t="shared" si="17"/>
        <v>45050</v>
      </c>
      <c r="B1140" t="s">
        <v>2545</v>
      </c>
      <c r="C1140" s="2">
        <v>4.25</v>
      </c>
      <c r="D1140" s="2">
        <v>4.1779000000000002</v>
      </c>
      <c r="E1140" s="3">
        <v>4.4228712999999997</v>
      </c>
      <c r="F1140" s="3">
        <v>4.5241033000000002</v>
      </c>
      <c r="G1140" s="3">
        <v>4.6154067999999997</v>
      </c>
      <c r="H1140" s="3">
        <v>4.6872495000000001</v>
      </c>
      <c r="I1140" s="3">
        <v>4.7285434999999998</v>
      </c>
      <c r="J1140" s="3">
        <v>4.7369136999999997</v>
      </c>
      <c r="K1140" s="3">
        <v>4.7151601999999997</v>
      </c>
      <c r="L1140" s="3">
        <v>4.6672419999999999</v>
      </c>
      <c r="M1140" s="3">
        <v>4.5995182999999997</v>
      </c>
      <c r="N1140" s="3">
        <v>4.5183517999999996</v>
      </c>
      <c r="O1140" s="3">
        <v>4.4299679000000003</v>
      </c>
      <c r="P1140" s="3">
        <v>4.3394884999999999</v>
      </c>
      <c r="Q1140" s="3">
        <v>4.2532432</v>
      </c>
      <c r="R1140" s="3">
        <v>4.1732510999999999</v>
      </c>
      <c r="S1140" s="3">
        <v>4.0996740000000003</v>
      </c>
      <c r="T1140" s="3">
        <v>4.0326681000000004</v>
      </c>
      <c r="U1140" s="3">
        <v>3.9723898000000002</v>
      </c>
      <c r="V1140" s="3">
        <v>3.9189976999999998</v>
      </c>
      <c r="W1140" s="3">
        <v>3.8725158999999998</v>
      </c>
      <c r="X1140" s="3">
        <v>3.8322919</v>
      </c>
      <c r="Y1140" s="3">
        <v>3.7974581999999999</v>
      </c>
      <c r="Z1140" s="3">
        <v>3.7671458000000002</v>
      </c>
      <c r="AA1140" s="3">
        <v>3.7404860000000002</v>
      </c>
      <c r="AB1140" s="3">
        <v>3.7166109000000001</v>
      </c>
      <c r="AC1140" s="3">
        <v>3.6947391000000001</v>
      </c>
      <c r="AD1140" s="3">
        <v>3.6745606999999998</v>
      </c>
      <c r="AE1140" s="3">
        <v>3.6559244</v>
      </c>
      <c r="AF1140" s="3">
        <v>3.6386782000000002</v>
      </c>
      <c r="AG1140" s="3">
        <v>3.6226702</v>
      </c>
      <c r="AH1140" s="3">
        <v>3.6077492000000002</v>
      </c>
      <c r="AI1140" s="3">
        <v>3.5937632000000002</v>
      </c>
      <c r="AJ1140" s="3">
        <v>3.5805604</v>
      </c>
      <c r="AK1140" s="3">
        <v>3.5679894999999999</v>
      </c>
      <c r="AL1140" s="3">
        <v>3.5558985000000001</v>
      </c>
      <c r="AM1140" s="3">
        <v>3.5441357</v>
      </c>
      <c r="AN1140" s="3">
        <v>3.5325495999999998</v>
      </c>
      <c r="AO1140" s="3">
        <v>3.5210113999999999</v>
      </c>
      <c r="AP1140" s="3">
        <v>3.5095035999999999</v>
      </c>
      <c r="AQ1140" s="3">
        <v>3.4980435000000001</v>
      </c>
      <c r="AR1140" s="3">
        <v>3.4866475000000001</v>
      </c>
      <c r="AS1140" s="3">
        <v>3.4753324000000001</v>
      </c>
      <c r="AT1140" s="3">
        <v>3.4641153</v>
      </c>
      <c r="AU1140" s="3">
        <v>3.4530128000000002</v>
      </c>
      <c r="AV1140" s="3">
        <v>3.4420415000000002</v>
      </c>
      <c r="AW1140" s="3">
        <v>3.4312185999999998</v>
      </c>
      <c r="AX1140" s="3">
        <v>3.4205606999999998</v>
      </c>
      <c r="AY1140" s="3">
        <v>3.4100845</v>
      </c>
      <c r="AZ1140" s="3">
        <v>3.399807</v>
      </c>
      <c r="BA1140" s="3">
        <v>3.3897444999999999</v>
      </c>
      <c r="BB1140" s="3">
        <v>3.3799117999999999</v>
      </c>
      <c r="BC1140" s="3">
        <v>3.3703234000000002</v>
      </c>
      <c r="BD1140" s="3">
        <v>3.3609936999999999</v>
      </c>
      <c r="BE1140" s="3">
        <v>3.3519369000000001</v>
      </c>
      <c r="BF1140" s="3">
        <v>3.3431677</v>
      </c>
      <c r="BG1140" s="3">
        <v>3.3347001999999999</v>
      </c>
      <c r="BH1140" s="3">
        <v>3.3265489000000001</v>
      </c>
      <c r="BI1140" s="3">
        <v>3.3187283000000001</v>
      </c>
      <c r="BJ1140" s="3">
        <v>3.3112526999999998</v>
      </c>
      <c r="BK1140" s="3">
        <v>3.3041364</v>
      </c>
      <c r="BL1140" s="3">
        <v>3.2973940000000002</v>
      </c>
      <c r="BM1140" s="3">
        <v>3.2650910999999998</v>
      </c>
      <c r="BN1140" s="3">
        <v>3.2467831</v>
      </c>
    </row>
    <row r="1141" spans="1:66" x14ac:dyDescent="0.35">
      <c r="A1141" s="5">
        <f t="shared" si="17"/>
        <v>45051</v>
      </c>
      <c r="B1141" t="s">
        <v>2546</v>
      </c>
      <c r="C1141" s="2">
        <v>4.25</v>
      </c>
      <c r="D1141" s="2">
        <v>4.1776999999999997</v>
      </c>
      <c r="E1141" s="3">
        <v>4.4357769999999999</v>
      </c>
      <c r="F1141" s="3">
        <v>4.5574954999999999</v>
      </c>
      <c r="G1141" s="3">
        <v>4.671297</v>
      </c>
      <c r="H1141" s="3">
        <v>4.7594054000000003</v>
      </c>
      <c r="I1141" s="3">
        <v>4.8119953999999998</v>
      </c>
      <c r="J1141" s="3">
        <v>4.8298632000000001</v>
      </c>
      <c r="K1141" s="3">
        <v>4.8175119999999998</v>
      </c>
      <c r="L1141" s="3">
        <v>4.7809179999999998</v>
      </c>
      <c r="M1141" s="3">
        <v>4.7270484000000002</v>
      </c>
      <c r="N1141" s="3">
        <v>4.6622043</v>
      </c>
      <c r="O1141" s="3">
        <v>4.5914359999999999</v>
      </c>
      <c r="P1141" s="3">
        <v>4.5183825000000004</v>
      </c>
      <c r="Q1141" s="3">
        <v>4.4463466</v>
      </c>
      <c r="R1141" s="3">
        <v>4.3765919000000002</v>
      </c>
      <c r="S1141" s="3">
        <v>4.3096619</v>
      </c>
      <c r="T1141" s="3">
        <v>4.2460972999999997</v>
      </c>
      <c r="U1141" s="3">
        <v>4.1864388999999997</v>
      </c>
      <c r="V1141" s="3">
        <v>4.1312294999999999</v>
      </c>
      <c r="W1141" s="3">
        <v>4.0808812000000003</v>
      </c>
      <c r="X1141" s="3">
        <v>4.0351470000000003</v>
      </c>
      <c r="Y1141" s="3">
        <v>3.9935711999999999</v>
      </c>
      <c r="Z1141" s="3">
        <v>3.9556960999999999</v>
      </c>
      <c r="AA1141" s="3">
        <v>3.9210642999999998</v>
      </c>
      <c r="AB1141" s="3">
        <v>3.8892196000000001</v>
      </c>
      <c r="AC1141" s="3">
        <v>3.8597443999999999</v>
      </c>
      <c r="AD1141" s="3">
        <v>3.8324151</v>
      </c>
      <c r="AE1141" s="3">
        <v>3.8070680000000001</v>
      </c>
      <c r="AF1141" s="3">
        <v>3.7835385000000001</v>
      </c>
      <c r="AG1141" s="3">
        <v>3.7616622999999998</v>
      </c>
      <c r="AH1141" s="3">
        <v>3.7412755</v>
      </c>
      <c r="AI1141" s="3">
        <v>3.7222135999999999</v>
      </c>
      <c r="AJ1141" s="3">
        <v>3.7043121000000001</v>
      </c>
      <c r="AK1141" s="3">
        <v>3.6874072999999998</v>
      </c>
      <c r="AL1141" s="3">
        <v>3.6713347000000001</v>
      </c>
      <c r="AM1141" s="3">
        <v>3.6559298999999998</v>
      </c>
      <c r="AN1141" s="3">
        <v>3.6410288</v>
      </c>
      <c r="AO1141" s="3">
        <v>3.6264913999999999</v>
      </c>
      <c r="AP1141" s="3">
        <v>3.6122839999999998</v>
      </c>
      <c r="AQ1141" s="3">
        <v>3.5984031000000001</v>
      </c>
      <c r="AR1141" s="3">
        <v>3.5848444000000002</v>
      </c>
      <c r="AS1141" s="3">
        <v>3.5716038999999999</v>
      </c>
      <c r="AT1141" s="3">
        <v>3.5586779000000002</v>
      </c>
      <c r="AU1141" s="3">
        <v>3.5460623999999998</v>
      </c>
      <c r="AV1141" s="3">
        <v>3.5337531000000002</v>
      </c>
      <c r="AW1141" s="3">
        <v>3.5217466000000002</v>
      </c>
      <c r="AX1141" s="3">
        <v>3.5100384999999998</v>
      </c>
      <c r="AY1141" s="3">
        <v>3.4986248999999998</v>
      </c>
      <c r="AZ1141" s="3">
        <v>3.4875020999999999</v>
      </c>
      <c r="BA1141" s="3">
        <v>3.4766680999999999</v>
      </c>
      <c r="BB1141" s="3">
        <v>3.4661301</v>
      </c>
      <c r="BC1141" s="3">
        <v>3.4558982999999999</v>
      </c>
      <c r="BD1141" s="3">
        <v>3.4459824999999999</v>
      </c>
      <c r="BE1141" s="3">
        <v>3.4363926999999999</v>
      </c>
      <c r="BF1141" s="3">
        <v>3.4271389000000001</v>
      </c>
      <c r="BG1141" s="3">
        <v>3.4182309000000002</v>
      </c>
      <c r="BH1141" s="3">
        <v>3.4096785999999999</v>
      </c>
      <c r="BI1141" s="3">
        <v>3.4014921999999999</v>
      </c>
      <c r="BJ1141" s="3">
        <v>3.3936815</v>
      </c>
      <c r="BK1141" s="3">
        <v>3.3862564000000002</v>
      </c>
      <c r="BL1141" s="3">
        <v>3.3792268999999999</v>
      </c>
      <c r="BM1141" s="3">
        <v>3.3455832000000001</v>
      </c>
      <c r="BN1141" s="3">
        <v>3.3266600999999998</v>
      </c>
    </row>
    <row r="1142" spans="1:66" x14ac:dyDescent="0.35">
      <c r="A1142" s="5">
        <f t="shared" si="17"/>
        <v>45054</v>
      </c>
      <c r="B1142" t="s">
        <v>2547</v>
      </c>
      <c r="C1142" s="2">
        <v>4.25</v>
      </c>
      <c r="D1142" s="2" t="e">
        <v>#N/A</v>
      </c>
      <c r="E1142" s="3" t="e">
        <v>#N/A</v>
      </c>
      <c r="F1142" s="3" t="e">
        <v>#N/A</v>
      </c>
      <c r="G1142" s="3" t="e">
        <v>#N/A</v>
      </c>
      <c r="H1142" s="3" t="e">
        <v>#N/A</v>
      </c>
      <c r="I1142" s="3" t="e">
        <v>#N/A</v>
      </c>
      <c r="J1142" s="3" t="e">
        <v>#N/A</v>
      </c>
      <c r="K1142" s="3" t="e">
        <v>#N/A</v>
      </c>
      <c r="L1142" s="3" t="e">
        <v>#N/A</v>
      </c>
      <c r="M1142" s="3" t="e">
        <v>#N/A</v>
      </c>
      <c r="N1142" s="3" t="e">
        <v>#N/A</v>
      </c>
      <c r="O1142" s="3" t="e">
        <v>#N/A</v>
      </c>
      <c r="P1142" s="3" t="e">
        <v>#N/A</v>
      </c>
      <c r="Q1142" s="3" t="e">
        <v>#N/A</v>
      </c>
      <c r="R1142" s="3" t="e">
        <v>#N/A</v>
      </c>
      <c r="S1142" s="3" t="e">
        <v>#N/A</v>
      </c>
      <c r="T1142" s="3" t="e">
        <v>#N/A</v>
      </c>
      <c r="U1142" s="3" t="e">
        <v>#N/A</v>
      </c>
      <c r="V1142" s="3" t="e">
        <v>#N/A</v>
      </c>
      <c r="W1142" s="3" t="e">
        <v>#N/A</v>
      </c>
      <c r="X1142" s="3" t="e">
        <v>#N/A</v>
      </c>
      <c r="Y1142" s="3" t="e">
        <v>#N/A</v>
      </c>
      <c r="Z1142" s="3" t="e">
        <v>#N/A</v>
      </c>
      <c r="AA1142" s="3" t="e">
        <v>#N/A</v>
      </c>
      <c r="AB1142" s="3" t="e">
        <v>#N/A</v>
      </c>
      <c r="AC1142" s="3" t="e">
        <v>#N/A</v>
      </c>
      <c r="AD1142" s="3" t="e">
        <v>#N/A</v>
      </c>
      <c r="AE1142" s="3" t="e">
        <v>#N/A</v>
      </c>
      <c r="AF1142" s="3" t="e">
        <v>#N/A</v>
      </c>
      <c r="AG1142" s="3" t="e">
        <v>#N/A</v>
      </c>
      <c r="AH1142" s="3" t="e">
        <v>#N/A</v>
      </c>
      <c r="AI1142" s="3" t="e">
        <v>#N/A</v>
      </c>
      <c r="AJ1142" s="3" t="e">
        <v>#N/A</v>
      </c>
      <c r="AK1142" s="3" t="e">
        <v>#N/A</v>
      </c>
      <c r="AL1142" s="3" t="e">
        <v>#N/A</v>
      </c>
      <c r="AM1142" s="3" t="e">
        <v>#N/A</v>
      </c>
      <c r="AN1142" s="3" t="e">
        <v>#N/A</v>
      </c>
      <c r="AO1142" s="3" t="e">
        <v>#N/A</v>
      </c>
      <c r="AP1142" s="3" t="e">
        <v>#N/A</v>
      </c>
      <c r="AQ1142" s="3" t="e">
        <v>#N/A</v>
      </c>
      <c r="AR1142" s="3" t="e">
        <v>#N/A</v>
      </c>
      <c r="AS1142" s="3" t="e">
        <v>#N/A</v>
      </c>
      <c r="AT1142" s="3" t="e">
        <v>#N/A</v>
      </c>
      <c r="AU1142" s="3" t="e">
        <v>#N/A</v>
      </c>
      <c r="AV1142" s="3" t="e">
        <v>#N/A</v>
      </c>
      <c r="AW1142" s="3" t="e">
        <v>#N/A</v>
      </c>
      <c r="AX1142" s="3" t="e">
        <v>#N/A</v>
      </c>
      <c r="AY1142" s="3" t="e">
        <v>#N/A</v>
      </c>
      <c r="AZ1142" s="3" t="e">
        <v>#N/A</v>
      </c>
      <c r="BA1142" s="3" t="e">
        <v>#N/A</v>
      </c>
      <c r="BB1142" s="3" t="e">
        <v>#N/A</v>
      </c>
      <c r="BC1142" s="3" t="e">
        <v>#N/A</v>
      </c>
      <c r="BD1142" s="3" t="e">
        <v>#N/A</v>
      </c>
      <c r="BE1142" s="3" t="e">
        <v>#N/A</v>
      </c>
      <c r="BF1142" s="3" t="e">
        <v>#N/A</v>
      </c>
      <c r="BG1142" s="3" t="e">
        <v>#N/A</v>
      </c>
      <c r="BH1142" s="3" t="e">
        <v>#N/A</v>
      </c>
      <c r="BI1142" s="3" t="e">
        <v>#N/A</v>
      </c>
      <c r="BJ1142" s="3" t="e">
        <v>#N/A</v>
      </c>
      <c r="BK1142" s="3" t="e">
        <v>#N/A</v>
      </c>
      <c r="BL1142" s="3" t="e">
        <v>#N/A</v>
      </c>
      <c r="BM1142" s="3" t="e">
        <v>#N/A</v>
      </c>
      <c r="BN1142" s="3" t="e">
        <v>#N/A</v>
      </c>
    </row>
    <row r="1143" spans="1:66" x14ac:dyDescent="0.35">
      <c r="A1143" s="5">
        <f t="shared" si="17"/>
        <v>45055</v>
      </c>
      <c r="B1143" t="s">
        <v>2548</v>
      </c>
      <c r="C1143" s="2">
        <v>4.25</v>
      </c>
      <c r="D1143" s="2">
        <v>4.1776999999999997</v>
      </c>
      <c r="E1143" s="3">
        <v>4.4522899000000002</v>
      </c>
      <c r="F1143" s="3">
        <v>4.5915045000000001</v>
      </c>
      <c r="G1143" s="3">
        <v>4.7100603999999997</v>
      </c>
      <c r="H1143" s="3">
        <v>4.7956820000000002</v>
      </c>
      <c r="I1143" s="3">
        <v>4.8432646000000004</v>
      </c>
      <c r="J1143" s="3">
        <v>4.8574942999999999</v>
      </c>
      <c r="K1143" s="3">
        <v>4.8443478999999998</v>
      </c>
      <c r="L1143" s="3">
        <v>4.8112803</v>
      </c>
      <c r="M1143" s="3">
        <v>4.7650898000000002</v>
      </c>
      <c r="N1143" s="3">
        <v>4.7112866999999996</v>
      </c>
      <c r="O1143" s="3">
        <v>4.6537329999999999</v>
      </c>
      <c r="P1143" s="3">
        <v>4.5946064</v>
      </c>
      <c r="Q1143" s="3">
        <v>4.5353081</v>
      </c>
      <c r="R1143" s="3">
        <v>4.4764797999999999</v>
      </c>
      <c r="S1143" s="3">
        <v>4.4185720999999996</v>
      </c>
      <c r="T1143" s="3">
        <v>4.3620336000000002</v>
      </c>
      <c r="U1143" s="3">
        <v>4.3073126999999998</v>
      </c>
      <c r="V1143" s="3">
        <v>4.2548601000000001</v>
      </c>
      <c r="W1143" s="3">
        <v>4.2050695999999999</v>
      </c>
      <c r="X1143" s="3">
        <v>4.1579929</v>
      </c>
      <c r="Y1143" s="3">
        <v>4.1135507999999996</v>
      </c>
      <c r="Z1143" s="3">
        <v>4.0716622999999998</v>
      </c>
      <c r="AA1143" s="3">
        <v>4.0322464</v>
      </c>
      <c r="AB1143" s="3">
        <v>3.9952234</v>
      </c>
      <c r="AC1143" s="3">
        <v>3.9605055999999998</v>
      </c>
      <c r="AD1143" s="3">
        <v>3.9279760000000001</v>
      </c>
      <c r="AE1143" s="3">
        <v>3.8975100999999999</v>
      </c>
      <c r="AF1143" s="3">
        <v>3.8689827000000001</v>
      </c>
      <c r="AG1143" s="3">
        <v>3.8422684999999999</v>
      </c>
      <c r="AH1143" s="3">
        <v>3.8172429999999999</v>
      </c>
      <c r="AI1143" s="3">
        <v>3.7937810999999999</v>
      </c>
      <c r="AJ1143" s="3">
        <v>3.7717573</v>
      </c>
      <c r="AK1143" s="3">
        <v>3.7510474</v>
      </c>
      <c r="AL1143" s="3">
        <v>3.7315258999999998</v>
      </c>
      <c r="AM1143" s="3">
        <v>3.7130676999999999</v>
      </c>
      <c r="AN1143" s="3">
        <v>3.6955483999999998</v>
      </c>
      <c r="AO1143" s="3">
        <v>3.6788539999999998</v>
      </c>
      <c r="AP1143" s="3">
        <v>3.6629326999999998</v>
      </c>
      <c r="AQ1143" s="3">
        <v>3.6477539000000001</v>
      </c>
      <c r="AR1143" s="3">
        <v>3.6332863</v>
      </c>
      <c r="AS1143" s="3">
        <v>3.6194988000000001</v>
      </c>
      <c r="AT1143" s="3">
        <v>3.6063607000000002</v>
      </c>
      <c r="AU1143" s="3">
        <v>3.5938409</v>
      </c>
      <c r="AV1143" s="3">
        <v>3.5819081000000002</v>
      </c>
      <c r="AW1143" s="3">
        <v>3.5705317000000001</v>
      </c>
      <c r="AX1143" s="3">
        <v>3.5596806000000001</v>
      </c>
      <c r="AY1143" s="3">
        <v>3.5493234</v>
      </c>
      <c r="AZ1143" s="3">
        <v>3.5394296999999999</v>
      </c>
      <c r="BA1143" s="3">
        <v>3.5299716999999999</v>
      </c>
      <c r="BB1143" s="3">
        <v>3.5209396000000002</v>
      </c>
      <c r="BC1143" s="3">
        <v>3.5123291999999999</v>
      </c>
      <c r="BD1143" s="3">
        <v>3.5041359999999999</v>
      </c>
      <c r="BE1143" s="3">
        <v>3.4963554000000001</v>
      </c>
      <c r="BF1143" s="3">
        <v>3.4889831</v>
      </c>
      <c r="BG1143" s="3">
        <v>3.4820147000000001</v>
      </c>
      <c r="BH1143" s="3">
        <v>3.4754456999999999</v>
      </c>
      <c r="BI1143" s="3">
        <v>3.4692717000000002</v>
      </c>
      <c r="BJ1143" s="3">
        <v>3.4634882999999999</v>
      </c>
      <c r="BK1143" s="3">
        <v>3.458091</v>
      </c>
      <c r="BL1143" s="3">
        <v>3.4530753999999999</v>
      </c>
      <c r="BM1143" s="3">
        <v>3.4307240000000001</v>
      </c>
      <c r="BN1143" s="3">
        <v>3.4208425</v>
      </c>
    </row>
    <row r="1144" spans="1:66" x14ac:dyDescent="0.35">
      <c r="A1144" s="5">
        <f t="shared" si="17"/>
        <v>45056</v>
      </c>
      <c r="B1144" t="s">
        <v>2549</v>
      </c>
      <c r="C1144" s="2">
        <v>4.25</v>
      </c>
      <c r="D1144" s="2">
        <v>4.1775000000000002</v>
      </c>
      <c r="E1144" s="3">
        <v>4.4572539000000004</v>
      </c>
      <c r="F1144" s="3">
        <v>4.5862267000000001</v>
      </c>
      <c r="G1144" s="3">
        <v>4.6952574</v>
      </c>
      <c r="H1144" s="3">
        <v>4.7727126999999996</v>
      </c>
      <c r="I1144" s="3">
        <v>4.8137790000000003</v>
      </c>
      <c r="J1144" s="3">
        <v>4.8220418</v>
      </c>
      <c r="K1144" s="3">
        <v>4.8029257999999997</v>
      </c>
      <c r="L1144" s="3">
        <v>4.7635833999999999</v>
      </c>
      <c r="M1144" s="3">
        <v>4.7110022000000003</v>
      </c>
      <c r="N1144" s="3">
        <v>4.6508019000000003</v>
      </c>
      <c r="O1144" s="3">
        <v>4.5872745999999998</v>
      </c>
      <c r="P1144" s="3">
        <v>4.5229109999999997</v>
      </c>
      <c r="Q1144" s="3">
        <v>4.4595867</v>
      </c>
      <c r="R1144" s="3">
        <v>4.3978776000000002</v>
      </c>
      <c r="S1144" s="3">
        <v>4.3379902000000001</v>
      </c>
      <c r="T1144" s="3">
        <v>4.2801292999999996</v>
      </c>
      <c r="U1144" s="3">
        <v>4.2244995000000003</v>
      </c>
      <c r="V1144" s="3">
        <v>4.1713073999999999</v>
      </c>
      <c r="W1144" s="3">
        <v>4.1207355000000003</v>
      </c>
      <c r="X1144" s="3">
        <v>4.0728413000000003</v>
      </c>
      <c r="Y1144" s="3">
        <v>4.0276401000000002</v>
      </c>
      <c r="Z1144" s="3">
        <v>3.9851451999999998</v>
      </c>
      <c r="AA1144" s="3">
        <v>3.9453700999999999</v>
      </c>
      <c r="AB1144" s="3">
        <v>3.9083299</v>
      </c>
      <c r="AC1144" s="3">
        <v>3.8740155000000001</v>
      </c>
      <c r="AD1144" s="3">
        <v>3.8422976000000002</v>
      </c>
      <c r="AE1144" s="3">
        <v>3.8130071999999999</v>
      </c>
      <c r="AF1144" s="3">
        <v>3.7859742999999999</v>
      </c>
      <c r="AG1144" s="3">
        <v>3.7610291</v>
      </c>
      <c r="AH1144" s="3">
        <v>3.7380024000000001</v>
      </c>
      <c r="AI1144" s="3">
        <v>3.7167243000000001</v>
      </c>
      <c r="AJ1144" s="3">
        <v>3.6970250999999998</v>
      </c>
      <c r="AK1144" s="3">
        <v>3.6787353999999999</v>
      </c>
      <c r="AL1144" s="3">
        <v>3.6616854999999999</v>
      </c>
      <c r="AM1144" s="3">
        <v>3.6457055</v>
      </c>
      <c r="AN1144" s="3">
        <v>3.6306262</v>
      </c>
      <c r="AO1144" s="3">
        <v>3.6162953</v>
      </c>
      <c r="AP1144" s="3">
        <v>3.6026468999999999</v>
      </c>
      <c r="AQ1144" s="3">
        <v>3.5896412999999998</v>
      </c>
      <c r="AR1144" s="3">
        <v>3.5772387999999999</v>
      </c>
      <c r="AS1144" s="3">
        <v>3.5653991999999999</v>
      </c>
      <c r="AT1144" s="3">
        <v>3.5540832</v>
      </c>
      <c r="AU1144" s="3">
        <v>3.5432508</v>
      </c>
      <c r="AV1144" s="3">
        <v>3.5328621999999998</v>
      </c>
      <c r="AW1144" s="3">
        <v>3.5228777</v>
      </c>
      <c r="AX1144" s="3">
        <v>3.5132574000000001</v>
      </c>
      <c r="AY1144" s="3">
        <v>3.5039615999999998</v>
      </c>
      <c r="AZ1144" s="3">
        <v>3.4949506000000001</v>
      </c>
      <c r="BA1144" s="3">
        <v>3.4861917999999998</v>
      </c>
      <c r="BB1144" s="3">
        <v>3.4776851999999998</v>
      </c>
      <c r="BC1144" s="3">
        <v>3.4694395999999998</v>
      </c>
      <c r="BD1144" s="3">
        <v>3.4614639999999999</v>
      </c>
      <c r="BE1144" s="3">
        <v>3.4537670999999999</v>
      </c>
      <c r="BF1144" s="3">
        <v>3.4463579000000002</v>
      </c>
      <c r="BG1144" s="3">
        <v>3.4392451999999998</v>
      </c>
      <c r="BH1144" s="3">
        <v>3.4324378000000002</v>
      </c>
      <c r="BI1144" s="3">
        <v>3.4259447000000001</v>
      </c>
      <c r="BJ1144" s="3">
        <v>3.4197747000000001</v>
      </c>
      <c r="BK1144" s="3">
        <v>3.4139365000000002</v>
      </c>
      <c r="BL1144" s="3">
        <v>3.4084392999999999</v>
      </c>
      <c r="BM1144" s="3">
        <v>3.3827419999999999</v>
      </c>
      <c r="BN1144" s="3">
        <v>3.3692975999999999</v>
      </c>
    </row>
    <row r="1145" spans="1:66" x14ac:dyDescent="0.35">
      <c r="A1145" s="5">
        <f t="shared" si="17"/>
        <v>45057</v>
      </c>
      <c r="B1145" t="s">
        <v>2550</v>
      </c>
      <c r="C1145" s="2">
        <v>4.5</v>
      </c>
      <c r="D1145" s="2">
        <v>4.4273999999999996</v>
      </c>
      <c r="E1145" s="3">
        <v>4.4619768000000004</v>
      </c>
      <c r="F1145" s="3">
        <v>4.5879808999999998</v>
      </c>
      <c r="G1145" s="3">
        <v>4.6942665000000003</v>
      </c>
      <c r="H1145" s="3">
        <v>4.7680601999999999</v>
      </c>
      <c r="I1145" s="3">
        <v>4.8053698999999996</v>
      </c>
      <c r="J1145" s="3">
        <v>4.8087491</v>
      </c>
      <c r="K1145" s="3">
        <v>4.7835234</v>
      </c>
      <c r="L1145" s="3">
        <v>4.7352100000000004</v>
      </c>
      <c r="M1145" s="3">
        <v>4.6706868000000004</v>
      </c>
      <c r="N1145" s="3">
        <v>4.5958242</v>
      </c>
      <c r="O1145" s="3">
        <v>4.5156280000000004</v>
      </c>
      <c r="P1145" s="3">
        <v>4.4338141000000002</v>
      </c>
      <c r="Q1145" s="3">
        <v>4.3543438999999999</v>
      </c>
      <c r="R1145" s="3">
        <v>4.2785532000000002</v>
      </c>
      <c r="S1145" s="3">
        <v>4.2067845999999998</v>
      </c>
      <c r="T1145" s="3">
        <v>4.1393770999999999</v>
      </c>
      <c r="U1145" s="3">
        <v>4.07667</v>
      </c>
      <c r="V1145" s="3">
        <v>4.0190048000000003</v>
      </c>
      <c r="W1145" s="3">
        <v>3.9666177</v>
      </c>
      <c r="X1145" s="3">
        <v>3.9192178000000002</v>
      </c>
      <c r="Y1145" s="3">
        <v>3.8763472000000001</v>
      </c>
      <c r="Z1145" s="3">
        <v>3.8375463999999999</v>
      </c>
      <c r="AA1145" s="3">
        <v>3.8023560999999999</v>
      </c>
      <c r="AB1145" s="3">
        <v>3.7703180000000001</v>
      </c>
      <c r="AC1145" s="3">
        <v>3.7410087000000001</v>
      </c>
      <c r="AD1145" s="3">
        <v>3.7141809000000001</v>
      </c>
      <c r="AE1145" s="3">
        <v>3.6896415</v>
      </c>
      <c r="AF1145" s="3">
        <v>3.6671965000000002</v>
      </c>
      <c r="AG1145" s="3">
        <v>3.6466517999999999</v>
      </c>
      <c r="AH1145" s="3">
        <v>3.6278144999999999</v>
      </c>
      <c r="AI1145" s="3">
        <v>3.6104904000000002</v>
      </c>
      <c r="AJ1145" s="3">
        <v>3.5944858000000002</v>
      </c>
      <c r="AK1145" s="3">
        <v>3.5796074</v>
      </c>
      <c r="AL1145" s="3">
        <v>3.5656612999999999</v>
      </c>
      <c r="AM1145" s="3">
        <v>3.5524536000000002</v>
      </c>
      <c r="AN1145" s="3">
        <v>3.5397911</v>
      </c>
      <c r="AO1145" s="3">
        <v>3.5275072999999999</v>
      </c>
      <c r="AP1145" s="3">
        <v>3.5155580999999998</v>
      </c>
      <c r="AQ1145" s="3">
        <v>3.5039330999999998</v>
      </c>
      <c r="AR1145" s="3">
        <v>3.4926216000000001</v>
      </c>
      <c r="AS1145" s="3">
        <v>3.4816129</v>
      </c>
      <c r="AT1145" s="3">
        <v>3.4708966000000001</v>
      </c>
      <c r="AU1145" s="3">
        <v>3.4604621</v>
      </c>
      <c r="AV1145" s="3">
        <v>3.4502985000000002</v>
      </c>
      <c r="AW1145" s="3">
        <v>3.4403956999999998</v>
      </c>
      <c r="AX1145" s="3">
        <v>3.4307428999999998</v>
      </c>
      <c r="AY1145" s="3">
        <v>3.4213293</v>
      </c>
      <c r="AZ1145" s="3">
        <v>3.4121446999999998</v>
      </c>
      <c r="BA1145" s="3">
        <v>3.4031820000000002</v>
      </c>
      <c r="BB1145" s="3">
        <v>3.3944505999999999</v>
      </c>
      <c r="BC1145" s="3">
        <v>3.3859645999999999</v>
      </c>
      <c r="BD1145" s="3">
        <v>3.3777377999999998</v>
      </c>
      <c r="BE1145" s="3">
        <v>3.3697840999999999</v>
      </c>
      <c r="BF1145" s="3">
        <v>3.3621175999999999</v>
      </c>
      <c r="BG1145" s="3">
        <v>3.3547522000000001</v>
      </c>
      <c r="BH1145" s="3">
        <v>3.3477017</v>
      </c>
      <c r="BI1145" s="3">
        <v>3.3409802000000002</v>
      </c>
      <c r="BJ1145" s="3">
        <v>3.3346015000000002</v>
      </c>
      <c r="BK1145" s="3">
        <v>3.3285797000000001</v>
      </c>
      <c r="BL1145" s="3">
        <v>3.3229286</v>
      </c>
      <c r="BM1145" s="3">
        <v>3.2970993000000002</v>
      </c>
      <c r="BN1145" s="3">
        <v>3.2851298</v>
      </c>
    </row>
    <row r="1146" spans="1:66" x14ac:dyDescent="0.35">
      <c r="A1146" s="5">
        <f t="shared" si="17"/>
        <v>45058</v>
      </c>
      <c r="B1146" t="s">
        <v>2552</v>
      </c>
      <c r="C1146" s="2">
        <v>4.5</v>
      </c>
      <c r="D1146" s="2">
        <v>4.4276999999999997</v>
      </c>
      <c r="E1146" s="3">
        <v>4.4681797999999997</v>
      </c>
      <c r="F1146" s="3">
        <v>4.6102192000000004</v>
      </c>
      <c r="G1146" s="3">
        <v>4.7250576999999998</v>
      </c>
      <c r="H1146" s="3">
        <v>4.8054592999999999</v>
      </c>
      <c r="I1146" s="3">
        <v>4.8489839999999997</v>
      </c>
      <c r="J1146" s="3">
        <v>4.8585637999999998</v>
      </c>
      <c r="K1146" s="3">
        <v>4.8393807999999998</v>
      </c>
      <c r="L1146" s="3">
        <v>4.7976331999999999</v>
      </c>
      <c r="M1146" s="3">
        <v>4.7401717000000003</v>
      </c>
      <c r="N1146" s="3">
        <v>4.6729696000000001</v>
      </c>
      <c r="O1146" s="3">
        <v>4.6007866000000002</v>
      </c>
      <c r="P1146" s="3">
        <v>4.5270185999999999</v>
      </c>
      <c r="Q1146" s="3">
        <v>4.4546815999999998</v>
      </c>
      <c r="R1146" s="3">
        <v>4.3847999</v>
      </c>
      <c r="S1146" s="3">
        <v>4.3177611999999996</v>
      </c>
      <c r="T1146" s="3">
        <v>4.2539503999999999</v>
      </c>
      <c r="U1146" s="3">
        <v>4.1937527000000001</v>
      </c>
      <c r="V1146" s="3">
        <v>4.1375554000000001</v>
      </c>
      <c r="W1146" s="3">
        <v>4.0856513000000003</v>
      </c>
      <c r="X1146" s="3">
        <v>4.0378607000000004</v>
      </c>
      <c r="Y1146" s="3">
        <v>3.9938547</v>
      </c>
      <c r="Z1146" s="3">
        <v>3.9533027999999999</v>
      </c>
      <c r="AA1146" s="3">
        <v>3.9158742000000002</v>
      </c>
      <c r="AB1146" s="3">
        <v>3.8812399000000002</v>
      </c>
      <c r="AC1146" s="3">
        <v>3.8490947000000002</v>
      </c>
      <c r="AD1146" s="3">
        <v>3.8192455000000001</v>
      </c>
      <c r="AE1146" s="3">
        <v>3.7915315000000001</v>
      </c>
      <c r="AF1146" s="3">
        <v>3.7657904000000002</v>
      </c>
      <c r="AG1146" s="3">
        <v>3.7418604000000002</v>
      </c>
      <c r="AH1146" s="3">
        <v>3.7195801999999998</v>
      </c>
      <c r="AI1146" s="3">
        <v>3.698788</v>
      </c>
      <c r="AJ1146" s="3">
        <v>3.6793217</v>
      </c>
      <c r="AK1146" s="3">
        <v>3.6610201</v>
      </c>
      <c r="AL1146" s="3">
        <v>3.6437213000000002</v>
      </c>
      <c r="AM1146" s="3">
        <v>3.6272633000000001</v>
      </c>
      <c r="AN1146" s="3">
        <v>3.6114849000000002</v>
      </c>
      <c r="AO1146" s="3">
        <v>3.5962464999999999</v>
      </c>
      <c r="AP1146" s="3">
        <v>3.5815073000000002</v>
      </c>
      <c r="AQ1146" s="3">
        <v>3.5672543000000001</v>
      </c>
      <c r="AR1146" s="3">
        <v>3.5534739000000002</v>
      </c>
      <c r="AS1146" s="3">
        <v>3.5401525999999999</v>
      </c>
      <c r="AT1146" s="3">
        <v>3.5272771999999999</v>
      </c>
      <c r="AU1146" s="3">
        <v>3.5148343999999998</v>
      </c>
      <c r="AV1146" s="3">
        <v>3.5028104999999998</v>
      </c>
      <c r="AW1146" s="3">
        <v>3.4911924000000001</v>
      </c>
      <c r="AX1146" s="3">
        <v>3.4799666999999999</v>
      </c>
      <c r="AY1146" s="3">
        <v>3.4691196999999998</v>
      </c>
      <c r="AZ1146" s="3">
        <v>3.4586385000000002</v>
      </c>
      <c r="BA1146" s="3">
        <v>3.4485125000000001</v>
      </c>
      <c r="BB1146" s="3">
        <v>3.4387454000000002</v>
      </c>
      <c r="BC1146" s="3">
        <v>3.4293447000000001</v>
      </c>
      <c r="BD1146" s="3">
        <v>3.4203177999999999</v>
      </c>
      <c r="BE1146" s="3">
        <v>3.4116719999999998</v>
      </c>
      <c r="BF1146" s="3">
        <v>3.4034149999999999</v>
      </c>
      <c r="BG1146" s="3">
        <v>3.3955540000000002</v>
      </c>
      <c r="BH1146" s="3">
        <v>3.3880965000000001</v>
      </c>
      <c r="BI1146" s="3">
        <v>3.3810500000000001</v>
      </c>
      <c r="BJ1146" s="3">
        <v>3.3744219000000002</v>
      </c>
      <c r="BK1146" s="3">
        <v>3.3682196000000002</v>
      </c>
      <c r="BL1146" s="3">
        <v>3.3624505999999998</v>
      </c>
      <c r="BM1146" s="3">
        <v>3.3369718000000002</v>
      </c>
      <c r="BN1146" s="3">
        <v>3.326638</v>
      </c>
    </row>
    <row r="1147" spans="1:66" x14ac:dyDescent="0.35">
      <c r="A1147" s="5">
        <f t="shared" si="17"/>
        <v>45061</v>
      </c>
      <c r="B1147" t="s">
        <v>2553</v>
      </c>
      <c r="C1147" s="2">
        <v>4.5</v>
      </c>
      <c r="D1147" s="2">
        <v>4.4273999999999996</v>
      </c>
      <c r="E1147" s="3">
        <v>4.473687</v>
      </c>
      <c r="F1147" s="3">
        <v>4.6229579000000003</v>
      </c>
      <c r="G1147" s="3">
        <v>4.7382429000000004</v>
      </c>
      <c r="H1147" s="3">
        <v>4.8138036</v>
      </c>
      <c r="I1147" s="3">
        <v>4.8514606999999996</v>
      </c>
      <c r="J1147" s="3">
        <v>4.8564658999999999</v>
      </c>
      <c r="K1147" s="3">
        <v>4.8345839000000002</v>
      </c>
      <c r="L1147" s="3">
        <v>4.7924785999999999</v>
      </c>
      <c r="M1147" s="3">
        <v>4.7366488999999996</v>
      </c>
      <c r="N1147" s="3">
        <v>4.6726025</v>
      </c>
      <c r="O1147" s="3">
        <v>4.6045502999999997</v>
      </c>
      <c r="P1147" s="3">
        <v>4.5353364000000003</v>
      </c>
      <c r="Q1147" s="3">
        <v>4.4675427000000001</v>
      </c>
      <c r="R1147" s="3">
        <v>4.4019453000000004</v>
      </c>
      <c r="S1147" s="3">
        <v>4.3387843000000004</v>
      </c>
      <c r="T1147" s="3">
        <v>4.2782976000000001</v>
      </c>
      <c r="U1147" s="3">
        <v>4.2207229999999996</v>
      </c>
      <c r="V1147" s="3">
        <v>4.1663005999999996</v>
      </c>
      <c r="W1147" s="3">
        <v>4.1152139999999999</v>
      </c>
      <c r="X1147" s="3">
        <v>4.0673702</v>
      </c>
      <c r="Y1147" s="3">
        <v>4.0225891999999996</v>
      </c>
      <c r="Z1147" s="3">
        <v>3.9806892</v>
      </c>
      <c r="AA1147" s="3">
        <v>3.9414886999999998</v>
      </c>
      <c r="AB1147" s="3">
        <v>3.9048074000000002</v>
      </c>
      <c r="AC1147" s="3">
        <v>3.8704721000000002</v>
      </c>
      <c r="AD1147" s="3">
        <v>3.8383466999999998</v>
      </c>
      <c r="AE1147" s="3">
        <v>3.8083062999999999</v>
      </c>
      <c r="AF1147" s="3">
        <v>3.7802251999999998</v>
      </c>
      <c r="AG1147" s="3">
        <v>3.7539774000000001</v>
      </c>
      <c r="AH1147" s="3">
        <v>3.729438</v>
      </c>
      <c r="AI1147" s="3">
        <v>3.7064813000000001</v>
      </c>
      <c r="AJ1147" s="3">
        <v>3.6849813999999999</v>
      </c>
      <c r="AK1147" s="3">
        <v>3.6648133000000001</v>
      </c>
      <c r="AL1147" s="3">
        <v>3.6458512000000001</v>
      </c>
      <c r="AM1147" s="3">
        <v>3.6279694</v>
      </c>
      <c r="AN1147" s="3">
        <v>3.6110427999999999</v>
      </c>
      <c r="AO1147" s="3">
        <v>3.5949602000000001</v>
      </c>
      <c r="AP1147" s="3">
        <v>3.5796744</v>
      </c>
      <c r="AQ1147" s="3">
        <v>3.5651567000000002</v>
      </c>
      <c r="AR1147" s="3">
        <v>3.5513778</v>
      </c>
      <c r="AS1147" s="3">
        <v>3.5383081000000001</v>
      </c>
      <c r="AT1147" s="3">
        <v>3.525919</v>
      </c>
      <c r="AU1147" s="3">
        <v>3.5141808999999999</v>
      </c>
      <c r="AV1147" s="3">
        <v>3.5030646999999999</v>
      </c>
      <c r="AW1147" s="3">
        <v>3.4925413000000001</v>
      </c>
      <c r="AX1147" s="3">
        <v>3.4825813999999999</v>
      </c>
      <c r="AY1147" s="3">
        <v>3.4731557999999998</v>
      </c>
      <c r="AZ1147" s="3">
        <v>3.4642354000000002</v>
      </c>
      <c r="BA1147" s="3">
        <v>3.4557935999999998</v>
      </c>
      <c r="BB1147" s="3">
        <v>3.4478171999999998</v>
      </c>
      <c r="BC1147" s="3">
        <v>3.4402982999999998</v>
      </c>
      <c r="BD1147" s="3">
        <v>3.4332284</v>
      </c>
      <c r="BE1147" s="3">
        <v>3.4265990999999998</v>
      </c>
      <c r="BF1147" s="3">
        <v>3.4204024</v>
      </c>
      <c r="BG1147" s="3">
        <v>3.4146296999999999</v>
      </c>
      <c r="BH1147" s="3">
        <v>3.4092728999999999</v>
      </c>
      <c r="BI1147" s="3">
        <v>3.4043236000000001</v>
      </c>
      <c r="BJ1147" s="3">
        <v>3.3997736999999999</v>
      </c>
      <c r="BK1147" s="3">
        <v>3.3956146</v>
      </c>
      <c r="BL1147" s="3">
        <v>3.3918382999999999</v>
      </c>
      <c r="BM1147" s="3">
        <v>3.3767678000000001</v>
      </c>
      <c r="BN1147" s="3">
        <v>3.3734823</v>
      </c>
    </row>
    <row r="1148" spans="1:66" x14ac:dyDescent="0.35">
      <c r="A1148" s="5">
        <f t="shared" si="17"/>
        <v>45062</v>
      </c>
      <c r="B1148" t="s">
        <v>2554</v>
      </c>
      <c r="C1148" s="2">
        <v>4.5</v>
      </c>
      <c r="D1148" s="2">
        <v>4.4275000000000002</v>
      </c>
      <c r="E1148" s="3">
        <v>4.4784819000000002</v>
      </c>
      <c r="F1148" s="3">
        <v>4.6157943000000001</v>
      </c>
      <c r="G1148" s="3">
        <v>4.7196904999999996</v>
      </c>
      <c r="H1148" s="3">
        <v>4.7878667999999998</v>
      </c>
      <c r="I1148" s="3">
        <v>4.8216679999999998</v>
      </c>
      <c r="J1148" s="3">
        <v>4.8255581999999997</v>
      </c>
      <c r="K1148" s="3">
        <v>4.8040273999999998</v>
      </c>
      <c r="L1148" s="3">
        <v>4.7632726999999999</v>
      </c>
      <c r="M1148" s="3">
        <v>4.7094196000000004</v>
      </c>
      <c r="N1148" s="3">
        <v>4.6479115999999996</v>
      </c>
      <c r="O1148" s="3">
        <v>4.5830166999999999</v>
      </c>
      <c r="P1148" s="3">
        <v>4.5174840999999999</v>
      </c>
      <c r="Q1148" s="3">
        <v>4.4532955000000003</v>
      </c>
      <c r="R1148" s="3">
        <v>4.391051</v>
      </c>
      <c r="S1148" s="3">
        <v>4.3309766999999999</v>
      </c>
      <c r="T1148" s="3">
        <v>4.2732960000000002</v>
      </c>
      <c r="U1148" s="3">
        <v>4.2182328</v>
      </c>
      <c r="V1148" s="3">
        <v>4.1660126000000002</v>
      </c>
      <c r="W1148" s="3">
        <v>4.116822</v>
      </c>
      <c r="X1148" s="3">
        <v>4.0706142999999999</v>
      </c>
      <c r="Y1148" s="3">
        <v>4.0272544000000003</v>
      </c>
      <c r="Z1148" s="3">
        <v>3.9866052000000001</v>
      </c>
      <c r="AA1148" s="3">
        <v>3.9485298000000002</v>
      </c>
      <c r="AB1148" s="3">
        <v>3.9128926000000002</v>
      </c>
      <c r="AC1148" s="3">
        <v>3.8795568999999999</v>
      </c>
      <c r="AD1148" s="3">
        <v>3.8483871000000001</v>
      </c>
      <c r="AE1148" s="3">
        <v>3.8192491</v>
      </c>
      <c r="AF1148" s="3">
        <v>3.7920077000000001</v>
      </c>
      <c r="AG1148" s="3">
        <v>3.7665275999999999</v>
      </c>
      <c r="AH1148" s="3">
        <v>3.7426745000000001</v>
      </c>
      <c r="AI1148" s="3">
        <v>3.7203132999999999</v>
      </c>
      <c r="AJ1148" s="3">
        <v>3.6993087</v>
      </c>
      <c r="AK1148" s="3">
        <v>3.6795265000000001</v>
      </c>
      <c r="AL1148" s="3">
        <v>3.6608314000000002</v>
      </c>
      <c r="AM1148" s="3">
        <v>3.6430883999999999</v>
      </c>
      <c r="AN1148" s="3">
        <v>3.626163</v>
      </c>
      <c r="AO1148" s="3">
        <v>3.6099334000000001</v>
      </c>
      <c r="AP1148" s="3">
        <v>3.5943502000000001</v>
      </c>
      <c r="AQ1148" s="3">
        <v>3.5793887</v>
      </c>
      <c r="AR1148" s="3">
        <v>3.5650236</v>
      </c>
      <c r="AS1148" s="3">
        <v>3.5512296999999999</v>
      </c>
      <c r="AT1148" s="3">
        <v>3.5379820999999998</v>
      </c>
      <c r="AU1148" s="3">
        <v>3.5252557000000002</v>
      </c>
      <c r="AV1148" s="3">
        <v>3.5130252</v>
      </c>
      <c r="AW1148" s="3">
        <v>3.5012658999999999</v>
      </c>
      <c r="AX1148" s="3">
        <v>3.4899524</v>
      </c>
      <c r="AY1148" s="3">
        <v>3.4790597000000001</v>
      </c>
      <c r="AZ1148" s="3">
        <v>3.4685627999999999</v>
      </c>
      <c r="BA1148" s="3">
        <v>3.4584412000000002</v>
      </c>
      <c r="BB1148" s="3">
        <v>3.4486967000000002</v>
      </c>
      <c r="BC1148" s="3">
        <v>3.4393383000000002</v>
      </c>
      <c r="BD1148" s="3">
        <v>3.4303745999999999</v>
      </c>
      <c r="BE1148" s="3">
        <v>3.4218142999999999</v>
      </c>
      <c r="BF1148" s="3">
        <v>3.4136663999999999</v>
      </c>
      <c r="BG1148" s="3">
        <v>3.4059395000000001</v>
      </c>
      <c r="BH1148" s="3">
        <v>3.3986423000000001</v>
      </c>
      <c r="BI1148" s="3">
        <v>3.3917837</v>
      </c>
      <c r="BJ1148" s="3">
        <v>3.3853724999999999</v>
      </c>
      <c r="BK1148" s="3">
        <v>3.3794173000000001</v>
      </c>
      <c r="BL1148" s="3">
        <v>3.3739270000000001</v>
      </c>
      <c r="BM1148" s="3">
        <v>3.3507163000000002</v>
      </c>
      <c r="BN1148" s="3">
        <v>3.3432491</v>
      </c>
    </row>
    <row r="1149" spans="1:66" x14ac:dyDescent="0.35">
      <c r="A1149" s="5">
        <f t="shared" si="17"/>
        <v>45063</v>
      </c>
      <c r="B1149" t="s">
        <v>2555</v>
      </c>
      <c r="C1149" s="2">
        <v>4.5</v>
      </c>
      <c r="D1149" s="2">
        <v>4.4273999999999996</v>
      </c>
      <c r="E1149" s="3">
        <v>4.4753340000000001</v>
      </c>
      <c r="F1149" s="3">
        <v>4.6178521000000003</v>
      </c>
      <c r="G1149" s="3">
        <v>4.7247465999999996</v>
      </c>
      <c r="H1149" s="3">
        <v>4.7938875999999997</v>
      </c>
      <c r="I1149" s="3">
        <v>4.8284098000000002</v>
      </c>
      <c r="J1149" s="3">
        <v>4.8339274999999997</v>
      </c>
      <c r="K1149" s="3">
        <v>4.8160081999999997</v>
      </c>
      <c r="L1149" s="3">
        <v>4.7809911999999999</v>
      </c>
      <c r="M1149" s="3">
        <v>4.7346665999999997</v>
      </c>
      <c r="N1149" s="3">
        <v>4.6815601999999998</v>
      </c>
      <c r="O1149" s="3">
        <v>4.6251366000000003</v>
      </c>
      <c r="P1149" s="3">
        <v>4.5673363</v>
      </c>
      <c r="Q1149" s="3">
        <v>4.5091124000000002</v>
      </c>
      <c r="R1149" s="3">
        <v>4.4509333</v>
      </c>
      <c r="S1149" s="3">
        <v>4.3931803</v>
      </c>
      <c r="T1149" s="3">
        <v>4.3362325999999998</v>
      </c>
      <c r="U1149" s="3">
        <v>4.2804693</v>
      </c>
      <c r="V1149" s="3">
        <v>4.2262716999999999</v>
      </c>
      <c r="W1149" s="3">
        <v>4.1739923000000001</v>
      </c>
      <c r="X1149" s="3">
        <v>4.1238326000000001</v>
      </c>
      <c r="Y1149" s="3">
        <v>4.0759426999999997</v>
      </c>
      <c r="Z1149" s="3">
        <v>4.0304709000000001</v>
      </c>
      <c r="AA1149" s="3">
        <v>3.9875655999999999</v>
      </c>
      <c r="AB1149" s="3">
        <v>3.9473767999999998</v>
      </c>
      <c r="AC1149" s="3">
        <v>3.910015</v>
      </c>
      <c r="AD1149" s="3">
        <v>3.8753879000000002</v>
      </c>
      <c r="AE1149" s="3">
        <v>3.8433362999999998</v>
      </c>
      <c r="AF1149" s="3">
        <v>3.8136994999999998</v>
      </c>
      <c r="AG1149" s="3">
        <v>3.7863172999999999</v>
      </c>
      <c r="AH1149" s="3">
        <v>3.7610301000000002</v>
      </c>
      <c r="AI1149" s="3">
        <v>3.7376773999999999</v>
      </c>
      <c r="AJ1149" s="3">
        <v>3.7160989999999998</v>
      </c>
      <c r="AK1149" s="3">
        <v>3.6961350999999998</v>
      </c>
      <c r="AL1149" s="3">
        <v>3.6776255</v>
      </c>
      <c r="AM1149" s="3">
        <v>3.6604098</v>
      </c>
      <c r="AN1149" s="3">
        <v>3.6443283000000002</v>
      </c>
      <c r="AO1149" s="3">
        <v>3.6292346000000002</v>
      </c>
      <c r="AP1149" s="3">
        <v>3.6150505000000002</v>
      </c>
      <c r="AQ1149" s="3">
        <v>3.6017191</v>
      </c>
      <c r="AR1149" s="3">
        <v>3.5891826</v>
      </c>
      <c r="AS1149" s="3">
        <v>3.5773837999999998</v>
      </c>
      <c r="AT1149" s="3">
        <v>3.5662653999999998</v>
      </c>
      <c r="AU1149" s="3">
        <v>3.5557699999999999</v>
      </c>
      <c r="AV1149" s="3">
        <v>3.5458400999999999</v>
      </c>
      <c r="AW1149" s="3">
        <v>3.5364184999999999</v>
      </c>
      <c r="AX1149" s="3">
        <v>3.5274478999999999</v>
      </c>
      <c r="AY1149" s="3">
        <v>3.5188708000000002</v>
      </c>
      <c r="AZ1149" s="3">
        <v>3.5106299000000001</v>
      </c>
      <c r="BA1149" s="3">
        <v>3.5026763999999999</v>
      </c>
      <c r="BB1149" s="3">
        <v>3.4949992000000001</v>
      </c>
      <c r="BC1149" s="3">
        <v>3.4875975000000001</v>
      </c>
      <c r="BD1149" s="3">
        <v>3.4804708</v>
      </c>
      <c r="BE1149" s="3">
        <v>3.4736180999999999</v>
      </c>
      <c r="BF1149" s="3">
        <v>3.4670390000000002</v>
      </c>
      <c r="BG1149" s="3">
        <v>3.4607326</v>
      </c>
      <c r="BH1149" s="3">
        <v>3.4546983</v>
      </c>
      <c r="BI1149" s="3">
        <v>3.4489353</v>
      </c>
      <c r="BJ1149" s="3">
        <v>3.4434431000000001</v>
      </c>
      <c r="BK1149" s="3">
        <v>3.4382207</v>
      </c>
      <c r="BL1149" s="3">
        <v>3.4332676000000002</v>
      </c>
      <c r="BM1149" s="3">
        <v>3.4092796999999999</v>
      </c>
      <c r="BN1149" s="3">
        <v>3.3955166999999999</v>
      </c>
    </row>
    <row r="1150" spans="1:66" x14ac:dyDescent="0.35">
      <c r="A1150" s="5">
        <f t="shared" si="17"/>
        <v>45064</v>
      </c>
      <c r="B1150" t="s">
        <v>2556</v>
      </c>
      <c r="C1150" s="2">
        <v>4.5</v>
      </c>
      <c r="D1150" s="2">
        <v>4.4276</v>
      </c>
      <c r="E1150" s="3">
        <v>4.4881712</v>
      </c>
      <c r="F1150" s="3">
        <v>4.6444687</v>
      </c>
      <c r="G1150" s="3">
        <v>4.7570413</v>
      </c>
      <c r="H1150" s="3">
        <v>4.8303586000000003</v>
      </c>
      <c r="I1150" s="3">
        <v>4.8714465000000002</v>
      </c>
      <c r="J1150" s="3">
        <v>4.8856219000000003</v>
      </c>
      <c r="K1150" s="3">
        <v>4.8775259999999996</v>
      </c>
      <c r="L1150" s="3">
        <v>4.8510287999999999</v>
      </c>
      <c r="M1150" s="3">
        <v>4.8113744000000001</v>
      </c>
      <c r="N1150" s="3">
        <v>4.7626925</v>
      </c>
      <c r="O1150" s="3">
        <v>4.7080855000000001</v>
      </c>
      <c r="P1150" s="3">
        <v>4.6497411</v>
      </c>
      <c r="Q1150" s="3">
        <v>4.5902301000000003</v>
      </c>
      <c r="R1150" s="3">
        <v>4.5307380000000004</v>
      </c>
      <c r="S1150" s="3">
        <v>4.4718951000000002</v>
      </c>
      <c r="T1150" s="3">
        <v>4.4143296999999997</v>
      </c>
      <c r="U1150" s="3">
        <v>4.3586695999999998</v>
      </c>
      <c r="V1150" s="3">
        <v>4.3055450999999998</v>
      </c>
      <c r="W1150" s="3">
        <v>4.2554853000000001</v>
      </c>
      <c r="X1150" s="3">
        <v>4.2085138999999998</v>
      </c>
      <c r="Y1150" s="3">
        <v>4.1644946999999997</v>
      </c>
      <c r="Z1150" s="3">
        <v>4.1232895999999997</v>
      </c>
      <c r="AA1150" s="3">
        <v>4.0847607000000004</v>
      </c>
      <c r="AB1150" s="3">
        <v>4.0487713999999997</v>
      </c>
      <c r="AC1150" s="3">
        <v>4.0151833000000003</v>
      </c>
      <c r="AD1150" s="3">
        <v>3.9838548999999999</v>
      </c>
      <c r="AE1150" s="3">
        <v>3.9546450000000002</v>
      </c>
      <c r="AF1150" s="3">
        <v>3.9274114</v>
      </c>
      <c r="AG1150" s="3">
        <v>3.9020119000000002</v>
      </c>
      <c r="AH1150" s="3">
        <v>3.8783050999999999</v>
      </c>
      <c r="AI1150" s="3">
        <v>3.8561486999999999</v>
      </c>
      <c r="AJ1150" s="3">
        <v>3.8354007999999999</v>
      </c>
      <c r="AK1150" s="3">
        <v>3.8159196999999998</v>
      </c>
      <c r="AL1150" s="3">
        <v>3.7975634</v>
      </c>
      <c r="AM1150" s="3">
        <v>3.7801898</v>
      </c>
      <c r="AN1150" s="3">
        <v>3.7636571999999999</v>
      </c>
      <c r="AO1150" s="3">
        <v>3.7478410000000002</v>
      </c>
      <c r="AP1150" s="3">
        <v>3.7326923999999999</v>
      </c>
      <c r="AQ1150" s="3">
        <v>3.7181847000000001</v>
      </c>
      <c r="AR1150" s="3">
        <v>3.7042904000000001</v>
      </c>
      <c r="AS1150" s="3">
        <v>3.6909819000000001</v>
      </c>
      <c r="AT1150" s="3">
        <v>3.6782322999999999</v>
      </c>
      <c r="AU1150" s="3">
        <v>3.6660140999999999</v>
      </c>
      <c r="AV1150" s="3">
        <v>3.6542998999999998</v>
      </c>
      <c r="AW1150" s="3">
        <v>3.6430625999999999</v>
      </c>
      <c r="AX1150" s="3">
        <v>3.6322749000000001</v>
      </c>
      <c r="AY1150" s="3">
        <v>3.6219092000000002</v>
      </c>
      <c r="AZ1150" s="3">
        <v>3.6119387000000001</v>
      </c>
      <c r="BA1150" s="3">
        <v>3.6023404000000001</v>
      </c>
      <c r="BB1150" s="3">
        <v>3.5931128000000001</v>
      </c>
      <c r="BC1150" s="3">
        <v>3.5842602000000001</v>
      </c>
      <c r="BD1150" s="3">
        <v>3.5757867000000001</v>
      </c>
      <c r="BE1150" s="3">
        <v>3.5676961999999999</v>
      </c>
      <c r="BF1150" s="3">
        <v>3.5599932000000001</v>
      </c>
      <c r="BG1150" s="3">
        <v>3.5526817999999998</v>
      </c>
      <c r="BH1150" s="3">
        <v>3.5457659000000001</v>
      </c>
      <c r="BI1150" s="3">
        <v>3.5392499000000002</v>
      </c>
      <c r="BJ1150" s="3">
        <v>3.5331380000000001</v>
      </c>
      <c r="BK1150" s="3">
        <v>3.5274340999999998</v>
      </c>
      <c r="BL1150" s="3">
        <v>3.5221426</v>
      </c>
      <c r="BM1150" s="3">
        <v>3.4990139</v>
      </c>
      <c r="BN1150" s="3">
        <v>3.4901165000000001</v>
      </c>
    </row>
    <row r="1151" spans="1:66" x14ac:dyDescent="0.35">
      <c r="A1151" s="5">
        <f t="shared" si="17"/>
        <v>45065</v>
      </c>
      <c r="B1151" t="s">
        <v>2557</v>
      </c>
      <c r="C1151" s="2">
        <v>4.5</v>
      </c>
      <c r="D1151" s="2">
        <v>4.4273999999999996</v>
      </c>
      <c r="E1151" s="3">
        <v>4.4897755999999998</v>
      </c>
      <c r="F1151" s="3">
        <v>4.6438819999999996</v>
      </c>
      <c r="G1151" s="3">
        <v>4.7577623999999998</v>
      </c>
      <c r="H1151" s="3">
        <v>4.8325279999999999</v>
      </c>
      <c r="I1151" s="3">
        <v>4.8745513000000003</v>
      </c>
      <c r="J1151" s="3">
        <v>4.8898216000000003</v>
      </c>
      <c r="K1151" s="3">
        <v>4.8836094000000001</v>
      </c>
      <c r="L1151" s="3">
        <v>4.8605986000000003</v>
      </c>
      <c r="M1151" s="3">
        <v>4.8254267999999998</v>
      </c>
      <c r="N1151" s="3">
        <v>4.7820609000000003</v>
      </c>
      <c r="O1151" s="3">
        <v>4.7337069999999999</v>
      </c>
      <c r="P1151" s="3">
        <v>4.6826153000000001</v>
      </c>
      <c r="Q1151" s="3">
        <v>4.6303882999999999</v>
      </c>
      <c r="R1151" s="3">
        <v>4.5777733999999999</v>
      </c>
      <c r="S1151" s="3">
        <v>4.5252843</v>
      </c>
      <c r="T1151" s="3">
        <v>4.4734331000000003</v>
      </c>
      <c r="U1151" s="3">
        <v>4.4227315000000003</v>
      </c>
      <c r="V1151" s="3">
        <v>4.3736933000000002</v>
      </c>
      <c r="W1151" s="3">
        <v>4.3267626000000003</v>
      </c>
      <c r="X1151" s="3">
        <v>4.2820359000000003</v>
      </c>
      <c r="Y1151" s="3">
        <v>4.2395003000000004</v>
      </c>
      <c r="Z1151" s="3">
        <v>4.1991414000000002</v>
      </c>
      <c r="AA1151" s="3">
        <v>4.1609445999999997</v>
      </c>
      <c r="AB1151" s="3">
        <v>4.1248969999999998</v>
      </c>
      <c r="AC1151" s="3">
        <v>4.0909684000000004</v>
      </c>
      <c r="AD1151" s="3">
        <v>4.0590596000000003</v>
      </c>
      <c r="AE1151" s="3">
        <v>4.0290534999999998</v>
      </c>
      <c r="AF1151" s="3">
        <v>4.0008318000000003</v>
      </c>
      <c r="AG1151" s="3">
        <v>3.9742761</v>
      </c>
      <c r="AH1151" s="3">
        <v>3.9492693000000001</v>
      </c>
      <c r="AI1151" s="3">
        <v>3.9256931000000002</v>
      </c>
      <c r="AJ1151" s="3">
        <v>3.9034293999999998</v>
      </c>
      <c r="AK1151" s="3">
        <v>3.8823606000000002</v>
      </c>
      <c r="AL1151" s="3">
        <v>3.8623688</v>
      </c>
      <c r="AM1151" s="3">
        <v>3.8433356000000001</v>
      </c>
      <c r="AN1151" s="3">
        <v>3.8251438000000002</v>
      </c>
      <c r="AO1151" s="3">
        <v>3.8076889999999999</v>
      </c>
      <c r="AP1151" s="3">
        <v>3.7909294</v>
      </c>
      <c r="AQ1151" s="3">
        <v>3.7748404999999998</v>
      </c>
      <c r="AR1151" s="3">
        <v>3.7593974999999999</v>
      </c>
      <c r="AS1151" s="3">
        <v>3.7445753000000002</v>
      </c>
      <c r="AT1151" s="3">
        <v>3.7303495999999998</v>
      </c>
      <c r="AU1151" s="3">
        <v>3.7166953999999999</v>
      </c>
      <c r="AV1151" s="3">
        <v>3.7035879</v>
      </c>
      <c r="AW1151" s="3">
        <v>3.6910026</v>
      </c>
      <c r="AX1151" s="3">
        <v>3.6789146000000001</v>
      </c>
      <c r="AY1151" s="3">
        <v>3.6672989999999999</v>
      </c>
      <c r="AZ1151" s="3">
        <v>3.6561314</v>
      </c>
      <c r="BA1151" s="3">
        <v>3.645391</v>
      </c>
      <c r="BB1151" s="3">
        <v>3.6350761</v>
      </c>
      <c r="BC1151" s="3">
        <v>3.6251899999999999</v>
      </c>
      <c r="BD1151" s="3">
        <v>3.6157362000000002</v>
      </c>
      <c r="BE1151" s="3">
        <v>3.6067176999999999</v>
      </c>
      <c r="BF1151" s="3">
        <v>3.5981383</v>
      </c>
      <c r="BG1151" s="3">
        <v>3.590001</v>
      </c>
      <c r="BH1151" s="3">
        <v>3.5823092999999999</v>
      </c>
      <c r="BI1151" s="3">
        <v>3.5750665000000001</v>
      </c>
      <c r="BJ1151" s="3">
        <v>3.568276</v>
      </c>
      <c r="BK1151" s="3">
        <v>3.561941</v>
      </c>
      <c r="BL1151" s="3">
        <v>3.5560651000000001</v>
      </c>
      <c r="BM1151" s="3">
        <v>3.5303225</v>
      </c>
      <c r="BN1151" s="3">
        <v>3.5200303000000002</v>
      </c>
    </row>
    <row r="1152" spans="1:66" x14ac:dyDescent="0.35">
      <c r="A1152" s="5">
        <f t="shared" si="17"/>
        <v>45068</v>
      </c>
      <c r="B1152" t="s">
        <v>2558</v>
      </c>
      <c r="C1152" s="2">
        <v>4.5</v>
      </c>
      <c r="D1152" s="2">
        <v>4.4276999999999997</v>
      </c>
      <c r="E1152" s="3">
        <v>4.5001042</v>
      </c>
      <c r="F1152" s="3">
        <v>4.6692799999999997</v>
      </c>
      <c r="G1152" s="3">
        <v>4.7893246999999999</v>
      </c>
      <c r="H1152" s="3">
        <v>4.8659398999999999</v>
      </c>
      <c r="I1152" s="3">
        <v>4.9103672999999999</v>
      </c>
      <c r="J1152" s="3">
        <v>4.9300300999999997</v>
      </c>
      <c r="K1152" s="3">
        <v>4.9300267</v>
      </c>
      <c r="L1152" s="3">
        <v>4.9148734999999997</v>
      </c>
      <c r="M1152" s="3">
        <v>4.8886256000000001</v>
      </c>
      <c r="N1152" s="3">
        <v>4.8547175999999999</v>
      </c>
      <c r="O1152" s="3">
        <v>4.8157817999999999</v>
      </c>
      <c r="P1152" s="3">
        <v>4.7735364000000002</v>
      </c>
      <c r="Q1152" s="3">
        <v>4.7290570000000001</v>
      </c>
      <c r="R1152" s="3">
        <v>4.6829573</v>
      </c>
      <c r="S1152" s="3">
        <v>4.6357561</v>
      </c>
      <c r="T1152" s="3">
        <v>4.5879702</v>
      </c>
      <c r="U1152" s="3">
        <v>4.5401164999999999</v>
      </c>
      <c r="V1152" s="3">
        <v>4.4927137999999998</v>
      </c>
      <c r="W1152" s="3">
        <v>4.4462282000000002</v>
      </c>
      <c r="X1152" s="3">
        <v>4.4008662000000003</v>
      </c>
      <c r="Y1152" s="3">
        <v>4.3567527999999998</v>
      </c>
      <c r="Z1152" s="3">
        <v>4.3140114000000001</v>
      </c>
      <c r="AA1152" s="3">
        <v>4.2727653999999999</v>
      </c>
      <c r="AB1152" s="3">
        <v>4.2331399000000003</v>
      </c>
      <c r="AC1152" s="3">
        <v>4.1952299999999996</v>
      </c>
      <c r="AD1152" s="3">
        <v>4.1590059000000004</v>
      </c>
      <c r="AE1152" s="3">
        <v>4.1244050999999997</v>
      </c>
      <c r="AF1152" s="3">
        <v>4.0913633000000003</v>
      </c>
      <c r="AG1152" s="3">
        <v>4.0598166000000004</v>
      </c>
      <c r="AH1152" s="3">
        <v>4.0297020999999997</v>
      </c>
      <c r="AI1152" s="3">
        <v>4.0009556999999996</v>
      </c>
      <c r="AJ1152" s="3">
        <v>3.9735133999999999</v>
      </c>
      <c r="AK1152" s="3">
        <v>3.9473123999999999</v>
      </c>
      <c r="AL1152" s="3">
        <v>3.9222885999999999</v>
      </c>
      <c r="AM1152" s="3">
        <v>3.8983780000000001</v>
      </c>
      <c r="AN1152" s="3">
        <v>3.8755177000000001</v>
      </c>
      <c r="AO1152" s="3">
        <v>3.8536492999999998</v>
      </c>
      <c r="AP1152" s="3">
        <v>3.8327395000000002</v>
      </c>
      <c r="AQ1152" s="3">
        <v>3.8127626999999999</v>
      </c>
      <c r="AR1152" s="3">
        <v>3.7936923999999999</v>
      </c>
      <c r="AS1152" s="3">
        <v>3.7755022999999999</v>
      </c>
      <c r="AT1152" s="3">
        <v>3.7581666999999999</v>
      </c>
      <c r="AU1152" s="3">
        <v>3.7416591000000001</v>
      </c>
      <c r="AV1152" s="3">
        <v>3.7259532000000002</v>
      </c>
      <c r="AW1152" s="3">
        <v>3.7110232000000001</v>
      </c>
      <c r="AX1152" s="3">
        <v>3.6968428000000002</v>
      </c>
      <c r="AY1152" s="3">
        <v>3.6833855999999998</v>
      </c>
      <c r="AZ1152" s="3">
        <v>3.6706257999999998</v>
      </c>
      <c r="BA1152" s="3">
        <v>3.6585388000000001</v>
      </c>
      <c r="BB1152" s="3">
        <v>3.6471092000000001</v>
      </c>
      <c r="BC1152" s="3">
        <v>3.6363249</v>
      </c>
      <c r="BD1152" s="3">
        <v>3.6261736999999998</v>
      </c>
      <c r="BE1152" s="3">
        <v>3.6166431000000001</v>
      </c>
      <c r="BF1152" s="3">
        <v>3.6077213000000001</v>
      </c>
      <c r="BG1152" s="3">
        <v>3.5993957999999999</v>
      </c>
      <c r="BH1152" s="3">
        <v>3.5916543999999999</v>
      </c>
      <c r="BI1152" s="3">
        <v>3.5844851000000002</v>
      </c>
      <c r="BJ1152" s="3">
        <v>3.5778753999999999</v>
      </c>
      <c r="BK1152" s="3">
        <v>3.5718131</v>
      </c>
      <c r="BL1152" s="3">
        <v>3.5662862</v>
      </c>
      <c r="BM1152" s="3">
        <v>3.5436483999999999</v>
      </c>
      <c r="BN1152" s="3">
        <v>3.5370018999999999</v>
      </c>
    </row>
    <row r="1153" spans="1:66" x14ac:dyDescent="0.35">
      <c r="A1153" s="5">
        <f t="shared" si="17"/>
        <v>45069</v>
      </c>
      <c r="B1153" t="s">
        <v>2559</v>
      </c>
      <c r="C1153" s="2">
        <v>4.5</v>
      </c>
      <c r="D1153" s="2">
        <v>4.4284999999999997</v>
      </c>
      <c r="E1153" s="3">
        <v>4.5167405</v>
      </c>
      <c r="F1153" s="3">
        <v>4.6962567000000002</v>
      </c>
      <c r="G1153" s="3">
        <v>4.8282952999999997</v>
      </c>
      <c r="H1153" s="3">
        <v>4.9189771999999996</v>
      </c>
      <c r="I1153" s="3">
        <v>4.9759931000000002</v>
      </c>
      <c r="J1153" s="3">
        <v>5.0048196999999996</v>
      </c>
      <c r="K1153" s="3">
        <v>5.0094671999999996</v>
      </c>
      <c r="L1153" s="3">
        <v>4.9960846999999999</v>
      </c>
      <c r="M1153" s="3">
        <v>4.9700601000000004</v>
      </c>
      <c r="N1153" s="3">
        <v>4.9361654000000001</v>
      </c>
      <c r="O1153" s="3">
        <v>4.8976647</v>
      </c>
      <c r="P1153" s="3">
        <v>4.8562105000000004</v>
      </c>
      <c r="Q1153" s="3">
        <v>4.8126654000000002</v>
      </c>
      <c r="R1153" s="3">
        <v>4.7675137000000003</v>
      </c>
      <c r="S1153" s="3">
        <v>4.7211670000000003</v>
      </c>
      <c r="T1153" s="3">
        <v>4.6740351999999996</v>
      </c>
      <c r="U1153" s="3">
        <v>4.6265283000000004</v>
      </c>
      <c r="V1153" s="3">
        <v>4.5790578999999996</v>
      </c>
      <c r="W1153" s="3">
        <v>4.5320175999999996</v>
      </c>
      <c r="X1153" s="3">
        <v>4.4857000999999999</v>
      </c>
      <c r="Y1153" s="3">
        <v>4.4403604999999997</v>
      </c>
      <c r="Z1153" s="3">
        <v>4.3962522999999996</v>
      </c>
      <c r="AA1153" s="3">
        <v>4.3536288000000001</v>
      </c>
      <c r="AB1153" s="3">
        <v>4.3127449999999996</v>
      </c>
      <c r="AC1153" s="3">
        <v>4.2738053000000003</v>
      </c>
      <c r="AD1153" s="3">
        <v>4.2367983000000002</v>
      </c>
      <c r="AE1153" s="3">
        <v>4.2016540000000004</v>
      </c>
      <c r="AF1153" s="3">
        <v>4.1683010999999999</v>
      </c>
      <c r="AG1153" s="3">
        <v>4.1366686000000001</v>
      </c>
      <c r="AH1153" s="3">
        <v>4.1066864000000001</v>
      </c>
      <c r="AI1153" s="3">
        <v>4.0782834000000001</v>
      </c>
      <c r="AJ1153" s="3">
        <v>4.0513883999999996</v>
      </c>
      <c r="AK1153" s="3">
        <v>4.0259312999999999</v>
      </c>
      <c r="AL1153" s="3">
        <v>4.0018409999999998</v>
      </c>
      <c r="AM1153" s="3">
        <v>3.9790464999999999</v>
      </c>
      <c r="AN1153" s="3">
        <v>3.9574775999999998</v>
      </c>
      <c r="AO1153" s="3">
        <v>3.9370653999999998</v>
      </c>
      <c r="AP1153" s="3">
        <v>3.9177545</v>
      </c>
      <c r="AQ1153" s="3">
        <v>3.8994952000000001</v>
      </c>
      <c r="AR1153" s="3">
        <v>3.8822372000000001</v>
      </c>
      <c r="AS1153" s="3">
        <v>3.8659298999999998</v>
      </c>
      <c r="AT1153" s="3">
        <v>3.8505235</v>
      </c>
      <c r="AU1153" s="3">
        <v>3.8359678000000001</v>
      </c>
      <c r="AV1153" s="3">
        <v>3.8222122000000001</v>
      </c>
      <c r="AW1153" s="3">
        <v>3.8092069999999998</v>
      </c>
      <c r="AX1153" s="3">
        <v>3.7969018000000001</v>
      </c>
      <c r="AY1153" s="3">
        <v>3.7852461000000002</v>
      </c>
      <c r="AZ1153" s="3">
        <v>3.7741902000000001</v>
      </c>
      <c r="BA1153" s="3">
        <v>3.7636889999999998</v>
      </c>
      <c r="BB1153" s="3">
        <v>3.7537232</v>
      </c>
      <c r="BC1153" s="3">
        <v>3.7442818999999998</v>
      </c>
      <c r="BD1153" s="3">
        <v>3.7353537999999999</v>
      </c>
      <c r="BE1153" s="3">
        <v>3.7269274999999999</v>
      </c>
      <c r="BF1153" s="3">
        <v>3.7189920999999999</v>
      </c>
      <c r="BG1153" s="3">
        <v>3.7115361999999998</v>
      </c>
      <c r="BH1153" s="3">
        <v>3.7045485</v>
      </c>
      <c r="BI1153" s="3">
        <v>3.6980181000000001</v>
      </c>
      <c r="BJ1153" s="3">
        <v>3.6919335000000002</v>
      </c>
      <c r="BK1153" s="3">
        <v>3.6862835</v>
      </c>
      <c r="BL1153" s="3">
        <v>3.681057</v>
      </c>
      <c r="BM1153" s="3">
        <v>3.6580853000000002</v>
      </c>
      <c r="BN1153" s="3">
        <v>3.6482820999999999</v>
      </c>
    </row>
    <row r="1154" spans="1:66" x14ac:dyDescent="0.35">
      <c r="A1154" s="5">
        <f t="shared" si="17"/>
        <v>45070</v>
      </c>
      <c r="B1154" t="s">
        <v>2560</v>
      </c>
      <c r="C1154" s="2">
        <v>4.5</v>
      </c>
      <c r="D1154" s="2">
        <v>4.4276999999999997</v>
      </c>
      <c r="E1154" s="3">
        <v>4.5720841999999999</v>
      </c>
      <c r="F1154" s="3">
        <v>4.8253342000000004</v>
      </c>
      <c r="G1154" s="3">
        <v>5.0253268999999996</v>
      </c>
      <c r="H1154" s="3">
        <v>5.1721887000000004</v>
      </c>
      <c r="I1154" s="3">
        <v>5.2714527999999996</v>
      </c>
      <c r="J1154" s="3">
        <v>5.3294772000000004</v>
      </c>
      <c r="K1154" s="3">
        <v>5.3532998000000003</v>
      </c>
      <c r="L1154" s="3">
        <v>5.3528979000000003</v>
      </c>
      <c r="M1154" s="3">
        <v>5.3369096999999996</v>
      </c>
      <c r="N1154" s="3">
        <v>5.3112228000000004</v>
      </c>
      <c r="O1154" s="3">
        <v>5.2791090000000001</v>
      </c>
      <c r="P1154" s="3">
        <v>5.2414671999999998</v>
      </c>
      <c r="Q1154" s="3">
        <v>5.1977285000000002</v>
      </c>
      <c r="R1154" s="3">
        <v>5.1483805</v>
      </c>
      <c r="S1154" s="3">
        <v>5.0943141000000001</v>
      </c>
      <c r="T1154" s="3">
        <v>5.0364186000000002</v>
      </c>
      <c r="U1154" s="3">
        <v>4.9755830000000003</v>
      </c>
      <c r="V1154" s="3">
        <v>4.9126985999999997</v>
      </c>
      <c r="W1154" s="3">
        <v>4.8486317000000003</v>
      </c>
      <c r="X1154" s="3">
        <v>4.7841196999999998</v>
      </c>
      <c r="Y1154" s="3">
        <v>4.7198570999999996</v>
      </c>
      <c r="Z1154" s="3">
        <v>4.656536</v>
      </c>
      <c r="AA1154" s="3">
        <v>4.5948485000000003</v>
      </c>
      <c r="AB1154" s="3">
        <v>4.5354891000000004</v>
      </c>
      <c r="AC1154" s="3">
        <v>4.4790616999999999</v>
      </c>
      <c r="AD1154" s="3">
        <v>4.4256456999999996</v>
      </c>
      <c r="AE1154" s="3">
        <v>4.3751287999999997</v>
      </c>
      <c r="AF1154" s="3">
        <v>4.3273963000000002</v>
      </c>
      <c r="AG1154" s="3">
        <v>4.2823339999999996</v>
      </c>
      <c r="AH1154" s="3">
        <v>4.2398287999999997</v>
      </c>
      <c r="AI1154" s="3">
        <v>4.1997663999999997</v>
      </c>
      <c r="AJ1154" s="3">
        <v>4.1620324000000002</v>
      </c>
      <c r="AK1154" s="3">
        <v>4.1265137999999997</v>
      </c>
      <c r="AL1154" s="3">
        <v>4.0930961999999997</v>
      </c>
      <c r="AM1154" s="3">
        <v>4.0616652999999996</v>
      </c>
      <c r="AN1154" s="3">
        <v>4.0321081000000003</v>
      </c>
      <c r="AO1154" s="3">
        <v>4.0043132000000004</v>
      </c>
      <c r="AP1154" s="3">
        <v>3.9781863999999998</v>
      </c>
      <c r="AQ1154" s="3">
        <v>3.9536399000000002</v>
      </c>
      <c r="AR1154" s="3">
        <v>3.9305848999999999</v>
      </c>
      <c r="AS1154" s="3">
        <v>3.9089328999999999</v>
      </c>
      <c r="AT1154" s="3">
        <v>3.8885958999999999</v>
      </c>
      <c r="AU1154" s="3">
        <v>3.8694852000000002</v>
      </c>
      <c r="AV1154" s="3">
        <v>3.8515123</v>
      </c>
      <c r="AW1154" s="3">
        <v>3.8345891000000001</v>
      </c>
      <c r="AX1154" s="3">
        <v>3.8186271000000001</v>
      </c>
      <c r="AY1154" s="3">
        <v>3.8035377000000001</v>
      </c>
      <c r="AZ1154" s="3">
        <v>3.7892328000000002</v>
      </c>
      <c r="BA1154" s="3">
        <v>3.7756344999999998</v>
      </c>
      <c r="BB1154" s="3">
        <v>3.7627120000000001</v>
      </c>
      <c r="BC1154" s="3">
        <v>3.7504477000000001</v>
      </c>
      <c r="BD1154" s="3">
        <v>3.7388238999999999</v>
      </c>
      <c r="BE1154" s="3">
        <v>3.7278226000000001</v>
      </c>
      <c r="BF1154" s="3">
        <v>3.7174263999999999</v>
      </c>
      <c r="BG1154" s="3">
        <v>3.7076172999999999</v>
      </c>
      <c r="BH1154" s="3">
        <v>3.6983777</v>
      </c>
      <c r="BI1154" s="3">
        <v>3.6896898</v>
      </c>
      <c r="BJ1154" s="3">
        <v>3.6815359999999999</v>
      </c>
      <c r="BK1154" s="3">
        <v>3.6738982999999998</v>
      </c>
      <c r="BL1154" s="3">
        <v>3.6667592</v>
      </c>
      <c r="BM1154" s="3">
        <v>3.6336949999999999</v>
      </c>
      <c r="BN1154" s="3">
        <v>3.6159159999999999</v>
      </c>
    </row>
    <row r="1155" spans="1:66" x14ac:dyDescent="0.35">
      <c r="A1155" s="5">
        <f t="shared" si="17"/>
        <v>45071</v>
      </c>
      <c r="B1155" t="s">
        <v>2561</v>
      </c>
      <c r="C1155" s="2">
        <v>4.5</v>
      </c>
      <c r="D1155" s="2">
        <v>4.4278000000000004</v>
      </c>
      <c r="E1155" s="3">
        <v>4.6085362999999999</v>
      </c>
      <c r="F1155" s="3">
        <v>4.8701740999999998</v>
      </c>
      <c r="G1155" s="3">
        <v>5.0924737999999996</v>
      </c>
      <c r="H1155" s="3">
        <v>5.2696472999999999</v>
      </c>
      <c r="I1155" s="3">
        <v>5.4007307000000004</v>
      </c>
      <c r="J1155" s="3">
        <v>5.4864170999999997</v>
      </c>
      <c r="K1155" s="3">
        <v>5.5325490000000004</v>
      </c>
      <c r="L1155" s="3">
        <v>5.5475953000000002</v>
      </c>
      <c r="M1155" s="3">
        <v>5.5412419999999996</v>
      </c>
      <c r="N1155" s="3">
        <v>5.5206197000000001</v>
      </c>
      <c r="O1155" s="3">
        <v>5.4900978</v>
      </c>
      <c r="P1155" s="3">
        <v>5.4517829999999998</v>
      </c>
      <c r="Q1155" s="3">
        <v>5.4058574999999998</v>
      </c>
      <c r="R1155" s="3">
        <v>5.3533080000000002</v>
      </c>
      <c r="S1155" s="3">
        <v>5.2956107000000001</v>
      </c>
      <c r="T1155" s="3">
        <v>5.2342405000000003</v>
      </c>
      <c r="U1155" s="3">
        <v>5.1706719999999997</v>
      </c>
      <c r="V1155" s="3">
        <v>5.1063824000000002</v>
      </c>
      <c r="W1155" s="3">
        <v>5.0426966999999996</v>
      </c>
      <c r="X1155" s="3">
        <v>4.9801729999999997</v>
      </c>
      <c r="Y1155" s="3">
        <v>4.9191269000000002</v>
      </c>
      <c r="Z1155" s="3">
        <v>4.8598714999999997</v>
      </c>
      <c r="AA1155" s="3">
        <v>4.8027199999999999</v>
      </c>
      <c r="AB1155" s="3">
        <v>4.7479874999999998</v>
      </c>
      <c r="AC1155" s="3">
        <v>4.6959331999999998</v>
      </c>
      <c r="AD1155" s="3">
        <v>4.6465243999999997</v>
      </c>
      <c r="AE1155" s="3">
        <v>4.5996325000000002</v>
      </c>
      <c r="AF1155" s="3">
        <v>4.5551272000000003</v>
      </c>
      <c r="AG1155" s="3">
        <v>4.5128779999999997</v>
      </c>
      <c r="AH1155" s="3">
        <v>4.4727562000000001</v>
      </c>
      <c r="AI1155" s="3">
        <v>4.4346313999999998</v>
      </c>
      <c r="AJ1155" s="3">
        <v>4.3983733999999997</v>
      </c>
      <c r="AK1155" s="3">
        <v>4.3638531</v>
      </c>
      <c r="AL1155" s="3">
        <v>4.3309403</v>
      </c>
      <c r="AM1155" s="3">
        <v>4.2995048000000002</v>
      </c>
      <c r="AN1155" s="3">
        <v>4.2694175000000003</v>
      </c>
      <c r="AO1155" s="3">
        <v>4.2405606000000002</v>
      </c>
      <c r="AP1155" s="3">
        <v>4.2128771</v>
      </c>
      <c r="AQ1155" s="3">
        <v>4.1863294</v>
      </c>
      <c r="AR1155" s="3">
        <v>4.1608789000000002</v>
      </c>
      <c r="AS1155" s="3">
        <v>4.1364872000000004</v>
      </c>
      <c r="AT1155" s="3">
        <v>4.1131164</v>
      </c>
      <c r="AU1155" s="3">
        <v>4.0907282</v>
      </c>
      <c r="AV1155" s="3">
        <v>4.0692839999999997</v>
      </c>
      <c r="AW1155" s="3">
        <v>4.0487460000000004</v>
      </c>
      <c r="AX1155" s="3">
        <v>4.0290756999999999</v>
      </c>
      <c r="AY1155" s="3">
        <v>4.0102348000000001</v>
      </c>
      <c r="AZ1155" s="3">
        <v>3.9921853999999999</v>
      </c>
      <c r="BA1155" s="3">
        <v>3.9748926999999998</v>
      </c>
      <c r="BB1155" s="3">
        <v>3.9583387000000001</v>
      </c>
      <c r="BC1155" s="3">
        <v>3.9425105</v>
      </c>
      <c r="BD1155" s="3">
        <v>3.9273946</v>
      </c>
      <c r="BE1155" s="3">
        <v>3.9129775000000002</v>
      </c>
      <c r="BF1155" s="3">
        <v>3.8992461</v>
      </c>
      <c r="BG1155" s="3">
        <v>3.8861870999999999</v>
      </c>
      <c r="BH1155" s="3">
        <v>3.8737868999999998</v>
      </c>
      <c r="BI1155" s="3">
        <v>3.8620326</v>
      </c>
      <c r="BJ1155" s="3">
        <v>3.8509106000000002</v>
      </c>
      <c r="BK1155" s="3">
        <v>3.8404075999999998</v>
      </c>
      <c r="BL1155" s="3">
        <v>3.8305104999999999</v>
      </c>
      <c r="BM1155" s="3">
        <v>3.7831845999999998</v>
      </c>
      <c r="BN1155" s="3">
        <v>3.7548130999999998</v>
      </c>
    </row>
    <row r="1156" spans="1:66" x14ac:dyDescent="0.35">
      <c r="A1156" s="5">
        <f t="shared" si="17"/>
        <v>45072</v>
      </c>
      <c r="B1156" t="s">
        <v>2562</v>
      </c>
      <c r="C1156" s="2">
        <v>4.5</v>
      </c>
      <c r="D1156" s="2">
        <v>4.4280999999999997</v>
      </c>
      <c r="E1156" s="3">
        <v>4.5793505999999997</v>
      </c>
      <c r="F1156" s="3">
        <v>4.8288376</v>
      </c>
      <c r="G1156" s="3">
        <v>5.0367296000000001</v>
      </c>
      <c r="H1156" s="3">
        <v>5.2031090999999998</v>
      </c>
      <c r="I1156" s="3">
        <v>5.3296557</v>
      </c>
      <c r="J1156" s="3">
        <v>5.4166566999999999</v>
      </c>
      <c r="K1156" s="3">
        <v>5.4672983000000004</v>
      </c>
      <c r="L1156" s="3">
        <v>5.4881444000000004</v>
      </c>
      <c r="M1156" s="3">
        <v>5.4871064000000001</v>
      </c>
      <c r="N1156" s="3">
        <v>5.4706315999999999</v>
      </c>
      <c r="O1156" s="3">
        <v>5.4429436999999998</v>
      </c>
      <c r="P1156" s="3">
        <v>5.4063841999999998</v>
      </c>
      <c r="Q1156" s="3">
        <v>5.3618120999999999</v>
      </c>
      <c r="R1156" s="3">
        <v>5.3104541000000003</v>
      </c>
      <c r="S1156" s="3">
        <v>5.2537896000000002</v>
      </c>
      <c r="T1156" s="3">
        <v>5.1932964999999998</v>
      </c>
      <c r="U1156" s="3">
        <v>5.1304521999999997</v>
      </c>
      <c r="V1156" s="3">
        <v>5.0667365999999996</v>
      </c>
      <c r="W1156" s="3">
        <v>5.003482</v>
      </c>
      <c r="X1156" s="3">
        <v>4.9412763999999996</v>
      </c>
      <c r="Y1156" s="3">
        <v>4.8804720000000001</v>
      </c>
      <c r="Z1156" s="3">
        <v>4.8214189999999997</v>
      </c>
      <c r="AA1156" s="3">
        <v>4.7644674</v>
      </c>
      <c r="AB1156" s="3">
        <v>4.7099696</v>
      </c>
      <c r="AC1156" s="3">
        <v>4.6582090000000003</v>
      </c>
      <c r="AD1156" s="3">
        <v>4.6091455999999997</v>
      </c>
      <c r="AE1156" s="3">
        <v>4.5626426000000002</v>
      </c>
      <c r="AF1156" s="3">
        <v>4.5185613</v>
      </c>
      <c r="AG1156" s="3">
        <v>4.4767631000000003</v>
      </c>
      <c r="AH1156" s="3">
        <v>4.4371109999999998</v>
      </c>
      <c r="AI1156" s="3">
        <v>4.3994663999999997</v>
      </c>
      <c r="AJ1156" s="3">
        <v>4.3636907999999996</v>
      </c>
      <c r="AK1156" s="3">
        <v>4.3296469999999996</v>
      </c>
      <c r="AL1156" s="3">
        <v>4.2971965000000001</v>
      </c>
      <c r="AM1156" s="3">
        <v>4.2662008</v>
      </c>
      <c r="AN1156" s="3">
        <v>4.2365225999999998</v>
      </c>
      <c r="AO1156" s="3">
        <v>4.2080383000000001</v>
      </c>
      <c r="AP1156" s="3">
        <v>4.1806885999999999</v>
      </c>
      <c r="AQ1156" s="3">
        <v>4.1544334999999997</v>
      </c>
      <c r="AR1156" s="3">
        <v>4.1292318999999997</v>
      </c>
      <c r="AS1156" s="3">
        <v>4.1050424999999997</v>
      </c>
      <c r="AT1156" s="3">
        <v>4.0818253000000002</v>
      </c>
      <c r="AU1156" s="3">
        <v>4.059539</v>
      </c>
      <c r="AV1156" s="3">
        <v>4.0381425000000002</v>
      </c>
      <c r="AW1156" s="3">
        <v>4.0175955999999999</v>
      </c>
      <c r="AX1156" s="3">
        <v>3.9978571999999999</v>
      </c>
      <c r="AY1156" s="3">
        <v>3.9788863000000001</v>
      </c>
      <c r="AZ1156" s="3">
        <v>3.9606423999999998</v>
      </c>
      <c r="BA1156" s="3">
        <v>3.9430895000000001</v>
      </c>
      <c r="BB1156" s="3">
        <v>3.9262144000000001</v>
      </c>
      <c r="BC1156" s="3">
        <v>3.9100103000000002</v>
      </c>
      <c r="BD1156" s="3">
        <v>3.8944698999999998</v>
      </c>
      <c r="BE1156" s="3">
        <v>3.8795861</v>
      </c>
      <c r="BF1156" s="3">
        <v>3.8653521</v>
      </c>
      <c r="BG1156" s="3">
        <v>3.8517606999999998</v>
      </c>
      <c r="BH1156" s="3">
        <v>3.8388048000000001</v>
      </c>
      <c r="BI1156" s="3">
        <v>3.8264775000000002</v>
      </c>
      <c r="BJ1156" s="3">
        <v>3.8147717000000001</v>
      </c>
      <c r="BK1156" s="3">
        <v>3.8036802999999999</v>
      </c>
      <c r="BL1156" s="3">
        <v>3.7931963</v>
      </c>
      <c r="BM1156" s="3">
        <v>3.7426134000000002</v>
      </c>
      <c r="BN1156" s="3">
        <v>3.711878</v>
      </c>
    </row>
    <row r="1157" spans="1:66" x14ac:dyDescent="0.35">
      <c r="A1157" s="5">
        <f t="shared" si="17"/>
        <v>45075</v>
      </c>
      <c r="B1157" t="s">
        <v>2563</v>
      </c>
      <c r="C1157" s="2">
        <v>4.5</v>
      </c>
      <c r="D1157" s="2" t="e">
        <v>#N/A</v>
      </c>
      <c r="E1157" s="3" t="e">
        <v>#N/A</v>
      </c>
      <c r="F1157" s="3" t="e">
        <v>#N/A</v>
      </c>
      <c r="G1157" s="3" t="e">
        <v>#N/A</v>
      </c>
      <c r="H1157" s="3" t="e">
        <v>#N/A</v>
      </c>
      <c r="I1157" s="3" t="e">
        <v>#N/A</v>
      </c>
      <c r="J1157" s="3" t="e">
        <v>#N/A</v>
      </c>
      <c r="K1157" s="3" t="e">
        <v>#N/A</v>
      </c>
      <c r="L1157" s="3" t="e">
        <v>#N/A</v>
      </c>
      <c r="M1157" s="3" t="e">
        <v>#N/A</v>
      </c>
      <c r="N1157" s="3" t="e">
        <v>#N/A</v>
      </c>
      <c r="O1157" s="3" t="e">
        <v>#N/A</v>
      </c>
      <c r="P1157" s="3" t="e">
        <v>#N/A</v>
      </c>
      <c r="Q1157" s="3" t="e">
        <v>#N/A</v>
      </c>
      <c r="R1157" s="3" t="e">
        <v>#N/A</v>
      </c>
      <c r="S1157" s="3" t="e">
        <v>#N/A</v>
      </c>
      <c r="T1157" s="3" t="e">
        <v>#N/A</v>
      </c>
      <c r="U1157" s="3" t="e">
        <v>#N/A</v>
      </c>
      <c r="V1157" s="3" t="e">
        <v>#N/A</v>
      </c>
      <c r="W1157" s="3" t="e">
        <v>#N/A</v>
      </c>
      <c r="X1157" s="3" t="e">
        <v>#N/A</v>
      </c>
      <c r="Y1157" s="3" t="e">
        <v>#N/A</v>
      </c>
      <c r="Z1157" s="3" t="e">
        <v>#N/A</v>
      </c>
      <c r="AA1157" s="3" t="e">
        <v>#N/A</v>
      </c>
      <c r="AB1157" s="3" t="e">
        <v>#N/A</v>
      </c>
      <c r="AC1157" s="3" t="e">
        <v>#N/A</v>
      </c>
      <c r="AD1157" s="3" t="e">
        <v>#N/A</v>
      </c>
      <c r="AE1157" s="3" t="e">
        <v>#N/A</v>
      </c>
      <c r="AF1157" s="3" t="e">
        <v>#N/A</v>
      </c>
      <c r="AG1157" s="3" t="e">
        <v>#N/A</v>
      </c>
      <c r="AH1157" s="3" t="e">
        <v>#N/A</v>
      </c>
      <c r="AI1157" s="3" t="e">
        <v>#N/A</v>
      </c>
      <c r="AJ1157" s="3" t="e">
        <v>#N/A</v>
      </c>
      <c r="AK1157" s="3" t="e">
        <v>#N/A</v>
      </c>
      <c r="AL1157" s="3" t="e">
        <v>#N/A</v>
      </c>
      <c r="AM1157" s="3" t="e">
        <v>#N/A</v>
      </c>
      <c r="AN1157" s="3" t="e">
        <v>#N/A</v>
      </c>
      <c r="AO1157" s="3" t="e">
        <v>#N/A</v>
      </c>
      <c r="AP1157" s="3" t="e">
        <v>#N/A</v>
      </c>
      <c r="AQ1157" s="3" t="e">
        <v>#N/A</v>
      </c>
      <c r="AR1157" s="3" t="e">
        <v>#N/A</v>
      </c>
      <c r="AS1157" s="3" t="e">
        <v>#N/A</v>
      </c>
      <c r="AT1157" s="3" t="e">
        <v>#N/A</v>
      </c>
      <c r="AU1157" s="3" t="e">
        <v>#N/A</v>
      </c>
      <c r="AV1157" s="3" t="e">
        <v>#N/A</v>
      </c>
      <c r="AW1157" s="3" t="e">
        <v>#N/A</v>
      </c>
      <c r="AX1157" s="3" t="e">
        <v>#N/A</v>
      </c>
      <c r="AY1157" s="3" t="e">
        <v>#N/A</v>
      </c>
      <c r="AZ1157" s="3" t="e">
        <v>#N/A</v>
      </c>
      <c r="BA1157" s="3" t="e">
        <v>#N/A</v>
      </c>
      <c r="BB1157" s="3" t="e">
        <v>#N/A</v>
      </c>
      <c r="BC1157" s="3" t="e">
        <v>#N/A</v>
      </c>
      <c r="BD1157" s="3" t="e">
        <v>#N/A</v>
      </c>
      <c r="BE1157" s="3" t="e">
        <v>#N/A</v>
      </c>
      <c r="BF1157" s="3" t="e">
        <v>#N/A</v>
      </c>
      <c r="BG1157" s="3" t="e">
        <v>#N/A</v>
      </c>
      <c r="BH1157" s="3" t="e">
        <v>#N/A</v>
      </c>
      <c r="BI1157" s="3" t="e">
        <v>#N/A</v>
      </c>
      <c r="BJ1157" s="3" t="e">
        <v>#N/A</v>
      </c>
      <c r="BK1157" s="3" t="e">
        <v>#N/A</v>
      </c>
      <c r="BL1157" s="3" t="e">
        <v>#N/A</v>
      </c>
      <c r="BM1157" s="3" t="e">
        <v>#N/A</v>
      </c>
      <c r="BN1157" s="3" t="e">
        <v>#N/A</v>
      </c>
    </row>
    <row r="1158" spans="1:66" x14ac:dyDescent="0.35">
      <c r="A1158" s="5">
        <f t="shared" si="17"/>
        <v>45076</v>
      </c>
      <c r="B1158" t="s">
        <v>2564</v>
      </c>
      <c r="C1158" s="2">
        <v>4.5</v>
      </c>
      <c r="D1158" s="2">
        <v>4.4278000000000004</v>
      </c>
      <c r="E1158" s="3">
        <v>4.6270404000000003</v>
      </c>
      <c r="F1158" s="3">
        <v>4.8567339</v>
      </c>
      <c r="G1158" s="3">
        <v>5.0534809999999997</v>
      </c>
      <c r="H1158" s="3">
        <v>5.2135047999999999</v>
      </c>
      <c r="I1158" s="3">
        <v>5.3349415999999996</v>
      </c>
      <c r="J1158" s="3">
        <v>5.4170420999999997</v>
      </c>
      <c r="K1158" s="3">
        <v>5.4626687</v>
      </c>
      <c r="L1158" s="3">
        <v>5.4795578999999996</v>
      </c>
      <c r="M1158" s="3">
        <v>5.4751352999999998</v>
      </c>
      <c r="N1158" s="3">
        <v>5.4559350000000002</v>
      </c>
      <c r="O1158" s="3">
        <v>5.4258264</v>
      </c>
      <c r="P1158" s="3">
        <v>5.3864830000000001</v>
      </c>
      <c r="Q1158" s="3">
        <v>5.3382266999999999</v>
      </c>
      <c r="R1158" s="3">
        <v>5.2823285999999996</v>
      </c>
      <c r="S1158" s="3">
        <v>5.2204220000000001</v>
      </c>
      <c r="T1158" s="3">
        <v>5.1541385000000002</v>
      </c>
      <c r="U1158" s="3">
        <v>5.0851094000000003</v>
      </c>
      <c r="V1158" s="3">
        <v>5.0149682000000002</v>
      </c>
      <c r="W1158" s="3">
        <v>4.9452347999999997</v>
      </c>
      <c r="X1158" s="3">
        <v>4.8767291000000004</v>
      </c>
      <c r="Y1158" s="3">
        <v>4.8100028000000004</v>
      </c>
      <c r="Z1158" s="3">
        <v>4.7456047000000003</v>
      </c>
      <c r="AA1158" s="3">
        <v>4.6840836000000001</v>
      </c>
      <c r="AB1158" s="3">
        <v>4.6259905000000003</v>
      </c>
      <c r="AC1158" s="3">
        <v>4.5717546000000002</v>
      </c>
      <c r="AD1158" s="3">
        <v>4.5212766999999996</v>
      </c>
      <c r="AE1158" s="3">
        <v>4.4743136000000003</v>
      </c>
      <c r="AF1158" s="3">
        <v>4.4306204999999999</v>
      </c>
      <c r="AG1158" s="3">
        <v>4.3899526</v>
      </c>
      <c r="AH1158" s="3">
        <v>4.3520664</v>
      </c>
      <c r="AI1158" s="3">
        <v>4.3167169999999997</v>
      </c>
      <c r="AJ1158" s="3">
        <v>4.2836599</v>
      </c>
      <c r="AK1158" s="3">
        <v>4.2526514999999998</v>
      </c>
      <c r="AL1158" s="3">
        <v>4.2234468999999999</v>
      </c>
      <c r="AM1158" s="3">
        <v>4.1958016000000002</v>
      </c>
      <c r="AN1158" s="3">
        <v>4.1694718999999996</v>
      </c>
      <c r="AO1158" s="3">
        <v>4.1442364999999999</v>
      </c>
      <c r="AP1158" s="3">
        <v>4.1200001000000004</v>
      </c>
      <c r="AQ1158" s="3">
        <v>4.0967105000000004</v>
      </c>
      <c r="AR1158" s="3">
        <v>4.0743149000000001</v>
      </c>
      <c r="AS1158" s="3">
        <v>4.0527601000000004</v>
      </c>
      <c r="AT1158" s="3">
        <v>4.0319941000000004</v>
      </c>
      <c r="AU1158" s="3">
        <v>4.0119638999999996</v>
      </c>
      <c r="AV1158" s="3">
        <v>3.9926165</v>
      </c>
      <c r="AW1158" s="3">
        <v>3.9738997</v>
      </c>
      <c r="AX1158" s="3">
        <v>3.9557606000000001</v>
      </c>
      <c r="AY1158" s="3">
        <v>3.9381461</v>
      </c>
      <c r="AZ1158" s="3">
        <v>3.9210042000000001</v>
      </c>
      <c r="BA1158" s="3">
        <v>3.9042892</v>
      </c>
      <c r="BB1158" s="3">
        <v>3.8879956</v>
      </c>
      <c r="BC1158" s="3">
        <v>3.8721320000000001</v>
      </c>
      <c r="BD1158" s="3">
        <v>3.8567062999999999</v>
      </c>
      <c r="BE1158" s="3">
        <v>3.8417262999999999</v>
      </c>
      <c r="BF1158" s="3">
        <v>3.8272005999999998</v>
      </c>
      <c r="BG1158" s="3">
        <v>3.8131370000000002</v>
      </c>
      <c r="BH1158" s="3">
        <v>3.7995435999999998</v>
      </c>
      <c r="BI1158" s="3">
        <v>3.7864285999999998</v>
      </c>
      <c r="BJ1158" s="3">
        <v>3.7738002000000002</v>
      </c>
      <c r="BK1158" s="3">
        <v>3.7616660999999998</v>
      </c>
      <c r="BL1158" s="3">
        <v>3.7500349000000002</v>
      </c>
      <c r="BM1158" s="3">
        <v>3.6908710999999998</v>
      </c>
      <c r="BN1158" s="3">
        <v>3.6494754</v>
      </c>
    </row>
    <row r="1159" spans="1:66" x14ac:dyDescent="0.35">
      <c r="A1159" s="5">
        <f t="shared" si="17"/>
        <v>45077</v>
      </c>
      <c r="B1159" t="s">
        <v>2565</v>
      </c>
      <c r="C1159" s="2">
        <v>4.5</v>
      </c>
      <c r="D1159" s="2">
        <v>4.4278000000000004</v>
      </c>
      <c r="E1159" s="3">
        <v>4.6248699000000002</v>
      </c>
      <c r="F1159" s="3">
        <v>4.8309588999999997</v>
      </c>
      <c r="G1159" s="3">
        <v>5.0053302000000004</v>
      </c>
      <c r="H1159" s="3">
        <v>5.1428824999999998</v>
      </c>
      <c r="I1159" s="3">
        <v>5.2422477000000001</v>
      </c>
      <c r="J1159" s="3">
        <v>5.3040345000000002</v>
      </c>
      <c r="K1159" s="3">
        <v>5.3318146999999998</v>
      </c>
      <c r="L1159" s="3">
        <v>5.3337092999999998</v>
      </c>
      <c r="M1159" s="3">
        <v>5.3172271999999996</v>
      </c>
      <c r="N1159" s="3">
        <v>5.2889821000000001</v>
      </c>
      <c r="O1159" s="3">
        <v>5.2524839999999999</v>
      </c>
      <c r="P1159" s="3">
        <v>5.2091129</v>
      </c>
      <c r="Q1159" s="3">
        <v>5.1592494999999996</v>
      </c>
      <c r="R1159" s="3">
        <v>5.1038690000000004</v>
      </c>
      <c r="S1159" s="3">
        <v>5.0441703000000002</v>
      </c>
      <c r="T1159" s="3">
        <v>4.9813505999999999</v>
      </c>
      <c r="U1159" s="3">
        <v>4.9166065999999997</v>
      </c>
      <c r="V1159" s="3">
        <v>4.8511375000000001</v>
      </c>
      <c r="W1159" s="3">
        <v>4.7860547000000002</v>
      </c>
      <c r="X1159" s="3">
        <v>4.7219841000000002</v>
      </c>
      <c r="Y1159" s="3">
        <v>4.6593834000000003</v>
      </c>
      <c r="Z1159" s="3">
        <v>4.5987079</v>
      </c>
      <c r="AA1159" s="3">
        <v>4.5404128000000004</v>
      </c>
      <c r="AB1159" s="3">
        <v>4.4849553999999996</v>
      </c>
      <c r="AC1159" s="3">
        <v>4.4327148000000003</v>
      </c>
      <c r="AD1159" s="3">
        <v>4.3836588000000001</v>
      </c>
      <c r="AE1159" s="3">
        <v>4.3376191000000004</v>
      </c>
      <c r="AF1159" s="3">
        <v>4.2944255</v>
      </c>
      <c r="AG1159" s="3">
        <v>4.2539081999999997</v>
      </c>
      <c r="AH1159" s="3">
        <v>4.2158984999999998</v>
      </c>
      <c r="AI1159" s="3">
        <v>4.1802264999999998</v>
      </c>
      <c r="AJ1159" s="3">
        <v>4.1467222000000001</v>
      </c>
      <c r="AK1159" s="3">
        <v>4.1152170000000003</v>
      </c>
      <c r="AL1159" s="3">
        <v>4.0855408000000004</v>
      </c>
      <c r="AM1159" s="3">
        <v>4.0575238999999996</v>
      </c>
      <c r="AN1159" s="3">
        <v>4.0309973000000001</v>
      </c>
      <c r="AO1159" s="3">
        <v>4.0058059000000004</v>
      </c>
      <c r="AP1159" s="3">
        <v>3.9818650999999998</v>
      </c>
      <c r="AQ1159" s="3">
        <v>3.9591129</v>
      </c>
      <c r="AR1159" s="3">
        <v>3.9374866000000002</v>
      </c>
      <c r="AS1159" s="3">
        <v>3.9169231999999998</v>
      </c>
      <c r="AT1159" s="3">
        <v>3.8973607000000001</v>
      </c>
      <c r="AU1159" s="3">
        <v>3.8787362999999999</v>
      </c>
      <c r="AV1159" s="3">
        <v>3.8609871999999998</v>
      </c>
      <c r="AW1159" s="3">
        <v>3.8440512999999998</v>
      </c>
      <c r="AX1159" s="3">
        <v>3.8278656999999998</v>
      </c>
      <c r="AY1159" s="3">
        <v>3.8123678000000001</v>
      </c>
      <c r="AZ1159" s="3">
        <v>3.7974953</v>
      </c>
      <c r="BA1159" s="3">
        <v>3.7831931000000001</v>
      </c>
      <c r="BB1159" s="3">
        <v>3.7694437000000001</v>
      </c>
      <c r="BC1159" s="3">
        <v>3.7562413000000001</v>
      </c>
      <c r="BD1159" s="3">
        <v>3.7435797000000002</v>
      </c>
      <c r="BE1159" s="3">
        <v>3.7314528999999999</v>
      </c>
      <c r="BF1159" s="3">
        <v>3.7198549000000001</v>
      </c>
      <c r="BG1159" s="3">
        <v>3.7087797</v>
      </c>
      <c r="BH1159" s="3">
        <v>3.6982211</v>
      </c>
      <c r="BI1159" s="3">
        <v>3.6881732999999999</v>
      </c>
      <c r="BJ1159" s="3">
        <v>3.6786302000000002</v>
      </c>
      <c r="BK1159" s="3">
        <v>3.6695856</v>
      </c>
      <c r="BL1159" s="3">
        <v>3.6610336999999999</v>
      </c>
      <c r="BM1159" s="3">
        <v>3.6196842999999999</v>
      </c>
      <c r="BN1159" s="3">
        <v>3.5942775999999999</v>
      </c>
    </row>
    <row r="1160" spans="1:66" x14ac:dyDescent="0.35">
      <c r="A1160" s="5">
        <f t="shared" si="17"/>
        <v>45078</v>
      </c>
      <c r="B1160" t="s">
        <v>2566</v>
      </c>
      <c r="C1160" s="2">
        <v>4.5</v>
      </c>
      <c r="D1160" s="2">
        <v>4.4278000000000004</v>
      </c>
      <c r="E1160" s="3">
        <v>4.6260114999999997</v>
      </c>
      <c r="F1160" s="3">
        <v>4.8308758000000003</v>
      </c>
      <c r="G1160" s="3">
        <v>5.0071912999999997</v>
      </c>
      <c r="H1160" s="3">
        <v>5.1444225000000001</v>
      </c>
      <c r="I1160" s="3">
        <v>5.2421074000000001</v>
      </c>
      <c r="J1160" s="3">
        <v>5.3024782999999998</v>
      </c>
      <c r="K1160" s="3">
        <v>5.3287208000000001</v>
      </c>
      <c r="L1160" s="3">
        <v>5.3285913000000003</v>
      </c>
      <c r="M1160" s="3">
        <v>5.3096693000000004</v>
      </c>
      <c r="N1160" s="3">
        <v>5.2783021000000003</v>
      </c>
      <c r="O1160" s="3">
        <v>5.2380835000000001</v>
      </c>
      <c r="P1160" s="3">
        <v>5.1909581999999999</v>
      </c>
      <c r="Q1160" s="3">
        <v>5.1374209000000004</v>
      </c>
      <c r="R1160" s="3">
        <v>5.0785670999999999</v>
      </c>
      <c r="S1160" s="3">
        <v>5.0158215000000004</v>
      </c>
      <c r="T1160" s="3">
        <v>4.9506071</v>
      </c>
      <c r="U1160" s="3">
        <v>4.8843467</v>
      </c>
      <c r="V1160" s="3">
        <v>4.8184657</v>
      </c>
      <c r="W1160" s="3">
        <v>4.7542257000000001</v>
      </c>
      <c r="X1160" s="3">
        <v>4.6920633</v>
      </c>
      <c r="Y1160" s="3">
        <v>4.6321538000000002</v>
      </c>
      <c r="Z1160" s="3">
        <v>4.5746700000000002</v>
      </c>
      <c r="AA1160" s="3">
        <v>4.5197849000000003</v>
      </c>
      <c r="AB1160" s="3">
        <v>4.4676735000000001</v>
      </c>
      <c r="AC1160" s="3">
        <v>4.4184621000000002</v>
      </c>
      <c r="AD1160" s="3">
        <v>4.3720499999999998</v>
      </c>
      <c r="AE1160" s="3">
        <v>4.3282689999999997</v>
      </c>
      <c r="AF1160" s="3">
        <v>4.2869495000000004</v>
      </c>
      <c r="AG1160" s="3">
        <v>4.2479217</v>
      </c>
      <c r="AH1160" s="3">
        <v>4.2110171999999997</v>
      </c>
      <c r="AI1160" s="3">
        <v>4.1760663999999998</v>
      </c>
      <c r="AJ1160" s="3">
        <v>4.1428995000000004</v>
      </c>
      <c r="AK1160" s="3">
        <v>4.1113483000000004</v>
      </c>
      <c r="AL1160" s="3">
        <v>4.0812429000000003</v>
      </c>
      <c r="AM1160" s="3">
        <v>4.0524138000000001</v>
      </c>
      <c r="AN1160" s="3">
        <v>4.0246924000000002</v>
      </c>
      <c r="AO1160" s="3">
        <v>3.9979311000000002</v>
      </c>
      <c r="AP1160" s="3">
        <v>3.9720787</v>
      </c>
      <c r="AQ1160" s="3">
        <v>3.9471116999999998</v>
      </c>
      <c r="AR1160" s="3">
        <v>3.9230057</v>
      </c>
      <c r="AS1160" s="3">
        <v>3.8997361000000001</v>
      </c>
      <c r="AT1160" s="3">
        <v>3.8772795000000002</v>
      </c>
      <c r="AU1160" s="3">
        <v>3.8556115000000002</v>
      </c>
      <c r="AV1160" s="3">
        <v>3.8347074999999999</v>
      </c>
      <c r="AW1160" s="3">
        <v>3.8145440000000002</v>
      </c>
      <c r="AX1160" s="3">
        <v>3.7950965000000001</v>
      </c>
      <c r="AY1160" s="3">
        <v>3.7763407999999998</v>
      </c>
      <c r="AZ1160" s="3">
        <v>3.7582531000000001</v>
      </c>
      <c r="BA1160" s="3">
        <v>3.7408122000000001</v>
      </c>
      <c r="BB1160" s="3">
        <v>3.7240107999999998</v>
      </c>
      <c r="BC1160" s="3">
        <v>3.7078462999999999</v>
      </c>
      <c r="BD1160" s="3">
        <v>3.6923153000000002</v>
      </c>
      <c r="BE1160" s="3">
        <v>3.6774144</v>
      </c>
      <c r="BF1160" s="3">
        <v>3.6631407999999999</v>
      </c>
      <c r="BG1160" s="3">
        <v>3.6494913000000002</v>
      </c>
      <c r="BH1160" s="3">
        <v>3.6364624000000001</v>
      </c>
      <c r="BI1160" s="3">
        <v>3.6240513000000001</v>
      </c>
      <c r="BJ1160" s="3">
        <v>3.6122548000000001</v>
      </c>
      <c r="BK1160" s="3">
        <v>3.6010694999999999</v>
      </c>
      <c r="BL1160" s="3">
        <v>3.5904924999999999</v>
      </c>
      <c r="BM1160" s="3">
        <v>3.5393884</v>
      </c>
      <c r="BN1160" s="3">
        <v>3.5079275000000001</v>
      </c>
    </row>
    <row r="1161" spans="1:66" x14ac:dyDescent="0.35">
      <c r="A1161" s="5">
        <f t="shared" si="17"/>
        <v>45079</v>
      </c>
      <c r="B1161" t="s">
        <v>2567</v>
      </c>
      <c r="C1161" s="2">
        <v>4.5</v>
      </c>
      <c r="D1161" s="2">
        <v>4.4280999999999997</v>
      </c>
      <c r="E1161" s="3">
        <v>4.6507766000000004</v>
      </c>
      <c r="F1161" s="3">
        <v>4.8543368999999998</v>
      </c>
      <c r="G1161" s="3">
        <v>5.0354042999999997</v>
      </c>
      <c r="H1161" s="3">
        <v>5.1781040999999997</v>
      </c>
      <c r="I1161" s="3">
        <v>5.2809299999999997</v>
      </c>
      <c r="J1161" s="3">
        <v>5.3452147999999999</v>
      </c>
      <c r="K1161" s="3">
        <v>5.3749018</v>
      </c>
      <c r="L1161" s="3">
        <v>5.3765361</v>
      </c>
      <c r="M1161" s="3">
        <v>5.3578479999999997</v>
      </c>
      <c r="N1161" s="3">
        <v>5.3251761999999996</v>
      </c>
      <c r="O1161" s="3">
        <v>5.2829094999999997</v>
      </c>
      <c r="P1161" s="3">
        <v>5.2337043999999997</v>
      </c>
      <c r="Q1161" s="3">
        <v>5.1794637999999997</v>
      </c>
      <c r="R1161" s="3">
        <v>5.1214915000000003</v>
      </c>
      <c r="S1161" s="3">
        <v>5.0609349999999997</v>
      </c>
      <c r="T1161" s="3">
        <v>4.9989398999999999</v>
      </c>
      <c r="U1161" s="3">
        <v>4.9366515</v>
      </c>
      <c r="V1161" s="3">
        <v>4.8752176</v>
      </c>
      <c r="W1161" s="3">
        <v>4.8156239999999997</v>
      </c>
      <c r="X1161" s="3">
        <v>4.7581170000000004</v>
      </c>
      <c r="Y1161" s="3">
        <v>4.7027302000000004</v>
      </c>
      <c r="Z1161" s="3">
        <v>4.6494954999999996</v>
      </c>
      <c r="AA1161" s="3">
        <v>4.5984445999999997</v>
      </c>
      <c r="AB1161" s="3">
        <v>4.5496112000000002</v>
      </c>
      <c r="AC1161" s="3">
        <v>4.5030030999999999</v>
      </c>
      <c r="AD1161" s="3">
        <v>4.4585226000000002</v>
      </c>
      <c r="AE1161" s="3">
        <v>4.4160443999999996</v>
      </c>
      <c r="AF1161" s="3">
        <v>4.3754416999999997</v>
      </c>
      <c r="AG1161" s="3">
        <v>4.3365876999999999</v>
      </c>
      <c r="AH1161" s="3">
        <v>4.2993569999999997</v>
      </c>
      <c r="AI1161" s="3">
        <v>4.2636228999999997</v>
      </c>
      <c r="AJ1161" s="3">
        <v>4.2292585999999996</v>
      </c>
      <c r="AK1161" s="3">
        <v>4.1961385</v>
      </c>
      <c r="AL1161" s="3">
        <v>4.1641360000000001</v>
      </c>
      <c r="AM1161" s="3">
        <v>4.1331243999999998</v>
      </c>
      <c r="AN1161" s="3">
        <v>4.1029780000000002</v>
      </c>
      <c r="AO1161" s="3">
        <v>4.0735887000000002</v>
      </c>
      <c r="AP1161" s="3">
        <v>4.0449289999999998</v>
      </c>
      <c r="AQ1161" s="3">
        <v>4.0169953999999999</v>
      </c>
      <c r="AR1161" s="3">
        <v>3.9897828</v>
      </c>
      <c r="AS1161" s="3">
        <v>3.9632865000000002</v>
      </c>
      <c r="AT1161" s="3">
        <v>3.9375027999999999</v>
      </c>
      <c r="AU1161" s="3">
        <v>3.9124265999999999</v>
      </c>
      <c r="AV1161" s="3">
        <v>3.8880533000000002</v>
      </c>
      <c r="AW1161" s="3">
        <v>3.864379</v>
      </c>
      <c r="AX1161" s="3">
        <v>3.8413987999999999</v>
      </c>
      <c r="AY1161" s="3">
        <v>3.8191080999999998</v>
      </c>
      <c r="AZ1161" s="3">
        <v>3.7975028000000002</v>
      </c>
      <c r="BA1161" s="3">
        <v>3.7765803</v>
      </c>
      <c r="BB1161" s="3">
        <v>3.7563472</v>
      </c>
      <c r="BC1161" s="3">
        <v>3.7368131</v>
      </c>
      <c r="BD1161" s="3">
        <v>3.7179872999999999</v>
      </c>
      <c r="BE1161" s="3">
        <v>3.6998788</v>
      </c>
      <c r="BF1161" s="3">
        <v>3.6824973999999999</v>
      </c>
      <c r="BG1161" s="3">
        <v>3.6658521999999998</v>
      </c>
      <c r="BH1161" s="3">
        <v>3.6499522999999998</v>
      </c>
      <c r="BI1161" s="3">
        <v>3.6348074000000001</v>
      </c>
      <c r="BJ1161" s="3">
        <v>3.6204266000000001</v>
      </c>
      <c r="BK1161" s="3">
        <v>3.6068191999999999</v>
      </c>
      <c r="BL1161" s="3">
        <v>3.5939947000000001</v>
      </c>
      <c r="BM1161" s="3">
        <v>3.5332525000000001</v>
      </c>
      <c r="BN1161" s="3">
        <v>3.4984058999999998</v>
      </c>
    </row>
    <row r="1162" spans="1:66" x14ac:dyDescent="0.35">
      <c r="A1162" s="5">
        <f t="shared" si="17"/>
        <v>45082</v>
      </c>
      <c r="B1162" t="s">
        <v>2568</v>
      </c>
      <c r="C1162" s="2">
        <v>4.5</v>
      </c>
      <c r="D1162" s="2">
        <v>4.4279999999999999</v>
      </c>
      <c r="E1162" s="3">
        <v>4.6972586999999999</v>
      </c>
      <c r="F1162" s="3">
        <v>4.8749729000000004</v>
      </c>
      <c r="G1162" s="3">
        <v>5.0482335999999997</v>
      </c>
      <c r="H1162" s="3">
        <v>5.1936011999999998</v>
      </c>
      <c r="I1162" s="3">
        <v>5.3012600000000001</v>
      </c>
      <c r="J1162" s="3">
        <v>5.3700406999999997</v>
      </c>
      <c r="K1162" s="3">
        <v>5.4036556999999998</v>
      </c>
      <c r="L1162" s="3">
        <v>5.4107950999999996</v>
      </c>
      <c r="M1162" s="3">
        <v>5.3998115000000002</v>
      </c>
      <c r="N1162" s="3">
        <v>5.3773210999999996</v>
      </c>
      <c r="O1162" s="3">
        <v>5.3467963999999997</v>
      </c>
      <c r="P1162" s="3">
        <v>5.3102871</v>
      </c>
      <c r="Q1162" s="3">
        <v>5.2689816</v>
      </c>
      <c r="R1162" s="3">
        <v>5.2236509</v>
      </c>
      <c r="S1162" s="3">
        <v>5.1750109000000002</v>
      </c>
      <c r="T1162" s="3">
        <v>5.1237754000000004</v>
      </c>
      <c r="U1162" s="3">
        <v>5.0706585000000004</v>
      </c>
      <c r="V1162" s="3">
        <v>5.0163757999999996</v>
      </c>
      <c r="W1162" s="3">
        <v>4.9615850000000004</v>
      </c>
      <c r="X1162" s="3">
        <v>4.9066811000000001</v>
      </c>
      <c r="Y1162" s="3">
        <v>4.8519851999999997</v>
      </c>
      <c r="Z1162" s="3">
        <v>4.7978167000000003</v>
      </c>
      <c r="AA1162" s="3">
        <v>4.7444946999999997</v>
      </c>
      <c r="AB1162" s="3">
        <v>4.6923402999999997</v>
      </c>
      <c r="AC1162" s="3">
        <v>4.6416215000000003</v>
      </c>
      <c r="AD1162" s="3">
        <v>4.5923803000000003</v>
      </c>
      <c r="AE1162" s="3">
        <v>4.5445981</v>
      </c>
      <c r="AF1162" s="3">
        <v>4.4982543000000001</v>
      </c>
      <c r="AG1162" s="3">
        <v>4.4533285999999999</v>
      </c>
      <c r="AH1162" s="3">
        <v>4.4098021999999997</v>
      </c>
      <c r="AI1162" s="3">
        <v>4.3676547000000001</v>
      </c>
      <c r="AJ1162" s="3">
        <v>4.3268658000000002</v>
      </c>
      <c r="AK1162" s="3">
        <v>4.2874166999999996</v>
      </c>
      <c r="AL1162" s="3">
        <v>4.2492869000000004</v>
      </c>
      <c r="AM1162" s="3">
        <v>4.2124562000000001</v>
      </c>
      <c r="AN1162" s="3">
        <v>4.1769056000000004</v>
      </c>
      <c r="AO1162" s="3">
        <v>4.1426147999999996</v>
      </c>
      <c r="AP1162" s="3">
        <v>4.1095638000000001</v>
      </c>
      <c r="AQ1162" s="3">
        <v>4.0777334999999999</v>
      </c>
      <c r="AR1162" s="3">
        <v>4.047104</v>
      </c>
      <c r="AS1162" s="3">
        <v>4.0176550999999998</v>
      </c>
      <c r="AT1162" s="3">
        <v>3.9893678000000001</v>
      </c>
      <c r="AU1162" s="3">
        <v>3.9622220000000001</v>
      </c>
      <c r="AV1162" s="3">
        <v>3.9361978</v>
      </c>
      <c r="AW1162" s="3">
        <v>3.911276</v>
      </c>
      <c r="AX1162" s="3">
        <v>3.8874366999999999</v>
      </c>
      <c r="AY1162" s="3">
        <v>3.8646598000000001</v>
      </c>
      <c r="AZ1162" s="3">
        <v>3.8429261000000001</v>
      </c>
      <c r="BA1162" s="3">
        <v>3.8222155999999998</v>
      </c>
      <c r="BB1162" s="3">
        <v>3.8025074999999999</v>
      </c>
      <c r="BC1162" s="3">
        <v>3.7837812</v>
      </c>
      <c r="BD1162" s="3">
        <v>3.7660157000000001</v>
      </c>
      <c r="BE1162" s="3">
        <v>3.7491900999999999</v>
      </c>
      <c r="BF1162" s="3">
        <v>3.7332836</v>
      </c>
      <c r="BG1162" s="3">
        <v>3.7182754999999998</v>
      </c>
      <c r="BH1162" s="3">
        <v>3.7041445</v>
      </c>
      <c r="BI1162" s="3">
        <v>3.6908702</v>
      </c>
      <c r="BJ1162" s="3">
        <v>3.6784314999999999</v>
      </c>
      <c r="BK1162" s="3">
        <v>3.6668074000000002</v>
      </c>
      <c r="BL1162" s="3">
        <v>3.6559775000000001</v>
      </c>
      <c r="BM1162" s="3">
        <v>3.6064094</v>
      </c>
      <c r="BN1162" s="3">
        <v>3.5796025</v>
      </c>
    </row>
    <row r="1163" spans="1:66" x14ac:dyDescent="0.35">
      <c r="A1163" s="5">
        <f t="shared" si="17"/>
        <v>45083</v>
      </c>
      <c r="B1163" t="s">
        <v>2570</v>
      </c>
      <c r="C1163" s="2">
        <v>4.5</v>
      </c>
      <c r="D1163" s="2">
        <v>4.4279000000000002</v>
      </c>
      <c r="E1163" s="3">
        <v>4.7025842000000004</v>
      </c>
      <c r="F1163" s="3">
        <v>4.8720581999999997</v>
      </c>
      <c r="G1163" s="3">
        <v>5.0403855000000002</v>
      </c>
      <c r="H1163" s="3">
        <v>5.1803046000000004</v>
      </c>
      <c r="I1163" s="3">
        <v>5.2815428999999998</v>
      </c>
      <c r="J1163" s="3">
        <v>5.3447706999999998</v>
      </c>
      <c r="K1163" s="3">
        <v>5.3755379000000003</v>
      </c>
      <c r="L1163" s="3">
        <v>5.3836757000000004</v>
      </c>
      <c r="M1163" s="3">
        <v>5.3771214000000001</v>
      </c>
      <c r="N1163" s="3">
        <v>5.3611051999999999</v>
      </c>
      <c r="O1163" s="3">
        <v>5.3377135999999998</v>
      </c>
      <c r="P1163" s="3">
        <v>5.3074165999999998</v>
      </c>
      <c r="Q1163" s="3">
        <v>5.269863</v>
      </c>
      <c r="R1163" s="3">
        <v>5.2258338999999996</v>
      </c>
      <c r="S1163" s="3">
        <v>5.1764960000000002</v>
      </c>
      <c r="T1163" s="3">
        <v>5.1230143000000004</v>
      </c>
      <c r="U1163" s="3">
        <v>5.0665535000000004</v>
      </c>
      <c r="V1163" s="3">
        <v>5.0082806</v>
      </c>
      <c r="W1163" s="3">
        <v>4.9492535999999996</v>
      </c>
      <c r="X1163" s="3">
        <v>4.8900360000000003</v>
      </c>
      <c r="Y1163" s="3">
        <v>4.8310500000000003</v>
      </c>
      <c r="Z1163" s="3">
        <v>4.7727157</v>
      </c>
      <c r="AA1163" s="3">
        <v>4.7154531999999998</v>
      </c>
      <c r="AB1163" s="3">
        <v>4.6596846999999997</v>
      </c>
      <c r="AC1163" s="3">
        <v>4.6057610000000002</v>
      </c>
      <c r="AD1163" s="3">
        <v>4.5537276999999996</v>
      </c>
      <c r="AE1163" s="3">
        <v>4.5035476000000001</v>
      </c>
      <c r="AF1163" s="3">
        <v>4.4551821</v>
      </c>
      <c r="AG1163" s="3">
        <v>4.4085922000000002</v>
      </c>
      <c r="AH1163" s="3">
        <v>4.3637410000000001</v>
      </c>
      <c r="AI1163" s="3">
        <v>4.3205895999999999</v>
      </c>
      <c r="AJ1163" s="3">
        <v>4.2790993000000004</v>
      </c>
      <c r="AK1163" s="3">
        <v>4.2392327999999999</v>
      </c>
      <c r="AL1163" s="3">
        <v>4.2009515999999998</v>
      </c>
      <c r="AM1163" s="3">
        <v>4.1642168000000002</v>
      </c>
      <c r="AN1163" s="3">
        <v>4.1289911999999998</v>
      </c>
      <c r="AO1163" s="3">
        <v>4.0952355999999996</v>
      </c>
      <c r="AP1163" s="3">
        <v>4.0629086000000001</v>
      </c>
      <c r="AQ1163" s="3">
        <v>4.0319688999999999</v>
      </c>
      <c r="AR1163" s="3">
        <v>4.0023742000000002</v>
      </c>
      <c r="AS1163" s="3">
        <v>3.9740823000000001</v>
      </c>
      <c r="AT1163" s="3">
        <v>3.9470518999999999</v>
      </c>
      <c r="AU1163" s="3">
        <v>3.9212406999999998</v>
      </c>
      <c r="AV1163" s="3">
        <v>3.8966064999999999</v>
      </c>
      <c r="AW1163" s="3">
        <v>3.8731078999999999</v>
      </c>
      <c r="AX1163" s="3">
        <v>3.8507026</v>
      </c>
      <c r="AY1163" s="3">
        <v>3.8293485</v>
      </c>
      <c r="AZ1163" s="3">
        <v>3.8090042</v>
      </c>
      <c r="BA1163" s="3">
        <v>3.7896295000000002</v>
      </c>
      <c r="BB1163" s="3">
        <v>3.7711947000000001</v>
      </c>
      <c r="BC1163" s="3">
        <v>3.7536735000000001</v>
      </c>
      <c r="BD1163" s="3">
        <v>3.7370394999999998</v>
      </c>
      <c r="BE1163" s="3">
        <v>3.7212657999999998</v>
      </c>
      <c r="BF1163" s="3">
        <v>3.7063263000000002</v>
      </c>
      <c r="BG1163" s="3">
        <v>3.6921944</v>
      </c>
      <c r="BH1163" s="3">
        <v>3.6788435000000002</v>
      </c>
      <c r="BI1163" s="3">
        <v>3.6662471999999999</v>
      </c>
      <c r="BJ1163" s="3">
        <v>3.654379</v>
      </c>
      <c r="BK1163" s="3">
        <v>3.6432123000000001</v>
      </c>
      <c r="BL1163" s="3">
        <v>3.6327208</v>
      </c>
      <c r="BM1163" s="3">
        <v>3.5828323000000002</v>
      </c>
      <c r="BN1163" s="3">
        <v>3.5528236999999998</v>
      </c>
    </row>
    <row r="1164" spans="1:66" x14ac:dyDescent="0.35">
      <c r="A1164" s="5">
        <f t="shared" si="17"/>
        <v>45084</v>
      </c>
      <c r="B1164" t="s">
        <v>2571</v>
      </c>
      <c r="C1164" s="2">
        <v>4.5</v>
      </c>
      <c r="D1164" s="2">
        <v>4.4278000000000004</v>
      </c>
      <c r="E1164" s="3">
        <v>4.7127824</v>
      </c>
      <c r="F1164" s="3">
        <v>4.8775411999999996</v>
      </c>
      <c r="G1164" s="3">
        <v>5.0538612000000001</v>
      </c>
      <c r="H1164" s="3">
        <v>5.2087602999999998</v>
      </c>
      <c r="I1164" s="3">
        <v>5.3260958</v>
      </c>
      <c r="J1164" s="3">
        <v>5.4045490999999997</v>
      </c>
      <c r="K1164" s="3">
        <v>5.4480167000000002</v>
      </c>
      <c r="L1164" s="3">
        <v>5.4659778000000001</v>
      </c>
      <c r="M1164" s="3">
        <v>5.4671624999999997</v>
      </c>
      <c r="N1164" s="3">
        <v>5.4577429999999998</v>
      </c>
      <c r="O1164" s="3">
        <v>5.4402467000000003</v>
      </c>
      <c r="P1164" s="3">
        <v>5.4151055000000001</v>
      </c>
      <c r="Q1164" s="3">
        <v>5.3810447000000003</v>
      </c>
      <c r="R1164" s="3">
        <v>5.3386817999999998</v>
      </c>
      <c r="S1164" s="3">
        <v>5.2893030000000003</v>
      </c>
      <c r="T1164" s="3">
        <v>5.2341929</v>
      </c>
      <c r="U1164" s="3">
        <v>5.1746359999999996</v>
      </c>
      <c r="V1164" s="3">
        <v>5.1119187999999998</v>
      </c>
      <c r="W1164" s="3">
        <v>5.0472691000000003</v>
      </c>
      <c r="X1164" s="3">
        <v>4.9815937999999997</v>
      </c>
      <c r="Y1164" s="3">
        <v>4.9156890000000004</v>
      </c>
      <c r="Z1164" s="3">
        <v>4.8503486000000002</v>
      </c>
      <c r="AA1164" s="3">
        <v>4.7863663000000001</v>
      </c>
      <c r="AB1164" s="3">
        <v>4.7245384000000001</v>
      </c>
      <c r="AC1164" s="3">
        <v>4.6655471000000004</v>
      </c>
      <c r="AD1164" s="3">
        <v>4.6094739999999996</v>
      </c>
      <c r="AE1164" s="3">
        <v>4.5562012999999997</v>
      </c>
      <c r="AF1164" s="3">
        <v>4.5056092999999997</v>
      </c>
      <c r="AG1164" s="3">
        <v>4.4575779999999998</v>
      </c>
      <c r="AH1164" s="3">
        <v>4.4119894999999998</v>
      </c>
      <c r="AI1164" s="3">
        <v>4.3687240000000003</v>
      </c>
      <c r="AJ1164" s="3">
        <v>4.3276617000000002</v>
      </c>
      <c r="AK1164" s="3">
        <v>4.2886844999999996</v>
      </c>
      <c r="AL1164" s="3">
        <v>4.2516724999999997</v>
      </c>
      <c r="AM1164" s="3">
        <v>4.2165062999999998</v>
      </c>
      <c r="AN1164" s="3">
        <v>4.1830673000000003</v>
      </c>
      <c r="AO1164" s="3">
        <v>4.1512424000000001</v>
      </c>
      <c r="AP1164" s="3">
        <v>4.1209499000000003</v>
      </c>
      <c r="AQ1164" s="3">
        <v>4.0921186000000001</v>
      </c>
      <c r="AR1164" s="3">
        <v>4.0646763000000004</v>
      </c>
      <c r="AS1164" s="3">
        <v>4.0385508000000003</v>
      </c>
      <c r="AT1164" s="3">
        <v>4.0136709000000002</v>
      </c>
      <c r="AU1164" s="3">
        <v>3.9899643999999999</v>
      </c>
      <c r="AV1164" s="3">
        <v>3.9673592000000002</v>
      </c>
      <c r="AW1164" s="3">
        <v>3.9457838999999999</v>
      </c>
      <c r="AX1164" s="3">
        <v>3.9251665</v>
      </c>
      <c r="AY1164" s="3">
        <v>3.9054348999999999</v>
      </c>
      <c r="AZ1164" s="3">
        <v>3.8865175999999999</v>
      </c>
      <c r="BA1164" s="3">
        <v>3.8683513999999999</v>
      </c>
      <c r="BB1164" s="3">
        <v>3.8509123999999999</v>
      </c>
      <c r="BC1164" s="3">
        <v>3.8341878</v>
      </c>
      <c r="BD1164" s="3">
        <v>3.8181645</v>
      </c>
      <c r="BE1164" s="3">
        <v>3.8028293</v>
      </c>
      <c r="BF1164" s="3">
        <v>3.7881694000000001</v>
      </c>
      <c r="BG1164" s="3">
        <v>3.7741717000000001</v>
      </c>
      <c r="BH1164" s="3">
        <v>3.7608231000000001</v>
      </c>
      <c r="BI1164" s="3">
        <v>3.7481106999999998</v>
      </c>
      <c r="BJ1164" s="3">
        <v>3.7360215000000001</v>
      </c>
      <c r="BK1164" s="3">
        <v>3.7245422000000001</v>
      </c>
      <c r="BL1164" s="3">
        <v>3.7136600999999998</v>
      </c>
      <c r="BM1164" s="3">
        <v>3.6602423000000002</v>
      </c>
      <c r="BN1164" s="3">
        <v>3.6254428000000001</v>
      </c>
    </row>
    <row r="1165" spans="1:66" x14ac:dyDescent="0.35">
      <c r="A1165" s="5">
        <f t="shared" si="17"/>
        <v>45085</v>
      </c>
      <c r="B1165" t="s">
        <v>2572</v>
      </c>
      <c r="C1165" s="2">
        <v>4.5</v>
      </c>
      <c r="D1165" s="2">
        <v>4.4279000000000002</v>
      </c>
      <c r="E1165" s="3">
        <v>4.7223316999999998</v>
      </c>
      <c r="F1165" s="3">
        <v>4.8731600000000004</v>
      </c>
      <c r="G1165" s="3">
        <v>5.0388161</v>
      </c>
      <c r="H1165" s="3">
        <v>5.1847088000000001</v>
      </c>
      <c r="I1165" s="3">
        <v>5.2940398000000002</v>
      </c>
      <c r="J1165" s="3">
        <v>5.3653162999999999</v>
      </c>
      <c r="K1165" s="3">
        <v>5.4025515000000004</v>
      </c>
      <c r="L1165" s="3">
        <v>5.4142656000000002</v>
      </c>
      <c r="M1165" s="3">
        <v>5.4079810999999998</v>
      </c>
      <c r="N1165" s="3">
        <v>5.3894076999999996</v>
      </c>
      <c r="O1165" s="3">
        <v>5.3612748000000003</v>
      </c>
      <c r="P1165" s="3">
        <v>5.3251165</v>
      </c>
      <c r="Q1165" s="3">
        <v>5.2815032000000004</v>
      </c>
      <c r="R1165" s="3">
        <v>5.2315281000000002</v>
      </c>
      <c r="S1165" s="3">
        <v>5.1765536000000001</v>
      </c>
      <c r="T1165" s="3">
        <v>5.1179404999999996</v>
      </c>
      <c r="U1165" s="3">
        <v>5.0570494000000004</v>
      </c>
      <c r="V1165" s="3">
        <v>4.9952429</v>
      </c>
      <c r="W1165" s="3">
        <v>4.9337568999999997</v>
      </c>
      <c r="X1165" s="3">
        <v>4.8731875000000002</v>
      </c>
      <c r="Y1165" s="3">
        <v>4.8139291000000002</v>
      </c>
      <c r="Z1165" s="3">
        <v>4.7563732999999999</v>
      </c>
      <c r="AA1165" s="3">
        <v>4.7009122000000003</v>
      </c>
      <c r="AB1165" s="3">
        <v>4.6479397000000002</v>
      </c>
      <c r="AC1165" s="3">
        <v>4.5977724000000002</v>
      </c>
      <c r="AD1165" s="3">
        <v>4.5503593999999996</v>
      </c>
      <c r="AE1165" s="3">
        <v>4.5055398000000002</v>
      </c>
      <c r="AF1165" s="3">
        <v>4.4631509999999999</v>
      </c>
      <c r="AG1165" s="3">
        <v>4.4230302999999997</v>
      </c>
      <c r="AH1165" s="3">
        <v>4.3850167999999998</v>
      </c>
      <c r="AI1165" s="3">
        <v>4.3489477000000001</v>
      </c>
      <c r="AJ1165" s="3">
        <v>4.3146607000000001</v>
      </c>
      <c r="AK1165" s="3">
        <v>4.2819944999999997</v>
      </c>
      <c r="AL1165" s="3">
        <v>4.2507865000000002</v>
      </c>
      <c r="AM1165" s="3">
        <v>4.2208743000000002</v>
      </c>
      <c r="AN1165" s="3">
        <v>4.1920966000000002</v>
      </c>
      <c r="AO1165" s="3">
        <v>4.1643103999999997</v>
      </c>
      <c r="AP1165" s="3">
        <v>4.1374586000000004</v>
      </c>
      <c r="AQ1165" s="3">
        <v>4.1115089999999999</v>
      </c>
      <c r="AR1165" s="3">
        <v>4.0864282999999997</v>
      </c>
      <c r="AS1165" s="3">
        <v>4.0621831000000004</v>
      </c>
      <c r="AT1165" s="3">
        <v>4.0387411000000002</v>
      </c>
      <c r="AU1165" s="3">
        <v>4.0160691000000002</v>
      </c>
      <c r="AV1165" s="3">
        <v>3.9941336999999999</v>
      </c>
      <c r="AW1165" s="3">
        <v>3.9729025</v>
      </c>
      <c r="AX1165" s="3">
        <v>3.9523424</v>
      </c>
      <c r="AY1165" s="3">
        <v>3.93242</v>
      </c>
      <c r="AZ1165" s="3">
        <v>3.9131029000000002</v>
      </c>
      <c r="BA1165" s="3">
        <v>3.8943633000000002</v>
      </c>
      <c r="BB1165" s="3">
        <v>3.8761982000000001</v>
      </c>
      <c r="BC1165" s="3">
        <v>3.8586117</v>
      </c>
      <c r="BD1165" s="3">
        <v>3.8416073000000002</v>
      </c>
      <c r="BE1165" s="3">
        <v>3.8251886000000002</v>
      </c>
      <c r="BF1165" s="3">
        <v>3.8093596999999999</v>
      </c>
      <c r="BG1165" s="3">
        <v>3.7941242000000002</v>
      </c>
      <c r="BH1165" s="3">
        <v>3.7794856999999999</v>
      </c>
      <c r="BI1165" s="3">
        <v>3.7654481999999998</v>
      </c>
      <c r="BJ1165" s="3">
        <v>3.7520155000000002</v>
      </c>
      <c r="BK1165" s="3">
        <v>3.7391909999999999</v>
      </c>
      <c r="BL1165" s="3">
        <v>3.7269789000000002</v>
      </c>
      <c r="BM1165" s="3">
        <v>3.6663638000000001</v>
      </c>
      <c r="BN1165" s="3">
        <v>3.6262308000000001</v>
      </c>
    </row>
    <row r="1166" spans="1:66" x14ac:dyDescent="0.35">
      <c r="A1166" s="5">
        <f t="shared" si="17"/>
        <v>45086</v>
      </c>
      <c r="B1166" t="s">
        <v>2573</v>
      </c>
      <c r="C1166" s="2">
        <v>4.5</v>
      </c>
      <c r="D1166" s="2">
        <v>4.4280999999999997</v>
      </c>
      <c r="E1166" s="3">
        <v>4.739554</v>
      </c>
      <c r="F1166" s="3">
        <v>4.8975831000000003</v>
      </c>
      <c r="G1166" s="3">
        <v>5.0690841000000004</v>
      </c>
      <c r="H1166" s="3">
        <v>5.2209497999999996</v>
      </c>
      <c r="I1166" s="3">
        <v>5.3360861999999996</v>
      </c>
      <c r="J1166" s="3">
        <v>5.4116226000000003</v>
      </c>
      <c r="K1166" s="3">
        <v>5.4519485000000003</v>
      </c>
      <c r="L1166" s="3">
        <v>5.4647474000000003</v>
      </c>
      <c r="M1166" s="3">
        <v>5.4585186999999999</v>
      </c>
      <c r="N1166" s="3">
        <v>5.4393577999999998</v>
      </c>
      <c r="O1166" s="3">
        <v>5.410749</v>
      </c>
      <c r="P1166" s="3">
        <v>5.3744136999999998</v>
      </c>
      <c r="Q1166" s="3">
        <v>5.3314728000000002</v>
      </c>
      <c r="R1166" s="3">
        <v>5.2829920000000001</v>
      </c>
      <c r="S1166" s="3">
        <v>5.2300450999999999</v>
      </c>
      <c r="T1166" s="3">
        <v>5.1737042000000004</v>
      </c>
      <c r="U1166" s="3">
        <v>5.1150412999999997</v>
      </c>
      <c r="V1166" s="3">
        <v>5.0551301999999998</v>
      </c>
      <c r="W1166" s="3">
        <v>4.9949479999999999</v>
      </c>
      <c r="X1166" s="3">
        <v>4.9350304999999999</v>
      </c>
      <c r="Y1166" s="3">
        <v>4.8757878999999997</v>
      </c>
      <c r="Z1166" s="3">
        <v>4.8176283</v>
      </c>
      <c r="AA1166" s="3">
        <v>4.7609598000000002</v>
      </c>
      <c r="AB1166" s="3">
        <v>4.7061926999999999</v>
      </c>
      <c r="AC1166" s="3">
        <v>4.6536591999999999</v>
      </c>
      <c r="AD1166" s="3">
        <v>4.6033581000000003</v>
      </c>
      <c r="AE1166" s="3">
        <v>4.5551975000000002</v>
      </c>
      <c r="AF1166" s="3">
        <v>4.5090836000000003</v>
      </c>
      <c r="AG1166" s="3">
        <v>4.4649232000000003</v>
      </c>
      <c r="AH1166" s="3">
        <v>4.4226239999999999</v>
      </c>
      <c r="AI1166" s="3">
        <v>4.3820927000000003</v>
      </c>
      <c r="AJ1166" s="3">
        <v>4.3432357000000001</v>
      </c>
      <c r="AK1166" s="3">
        <v>4.3059608999999996</v>
      </c>
      <c r="AL1166" s="3">
        <v>4.2701748999999998</v>
      </c>
      <c r="AM1166" s="3">
        <v>4.2357842999999997</v>
      </c>
      <c r="AN1166" s="3">
        <v>4.2026966999999997</v>
      </c>
      <c r="AO1166" s="3">
        <v>4.1708270000000001</v>
      </c>
      <c r="AP1166" s="3">
        <v>4.1401253000000002</v>
      </c>
      <c r="AQ1166" s="3">
        <v>4.1105529000000001</v>
      </c>
      <c r="AR1166" s="3">
        <v>4.0820699999999999</v>
      </c>
      <c r="AS1166" s="3">
        <v>4.0546366000000003</v>
      </c>
      <c r="AT1166" s="3">
        <v>4.0282140000000002</v>
      </c>
      <c r="AU1166" s="3">
        <v>4.0027622999999997</v>
      </c>
      <c r="AV1166" s="3">
        <v>3.9782418000000002</v>
      </c>
      <c r="AW1166" s="3">
        <v>3.9546133999999999</v>
      </c>
      <c r="AX1166" s="3">
        <v>3.9318374</v>
      </c>
      <c r="AY1166" s="3">
        <v>3.9098741000000001</v>
      </c>
      <c r="AZ1166" s="3">
        <v>3.8886843999999998</v>
      </c>
      <c r="BA1166" s="3">
        <v>3.8682337000000002</v>
      </c>
      <c r="BB1166" s="3">
        <v>3.8485102000000002</v>
      </c>
      <c r="BC1166" s="3">
        <v>3.8295086999999999</v>
      </c>
      <c r="BD1166" s="3">
        <v>3.8112237000000002</v>
      </c>
      <c r="BE1166" s="3">
        <v>3.7936494999999999</v>
      </c>
      <c r="BF1166" s="3">
        <v>3.7767811</v>
      </c>
      <c r="BG1166" s="3">
        <v>3.7606128999999999</v>
      </c>
      <c r="BH1166" s="3">
        <v>3.7451392000000001</v>
      </c>
      <c r="BI1166" s="3">
        <v>3.7303549999999999</v>
      </c>
      <c r="BJ1166" s="3">
        <v>3.7162546999999999</v>
      </c>
      <c r="BK1166" s="3">
        <v>3.7028325999999998</v>
      </c>
      <c r="BL1166" s="3">
        <v>3.6900835999999999</v>
      </c>
      <c r="BM1166" s="3">
        <v>3.6272997</v>
      </c>
      <c r="BN1166" s="3">
        <v>3.5866481000000001</v>
      </c>
    </row>
    <row r="1167" spans="1:66" x14ac:dyDescent="0.35">
      <c r="A1167" s="5">
        <f t="shared" si="17"/>
        <v>45089</v>
      </c>
      <c r="B1167" t="s">
        <v>2574</v>
      </c>
      <c r="C1167" s="2">
        <v>4.5</v>
      </c>
      <c r="D1167" s="2">
        <v>4.4283000000000001</v>
      </c>
      <c r="E1167" s="3">
        <v>4.7511956</v>
      </c>
      <c r="F1167" s="3">
        <v>4.9249593000000003</v>
      </c>
      <c r="G1167" s="3">
        <v>5.1035300000000001</v>
      </c>
      <c r="H1167" s="3">
        <v>5.2581749999999996</v>
      </c>
      <c r="I1167" s="3">
        <v>5.3733351999999996</v>
      </c>
      <c r="J1167" s="3">
        <v>5.4484852999999998</v>
      </c>
      <c r="K1167" s="3">
        <v>5.4897564000000001</v>
      </c>
      <c r="L1167" s="3">
        <v>5.5072217999999999</v>
      </c>
      <c r="M1167" s="3">
        <v>5.5093541999999998</v>
      </c>
      <c r="N1167" s="3">
        <v>5.5018558000000004</v>
      </c>
      <c r="O1167" s="3">
        <v>5.4869310000000002</v>
      </c>
      <c r="P1167" s="3">
        <v>5.4651259999999997</v>
      </c>
      <c r="Q1167" s="3">
        <v>5.4352695999999998</v>
      </c>
      <c r="R1167" s="3">
        <v>5.3978659000000002</v>
      </c>
      <c r="S1167" s="3">
        <v>5.3540504000000002</v>
      </c>
      <c r="T1167" s="3">
        <v>5.3049572999999999</v>
      </c>
      <c r="U1167" s="3">
        <v>5.2517208000000002</v>
      </c>
      <c r="V1167" s="3">
        <v>5.1954767999999998</v>
      </c>
      <c r="W1167" s="3">
        <v>5.1372891999999997</v>
      </c>
      <c r="X1167" s="3">
        <v>5.0778965999999999</v>
      </c>
      <c r="Y1167" s="3">
        <v>5.0179453000000001</v>
      </c>
      <c r="Z1167" s="3">
        <v>4.9580795000000002</v>
      </c>
      <c r="AA1167" s="3">
        <v>4.8989434000000003</v>
      </c>
      <c r="AB1167" s="3">
        <v>4.8411834999999996</v>
      </c>
      <c r="AC1167" s="3">
        <v>4.7853389000000002</v>
      </c>
      <c r="AD1167" s="3">
        <v>4.7314859</v>
      </c>
      <c r="AE1167" s="3">
        <v>4.6795745999999996</v>
      </c>
      <c r="AF1167" s="3">
        <v>4.6295533999999998</v>
      </c>
      <c r="AG1167" s="3">
        <v>4.5813705999999996</v>
      </c>
      <c r="AH1167" s="3">
        <v>4.5349763999999997</v>
      </c>
      <c r="AI1167" s="3">
        <v>4.4903192000000001</v>
      </c>
      <c r="AJ1167" s="3">
        <v>4.4473472999999997</v>
      </c>
      <c r="AK1167" s="3">
        <v>4.4060107999999998</v>
      </c>
      <c r="AL1167" s="3">
        <v>4.3662580999999996</v>
      </c>
      <c r="AM1167" s="3">
        <v>4.3280377000000003</v>
      </c>
      <c r="AN1167" s="3">
        <v>4.2912996000000003</v>
      </c>
      <c r="AO1167" s="3">
        <v>4.2559943000000002</v>
      </c>
      <c r="AP1167" s="3">
        <v>4.2220829000000002</v>
      </c>
      <c r="AQ1167" s="3">
        <v>4.1895300999999998</v>
      </c>
      <c r="AR1167" s="3">
        <v>4.1582996000000003</v>
      </c>
      <c r="AS1167" s="3">
        <v>4.1283551000000003</v>
      </c>
      <c r="AT1167" s="3">
        <v>4.0996611999999999</v>
      </c>
      <c r="AU1167" s="3">
        <v>4.0721816999999998</v>
      </c>
      <c r="AV1167" s="3">
        <v>4.0458803000000003</v>
      </c>
      <c r="AW1167" s="3">
        <v>4.0207215999999999</v>
      </c>
      <c r="AX1167" s="3">
        <v>3.9966694</v>
      </c>
      <c r="AY1167" s="3">
        <v>3.9736872999999999</v>
      </c>
      <c r="AZ1167" s="3">
        <v>3.9517400999999999</v>
      </c>
      <c r="BA1167" s="3">
        <v>3.9307932000000001</v>
      </c>
      <c r="BB1167" s="3">
        <v>3.9108222000000001</v>
      </c>
      <c r="BC1167" s="3">
        <v>3.8918067000000001</v>
      </c>
      <c r="BD1167" s="3">
        <v>3.8737256000000002</v>
      </c>
      <c r="BE1167" s="3">
        <v>3.8565575999999999</v>
      </c>
      <c r="BF1167" s="3">
        <v>3.8402824</v>
      </c>
      <c r="BG1167" s="3">
        <v>3.8248788</v>
      </c>
      <c r="BH1167" s="3">
        <v>3.8103256000000001</v>
      </c>
      <c r="BI1167" s="3">
        <v>3.7966025000000001</v>
      </c>
      <c r="BJ1167" s="3">
        <v>3.7836881999999998</v>
      </c>
      <c r="BK1167" s="3">
        <v>3.7715616999999999</v>
      </c>
      <c r="BL1167" s="3">
        <v>3.7602025000000001</v>
      </c>
      <c r="BM1167" s="3">
        <v>3.7069527999999998</v>
      </c>
      <c r="BN1167" s="3">
        <v>3.6758565000000001</v>
      </c>
    </row>
    <row r="1168" spans="1:66" x14ac:dyDescent="0.35">
      <c r="A1168" s="5">
        <f t="shared" si="17"/>
        <v>45090</v>
      </c>
      <c r="B1168" t="s">
        <v>2575</v>
      </c>
      <c r="C1168" s="2">
        <v>4.5</v>
      </c>
      <c r="D1168" s="2">
        <v>4.4280999999999997</v>
      </c>
      <c r="E1168" s="3">
        <v>4.7594592000000002</v>
      </c>
      <c r="F1168" s="3">
        <v>4.9449018000000002</v>
      </c>
      <c r="G1168" s="3">
        <v>5.1505869999999998</v>
      </c>
      <c r="H1168" s="3">
        <v>5.3468910999999997</v>
      </c>
      <c r="I1168" s="3">
        <v>5.5119259999999999</v>
      </c>
      <c r="J1168" s="3">
        <v>5.6381255000000001</v>
      </c>
      <c r="K1168" s="3">
        <v>5.7244010000000003</v>
      </c>
      <c r="L1168" s="3">
        <v>5.7774108999999996</v>
      </c>
      <c r="M1168" s="3">
        <v>5.8055627999999997</v>
      </c>
      <c r="N1168" s="3">
        <v>5.8169791000000002</v>
      </c>
      <c r="O1168" s="3">
        <v>5.8163334999999998</v>
      </c>
      <c r="P1168" s="3">
        <v>5.8054702999999996</v>
      </c>
      <c r="Q1168" s="3">
        <v>5.7840954</v>
      </c>
      <c r="R1168" s="3">
        <v>5.7529976999999999</v>
      </c>
      <c r="S1168" s="3">
        <v>5.7134109999999998</v>
      </c>
      <c r="T1168" s="3">
        <v>5.6665678000000002</v>
      </c>
      <c r="U1168" s="3">
        <v>5.6137005999999996</v>
      </c>
      <c r="V1168" s="3">
        <v>5.5560435999999997</v>
      </c>
      <c r="W1168" s="3">
        <v>5.4947612000000001</v>
      </c>
      <c r="X1168" s="3">
        <v>5.4307017000000002</v>
      </c>
      <c r="Y1168" s="3">
        <v>5.3646246</v>
      </c>
      <c r="Z1168" s="3">
        <v>5.2972868999999996</v>
      </c>
      <c r="AA1168" s="3">
        <v>5.2294456</v>
      </c>
      <c r="AB1168" s="3">
        <v>5.1618599999999999</v>
      </c>
      <c r="AC1168" s="3">
        <v>5.0951868999999999</v>
      </c>
      <c r="AD1168" s="3">
        <v>5.0296406999999999</v>
      </c>
      <c r="AE1168" s="3">
        <v>4.9653159000000002</v>
      </c>
      <c r="AF1168" s="3">
        <v>4.9023047000000002</v>
      </c>
      <c r="AG1168" s="3">
        <v>4.8406994000000001</v>
      </c>
      <c r="AH1168" s="3">
        <v>4.7805945000000003</v>
      </c>
      <c r="AI1168" s="3">
        <v>4.7220820999999997</v>
      </c>
      <c r="AJ1168" s="3">
        <v>4.6652547999999996</v>
      </c>
      <c r="AK1168" s="3">
        <v>4.6102068000000003</v>
      </c>
      <c r="AL1168" s="3">
        <v>4.5570304000000004</v>
      </c>
      <c r="AM1168" s="3">
        <v>4.5058180999999999</v>
      </c>
      <c r="AN1168" s="3">
        <v>4.456664</v>
      </c>
      <c r="AO1168" s="3">
        <v>4.4096415999999996</v>
      </c>
      <c r="AP1168" s="3">
        <v>4.3647220000000004</v>
      </c>
      <c r="AQ1168" s="3">
        <v>4.3218436999999996</v>
      </c>
      <c r="AR1168" s="3">
        <v>4.2809432999999997</v>
      </c>
      <c r="AS1168" s="3">
        <v>4.2419579000000001</v>
      </c>
      <c r="AT1168" s="3">
        <v>4.2048256999999998</v>
      </c>
      <c r="AU1168" s="3">
        <v>4.1694836000000004</v>
      </c>
      <c r="AV1168" s="3">
        <v>4.1358683999999997</v>
      </c>
      <c r="AW1168" s="3">
        <v>4.1039184000000004</v>
      </c>
      <c r="AX1168" s="3">
        <v>4.0735704999999998</v>
      </c>
      <c r="AY1168" s="3">
        <v>4.0447616999999996</v>
      </c>
      <c r="AZ1168" s="3">
        <v>4.0174300000000001</v>
      </c>
      <c r="BA1168" s="3">
        <v>3.9915137999999999</v>
      </c>
      <c r="BB1168" s="3">
        <v>3.9669576000000002</v>
      </c>
      <c r="BC1168" s="3">
        <v>3.9437091</v>
      </c>
      <c r="BD1168" s="3">
        <v>3.9217149</v>
      </c>
      <c r="BE1168" s="3">
        <v>3.9009216000000002</v>
      </c>
      <c r="BF1168" s="3">
        <v>3.8812766999999999</v>
      </c>
      <c r="BG1168" s="3">
        <v>3.8627269000000002</v>
      </c>
      <c r="BH1168" s="3">
        <v>3.8452188999999999</v>
      </c>
      <c r="BI1168" s="3">
        <v>3.8287000999999998</v>
      </c>
      <c r="BJ1168" s="3">
        <v>3.8131170999999999</v>
      </c>
      <c r="BK1168" s="3">
        <v>3.7984167000000002</v>
      </c>
      <c r="BL1168" s="3">
        <v>3.7845463000000001</v>
      </c>
      <c r="BM1168" s="3">
        <v>3.7168432999999999</v>
      </c>
      <c r="BN1168" s="3">
        <v>3.6721841</v>
      </c>
    </row>
    <row r="1169" spans="1:66" x14ac:dyDescent="0.35">
      <c r="A1169" s="5">
        <f t="shared" si="17"/>
        <v>45091</v>
      </c>
      <c r="B1169" t="s">
        <v>2576</v>
      </c>
      <c r="C1169" s="2">
        <v>4.5</v>
      </c>
      <c r="D1169" s="2">
        <v>4.4283000000000001</v>
      </c>
      <c r="E1169" s="3">
        <v>4.7511789999999996</v>
      </c>
      <c r="F1169" s="3">
        <v>4.9443672000000003</v>
      </c>
      <c r="G1169" s="3">
        <v>5.1410805000000002</v>
      </c>
      <c r="H1169" s="3">
        <v>5.3190597000000004</v>
      </c>
      <c r="I1169" s="3">
        <v>5.4632886000000003</v>
      </c>
      <c r="J1169" s="3">
        <v>5.5704120000000001</v>
      </c>
      <c r="K1169" s="3">
        <v>5.641375</v>
      </c>
      <c r="L1169" s="3">
        <v>5.6832019999999996</v>
      </c>
      <c r="M1169" s="3">
        <v>5.7038472000000002</v>
      </c>
      <c r="N1169" s="3">
        <v>5.7101237999999999</v>
      </c>
      <c r="O1169" s="3">
        <v>5.7053922000000004</v>
      </c>
      <c r="P1169" s="3">
        <v>5.690747</v>
      </c>
      <c r="Q1169" s="3">
        <v>5.6655601999999998</v>
      </c>
      <c r="R1169" s="3">
        <v>5.6305405999999998</v>
      </c>
      <c r="S1169" s="3">
        <v>5.5868985999999996</v>
      </c>
      <c r="T1169" s="3">
        <v>5.5358437</v>
      </c>
      <c r="U1169" s="3">
        <v>5.4785846999999999</v>
      </c>
      <c r="V1169" s="3">
        <v>5.4163328000000002</v>
      </c>
      <c r="W1169" s="3">
        <v>5.3502818000000003</v>
      </c>
      <c r="X1169" s="3">
        <v>5.2815384999999999</v>
      </c>
      <c r="Y1169" s="3">
        <v>5.2111818999999997</v>
      </c>
      <c r="Z1169" s="3">
        <v>5.1402884999999996</v>
      </c>
      <c r="AA1169" s="3">
        <v>5.0699347000000001</v>
      </c>
      <c r="AB1169" s="3">
        <v>5.0011995000000002</v>
      </c>
      <c r="AC1169" s="3">
        <v>4.9350185</v>
      </c>
      <c r="AD1169" s="3">
        <v>4.8715701999999999</v>
      </c>
      <c r="AE1169" s="3">
        <v>4.8107809000000001</v>
      </c>
      <c r="AF1169" s="3">
        <v>4.7525747999999997</v>
      </c>
      <c r="AG1169" s="3">
        <v>4.6968760999999999</v>
      </c>
      <c r="AH1169" s="3">
        <v>4.6436108999999997</v>
      </c>
      <c r="AI1169" s="3">
        <v>4.5927033000000002</v>
      </c>
      <c r="AJ1169" s="3">
        <v>4.5440778000000002</v>
      </c>
      <c r="AK1169" s="3">
        <v>4.4976601</v>
      </c>
      <c r="AL1169" s="3">
        <v>4.4533747000000004</v>
      </c>
      <c r="AM1169" s="3">
        <v>4.4111457999999999</v>
      </c>
      <c r="AN1169" s="3">
        <v>4.3708992999999996</v>
      </c>
      <c r="AO1169" s="3">
        <v>4.3325570999999998</v>
      </c>
      <c r="AP1169" s="3">
        <v>4.2960295000000004</v>
      </c>
      <c r="AQ1169" s="3">
        <v>4.2612245</v>
      </c>
      <c r="AR1169" s="3">
        <v>4.2280486000000002</v>
      </c>
      <c r="AS1169" s="3">
        <v>4.1964087000000001</v>
      </c>
      <c r="AT1169" s="3">
        <v>4.1662125000000003</v>
      </c>
      <c r="AU1169" s="3">
        <v>4.1373669</v>
      </c>
      <c r="AV1169" s="3">
        <v>4.1097786000000003</v>
      </c>
      <c r="AW1169" s="3">
        <v>4.0833554000000003</v>
      </c>
      <c r="AX1169" s="3">
        <v>4.0580040000000004</v>
      </c>
      <c r="AY1169" s="3">
        <v>4.0336312999999997</v>
      </c>
      <c r="AZ1169" s="3">
        <v>4.0101449999999996</v>
      </c>
      <c r="BA1169" s="3">
        <v>3.9874638</v>
      </c>
      <c r="BB1169" s="3">
        <v>3.96556</v>
      </c>
      <c r="BC1169" s="3">
        <v>3.9444208999999999</v>
      </c>
      <c r="BD1169" s="3">
        <v>3.9240333000000001</v>
      </c>
      <c r="BE1169" s="3">
        <v>3.9043839</v>
      </c>
      <c r="BF1169" s="3">
        <v>3.8854603000000001</v>
      </c>
      <c r="BG1169" s="3">
        <v>3.8672491999999998</v>
      </c>
      <c r="BH1169" s="3">
        <v>3.8497371999999999</v>
      </c>
      <c r="BI1169" s="3">
        <v>3.8329119999999999</v>
      </c>
      <c r="BJ1169" s="3">
        <v>3.8167601000000002</v>
      </c>
      <c r="BK1169" s="3">
        <v>3.8012684999999999</v>
      </c>
      <c r="BL1169" s="3">
        <v>3.7864244999999999</v>
      </c>
      <c r="BM1169" s="3">
        <v>3.7103817000000001</v>
      </c>
      <c r="BN1169" s="3">
        <v>3.6553173000000001</v>
      </c>
    </row>
    <row r="1170" spans="1:66" x14ac:dyDescent="0.35">
      <c r="A1170" s="5">
        <f t="shared" si="17"/>
        <v>45092</v>
      </c>
      <c r="B1170" t="s">
        <v>2577</v>
      </c>
      <c r="C1170" s="2">
        <v>4.5</v>
      </c>
      <c r="D1170" s="2">
        <v>4.4283999999999999</v>
      </c>
      <c r="E1170" s="3">
        <v>4.7519935000000002</v>
      </c>
      <c r="F1170" s="3">
        <v>4.9570881</v>
      </c>
      <c r="G1170" s="3">
        <v>5.1674943999999998</v>
      </c>
      <c r="H1170" s="3">
        <v>5.3598178000000001</v>
      </c>
      <c r="I1170" s="3">
        <v>5.5155117000000002</v>
      </c>
      <c r="J1170" s="3">
        <v>5.6300147000000003</v>
      </c>
      <c r="K1170" s="3">
        <v>5.7053484000000001</v>
      </c>
      <c r="L1170" s="3">
        <v>5.7497138999999997</v>
      </c>
      <c r="M1170" s="3">
        <v>5.7716178999999999</v>
      </c>
      <c r="N1170" s="3">
        <v>5.7780795999999999</v>
      </c>
      <c r="O1170" s="3">
        <v>5.7723903999999999</v>
      </c>
      <c r="P1170" s="3">
        <v>5.7559858000000004</v>
      </c>
      <c r="Q1170" s="3">
        <v>5.7283860999999998</v>
      </c>
      <c r="R1170" s="3">
        <v>5.6905083000000003</v>
      </c>
      <c r="S1170" s="3">
        <v>5.6439284000000001</v>
      </c>
      <c r="T1170" s="3">
        <v>5.5902215000000002</v>
      </c>
      <c r="U1170" s="3">
        <v>5.5309625999999996</v>
      </c>
      <c r="V1170" s="3">
        <v>5.4677284000000004</v>
      </c>
      <c r="W1170" s="3">
        <v>5.4019922999999999</v>
      </c>
      <c r="X1170" s="3">
        <v>5.3347058000000001</v>
      </c>
      <c r="Y1170" s="3">
        <v>5.2666566000000001</v>
      </c>
      <c r="Z1170" s="3">
        <v>5.1986296999999997</v>
      </c>
      <c r="AA1170" s="3">
        <v>5.1314104</v>
      </c>
      <c r="AB1170" s="3">
        <v>5.0657861999999998</v>
      </c>
      <c r="AC1170" s="3">
        <v>5.0024240000000004</v>
      </c>
      <c r="AD1170" s="3">
        <v>4.9414151999999998</v>
      </c>
      <c r="AE1170" s="3">
        <v>4.8826780999999997</v>
      </c>
      <c r="AF1170" s="3">
        <v>4.8261288999999996</v>
      </c>
      <c r="AG1170" s="3">
        <v>4.7716835</v>
      </c>
      <c r="AH1170" s="3">
        <v>4.7192603000000002</v>
      </c>
      <c r="AI1170" s="3">
        <v>4.6687754000000004</v>
      </c>
      <c r="AJ1170" s="3">
        <v>4.6201448999999997</v>
      </c>
      <c r="AK1170" s="3">
        <v>4.5732869999999997</v>
      </c>
      <c r="AL1170" s="3">
        <v>4.5281177000000001</v>
      </c>
      <c r="AM1170" s="3">
        <v>4.4845534999999996</v>
      </c>
      <c r="AN1170" s="3">
        <v>4.4425121000000001</v>
      </c>
      <c r="AO1170" s="3">
        <v>4.4019148000000001</v>
      </c>
      <c r="AP1170" s="3">
        <v>4.3627039999999999</v>
      </c>
      <c r="AQ1170" s="3">
        <v>4.3248294999999999</v>
      </c>
      <c r="AR1170" s="3">
        <v>4.2882398000000004</v>
      </c>
      <c r="AS1170" s="3">
        <v>4.2528832000000003</v>
      </c>
      <c r="AT1170" s="3">
        <v>4.2187093999999998</v>
      </c>
      <c r="AU1170" s="3">
        <v>4.1856669999999996</v>
      </c>
      <c r="AV1170" s="3">
        <v>4.1537043000000002</v>
      </c>
      <c r="AW1170" s="3">
        <v>4.1227710000000002</v>
      </c>
      <c r="AX1170" s="3">
        <v>4.0928157000000001</v>
      </c>
      <c r="AY1170" s="3">
        <v>4.0637866999999996</v>
      </c>
      <c r="AZ1170" s="3">
        <v>4.0356337</v>
      </c>
      <c r="BA1170" s="3">
        <v>4.0083120000000001</v>
      </c>
      <c r="BB1170" s="3">
        <v>3.9818069</v>
      </c>
      <c r="BC1170" s="3">
        <v>3.9561133000000002</v>
      </c>
      <c r="BD1170" s="3">
        <v>3.9312247999999999</v>
      </c>
      <c r="BE1170" s="3">
        <v>3.9071351000000001</v>
      </c>
      <c r="BF1170" s="3">
        <v>3.8838389000000002</v>
      </c>
      <c r="BG1170" s="3">
        <v>3.8613300000000002</v>
      </c>
      <c r="BH1170" s="3">
        <v>3.8396020000000002</v>
      </c>
      <c r="BI1170" s="3">
        <v>3.8186496000000001</v>
      </c>
      <c r="BJ1170" s="3">
        <v>3.7984665999999998</v>
      </c>
      <c r="BK1170" s="3">
        <v>3.7790466999999999</v>
      </c>
      <c r="BL1170" s="3">
        <v>3.7603844</v>
      </c>
      <c r="BM1170" s="3">
        <v>3.6639252</v>
      </c>
      <c r="BN1170" s="3">
        <v>3.5928772000000002</v>
      </c>
    </row>
    <row r="1171" spans="1:66" x14ac:dyDescent="0.35">
      <c r="A1171" s="5">
        <f t="shared" si="17"/>
        <v>45093</v>
      </c>
      <c r="B1171" t="s">
        <v>2578</v>
      </c>
      <c r="C1171" s="2">
        <v>4.5</v>
      </c>
      <c r="D1171" s="2">
        <v>4.4279000000000002</v>
      </c>
      <c r="E1171" s="3">
        <v>4.7688848000000004</v>
      </c>
      <c r="F1171" s="3">
        <v>4.9715197</v>
      </c>
      <c r="G1171" s="3">
        <v>5.1806796999999998</v>
      </c>
      <c r="H1171" s="3">
        <v>5.3753574000000004</v>
      </c>
      <c r="I1171" s="3">
        <v>5.5364718999999996</v>
      </c>
      <c r="J1171" s="3">
        <v>5.6572839000000004</v>
      </c>
      <c r="K1171" s="3">
        <v>5.7389697999999996</v>
      </c>
      <c r="L1171" s="3">
        <v>5.7870574000000001</v>
      </c>
      <c r="M1171" s="3">
        <v>5.8099112999999996</v>
      </c>
      <c r="N1171" s="3">
        <v>5.8147641999999999</v>
      </c>
      <c r="O1171" s="3">
        <v>5.8066136999999998</v>
      </c>
      <c r="P1171" s="3">
        <v>5.7882603000000001</v>
      </c>
      <c r="Q1171" s="3">
        <v>5.7615335999999999</v>
      </c>
      <c r="R1171" s="3">
        <v>5.7274478000000002</v>
      </c>
      <c r="S1171" s="3">
        <v>5.6868002000000004</v>
      </c>
      <c r="T1171" s="3">
        <v>5.6403865</v>
      </c>
      <c r="U1171" s="3">
        <v>5.5890024</v>
      </c>
      <c r="V1171" s="3">
        <v>5.5334453999999997</v>
      </c>
      <c r="W1171" s="3">
        <v>5.4745175000000001</v>
      </c>
      <c r="X1171" s="3">
        <v>5.4130510999999997</v>
      </c>
      <c r="Y1171" s="3">
        <v>5.3498893000000001</v>
      </c>
      <c r="Z1171" s="3">
        <v>5.2858730999999999</v>
      </c>
      <c r="AA1171" s="3">
        <v>5.2218435000000003</v>
      </c>
      <c r="AB1171" s="3">
        <v>5.1586436000000004</v>
      </c>
      <c r="AC1171" s="3">
        <v>5.0969838999999997</v>
      </c>
      <c r="AD1171" s="3">
        <v>5.0369980999999999</v>
      </c>
      <c r="AE1171" s="3">
        <v>4.9786628000000004</v>
      </c>
      <c r="AF1171" s="3">
        <v>4.9219527999999997</v>
      </c>
      <c r="AG1171" s="3">
        <v>4.8668426</v>
      </c>
      <c r="AH1171" s="3">
        <v>4.8133090000000003</v>
      </c>
      <c r="AI1171" s="3">
        <v>4.7613266999999997</v>
      </c>
      <c r="AJ1171" s="3">
        <v>4.7108701999999996</v>
      </c>
      <c r="AK1171" s="3">
        <v>4.6619162999999997</v>
      </c>
      <c r="AL1171" s="3">
        <v>4.6144394999999996</v>
      </c>
      <c r="AM1171" s="3">
        <v>4.5684148000000002</v>
      </c>
      <c r="AN1171" s="3">
        <v>4.5238183999999997</v>
      </c>
      <c r="AO1171" s="3">
        <v>4.4806227999999999</v>
      </c>
      <c r="AP1171" s="3">
        <v>4.4387895999999998</v>
      </c>
      <c r="AQ1171" s="3">
        <v>4.3982789999999996</v>
      </c>
      <c r="AR1171" s="3">
        <v>4.3590496999999999</v>
      </c>
      <c r="AS1171" s="3">
        <v>4.3210603000000001</v>
      </c>
      <c r="AT1171" s="3">
        <v>4.2842710000000004</v>
      </c>
      <c r="AU1171" s="3">
        <v>4.2486404000000002</v>
      </c>
      <c r="AV1171" s="3">
        <v>4.2141273999999997</v>
      </c>
      <c r="AW1171" s="3">
        <v>4.1806919000000002</v>
      </c>
      <c r="AX1171" s="3">
        <v>4.1482928000000001</v>
      </c>
      <c r="AY1171" s="3">
        <v>4.1168886999999996</v>
      </c>
      <c r="AZ1171" s="3">
        <v>4.0864396000000003</v>
      </c>
      <c r="BA1171" s="3">
        <v>4.0569094999999997</v>
      </c>
      <c r="BB1171" s="3">
        <v>4.0282844999999998</v>
      </c>
      <c r="BC1171" s="3">
        <v>4.0005579999999998</v>
      </c>
      <c r="BD1171" s="3">
        <v>3.9737227000000002</v>
      </c>
      <c r="BE1171" s="3">
        <v>3.9477707999999998</v>
      </c>
      <c r="BF1171" s="3">
        <v>3.9226956999999998</v>
      </c>
      <c r="BG1171" s="3">
        <v>3.8984899999999998</v>
      </c>
      <c r="BH1171" s="3">
        <v>3.8751462000000001</v>
      </c>
      <c r="BI1171" s="3">
        <v>3.8526574999999998</v>
      </c>
      <c r="BJ1171" s="3">
        <v>3.8310164000000002</v>
      </c>
      <c r="BK1171" s="3">
        <v>3.8102155</v>
      </c>
      <c r="BL1171" s="3">
        <v>3.7902480000000001</v>
      </c>
      <c r="BM1171" s="3">
        <v>3.6874302999999999</v>
      </c>
      <c r="BN1171" s="3">
        <v>3.6121455999999998</v>
      </c>
    </row>
    <row r="1172" spans="1:66" x14ac:dyDescent="0.35">
      <c r="A1172" s="5">
        <f t="shared" si="17"/>
        <v>45096</v>
      </c>
      <c r="B1172" t="s">
        <v>2579</v>
      </c>
      <c r="C1172" s="2">
        <v>4.5</v>
      </c>
      <c r="D1172" s="2">
        <v>4.4279999999999999</v>
      </c>
      <c r="E1172" s="3">
        <v>4.7901543000000002</v>
      </c>
      <c r="F1172" s="3">
        <v>5.0099689999999999</v>
      </c>
      <c r="G1172" s="3">
        <v>5.2259130000000003</v>
      </c>
      <c r="H1172" s="3">
        <v>5.4230119999999999</v>
      </c>
      <c r="I1172" s="3">
        <v>5.5856304000000003</v>
      </c>
      <c r="J1172" s="3">
        <v>5.7095995000000004</v>
      </c>
      <c r="K1172" s="3">
        <v>5.7969726000000001</v>
      </c>
      <c r="L1172" s="3">
        <v>5.8552688000000002</v>
      </c>
      <c r="M1172" s="3">
        <v>5.8927307999999998</v>
      </c>
      <c r="N1172" s="3">
        <v>5.9161897000000003</v>
      </c>
      <c r="O1172" s="3">
        <v>5.9286370000000002</v>
      </c>
      <c r="P1172" s="3">
        <v>5.9309282999999997</v>
      </c>
      <c r="Q1172" s="3">
        <v>5.9214511999999999</v>
      </c>
      <c r="R1172" s="3">
        <v>5.9006292</v>
      </c>
      <c r="S1172" s="3">
        <v>5.8696837999999998</v>
      </c>
      <c r="T1172" s="3">
        <v>5.8298354999999997</v>
      </c>
      <c r="U1172" s="3">
        <v>5.7823048999999997</v>
      </c>
      <c r="V1172" s="3">
        <v>5.7283137999999996</v>
      </c>
      <c r="W1172" s="3">
        <v>5.6690657</v>
      </c>
      <c r="X1172" s="3">
        <v>5.6056846</v>
      </c>
      <c r="Y1172" s="3">
        <v>5.5392739000000004</v>
      </c>
      <c r="Z1172" s="3">
        <v>5.4709346999999999</v>
      </c>
      <c r="AA1172" s="3">
        <v>5.4017681</v>
      </c>
      <c r="AB1172" s="3">
        <v>5.3328777000000001</v>
      </c>
      <c r="AC1172" s="3">
        <v>5.2652026999999997</v>
      </c>
      <c r="AD1172" s="3">
        <v>5.1989682999999998</v>
      </c>
      <c r="AE1172" s="3">
        <v>5.1342049999999997</v>
      </c>
      <c r="AF1172" s="3">
        <v>5.0709410999999998</v>
      </c>
      <c r="AG1172" s="3">
        <v>5.0092046000000003</v>
      </c>
      <c r="AH1172" s="3">
        <v>4.9490261000000002</v>
      </c>
      <c r="AI1172" s="3">
        <v>4.8904335999999997</v>
      </c>
      <c r="AJ1172" s="3">
        <v>4.8334555999999997</v>
      </c>
      <c r="AK1172" s="3">
        <v>4.7781221</v>
      </c>
      <c r="AL1172" s="3">
        <v>4.7244615999999997</v>
      </c>
      <c r="AM1172" s="3">
        <v>4.6725023999999999</v>
      </c>
      <c r="AN1172" s="3">
        <v>4.6222744999999996</v>
      </c>
      <c r="AO1172" s="3">
        <v>4.5737949999999996</v>
      </c>
      <c r="AP1172" s="3">
        <v>4.5270302999999998</v>
      </c>
      <c r="AQ1172" s="3">
        <v>4.4819347</v>
      </c>
      <c r="AR1172" s="3">
        <v>4.4384607000000003</v>
      </c>
      <c r="AS1172" s="3">
        <v>4.3965611000000004</v>
      </c>
      <c r="AT1172" s="3">
        <v>4.3561899999999998</v>
      </c>
      <c r="AU1172" s="3">
        <v>4.3173000000000004</v>
      </c>
      <c r="AV1172" s="3">
        <v>4.2798438000000001</v>
      </c>
      <c r="AW1172" s="3">
        <v>4.2437756000000002</v>
      </c>
      <c r="AX1172" s="3">
        <v>4.2090478999999998</v>
      </c>
      <c r="AY1172" s="3">
        <v>4.1756136000000001</v>
      </c>
      <c r="AZ1172" s="3">
        <v>4.1434265999999997</v>
      </c>
      <c r="BA1172" s="3">
        <v>4.1124425999999996</v>
      </c>
      <c r="BB1172" s="3">
        <v>4.0826327999999998</v>
      </c>
      <c r="BC1172" s="3">
        <v>4.0539750000000003</v>
      </c>
      <c r="BD1172" s="3">
        <v>4.0264458000000003</v>
      </c>
      <c r="BE1172" s="3">
        <v>4.0000216000000002</v>
      </c>
      <c r="BF1172" s="3">
        <v>3.9746801999999999</v>
      </c>
      <c r="BG1172" s="3">
        <v>3.9503981000000001</v>
      </c>
      <c r="BH1172" s="3">
        <v>3.9271520999999998</v>
      </c>
      <c r="BI1172" s="3">
        <v>3.9049195000000001</v>
      </c>
      <c r="BJ1172" s="3">
        <v>3.8836770999999999</v>
      </c>
      <c r="BK1172" s="3">
        <v>3.8634015000000002</v>
      </c>
      <c r="BL1172" s="3">
        <v>3.8440702</v>
      </c>
      <c r="BM1172" s="3">
        <v>3.7466275000000002</v>
      </c>
      <c r="BN1172" s="3">
        <v>3.6774344999999999</v>
      </c>
    </row>
    <row r="1173" spans="1:66" x14ac:dyDescent="0.35">
      <c r="A1173" s="5">
        <f t="shared" si="17"/>
        <v>45097</v>
      </c>
      <c r="B1173" t="s">
        <v>2580</v>
      </c>
      <c r="C1173" s="2">
        <v>4.5</v>
      </c>
      <c r="D1173" s="2">
        <v>4.4280999999999997</v>
      </c>
      <c r="E1173" s="3">
        <v>4.7880649000000002</v>
      </c>
      <c r="F1173" s="3">
        <v>5.0111616999999997</v>
      </c>
      <c r="G1173" s="3">
        <v>5.2226540999999997</v>
      </c>
      <c r="H1173" s="3">
        <v>5.4086863999999997</v>
      </c>
      <c r="I1173" s="3">
        <v>5.5572596000000001</v>
      </c>
      <c r="J1173" s="3">
        <v>5.6672766000000001</v>
      </c>
      <c r="K1173" s="3">
        <v>5.7421765000000002</v>
      </c>
      <c r="L1173" s="3">
        <v>5.7895960999999998</v>
      </c>
      <c r="M1173" s="3">
        <v>5.8165313000000003</v>
      </c>
      <c r="N1173" s="3">
        <v>5.8288979999999997</v>
      </c>
      <c r="O1173" s="3">
        <v>5.8296380000000001</v>
      </c>
      <c r="P1173" s="3">
        <v>5.8194007000000001</v>
      </c>
      <c r="Q1173" s="3">
        <v>5.7972666999999998</v>
      </c>
      <c r="R1173" s="3">
        <v>5.7640286999999999</v>
      </c>
      <c r="S1173" s="3">
        <v>5.7210726000000003</v>
      </c>
      <c r="T1173" s="3">
        <v>5.6697835000000003</v>
      </c>
      <c r="U1173" s="3">
        <v>5.6115459999999997</v>
      </c>
      <c r="V1173" s="3">
        <v>5.5477467000000003</v>
      </c>
      <c r="W1173" s="3">
        <v>5.4797210999999999</v>
      </c>
      <c r="X1173" s="3">
        <v>5.4085754000000001</v>
      </c>
      <c r="Y1173" s="3">
        <v>5.3353520999999997</v>
      </c>
      <c r="Z1173" s="3">
        <v>5.2610912000000001</v>
      </c>
      <c r="AA1173" s="3">
        <v>5.1868327000000001</v>
      </c>
      <c r="AB1173" s="3">
        <v>5.1136191000000002</v>
      </c>
      <c r="AC1173" s="3">
        <v>5.0423336000000001</v>
      </c>
      <c r="AD1173" s="3">
        <v>4.9731674000000003</v>
      </c>
      <c r="AE1173" s="3">
        <v>4.9061234000000002</v>
      </c>
      <c r="AF1173" s="3">
        <v>4.8412018999999997</v>
      </c>
      <c r="AG1173" s="3">
        <v>4.7784032999999999</v>
      </c>
      <c r="AH1173" s="3">
        <v>4.7177302000000001</v>
      </c>
      <c r="AI1173" s="3">
        <v>4.6591829999999996</v>
      </c>
      <c r="AJ1173" s="3">
        <v>4.6027621999999999</v>
      </c>
      <c r="AK1173" s="3">
        <v>4.5484703</v>
      </c>
      <c r="AL1173" s="3">
        <v>4.4963077</v>
      </c>
      <c r="AM1173" s="3">
        <v>4.4462751000000003</v>
      </c>
      <c r="AN1173" s="3">
        <v>4.3983746999999997</v>
      </c>
      <c r="AO1173" s="3">
        <v>4.3525967000000003</v>
      </c>
      <c r="AP1173" s="3">
        <v>4.3088753999999998</v>
      </c>
      <c r="AQ1173" s="3">
        <v>4.2671279999999996</v>
      </c>
      <c r="AR1173" s="3">
        <v>4.2272701000000001</v>
      </c>
      <c r="AS1173" s="3">
        <v>4.1892173000000001</v>
      </c>
      <c r="AT1173" s="3">
        <v>4.1528865000000001</v>
      </c>
      <c r="AU1173" s="3">
        <v>4.1181935999999997</v>
      </c>
      <c r="AV1173" s="3">
        <v>4.0850540000000004</v>
      </c>
      <c r="AW1173" s="3">
        <v>4.0533847999999999</v>
      </c>
      <c r="AX1173" s="3">
        <v>4.0231015000000001</v>
      </c>
      <c r="AY1173" s="3">
        <v>3.9941201</v>
      </c>
      <c r="AZ1173" s="3">
        <v>3.9663572</v>
      </c>
      <c r="BA1173" s="3">
        <v>3.9397353000000002</v>
      </c>
      <c r="BB1173" s="3">
        <v>3.9142100000000002</v>
      </c>
      <c r="BC1173" s="3">
        <v>3.8897479000000001</v>
      </c>
      <c r="BD1173" s="3">
        <v>3.8663145999999999</v>
      </c>
      <c r="BE1173" s="3">
        <v>3.8438754999999998</v>
      </c>
      <c r="BF1173" s="3">
        <v>3.8223973999999998</v>
      </c>
      <c r="BG1173" s="3">
        <v>3.8018456</v>
      </c>
      <c r="BH1173" s="3">
        <v>3.7821859999999998</v>
      </c>
      <c r="BI1173" s="3">
        <v>3.7633847999999999</v>
      </c>
      <c r="BJ1173" s="3">
        <v>3.7454078000000002</v>
      </c>
      <c r="BK1173" s="3">
        <v>3.7282207000000001</v>
      </c>
      <c r="BL1173" s="3">
        <v>3.7117897000000002</v>
      </c>
      <c r="BM1173" s="3">
        <v>3.6278063999999999</v>
      </c>
      <c r="BN1173" s="3">
        <v>3.5663507999999999</v>
      </c>
    </row>
    <row r="1174" spans="1:66" x14ac:dyDescent="0.35">
      <c r="A1174" s="5">
        <f t="shared" ref="A1174:A1237" si="18">+A1169+7</f>
        <v>45098</v>
      </c>
      <c r="B1174" t="s">
        <v>2581</v>
      </c>
      <c r="C1174" s="2">
        <v>4.5</v>
      </c>
      <c r="D1174" s="2">
        <v>4.4287999999999998</v>
      </c>
      <c r="E1174" s="3">
        <v>4.8531620999999996</v>
      </c>
      <c r="F1174" s="3">
        <v>5.1189578999999998</v>
      </c>
      <c r="G1174" s="3">
        <v>5.3675807999999998</v>
      </c>
      <c r="H1174" s="3">
        <v>5.5812431</v>
      </c>
      <c r="I1174" s="3">
        <v>5.7429872</v>
      </c>
      <c r="J1174" s="3">
        <v>5.8551757999999996</v>
      </c>
      <c r="K1174" s="3">
        <v>5.9257853000000003</v>
      </c>
      <c r="L1174" s="3">
        <v>5.9664875999999998</v>
      </c>
      <c r="M1174" s="3">
        <v>5.9868760999999999</v>
      </c>
      <c r="N1174" s="3">
        <v>5.9936761000000001</v>
      </c>
      <c r="O1174" s="3">
        <v>5.9895376999999996</v>
      </c>
      <c r="P1174" s="3">
        <v>5.9746489</v>
      </c>
      <c r="Q1174" s="3">
        <v>5.9468889000000003</v>
      </c>
      <c r="R1174" s="3">
        <v>5.9069136000000002</v>
      </c>
      <c r="S1174" s="3">
        <v>5.8563514000000003</v>
      </c>
      <c r="T1174" s="3">
        <v>5.7968289999999998</v>
      </c>
      <c r="U1174" s="3">
        <v>5.7299730000000002</v>
      </c>
      <c r="V1174" s="3">
        <v>5.6574124000000001</v>
      </c>
      <c r="W1174" s="3">
        <v>5.5807253000000001</v>
      </c>
      <c r="X1174" s="3">
        <v>5.5012156000000001</v>
      </c>
      <c r="Y1174" s="3">
        <v>5.4200936000000004</v>
      </c>
      <c r="Z1174" s="3">
        <v>5.3385667000000003</v>
      </c>
      <c r="AA1174" s="3">
        <v>5.2578421999999998</v>
      </c>
      <c r="AB1174" s="3">
        <v>5.1791304</v>
      </c>
      <c r="AC1174" s="3">
        <v>5.1034777</v>
      </c>
      <c r="AD1174" s="3">
        <v>5.0310639000000004</v>
      </c>
      <c r="AE1174" s="3">
        <v>4.9617806</v>
      </c>
      <c r="AF1174" s="3">
        <v>4.8955168999999996</v>
      </c>
      <c r="AG1174" s="3">
        <v>4.8321616000000001</v>
      </c>
      <c r="AH1174" s="3">
        <v>4.7716061999999999</v>
      </c>
      <c r="AI1174" s="3">
        <v>4.7137396999999996</v>
      </c>
      <c r="AJ1174" s="3">
        <v>4.6584512</v>
      </c>
      <c r="AK1174" s="3">
        <v>4.6056318999999997</v>
      </c>
      <c r="AL1174" s="3">
        <v>4.5551709000000002</v>
      </c>
      <c r="AM1174" s="3">
        <v>4.5069574000000001</v>
      </c>
      <c r="AN1174" s="3">
        <v>4.4608822999999997</v>
      </c>
      <c r="AO1174" s="3">
        <v>4.4168370000000001</v>
      </c>
      <c r="AP1174" s="3">
        <v>4.3747227999999998</v>
      </c>
      <c r="AQ1174" s="3">
        <v>4.3344456999999998</v>
      </c>
      <c r="AR1174" s="3">
        <v>4.2959101999999998</v>
      </c>
      <c r="AS1174" s="3">
        <v>4.2590206999999998</v>
      </c>
      <c r="AT1174" s="3">
        <v>4.2236832</v>
      </c>
      <c r="AU1174" s="3">
        <v>4.1898020999999996</v>
      </c>
      <c r="AV1174" s="3">
        <v>4.1572820000000004</v>
      </c>
      <c r="AW1174" s="3">
        <v>4.1260285999999997</v>
      </c>
      <c r="AX1174" s="3">
        <v>4.0959466000000004</v>
      </c>
      <c r="AY1174" s="3">
        <v>4.0669404</v>
      </c>
      <c r="AZ1174" s="3">
        <v>4.0389159000000001</v>
      </c>
      <c r="BA1174" s="3">
        <v>4.0117896999999996</v>
      </c>
      <c r="BB1174" s="3">
        <v>3.9855331999999999</v>
      </c>
      <c r="BC1174" s="3">
        <v>3.9601332</v>
      </c>
      <c r="BD1174" s="3">
        <v>3.9355758000000001</v>
      </c>
      <c r="BE1174" s="3">
        <v>3.9118472</v>
      </c>
      <c r="BF1174" s="3">
        <v>3.8889342</v>
      </c>
      <c r="BG1174" s="3">
        <v>3.8668228999999998</v>
      </c>
      <c r="BH1174" s="3">
        <v>3.8454994999999998</v>
      </c>
      <c r="BI1174" s="3">
        <v>3.8249507999999999</v>
      </c>
      <c r="BJ1174" s="3">
        <v>3.8051629</v>
      </c>
      <c r="BK1174" s="3">
        <v>3.7861221</v>
      </c>
      <c r="BL1174" s="3">
        <v>3.7678151</v>
      </c>
      <c r="BM1174" s="3">
        <v>3.6727360999999998</v>
      </c>
      <c r="BN1174" s="3">
        <v>3.6013760000000001</v>
      </c>
    </row>
    <row r="1175" spans="1:66" x14ac:dyDescent="0.35">
      <c r="A1175" s="5">
        <f t="shared" si="18"/>
        <v>45099</v>
      </c>
      <c r="B1175" t="s">
        <v>2582</v>
      </c>
      <c r="C1175" s="2">
        <v>5</v>
      </c>
      <c r="D1175" s="2">
        <v>4.9273999999999996</v>
      </c>
      <c r="E1175" s="3">
        <v>5.0184316999999998</v>
      </c>
      <c r="F1175" s="3">
        <v>5.3017059</v>
      </c>
      <c r="G1175" s="3">
        <v>5.5582096999999999</v>
      </c>
      <c r="H1175" s="3">
        <v>5.7701000999999996</v>
      </c>
      <c r="I1175" s="3">
        <v>5.9221719000000004</v>
      </c>
      <c r="J1175" s="3">
        <v>6.0179983000000004</v>
      </c>
      <c r="K1175" s="3">
        <v>6.0676838000000002</v>
      </c>
      <c r="L1175" s="3">
        <v>6.0850888999999997</v>
      </c>
      <c r="M1175" s="3">
        <v>6.0813265000000003</v>
      </c>
      <c r="N1175" s="3">
        <v>6.0640882999999999</v>
      </c>
      <c r="O1175" s="3">
        <v>6.0365351</v>
      </c>
      <c r="P1175" s="3">
        <v>5.9995367000000002</v>
      </c>
      <c r="Q1175" s="3">
        <v>5.9515156999999999</v>
      </c>
      <c r="R1175" s="3">
        <v>5.8931683000000001</v>
      </c>
      <c r="S1175" s="3">
        <v>5.8262041</v>
      </c>
      <c r="T1175" s="3">
        <v>5.7523312000000004</v>
      </c>
      <c r="U1175" s="3">
        <v>5.6732575000000001</v>
      </c>
      <c r="V1175" s="3">
        <v>5.5906937000000001</v>
      </c>
      <c r="W1175" s="3">
        <v>5.5062464000000002</v>
      </c>
      <c r="X1175" s="3">
        <v>5.4210015</v>
      </c>
      <c r="Y1175" s="3">
        <v>5.3358822999999997</v>
      </c>
      <c r="Z1175" s="3">
        <v>5.2518085000000001</v>
      </c>
      <c r="AA1175" s="3">
        <v>5.1697002999999997</v>
      </c>
      <c r="AB1175" s="3">
        <v>5.0904805</v>
      </c>
      <c r="AC1175" s="3">
        <v>5.0149204999999997</v>
      </c>
      <c r="AD1175" s="3">
        <v>4.9430677000000003</v>
      </c>
      <c r="AE1175" s="3">
        <v>4.8747514000000001</v>
      </c>
      <c r="AF1175" s="3">
        <v>4.8097985999999997</v>
      </c>
      <c r="AG1175" s="3">
        <v>4.7480361000000002</v>
      </c>
      <c r="AH1175" s="3">
        <v>4.6892934000000004</v>
      </c>
      <c r="AI1175" s="3">
        <v>4.6333972000000001</v>
      </c>
      <c r="AJ1175" s="3">
        <v>4.5801746999999997</v>
      </c>
      <c r="AK1175" s="3">
        <v>4.5294547999999999</v>
      </c>
      <c r="AL1175" s="3">
        <v>4.4810648000000004</v>
      </c>
      <c r="AM1175" s="3">
        <v>4.4348315999999999</v>
      </c>
      <c r="AN1175" s="3">
        <v>4.3905842000000002</v>
      </c>
      <c r="AO1175" s="3">
        <v>4.3481639000000003</v>
      </c>
      <c r="AP1175" s="3">
        <v>4.3074753000000001</v>
      </c>
      <c r="AQ1175" s="3">
        <v>4.2684414000000004</v>
      </c>
      <c r="AR1175" s="3">
        <v>4.2309842</v>
      </c>
      <c r="AS1175" s="3">
        <v>4.1950253999999996</v>
      </c>
      <c r="AT1175" s="3">
        <v>4.1604881999999996</v>
      </c>
      <c r="AU1175" s="3">
        <v>4.1272943</v>
      </c>
      <c r="AV1175" s="3">
        <v>4.0953657999999997</v>
      </c>
      <c r="AW1175" s="3">
        <v>4.0646256999999997</v>
      </c>
      <c r="AX1175" s="3">
        <v>4.0349956999999996</v>
      </c>
      <c r="AY1175" s="3">
        <v>4.0063978999999996</v>
      </c>
      <c r="AZ1175" s="3">
        <v>3.9787552000000002</v>
      </c>
      <c r="BA1175" s="3">
        <v>3.9519997999999998</v>
      </c>
      <c r="BB1175" s="3">
        <v>3.9261086000000001</v>
      </c>
      <c r="BC1175" s="3">
        <v>3.9010722000000002</v>
      </c>
      <c r="BD1175" s="3">
        <v>3.8768802</v>
      </c>
      <c r="BE1175" s="3">
        <v>3.8535219999999999</v>
      </c>
      <c r="BF1175" s="3">
        <v>3.8309880000000001</v>
      </c>
      <c r="BG1175" s="3">
        <v>3.8092679</v>
      </c>
      <c r="BH1175" s="3">
        <v>3.7883510999999999</v>
      </c>
      <c r="BI1175" s="3">
        <v>3.7682281</v>
      </c>
      <c r="BJ1175" s="3">
        <v>3.7488883</v>
      </c>
      <c r="BK1175" s="3">
        <v>3.7303215000000001</v>
      </c>
      <c r="BL1175" s="3">
        <v>3.7125178000000001</v>
      </c>
      <c r="BM1175" s="3">
        <v>3.6211112999999999</v>
      </c>
      <c r="BN1175" s="3">
        <v>3.5543814999999999</v>
      </c>
    </row>
    <row r="1176" spans="1:66" x14ac:dyDescent="0.35">
      <c r="A1176" s="5">
        <f t="shared" si="18"/>
        <v>45100</v>
      </c>
      <c r="B1176" t="s">
        <v>2583</v>
      </c>
      <c r="C1176" s="2">
        <v>5</v>
      </c>
      <c r="D1176" s="2">
        <v>4.9279999999999999</v>
      </c>
      <c r="E1176" s="3">
        <v>5.0257110999999997</v>
      </c>
      <c r="F1176" s="3">
        <v>5.3197337999999998</v>
      </c>
      <c r="G1176" s="3">
        <v>5.5872204999999999</v>
      </c>
      <c r="H1176" s="3">
        <v>5.8138847</v>
      </c>
      <c r="I1176" s="3">
        <v>5.9844176999999998</v>
      </c>
      <c r="J1176" s="3">
        <v>6.0964200000000002</v>
      </c>
      <c r="K1176" s="3">
        <v>6.1577707000000004</v>
      </c>
      <c r="L1176" s="3">
        <v>6.1788471999999999</v>
      </c>
      <c r="M1176" s="3">
        <v>6.1714074999999999</v>
      </c>
      <c r="N1176" s="3">
        <v>6.1443335000000001</v>
      </c>
      <c r="O1176" s="3">
        <v>6.1037552000000002</v>
      </c>
      <c r="P1176" s="3">
        <v>6.0535540000000001</v>
      </c>
      <c r="Q1176" s="3">
        <v>5.9967779999999999</v>
      </c>
      <c r="R1176" s="3">
        <v>5.9347384999999999</v>
      </c>
      <c r="S1176" s="3">
        <v>5.8682198000000003</v>
      </c>
      <c r="T1176" s="3">
        <v>5.7980039999999997</v>
      </c>
      <c r="U1176" s="3">
        <v>5.7248728</v>
      </c>
      <c r="V1176" s="3">
        <v>5.6496108999999999</v>
      </c>
      <c r="W1176" s="3">
        <v>5.5729667000000003</v>
      </c>
      <c r="X1176" s="3">
        <v>5.4955341999999998</v>
      </c>
      <c r="Y1176" s="3">
        <v>5.4178655999999998</v>
      </c>
      <c r="Z1176" s="3">
        <v>5.3405101000000004</v>
      </c>
      <c r="AA1176" s="3">
        <v>5.2640168999999997</v>
      </c>
      <c r="AB1176" s="3">
        <v>5.1889381999999999</v>
      </c>
      <c r="AC1176" s="3">
        <v>5.1157389000000002</v>
      </c>
      <c r="AD1176" s="3">
        <v>5.0445124999999997</v>
      </c>
      <c r="AE1176" s="3">
        <v>4.9752521999999999</v>
      </c>
      <c r="AF1176" s="3">
        <v>4.9079487999999998</v>
      </c>
      <c r="AG1176" s="3">
        <v>4.8425931000000002</v>
      </c>
      <c r="AH1176" s="3">
        <v>4.7791784000000002</v>
      </c>
      <c r="AI1176" s="3">
        <v>4.7176954999999996</v>
      </c>
      <c r="AJ1176" s="3">
        <v>4.6581352999999996</v>
      </c>
      <c r="AK1176" s="3">
        <v>4.6004906999999999</v>
      </c>
      <c r="AL1176" s="3">
        <v>4.5447528999999998</v>
      </c>
      <c r="AM1176" s="3">
        <v>4.4909125999999997</v>
      </c>
      <c r="AN1176" s="3">
        <v>4.4389628999999999</v>
      </c>
      <c r="AO1176" s="3">
        <v>4.3888876999999997</v>
      </c>
      <c r="AP1176" s="3">
        <v>4.3406400999999999</v>
      </c>
      <c r="AQ1176" s="3">
        <v>4.2941662999999997</v>
      </c>
      <c r="AR1176" s="3">
        <v>4.2494110000000003</v>
      </c>
      <c r="AS1176" s="3">
        <v>4.2063188</v>
      </c>
      <c r="AT1176" s="3">
        <v>4.1648358999999999</v>
      </c>
      <c r="AU1176" s="3">
        <v>4.1249067999999998</v>
      </c>
      <c r="AV1176" s="3">
        <v>4.0864761999999999</v>
      </c>
      <c r="AW1176" s="3">
        <v>4.0494902000000002</v>
      </c>
      <c r="AX1176" s="3">
        <v>4.0138935</v>
      </c>
      <c r="AY1176" s="3">
        <v>3.9796307999999998</v>
      </c>
      <c r="AZ1176" s="3">
        <v>3.9466481</v>
      </c>
      <c r="BA1176" s="3">
        <v>3.9148949000000002</v>
      </c>
      <c r="BB1176" s="3">
        <v>3.8843424999999998</v>
      </c>
      <c r="BC1176" s="3">
        <v>3.8549690000000001</v>
      </c>
      <c r="BD1176" s="3">
        <v>3.8267516000000001</v>
      </c>
      <c r="BE1176" s="3">
        <v>3.7996672999999999</v>
      </c>
      <c r="BF1176" s="3">
        <v>3.7736944000000001</v>
      </c>
      <c r="BG1176" s="3">
        <v>3.7488100000000002</v>
      </c>
      <c r="BH1176" s="3">
        <v>3.7249911999999998</v>
      </c>
      <c r="BI1176" s="3">
        <v>3.7022160999999998</v>
      </c>
      <c r="BJ1176" s="3">
        <v>3.6804619999999999</v>
      </c>
      <c r="BK1176" s="3">
        <v>3.6597059000000001</v>
      </c>
      <c r="BL1176" s="3">
        <v>3.639926</v>
      </c>
      <c r="BM1176" s="3">
        <v>3.5406460000000002</v>
      </c>
      <c r="BN1176" s="3">
        <v>3.4718553999999999</v>
      </c>
    </row>
    <row r="1177" spans="1:66" x14ac:dyDescent="0.35">
      <c r="A1177" s="5">
        <f t="shared" si="18"/>
        <v>45103</v>
      </c>
      <c r="B1177" t="s">
        <v>2585</v>
      </c>
      <c r="C1177" s="2">
        <v>5</v>
      </c>
      <c r="D1177" s="2">
        <v>4.9282000000000004</v>
      </c>
      <c r="E1177" s="3">
        <v>5.0439873000000004</v>
      </c>
      <c r="F1177" s="3">
        <v>5.3469679000000001</v>
      </c>
      <c r="G1177" s="3">
        <v>5.6100529999999997</v>
      </c>
      <c r="H1177" s="3">
        <v>5.8230791000000002</v>
      </c>
      <c r="I1177" s="3">
        <v>5.9774538000000002</v>
      </c>
      <c r="J1177" s="3">
        <v>6.0761738999999997</v>
      </c>
      <c r="K1177" s="3">
        <v>6.1298304999999997</v>
      </c>
      <c r="L1177" s="3">
        <v>6.1517204000000003</v>
      </c>
      <c r="M1177" s="3">
        <v>6.1528495999999997</v>
      </c>
      <c r="N1177" s="3">
        <v>6.1406606000000004</v>
      </c>
      <c r="O1177" s="3">
        <v>6.1181562999999999</v>
      </c>
      <c r="P1177" s="3">
        <v>6.0863386999999998</v>
      </c>
      <c r="Q1177" s="3">
        <v>6.0442121000000002</v>
      </c>
      <c r="R1177" s="3">
        <v>5.9923506</v>
      </c>
      <c r="S1177" s="3">
        <v>5.9319696999999998</v>
      </c>
      <c r="T1177" s="3">
        <v>5.8642830999999997</v>
      </c>
      <c r="U1177" s="3">
        <v>5.7905043000000003</v>
      </c>
      <c r="V1177" s="3">
        <v>5.7118494000000002</v>
      </c>
      <c r="W1177" s="3">
        <v>5.6295066</v>
      </c>
      <c r="X1177" s="3">
        <v>5.5445346000000004</v>
      </c>
      <c r="Y1177" s="3">
        <v>5.4579538999999997</v>
      </c>
      <c r="Z1177" s="3">
        <v>5.3707818999999999</v>
      </c>
      <c r="AA1177" s="3">
        <v>5.2840360000000004</v>
      </c>
      <c r="AB1177" s="3">
        <v>5.1987366000000002</v>
      </c>
      <c r="AC1177" s="3">
        <v>5.1157456999999997</v>
      </c>
      <c r="AD1177" s="3">
        <v>5.0352382999999996</v>
      </c>
      <c r="AE1177" s="3">
        <v>4.9572031000000001</v>
      </c>
      <c r="AF1177" s="3">
        <v>4.8816259000000004</v>
      </c>
      <c r="AG1177" s="3">
        <v>4.8084926000000001</v>
      </c>
      <c r="AH1177" s="3">
        <v>4.7377915000000002</v>
      </c>
      <c r="AI1177" s="3">
        <v>4.6695083999999998</v>
      </c>
      <c r="AJ1177" s="3">
        <v>4.6036294</v>
      </c>
      <c r="AK1177" s="3">
        <v>4.5401426999999996</v>
      </c>
      <c r="AL1177" s="3">
        <v>4.4790342000000001</v>
      </c>
      <c r="AM1177" s="3">
        <v>4.4202899000000002</v>
      </c>
      <c r="AN1177" s="3">
        <v>4.3638979999999998</v>
      </c>
      <c r="AO1177" s="3">
        <v>4.3098346999999997</v>
      </c>
      <c r="AP1177" s="3">
        <v>4.2580334000000004</v>
      </c>
      <c r="AQ1177" s="3">
        <v>4.2084177</v>
      </c>
      <c r="AR1177" s="3">
        <v>4.1609091999999999</v>
      </c>
      <c r="AS1177" s="3">
        <v>4.1154295999999997</v>
      </c>
      <c r="AT1177" s="3">
        <v>4.0719021</v>
      </c>
      <c r="AU1177" s="3">
        <v>4.0302484999999999</v>
      </c>
      <c r="AV1177" s="3">
        <v>3.9903906</v>
      </c>
      <c r="AW1177" s="3">
        <v>3.9522515999999999</v>
      </c>
      <c r="AX1177" s="3">
        <v>3.9157532000000002</v>
      </c>
      <c r="AY1177" s="3">
        <v>3.8808170999999998</v>
      </c>
      <c r="AZ1177" s="3">
        <v>3.8473666</v>
      </c>
      <c r="BA1177" s="3">
        <v>3.8153286</v>
      </c>
      <c r="BB1177" s="3">
        <v>3.7846579</v>
      </c>
      <c r="BC1177" s="3">
        <v>3.7553196999999998</v>
      </c>
      <c r="BD1177" s="3">
        <v>3.7272780999999999</v>
      </c>
      <c r="BE1177" s="3">
        <v>3.7004974000000002</v>
      </c>
      <c r="BF1177" s="3">
        <v>3.6749426000000001</v>
      </c>
      <c r="BG1177" s="3">
        <v>3.6505779999999999</v>
      </c>
      <c r="BH1177" s="3">
        <v>3.6273677000000002</v>
      </c>
      <c r="BI1177" s="3">
        <v>3.6052767999999999</v>
      </c>
      <c r="BJ1177" s="3">
        <v>3.5842695999999998</v>
      </c>
      <c r="BK1177" s="3">
        <v>3.5643102</v>
      </c>
      <c r="BL1177" s="3">
        <v>3.5453636999999998</v>
      </c>
      <c r="BM1177" s="3">
        <v>3.4512797000000002</v>
      </c>
      <c r="BN1177" s="3">
        <v>3.3866594000000001</v>
      </c>
    </row>
    <row r="1178" spans="1:66" x14ac:dyDescent="0.35">
      <c r="A1178" s="5">
        <f t="shared" si="18"/>
        <v>45104</v>
      </c>
      <c r="B1178" t="s">
        <v>2586</v>
      </c>
      <c r="C1178" s="2">
        <v>5</v>
      </c>
      <c r="D1178" s="2">
        <v>4.9280999999999997</v>
      </c>
      <c r="E1178" s="3">
        <v>5.0583659000000001</v>
      </c>
      <c r="F1178" s="3">
        <v>5.3694154000000003</v>
      </c>
      <c r="G1178" s="3">
        <v>5.6332015999999996</v>
      </c>
      <c r="H1178" s="3">
        <v>5.8464226000000004</v>
      </c>
      <c r="I1178" s="3">
        <v>6.0038209</v>
      </c>
      <c r="J1178" s="3">
        <v>6.1087994999999999</v>
      </c>
      <c r="K1178" s="3">
        <v>6.1708759999999998</v>
      </c>
      <c r="L1178" s="3">
        <v>6.2038985999999996</v>
      </c>
      <c r="M1178" s="3">
        <v>6.2187904999999999</v>
      </c>
      <c r="N1178" s="3">
        <v>6.2225096000000004</v>
      </c>
      <c r="O1178" s="3">
        <v>6.2174911000000002</v>
      </c>
      <c r="P1178" s="3">
        <v>6.2034694000000004</v>
      </c>
      <c r="Q1178" s="3">
        <v>6.1774950999999998</v>
      </c>
      <c r="R1178" s="3">
        <v>6.1397377000000004</v>
      </c>
      <c r="S1178" s="3">
        <v>6.0914878000000003</v>
      </c>
      <c r="T1178" s="3">
        <v>6.0340349</v>
      </c>
      <c r="U1178" s="3">
        <v>5.9686678999999998</v>
      </c>
      <c r="V1178" s="3">
        <v>5.8966782000000002</v>
      </c>
      <c r="W1178" s="3">
        <v>5.8193410999999999</v>
      </c>
      <c r="X1178" s="3">
        <v>5.7378688999999996</v>
      </c>
      <c r="Y1178" s="3">
        <v>5.6534580999999999</v>
      </c>
      <c r="Z1178" s="3">
        <v>5.5673028000000002</v>
      </c>
      <c r="AA1178" s="3">
        <v>5.4805967000000004</v>
      </c>
      <c r="AB1178" s="3">
        <v>5.3945366000000003</v>
      </c>
      <c r="AC1178" s="3">
        <v>5.3101430000000001</v>
      </c>
      <c r="AD1178" s="3">
        <v>5.2276711999999996</v>
      </c>
      <c r="AE1178" s="3">
        <v>5.1471682000000003</v>
      </c>
      <c r="AF1178" s="3">
        <v>5.0686781999999999</v>
      </c>
      <c r="AG1178" s="3">
        <v>4.9922453000000004</v>
      </c>
      <c r="AH1178" s="3">
        <v>4.9179164999999996</v>
      </c>
      <c r="AI1178" s="3">
        <v>4.8457357999999999</v>
      </c>
      <c r="AJ1178" s="3">
        <v>4.7757478000000004</v>
      </c>
      <c r="AK1178" s="3">
        <v>4.707999</v>
      </c>
      <c r="AL1178" s="3">
        <v>4.6425337000000004</v>
      </c>
      <c r="AM1178" s="3">
        <v>4.5793963</v>
      </c>
      <c r="AN1178" s="3">
        <v>4.5186335</v>
      </c>
      <c r="AO1178" s="3">
        <v>4.4602744999999997</v>
      </c>
      <c r="AP1178" s="3">
        <v>4.4042684999999997</v>
      </c>
      <c r="AQ1178" s="3">
        <v>4.3505393999999997</v>
      </c>
      <c r="AR1178" s="3">
        <v>4.2990092000000004</v>
      </c>
      <c r="AS1178" s="3">
        <v>4.2496</v>
      </c>
      <c r="AT1178" s="3">
        <v>4.2022357000000001</v>
      </c>
      <c r="AU1178" s="3">
        <v>4.1568382000000001</v>
      </c>
      <c r="AV1178" s="3">
        <v>4.1133299000000001</v>
      </c>
      <c r="AW1178" s="3">
        <v>4.0716343000000004</v>
      </c>
      <c r="AX1178" s="3">
        <v>4.0316736000000004</v>
      </c>
      <c r="AY1178" s="3">
        <v>3.9933700999999999</v>
      </c>
      <c r="AZ1178" s="3">
        <v>3.9566473000000002</v>
      </c>
      <c r="BA1178" s="3">
        <v>3.9214321000000001</v>
      </c>
      <c r="BB1178" s="3">
        <v>3.8876743</v>
      </c>
      <c r="BC1178" s="3">
        <v>3.8553318999999999</v>
      </c>
      <c r="BD1178" s="3">
        <v>3.8243616999999999</v>
      </c>
      <c r="BE1178" s="3">
        <v>3.7947204999999999</v>
      </c>
      <c r="BF1178" s="3">
        <v>3.7663660999999999</v>
      </c>
      <c r="BG1178" s="3">
        <v>3.7392555000000001</v>
      </c>
      <c r="BH1178" s="3">
        <v>3.7133454000000001</v>
      </c>
      <c r="BI1178" s="3">
        <v>3.6885938</v>
      </c>
      <c r="BJ1178" s="3">
        <v>3.6649573000000002</v>
      </c>
      <c r="BK1178" s="3">
        <v>3.6423930000000002</v>
      </c>
      <c r="BL1178" s="3">
        <v>3.6208585000000002</v>
      </c>
      <c r="BM1178" s="3">
        <v>3.5114865000000002</v>
      </c>
      <c r="BN1178" s="3">
        <v>3.4321416999999999</v>
      </c>
    </row>
    <row r="1179" spans="1:66" x14ac:dyDescent="0.35">
      <c r="A1179" s="5">
        <f t="shared" si="18"/>
        <v>45105</v>
      </c>
      <c r="B1179" t="s">
        <v>2587</v>
      </c>
      <c r="C1179" s="2">
        <v>5</v>
      </c>
      <c r="D1179" s="2">
        <v>4.9279000000000002</v>
      </c>
      <c r="E1179" s="3">
        <v>5.0585715999999996</v>
      </c>
      <c r="F1179" s="3">
        <v>5.3608229999999999</v>
      </c>
      <c r="G1179" s="3">
        <v>5.6102018999999999</v>
      </c>
      <c r="H1179" s="3">
        <v>5.8070307999999997</v>
      </c>
      <c r="I1179" s="3">
        <v>5.9468275000000004</v>
      </c>
      <c r="J1179" s="3">
        <v>6.0349440999999997</v>
      </c>
      <c r="K1179" s="3">
        <v>6.0820239999999997</v>
      </c>
      <c r="L1179" s="3">
        <v>6.1024688999999999</v>
      </c>
      <c r="M1179" s="3">
        <v>6.1068800000000003</v>
      </c>
      <c r="N1179" s="3">
        <v>6.1015230999999996</v>
      </c>
      <c r="O1179" s="3">
        <v>6.0881002999999998</v>
      </c>
      <c r="P1179" s="3">
        <v>6.0657265000000002</v>
      </c>
      <c r="Q1179" s="3">
        <v>6.0309812999999997</v>
      </c>
      <c r="R1179" s="3">
        <v>5.9840578999999998</v>
      </c>
      <c r="S1179" s="3">
        <v>5.9263857</v>
      </c>
      <c r="T1179" s="3">
        <v>5.8593923999999999</v>
      </c>
      <c r="U1179" s="3">
        <v>5.7845053999999996</v>
      </c>
      <c r="V1179" s="3">
        <v>5.7031546999999998</v>
      </c>
      <c r="W1179" s="3">
        <v>5.6167806000000002</v>
      </c>
      <c r="X1179" s="3">
        <v>5.5268964</v>
      </c>
      <c r="Y1179" s="3">
        <v>5.4350440999999998</v>
      </c>
      <c r="Z1179" s="3">
        <v>5.3427629000000003</v>
      </c>
      <c r="AA1179" s="3">
        <v>5.2515916999999996</v>
      </c>
      <c r="AB1179" s="3">
        <v>5.1630726999999998</v>
      </c>
      <c r="AC1179" s="3">
        <v>5.0785353000000004</v>
      </c>
      <c r="AD1179" s="3">
        <v>4.9981790999999998</v>
      </c>
      <c r="AE1179" s="3">
        <v>4.9218283999999999</v>
      </c>
      <c r="AF1179" s="3">
        <v>4.8493038000000004</v>
      </c>
      <c r="AG1179" s="3">
        <v>4.7804266000000002</v>
      </c>
      <c r="AH1179" s="3">
        <v>4.7150201000000003</v>
      </c>
      <c r="AI1179" s="3">
        <v>4.6529052999999996</v>
      </c>
      <c r="AJ1179" s="3">
        <v>4.5939036</v>
      </c>
      <c r="AK1179" s="3">
        <v>4.5378379999999998</v>
      </c>
      <c r="AL1179" s="3">
        <v>4.4845297000000004</v>
      </c>
      <c r="AM1179" s="3">
        <v>4.4337999999999997</v>
      </c>
      <c r="AN1179" s="3">
        <v>4.3854718999999998</v>
      </c>
      <c r="AO1179" s="3">
        <v>4.3393746999999996</v>
      </c>
      <c r="AP1179" s="3">
        <v>4.2953767000000003</v>
      </c>
      <c r="AQ1179" s="3">
        <v>4.2533596999999999</v>
      </c>
      <c r="AR1179" s="3">
        <v>4.2132038999999999</v>
      </c>
      <c r="AS1179" s="3">
        <v>4.1747896000000004</v>
      </c>
      <c r="AT1179" s="3">
        <v>4.1379985000000001</v>
      </c>
      <c r="AU1179" s="3">
        <v>4.1027108999999999</v>
      </c>
      <c r="AV1179" s="3">
        <v>4.0688069999999996</v>
      </c>
      <c r="AW1179" s="3">
        <v>4.0361684000000002</v>
      </c>
      <c r="AX1179" s="3">
        <v>4.0046755000000003</v>
      </c>
      <c r="AY1179" s="3">
        <v>3.9742085999999999</v>
      </c>
      <c r="AZ1179" s="3">
        <v>3.9446492000000002</v>
      </c>
      <c r="BA1179" s="3">
        <v>3.9158954000000001</v>
      </c>
      <c r="BB1179" s="3">
        <v>3.8879229</v>
      </c>
      <c r="BC1179" s="3">
        <v>3.8607301999999999</v>
      </c>
      <c r="BD1179" s="3">
        <v>3.8343147000000002</v>
      </c>
      <c r="BE1179" s="3">
        <v>3.8086736000000001</v>
      </c>
      <c r="BF1179" s="3">
        <v>3.7838053</v>
      </c>
      <c r="BG1179" s="3">
        <v>3.7597073000000001</v>
      </c>
      <c r="BH1179" s="3">
        <v>3.7363767999999999</v>
      </c>
      <c r="BI1179" s="3">
        <v>3.7138122</v>
      </c>
      <c r="BJ1179" s="3">
        <v>3.6920109000000001</v>
      </c>
      <c r="BK1179" s="3">
        <v>3.6709703</v>
      </c>
      <c r="BL1179" s="3">
        <v>3.6506886000000001</v>
      </c>
      <c r="BM1179" s="3">
        <v>3.5445441999999998</v>
      </c>
      <c r="BN1179" s="3">
        <v>3.4635560999999999</v>
      </c>
    </row>
    <row r="1180" spans="1:66" x14ac:dyDescent="0.35">
      <c r="A1180" s="5">
        <f t="shared" si="18"/>
        <v>45106</v>
      </c>
      <c r="B1180" t="s">
        <v>2588</v>
      </c>
      <c r="C1180" s="2">
        <v>5</v>
      </c>
      <c r="D1180" s="2">
        <v>4.9283999999999999</v>
      </c>
      <c r="E1180" s="3">
        <v>5.0661291000000004</v>
      </c>
      <c r="F1180" s="3">
        <v>5.3860064000000003</v>
      </c>
      <c r="G1180" s="3">
        <v>5.6457873999999997</v>
      </c>
      <c r="H1180" s="3">
        <v>5.8513595</v>
      </c>
      <c r="I1180" s="3">
        <v>6.0008385999999998</v>
      </c>
      <c r="J1180" s="3">
        <v>6.0987651999999999</v>
      </c>
      <c r="K1180" s="3">
        <v>6.1551042000000002</v>
      </c>
      <c r="L1180" s="3">
        <v>6.1837637000000001</v>
      </c>
      <c r="M1180" s="3">
        <v>6.1957075000000001</v>
      </c>
      <c r="N1180" s="3">
        <v>6.1963451000000003</v>
      </c>
      <c r="O1180" s="3">
        <v>6.1873893999999998</v>
      </c>
      <c r="P1180" s="3">
        <v>6.1683577999999999</v>
      </c>
      <c r="Q1180" s="3">
        <v>6.1362129999999997</v>
      </c>
      <c r="R1180" s="3">
        <v>6.0912750000000004</v>
      </c>
      <c r="S1180" s="3">
        <v>6.0352686999999996</v>
      </c>
      <c r="T1180" s="3">
        <v>5.9699179000000004</v>
      </c>
      <c r="U1180" s="3">
        <v>5.8969464</v>
      </c>
      <c r="V1180" s="3">
        <v>5.8180804999999998</v>
      </c>
      <c r="W1180" s="3">
        <v>5.7349823999999998</v>
      </c>
      <c r="X1180" s="3">
        <v>5.6489997000000001</v>
      </c>
      <c r="Y1180" s="3">
        <v>5.5613823</v>
      </c>
      <c r="Z1180" s="3">
        <v>5.4733771999999998</v>
      </c>
      <c r="AA1180" s="3">
        <v>5.3862310999999998</v>
      </c>
      <c r="AB1180" s="3">
        <v>5.3011939999999997</v>
      </c>
      <c r="AC1180" s="3">
        <v>5.2193272000000004</v>
      </c>
      <c r="AD1180" s="3">
        <v>5.1407869000000002</v>
      </c>
      <c r="AE1180" s="3">
        <v>5.0654567000000004</v>
      </c>
      <c r="AF1180" s="3">
        <v>4.9932173000000004</v>
      </c>
      <c r="AG1180" s="3">
        <v>4.9239497999999999</v>
      </c>
      <c r="AH1180" s="3">
        <v>4.8575375000000003</v>
      </c>
      <c r="AI1180" s="3">
        <v>4.7938611</v>
      </c>
      <c r="AJ1180" s="3">
        <v>4.7328017999999998</v>
      </c>
      <c r="AK1180" s="3">
        <v>4.6742428</v>
      </c>
      <c r="AL1180" s="3">
        <v>4.6180649000000003</v>
      </c>
      <c r="AM1180" s="3">
        <v>4.5641492000000001</v>
      </c>
      <c r="AN1180" s="3">
        <v>4.5123788999999999</v>
      </c>
      <c r="AO1180" s="3">
        <v>4.4626405</v>
      </c>
      <c r="AP1180" s="3">
        <v>4.4148459000000004</v>
      </c>
      <c r="AQ1180" s="3">
        <v>4.3689156000000002</v>
      </c>
      <c r="AR1180" s="3">
        <v>4.3247682000000003</v>
      </c>
      <c r="AS1180" s="3">
        <v>4.2823224</v>
      </c>
      <c r="AT1180" s="3">
        <v>4.2414985999999999</v>
      </c>
      <c r="AU1180" s="3">
        <v>4.2022155000000003</v>
      </c>
      <c r="AV1180" s="3">
        <v>4.1643920000000003</v>
      </c>
      <c r="AW1180" s="3">
        <v>4.1279481999999996</v>
      </c>
      <c r="AX1180" s="3">
        <v>4.0928028999999997</v>
      </c>
      <c r="AY1180" s="3">
        <v>4.0588750999999998</v>
      </c>
      <c r="AZ1180" s="3">
        <v>4.0260847000000002</v>
      </c>
      <c r="BA1180" s="3">
        <v>3.9943605</v>
      </c>
      <c r="BB1180" s="3">
        <v>3.9636746999999999</v>
      </c>
      <c r="BC1180" s="3">
        <v>3.9340125000000001</v>
      </c>
      <c r="BD1180" s="3">
        <v>3.9053581999999998</v>
      </c>
      <c r="BE1180" s="3">
        <v>3.8776958000000001</v>
      </c>
      <c r="BF1180" s="3">
        <v>3.8510106</v>
      </c>
      <c r="BG1180" s="3">
        <v>3.8252868000000002</v>
      </c>
      <c r="BH1180" s="3">
        <v>3.8005087</v>
      </c>
      <c r="BI1180" s="3">
        <v>3.7766613000000002</v>
      </c>
      <c r="BJ1180" s="3">
        <v>3.7537288000000002</v>
      </c>
      <c r="BK1180" s="3">
        <v>3.7316956999999999</v>
      </c>
      <c r="BL1180" s="3">
        <v>3.7105467999999999</v>
      </c>
      <c r="BM1180" s="3">
        <v>3.6013337000000001</v>
      </c>
      <c r="BN1180" s="3">
        <v>3.519936</v>
      </c>
    </row>
    <row r="1181" spans="1:66" x14ac:dyDescent="0.35">
      <c r="A1181" s="5">
        <f t="shared" si="18"/>
        <v>45107</v>
      </c>
      <c r="B1181" t="s">
        <v>2589</v>
      </c>
      <c r="C1181" s="2">
        <v>5</v>
      </c>
      <c r="D1181" s="2">
        <v>4.9286000000000003</v>
      </c>
      <c r="E1181" s="3">
        <v>5.0694828999999997</v>
      </c>
      <c r="F1181" s="3">
        <v>5.3921178999999997</v>
      </c>
      <c r="G1181" s="3">
        <v>5.6582828999999997</v>
      </c>
      <c r="H1181" s="3">
        <v>5.8671533</v>
      </c>
      <c r="I1181" s="3">
        <v>6.0163092000000002</v>
      </c>
      <c r="J1181" s="3">
        <v>6.1133316000000004</v>
      </c>
      <c r="K1181" s="3">
        <v>6.1701398000000003</v>
      </c>
      <c r="L1181" s="3">
        <v>6.1973649000000002</v>
      </c>
      <c r="M1181" s="3">
        <v>6.2058362000000002</v>
      </c>
      <c r="N1181" s="3">
        <v>6.2017116000000003</v>
      </c>
      <c r="O1181" s="3">
        <v>6.1878897999999998</v>
      </c>
      <c r="P1181" s="3">
        <v>6.1652158000000004</v>
      </c>
      <c r="Q1181" s="3">
        <v>6.1328214000000001</v>
      </c>
      <c r="R1181" s="3">
        <v>6.0911068999999998</v>
      </c>
      <c r="S1181" s="3">
        <v>6.0410164000000002</v>
      </c>
      <c r="T1181" s="3">
        <v>5.9834928999999999</v>
      </c>
      <c r="U1181" s="3">
        <v>5.9194787</v>
      </c>
      <c r="V1181" s="3">
        <v>5.8499186999999999</v>
      </c>
      <c r="W1181" s="3">
        <v>5.7757816000000002</v>
      </c>
      <c r="X1181" s="3">
        <v>5.6981700000000002</v>
      </c>
      <c r="Y1181" s="3">
        <v>5.6182321999999996</v>
      </c>
      <c r="Z1181" s="3">
        <v>5.5371136999999999</v>
      </c>
      <c r="AA1181" s="3">
        <v>5.4559600000000001</v>
      </c>
      <c r="AB1181" s="3">
        <v>5.3759193999999999</v>
      </c>
      <c r="AC1181" s="3">
        <v>5.2979599000000004</v>
      </c>
      <c r="AD1181" s="3">
        <v>5.2222663000000002</v>
      </c>
      <c r="AE1181" s="3">
        <v>5.1488095999999999</v>
      </c>
      <c r="AF1181" s="3">
        <v>5.0775584</v>
      </c>
      <c r="AG1181" s="3">
        <v>5.0084812000000003</v>
      </c>
      <c r="AH1181" s="3">
        <v>4.9415490999999996</v>
      </c>
      <c r="AI1181" s="3">
        <v>4.8767304999999999</v>
      </c>
      <c r="AJ1181" s="3">
        <v>4.8139941999999998</v>
      </c>
      <c r="AK1181" s="3">
        <v>4.7533111000000003</v>
      </c>
      <c r="AL1181" s="3">
        <v>4.6946497000000003</v>
      </c>
      <c r="AM1181" s="3">
        <v>4.6379786999999997</v>
      </c>
      <c r="AN1181" s="3">
        <v>4.5832689999999996</v>
      </c>
      <c r="AO1181" s="3">
        <v>4.5304833000000002</v>
      </c>
      <c r="AP1181" s="3">
        <v>4.4795582999999999</v>
      </c>
      <c r="AQ1181" s="3">
        <v>4.4304255000000001</v>
      </c>
      <c r="AR1181" s="3">
        <v>4.3830144000000004</v>
      </c>
      <c r="AS1181" s="3">
        <v>4.3372546999999999</v>
      </c>
      <c r="AT1181" s="3">
        <v>4.2930776000000002</v>
      </c>
      <c r="AU1181" s="3">
        <v>4.2504128000000003</v>
      </c>
      <c r="AV1181" s="3">
        <v>4.2091900000000004</v>
      </c>
      <c r="AW1181" s="3">
        <v>4.1693401999999997</v>
      </c>
      <c r="AX1181" s="3">
        <v>4.1307932000000003</v>
      </c>
      <c r="AY1181" s="3">
        <v>4.0934787999999998</v>
      </c>
      <c r="AZ1181" s="3">
        <v>4.057328</v>
      </c>
      <c r="BA1181" s="3">
        <v>4.0222794999999998</v>
      </c>
      <c r="BB1181" s="3">
        <v>3.9883125000000001</v>
      </c>
      <c r="BC1181" s="3">
        <v>3.9554181000000002</v>
      </c>
      <c r="BD1181" s="3">
        <v>3.9235864</v>
      </c>
      <c r="BE1181" s="3">
        <v>3.8928075</v>
      </c>
      <c r="BF1181" s="3">
        <v>3.8630726000000002</v>
      </c>
      <c r="BG1181" s="3">
        <v>3.8343717000000002</v>
      </c>
      <c r="BH1181" s="3">
        <v>3.8066949000000001</v>
      </c>
      <c r="BI1181" s="3">
        <v>3.7800335</v>
      </c>
      <c r="BJ1181" s="3">
        <v>3.7543774999999999</v>
      </c>
      <c r="BK1181" s="3">
        <v>3.7297169999999999</v>
      </c>
      <c r="BL1181" s="3">
        <v>3.7060431</v>
      </c>
      <c r="BM1181" s="3">
        <v>3.5839919999999998</v>
      </c>
      <c r="BN1181" s="3">
        <v>3.4939065</v>
      </c>
    </row>
    <row r="1182" spans="1:66" x14ac:dyDescent="0.35">
      <c r="A1182" s="5">
        <f t="shared" si="18"/>
        <v>45110</v>
      </c>
      <c r="B1182" t="s">
        <v>2591</v>
      </c>
      <c r="C1182" s="2">
        <v>5</v>
      </c>
      <c r="D1182" s="2">
        <v>4.9290000000000003</v>
      </c>
      <c r="E1182" s="3">
        <v>5.0874923000000001</v>
      </c>
      <c r="F1182" s="3">
        <v>5.4278352999999999</v>
      </c>
      <c r="G1182" s="3">
        <v>5.6921501000000001</v>
      </c>
      <c r="H1182" s="3">
        <v>5.8947832</v>
      </c>
      <c r="I1182" s="3">
        <v>6.0430877000000001</v>
      </c>
      <c r="J1182" s="3">
        <v>6.1427161999999997</v>
      </c>
      <c r="K1182" s="3">
        <v>6.2030953999999996</v>
      </c>
      <c r="L1182" s="3">
        <v>6.2369795000000003</v>
      </c>
      <c r="M1182" s="3">
        <v>6.2544013999999999</v>
      </c>
      <c r="N1182" s="3">
        <v>6.2617615000000004</v>
      </c>
      <c r="O1182" s="3">
        <v>6.2612475999999999</v>
      </c>
      <c r="P1182" s="3">
        <v>6.2526181999999997</v>
      </c>
      <c r="Q1182" s="3">
        <v>6.2331390999999998</v>
      </c>
      <c r="R1182" s="3">
        <v>6.2027020999999998</v>
      </c>
      <c r="S1182" s="3">
        <v>6.1621695000000001</v>
      </c>
      <c r="T1182" s="3">
        <v>6.1124023999999997</v>
      </c>
      <c r="U1182" s="3">
        <v>6.0542615</v>
      </c>
      <c r="V1182" s="3">
        <v>5.9886097999999999</v>
      </c>
      <c r="W1182" s="3">
        <v>5.9163782999999999</v>
      </c>
      <c r="X1182" s="3">
        <v>5.8388575999999999</v>
      </c>
      <c r="Y1182" s="3">
        <v>5.7574560999999997</v>
      </c>
      <c r="Z1182" s="3">
        <v>5.6735794000000004</v>
      </c>
      <c r="AA1182" s="3">
        <v>5.5886331</v>
      </c>
      <c r="AB1182" s="3">
        <v>5.5040256999999997</v>
      </c>
      <c r="AC1182" s="3">
        <v>5.4209588999999996</v>
      </c>
      <c r="AD1182" s="3">
        <v>5.3397334000000001</v>
      </c>
      <c r="AE1182" s="3">
        <v>5.2604049000000002</v>
      </c>
      <c r="AF1182" s="3">
        <v>5.1830257</v>
      </c>
      <c r="AG1182" s="3">
        <v>5.1076484999999998</v>
      </c>
      <c r="AH1182" s="3">
        <v>5.0343283999999997</v>
      </c>
      <c r="AI1182" s="3">
        <v>4.9631181</v>
      </c>
      <c r="AJ1182" s="3">
        <v>4.8940701999999998</v>
      </c>
      <c r="AK1182" s="3">
        <v>4.8272399000000004</v>
      </c>
      <c r="AL1182" s="3">
        <v>4.7626796000000002</v>
      </c>
      <c r="AM1182" s="3">
        <v>4.7004422999999997</v>
      </c>
      <c r="AN1182" s="3">
        <v>4.6405827000000004</v>
      </c>
      <c r="AO1182" s="3">
        <v>4.5831324000000002</v>
      </c>
      <c r="AP1182" s="3">
        <v>4.5280288000000004</v>
      </c>
      <c r="AQ1182" s="3">
        <v>4.4751852999999997</v>
      </c>
      <c r="AR1182" s="3">
        <v>4.4245134000000004</v>
      </c>
      <c r="AS1182" s="3">
        <v>4.3759246000000003</v>
      </c>
      <c r="AT1182" s="3">
        <v>4.3293322999999999</v>
      </c>
      <c r="AU1182" s="3">
        <v>4.2846479999999998</v>
      </c>
      <c r="AV1182" s="3">
        <v>4.2417832999999998</v>
      </c>
      <c r="AW1182" s="3">
        <v>4.2006513999999999</v>
      </c>
      <c r="AX1182" s="3">
        <v>4.1611639</v>
      </c>
      <c r="AY1182" s="3">
        <v>4.1232325000000003</v>
      </c>
      <c r="AZ1182" s="3">
        <v>4.0867703000000004</v>
      </c>
      <c r="BA1182" s="3">
        <v>4.0516956999999998</v>
      </c>
      <c r="BB1182" s="3">
        <v>4.0179638000000004</v>
      </c>
      <c r="BC1182" s="3">
        <v>3.9855431000000001</v>
      </c>
      <c r="BD1182" s="3">
        <v>3.9544011999999999</v>
      </c>
      <c r="BE1182" s="3">
        <v>3.9245052999999999</v>
      </c>
      <c r="BF1182" s="3">
        <v>3.8958238999999999</v>
      </c>
      <c r="BG1182" s="3">
        <v>3.8683245999999998</v>
      </c>
      <c r="BH1182" s="3">
        <v>3.8419745999999999</v>
      </c>
      <c r="BI1182" s="3">
        <v>3.8167426</v>
      </c>
      <c r="BJ1182" s="3">
        <v>3.7925958</v>
      </c>
      <c r="BK1182" s="3">
        <v>3.7695018</v>
      </c>
      <c r="BL1182" s="3">
        <v>3.7474289000000001</v>
      </c>
      <c r="BM1182" s="3">
        <v>3.6348866000000002</v>
      </c>
      <c r="BN1182" s="3">
        <v>3.5525829</v>
      </c>
    </row>
    <row r="1183" spans="1:66" x14ac:dyDescent="0.35">
      <c r="A1183" s="5">
        <f t="shared" si="18"/>
        <v>45111</v>
      </c>
      <c r="B1183" t="s">
        <v>2592</v>
      </c>
      <c r="C1183" s="2">
        <v>5</v>
      </c>
      <c r="D1183" s="2">
        <v>4.9291</v>
      </c>
      <c r="E1183" s="3">
        <v>5.1014745000000001</v>
      </c>
      <c r="F1183" s="3">
        <v>5.4341184</v>
      </c>
      <c r="G1183" s="3">
        <v>5.6939773000000002</v>
      </c>
      <c r="H1183" s="3">
        <v>5.8954819000000001</v>
      </c>
      <c r="I1183" s="3">
        <v>6.0435701999999996</v>
      </c>
      <c r="J1183" s="3">
        <v>6.1442106000000001</v>
      </c>
      <c r="K1183" s="3">
        <v>6.2060656999999999</v>
      </c>
      <c r="L1183" s="3">
        <v>6.2410268000000002</v>
      </c>
      <c r="M1183" s="3">
        <v>6.2590821999999999</v>
      </c>
      <c r="N1183" s="3">
        <v>6.2663655</v>
      </c>
      <c r="O1183" s="3">
        <v>6.2651317000000004</v>
      </c>
      <c r="P1183" s="3">
        <v>6.2551136999999999</v>
      </c>
      <c r="Q1183" s="3">
        <v>6.2337213</v>
      </c>
      <c r="R1183" s="3">
        <v>6.2009841999999997</v>
      </c>
      <c r="S1183" s="3">
        <v>6.1578708999999998</v>
      </c>
      <c r="T1183" s="3">
        <v>6.1053487999999998</v>
      </c>
      <c r="U1183" s="3">
        <v>6.0443850000000001</v>
      </c>
      <c r="V1183" s="3">
        <v>5.9759485999999997</v>
      </c>
      <c r="W1183" s="3">
        <v>5.9010553000000003</v>
      </c>
      <c r="X1183" s="3">
        <v>5.8210242000000001</v>
      </c>
      <c r="Y1183" s="3">
        <v>5.7372950999999999</v>
      </c>
      <c r="Z1183" s="3">
        <v>5.6513051000000001</v>
      </c>
      <c r="AA1183" s="3">
        <v>5.5644910000000003</v>
      </c>
      <c r="AB1183" s="3">
        <v>5.4782931000000001</v>
      </c>
      <c r="AC1183" s="3">
        <v>5.3939364999999997</v>
      </c>
      <c r="AD1183" s="3">
        <v>5.3117124999999996</v>
      </c>
      <c r="AE1183" s="3">
        <v>5.2316571999999999</v>
      </c>
      <c r="AF1183" s="3">
        <v>5.1538038999999998</v>
      </c>
      <c r="AG1183" s="3">
        <v>5.0781859000000003</v>
      </c>
      <c r="AH1183" s="3">
        <v>5.0048393000000004</v>
      </c>
      <c r="AI1183" s="3">
        <v>4.9337974999999998</v>
      </c>
      <c r="AJ1183" s="3">
        <v>4.8650938000000004</v>
      </c>
      <c r="AK1183" s="3">
        <v>4.7987641999999999</v>
      </c>
      <c r="AL1183" s="3">
        <v>4.7348420999999998</v>
      </c>
      <c r="AM1183" s="3">
        <v>4.6733609999999999</v>
      </c>
      <c r="AN1183" s="3">
        <v>4.6143565999999998</v>
      </c>
      <c r="AO1183" s="3">
        <v>4.5578455</v>
      </c>
      <c r="AP1183" s="3">
        <v>4.5037525</v>
      </c>
      <c r="AQ1183" s="3">
        <v>4.4519735000000003</v>
      </c>
      <c r="AR1183" s="3">
        <v>4.4024027999999999</v>
      </c>
      <c r="AS1183" s="3">
        <v>4.3549344000000003</v>
      </c>
      <c r="AT1183" s="3">
        <v>4.3094643000000001</v>
      </c>
      <c r="AU1183" s="3">
        <v>4.2658866</v>
      </c>
      <c r="AV1183" s="3">
        <v>4.2240954999999998</v>
      </c>
      <c r="AW1183" s="3">
        <v>4.1839867999999996</v>
      </c>
      <c r="AX1183" s="3">
        <v>4.1454545999999999</v>
      </c>
      <c r="AY1183" s="3">
        <v>4.1083933000000004</v>
      </c>
      <c r="AZ1183" s="3">
        <v>4.0726985000000004</v>
      </c>
      <c r="BA1183" s="3">
        <v>4.0382747999999999</v>
      </c>
      <c r="BB1183" s="3">
        <v>4.0050768999999997</v>
      </c>
      <c r="BC1183" s="3">
        <v>3.9730759999999998</v>
      </c>
      <c r="BD1183" s="3">
        <v>3.9422421000000001</v>
      </c>
      <c r="BE1183" s="3">
        <v>3.9125451999999998</v>
      </c>
      <c r="BF1183" s="3">
        <v>3.8839565999999999</v>
      </c>
      <c r="BG1183" s="3">
        <v>3.8564460999999999</v>
      </c>
      <c r="BH1183" s="3">
        <v>3.8299839000000002</v>
      </c>
      <c r="BI1183" s="3">
        <v>3.8045410999999998</v>
      </c>
      <c r="BJ1183" s="3">
        <v>3.7800878</v>
      </c>
      <c r="BK1183" s="3">
        <v>3.7565938999999999</v>
      </c>
      <c r="BL1183" s="3">
        <v>3.7340306000000001</v>
      </c>
      <c r="BM1183" s="3">
        <v>3.6169848</v>
      </c>
      <c r="BN1183" s="3">
        <v>3.5287723</v>
      </c>
    </row>
    <row r="1184" spans="1:66" x14ac:dyDescent="0.35">
      <c r="A1184" s="5">
        <f t="shared" si="18"/>
        <v>45112</v>
      </c>
      <c r="B1184" t="s">
        <v>2593</v>
      </c>
      <c r="C1184" s="2">
        <v>5</v>
      </c>
      <c r="D1184" s="2">
        <v>4.93</v>
      </c>
      <c r="E1184" s="3">
        <v>5.1302327999999999</v>
      </c>
      <c r="F1184" s="3">
        <v>5.4444324000000002</v>
      </c>
      <c r="G1184" s="3">
        <v>5.7050475</v>
      </c>
      <c r="H1184" s="3">
        <v>5.9186540000000001</v>
      </c>
      <c r="I1184" s="3">
        <v>6.0837371999999998</v>
      </c>
      <c r="J1184" s="3">
        <v>6.2023669000000003</v>
      </c>
      <c r="K1184" s="3">
        <v>6.2818797999999996</v>
      </c>
      <c r="L1184" s="3">
        <v>6.3335933000000004</v>
      </c>
      <c r="M1184" s="3">
        <v>6.3674733000000003</v>
      </c>
      <c r="N1184" s="3">
        <v>6.3894098000000001</v>
      </c>
      <c r="O1184" s="3">
        <v>6.4014838999999997</v>
      </c>
      <c r="P1184" s="3">
        <v>6.4028561000000002</v>
      </c>
      <c r="Q1184" s="3">
        <v>6.3901072000000001</v>
      </c>
      <c r="R1184" s="3">
        <v>6.3633258000000001</v>
      </c>
      <c r="S1184" s="3">
        <v>6.3238142000000002</v>
      </c>
      <c r="T1184" s="3">
        <v>6.2728738999999996</v>
      </c>
      <c r="U1184" s="3">
        <v>6.2118058999999999</v>
      </c>
      <c r="V1184" s="3">
        <v>6.1419135000000002</v>
      </c>
      <c r="W1184" s="3">
        <v>6.0645366999999997</v>
      </c>
      <c r="X1184" s="3">
        <v>5.9812354000000001</v>
      </c>
      <c r="Y1184" s="3">
        <v>5.8936501999999997</v>
      </c>
      <c r="Z1184" s="3">
        <v>5.8034185999999996</v>
      </c>
      <c r="AA1184" s="3">
        <v>5.7121782000000003</v>
      </c>
      <c r="AB1184" s="3">
        <v>5.6215697000000002</v>
      </c>
      <c r="AC1184" s="3">
        <v>5.5330319000000001</v>
      </c>
      <c r="AD1184" s="3">
        <v>5.4469336999999998</v>
      </c>
      <c r="AE1184" s="3">
        <v>5.3632884000000001</v>
      </c>
      <c r="AF1184" s="3">
        <v>5.2821058000000001</v>
      </c>
      <c r="AG1184" s="3">
        <v>5.2033959000000003</v>
      </c>
      <c r="AH1184" s="3">
        <v>5.1271713999999999</v>
      </c>
      <c r="AI1184" s="3">
        <v>5.0534425000000001</v>
      </c>
      <c r="AJ1184" s="3">
        <v>4.9822191</v>
      </c>
      <c r="AK1184" s="3">
        <v>4.9135140000000002</v>
      </c>
      <c r="AL1184" s="3">
        <v>4.8473369999999996</v>
      </c>
      <c r="AM1184" s="3">
        <v>4.7836984999999999</v>
      </c>
      <c r="AN1184" s="3">
        <v>4.7226108</v>
      </c>
      <c r="AO1184" s="3">
        <v>4.6640683999999997</v>
      </c>
      <c r="AP1184" s="3">
        <v>4.6079888999999996</v>
      </c>
      <c r="AQ1184" s="3">
        <v>4.5542686999999997</v>
      </c>
      <c r="AR1184" s="3">
        <v>4.502802</v>
      </c>
      <c r="AS1184" s="3">
        <v>4.4534833000000003</v>
      </c>
      <c r="AT1184" s="3">
        <v>4.4062086000000003</v>
      </c>
      <c r="AU1184" s="3">
        <v>4.3608725000000002</v>
      </c>
      <c r="AV1184" s="3">
        <v>4.3173691999999999</v>
      </c>
      <c r="AW1184" s="3">
        <v>4.2755948999999998</v>
      </c>
      <c r="AX1184" s="3">
        <v>4.2354440000000002</v>
      </c>
      <c r="AY1184" s="3">
        <v>4.1968110000000003</v>
      </c>
      <c r="AZ1184" s="3">
        <v>4.1595918000000003</v>
      </c>
      <c r="BA1184" s="3">
        <v>4.1236924000000004</v>
      </c>
      <c r="BB1184" s="3">
        <v>4.0890696000000002</v>
      </c>
      <c r="BC1184" s="3">
        <v>4.0556954000000003</v>
      </c>
      <c r="BD1184" s="3">
        <v>4.0235405999999996</v>
      </c>
      <c r="BE1184" s="3">
        <v>3.9925758999999998</v>
      </c>
      <c r="BF1184" s="3">
        <v>3.9627734000000001</v>
      </c>
      <c r="BG1184" s="3">
        <v>3.9341037999999999</v>
      </c>
      <c r="BH1184" s="3">
        <v>3.9065379999999998</v>
      </c>
      <c r="BI1184" s="3">
        <v>3.8800479000000001</v>
      </c>
      <c r="BJ1184" s="3">
        <v>3.8546043000000001</v>
      </c>
      <c r="BK1184" s="3">
        <v>3.8301780999999999</v>
      </c>
      <c r="BL1184" s="3">
        <v>3.8067410000000002</v>
      </c>
      <c r="BM1184" s="3">
        <v>3.6855755000000001</v>
      </c>
      <c r="BN1184" s="3">
        <v>3.5946136000000002</v>
      </c>
    </row>
    <row r="1185" spans="1:66" x14ac:dyDescent="0.35">
      <c r="A1185" s="5">
        <f t="shared" si="18"/>
        <v>45113</v>
      </c>
      <c r="B1185" t="s">
        <v>2594</v>
      </c>
      <c r="C1185" s="2">
        <v>5</v>
      </c>
      <c r="D1185" s="2">
        <v>4.9295999999999998</v>
      </c>
      <c r="E1185" s="3">
        <v>5.1545728000000004</v>
      </c>
      <c r="F1185" s="3">
        <v>5.4857246000000002</v>
      </c>
      <c r="G1185" s="3">
        <v>5.7584429000000004</v>
      </c>
      <c r="H1185" s="3">
        <v>5.9865116</v>
      </c>
      <c r="I1185" s="3">
        <v>6.1706057000000003</v>
      </c>
      <c r="J1185" s="3">
        <v>6.3088357000000004</v>
      </c>
      <c r="K1185" s="3">
        <v>6.4056974000000002</v>
      </c>
      <c r="L1185" s="3">
        <v>6.4680569999999999</v>
      </c>
      <c r="M1185" s="3">
        <v>6.5048586999999998</v>
      </c>
      <c r="N1185" s="3">
        <v>6.5222398000000004</v>
      </c>
      <c r="O1185" s="3">
        <v>6.5243235999999998</v>
      </c>
      <c r="P1185" s="3">
        <v>6.5123705000000003</v>
      </c>
      <c r="Q1185" s="3">
        <v>6.4858302999999999</v>
      </c>
      <c r="R1185" s="3">
        <v>6.4457902000000002</v>
      </c>
      <c r="S1185" s="3">
        <v>6.3940315999999999</v>
      </c>
      <c r="T1185" s="3">
        <v>6.3323352000000002</v>
      </c>
      <c r="U1185" s="3">
        <v>6.2624813000000001</v>
      </c>
      <c r="V1185" s="3">
        <v>6.1862523999999999</v>
      </c>
      <c r="W1185" s="3">
        <v>6.1053547999999997</v>
      </c>
      <c r="X1185" s="3">
        <v>6.0211132000000003</v>
      </c>
      <c r="Y1185" s="3">
        <v>5.9347344</v>
      </c>
      <c r="Z1185" s="3">
        <v>5.8474215999999997</v>
      </c>
      <c r="AA1185" s="3">
        <v>5.7603783000000002</v>
      </c>
      <c r="AB1185" s="3">
        <v>5.674811</v>
      </c>
      <c r="AC1185" s="3">
        <v>5.5917519000000002</v>
      </c>
      <c r="AD1185" s="3">
        <v>5.5113988000000003</v>
      </c>
      <c r="AE1185" s="3">
        <v>5.4336985999999996</v>
      </c>
      <c r="AF1185" s="3">
        <v>5.3585950999999996</v>
      </c>
      <c r="AG1185" s="3">
        <v>5.2860323999999999</v>
      </c>
      <c r="AH1185" s="3">
        <v>5.2159569000000001</v>
      </c>
      <c r="AI1185" s="3">
        <v>5.1483127</v>
      </c>
      <c r="AJ1185" s="3">
        <v>5.0830438999999998</v>
      </c>
      <c r="AK1185" s="3">
        <v>5.0200968000000001</v>
      </c>
      <c r="AL1185" s="3">
        <v>4.9594155000000004</v>
      </c>
      <c r="AM1185" s="3">
        <v>4.9009441999999996</v>
      </c>
      <c r="AN1185" s="3">
        <v>4.8446290999999997</v>
      </c>
      <c r="AO1185" s="3">
        <v>4.7904109000000004</v>
      </c>
      <c r="AP1185" s="3">
        <v>4.7382153999999996</v>
      </c>
      <c r="AQ1185" s="3">
        <v>4.6879660999999997</v>
      </c>
      <c r="AR1185" s="3">
        <v>4.6395846000000001</v>
      </c>
      <c r="AS1185" s="3">
        <v>4.5929925000000003</v>
      </c>
      <c r="AT1185" s="3">
        <v>4.5481132000000004</v>
      </c>
      <c r="AU1185" s="3">
        <v>4.5048684000000003</v>
      </c>
      <c r="AV1185" s="3">
        <v>4.4631797999999998</v>
      </c>
      <c r="AW1185" s="3">
        <v>4.4229706000000002</v>
      </c>
      <c r="AX1185" s="3">
        <v>4.3841625999999998</v>
      </c>
      <c r="AY1185" s="3">
        <v>4.3466775999999996</v>
      </c>
      <c r="AZ1185" s="3">
        <v>4.3104386000000003</v>
      </c>
      <c r="BA1185" s="3">
        <v>4.2753766000000004</v>
      </c>
      <c r="BB1185" s="3">
        <v>4.2414630999999998</v>
      </c>
      <c r="BC1185" s="3">
        <v>4.2086820999999999</v>
      </c>
      <c r="BD1185" s="3">
        <v>4.1770161000000003</v>
      </c>
      <c r="BE1185" s="3">
        <v>4.1464480000000004</v>
      </c>
      <c r="BF1185" s="3">
        <v>4.1169614000000001</v>
      </c>
      <c r="BG1185" s="3">
        <v>4.0885391999999996</v>
      </c>
      <c r="BH1185" s="3">
        <v>4.0611641000000001</v>
      </c>
      <c r="BI1185" s="3">
        <v>4.0348198000000002</v>
      </c>
      <c r="BJ1185" s="3">
        <v>4.0094890999999997</v>
      </c>
      <c r="BK1185" s="3">
        <v>3.9851546999999998</v>
      </c>
      <c r="BL1185" s="3">
        <v>3.9618004</v>
      </c>
      <c r="BM1185" s="3">
        <v>3.8413034000000001</v>
      </c>
      <c r="BN1185" s="3">
        <v>3.7518286999999999</v>
      </c>
    </row>
    <row r="1186" spans="1:66" x14ac:dyDescent="0.35">
      <c r="A1186" s="5">
        <f t="shared" si="18"/>
        <v>45114</v>
      </c>
      <c r="B1186" t="s">
        <v>2595</v>
      </c>
      <c r="C1186" s="2">
        <v>5</v>
      </c>
      <c r="D1186" s="2">
        <v>4.9297000000000004</v>
      </c>
      <c r="E1186" s="3">
        <v>5.1599602999999998</v>
      </c>
      <c r="F1186" s="3">
        <v>5.4797631999999998</v>
      </c>
      <c r="G1186" s="3">
        <v>5.7394812999999996</v>
      </c>
      <c r="H1186" s="3">
        <v>5.9499779999999998</v>
      </c>
      <c r="I1186" s="3">
        <v>6.1130686000000001</v>
      </c>
      <c r="J1186" s="3">
        <v>6.2298178999999996</v>
      </c>
      <c r="K1186" s="3">
        <v>6.3068966</v>
      </c>
      <c r="L1186" s="3">
        <v>6.3538226</v>
      </c>
      <c r="M1186" s="3">
        <v>6.3797635000000001</v>
      </c>
      <c r="N1186" s="3">
        <v>6.3905047000000001</v>
      </c>
      <c r="O1186" s="3">
        <v>6.3888715999999999</v>
      </c>
      <c r="P1186" s="3">
        <v>6.3755696999999998</v>
      </c>
      <c r="Q1186" s="3">
        <v>6.3493931000000003</v>
      </c>
      <c r="R1186" s="3">
        <v>6.3110863999999998</v>
      </c>
      <c r="S1186" s="3">
        <v>6.2621782000000001</v>
      </c>
      <c r="T1186" s="3">
        <v>6.2041956000000003</v>
      </c>
      <c r="U1186" s="3">
        <v>6.1386653999999998</v>
      </c>
      <c r="V1186" s="3">
        <v>6.0671169000000003</v>
      </c>
      <c r="W1186" s="3">
        <v>5.9910294000000004</v>
      </c>
      <c r="X1186" s="3">
        <v>5.9116381999999996</v>
      </c>
      <c r="Y1186" s="3">
        <v>5.8301036000000002</v>
      </c>
      <c r="Z1186" s="3">
        <v>5.7475832000000002</v>
      </c>
      <c r="AA1186" s="3">
        <v>5.6652344000000001</v>
      </c>
      <c r="AB1186" s="3">
        <v>5.5842175000000003</v>
      </c>
      <c r="AC1186" s="3">
        <v>5.5055091000000003</v>
      </c>
      <c r="AD1186" s="3">
        <v>5.4292866999999996</v>
      </c>
      <c r="AE1186" s="3">
        <v>5.3555102999999997</v>
      </c>
      <c r="AF1186" s="3">
        <v>5.2841369</v>
      </c>
      <c r="AG1186" s="3">
        <v>5.2151237000000004</v>
      </c>
      <c r="AH1186" s="3">
        <v>5.1484306000000002</v>
      </c>
      <c r="AI1186" s="3">
        <v>5.0840145999999997</v>
      </c>
      <c r="AJ1186" s="3">
        <v>5.0218331999999997</v>
      </c>
      <c r="AK1186" s="3">
        <v>4.9618457999999999</v>
      </c>
      <c r="AL1186" s="3">
        <v>4.9040096999999996</v>
      </c>
      <c r="AM1186" s="3">
        <v>4.8482824999999998</v>
      </c>
      <c r="AN1186" s="3">
        <v>4.7946232999999996</v>
      </c>
      <c r="AO1186" s="3">
        <v>4.7429845000000004</v>
      </c>
      <c r="AP1186" s="3">
        <v>4.693295</v>
      </c>
      <c r="AQ1186" s="3">
        <v>4.6454794000000001</v>
      </c>
      <c r="AR1186" s="3">
        <v>4.5994603999999999</v>
      </c>
      <c r="AS1186" s="3">
        <v>4.5551607000000001</v>
      </c>
      <c r="AT1186" s="3">
        <v>4.5125048000000003</v>
      </c>
      <c r="AU1186" s="3">
        <v>4.4714153999999997</v>
      </c>
      <c r="AV1186" s="3">
        <v>4.4318153000000002</v>
      </c>
      <c r="AW1186" s="3">
        <v>4.3936288000000001</v>
      </c>
      <c r="AX1186" s="3">
        <v>4.3567787999999998</v>
      </c>
      <c r="AY1186" s="3">
        <v>4.3211880000000003</v>
      </c>
      <c r="AZ1186" s="3">
        <v>4.2867807999999998</v>
      </c>
      <c r="BA1186" s="3">
        <v>4.2534891000000004</v>
      </c>
      <c r="BB1186" s="3">
        <v>4.2212863</v>
      </c>
      <c r="BC1186" s="3">
        <v>4.1901577000000003</v>
      </c>
      <c r="BD1186" s="3">
        <v>4.1600878999999997</v>
      </c>
      <c r="BE1186" s="3">
        <v>4.1310612000000004</v>
      </c>
      <c r="BF1186" s="3">
        <v>4.1030632000000002</v>
      </c>
      <c r="BG1186" s="3">
        <v>4.0760784000000001</v>
      </c>
      <c r="BH1186" s="3">
        <v>4.0500911000000004</v>
      </c>
      <c r="BI1186" s="3">
        <v>4.0250868999999998</v>
      </c>
      <c r="BJ1186" s="3">
        <v>4.0010503000000002</v>
      </c>
      <c r="BK1186" s="3">
        <v>3.9779656999999999</v>
      </c>
      <c r="BL1186" s="3">
        <v>3.9558184000000001</v>
      </c>
      <c r="BM1186" s="3">
        <v>3.8418261</v>
      </c>
      <c r="BN1186" s="3">
        <v>3.7581264000000001</v>
      </c>
    </row>
    <row r="1187" spans="1:66" x14ac:dyDescent="0.35">
      <c r="A1187" s="5">
        <f t="shared" si="18"/>
        <v>45117</v>
      </c>
      <c r="B1187" t="s">
        <v>2596</v>
      </c>
      <c r="C1187" s="2">
        <v>5</v>
      </c>
      <c r="D1187" s="2">
        <v>4.9302000000000001</v>
      </c>
      <c r="E1187" s="3">
        <v>5.2004456000000001</v>
      </c>
      <c r="F1187" s="3">
        <v>5.4935185000000004</v>
      </c>
      <c r="G1187" s="3">
        <v>5.7409172999999996</v>
      </c>
      <c r="H1187" s="3">
        <v>5.9474163000000004</v>
      </c>
      <c r="I1187" s="3">
        <v>6.1118262999999997</v>
      </c>
      <c r="J1187" s="3">
        <v>6.2334651000000001</v>
      </c>
      <c r="K1187" s="3">
        <v>6.3158460999999999</v>
      </c>
      <c r="L1187" s="3">
        <v>6.3677587999999998</v>
      </c>
      <c r="M1187" s="3">
        <v>6.3972600000000002</v>
      </c>
      <c r="N1187" s="3">
        <v>6.4109983000000001</v>
      </c>
      <c r="O1187" s="3">
        <v>6.4121756999999997</v>
      </c>
      <c r="P1187" s="3">
        <v>6.4018185000000001</v>
      </c>
      <c r="Q1187" s="3">
        <v>6.3789509999999998</v>
      </c>
      <c r="R1187" s="3">
        <v>6.3442248000000001</v>
      </c>
      <c r="S1187" s="3">
        <v>6.2989258000000001</v>
      </c>
      <c r="T1187" s="3">
        <v>6.2443390000000001</v>
      </c>
      <c r="U1187" s="3">
        <v>6.1817485999999997</v>
      </c>
      <c r="V1187" s="3">
        <v>6.1124416000000004</v>
      </c>
      <c r="W1187" s="3">
        <v>6.0377010000000002</v>
      </c>
      <c r="X1187" s="3">
        <v>5.9588030999999999</v>
      </c>
      <c r="Y1187" s="3">
        <v>5.8770246999999998</v>
      </c>
      <c r="Z1187" s="3">
        <v>5.7936401000000002</v>
      </c>
      <c r="AA1187" s="3">
        <v>5.7099231000000001</v>
      </c>
      <c r="AB1187" s="3">
        <v>5.6271509000000002</v>
      </c>
      <c r="AC1187" s="3">
        <v>5.546405</v>
      </c>
      <c r="AD1187" s="3">
        <v>5.4679177000000001</v>
      </c>
      <c r="AE1187" s="3">
        <v>5.3916896999999997</v>
      </c>
      <c r="AF1187" s="3">
        <v>5.3177187999999997</v>
      </c>
      <c r="AG1187" s="3">
        <v>5.2460031000000003</v>
      </c>
      <c r="AH1187" s="3">
        <v>5.1765431</v>
      </c>
      <c r="AI1187" s="3">
        <v>5.1093365999999998</v>
      </c>
      <c r="AJ1187" s="3">
        <v>5.0443819000000003</v>
      </c>
      <c r="AK1187" s="3">
        <v>4.9816791</v>
      </c>
      <c r="AL1187" s="3">
        <v>4.9212264000000001</v>
      </c>
      <c r="AM1187" s="3">
        <v>4.8630218999999997</v>
      </c>
      <c r="AN1187" s="3">
        <v>4.8070658999999996</v>
      </c>
      <c r="AO1187" s="3">
        <v>4.7533437000000003</v>
      </c>
      <c r="AP1187" s="3">
        <v>4.7017853000000001</v>
      </c>
      <c r="AQ1187" s="3">
        <v>4.6523070000000004</v>
      </c>
      <c r="AR1187" s="3">
        <v>4.6048233999999999</v>
      </c>
      <c r="AS1187" s="3">
        <v>4.5592490000000003</v>
      </c>
      <c r="AT1187" s="3">
        <v>4.5155000999999997</v>
      </c>
      <c r="AU1187" s="3">
        <v>4.4734911999999998</v>
      </c>
      <c r="AV1187" s="3">
        <v>4.4331370000000003</v>
      </c>
      <c r="AW1187" s="3">
        <v>4.3943535000000002</v>
      </c>
      <c r="AX1187" s="3">
        <v>4.3570555000000004</v>
      </c>
      <c r="AY1187" s="3">
        <v>4.3211575</v>
      </c>
      <c r="AZ1187" s="3">
        <v>4.2865755999999999</v>
      </c>
      <c r="BA1187" s="3">
        <v>4.2532319000000003</v>
      </c>
      <c r="BB1187" s="3">
        <v>4.2210878999999997</v>
      </c>
      <c r="BC1187" s="3">
        <v>4.1901194999999998</v>
      </c>
      <c r="BD1187" s="3">
        <v>4.1603018</v>
      </c>
      <c r="BE1187" s="3">
        <v>4.1316094000000003</v>
      </c>
      <c r="BF1187" s="3">
        <v>4.1040184999999996</v>
      </c>
      <c r="BG1187" s="3">
        <v>4.0775037999999997</v>
      </c>
      <c r="BH1187" s="3">
        <v>4.0520402000000004</v>
      </c>
      <c r="BI1187" s="3">
        <v>4.0276037000000002</v>
      </c>
      <c r="BJ1187" s="3">
        <v>4.0041691000000004</v>
      </c>
      <c r="BK1187" s="3">
        <v>3.9817114999999998</v>
      </c>
      <c r="BL1187" s="3">
        <v>3.9602065</v>
      </c>
      <c r="BM1187" s="3">
        <v>3.8499590000000001</v>
      </c>
      <c r="BN1187" s="3">
        <v>3.7687952</v>
      </c>
    </row>
    <row r="1188" spans="1:66" x14ac:dyDescent="0.35">
      <c r="A1188" s="5">
        <f t="shared" si="18"/>
        <v>45118</v>
      </c>
      <c r="B1188" t="s">
        <v>2597</v>
      </c>
      <c r="C1188" s="2">
        <v>5</v>
      </c>
      <c r="D1188" s="2">
        <v>4.9298999999999999</v>
      </c>
      <c r="E1188" s="3">
        <v>5.2256802000000002</v>
      </c>
      <c r="F1188" s="3">
        <v>5.5175815000000004</v>
      </c>
      <c r="G1188" s="3">
        <v>5.7641524999999998</v>
      </c>
      <c r="H1188" s="3">
        <v>5.9672593999999997</v>
      </c>
      <c r="I1188" s="3">
        <v>6.1256493000000001</v>
      </c>
      <c r="J1188" s="3">
        <v>6.2427713999999996</v>
      </c>
      <c r="K1188" s="3">
        <v>6.3247024999999999</v>
      </c>
      <c r="L1188" s="3">
        <v>6.3808851999999998</v>
      </c>
      <c r="M1188" s="3">
        <v>6.4193860999999997</v>
      </c>
      <c r="N1188" s="3">
        <v>6.4451799999999997</v>
      </c>
      <c r="O1188" s="3">
        <v>6.4599804000000001</v>
      </c>
      <c r="P1188" s="3">
        <v>6.4628185</v>
      </c>
      <c r="Q1188" s="3">
        <v>6.4502839999999999</v>
      </c>
      <c r="R1188" s="3">
        <v>6.4226546000000004</v>
      </c>
      <c r="S1188" s="3">
        <v>6.3814684000000002</v>
      </c>
      <c r="T1188" s="3">
        <v>6.3282623999999998</v>
      </c>
      <c r="U1188" s="3">
        <v>6.2645730999999998</v>
      </c>
      <c r="V1188" s="3">
        <v>6.1919393999999999</v>
      </c>
      <c r="W1188" s="3">
        <v>6.1119174999999997</v>
      </c>
      <c r="X1188" s="3">
        <v>6.0261861000000003</v>
      </c>
      <c r="Y1188" s="3">
        <v>5.9364742000000001</v>
      </c>
      <c r="Z1188" s="3">
        <v>5.8445081999999999</v>
      </c>
      <c r="AA1188" s="3">
        <v>5.7520141000000002</v>
      </c>
      <c r="AB1188" s="3">
        <v>5.6607213999999999</v>
      </c>
      <c r="AC1188" s="3">
        <v>5.5720925000000001</v>
      </c>
      <c r="AD1188" s="3">
        <v>5.4864252999999996</v>
      </c>
      <c r="AE1188" s="3">
        <v>5.4036996999999998</v>
      </c>
      <c r="AF1188" s="3">
        <v>5.3238922999999998</v>
      </c>
      <c r="AG1188" s="3">
        <v>5.2469799999999998</v>
      </c>
      <c r="AH1188" s="3">
        <v>5.1729422999999999</v>
      </c>
      <c r="AI1188" s="3">
        <v>5.101756</v>
      </c>
      <c r="AJ1188" s="3">
        <v>5.0333981999999997</v>
      </c>
      <c r="AK1188" s="3">
        <v>4.9678481000000003</v>
      </c>
      <c r="AL1188" s="3">
        <v>4.9050826000000001</v>
      </c>
      <c r="AM1188" s="3">
        <v>4.8450788999999999</v>
      </c>
      <c r="AN1188" s="3">
        <v>4.7878160000000003</v>
      </c>
      <c r="AO1188" s="3">
        <v>4.7332583000000001</v>
      </c>
      <c r="AP1188" s="3">
        <v>4.6813018</v>
      </c>
      <c r="AQ1188" s="3">
        <v>4.6318216999999997</v>
      </c>
      <c r="AR1188" s="3">
        <v>4.5846910999999997</v>
      </c>
      <c r="AS1188" s="3">
        <v>4.5397831000000002</v>
      </c>
      <c r="AT1188" s="3">
        <v>4.4969728</v>
      </c>
      <c r="AU1188" s="3">
        <v>4.4561333999999997</v>
      </c>
      <c r="AV1188" s="3">
        <v>4.4171379999999996</v>
      </c>
      <c r="AW1188" s="3">
        <v>4.3798615999999999</v>
      </c>
      <c r="AX1188" s="3">
        <v>4.3441774000000004</v>
      </c>
      <c r="AY1188" s="3">
        <v>4.3099587000000001</v>
      </c>
      <c r="AZ1188" s="3">
        <v>4.2770802000000003</v>
      </c>
      <c r="BA1188" s="3">
        <v>4.2454283000000004</v>
      </c>
      <c r="BB1188" s="3">
        <v>4.2149527000000004</v>
      </c>
      <c r="BC1188" s="3">
        <v>4.1856235000000002</v>
      </c>
      <c r="BD1188" s="3">
        <v>4.1574099000000002</v>
      </c>
      <c r="BE1188" s="3">
        <v>4.1302808999999998</v>
      </c>
      <c r="BF1188" s="3">
        <v>4.1042066000000004</v>
      </c>
      <c r="BG1188" s="3">
        <v>4.0791560999999996</v>
      </c>
      <c r="BH1188" s="3">
        <v>4.0550984999999997</v>
      </c>
      <c r="BI1188" s="3">
        <v>4.0320039000000003</v>
      </c>
      <c r="BJ1188" s="3">
        <v>4.0098412999999997</v>
      </c>
      <c r="BK1188" s="3">
        <v>3.9885799</v>
      </c>
      <c r="BL1188" s="3">
        <v>3.9681896000000001</v>
      </c>
      <c r="BM1188" s="3">
        <v>3.8628933000000001</v>
      </c>
      <c r="BN1188" s="3">
        <v>3.7841222000000001</v>
      </c>
    </row>
    <row r="1189" spans="1:66" x14ac:dyDescent="0.35">
      <c r="A1189" s="5">
        <f t="shared" si="18"/>
        <v>45119</v>
      </c>
      <c r="B1189" t="s">
        <v>2598</v>
      </c>
      <c r="C1189" s="2">
        <v>5</v>
      </c>
      <c r="D1189" s="2">
        <v>4.9298000000000002</v>
      </c>
      <c r="E1189" s="3">
        <v>5.2227781000000002</v>
      </c>
      <c r="F1189" s="3">
        <v>5.4827925000000004</v>
      </c>
      <c r="G1189" s="3">
        <v>5.6999598000000002</v>
      </c>
      <c r="H1189" s="3">
        <v>5.8714434999999998</v>
      </c>
      <c r="I1189" s="3">
        <v>5.9969701000000004</v>
      </c>
      <c r="J1189" s="3">
        <v>6.0829882</v>
      </c>
      <c r="K1189" s="3">
        <v>6.1380951000000001</v>
      </c>
      <c r="L1189" s="3">
        <v>6.1720005000000002</v>
      </c>
      <c r="M1189" s="3">
        <v>6.1918699999999998</v>
      </c>
      <c r="N1189" s="3">
        <v>6.2013303000000004</v>
      </c>
      <c r="O1189" s="3">
        <v>6.2011792999999997</v>
      </c>
      <c r="P1189" s="3">
        <v>6.1904250000000003</v>
      </c>
      <c r="Q1189" s="3">
        <v>6.1663243999999997</v>
      </c>
      <c r="R1189" s="3">
        <v>6.1291900000000004</v>
      </c>
      <c r="S1189" s="3">
        <v>6.0803687000000002</v>
      </c>
      <c r="T1189" s="3">
        <v>6.0212060000000003</v>
      </c>
      <c r="U1189" s="3">
        <v>5.9530471</v>
      </c>
      <c r="V1189" s="3">
        <v>5.8772394999999999</v>
      </c>
      <c r="W1189" s="3">
        <v>5.7951752000000001</v>
      </c>
      <c r="X1189" s="3">
        <v>5.7085105</v>
      </c>
      <c r="Y1189" s="3">
        <v>5.6189983000000003</v>
      </c>
      <c r="Z1189" s="3">
        <v>5.5283882000000002</v>
      </c>
      <c r="AA1189" s="3">
        <v>5.4384297999999998</v>
      </c>
      <c r="AB1189" s="3">
        <v>5.3508760999999998</v>
      </c>
      <c r="AC1189" s="3">
        <v>5.2672428</v>
      </c>
      <c r="AD1189" s="3">
        <v>5.1877861000000003</v>
      </c>
      <c r="AE1189" s="3">
        <v>5.1123430000000001</v>
      </c>
      <c r="AF1189" s="3">
        <v>5.0407469999999996</v>
      </c>
      <c r="AG1189" s="3">
        <v>4.9728320999999998</v>
      </c>
      <c r="AH1189" s="3">
        <v>4.9084344</v>
      </c>
      <c r="AI1189" s="3">
        <v>4.8473877999999999</v>
      </c>
      <c r="AJ1189" s="3">
        <v>4.7895263000000003</v>
      </c>
      <c r="AK1189" s="3">
        <v>4.7346858999999997</v>
      </c>
      <c r="AL1189" s="3">
        <v>4.6827005000000002</v>
      </c>
      <c r="AM1189" s="3">
        <v>4.6334040999999999</v>
      </c>
      <c r="AN1189" s="3">
        <v>4.5866327</v>
      </c>
      <c r="AO1189" s="3">
        <v>4.542224</v>
      </c>
      <c r="AP1189" s="3">
        <v>4.5000344999999999</v>
      </c>
      <c r="AQ1189" s="3">
        <v>4.4599279999999997</v>
      </c>
      <c r="AR1189" s="3">
        <v>4.4217665999999998</v>
      </c>
      <c r="AS1189" s="3">
        <v>4.3854126000000004</v>
      </c>
      <c r="AT1189" s="3">
        <v>4.3507294999999999</v>
      </c>
      <c r="AU1189" s="3">
        <v>4.3175796000000002</v>
      </c>
      <c r="AV1189" s="3">
        <v>4.2858251000000003</v>
      </c>
      <c r="AW1189" s="3">
        <v>4.2553295000000002</v>
      </c>
      <c r="AX1189" s="3">
        <v>4.2259551000000002</v>
      </c>
      <c r="AY1189" s="3">
        <v>4.1975642000000004</v>
      </c>
      <c r="AZ1189" s="3">
        <v>4.1700201999999997</v>
      </c>
      <c r="BA1189" s="3">
        <v>4.1432061999999998</v>
      </c>
      <c r="BB1189" s="3">
        <v>4.1170974999999999</v>
      </c>
      <c r="BC1189" s="3">
        <v>4.0916953999999999</v>
      </c>
      <c r="BD1189" s="3">
        <v>4.0670006000000001</v>
      </c>
      <c r="BE1189" s="3">
        <v>4.0430136000000001</v>
      </c>
      <c r="BF1189" s="3">
        <v>4.0197358999999997</v>
      </c>
      <c r="BG1189" s="3">
        <v>3.9971679</v>
      </c>
      <c r="BH1189" s="3">
        <v>3.9753104000000001</v>
      </c>
      <c r="BI1189" s="3">
        <v>3.9541647000000002</v>
      </c>
      <c r="BJ1189" s="3">
        <v>3.9337312999999998</v>
      </c>
      <c r="BK1189" s="3">
        <v>3.9140109999999999</v>
      </c>
      <c r="BL1189" s="3">
        <v>3.8950049</v>
      </c>
      <c r="BM1189" s="3">
        <v>3.7957055</v>
      </c>
      <c r="BN1189" s="3">
        <v>3.7204470999999999</v>
      </c>
    </row>
    <row r="1190" spans="1:66" x14ac:dyDescent="0.35">
      <c r="A1190" s="5">
        <f t="shared" si="18"/>
        <v>45120</v>
      </c>
      <c r="B1190" t="s">
        <v>2599</v>
      </c>
      <c r="C1190" s="2">
        <v>5</v>
      </c>
      <c r="D1190" s="2">
        <v>4.93</v>
      </c>
      <c r="E1190" s="3">
        <v>5.2363919000000001</v>
      </c>
      <c r="F1190" s="3">
        <v>5.4840518999999999</v>
      </c>
      <c r="G1190" s="3">
        <v>5.6887074999999996</v>
      </c>
      <c r="H1190" s="3">
        <v>5.8473883000000004</v>
      </c>
      <c r="I1190" s="3">
        <v>5.9608372999999997</v>
      </c>
      <c r="J1190" s="3">
        <v>6.0346073999999996</v>
      </c>
      <c r="K1190" s="3">
        <v>6.077312</v>
      </c>
      <c r="L1190" s="3">
        <v>6.0969119999999997</v>
      </c>
      <c r="M1190" s="3">
        <v>6.1004699999999996</v>
      </c>
      <c r="N1190" s="3">
        <v>6.0916876999999996</v>
      </c>
      <c r="O1190" s="3">
        <v>6.0722981000000003</v>
      </c>
      <c r="P1190" s="3">
        <v>6.0425877000000003</v>
      </c>
      <c r="Q1190" s="3">
        <v>6.0014865999999998</v>
      </c>
      <c r="R1190" s="3">
        <v>5.9497385999999999</v>
      </c>
      <c r="S1190" s="3">
        <v>5.8888477999999997</v>
      </c>
      <c r="T1190" s="3">
        <v>5.8203167999999996</v>
      </c>
      <c r="U1190" s="3">
        <v>5.7456481999999998</v>
      </c>
      <c r="V1190" s="3">
        <v>5.6663468999999997</v>
      </c>
      <c r="W1190" s="3">
        <v>5.5838710999999996</v>
      </c>
      <c r="X1190" s="3">
        <v>5.4994518000000001</v>
      </c>
      <c r="Y1190" s="3">
        <v>5.4142504999999996</v>
      </c>
      <c r="Z1190" s="3">
        <v>5.3294256000000004</v>
      </c>
      <c r="AA1190" s="3">
        <v>5.2461354</v>
      </c>
      <c r="AB1190" s="3">
        <v>5.1655414999999998</v>
      </c>
      <c r="AC1190" s="3">
        <v>5.0886224000000002</v>
      </c>
      <c r="AD1190" s="3">
        <v>5.0154803000000001</v>
      </c>
      <c r="AE1190" s="3">
        <v>4.9459533999999996</v>
      </c>
      <c r="AF1190" s="3">
        <v>4.8798770999999999</v>
      </c>
      <c r="AG1190" s="3">
        <v>4.8170869999999999</v>
      </c>
      <c r="AH1190" s="3">
        <v>4.7574208999999996</v>
      </c>
      <c r="AI1190" s="3">
        <v>4.7007143999999998</v>
      </c>
      <c r="AJ1190" s="3">
        <v>4.6468031999999999</v>
      </c>
      <c r="AK1190" s="3">
        <v>4.5955247999999997</v>
      </c>
      <c r="AL1190" s="3">
        <v>4.5467148999999996</v>
      </c>
      <c r="AM1190" s="3">
        <v>4.5002094000000001</v>
      </c>
      <c r="AN1190" s="3">
        <v>4.4558457000000002</v>
      </c>
      <c r="AO1190" s="3">
        <v>4.4134697000000003</v>
      </c>
      <c r="AP1190" s="3">
        <v>4.3729725000000004</v>
      </c>
      <c r="AQ1190" s="3">
        <v>4.3342592</v>
      </c>
      <c r="AR1190" s="3">
        <v>4.2972332</v>
      </c>
      <c r="AS1190" s="3">
        <v>4.2617982000000003</v>
      </c>
      <c r="AT1190" s="3">
        <v>4.2278592000000002</v>
      </c>
      <c r="AU1190" s="3">
        <v>4.1953195000000001</v>
      </c>
      <c r="AV1190" s="3">
        <v>4.1640829999999998</v>
      </c>
      <c r="AW1190" s="3">
        <v>4.1340544000000001</v>
      </c>
      <c r="AX1190" s="3">
        <v>4.1051374000000003</v>
      </c>
      <c r="AY1190" s="3">
        <v>4.0772355999999998</v>
      </c>
      <c r="AZ1190" s="3">
        <v>4.0502538000000001</v>
      </c>
      <c r="BA1190" s="3">
        <v>4.0241088999999999</v>
      </c>
      <c r="BB1190" s="3">
        <v>3.9987765999999998</v>
      </c>
      <c r="BC1190" s="3">
        <v>3.9742495999999998</v>
      </c>
      <c r="BD1190" s="3">
        <v>3.9505199000000002</v>
      </c>
      <c r="BE1190" s="3">
        <v>3.9275791999999998</v>
      </c>
      <c r="BF1190" s="3">
        <v>3.9054202999999998</v>
      </c>
      <c r="BG1190" s="3">
        <v>3.8840351000000002</v>
      </c>
      <c r="BH1190" s="3">
        <v>3.8634154000000001</v>
      </c>
      <c r="BI1190" s="3">
        <v>3.8435538999999999</v>
      </c>
      <c r="BJ1190" s="3">
        <v>3.8244425</v>
      </c>
      <c r="BK1190" s="3">
        <v>3.8060730999999999</v>
      </c>
      <c r="BL1190" s="3">
        <v>3.7884384</v>
      </c>
      <c r="BM1190" s="3">
        <v>3.6975978</v>
      </c>
      <c r="BN1190" s="3">
        <v>3.6311271999999999</v>
      </c>
    </row>
    <row r="1191" spans="1:66" x14ac:dyDescent="0.35">
      <c r="A1191" s="5">
        <f t="shared" si="18"/>
        <v>45121</v>
      </c>
      <c r="B1191" t="s">
        <v>2600</v>
      </c>
      <c r="C1191" s="2">
        <v>5</v>
      </c>
      <c r="D1191" s="2">
        <v>4.93</v>
      </c>
      <c r="E1191" s="3">
        <v>5.2606982000000002</v>
      </c>
      <c r="F1191" s="3">
        <v>5.5164610999999999</v>
      </c>
      <c r="G1191" s="3">
        <v>5.7362041000000001</v>
      </c>
      <c r="H1191" s="3">
        <v>5.9079835999999997</v>
      </c>
      <c r="I1191" s="3">
        <v>6.0307743</v>
      </c>
      <c r="J1191" s="3">
        <v>6.1125876000000003</v>
      </c>
      <c r="K1191" s="3">
        <v>6.1638251999999998</v>
      </c>
      <c r="L1191" s="3">
        <v>6.1937445999999996</v>
      </c>
      <c r="M1191" s="3">
        <v>6.2083405000000003</v>
      </c>
      <c r="N1191" s="3">
        <v>6.2099922000000003</v>
      </c>
      <c r="O1191" s="3">
        <v>6.1992396999999997</v>
      </c>
      <c r="P1191" s="3">
        <v>6.1758743000000003</v>
      </c>
      <c r="Q1191" s="3">
        <v>6.1389377999999999</v>
      </c>
      <c r="R1191" s="3">
        <v>6.0895320000000002</v>
      </c>
      <c r="S1191" s="3">
        <v>6.0294923999999996</v>
      </c>
      <c r="T1191" s="3">
        <v>5.9606531</v>
      </c>
      <c r="U1191" s="3">
        <v>5.8848476999999999</v>
      </c>
      <c r="V1191" s="3">
        <v>5.8039126999999997</v>
      </c>
      <c r="W1191" s="3">
        <v>5.7195951999999997</v>
      </c>
      <c r="X1191" s="3">
        <v>5.6331989</v>
      </c>
      <c r="Y1191" s="3">
        <v>5.5458885999999996</v>
      </c>
      <c r="Z1191" s="3">
        <v>5.4588261999999999</v>
      </c>
      <c r="AA1191" s="3">
        <v>5.3731736000000003</v>
      </c>
      <c r="AB1191" s="3">
        <v>5.2900955999999999</v>
      </c>
      <c r="AC1191" s="3">
        <v>5.2105565</v>
      </c>
      <c r="AD1191" s="3">
        <v>5.1346489999999996</v>
      </c>
      <c r="AE1191" s="3">
        <v>5.0622277999999996</v>
      </c>
      <c r="AF1191" s="3">
        <v>4.9931448999999999</v>
      </c>
      <c r="AG1191" s="3">
        <v>4.9272523000000001</v>
      </c>
      <c r="AH1191" s="3">
        <v>4.8644046000000003</v>
      </c>
      <c r="AI1191" s="3">
        <v>4.8044539000000004</v>
      </c>
      <c r="AJ1191" s="3">
        <v>4.7472523000000004</v>
      </c>
      <c r="AK1191" s="3">
        <v>4.6926543000000001</v>
      </c>
      <c r="AL1191" s="3">
        <v>4.6405118999999999</v>
      </c>
      <c r="AM1191" s="3">
        <v>4.5906776000000002</v>
      </c>
      <c r="AN1191" s="3">
        <v>4.5430052999999999</v>
      </c>
      <c r="AO1191" s="3">
        <v>4.4973554</v>
      </c>
      <c r="AP1191" s="3">
        <v>4.4536233000000003</v>
      </c>
      <c r="AQ1191" s="3">
        <v>4.4117154999999997</v>
      </c>
      <c r="AR1191" s="3">
        <v>4.3715371999999997</v>
      </c>
      <c r="AS1191" s="3">
        <v>4.3329934000000003</v>
      </c>
      <c r="AT1191" s="3">
        <v>4.2959906999999999</v>
      </c>
      <c r="AU1191" s="3">
        <v>4.2604341999999997</v>
      </c>
      <c r="AV1191" s="3">
        <v>4.2262291000000003</v>
      </c>
      <c r="AW1191" s="3">
        <v>4.1932818000000003</v>
      </c>
      <c r="AX1191" s="3">
        <v>4.1614974</v>
      </c>
      <c r="AY1191" s="3">
        <v>4.1307812000000004</v>
      </c>
      <c r="AZ1191" s="3">
        <v>4.1010396</v>
      </c>
      <c r="BA1191" s="3">
        <v>4.0721908999999998</v>
      </c>
      <c r="BB1191" s="3">
        <v>4.0442128999999998</v>
      </c>
      <c r="BC1191" s="3">
        <v>4.0171001999999998</v>
      </c>
      <c r="BD1191" s="3">
        <v>3.9908467000000001</v>
      </c>
      <c r="BE1191" s="3">
        <v>3.9654460999999999</v>
      </c>
      <c r="BF1191" s="3">
        <v>3.9408932000000001</v>
      </c>
      <c r="BG1191" s="3">
        <v>3.9171817999999998</v>
      </c>
      <c r="BH1191" s="3">
        <v>3.8943056999999999</v>
      </c>
      <c r="BI1191" s="3">
        <v>3.8722595000000002</v>
      </c>
      <c r="BJ1191" s="3">
        <v>3.8510371999999999</v>
      </c>
      <c r="BK1191" s="3">
        <v>3.8306325999999999</v>
      </c>
      <c r="BL1191" s="3">
        <v>3.8110403000000002</v>
      </c>
      <c r="BM1191" s="3">
        <v>3.7100946000000001</v>
      </c>
      <c r="BN1191" s="3">
        <v>3.6361956000000002</v>
      </c>
    </row>
    <row r="1192" spans="1:66" x14ac:dyDescent="0.35">
      <c r="A1192" s="5">
        <f t="shared" si="18"/>
        <v>45124</v>
      </c>
      <c r="B1192" t="s">
        <v>2601</v>
      </c>
      <c r="C1192" s="2">
        <v>5</v>
      </c>
      <c r="D1192" s="2">
        <v>4.9298999999999999</v>
      </c>
      <c r="E1192" s="3">
        <v>5.3162123000000001</v>
      </c>
      <c r="F1192" s="3">
        <v>5.5152603999999998</v>
      </c>
      <c r="G1192" s="3">
        <v>5.7107527999999999</v>
      </c>
      <c r="H1192" s="3">
        <v>5.8687809</v>
      </c>
      <c r="I1192" s="3">
        <v>5.9794514999999997</v>
      </c>
      <c r="J1192" s="3">
        <v>6.0501415999999999</v>
      </c>
      <c r="K1192" s="3">
        <v>6.0911624</v>
      </c>
      <c r="L1192" s="3">
        <v>6.1124651999999999</v>
      </c>
      <c r="M1192" s="3">
        <v>6.1199202000000001</v>
      </c>
      <c r="N1192" s="3">
        <v>6.1165570999999996</v>
      </c>
      <c r="O1192" s="3">
        <v>6.1028973999999998</v>
      </c>
      <c r="P1192" s="3">
        <v>6.0784741999999996</v>
      </c>
      <c r="Q1192" s="3">
        <v>6.0414475000000003</v>
      </c>
      <c r="R1192" s="3">
        <v>5.9926174999999997</v>
      </c>
      <c r="S1192" s="3">
        <v>5.9336846999999997</v>
      </c>
      <c r="T1192" s="3">
        <v>5.8663482</v>
      </c>
      <c r="U1192" s="3">
        <v>5.7923064999999996</v>
      </c>
      <c r="V1192" s="3">
        <v>5.7132610000000001</v>
      </c>
      <c r="W1192" s="3">
        <v>5.6308341999999998</v>
      </c>
      <c r="X1192" s="3">
        <v>5.5462598999999999</v>
      </c>
      <c r="Y1192" s="3">
        <v>5.4606507000000004</v>
      </c>
      <c r="Z1192" s="3">
        <v>5.3751157999999997</v>
      </c>
      <c r="AA1192" s="3">
        <v>5.2907647000000004</v>
      </c>
      <c r="AB1192" s="3">
        <v>5.2087098000000003</v>
      </c>
      <c r="AC1192" s="3">
        <v>5.1298776999999998</v>
      </c>
      <c r="AD1192" s="3">
        <v>5.0543870999999996</v>
      </c>
      <c r="AE1192" s="3">
        <v>4.9821369999999998</v>
      </c>
      <c r="AF1192" s="3">
        <v>4.9130232999999999</v>
      </c>
      <c r="AG1192" s="3">
        <v>4.8469422</v>
      </c>
      <c r="AH1192" s="3">
        <v>4.7837924000000003</v>
      </c>
      <c r="AI1192" s="3">
        <v>4.7234699999999998</v>
      </c>
      <c r="AJ1192" s="3">
        <v>4.6658713000000001</v>
      </c>
      <c r="AK1192" s="3">
        <v>4.6108947000000002</v>
      </c>
      <c r="AL1192" s="3">
        <v>4.5584363999999997</v>
      </c>
      <c r="AM1192" s="3">
        <v>4.5083928000000002</v>
      </c>
      <c r="AN1192" s="3">
        <v>4.4606621000000004</v>
      </c>
      <c r="AO1192" s="3">
        <v>4.4151420000000003</v>
      </c>
      <c r="AP1192" s="3">
        <v>4.3717354999999998</v>
      </c>
      <c r="AQ1192" s="3">
        <v>4.3303488000000003</v>
      </c>
      <c r="AR1192" s="3">
        <v>4.2908866999999997</v>
      </c>
      <c r="AS1192" s="3">
        <v>4.2532537000000001</v>
      </c>
      <c r="AT1192" s="3">
        <v>4.2173560999999999</v>
      </c>
      <c r="AU1192" s="3">
        <v>4.1830984000000004</v>
      </c>
      <c r="AV1192" s="3">
        <v>4.1503854000000002</v>
      </c>
      <c r="AW1192" s="3">
        <v>4.1191231999999998</v>
      </c>
      <c r="AX1192" s="3">
        <v>4.0892163999999998</v>
      </c>
      <c r="AY1192" s="3">
        <v>4.0605699</v>
      </c>
      <c r="AZ1192" s="3">
        <v>4.0330895</v>
      </c>
      <c r="BA1192" s="3">
        <v>4.0066886000000004</v>
      </c>
      <c r="BB1192" s="3">
        <v>3.9813266999999999</v>
      </c>
      <c r="BC1192" s="3">
        <v>3.9569795000000001</v>
      </c>
      <c r="BD1192" s="3">
        <v>3.9336221</v>
      </c>
      <c r="BE1192" s="3">
        <v>3.9112292000000002</v>
      </c>
      <c r="BF1192" s="3">
        <v>3.8897767000000001</v>
      </c>
      <c r="BG1192" s="3">
        <v>3.8692394999999999</v>
      </c>
      <c r="BH1192" s="3">
        <v>3.8495925999999998</v>
      </c>
      <c r="BI1192" s="3">
        <v>3.8308116999999999</v>
      </c>
      <c r="BJ1192" s="3">
        <v>3.8128717000000001</v>
      </c>
      <c r="BK1192" s="3">
        <v>3.7957477000000002</v>
      </c>
      <c r="BL1192" s="3">
        <v>3.7794151999999999</v>
      </c>
      <c r="BM1192" s="3">
        <v>3.6969192</v>
      </c>
      <c r="BN1192" s="3">
        <v>3.6383128999999998</v>
      </c>
    </row>
    <row r="1193" spans="1:66" x14ac:dyDescent="0.35">
      <c r="A1193" s="5">
        <f t="shared" si="18"/>
        <v>45125</v>
      </c>
      <c r="B1193" t="s">
        <v>2602</v>
      </c>
      <c r="C1193" s="2">
        <v>5</v>
      </c>
      <c r="D1193" s="2">
        <v>4.9301000000000004</v>
      </c>
      <c r="E1193" s="3">
        <v>5.3211047999999996</v>
      </c>
      <c r="F1193" s="3">
        <v>5.5070774</v>
      </c>
      <c r="G1193" s="3">
        <v>5.6970972</v>
      </c>
      <c r="H1193" s="3">
        <v>5.8502884000000002</v>
      </c>
      <c r="I1193" s="3">
        <v>5.9526462999999996</v>
      </c>
      <c r="J1193" s="3">
        <v>6.0126410000000003</v>
      </c>
      <c r="K1193" s="3">
        <v>6.0418051999999998</v>
      </c>
      <c r="L1193" s="3">
        <v>6.0511572999999999</v>
      </c>
      <c r="M1193" s="3">
        <v>6.0476932999999997</v>
      </c>
      <c r="N1193" s="3">
        <v>6.0347187</v>
      </c>
      <c r="O1193" s="3">
        <v>6.0132212000000003</v>
      </c>
      <c r="P1193" s="3">
        <v>5.9826554999999999</v>
      </c>
      <c r="Q1193" s="3">
        <v>5.9413838999999999</v>
      </c>
      <c r="R1193" s="3">
        <v>5.8900237000000004</v>
      </c>
      <c r="S1193" s="3">
        <v>5.8299314000000004</v>
      </c>
      <c r="T1193" s="3">
        <v>5.7624617999999996</v>
      </c>
      <c r="U1193" s="3">
        <v>5.6889690000000002</v>
      </c>
      <c r="V1193" s="3">
        <v>5.6108101000000001</v>
      </c>
      <c r="W1193" s="3">
        <v>5.5293166999999999</v>
      </c>
      <c r="X1193" s="3">
        <v>5.4456775000000004</v>
      </c>
      <c r="Y1193" s="3">
        <v>5.3610289</v>
      </c>
      <c r="Z1193" s="3">
        <v>5.2765044000000003</v>
      </c>
      <c r="AA1193" s="3">
        <v>5.1932372000000004</v>
      </c>
      <c r="AB1193" s="3">
        <v>5.1123637000000004</v>
      </c>
      <c r="AC1193" s="3">
        <v>5.0348296000000001</v>
      </c>
      <c r="AD1193" s="3">
        <v>4.9607517000000003</v>
      </c>
      <c r="AE1193" s="3">
        <v>4.8900208000000003</v>
      </c>
      <c r="AF1193" s="3">
        <v>4.8225251</v>
      </c>
      <c r="AG1193" s="3">
        <v>4.7581528999999998</v>
      </c>
      <c r="AH1193" s="3">
        <v>4.6967948000000002</v>
      </c>
      <c r="AI1193" s="3">
        <v>4.6383390999999996</v>
      </c>
      <c r="AJ1193" s="3">
        <v>4.5826741999999996</v>
      </c>
      <c r="AK1193" s="3">
        <v>4.5296903999999998</v>
      </c>
      <c r="AL1193" s="3">
        <v>4.4792763000000004</v>
      </c>
      <c r="AM1193" s="3">
        <v>4.4313202</v>
      </c>
      <c r="AN1193" s="3">
        <v>4.3857122999999998</v>
      </c>
      <c r="AO1193" s="3">
        <v>4.3423413000000002</v>
      </c>
      <c r="AP1193" s="3">
        <v>4.3010963999999996</v>
      </c>
      <c r="AQ1193" s="3">
        <v>4.2618682999999997</v>
      </c>
      <c r="AR1193" s="3">
        <v>4.2245466</v>
      </c>
      <c r="AS1193" s="3">
        <v>4.1890204999999998</v>
      </c>
      <c r="AT1193" s="3">
        <v>4.1551809000000004</v>
      </c>
      <c r="AU1193" s="3">
        <v>4.1229170999999996</v>
      </c>
      <c r="AV1193" s="3">
        <v>4.0921187000000003</v>
      </c>
      <c r="AW1193" s="3">
        <v>4.0626762000000003</v>
      </c>
      <c r="AX1193" s="3">
        <v>4.0344791999999998</v>
      </c>
      <c r="AY1193" s="3">
        <v>4.0074171999999999</v>
      </c>
      <c r="AZ1193" s="3">
        <v>3.9813806999999999</v>
      </c>
      <c r="BA1193" s="3">
        <v>3.9562716999999998</v>
      </c>
      <c r="BB1193" s="3">
        <v>3.9320525000000002</v>
      </c>
      <c r="BC1193" s="3">
        <v>3.9087046999999999</v>
      </c>
      <c r="BD1193" s="3">
        <v>3.8862092000000001</v>
      </c>
      <c r="BE1193" s="3">
        <v>3.8645467</v>
      </c>
      <c r="BF1193" s="3">
        <v>3.8436989000000001</v>
      </c>
      <c r="BG1193" s="3">
        <v>3.8236463999999999</v>
      </c>
      <c r="BH1193" s="3">
        <v>3.8043702000000001</v>
      </c>
      <c r="BI1193" s="3">
        <v>3.7858516999999998</v>
      </c>
      <c r="BJ1193" s="3">
        <v>3.7680717000000001</v>
      </c>
      <c r="BK1193" s="3">
        <v>3.7510113</v>
      </c>
      <c r="BL1193" s="3">
        <v>3.7346517000000001</v>
      </c>
      <c r="BM1193" s="3">
        <v>3.6504386000000002</v>
      </c>
      <c r="BN1193" s="3">
        <v>3.5884619999999998</v>
      </c>
    </row>
    <row r="1194" spans="1:66" x14ac:dyDescent="0.35">
      <c r="A1194" s="5">
        <f t="shared" si="18"/>
        <v>45126</v>
      </c>
      <c r="B1194" t="s">
        <v>2603</v>
      </c>
      <c r="C1194" s="2">
        <v>5</v>
      </c>
      <c r="D1194" s="2">
        <v>4.9302999999999999</v>
      </c>
      <c r="E1194" s="3">
        <v>5.2782926999999997</v>
      </c>
      <c r="F1194" s="3">
        <v>5.4190056000000002</v>
      </c>
      <c r="G1194" s="3">
        <v>5.5680547999999996</v>
      </c>
      <c r="H1194" s="3">
        <v>5.6856029000000001</v>
      </c>
      <c r="I1194" s="3">
        <v>5.7582978999999996</v>
      </c>
      <c r="J1194" s="3">
        <v>5.7938365999999997</v>
      </c>
      <c r="K1194" s="3">
        <v>5.8031768000000001</v>
      </c>
      <c r="L1194" s="3">
        <v>5.7964735999999997</v>
      </c>
      <c r="M1194" s="3">
        <v>5.7802448999999996</v>
      </c>
      <c r="N1194" s="3">
        <v>5.7572679999999998</v>
      </c>
      <c r="O1194" s="3">
        <v>5.7278080999999998</v>
      </c>
      <c r="P1194" s="3">
        <v>5.6908557999999996</v>
      </c>
      <c r="Q1194" s="3">
        <v>5.6439972999999997</v>
      </c>
      <c r="R1194" s="3">
        <v>5.5876352999999996</v>
      </c>
      <c r="S1194" s="3">
        <v>5.5231177000000002</v>
      </c>
      <c r="T1194" s="3">
        <v>5.4517901999999996</v>
      </c>
      <c r="U1194" s="3">
        <v>5.3749982999999997</v>
      </c>
      <c r="V1194" s="3">
        <v>5.2940902999999997</v>
      </c>
      <c r="W1194" s="3">
        <v>5.2103976000000003</v>
      </c>
      <c r="X1194" s="3">
        <v>5.1251720000000001</v>
      </c>
      <c r="Y1194" s="3">
        <v>5.0396403000000003</v>
      </c>
      <c r="Z1194" s="3">
        <v>4.9550260000000002</v>
      </c>
      <c r="AA1194" s="3">
        <v>4.8725529999999999</v>
      </c>
      <c r="AB1194" s="3">
        <v>4.7934479999999997</v>
      </c>
      <c r="AC1194" s="3">
        <v>4.7187574999999997</v>
      </c>
      <c r="AD1194" s="3">
        <v>4.6485751000000004</v>
      </c>
      <c r="AE1194" s="3">
        <v>4.5826770000000003</v>
      </c>
      <c r="AF1194" s="3">
        <v>4.5208367999999997</v>
      </c>
      <c r="AG1194" s="3">
        <v>4.4628283</v>
      </c>
      <c r="AH1194" s="3">
        <v>4.4084272000000002</v>
      </c>
      <c r="AI1194" s="3">
        <v>4.3574073000000002</v>
      </c>
      <c r="AJ1194" s="3">
        <v>4.3095423999999998</v>
      </c>
      <c r="AK1194" s="3">
        <v>4.2646081000000002</v>
      </c>
      <c r="AL1194" s="3">
        <v>4.2223781999999996</v>
      </c>
      <c r="AM1194" s="3">
        <v>4.1826267000000001</v>
      </c>
      <c r="AN1194" s="3">
        <v>4.1451288000000002</v>
      </c>
      <c r="AO1194" s="3">
        <v>4.1096722999999997</v>
      </c>
      <c r="AP1194" s="3">
        <v>4.0761113</v>
      </c>
      <c r="AQ1194" s="3">
        <v>4.0443214000000003</v>
      </c>
      <c r="AR1194" s="3">
        <v>4.0141770000000001</v>
      </c>
      <c r="AS1194" s="3">
        <v>3.9855526000000001</v>
      </c>
      <c r="AT1194" s="3">
        <v>3.9583238000000001</v>
      </c>
      <c r="AU1194" s="3">
        <v>3.9323649000000001</v>
      </c>
      <c r="AV1194" s="3">
        <v>3.9075506999999998</v>
      </c>
      <c r="AW1194" s="3">
        <v>3.8837564000000002</v>
      </c>
      <c r="AX1194" s="3">
        <v>3.8608565000000001</v>
      </c>
      <c r="AY1194" s="3">
        <v>3.8387258000000002</v>
      </c>
      <c r="AZ1194" s="3">
        <v>3.8172394000000001</v>
      </c>
      <c r="BA1194" s="3">
        <v>3.7962913999999999</v>
      </c>
      <c r="BB1194" s="3">
        <v>3.7758612</v>
      </c>
      <c r="BC1194" s="3">
        <v>3.7559528000000002</v>
      </c>
      <c r="BD1194" s="3">
        <v>3.7365691999999999</v>
      </c>
      <c r="BE1194" s="3">
        <v>3.7177136000000002</v>
      </c>
      <c r="BF1194" s="3">
        <v>3.6993898000000001</v>
      </c>
      <c r="BG1194" s="3">
        <v>3.6816010000000001</v>
      </c>
      <c r="BH1194" s="3">
        <v>3.6643501999999999</v>
      </c>
      <c r="BI1194" s="3">
        <v>3.6476413000000001</v>
      </c>
      <c r="BJ1194" s="3">
        <v>3.6314774999999999</v>
      </c>
      <c r="BK1194" s="3">
        <v>3.6158619000000001</v>
      </c>
      <c r="BL1194" s="3">
        <v>3.6007981999999998</v>
      </c>
      <c r="BM1194" s="3">
        <v>3.5220387999999998</v>
      </c>
      <c r="BN1194" s="3">
        <v>3.4630546</v>
      </c>
    </row>
    <row r="1195" spans="1:66" x14ac:dyDescent="0.35">
      <c r="A1195" s="5">
        <f t="shared" si="18"/>
        <v>45127</v>
      </c>
      <c r="B1195" t="s">
        <v>2604</v>
      </c>
      <c r="C1195" s="2">
        <v>5</v>
      </c>
      <c r="D1195" s="2">
        <v>4.9305000000000003</v>
      </c>
      <c r="E1195" s="3">
        <v>5.3082858000000002</v>
      </c>
      <c r="F1195" s="3">
        <v>5.4405748000000003</v>
      </c>
      <c r="G1195" s="3">
        <v>5.5921079999999996</v>
      </c>
      <c r="H1195" s="3">
        <v>5.7178471999999996</v>
      </c>
      <c r="I1195" s="3">
        <v>5.8027414999999998</v>
      </c>
      <c r="J1195" s="3">
        <v>5.8515443999999999</v>
      </c>
      <c r="K1195" s="3">
        <v>5.8732369999999996</v>
      </c>
      <c r="L1195" s="3">
        <v>5.8752054999999999</v>
      </c>
      <c r="M1195" s="3">
        <v>5.8634766999999997</v>
      </c>
      <c r="N1195" s="3">
        <v>5.8411606999999997</v>
      </c>
      <c r="O1195" s="3">
        <v>5.8098777000000004</v>
      </c>
      <c r="P1195" s="3">
        <v>5.7702</v>
      </c>
      <c r="Q1195" s="3">
        <v>5.7219487000000004</v>
      </c>
      <c r="R1195" s="3">
        <v>5.6659392000000004</v>
      </c>
      <c r="S1195" s="3">
        <v>5.6033995000000001</v>
      </c>
      <c r="T1195" s="3">
        <v>5.5355556000000004</v>
      </c>
      <c r="U1195" s="3">
        <v>5.4636334</v>
      </c>
      <c r="V1195" s="3">
        <v>5.3888613999999997</v>
      </c>
      <c r="W1195" s="3">
        <v>5.3124096999999999</v>
      </c>
      <c r="X1195" s="3">
        <v>5.2351631000000003</v>
      </c>
      <c r="Y1195" s="3">
        <v>5.1579180999999998</v>
      </c>
      <c r="Z1195" s="3">
        <v>5.0814681000000004</v>
      </c>
      <c r="AA1195" s="3">
        <v>5.0066066999999999</v>
      </c>
      <c r="AB1195" s="3">
        <v>4.9341302000000002</v>
      </c>
      <c r="AC1195" s="3">
        <v>4.8647087000000004</v>
      </c>
      <c r="AD1195" s="3">
        <v>4.7984106000000004</v>
      </c>
      <c r="AE1195" s="3">
        <v>4.7351235999999997</v>
      </c>
      <c r="AF1195" s="3">
        <v>4.6747331000000001</v>
      </c>
      <c r="AG1195" s="3">
        <v>4.6171242000000001</v>
      </c>
      <c r="AH1195" s="3">
        <v>4.5621846000000001</v>
      </c>
      <c r="AI1195" s="3">
        <v>4.5097994999999997</v>
      </c>
      <c r="AJ1195" s="3">
        <v>4.4598544000000002</v>
      </c>
      <c r="AK1195" s="3">
        <v>4.4122366</v>
      </c>
      <c r="AL1195" s="3">
        <v>4.3668313999999997</v>
      </c>
      <c r="AM1195" s="3">
        <v>4.3235245999999998</v>
      </c>
      <c r="AN1195" s="3">
        <v>4.2822031000000003</v>
      </c>
      <c r="AO1195" s="3">
        <v>4.2427562999999999</v>
      </c>
      <c r="AP1195" s="3">
        <v>4.2050912</v>
      </c>
      <c r="AQ1195" s="3">
        <v>4.1691203999999997</v>
      </c>
      <c r="AR1195" s="3">
        <v>4.1347556000000001</v>
      </c>
      <c r="AS1195" s="3">
        <v>4.1019084000000001</v>
      </c>
      <c r="AT1195" s="3">
        <v>4.0704912999999996</v>
      </c>
      <c r="AU1195" s="3">
        <v>4.0404162000000001</v>
      </c>
      <c r="AV1195" s="3">
        <v>4.0115943999999999</v>
      </c>
      <c r="AW1195" s="3">
        <v>3.9839389000000001</v>
      </c>
      <c r="AX1195" s="3">
        <v>3.9573610000000001</v>
      </c>
      <c r="AY1195" s="3">
        <v>3.9317726</v>
      </c>
      <c r="AZ1195" s="3">
        <v>3.9070860999999999</v>
      </c>
      <c r="BA1195" s="3">
        <v>3.8832247999999998</v>
      </c>
      <c r="BB1195" s="3">
        <v>3.8601622</v>
      </c>
      <c r="BC1195" s="3">
        <v>3.8378868000000002</v>
      </c>
      <c r="BD1195" s="3">
        <v>3.8163862000000002</v>
      </c>
      <c r="BE1195" s="3">
        <v>3.7956481000000002</v>
      </c>
      <c r="BF1195" s="3">
        <v>3.7756609000000001</v>
      </c>
      <c r="BG1195" s="3">
        <v>3.7564122000000002</v>
      </c>
      <c r="BH1195" s="3">
        <v>3.7378895999999999</v>
      </c>
      <c r="BI1195" s="3">
        <v>3.7200815</v>
      </c>
      <c r="BJ1195" s="3">
        <v>3.7029755999999998</v>
      </c>
      <c r="BK1195" s="3">
        <v>3.6865595</v>
      </c>
      <c r="BL1195" s="3">
        <v>3.6708216</v>
      </c>
      <c r="BM1195" s="3">
        <v>3.5901296</v>
      </c>
      <c r="BN1195" s="3">
        <v>3.5318773000000001</v>
      </c>
    </row>
    <row r="1196" spans="1:66" x14ac:dyDescent="0.35">
      <c r="A1196" s="5">
        <f t="shared" si="18"/>
        <v>45128</v>
      </c>
      <c r="B1196" t="s">
        <v>2605</v>
      </c>
      <c r="C1196" s="2">
        <v>5</v>
      </c>
      <c r="D1196" s="2">
        <v>4.9306000000000001</v>
      </c>
      <c r="E1196" s="3">
        <v>5.3034561</v>
      </c>
      <c r="F1196" s="3">
        <v>5.4435868000000003</v>
      </c>
      <c r="G1196" s="3">
        <v>5.5994302999999999</v>
      </c>
      <c r="H1196" s="3">
        <v>5.7237140999999996</v>
      </c>
      <c r="I1196" s="3">
        <v>5.8017634999999999</v>
      </c>
      <c r="J1196" s="3">
        <v>5.8413249</v>
      </c>
      <c r="K1196" s="3">
        <v>5.8540663000000004</v>
      </c>
      <c r="L1196" s="3">
        <v>5.8501491000000003</v>
      </c>
      <c r="M1196" s="3">
        <v>5.8363284999999996</v>
      </c>
      <c r="N1196" s="3">
        <v>5.8155652</v>
      </c>
      <c r="O1196" s="3">
        <v>5.7884424000000001</v>
      </c>
      <c r="P1196" s="3">
        <v>5.7543407999999996</v>
      </c>
      <c r="Q1196" s="3">
        <v>5.7112084999999997</v>
      </c>
      <c r="R1196" s="3">
        <v>5.6593654999999998</v>
      </c>
      <c r="S1196" s="3">
        <v>5.6000261</v>
      </c>
      <c r="T1196" s="3">
        <v>5.5344034999999998</v>
      </c>
      <c r="U1196" s="3">
        <v>5.4637102999999998</v>
      </c>
      <c r="V1196" s="3">
        <v>5.3891616999999998</v>
      </c>
      <c r="W1196" s="3">
        <v>5.3119497000000004</v>
      </c>
      <c r="X1196" s="3">
        <v>5.2331592999999996</v>
      </c>
      <c r="Y1196" s="3">
        <v>5.1538446999999996</v>
      </c>
      <c r="Z1196" s="3">
        <v>5.0750567999999996</v>
      </c>
      <c r="AA1196" s="3">
        <v>4.9978468999999999</v>
      </c>
      <c r="AB1196" s="3">
        <v>4.9232687000000004</v>
      </c>
      <c r="AC1196" s="3">
        <v>4.8521919000000002</v>
      </c>
      <c r="AD1196" s="3">
        <v>4.7846840999999998</v>
      </c>
      <c r="AE1196" s="3">
        <v>4.7205943000000001</v>
      </c>
      <c r="AF1196" s="3">
        <v>4.6597691000000001</v>
      </c>
      <c r="AG1196" s="3">
        <v>4.602055</v>
      </c>
      <c r="AH1196" s="3">
        <v>4.5473007000000001</v>
      </c>
      <c r="AI1196" s="3">
        <v>4.4953529999999997</v>
      </c>
      <c r="AJ1196" s="3">
        <v>4.4460585999999997</v>
      </c>
      <c r="AK1196" s="3">
        <v>4.3992658999999996</v>
      </c>
      <c r="AL1196" s="3">
        <v>4.3548216999999996</v>
      </c>
      <c r="AM1196" s="3">
        <v>4.3125727999999999</v>
      </c>
      <c r="AN1196" s="3">
        <v>4.2723674999999997</v>
      </c>
      <c r="AO1196" s="3">
        <v>4.2340606000000003</v>
      </c>
      <c r="AP1196" s="3">
        <v>4.1975414999999998</v>
      </c>
      <c r="AQ1196" s="3">
        <v>4.1627105000000002</v>
      </c>
      <c r="AR1196" s="3">
        <v>4.1294665999999998</v>
      </c>
      <c r="AS1196" s="3">
        <v>4.097709</v>
      </c>
      <c r="AT1196" s="3">
        <v>4.0673377999999998</v>
      </c>
      <c r="AU1196" s="3">
        <v>4.0382521000000002</v>
      </c>
      <c r="AV1196" s="3">
        <v>4.010351</v>
      </c>
      <c r="AW1196" s="3">
        <v>3.9835346999999999</v>
      </c>
      <c r="AX1196" s="3">
        <v>3.9577021999999999</v>
      </c>
      <c r="AY1196" s="3">
        <v>3.9327527999999998</v>
      </c>
      <c r="AZ1196" s="3">
        <v>3.9085865000000002</v>
      </c>
      <c r="BA1196" s="3">
        <v>3.8851171</v>
      </c>
      <c r="BB1196" s="3">
        <v>3.8623232000000001</v>
      </c>
      <c r="BC1196" s="3">
        <v>3.8402020000000001</v>
      </c>
      <c r="BD1196" s="3">
        <v>3.8187498999999998</v>
      </c>
      <c r="BE1196" s="3">
        <v>3.7979634999999998</v>
      </c>
      <c r="BF1196" s="3">
        <v>3.7778399</v>
      </c>
      <c r="BG1196" s="3">
        <v>3.7583755999999999</v>
      </c>
      <c r="BH1196" s="3">
        <v>3.7395670000000001</v>
      </c>
      <c r="BI1196" s="3">
        <v>3.7214113000000002</v>
      </c>
      <c r="BJ1196" s="3">
        <v>3.7039048999999999</v>
      </c>
      <c r="BK1196" s="3">
        <v>3.6870444999999998</v>
      </c>
      <c r="BL1196" s="3">
        <v>3.6708270000000001</v>
      </c>
      <c r="BM1196" s="3">
        <v>3.5868489000000001</v>
      </c>
      <c r="BN1196" s="3">
        <v>3.5252631000000001</v>
      </c>
    </row>
    <row r="1197" spans="1:66" x14ac:dyDescent="0.35">
      <c r="A1197" s="5">
        <f t="shared" si="18"/>
        <v>45131</v>
      </c>
      <c r="B1197" t="s">
        <v>2606</v>
      </c>
      <c r="C1197" s="2">
        <v>5</v>
      </c>
      <c r="D1197" s="2">
        <v>4.9309000000000003</v>
      </c>
      <c r="E1197" s="3">
        <v>5.2863958999999996</v>
      </c>
      <c r="F1197" s="3">
        <v>5.4274138000000001</v>
      </c>
      <c r="G1197" s="3">
        <v>5.5761957000000004</v>
      </c>
      <c r="H1197" s="3">
        <v>5.6936137999999996</v>
      </c>
      <c r="I1197" s="3">
        <v>5.7675374000000001</v>
      </c>
      <c r="J1197" s="3">
        <v>5.8039873999999996</v>
      </c>
      <c r="K1197" s="3">
        <v>5.814724</v>
      </c>
      <c r="L1197" s="3">
        <v>5.8101500000000001</v>
      </c>
      <c r="M1197" s="3">
        <v>5.7966125999999996</v>
      </c>
      <c r="N1197" s="3">
        <v>5.7774193</v>
      </c>
      <c r="O1197" s="3">
        <v>5.7532196999999998</v>
      </c>
      <c r="P1197" s="3">
        <v>5.7232051000000004</v>
      </c>
      <c r="Q1197" s="3">
        <v>5.6844830999999996</v>
      </c>
      <c r="R1197" s="3">
        <v>5.6370857000000001</v>
      </c>
      <c r="S1197" s="3">
        <v>5.5820818000000001</v>
      </c>
      <c r="T1197" s="3">
        <v>5.5205387999999997</v>
      </c>
      <c r="U1197" s="3">
        <v>5.4535233999999999</v>
      </c>
      <c r="V1197" s="3">
        <v>5.3821051999999998</v>
      </c>
      <c r="W1197" s="3">
        <v>5.3073502000000001</v>
      </c>
      <c r="X1197" s="3">
        <v>5.2303194</v>
      </c>
      <c r="Y1197" s="3">
        <v>5.1520748999999997</v>
      </c>
      <c r="Z1197" s="3">
        <v>5.0736762000000004</v>
      </c>
      <c r="AA1197" s="3">
        <v>4.9961827999999997</v>
      </c>
      <c r="AB1197" s="3">
        <v>4.9206567000000003</v>
      </c>
      <c r="AC1197" s="3">
        <v>4.8479863999999999</v>
      </c>
      <c r="AD1197" s="3">
        <v>4.7783053999999998</v>
      </c>
      <c r="AE1197" s="3">
        <v>4.7115413000000004</v>
      </c>
      <c r="AF1197" s="3">
        <v>4.6476192999999997</v>
      </c>
      <c r="AG1197" s="3">
        <v>4.5864646000000002</v>
      </c>
      <c r="AH1197" s="3">
        <v>4.5280047999999997</v>
      </c>
      <c r="AI1197" s="3">
        <v>4.4721650000000004</v>
      </c>
      <c r="AJ1197" s="3">
        <v>4.4188706</v>
      </c>
      <c r="AK1197" s="3">
        <v>4.3680488999999998</v>
      </c>
      <c r="AL1197" s="3">
        <v>4.3196253000000002</v>
      </c>
      <c r="AM1197" s="3">
        <v>4.2735250999999996</v>
      </c>
      <c r="AN1197" s="3">
        <v>4.2296754999999999</v>
      </c>
      <c r="AO1197" s="3">
        <v>4.1879987999999999</v>
      </c>
      <c r="AP1197" s="3">
        <v>4.1484037999999996</v>
      </c>
      <c r="AQ1197" s="3">
        <v>4.1107969000000004</v>
      </c>
      <c r="AR1197" s="3">
        <v>4.0750833000000002</v>
      </c>
      <c r="AS1197" s="3">
        <v>4.0411679999999999</v>
      </c>
      <c r="AT1197" s="3">
        <v>4.0089572999999996</v>
      </c>
      <c r="AU1197" s="3">
        <v>3.9783563000000002</v>
      </c>
      <c r="AV1197" s="3">
        <v>3.9492701000000001</v>
      </c>
      <c r="AW1197" s="3">
        <v>3.9216050999999998</v>
      </c>
      <c r="AX1197" s="3">
        <v>3.8952662999999998</v>
      </c>
      <c r="AY1197" s="3">
        <v>3.8701588999999998</v>
      </c>
      <c r="AZ1197" s="3">
        <v>3.8461889999999999</v>
      </c>
      <c r="BA1197" s="3">
        <v>3.8232699999999999</v>
      </c>
      <c r="BB1197" s="3">
        <v>3.8013583999999998</v>
      </c>
      <c r="BC1197" s="3">
        <v>3.7804262999999998</v>
      </c>
      <c r="BD1197" s="3">
        <v>3.7604449</v>
      </c>
      <c r="BE1197" s="3">
        <v>3.7413854</v>
      </c>
      <c r="BF1197" s="3">
        <v>3.7232197</v>
      </c>
      <c r="BG1197" s="3">
        <v>3.7059191999999999</v>
      </c>
      <c r="BH1197" s="3">
        <v>3.6894550000000002</v>
      </c>
      <c r="BI1197" s="3">
        <v>3.6737991000000001</v>
      </c>
      <c r="BJ1197" s="3">
        <v>3.6589228</v>
      </c>
      <c r="BK1197" s="3">
        <v>3.6447972000000002</v>
      </c>
      <c r="BL1197" s="3">
        <v>3.6313944</v>
      </c>
      <c r="BM1197" s="3">
        <v>3.5649549999999999</v>
      </c>
      <c r="BN1197" s="3">
        <v>3.5198100000000001</v>
      </c>
    </row>
    <row r="1198" spans="1:66" x14ac:dyDescent="0.35">
      <c r="A1198" s="5">
        <f t="shared" si="18"/>
        <v>45132</v>
      </c>
      <c r="B1198" t="s">
        <v>2607</v>
      </c>
      <c r="C1198" s="2">
        <v>5</v>
      </c>
      <c r="D1198" s="2">
        <v>4.9307999999999996</v>
      </c>
      <c r="E1198" s="3">
        <v>5.2975652000000002</v>
      </c>
      <c r="F1198" s="3">
        <v>5.4357331999999996</v>
      </c>
      <c r="G1198" s="3">
        <v>5.5795579000000002</v>
      </c>
      <c r="H1198" s="3">
        <v>5.6934956000000003</v>
      </c>
      <c r="I1198" s="3">
        <v>5.7666709999999997</v>
      </c>
      <c r="J1198" s="3">
        <v>5.8064594999999999</v>
      </c>
      <c r="K1198" s="3">
        <v>5.8233375000000001</v>
      </c>
      <c r="L1198" s="3">
        <v>5.8261830000000003</v>
      </c>
      <c r="M1198" s="3">
        <v>5.8204713999999997</v>
      </c>
      <c r="N1198" s="3">
        <v>5.8085341000000001</v>
      </c>
      <c r="O1198" s="3">
        <v>5.7904286999999997</v>
      </c>
      <c r="P1198" s="3">
        <v>5.7649575999999998</v>
      </c>
      <c r="Q1198" s="3">
        <v>5.7292632000000001</v>
      </c>
      <c r="R1198" s="3">
        <v>5.6834693999999999</v>
      </c>
      <c r="S1198" s="3">
        <v>5.6287156999999999</v>
      </c>
      <c r="T1198" s="3">
        <v>5.5661396999999999</v>
      </c>
      <c r="U1198" s="3">
        <v>5.4968788000000002</v>
      </c>
      <c r="V1198" s="3">
        <v>5.4220728999999999</v>
      </c>
      <c r="W1198" s="3">
        <v>5.3428848000000002</v>
      </c>
      <c r="X1198" s="3">
        <v>5.2606355999999996</v>
      </c>
      <c r="Y1198" s="3">
        <v>5.1767108000000004</v>
      </c>
      <c r="Z1198" s="3">
        <v>5.0924931000000004</v>
      </c>
      <c r="AA1198" s="3">
        <v>5.0093651000000001</v>
      </c>
      <c r="AB1198" s="3">
        <v>4.9287124000000002</v>
      </c>
      <c r="AC1198" s="3">
        <v>4.8516890999999998</v>
      </c>
      <c r="AD1198" s="3">
        <v>4.7784399999999998</v>
      </c>
      <c r="AE1198" s="3">
        <v>4.7088339000000001</v>
      </c>
      <c r="AF1198" s="3">
        <v>4.6427373000000003</v>
      </c>
      <c r="AG1198" s="3">
        <v>4.5800165000000002</v>
      </c>
      <c r="AH1198" s="3">
        <v>4.5205403000000004</v>
      </c>
      <c r="AI1198" s="3">
        <v>4.464175</v>
      </c>
      <c r="AJ1198" s="3">
        <v>4.4107871999999997</v>
      </c>
      <c r="AK1198" s="3">
        <v>4.3602455000000004</v>
      </c>
      <c r="AL1198" s="3">
        <v>4.3124162999999998</v>
      </c>
      <c r="AM1198" s="3">
        <v>4.2671663000000004</v>
      </c>
      <c r="AN1198" s="3">
        <v>4.2243637999999999</v>
      </c>
      <c r="AO1198" s="3">
        <v>4.1838766999999999</v>
      </c>
      <c r="AP1198" s="3">
        <v>4.1455801000000001</v>
      </c>
      <c r="AQ1198" s="3">
        <v>4.1093526999999996</v>
      </c>
      <c r="AR1198" s="3">
        <v>4.0750719000000002</v>
      </c>
      <c r="AS1198" s="3">
        <v>4.0426152999999996</v>
      </c>
      <c r="AT1198" s="3">
        <v>4.0118613999999999</v>
      </c>
      <c r="AU1198" s="3">
        <v>3.9826877999999999</v>
      </c>
      <c r="AV1198" s="3">
        <v>3.9549718999999999</v>
      </c>
      <c r="AW1198" s="3">
        <v>3.9285923999999999</v>
      </c>
      <c r="AX1198" s="3">
        <v>3.9034266</v>
      </c>
      <c r="AY1198" s="3">
        <v>3.8793522999999999</v>
      </c>
      <c r="AZ1198" s="3">
        <v>3.8562476999999999</v>
      </c>
      <c r="BA1198" s="3">
        <v>3.8340051000000002</v>
      </c>
      <c r="BB1198" s="3">
        <v>3.8125870000000002</v>
      </c>
      <c r="BC1198" s="3">
        <v>3.7919782</v>
      </c>
      <c r="BD1198" s="3">
        <v>3.7721629999999999</v>
      </c>
      <c r="BE1198" s="3">
        <v>3.7531253000000002</v>
      </c>
      <c r="BF1198" s="3">
        <v>3.7348501000000001</v>
      </c>
      <c r="BG1198" s="3">
        <v>3.7173215000000002</v>
      </c>
      <c r="BH1198" s="3">
        <v>3.7005235999999999</v>
      </c>
      <c r="BI1198" s="3">
        <v>3.6844412000000002</v>
      </c>
      <c r="BJ1198" s="3">
        <v>3.6690583999999999</v>
      </c>
      <c r="BK1198" s="3">
        <v>3.6543595</v>
      </c>
      <c r="BL1198" s="3">
        <v>3.6403292</v>
      </c>
      <c r="BM1198" s="3">
        <v>3.5694376999999999</v>
      </c>
      <c r="BN1198" s="3">
        <v>3.5194698999999998</v>
      </c>
    </row>
    <row r="1199" spans="1:66" x14ac:dyDescent="0.35">
      <c r="A1199" s="5">
        <f t="shared" si="18"/>
        <v>45133</v>
      </c>
      <c r="B1199" t="s">
        <v>2608</v>
      </c>
      <c r="C1199" s="2">
        <v>5</v>
      </c>
      <c r="D1199" s="2">
        <v>4.931</v>
      </c>
      <c r="E1199" s="3">
        <v>5.2951411999999998</v>
      </c>
      <c r="F1199" s="3">
        <v>5.4518398000000001</v>
      </c>
      <c r="G1199" s="3">
        <v>5.6117033000000003</v>
      </c>
      <c r="H1199" s="3">
        <v>5.7417543000000002</v>
      </c>
      <c r="I1199" s="3">
        <v>5.8311260000000003</v>
      </c>
      <c r="J1199" s="3">
        <v>5.8859712999999996</v>
      </c>
      <c r="K1199" s="3">
        <v>5.9145028999999996</v>
      </c>
      <c r="L1199" s="3">
        <v>5.9247179000000001</v>
      </c>
      <c r="M1199" s="3">
        <v>5.9225935999999999</v>
      </c>
      <c r="N1199" s="3">
        <v>5.9114056000000001</v>
      </c>
      <c r="O1199" s="3">
        <v>5.8925023000000003</v>
      </c>
      <c r="P1199" s="3">
        <v>5.8657557999999996</v>
      </c>
      <c r="Q1199" s="3">
        <v>5.8303241999999997</v>
      </c>
      <c r="R1199" s="3">
        <v>5.7865849000000003</v>
      </c>
      <c r="S1199" s="3">
        <v>5.7353103000000001</v>
      </c>
      <c r="T1199" s="3">
        <v>5.6772714999999998</v>
      </c>
      <c r="U1199" s="3">
        <v>5.6132391000000004</v>
      </c>
      <c r="V1199" s="3">
        <v>5.5439860000000003</v>
      </c>
      <c r="W1199" s="3">
        <v>5.4703267000000002</v>
      </c>
      <c r="X1199" s="3">
        <v>5.3933226000000003</v>
      </c>
      <c r="Y1199" s="3">
        <v>5.3141249000000004</v>
      </c>
      <c r="Z1199" s="3">
        <v>5.2338822</v>
      </c>
      <c r="AA1199" s="3">
        <v>5.1537430000000004</v>
      </c>
      <c r="AB1199" s="3">
        <v>5.0748585999999998</v>
      </c>
      <c r="AC1199" s="3">
        <v>4.9982366999999996</v>
      </c>
      <c r="AD1199" s="3">
        <v>4.9241264999999999</v>
      </c>
      <c r="AE1199" s="3">
        <v>4.8525254999999996</v>
      </c>
      <c r="AF1199" s="3">
        <v>4.7834285000000003</v>
      </c>
      <c r="AG1199" s="3">
        <v>4.7168302000000004</v>
      </c>
      <c r="AH1199" s="3">
        <v>4.6527278000000001</v>
      </c>
      <c r="AI1199" s="3">
        <v>4.5911162000000001</v>
      </c>
      <c r="AJ1199" s="3">
        <v>4.5319902000000001</v>
      </c>
      <c r="AK1199" s="3">
        <v>4.4753468999999999</v>
      </c>
      <c r="AL1199" s="3">
        <v>4.4211811000000001</v>
      </c>
      <c r="AM1199" s="3">
        <v>4.3694877999999999</v>
      </c>
      <c r="AN1199" s="3">
        <v>4.3202638000000002</v>
      </c>
      <c r="AO1199" s="3">
        <v>4.2734893999999999</v>
      </c>
      <c r="AP1199" s="3">
        <v>4.2290728</v>
      </c>
      <c r="AQ1199" s="3">
        <v>4.1869019999999999</v>
      </c>
      <c r="AR1199" s="3">
        <v>4.1468632000000003</v>
      </c>
      <c r="AS1199" s="3">
        <v>4.1088429</v>
      </c>
      <c r="AT1199" s="3">
        <v>4.0727289999999998</v>
      </c>
      <c r="AU1199" s="3">
        <v>4.0384076999999996</v>
      </c>
      <c r="AV1199" s="3">
        <v>4.0057656000000001</v>
      </c>
      <c r="AW1199" s="3">
        <v>3.9746904000000001</v>
      </c>
      <c r="AX1199" s="3">
        <v>3.9450685000000001</v>
      </c>
      <c r="AY1199" s="3">
        <v>3.9167865000000002</v>
      </c>
      <c r="AZ1199" s="3">
        <v>3.8897319000000001</v>
      </c>
      <c r="BA1199" s="3">
        <v>3.8638034000000001</v>
      </c>
      <c r="BB1199" s="3">
        <v>3.8389536</v>
      </c>
      <c r="BC1199" s="3">
        <v>3.8151506999999998</v>
      </c>
      <c r="BD1199" s="3">
        <v>3.7923623000000002</v>
      </c>
      <c r="BE1199" s="3">
        <v>3.7705557999999999</v>
      </c>
      <c r="BF1199" s="3">
        <v>3.7496993000000001</v>
      </c>
      <c r="BG1199" s="3">
        <v>3.7297603000000001</v>
      </c>
      <c r="BH1199" s="3">
        <v>3.7107063</v>
      </c>
      <c r="BI1199" s="3">
        <v>3.6925055000000002</v>
      </c>
      <c r="BJ1199" s="3">
        <v>3.6751252999999999</v>
      </c>
      <c r="BK1199" s="3">
        <v>3.6585331999999999</v>
      </c>
      <c r="BL1199" s="3">
        <v>3.6426973</v>
      </c>
      <c r="BM1199" s="3">
        <v>3.5623665</v>
      </c>
      <c r="BN1199" s="3">
        <v>3.5048954000000001</v>
      </c>
    </row>
    <row r="1200" spans="1:66" x14ac:dyDescent="0.35">
      <c r="A1200" s="5">
        <f t="shared" si="18"/>
        <v>45134</v>
      </c>
      <c r="B1200" t="s">
        <v>2609</v>
      </c>
      <c r="C1200" s="2">
        <v>5</v>
      </c>
      <c r="D1200" s="2">
        <v>4.931</v>
      </c>
      <c r="E1200" s="3">
        <v>5.2750924000000001</v>
      </c>
      <c r="F1200" s="3">
        <v>5.4269422</v>
      </c>
      <c r="G1200" s="3">
        <v>5.5775949999999996</v>
      </c>
      <c r="H1200" s="3">
        <v>5.6951131999999998</v>
      </c>
      <c r="I1200" s="3">
        <v>5.7714559999999997</v>
      </c>
      <c r="J1200" s="3">
        <v>5.8147029999999997</v>
      </c>
      <c r="K1200" s="3">
        <v>5.8351335999999998</v>
      </c>
      <c r="L1200" s="3">
        <v>5.8401449000000003</v>
      </c>
      <c r="M1200" s="3">
        <v>5.8346947</v>
      </c>
      <c r="N1200" s="3">
        <v>5.8207125</v>
      </c>
      <c r="O1200" s="3">
        <v>5.7988840000000001</v>
      </c>
      <c r="P1200" s="3">
        <v>5.7688950999999999</v>
      </c>
      <c r="Q1200" s="3">
        <v>5.7298359000000003</v>
      </c>
      <c r="R1200" s="3">
        <v>5.6823180000000004</v>
      </c>
      <c r="S1200" s="3">
        <v>5.6275329000000003</v>
      </c>
      <c r="T1200" s="3">
        <v>5.5666707000000004</v>
      </c>
      <c r="U1200" s="3">
        <v>5.5009212999999999</v>
      </c>
      <c r="V1200" s="3">
        <v>5.4314771000000004</v>
      </c>
      <c r="W1200" s="3">
        <v>5.3594884</v>
      </c>
      <c r="X1200" s="3">
        <v>5.2859024999999997</v>
      </c>
      <c r="Y1200" s="3">
        <v>5.2116047999999999</v>
      </c>
      <c r="Z1200" s="3">
        <v>5.1374776999999998</v>
      </c>
      <c r="AA1200" s="3">
        <v>5.0644039000000003</v>
      </c>
      <c r="AB1200" s="3">
        <v>4.9932685000000001</v>
      </c>
      <c r="AC1200" s="3">
        <v>4.9248222999999998</v>
      </c>
      <c r="AD1200" s="3">
        <v>4.8591727999999996</v>
      </c>
      <c r="AE1200" s="3">
        <v>4.7962343000000001</v>
      </c>
      <c r="AF1200" s="3">
        <v>4.7359188999999997</v>
      </c>
      <c r="AG1200" s="3">
        <v>4.6781383999999999</v>
      </c>
      <c r="AH1200" s="3">
        <v>4.6228071000000002</v>
      </c>
      <c r="AI1200" s="3">
        <v>4.5698368</v>
      </c>
      <c r="AJ1200" s="3">
        <v>4.5191397999999996</v>
      </c>
      <c r="AK1200" s="3">
        <v>4.4706298000000002</v>
      </c>
      <c r="AL1200" s="3">
        <v>4.4242191000000002</v>
      </c>
      <c r="AM1200" s="3">
        <v>4.3798199000000002</v>
      </c>
      <c r="AN1200" s="3">
        <v>4.3373457999999996</v>
      </c>
      <c r="AO1200" s="3">
        <v>4.2967101000000003</v>
      </c>
      <c r="AP1200" s="3">
        <v>4.2578309000000001</v>
      </c>
      <c r="AQ1200" s="3">
        <v>4.2206291</v>
      </c>
      <c r="AR1200" s="3">
        <v>4.1850240000000003</v>
      </c>
      <c r="AS1200" s="3">
        <v>4.1509349999999996</v>
      </c>
      <c r="AT1200" s="3">
        <v>4.1182828999999996</v>
      </c>
      <c r="AU1200" s="3">
        <v>4.0869872000000003</v>
      </c>
      <c r="AV1200" s="3">
        <v>4.0569671999999999</v>
      </c>
      <c r="AW1200" s="3">
        <v>4.0281437000000002</v>
      </c>
      <c r="AX1200" s="3">
        <v>4.0004359999999997</v>
      </c>
      <c r="AY1200" s="3">
        <v>3.9737638999999998</v>
      </c>
      <c r="AZ1200" s="3">
        <v>3.9480477</v>
      </c>
      <c r="BA1200" s="3">
        <v>3.9232170000000002</v>
      </c>
      <c r="BB1200" s="3">
        <v>3.8992456999999998</v>
      </c>
      <c r="BC1200" s="3">
        <v>3.8761206000000001</v>
      </c>
      <c r="BD1200" s="3">
        <v>3.8538275999999998</v>
      </c>
      <c r="BE1200" s="3">
        <v>3.8323527999999998</v>
      </c>
      <c r="BF1200" s="3">
        <v>3.8116829999999999</v>
      </c>
      <c r="BG1200" s="3">
        <v>3.7918042000000001</v>
      </c>
      <c r="BH1200" s="3">
        <v>3.7727024999999998</v>
      </c>
      <c r="BI1200" s="3">
        <v>3.7543646000000002</v>
      </c>
      <c r="BJ1200" s="3">
        <v>3.7367764999999999</v>
      </c>
      <c r="BK1200" s="3">
        <v>3.7199244</v>
      </c>
      <c r="BL1200" s="3">
        <v>3.7037949000000001</v>
      </c>
      <c r="BM1200" s="3">
        <v>3.621534</v>
      </c>
      <c r="BN1200" s="3">
        <v>3.5625224000000002</v>
      </c>
    </row>
    <row r="1201" spans="1:66" x14ac:dyDescent="0.35">
      <c r="A1201" s="5">
        <f t="shared" si="18"/>
        <v>45135</v>
      </c>
      <c r="B1201" t="s">
        <v>2610</v>
      </c>
      <c r="C1201" s="2">
        <v>5</v>
      </c>
      <c r="D1201" s="2">
        <v>4.9314999999999998</v>
      </c>
      <c r="E1201" s="3">
        <v>5.2761015000000002</v>
      </c>
      <c r="F1201" s="3">
        <v>5.4176323999999996</v>
      </c>
      <c r="G1201" s="3">
        <v>5.5555976999999999</v>
      </c>
      <c r="H1201" s="3">
        <v>5.6608128999999998</v>
      </c>
      <c r="I1201" s="3">
        <v>5.7267028</v>
      </c>
      <c r="J1201" s="3">
        <v>5.7625162000000003</v>
      </c>
      <c r="K1201" s="3">
        <v>5.7785548999999996</v>
      </c>
      <c r="L1201" s="3">
        <v>5.7823842000000001</v>
      </c>
      <c r="M1201" s="3">
        <v>5.7782855</v>
      </c>
      <c r="N1201" s="3">
        <v>5.7677925999999999</v>
      </c>
      <c r="O1201" s="3">
        <v>5.7507501000000003</v>
      </c>
      <c r="P1201" s="3">
        <v>5.7262063000000003</v>
      </c>
      <c r="Q1201" s="3">
        <v>5.6920935000000004</v>
      </c>
      <c r="R1201" s="3">
        <v>5.6487847000000002</v>
      </c>
      <c r="S1201" s="3">
        <v>5.5975456000000001</v>
      </c>
      <c r="T1201" s="3">
        <v>5.5396410999999999</v>
      </c>
      <c r="U1201" s="3">
        <v>5.4763356999999999</v>
      </c>
      <c r="V1201" s="3">
        <v>5.4088959000000001</v>
      </c>
      <c r="W1201" s="3">
        <v>5.3385467999999996</v>
      </c>
      <c r="X1201" s="3">
        <v>5.2663099999999998</v>
      </c>
      <c r="Y1201" s="3">
        <v>5.1931450999999997</v>
      </c>
      <c r="Z1201" s="3">
        <v>5.1200090999999999</v>
      </c>
      <c r="AA1201" s="3">
        <v>5.0478589999999999</v>
      </c>
      <c r="AB1201" s="3">
        <v>4.9776541999999999</v>
      </c>
      <c r="AC1201" s="3">
        <v>4.9101941</v>
      </c>
      <c r="AD1201" s="3">
        <v>4.8455817000000003</v>
      </c>
      <c r="AE1201" s="3">
        <v>4.7837304999999999</v>
      </c>
      <c r="AF1201" s="3">
        <v>4.7245512999999999</v>
      </c>
      <c r="AG1201" s="3">
        <v>4.6679554000000003</v>
      </c>
      <c r="AH1201" s="3">
        <v>4.6138560000000002</v>
      </c>
      <c r="AI1201" s="3">
        <v>4.5621641000000004</v>
      </c>
      <c r="AJ1201" s="3">
        <v>4.5127908999999997</v>
      </c>
      <c r="AK1201" s="3">
        <v>4.4656494000000002</v>
      </c>
      <c r="AL1201" s="3">
        <v>4.4206509</v>
      </c>
      <c r="AM1201" s="3">
        <v>4.3777065999999998</v>
      </c>
      <c r="AN1201" s="3">
        <v>4.3367294000000003</v>
      </c>
      <c r="AO1201" s="3">
        <v>4.297631</v>
      </c>
      <c r="AP1201" s="3">
        <v>4.2603261999999997</v>
      </c>
      <c r="AQ1201" s="3">
        <v>4.2247313000000002</v>
      </c>
      <c r="AR1201" s="3">
        <v>4.1907616000000001</v>
      </c>
      <c r="AS1201" s="3">
        <v>4.1583322999999996</v>
      </c>
      <c r="AT1201" s="3">
        <v>4.1273600000000004</v>
      </c>
      <c r="AU1201" s="3">
        <v>4.0977598999999998</v>
      </c>
      <c r="AV1201" s="3">
        <v>4.0694471999999999</v>
      </c>
      <c r="AW1201" s="3">
        <v>4.0423384000000002</v>
      </c>
      <c r="AX1201" s="3">
        <v>4.0163488000000003</v>
      </c>
      <c r="AY1201" s="3">
        <v>3.9913937000000002</v>
      </c>
      <c r="AZ1201" s="3">
        <v>3.9673894000000001</v>
      </c>
      <c r="BA1201" s="3">
        <v>3.9442613</v>
      </c>
      <c r="BB1201" s="3">
        <v>3.9219794000000001</v>
      </c>
      <c r="BC1201" s="3">
        <v>3.9005269999999999</v>
      </c>
      <c r="BD1201" s="3">
        <v>3.8798862000000001</v>
      </c>
      <c r="BE1201" s="3">
        <v>3.8600393</v>
      </c>
      <c r="BF1201" s="3">
        <v>3.8409696000000002</v>
      </c>
      <c r="BG1201" s="3">
        <v>3.8226591999999999</v>
      </c>
      <c r="BH1201" s="3">
        <v>3.8050906000000002</v>
      </c>
      <c r="BI1201" s="3">
        <v>3.7882467000000002</v>
      </c>
      <c r="BJ1201" s="3">
        <v>3.7721100000000001</v>
      </c>
      <c r="BK1201" s="3">
        <v>3.7566627000000001</v>
      </c>
      <c r="BL1201" s="3">
        <v>3.7418879</v>
      </c>
      <c r="BM1201" s="3">
        <v>3.6666449999999999</v>
      </c>
      <c r="BN1201" s="3">
        <v>3.6128361</v>
      </c>
    </row>
    <row r="1202" spans="1:66" x14ac:dyDescent="0.35">
      <c r="A1202" s="5">
        <f t="shared" si="18"/>
        <v>45138</v>
      </c>
      <c r="B1202" t="s">
        <v>2611</v>
      </c>
      <c r="C1202" s="2">
        <v>5</v>
      </c>
      <c r="D1202" s="2">
        <v>4.9303999999999997</v>
      </c>
      <c r="E1202" s="3">
        <v>5.2787240999999998</v>
      </c>
      <c r="F1202" s="3">
        <v>5.4346369000000001</v>
      </c>
      <c r="G1202" s="3">
        <v>5.5805059999999997</v>
      </c>
      <c r="H1202" s="3">
        <v>5.6862988000000003</v>
      </c>
      <c r="I1202" s="3">
        <v>5.7502727</v>
      </c>
      <c r="J1202" s="3">
        <v>5.7822240999999996</v>
      </c>
      <c r="K1202" s="3">
        <v>5.7934951999999997</v>
      </c>
      <c r="L1202" s="3">
        <v>5.7936075999999996</v>
      </c>
      <c r="M1202" s="3">
        <v>5.7876718</v>
      </c>
      <c r="N1202" s="3">
        <v>5.7774504000000002</v>
      </c>
      <c r="O1202" s="3">
        <v>5.7624190999999998</v>
      </c>
      <c r="P1202" s="3">
        <v>5.7410024000000002</v>
      </c>
      <c r="Q1202" s="3">
        <v>5.7097914000000003</v>
      </c>
      <c r="R1202" s="3">
        <v>5.6687437999999997</v>
      </c>
      <c r="S1202" s="3">
        <v>5.6189675000000001</v>
      </c>
      <c r="T1202" s="3">
        <v>5.5615686000000002</v>
      </c>
      <c r="U1202" s="3">
        <v>5.4976532999999996</v>
      </c>
      <c r="V1202" s="3">
        <v>5.4283298000000002</v>
      </c>
      <c r="W1202" s="3">
        <v>5.3547221</v>
      </c>
      <c r="X1202" s="3">
        <v>5.2780455999999996</v>
      </c>
      <c r="Y1202" s="3">
        <v>5.1995475000000004</v>
      </c>
      <c r="Z1202" s="3">
        <v>5.1204726999999997</v>
      </c>
      <c r="AA1202" s="3">
        <v>5.0420655999999999</v>
      </c>
      <c r="AB1202" s="3">
        <v>4.9655737999999996</v>
      </c>
      <c r="AC1202" s="3">
        <v>4.8920415000000004</v>
      </c>
      <c r="AD1202" s="3">
        <v>4.8216285000000001</v>
      </c>
      <c r="AE1202" s="3">
        <v>4.7542530999999997</v>
      </c>
      <c r="AF1202" s="3">
        <v>4.6898308000000002</v>
      </c>
      <c r="AG1202" s="3">
        <v>4.6282775999999997</v>
      </c>
      <c r="AH1202" s="3">
        <v>4.5695114999999999</v>
      </c>
      <c r="AI1202" s="3">
        <v>4.5134483000000003</v>
      </c>
      <c r="AJ1202" s="3">
        <v>4.4600039999999996</v>
      </c>
      <c r="AK1202" s="3">
        <v>4.4090961999999996</v>
      </c>
      <c r="AL1202" s="3">
        <v>4.3606410999999996</v>
      </c>
      <c r="AM1202" s="3">
        <v>4.3145544999999998</v>
      </c>
      <c r="AN1202" s="3">
        <v>4.2707541000000004</v>
      </c>
      <c r="AO1202" s="3">
        <v>4.2291533000000001</v>
      </c>
      <c r="AP1202" s="3">
        <v>4.1896528999999996</v>
      </c>
      <c r="AQ1202" s="3">
        <v>4.1521523</v>
      </c>
      <c r="AR1202" s="3">
        <v>4.116549</v>
      </c>
      <c r="AS1202" s="3">
        <v>4.0827410000000004</v>
      </c>
      <c r="AT1202" s="3">
        <v>4.0506270999999998</v>
      </c>
      <c r="AU1202" s="3">
        <v>4.0201051999999997</v>
      </c>
      <c r="AV1202" s="3">
        <v>3.9910730999999999</v>
      </c>
      <c r="AW1202" s="3">
        <v>3.9634296999999998</v>
      </c>
      <c r="AX1202" s="3">
        <v>3.9370729</v>
      </c>
      <c r="AY1202" s="3">
        <v>3.9119004999999998</v>
      </c>
      <c r="AZ1202" s="3">
        <v>3.8878111999999998</v>
      </c>
      <c r="BA1202" s="3">
        <v>3.8647127000000001</v>
      </c>
      <c r="BB1202" s="3">
        <v>3.8425642999999998</v>
      </c>
      <c r="BC1202" s="3">
        <v>3.8213433000000001</v>
      </c>
      <c r="BD1202" s="3">
        <v>3.8010264</v>
      </c>
      <c r="BE1202" s="3">
        <v>3.7815905000000001</v>
      </c>
      <c r="BF1202" s="3">
        <v>3.7630127999999998</v>
      </c>
      <c r="BG1202" s="3">
        <v>3.7452702000000002</v>
      </c>
      <c r="BH1202" s="3">
        <v>3.7283392000000002</v>
      </c>
      <c r="BI1202" s="3">
        <v>3.7121974</v>
      </c>
      <c r="BJ1202" s="3">
        <v>3.6968214000000001</v>
      </c>
      <c r="BK1202" s="3">
        <v>3.682188</v>
      </c>
      <c r="BL1202" s="3">
        <v>3.6682744</v>
      </c>
      <c r="BM1202" s="3">
        <v>3.5988752000000002</v>
      </c>
      <c r="BN1202" s="3">
        <v>3.5511659999999998</v>
      </c>
    </row>
    <row r="1203" spans="1:66" x14ac:dyDescent="0.35">
      <c r="A1203" s="5">
        <f t="shared" si="18"/>
        <v>45139</v>
      </c>
      <c r="B1203" t="s">
        <v>2613</v>
      </c>
      <c r="C1203" s="2">
        <v>5</v>
      </c>
      <c r="D1203" s="2">
        <v>4.9306999999999999</v>
      </c>
      <c r="E1203" s="3">
        <v>5.2912105</v>
      </c>
      <c r="F1203" s="3">
        <v>5.4430037000000002</v>
      </c>
      <c r="G1203" s="3">
        <v>5.5855407000000001</v>
      </c>
      <c r="H1203" s="3">
        <v>5.6936697000000001</v>
      </c>
      <c r="I1203" s="3">
        <v>5.7623182000000002</v>
      </c>
      <c r="J1203" s="3">
        <v>5.8003175999999996</v>
      </c>
      <c r="K1203" s="3">
        <v>5.8186399</v>
      </c>
      <c r="L1203" s="3">
        <v>5.8262837000000003</v>
      </c>
      <c r="M1203" s="3">
        <v>5.8283614000000004</v>
      </c>
      <c r="N1203" s="3">
        <v>5.8265846000000003</v>
      </c>
      <c r="O1203" s="3">
        <v>5.8202550000000004</v>
      </c>
      <c r="P1203" s="3">
        <v>5.8073503999999998</v>
      </c>
      <c r="Q1203" s="3">
        <v>5.7842625999999999</v>
      </c>
      <c r="R1203" s="3">
        <v>5.7508777999999996</v>
      </c>
      <c r="S1203" s="3">
        <v>5.7082215999999999</v>
      </c>
      <c r="T1203" s="3">
        <v>5.6573181000000003</v>
      </c>
      <c r="U1203" s="3">
        <v>5.5991911999999999</v>
      </c>
      <c r="V1203" s="3">
        <v>5.5348670999999996</v>
      </c>
      <c r="W1203" s="3">
        <v>5.4654027999999997</v>
      </c>
      <c r="X1203" s="3">
        <v>5.3920624999999998</v>
      </c>
      <c r="Y1203" s="3">
        <v>5.3161933000000001</v>
      </c>
      <c r="Z1203" s="3">
        <v>5.2391398000000002</v>
      </c>
      <c r="AA1203" s="3">
        <v>5.1622466999999999</v>
      </c>
      <c r="AB1203" s="3">
        <v>5.0868612000000004</v>
      </c>
      <c r="AC1203" s="3">
        <v>5.0141179999999999</v>
      </c>
      <c r="AD1203" s="3">
        <v>4.9442244999999998</v>
      </c>
      <c r="AE1203" s="3">
        <v>4.8771345999999998</v>
      </c>
      <c r="AF1203" s="3">
        <v>4.8128000999999996</v>
      </c>
      <c r="AG1203" s="3">
        <v>4.7511723999999997</v>
      </c>
      <c r="AH1203" s="3">
        <v>4.6922056000000003</v>
      </c>
      <c r="AI1203" s="3">
        <v>4.6358512999999997</v>
      </c>
      <c r="AJ1203" s="3">
        <v>4.5820612000000001</v>
      </c>
      <c r="AK1203" s="3">
        <v>4.5307890000000004</v>
      </c>
      <c r="AL1203" s="3">
        <v>4.4819864999999997</v>
      </c>
      <c r="AM1203" s="3">
        <v>4.4356055999999997</v>
      </c>
      <c r="AN1203" s="3">
        <v>4.3915996000000002</v>
      </c>
      <c r="AO1203" s="3">
        <v>4.3499124</v>
      </c>
      <c r="AP1203" s="3">
        <v>4.3104434999999999</v>
      </c>
      <c r="AQ1203" s="3">
        <v>4.2730793</v>
      </c>
      <c r="AR1203" s="3">
        <v>4.2377048000000004</v>
      </c>
      <c r="AS1203" s="3">
        <v>4.2042048999999997</v>
      </c>
      <c r="AT1203" s="3">
        <v>4.1724657000000001</v>
      </c>
      <c r="AU1203" s="3">
        <v>4.1423724000000002</v>
      </c>
      <c r="AV1203" s="3">
        <v>4.1138098000000003</v>
      </c>
      <c r="AW1203" s="3">
        <v>4.0866641000000001</v>
      </c>
      <c r="AX1203" s="3">
        <v>4.0608202999999996</v>
      </c>
      <c r="AY1203" s="3">
        <v>4.0361634000000004</v>
      </c>
      <c r="AZ1203" s="3">
        <v>4.0125795999999996</v>
      </c>
      <c r="BA1203" s="3">
        <v>3.9899656999999999</v>
      </c>
      <c r="BB1203" s="3">
        <v>3.9682773</v>
      </c>
      <c r="BC1203" s="3">
        <v>3.9474882</v>
      </c>
      <c r="BD1203" s="3">
        <v>3.9275717000000001</v>
      </c>
      <c r="BE1203" s="3">
        <v>3.9085008000000001</v>
      </c>
      <c r="BF1203" s="3">
        <v>3.8902496000000002</v>
      </c>
      <c r="BG1203" s="3">
        <v>3.8727912</v>
      </c>
      <c r="BH1203" s="3">
        <v>3.8560987999999998</v>
      </c>
      <c r="BI1203" s="3">
        <v>3.8401462</v>
      </c>
      <c r="BJ1203" s="3">
        <v>3.8249067000000001</v>
      </c>
      <c r="BK1203" s="3">
        <v>3.8103535000000002</v>
      </c>
      <c r="BL1203" s="3">
        <v>3.7964604</v>
      </c>
      <c r="BM1203" s="3">
        <v>3.7259777999999999</v>
      </c>
      <c r="BN1203" s="3">
        <v>3.6756597000000002</v>
      </c>
    </row>
    <row r="1204" spans="1:66" x14ac:dyDescent="0.35">
      <c r="A1204" s="5">
        <f t="shared" si="18"/>
        <v>45140</v>
      </c>
      <c r="B1204" t="s">
        <v>2614</v>
      </c>
      <c r="C1204" s="2">
        <v>5</v>
      </c>
      <c r="D1204" s="2">
        <v>4.9303999999999997</v>
      </c>
      <c r="E1204" s="3">
        <v>5.2779104999999999</v>
      </c>
      <c r="F1204" s="3">
        <v>5.4236111999999999</v>
      </c>
      <c r="G1204" s="3">
        <v>5.5551743</v>
      </c>
      <c r="H1204" s="3">
        <v>5.6503898000000001</v>
      </c>
      <c r="I1204" s="3">
        <v>5.7056193999999998</v>
      </c>
      <c r="J1204" s="3">
        <v>5.7322044999999999</v>
      </c>
      <c r="K1204" s="3">
        <v>5.7414274000000001</v>
      </c>
      <c r="L1204" s="3">
        <v>5.7416893</v>
      </c>
      <c r="M1204" s="3">
        <v>5.7373957999999998</v>
      </c>
      <c r="N1204" s="3">
        <v>5.7297080999999999</v>
      </c>
      <c r="O1204" s="3">
        <v>5.7177126999999999</v>
      </c>
      <c r="P1204" s="3">
        <v>5.6994856</v>
      </c>
      <c r="Q1204" s="3">
        <v>5.6716338999999998</v>
      </c>
      <c r="R1204" s="3">
        <v>5.6340950999999997</v>
      </c>
      <c r="S1204" s="3">
        <v>5.5878952999999996</v>
      </c>
      <c r="T1204" s="3">
        <v>5.5340597000000002</v>
      </c>
      <c r="U1204" s="3">
        <v>5.4736130999999997</v>
      </c>
      <c r="V1204" s="3">
        <v>5.4075822000000002</v>
      </c>
      <c r="W1204" s="3">
        <v>5.3370316000000004</v>
      </c>
      <c r="X1204" s="3">
        <v>5.2632500000000002</v>
      </c>
      <c r="Y1204" s="3">
        <v>5.1876081000000003</v>
      </c>
      <c r="Z1204" s="3">
        <v>5.1114737999999997</v>
      </c>
      <c r="AA1204" s="3">
        <v>5.0362149</v>
      </c>
      <c r="AB1204" s="3">
        <v>4.9632021999999996</v>
      </c>
      <c r="AC1204" s="3">
        <v>4.8936193000000001</v>
      </c>
      <c r="AD1204" s="3">
        <v>4.8276573999999997</v>
      </c>
      <c r="AE1204" s="3">
        <v>4.7651773999999998</v>
      </c>
      <c r="AF1204" s="3">
        <v>4.7060374999999999</v>
      </c>
      <c r="AG1204" s="3">
        <v>4.6500962000000001</v>
      </c>
      <c r="AH1204" s="3">
        <v>4.5972138999999999</v>
      </c>
      <c r="AI1204" s="3">
        <v>4.5472488999999996</v>
      </c>
      <c r="AJ1204" s="3">
        <v>4.5000597999999998</v>
      </c>
      <c r="AK1204" s="3">
        <v>4.4555066999999999</v>
      </c>
      <c r="AL1204" s="3">
        <v>4.4134482000000004</v>
      </c>
      <c r="AM1204" s="3">
        <v>4.3737428999999999</v>
      </c>
      <c r="AN1204" s="3">
        <v>4.3362506999999999</v>
      </c>
      <c r="AO1204" s="3">
        <v>4.3008331000000002</v>
      </c>
      <c r="AP1204" s="3">
        <v>4.2673658000000003</v>
      </c>
      <c r="AQ1204" s="3">
        <v>4.2357300000000002</v>
      </c>
      <c r="AR1204" s="3">
        <v>4.2058055000000003</v>
      </c>
      <c r="AS1204" s="3">
        <v>4.1774724000000001</v>
      </c>
      <c r="AT1204" s="3">
        <v>4.1506116999999998</v>
      </c>
      <c r="AU1204" s="3">
        <v>4.1251034000000004</v>
      </c>
      <c r="AV1204" s="3">
        <v>4.1008275000000003</v>
      </c>
      <c r="AW1204" s="3">
        <v>4.0776649999999997</v>
      </c>
      <c r="AX1204" s="3">
        <v>4.0554959999999998</v>
      </c>
      <c r="AY1204" s="3">
        <v>4.0342003999999996</v>
      </c>
      <c r="AZ1204" s="3">
        <v>4.0136592000000002</v>
      </c>
      <c r="BA1204" s="3">
        <v>3.9937697000000001</v>
      </c>
      <c r="BB1204" s="3">
        <v>3.9745046999999998</v>
      </c>
      <c r="BC1204" s="3">
        <v>3.9558589</v>
      </c>
      <c r="BD1204" s="3">
        <v>3.9378261999999999</v>
      </c>
      <c r="BE1204" s="3">
        <v>3.9204005999999998</v>
      </c>
      <c r="BF1204" s="3">
        <v>3.9035764999999998</v>
      </c>
      <c r="BG1204" s="3">
        <v>3.8873479</v>
      </c>
      <c r="BH1204" s="3">
        <v>3.8717088</v>
      </c>
      <c r="BI1204" s="3">
        <v>3.8566536</v>
      </c>
      <c r="BJ1204" s="3">
        <v>3.8421763000000002</v>
      </c>
      <c r="BK1204" s="3">
        <v>3.8282707999999999</v>
      </c>
      <c r="BL1204" s="3">
        <v>3.8149316999999998</v>
      </c>
      <c r="BM1204" s="3">
        <v>3.7464613999999998</v>
      </c>
      <c r="BN1204" s="3">
        <v>3.6969197</v>
      </c>
    </row>
    <row r="1205" spans="1:66" x14ac:dyDescent="0.35">
      <c r="A1205" s="5">
        <f t="shared" si="18"/>
        <v>45141</v>
      </c>
      <c r="B1205" t="s">
        <v>2615</v>
      </c>
      <c r="C1205" s="2">
        <v>5.25</v>
      </c>
      <c r="D1205" s="2">
        <v>5.1822999999999997</v>
      </c>
      <c r="E1205" s="3">
        <v>5.2072286999999999</v>
      </c>
      <c r="F1205" s="3">
        <v>5.3390152999999998</v>
      </c>
      <c r="G1205" s="3">
        <v>5.4660133999999996</v>
      </c>
      <c r="H1205" s="3">
        <v>5.5686334999999998</v>
      </c>
      <c r="I1205" s="3">
        <v>5.6389130999999999</v>
      </c>
      <c r="J1205" s="3">
        <v>5.6810305999999997</v>
      </c>
      <c r="K1205" s="3">
        <v>5.7020849</v>
      </c>
      <c r="L1205" s="3">
        <v>5.7076982000000003</v>
      </c>
      <c r="M1205" s="3">
        <v>5.7024356999999997</v>
      </c>
      <c r="N1205" s="3">
        <v>5.6889681999999997</v>
      </c>
      <c r="O1205" s="3">
        <v>5.6680811999999996</v>
      </c>
      <c r="P1205" s="3">
        <v>5.6398124000000003</v>
      </c>
      <c r="Q1205" s="3">
        <v>5.6032326000000001</v>
      </c>
      <c r="R1205" s="3">
        <v>5.5588844999999996</v>
      </c>
      <c r="S1205" s="3">
        <v>5.5079187000000003</v>
      </c>
      <c r="T1205" s="3">
        <v>5.4514845999999997</v>
      </c>
      <c r="U1205" s="3">
        <v>5.3907312000000003</v>
      </c>
      <c r="V1205" s="3">
        <v>5.3268098999999998</v>
      </c>
      <c r="W1205" s="3">
        <v>5.2608328999999996</v>
      </c>
      <c r="X1205" s="3">
        <v>5.1937229</v>
      </c>
      <c r="Y1205" s="3">
        <v>5.1263445000000001</v>
      </c>
      <c r="Z1205" s="3">
        <v>5.0595600999999997</v>
      </c>
      <c r="AA1205" s="3">
        <v>4.9942317000000003</v>
      </c>
      <c r="AB1205" s="3">
        <v>4.9312239</v>
      </c>
      <c r="AC1205" s="3">
        <v>4.8712631000000002</v>
      </c>
      <c r="AD1205" s="3">
        <v>4.8144124000000001</v>
      </c>
      <c r="AE1205" s="3">
        <v>4.7605357000000001</v>
      </c>
      <c r="AF1205" s="3">
        <v>4.7094943999999996</v>
      </c>
      <c r="AG1205" s="3">
        <v>4.6611501999999998</v>
      </c>
      <c r="AH1205" s="3">
        <v>4.6153665999999998</v>
      </c>
      <c r="AI1205" s="3">
        <v>4.5720052999999998</v>
      </c>
      <c r="AJ1205" s="3">
        <v>4.5309280000000003</v>
      </c>
      <c r="AK1205" s="3">
        <v>4.4919979000000003</v>
      </c>
      <c r="AL1205" s="3">
        <v>4.4550768999999999</v>
      </c>
      <c r="AM1205" s="3">
        <v>4.4200267999999996</v>
      </c>
      <c r="AN1205" s="3">
        <v>4.3867105999999998</v>
      </c>
      <c r="AO1205" s="3">
        <v>4.3549986000000001</v>
      </c>
      <c r="AP1205" s="3">
        <v>4.3247977999999998</v>
      </c>
      <c r="AQ1205" s="3">
        <v>4.2960266000000003</v>
      </c>
      <c r="AR1205" s="3">
        <v>4.2686019999999996</v>
      </c>
      <c r="AS1205" s="3">
        <v>4.2424413999999997</v>
      </c>
      <c r="AT1205" s="3">
        <v>4.2174630999999998</v>
      </c>
      <c r="AU1205" s="3">
        <v>4.1935840999999998</v>
      </c>
      <c r="AV1205" s="3">
        <v>4.1707219000000002</v>
      </c>
      <c r="AW1205" s="3">
        <v>4.1487946000000004</v>
      </c>
      <c r="AX1205" s="3">
        <v>4.1277195000000004</v>
      </c>
      <c r="AY1205" s="3">
        <v>4.1074139000000001</v>
      </c>
      <c r="AZ1205" s="3">
        <v>4.0877958000000003</v>
      </c>
      <c r="BA1205" s="3">
        <v>4.0687948</v>
      </c>
      <c r="BB1205" s="3">
        <v>4.0503932999999996</v>
      </c>
      <c r="BC1205" s="3">
        <v>4.0325895000000003</v>
      </c>
      <c r="BD1205" s="3">
        <v>4.0153806999999997</v>
      </c>
      <c r="BE1205" s="3">
        <v>3.9987642000000001</v>
      </c>
      <c r="BF1205" s="3">
        <v>3.9827381000000002</v>
      </c>
      <c r="BG1205" s="3">
        <v>3.9672998000000002</v>
      </c>
      <c r="BH1205" s="3">
        <v>3.9524465000000002</v>
      </c>
      <c r="BI1205" s="3">
        <v>3.9381762999999999</v>
      </c>
      <c r="BJ1205" s="3">
        <v>3.9244865999999998</v>
      </c>
      <c r="BK1205" s="3">
        <v>3.9113747000000001</v>
      </c>
      <c r="BL1205" s="3">
        <v>3.8988385999999999</v>
      </c>
      <c r="BM1205" s="3">
        <v>3.8354628000000002</v>
      </c>
      <c r="BN1205" s="3">
        <v>3.7915184000000002</v>
      </c>
    </row>
    <row r="1206" spans="1:66" x14ac:dyDescent="0.35">
      <c r="A1206" s="5">
        <f t="shared" si="18"/>
        <v>45142</v>
      </c>
      <c r="B1206" t="s">
        <v>2617</v>
      </c>
      <c r="C1206" s="2">
        <v>5.25</v>
      </c>
      <c r="D1206" s="2">
        <v>5.1825999999999999</v>
      </c>
      <c r="E1206" s="3">
        <v>5.2062993000000004</v>
      </c>
      <c r="F1206" s="3">
        <v>5.3368194999999998</v>
      </c>
      <c r="G1206" s="3">
        <v>5.4611052000000004</v>
      </c>
      <c r="H1206" s="3">
        <v>5.5629825000000004</v>
      </c>
      <c r="I1206" s="3">
        <v>5.6361599</v>
      </c>
      <c r="J1206" s="3">
        <v>5.6835329999999997</v>
      </c>
      <c r="K1206" s="3">
        <v>5.7107713999999996</v>
      </c>
      <c r="L1206" s="3">
        <v>5.7228940000000001</v>
      </c>
      <c r="M1206" s="3">
        <v>5.7238603000000001</v>
      </c>
      <c r="N1206" s="3">
        <v>5.7157606000000003</v>
      </c>
      <c r="O1206" s="3">
        <v>5.6996982999999997</v>
      </c>
      <c r="P1206" s="3">
        <v>5.6756713999999997</v>
      </c>
      <c r="Q1206" s="3">
        <v>5.6421412000000002</v>
      </c>
      <c r="R1206" s="3">
        <v>5.5995945000000003</v>
      </c>
      <c r="S1206" s="3">
        <v>5.5492884</v>
      </c>
      <c r="T1206" s="3">
        <v>5.4924789000000001</v>
      </c>
      <c r="U1206" s="3">
        <v>5.4304214999999996</v>
      </c>
      <c r="V1206" s="3">
        <v>5.3643739999999998</v>
      </c>
      <c r="W1206" s="3">
        <v>5.2955550000000002</v>
      </c>
      <c r="X1206" s="3">
        <v>5.2249930000000004</v>
      </c>
      <c r="Y1206" s="3">
        <v>5.1536586</v>
      </c>
      <c r="Z1206" s="3">
        <v>5.0825198</v>
      </c>
      <c r="AA1206" s="3">
        <v>5.0125446</v>
      </c>
      <c r="AB1206" s="3">
        <v>4.9447035000000001</v>
      </c>
      <c r="AC1206" s="3">
        <v>4.8798010999999999</v>
      </c>
      <c r="AD1206" s="3">
        <v>4.8179217999999997</v>
      </c>
      <c r="AE1206" s="3">
        <v>4.758953</v>
      </c>
      <c r="AF1206" s="3">
        <v>4.7027802000000003</v>
      </c>
      <c r="AG1206" s="3">
        <v>4.6492887999999999</v>
      </c>
      <c r="AH1206" s="3">
        <v>4.5983662000000001</v>
      </c>
      <c r="AI1206" s="3">
        <v>4.5498978000000001</v>
      </c>
      <c r="AJ1206" s="3">
        <v>4.5037691999999998</v>
      </c>
      <c r="AK1206" s="3">
        <v>4.4598675999999999</v>
      </c>
      <c r="AL1206" s="3">
        <v>4.4180786000000003</v>
      </c>
      <c r="AM1206" s="3">
        <v>4.3782877999999998</v>
      </c>
      <c r="AN1206" s="3">
        <v>4.3403821999999996</v>
      </c>
      <c r="AO1206" s="3">
        <v>4.3042518999999997</v>
      </c>
      <c r="AP1206" s="3">
        <v>4.2698065999999999</v>
      </c>
      <c r="AQ1206" s="3">
        <v>4.2369624999999997</v>
      </c>
      <c r="AR1206" s="3">
        <v>4.2056347000000001</v>
      </c>
      <c r="AS1206" s="3">
        <v>4.1757382999999999</v>
      </c>
      <c r="AT1206" s="3">
        <v>4.1471894999999996</v>
      </c>
      <c r="AU1206" s="3">
        <v>4.1199034000000001</v>
      </c>
      <c r="AV1206" s="3">
        <v>4.0937951000000004</v>
      </c>
      <c r="AW1206" s="3">
        <v>4.0687809000000001</v>
      </c>
      <c r="AX1206" s="3">
        <v>4.0447756999999998</v>
      </c>
      <c r="AY1206" s="3">
        <v>4.0216947999999997</v>
      </c>
      <c r="AZ1206" s="3">
        <v>3.9994542000000002</v>
      </c>
      <c r="BA1206" s="3">
        <v>3.9779806</v>
      </c>
      <c r="BB1206" s="3">
        <v>3.9572512</v>
      </c>
      <c r="BC1206" s="3">
        <v>3.9372577</v>
      </c>
      <c r="BD1206" s="3">
        <v>3.9179914999999998</v>
      </c>
      <c r="BE1206" s="3">
        <v>3.8994436000000001</v>
      </c>
      <c r="BF1206" s="3">
        <v>3.8816058999999998</v>
      </c>
      <c r="BG1206" s="3">
        <v>3.8644696000000001</v>
      </c>
      <c r="BH1206" s="3">
        <v>3.8480257999999998</v>
      </c>
      <c r="BI1206" s="3">
        <v>3.8322663000000001</v>
      </c>
      <c r="BJ1206" s="3">
        <v>3.8171824000000001</v>
      </c>
      <c r="BK1206" s="3">
        <v>3.8027652000000001</v>
      </c>
      <c r="BL1206" s="3">
        <v>3.7890063999999999</v>
      </c>
      <c r="BM1206" s="3">
        <v>3.7198376999999998</v>
      </c>
      <c r="BN1206" s="3">
        <v>3.6724543000000001</v>
      </c>
    </row>
    <row r="1207" spans="1:66" x14ac:dyDescent="0.35">
      <c r="A1207" s="5">
        <f t="shared" si="18"/>
        <v>45145</v>
      </c>
      <c r="B1207" t="s">
        <v>2618</v>
      </c>
      <c r="C1207" s="2">
        <v>5.25</v>
      </c>
      <c r="D1207" s="2">
        <v>5.1829000000000001</v>
      </c>
      <c r="E1207" s="3">
        <v>5.2197453999999999</v>
      </c>
      <c r="F1207" s="3">
        <v>5.3573918000000003</v>
      </c>
      <c r="G1207" s="3">
        <v>5.4807389999999998</v>
      </c>
      <c r="H1207" s="3">
        <v>5.5769212000000001</v>
      </c>
      <c r="I1207" s="3">
        <v>5.6426957</v>
      </c>
      <c r="J1207" s="3">
        <v>5.6831142999999997</v>
      </c>
      <c r="K1207" s="3">
        <v>5.7053503000000001</v>
      </c>
      <c r="L1207" s="3">
        <v>5.7157954000000002</v>
      </c>
      <c r="M1207" s="3">
        <v>5.7183098000000001</v>
      </c>
      <c r="N1207" s="3">
        <v>5.7145548000000002</v>
      </c>
      <c r="O1207" s="3">
        <v>5.7041558999999999</v>
      </c>
      <c r="P1207" s="3">
        <v>5.6860815000000002</v>
      </c>
      <c r="Q1207" s="3">
        <v>5.6579908000000003</v>
      </c>
      <c r="R1207" s="3">
        <v>5.6202728000000004</v>
      </c>
      <c r="S1207" s="3">
        <v>5.5742409000000004</v>
      </c>
      <c r="T1207" s="3">
        <v>5.5212067999999999</v>
      </c>
      <c r="U1207" s="3">
        <v>5.4624822999999996</v>
      </c>
      <c r="V1207" s="3">
        <v>5.3993811000000003</v>
      </c>
      <c r="W1207" s="3">
        <v>5.3331743999999999</v>
      </c>
      <c r="X1207" s="3">
        <v>5.2649264999999996</v>
      </c>
      <c r="Y1207" s="3">
        <v>5.1956378000000001</v>
      </c>
      <c r="Z1207" s="3">
        <v>5.1263063999999998</v>
      </c>
      <c r="AA1207" s="3">
        <v>5.0579304</v>
      </c>
      <c r="AB1207" s="3">
        <v>4.9915102999999998</v>
      </c>
      <c r="AC1207" s="3">
        <v>4.9278786999999999</v>
      </c>
      <c r="AD1207" s="3">
        <v>4.8671376000000004</v>
      </c>
      <c r="AE1207" s="3">
        <v>4.8091900000000001</v>
      </c>
      <c r="AF1207" s="3">
        <v>4.7539362000000001</v>
      </c>
      <c r="AG1207" s="3">
        <v>4.7012768999999999</v>
      </c>
      <c r="AH1207" s="3">
        <v>4.6511148000000002</v>
      </c>
      <c r="AI1207" s="3">
        <v>4.6033504000000001</v>
      </c>
      <c r="AJ1207" s="3">
        <v>4.5578845000000001</v>
      </c>
      <c r="AK1207" s="3">
        <v>4.5146195000000002</v>
      </c>
      <c r="AL1207" s="3">
        <v>4.4734560999999999</v>
      </c>
      <c r="AM1207" s="3">
        <v>4.4342950999999999</v>
      </c>
      <c r="AN1207" s="3">
        <v>4.3970387000000004</v>
      </c>
      <c r="AO1207" s="3">
        <v>4.3615905000000001</v>
      </c>
      <c r="AP1207" s="3">
        <v>4.3278656</v>
      </c>
      <c r="AQ1207" s="3">
        <v>4.2957836</v>
      </c>
      <c r="AR1207" s="3">
        <v>4.2652628999999997</v>
      </c>
      <c r="AS1207" s="3">
        <v>4.2362221</v>
      </c>
      <c r="AT1207" s="3">
        <v>4.2085806999999997</v>
      </c>
      <c r="AU1207" s="3">
        <v>4.1822571000000002</v>
      </c>
      <c r="AV1207" s="3">
        <v>4.1571699000000004</v>
      </c>
      <c r="AW1207" s="3">
        <v>4.1332385</v>
      </c>
      <c r="AX1207" s="3">
        <v>4.1103813999999996</v>
      </c>
      <c r="AY1207" s="3">
        <v>4.0885172000000001</v>
      </c>
      <c r="AZ1207" s="3">
        <v>4.0675651999999998</v>
      </c>
      <c r="BA1207" s="3">
        <v>4.0474519000000004</v>
      </c>
      <c r="BB1207" s="3">
        <v>4.0281456999999996</v>
      </c>
      <c r="BC1207" s="3">
        <v>4.0096299999999996</v>
      </c>
      <c r="BD1207" s="3">
        <v>3.9918876000000001</v>
      </c>
      <c r="BE1207" s="3">
        <v>3.974901</v>
      </c>
      <c r="BF1207" s="3">
        <v>3.9586535999999999</v>
      </c>
      <c r="BG1207" s="3">
        <v>3.9431281</v>
      </c>
      <c r="BH1207" s="3">
        <v>3.9283071999999999</v>
      </c>
      <c r="BI1207" s="3">
        <v>3.9141742000000002</v>
      </c>
      <c r="BJ1207" s="3">
        <v>3.9007117999999998</v>
      </c>
      <c r="BK1207" s="3">
        <v>3.8879027000000002</v>
      </c>
      <c r="BL1207" s="3">
        <v>3.8757302999999999</v>
      </c>
      <c r="BM1207" s="3">
        <v>3.8152556999999998</v>
      </c>
      <c r="BN1207" s="3">
        <v>3.7743253999999999</v>
      </c>
    </row>
    <row r="1208" spans="1:66" x14ac:dyDescent="0.35">
      <c r="A1208" s="5">
        <f t="shared" si="18"/>
        <v>45146</v>
      </c>
      <c r="B1208" t="s">
        <v>2619</v>
      </c>
      <c r="C1208" s="2">
        <v>5.25</v>
      </c>
      <c r="D1208" s="2">
        <v>5.1829000000000001</v>
      </c>
      <c r="E1208" s="3">
        <v>5.2205982999999998</v>
      </c>
      <c r="F1208" s="3">
        <v>5.3563910000000003</v>
      </c>
      <c r="G1208" s="3">
        <v>5.4776834000000001</v>
      </c>
      <c r="H1208" s="3">
        <v>5.5728105000000001</v>
      </c>
      <c r="I1208" s="3">
        <v>5.6379479000000003</v>
      </c>
      <c r="J1208" s="3">
        <v>5.6771805999999998</v>
      </c>
      <c r="K1208" s="3">
        <v>5.6969466999999998</v>
      </c>
      <c r="L1208" s="3">
        <v>5.7035413999999998</v>
      </c>
      <c r="M1208" s="3">
        <v>5.7015587999999999</v>
      </c>
      <c r="N1208" s="3">
        <v>5.6934809</v>
      </c>
      <c r="O1208" s="3">
        <v>5.6797934000000003</v>
      </c>
      <c r="P1208" s="3">
        <v>5.6595975999999997</v>
      </c>
      <c r="Q1208" s="3">
        <v>5.6305380999999999</v>
      </c>
      <c r="R1208" s="3">
        <v>5.5928038000000004</v>
      </c>
      <c r="S1208" s="3">
        <v>5.5474290000000002</v>
      </c>
      <c r="T1208" s="3">
        <v>5.4954472000000001</v>
      </c>
      <c r="U1208" s="3">
        <v>5.4378909999999996</v>
      </c>
      <c r="V1208" s="3">
        <v>5.3757957000000003</v>
      </c>
      <c r="W1208" s="3">
        <v>5.3101966999999997</v>
      </c>
      <c r="X1208" s="3">
        <v>5.2421451000000001</v>
      </c>
      <c r="Y1208" s="3">
        <v>5.1727008000000003</v>
      </c>
      <c r="Z1208" s="3">
        <v>5.1029210999999997</v>
      </c>
      <c r="AA1208" s="3">
        <v>5.0338634000000004</v>
      </c>
      <c r="AB1208" s="3">
        <v>4.9665875000000002</v>
      </c>
      <c r="AC1208" s="3">
        <v>4.9019791000000001</v>
      </c>
      <c r="AD1208" s="3">
        <v>4.8401661999999996</v>
      </c>
      <c r="AE1208" s="3">
        <v>4.7810701</v>
      </c>
      <c r="AF1208" s="3">
        <v>4.7246097000000002</v>
      </c>
      <c r="AG1208" s="3">
        <v>4.6707041</v>
      </c>
      <c r="AH1208" s="3">
        <v>4.6192742999999998</v>
      </c>
      <c r="AI1208" s="3">
        <v>4.5702394000000002</v>
      </c>
      <c r="AJ1208" s="3">
        <v>4.5235184999999998</v>
      </c>
      <c r="AK1208" s="3">
        <v>4.4790324999999998</v>
      </c>
      <c r="AL1208" s="3">
        <v>4.4367004999999997</v>
      </c>
      <c r="AM1208" s="3">
        <v>4.3964419000000001</v>
      </c>
      <c r="AN1208" s="3">
        <v>4.3581772000000001</v>
      </c>
      <c r="AO1208" s="3">
        <v>4.3218240000000003</v>
      </c>
      <c r="AP1208" s="3">
        <v>4.2872905000000001</v>
      </c>
      <c r="AQ1208" s="3">
        <v>4.2544833999999998</v>
      </c>
      <c r="AR1208" s="3">
        <v>4.2233077000000003</v>
      </c>
      <c r="AS1208" s="3">
        <v>4.1936686999999999</v>
      </c>
      <c r="AT1208" s="3">
        <v>4.1654726999999996</v>
      </c>
      <c r="AU1208" s="3">
        <v>4.1386250000000002</v>
      </c>
      <c r="AV1208" s="3">
        <v>4.1130310000000003</v>
      </c>
      <c r="AW1208" s="3">
        <v>4.0885968000000004</v>
      </c>
      <c r="AX1208" s="3">
        <v>4.0652277999999997</v>
      </c>
      <c r="AY1208" s="3">
        <v>4.0428293000000002</v>
      </c>
      <c r="AZ1208" s="3">
        <v>4.0213074999999998</v>
      </c>
      <c r="BA1208" s="3">
        <v>4.0005784999999996</v>
      </c>
      <c r="BB1208" s="3">
        <v>3.9806108</v>
      </c>
      <c r="BC1208" s="3">
        <v>3.9613898999999999</v>
      </c>
      <c r="BD1208" s="3">
        <v>3.9429002999999998</v>
      </c>
      <c r="BE1208" s="3">
        <v>3.9251266999999999</v>
      </c>
      <c r="BF1208" s="3">
        <v>3.9080542</v>
      </c>
      <c r="BG1208" s="3">
        <v>3.8916675000000001</v>
      </c>
      <c r="BH1208" s="3">
        <v>3.8759511999999998</v>
      </c>
      <c r="BI1208" s="3">
        <v>3.8608907000000001</v>
      </c>
      <c r="BJ1208" s="3">
        <v>3.8464703999999998</v>
      </c>
      <c r="BK1208" s="3">
        <v>3.8326750000000001</v>
      </c>
      <c r="BL1208" s="3">
        <v>3.8194897999999999</v>
      </c>
      <c r="BM1208" s="3">
        <v>3.7525556999999998</v>
      </c>
      <c r="BN1208" s="3">
        <v>3.7050923999999998</v>
      </c>
    </row>
    <row r="1209" spans="1:66" x14ac:dyDescent="0.35">
      <c r="A1209" s="5">
        <f t="shared" si="18"/>
        <v>45147</v>
      </c>
      <c r="B1209" t="s">
        <v>2620</v>
      </c>
      <c r="C1209" s="2">
        <v>5.25</v>
      </c>
      <c r="D1209" s="2">
        <v>5.1826999999999996</v>
      </c>
      <c r="E1209" s="3">
        <v>5.2219224000000004</v>
      </c>
      <c r="F1209" s="3">
        <v>5.3591106000000002</v>
      </c>
      <c r="G1209" s="3">
        <v>5.4780727999999996</v>
      </c>
      <c r="H1209" s="3">
        <v>5.5694578000000003</v>
      </c>
      <c r="I1209" s="3">
        <v>5.6305781000000001</v>
      </c>
      <c r="J1209" s="3">
        <v>5.6664194999999999</v>
      </c>
      <c r="K1209" s="3">
        <v>5.6829888999999998</v>
      </c>
      <c r="L1209" s="3">
        <v>5.6860401999999999</v>
      </c>
      <c r="M1209" s="3">
        <v>5.6796803000000002</v>
      </c>
      <c r="N1209" s="3">
        <v>5.6662762000000004</v>
      </c>
      <c r="O1209" s="3">
        <v>5.6465158999999998</v>
      </c>
      <c r="P1209" s="3">
        <v>5.6200855000000001</v>
      </c>
      <c r="Q1209" s="3">
        <v>5.5857505999999999</v>
      </c>
      <c r="R1209" s="3">
        <v>5.5438801</v>
      </c>
      <c r="S1209" s="3">
        <v>5.4953766000000002</v>
      </c>
      <c r="T1209" s="3">
        <v>5.4411414000000002</v>
      </c>
      <c r="U1209" s="3">
        <v>5.3820755</v>
      </c>
      <c r="V1209" s="3">
        <v>5.3190821000000001</v>
      </c>
      <c r="W1209" s="3">
        <v>5.2530782</v>
      </c>
      <c r="X1209" s="3">
        <v>5.1850724000000001</v>
      </c>
      <c r="Y1209" s="3">
        <v>5.1161073000000004</v>
      </c>
      <c r="Z1209" s="3">
        <v>5.0472237</v>
      </c>
      <c r="AA1209" s="3">
        <v>4.9794619000000004</v>
      </c>
      <c r="AB1209" s="3">
        <v>4.9138649000000001</v>
      </c>
      <c r="AC1209" s="3">
        <v>4.8513291000000001</v>
      </c>
      <c r="AD1209" s="3">
        <v>4.7919748999999996</v>
      </c>
      <c r="AE1209" s="3">
        <v>4.7356645000000004</v>
      </c>
      <c r="AF1209" s="3">
        <v>4.682258</v>
      </c>
      <c r="AG1209" s="3">
        <v>4.6316154000000003</v>
      </c>
      <c r="AH1209" s="3">
        <v>4.5835986999999996</v>
      </c>
      <c r="AI1209" s="3">
        <v>4.5380678999999997</v>
      </c>
      <c r="AJ1209" s="3">
        <v>4.4948832000000003</v>
      </c>
      <c r="AK1209" s="3">
        <v>4.4539064000000002</v>
      </c>
      <c r="AL1209" s="3">
        <v>4.4149976999999998</v>
      </c>
      <c r="AM1209" s="3">
        <v>4.3780172000000004</v>
      </c>
      <c r="AN1209" s="3">
        <v>4.3428266999999998</v>
      </c>
      <c r="AO1209" s="3">
        <v>4.3092931999999999</v>
      </c>
      <c r="AP1209" s="3">
        <v>4.2773181999999998</v>
      </c>
      <c r="AQ1209" s="3">
        <v>4.2468142999999996</v>
      </c>
      <c r="AR1209" s="3">
        <v>4.2176931</v>
      </c>
      <c r="AS1209" s="3">
        <v>4.1898663999999997</v>
      </c>
      <c r="AT1209" s="3">
        <v>4.1632468999999999</v>
      </c>
      <c r="AU1209" s="3">
        <v>4.1377461000000002</v>
      </c>
      <c r="AV1209" s="3">
        <v>4.1132758000000003</v>
      </c>
      <c r="AW1209" s="3">
        <v>4.0897486000000001</v>
      </c>
      <c r="AX1209" s="3">
        <v>4.0670761000000004</v>
      </c>
      <c r="AY1209" s="3">
        <v>4.0451702999999997</v>
      </c>
      <c r="AZ1209" s="3">
        <v>4.0239434000000003</v>
      </c>
      <c r="BA1209" s="3">
        <v>4.0033209000000003</v>
      </c>
      <c r="BB1209" s="3">
        <v>3.9832876000000002</v>
      </c>
      <c r="BC1209" s="3">
        <v>3.9638458000000001</v>
      </c>
      <c r="BD1209" s="3">
        <v>3.9449968000000002</v>
      </c>
      <c r="BE1209" s="3">
        <v>3.9267420999999998</v>
      </c>
      <c r="BF1209" s="3">
        <v>3.9090839000000002</v>
      </c>
      <c r="BG1209" s="3">
        <v>3.8920233999999998</v>
      </c>
      <c r="BH1209" s="3">
        <v>3.8755622999999999</v>
      </c>
      <c r="BI1209" s="3">
        <v>3.8597025999999999</v>
      </c>
      <c r="BJ1209" s="3">
        <v>3.8444457000000001</v>
      </c>
      <c r="BK1209" s="3">
        <v>3.8297930999999998</v>
      </c>
      <c r="BL1209" s="3">
        <v>3.8157469000000002</v>
      </c>
      <c r="BM1209" s="3">
        <v>3.7439838000000001</v>
      </c>
      <c r="BN1209" s="3">
        <v>3.6925699000000001</v>
      </c>
    </row>
    <row r="1210" spans="1:66" x14ac:dyDescent="0.35">
      <c r="A1210" s="5">
        <f t="shared" si="18"/>
        <v>45148</v>
      </c>
      <c r="B1210" t="s">
        <v>2621</v>
      </c>
      <c r="C1210" s="2">
        <v>5.25</v>
      </c>
      <c r="D1210" s="2">
        <v>5.1829000000000001</v>
      </c>
      <c r="E1210" s="3">
        <v>5.2251893999999997</v>
      </c>
      <c r="F1210" s="3">
        <v>5.3600932999999999</v>
      </c>
      <c r="G1210" s="3">
        <v>5.4742571</v>
      </c>
      <c r="H1210" s="3">
        <v>5.5601130999999997</v>
      </c>
      <c r="I1210" s="3">
        <v>5.6169247000000002</v>
      </c>
      <c r="J1210" s="3">
        <v>5.6492082000000003</v>
      </c>
      <c r="K1210" s="3">
        <v>5.6625738999999999</v>
      </c>
      <c r="L1210" s="3">
        <v>5.6610126999999997</v>
      </c>
      <c r="M1210" s="3">
        <v>5.6478634999999997</v>
      </c>
      <c r="N1210" s="3">
        <v>5.6255028999999999</v>
      </c>
      <c r="O1210" s="3">
        <v>5.5951078000000001</v>
      </c>
      <c r="P1210" s="3">
        <v>5.5575432999999999</v>
      </c>
      <c r="Q1210" s="3">
        <v>5.5135287999999996</v>
      </c>
      <c r="R1210" s="3">
        <v>5.4639579999999999</v>
      </c>
      <c r="S1210" s="3">
        <v>5.4098012999999998</v>
      </c>
      <c r="T1210" s="3">
        <v>5.3520276999999998</v>
      </c>
      <c r="U1210" s="3">
        <v>5.2916056999999999</v>
      </c>
      <c r="V1210" s="3">
        <v>5.2295062000000003</v>
      </c>
      <c r="W1210" s="3">
        <v>5.1666433999999999</v>
      </c>
      <c r="X1210" s="3">
        <v>5.1036520999999997</v>
      </c>
      <c r="Y1210" s="3">
        <v>5.0410801000000003</v>
      </c>
      <c r="Z1210" s="3">
        <v>4.9794729999999996</v>
      </c>
      <c r="AA1210" s="3">
        <v>4.9193762000000003</v>
      </c>
      <c r="AB1210" s="3">
        <v>4.8613375000000003</v>
      </c>
      <c r="AC1210" s="3">
        <v>4.8058132999999996</v>
      </c>
      <c r="AD1210" s="3">
        <v>4.7528256000000004</v>
      </c>
      <c r="AE1210" s="3">
        <v>4.7022659999999998</v>
      </c>
      <c r="AF1210" s="3">
        <v>4.6540241</v>
      </c>
      <c r="AG1210" s="3">
        <v>4.6079895999999998</v>
      </c>
      <c r="AH1210" s="3">
        <v>4.5640540999999999</v>
      </c>
      <c r="AI1210" s="3">
        <v>4.5221071000000004</v>
      </c>
      <c r="AJ1210" s="3">
        <v>4.4820387000000004</v>
      </c>
      <c r="AK1210" s="3">
        <v>4.4437398999999997</v>
      </c>
      <c r="AL1210" s="3">
        <v>4.4071008000000003</v>
      </c>
      <c r="AM1210" s="3">
        <v>4.3720109999999996</v>
      </c>
      <c r="AN1210" s="3">
        <v>4.3383618999999998</v>
      </c>
      <c r="AO1210" s="3">
        <v>4.3060511999999997</v>
      </c>
      <c r="AP1210" s="3">
        <v>4.2750121999999999</v>
      </c>
      <c r="AQ1210" s="3">
        <v>4.2451892000000004</v>
      </c>
      <c r="AR1210" s="3">
        <v>4.2165251000000001</v>
      </c>
      <c r="AS1210" s="3">
        <v>4.1889630999999996</v>
      </c>
      <c r="AT1210" s="3">
        <v>4.1624471999999999</v>
      </c>
      <c r="AU1210" s="3">
        <v>4.1369204000000002</v>
      </c>
      <c r="AV1210" s="3">
        <v>4.1123260000000004</v>
      </c>
      <c r="AW1210" s="3">
        <v>4.0886078000000001</v>
      </c>
      <c r="AX1210" s="3">
        <v>4.065709</v>
      </c>
      <c r="AY1210" s="3">
        <v>4.0435727999999997</v>
      </c>
      <c r="AZ1210" s="3">
        <v>4.0221431000000001</v>
      </c>
      <c r="BA1210" s="3">
        <v>4.0013712999999997</v>
      </c>
      <c r="BB1210" s="3">
        <v>3.9812449000000001</v>
      </c>
      <c r="BC1210" s="3">
        <v>3.9617621999999999</v>
      </c>
      <c r="BD1210" s="3">
        <v>3.9429210000000001</v>
      </c>
      <c r="BE1210" s="3">
        <v>3.9247188999999998</v>
      </c>
      <c r="BF1210" s="3">
        <v>3.9071539999999998</v>
      </c>
      <c r="BG1210" s="3">
        <v>3.8902242</v>
      </c>
      <c r="BH1210" s="3">
        <v>3.8739268999999998</v>
      </c>
      <c r="BI1210" s="3">
        <v>3.8582605000000001</v>
      </c>
      <c r="BJ1210" s="3">
        <v>3.8432225999999998</v>
      </c>
      <c r="BK1210" s="3">
        <v>3.8288109000000001</v>
      </c>
      <c r="BL1210" s="3">
        <v>3.8150236999999998</v>
      </c>
      <c r="BM1210" s="3">
        <v>3.7451287999999998</v>
      </c>
      <c r="BN1210" s="3">
        <v>3.6961876</v>
      </c>
    </row>
    <row r="1211" spans="1:66" x14ac:dyDescent="0.35">
      <c r="A1211" s="5">
        <f t="shared" si="18"/>
        <v>45149</v>
      </c>
      <c r="B1211" t="s">
        <v>2622</v>
      </c>
      <c r="C1211" s="2">
        <v>5.25</v>
      </c>
      <c r="D1211" s="2">
        <v>5.1829000000000001</v>
      </c>
      <c r="E1211" s="3">
        <v>5.2314758000000001</v>
      </c>
      <c r="F1211" s="3">
        <v>5.3784101</v>
      </c>
      <c r="G1211" s="3">
        <v>5.5042381999999996</v>
      </c>
      <c r="H1211" s="3">
        <v>5.6020032999999998</v>
      </c>
      <c r="I1211" s="3">
        <v>5.6711340000000003</v>
      </c>
      <c r="J1211" s="3">
        <v>5.7153546000000004</v>
      </c>
      <c r="K1211" s="3">
        <v>5.7405716</v>
      </c>
      <c r="L1211" s="3">
        <v>5.7520927000000004</v>
      </c>
      <c r="M1211" s="3">
        <v>5.7539940999999999</v>
      </c>
      <c r="N1211" s="3">
        <v>5.7483522000000002</v>
      </c>
      <c r="O1211" s="3">
        <v>5.7357909999999999</v>
      </c>
      <c r="P1211" s="3">
        <v>5.7159215999999997</v>
      </c>
      <c r="Q1211" s="3">
        <v>5.6873364999999998</v>
      </c>
      <c r="R1211" s="3">
        <v>5.6504741000000003</v>
      </c>
      <c r="S1211" s="3">
        <v>5.6064442999999997</v>
      </c>
      <c r="T1211" s="3">
        <v>5.5563554999999996</v>
      </c>
      <c r="U1211" s="3">
        <v>5.5013163</v>
      </c>
      <c r="V1211" s="3">
        <v>5.4424368999999997</v>
      </c>
      <c r="W1211" s="3">
        <v>5.3807966</v>
      </c>
      <c r="X1211" s="3">
        <v>5.3173253999999996</v>
      </c>
      <c r="Y1211" s="3">
        <v>5.2529081</v>
      </c>
      <c r="Z1211" s="3">
        <v>5.1884271000000002</v>
      </c>
      <c r="AA1211" s="3">
        <v>5.1247647000000001</v>
      </c>
      <c r="AB1211" s="3">
        <v>5.0628055999999999</v>
      </c>
      <c r="AC1211" s="3">
        <v>5.0032864999999997</v>
      </c>
      <c r="AD1211" s="3">
        <v>4.9463004000000002</v>
      </c>
      <c r="AE1211" s="3">
        <v>4.8917650999999998</v>
      </c>
      <c r="AF1211" s="3">
        <v>4.8395960000000002</v>
      </c>
      <c r="AG1211" s="3">
        <v>4.7897088999999999</v>
      </c>
      <c r="AH1211" s="3">
        <v>4.7420210000000003</v>
      </c>
      <c r="AI1211" s="3">
        <v>4.6964481999999999</v>
      </c>
      <c r="AJ1211" s="3">
        <v>4.6529061</v>
      </c>
      <c r="AK1211" s="3">
        <v>4.6113119999999999</v>
      </c>
      <c r="AL1211" s="3">
        <v>4.5715817000000003</v>
      </c>
      <c r="AM1211" s="3">
        <v>4.5336309000000004</v>
      </c>
      <c r="AN1211" s="3">
        <v>4.4973767999999996</v>
      </c>
      <c r="AO1211" s="3">
        <v>4.4627368000000001</v>
      </c>
      <c r="AP1211" s="3">
        <v>4.4296356000000001</v>
      </c>
      <c r="AQ1211" s="3">
        <v>4.3980011000000001</v>
      </c>
      <c r="AR1211" s="3">
        <v>4.3677599000000003</v>
      </c>
      <c r="AS1211" s="3">
        <v>4.3388388999999998</v>
      </c>
      <c r="AT1211" s="3">
        <v>4.3111657000000001</v>
      </c>
      <c r="AU1211" s="3">
        <v>4.2846672000000003</v>
      </c>
      <c r="AV1211" s="3">
        <v>4.2592701000000002</v>
      </c>
      <c r="AW1211" s="3">
        <v>4.2349019999999999</v>
      </c>
      <c r="AX1211" s="3">
        <v>4.2114897999999998</v>
      </c>
      <c r="AY1211" s="3">
        <v>4.1889602999999997</v>
      </c>
      <c r="AZ1211" s="3">
        <v>4.1672412000000003</v>
      </c>
      <c r="BA1211" s="3">
        <v>4.1462687999999996</v>
      </c>
      <c r="BB1211" s="3">
        <v>4.1260224000000001</v>
      </c>
      <c r="BC1211" s="3">
        <v>4.1064939000000003</v>
      </c>
      <c r="BD1211" s="3">
        <v>4.0876742000000004</v>
      </c>
      <c r="BE1211" s="3">
        <v>4.0695544999999997</v>
      </c>
      <c r="BF1211" s="3">
        <v>4.0521265</v>
      </c>
      <c r="BG1211" s="3">
        <v>4.0353813000000001</v>
      </c>
      <c r="BH1211" s="3">
        <v>4.0193098000000003</v>
      </c>
      <c r="BI1211" s="3">
        <v>4.0039039000000001</v>
      </c>
      <c r="BJ1211" s="3">
        <v>3.9891546</v>
      </c>
      <c r="BK1211" s="3">
        <v>3.9750530999999998</v>
      </c>
      <c r="BL1211" s="3">
        <v>3.9615909</v>
      </c>
      <c r="BM1211" s="3">
        <v>3.8937867000000002</v>
      </c>
      <c r="BN1211" s="3">
        <v>3.8470043999999999</v>
      </c>
    </row>
    <row r="1212" spans="1:66" x14ac:dyDescent="0.35">
      <c r="A1212" s="5">
        <f t="shared" si="18"/>
        <v>45152</v>
      </c>
      <c r="B1212" t="s">
        <v>2623</v>
      </c>
      <c r="C1212" s="2">
        <v>5.25</v>
      </c>
      <c r="D1212" s="2">
        <v>5.1829000000000001</v>
      </c>
      <c r="E1212" s="3">
        <v>5.2455562000000002</v>
      </c>
      <c r="F1212" s="3">
        <v>5.4138089999999996</v>
      </c>
      <c r="G1212" s="3">
        <v>5.5519606000000001</v>
      </c>
      <c r="H1212" s="3">
        <v>5.6577489999999999</v>
      </c>
      <c r="I1212" s="3">
        <v>5.7325385999999998</v>
      </c>
      <c r="J1212" s="3">
        <v>5.7804941999999997</v>
      </c>
      <c r="K1212" s="3">
        <v>5.8083678000000001</v>
      </c>
      <c r="L1212" s="3">
        <v>5.8231143000000003</v>
      </c>
      <c r="M1212" s="3">
        <v>5.8294426000000001</v>
      </c>
      <c r="N1212" s="3">
        <v>5.8295897999999999</v>
      </c>
      <c r="O1212" s="3">
        <v>5.8234130000000004</v>
      </c>
      <c r="P1212" s="3">
        <v>5.8098438000000003</v>
      </c>
      <c r="Q1212" s="3">
        <v>5.7862543999999998</v>
      </c>
      <c r="R1212" s="3">
        <v>5.7528249000000002</v>
      </c>
      <c r="S1212" s="3">
        <v>5.7107001999999998</v>
      </c>
      <c r="T1212" s="3">
        <v>5.6610239</v>
      </c>
      <c r="U1212" s="3">
        <v>5.6049392999999998</v>
      </c>
      <c r="V1212" s="3">
        <v>5.5435917000000003</v>
      </c>
      <c r="W1212" s="3">
        <v>5.4781262000000002</v>
      </c>
      <c r="X1212" s="3">
        <v>5.4096964999999999</v>
      </c>
      <c r="Y1212" s="3">
        <v>5.3394617000000002</v>
      </c>
      <c r="Z1212" s="3">
        <v>5.2685782000000003</v>
      </c>
      <c r="AA1212" s="3">
        <v>5.1982026000000001</v>
      </c>
      <c r="AB1212" s="3">
        <v>5.1294940000000002</v>
      </c>
      <c r="AC1212" s="3">
        <v>5.0634231999999999</v>
      </c>
      <c r="AD1212" s="3">
        <v>5.0001408999999999</v>
      </c>
      <c r="AE1212" s="3">
        <v>4.9395737999999998</v>
      </c>
      <c r="AF1212" s="3">
        <v>4.8816465000000004</v>
      </c>
      <c r="AG1212" s="3">
        <v>4.8262834999999997</v>
      </c>
      <c r="AH1212" s="3">
        <v>4.7734114999999999</v>
      </c>
      <c r="AI1212" s="3">
        <v>4.7229549000000004</v>
      </c>
      <c r="AJ1212" s="3">
        <v>4.6748384999999999</v>
      </c>
      <c r="AK1212" s="3">
        <v>4.6289885999999996</v>
      </c>
      <c r="AL1212" s="3">
        <v>4.5853298999999996</v>
      </c>
      <c r="AM1212" s="3">
        <v>4.5437871999999997</v>
      </c>
      <c r="AN1212" s="3">
        <v>4.5042866999999998</v>
      </c>
      <c r="AO1212" s="3">
        <v>4.4667509000000001</v>
      </c>
      <c r="AP1212" s="3">
        <v>4.4310919000000002</v>
      </c>
      <c r="AQ1212" s="3">
        <v>4.3972204000000001</v>
      </c>
      <c r="AR1212" s="3">
        <v>4.3650457999999999</v>
      </c>
      <c r="AS1212" s="3">
        <v>4.3344775999999996</v>
      </c>
      <c r="AT1212" s="3">
        <v>4.3054262999999997</v>
      </c>
      <c r="AU1212" s="3">
        <v>4.2778013000000001</v>
      </c>
      <c r="AV1212" s="3">
        <v>4.2515122999999999</v>
      </c>
      <c r="AW1212" s="3">
        <v>4.2264695000000003</v>
      </c>
      <c r="AX1212" s="3">
        <v>4.2025826000000004</v>
      </c>
      <c r="AY1212" s="3">
        <v>4.1797611000000003</v>
      </c>
      <c r="AZ1212" s="3">
        <v>4.1579151999999997</v>
      </c>
      <c r="BA1212" s="3">
        <v>4.1369634</v>
      </c>
      <c r="BB1212" s="3">
        <v>4.1168703000000004</v>
      </c>
      <c r="BC1212" s="3">
        <v>4.0976173999999999</v>
      </c>
      <c r="BD1212" s="3">
        <v>4.0791851000000001</v>
      </c>
      <c r="BE1212" s="3">
        <v>4.0615538999999998</v>
      </c>
      <c r="BF1212" s="3">
        <v>4.0447052000000001</v>
      </c>
      <c r="BG1212" s="3">
        <v>4.0286194999999996</v>
      </c>
      <c r="BH1212" s="3">
        <v>4.0132773000000004</v>
      </c>
      <c r="BI1212" s="3">
        <v>3.9986598999999998</v>
      </c>
      <c r="BJ1212" s="3">
        <v>3.9847478000000001</v>
      </c>
      <c r="BK1212" s="3">
        <v>3.9715216</v>
      </c>
      <c r="BL1212" s="3">
        <v>3.9589625000000002</v>
      </c>
      <c r="BM1212" s="3">
        <v>3.8967019999999999</v>
      </c>
      <c r="BN1212" s="3">
        <v>3.8546249000000001</v>
      </c>
    </row>
    <row r="1213" spans="1:66" x14ac:dyDescent="0.35">
      <c r="A1213" s="5">
        <f t="shared" si="18"/>
        <v>45153</v>
      </c>
      <c r="B1213" t="s">
        <v>2624</v>
      </c>
      <c r="C1213" s="2">
        <v>5.25</v>
      </c>
      <c r="D1213" s="2">
        <v>5.1833999999999998</v>
      </c>
      <c r="E1213" s="3">
        <v>5.2786844999999998</v>
      </c>
      <c r="F1213" s="3">
        <v>5.4963002000000003</v>
      </c>
      <c r="G1213" s="3">
        <v>5.6613940999999999</v>
      </c>
      <c r="H1213" s="3">
        <v>5.7765231000000004</v>
      </c>
      <c r="I1213" s="3">
        <v>5.8509763000000001</v>
      </c>
      <c r="J1213" s="3">
        <v>5.8943034000000001</v>
      </c>
      <c r="K1213" s="3">
        <v>5.9157206000000002</v>
      </c>
      <c r="L1213" s="3">
        <v>5.9232070999999999</v>
      </c>
      <c r="M1213" s="3">
        <v>5.9221934999999997</v>
      </c>
      <c r="N1213" s="3">
        <v>5.9153751999999997</v>
      </c>
      <c r="O1213" s="3">
        <v>5.9030886000000002</v>
      </c>
      <c r="P1213" s="3">
        <v>5.8841152000000001</v>
      </c>
      <c r="Q1213" s="3">
        <v>5.8556175000000001</v>
      </c>
      <c r="R1213" s="3">
        <v>5.8176509000000003</v>
      </c>
      <c r="S1213" s="3">
        <v>5.7712304000000003</v>
      </c>
      <c r="T1213" s="3">
        <v>5.7173695000000002</v>
      </c>
      <c r="U1213" s="3">
        <v>5.6570815000000003</v>
      </c>
      <c r="V1213" s="3">
        <v>5.5913817999999997</v>
      </c>
      <c r="W1213" s="3">
        <v>5.5213121000000003</v>
      </c>
      <c r="X1213" s="3">
        <v>5.4480918000000003</v>
      </c>
      <c r="Y1213" s="3">
        <v>5.3730117999999996</v>
      </c>
      <c r="Z1213" s="3">
        <v>5.2973606999999996</v>
      </c>
      <c r="AA1213" s="3">
        <v>5.2224266999999998</v>
      </c>
      <c r="AB1213" s="3">
        <v>5.1495009999999999</v>
      </c>
      <c r="AC1213" s="3">
        <v>5.0796635999999999</v>
      </c>
      <c r="AD1213" s="3">
        <v>5.0130740999999999</v>
      </c>
      <c r="AE1213" s="3">
        <v>4.9496406999999998</v>
      </c>
      <c r="AF1213" s="3">
        <v>4.8892689999999996</v>
      </c>
      <c r="AG1213" s="3">
        <v>4.8318649999999996</v>
      </c>
      <c r="AH1213" s="3">
        <v>4.7773365999999999</v>
      </c>
      <c r="AI1213" s="3">
        <v>4.7255894999999999</v>
      </c>
      <c r="AJ1213" s="3">
        <v>4.6765299000000002</v>
      </c>
      <c r="AK1213" s="3">
        <v>4.6300653000000001</v>
      </c>
      <c r="AL1213" s="3">
        <v>4.5861017999999998</v>
      </c>
      <c r="AM1213" s="3">
        <v>4.5445453000000002</v>
      </c>
      <c r="AN1213" s="3">
        <v>4.5053035000000001</v>
      </c>
      <c r="AO1213" s="3">
        <v>4.4682791999999996</v>
      </c>
      <c r="AP1213" s="3">
        <v>4.4333591999999999</v>
      </c>
      <c r="AQ1213" s="3">
        <v>4.4004257999999998</v>
      </c>
      <c r="AR1213" s="3">
        <v>4.3693600999999997</v>
      </c>
      <c r="AS1213" s="3">
        <v>4.3400432000000002</v>
      </c>
      <c r="AT1213" s="3">
        <v>4.3123575000000001</v>
      </c>
      <c r="AU1213" s="3">
        <v>4.2861840000000004</v>
      </c>
      <c r="AV1213" s="3">
        <v>4.2614039000000004</v>
      </c>
      <c r="AW1213" s="3">
        <v>4.2378995000000002</v>
      </c>
      <c r="AX1213" s="3">
        <v>4.2155519000000004</v>
      </c>
      <c r="AY1213" s="3">
        <v>4.1942424000000003</v>
      </c>
      <c r="AZ1213" s="3">
        <v>4.1738530999999996</v>
      </c>
      <c r="BA1213" s="3">
        <v>4.1542785999999996</v>
      </c>
      <c r="BB1213" s="3">
        <v>4.1354797000000003</v>
      </c>
      <c r="BC1213" s="3">
        <v>4.1174375999999997</v>
      </c>
      <c r="BD1213" s="3">
        <v>4.1001332000000001</v>
      </c>
      <c r="BE1213" s="3">
        <v>4.0835471999999999</v>
      </c>
      <c r="BF1213" s="3">
        <v>4.0676607000000002</v>
      </c>
      <c r="BG1213" s="3">
        <v>4.0524547000000002</v>
      </c>
      <c r="BH1213" s="3">
        <v>4.0379097000000002</v>
      </c>
      <c r="BI1213" s="3">
        <v>4.0240071000000004</v>
      </c>
      <c r="BJ1213" s="3">
        <v>4.0107276000000001</v>
      </c>
      <c r="BK1213" s="3">
        <v>3.9980519999999999</v>
      </c>
      <c r="BL1213" s="3">
        <v>3.9859615000000002</v>
      </c>
      <c r="BM1213" s="3">
        <v>3.9249692999999999</v>
      </c>
      <c r="BN1213" s="3">
        <v>3.8822869999999998</v>
      </c>
    </row>
    <row r="1214" spans="1:66" x14ac:dyDescent="0.35">
      <c r="A1214" s="5">
        <f t="shared" si="18"/>
        <v>45154</v>
      </c>
      <c r="B1214" t="s">
        <v>2625</v>
      </c>
      <c r="C1214" s="2">
        <v>5.25</v>
      </c>
      <c r="D1214" s="2">
        <v>5.1837999999999997</v>
      </c>
      <c r="E1214" s="3">
        <v>5.2802357999999998</v>
      </c>
      <c r="F1214" s="3">
        <v>5.5146547000000004</v>
      </c>
      <c r="G1214" s="3">
        <v>5.6895531000000004</v>
      </c>
      <c r="H1214" s="3">
        <v>5.8115880999999998</v>
      </c>
      <c r="I1214" s="3">
        <v>5.8915176000000002</v>
      </c>
      <c r="J1214" s="3">
        <v>5.9398115000000002</v>
      </c>
      <c r="K1214" s="3">
        <v>5.9649526000000002</v>
      </c>
      <c r="L1214" s="3">
        <v>5.9746151999999997</v>
      </c>
      <c r="M1214" s="3">
        <v>5.9743639000000002</v>
      </c>
      <c r="N1214" s="3">
        <v>5.9672675999999996</v>
      </c>
      <c r="O1214" s="3">
        <v>5.9539933999999999</v>
      </c>
      <c r="P1214" s="3">
        <v>5.9337514999999996</v>
      </c>
      <c r="Q1214" s="3">
        <v>5.9041804999999998</v>
      </c>
      <c r="R1214" s="3">
        <v>5.8654203000000003</v>
      </c>
      <c r="S1214" s="3">
        <v>5.8184548999999999</v>
      </c>
      <c r="T1214" s="3">
        <v>5.7642673000000002</v>
      </c>
      <c r="U1214" s="3">
        <v>5.7038400999999999</v>
      </c>
      <c r="V1214" s="3">
        <v>5.6381579999999998</v>
      </c>
      <c r="W1214" s="3">
        <v>5.5682365999999996</v>
      </c>
      <c r="X1214" s="3">
        <v>5.4952774</v>
      </c>
      <c r="Y1214" s="3">
        <v>5.4205500000000004</v>
      </c>
      <c r="Z1214" s="3">
        <v>5.3453214999999998</v>
      </c>
      <c r="AA1214" s="3">
        <v>5.2708591</v>
      </c>
      <c r="AB1214" s="3">
        <v>5.1984323999999997</v>
      </c>
      <c r="AC1214" s="3">
        <v>5.1291409999999997</v>
      </c>
      <c r="AD1214" s="3">
        <v>5.0631814999999998</v>
      </c>
      <c r="AE1214" s="3">
        <v>5.0004501000000001</v>
      </c>
      <c r="AF1214" s="3">
        <v>4.9408406999999999</v>
      </c>
      <c r="AG1214" s="3">
        <v>4.8842470000000002</v>
      </c>
      <c r="AH1214" s="3">
        <v>4.830565</v>
      </c>
      <c r="AI1214" s="3">
        <v>4.7796884999999998</v>
      </c>
      <c r="AJ1214" s="3">
        <v>4.7315114999999999</v>
      </c>
      <c r="AK1214" s="3">
        <v>4.6859297</v>
      </c>
      <c r="AL1214" s="3">
        <v>4.6428368999999998</v>
      </c>
      <c r="AM1214" s="3">
        <v>4.6021273000000003</v>
      </c>
      <c r="AN1214" s="3">
        <v>4.5636964000000004</v>
      </c>
      <c r="AO1214" s="3">
        <v>4.5274358000000001</v>
      </c>
      <c r="AP1214" s="3">
        <v>4.4932261000000002</v>
      </c>
      <c r="AQ1214" s="3">
        <v>4.4609456999999999</v>
      </c>
      <c r="AR1214" s="3">
        <v>4.4304715000000003</v>
      </c>
      <c r="AS1214" s="3">
        <v>4.4016808000000003</v>
      </c>
      <c r="AT1214" s="3">
        <v>4.3744518000000001</v>
      </c>
      <c r="AU1214" s="3">
        <v>4.3486615999999998</v>
      </c>
      <c r="AV1214" s="3">
        <v>4.3241873999999996</v>
      </c>
      <c r="AW1214" s="3">
        <v>4.3009073000000004</v>
      </c>
      <c r="AX1214" s="3">
        <v>4.2786985</v>
      </c>
      <c r="AY1214" s="3">
        <v>4.2574382000000002</v>
      </c>
      <c r="AZ1214" s="3">
        <v>4.2370045999999997</v>
      </c>
      <c r="BA1214" s="3">
        <v>4.2172912</v>
      </c>
      <c r="BB1214" s="3">
        <v>4.1982647999999996</v>
      </c>
      <c r="BC1214" s="3">
        <v>4.179913</v>
      </c>
      <c r="BD1214" s="3">
        <v>4.1622224000000001</v>
      </c>
      <c r="BE1214" s="3">
        <v>4.1451799999999999</v>
      </c>
      <c r="BF1214" s="3">
        <v>4.1287732000000004</v>
      </c>
      <c r="BG1214" s="3">
        <v>4.1129886999999998</v>
      </c>
      <c r="BH1214" s="3">
        <v>4.0978136000000003</v>
      </c>
      <c r="BI1214" s="3">
        <v>4.0832350999999996</v>
      </c>
      <c r="BJ1214" s="3">
        <v>4.0692402000000003</v>
      </c>
      <c r="BK1214" s="3">
        <v>4.0558155999999999</v>
      </c>
      <c r="BL1214" s="3">
        <v>4.0429487999999996</v>
      </c>
      <c r="BM1214" s="3">
        <v>3.9769929999999998</v>
      </c>
      <c r="BN1214" s="3">
        <v>3.9294500000000001</v>
      </c>
    </row>
    <row r="1215" spans="1:66" x14ac:dyDescent="0.35">
      <c r="A1215" s="5">
        <f t="shared" si="18"/>
        <v>45155</v>
      </c>
      <c r="B1215" t="s">
        <v>2626</v>
      </c>
      <c r="C1215" s="2">
        <v>5.25</v>
      </c>
      <c r="D1215" s="2">
        <v>5.1843000000000004</v>
      </c>
      <c r="E1215" s="3">
        <v>5.2895586000000003</v>
      </c>
      <c r="F1215" s="3">
        <v>5.5353615999999999</v>
      </c>
      <c r="G1215" s="3">
        <v>5.7221774999999999</v>
      </c>
      <c r="H1215" s="3">
        <v>5.858276</v>
      </c>
      <c r="I1215" s="3">
        <v>5.9535382999999999</v>
      </c>
      <c r="J1215" s="3">
        <v>6.0156226999999998</v>
      </c>
      <c r="K1215" s="3">
        <v>6.0520756999999996</v>
      </c>
      <c r="L1215" s="3">
        <v>6.0688585000000002</v>
      </c>
      <c r="M1215" s="3">
        <v>6.0714614999999998</v>
      </c>
      <c r="N1215" s="3">
        <v>6.0636216000000003</v>
      </c>
      <c r="O1215" s="3">
        <v>6.0468999999999999</v>
      </c>
      <c r="P1215" s="3">
        <v>6.0219005000000001</v>
      </c>
      <c r="Q1215" s="3">
        <v>5.9882036000000003</v>
      </c>
      <c r="R1215" s="3">
        <v>5.9464509000000003</v>
      </c>
      <c r="S1215" s="3">
        <v>5.8977481000000003</v>
      </c>
      <c r="T1215" s="3">
        <v>5.8431997000000004</v>
      </c>
      <c r="U1215" s="3">
        <v>5.7839098</v>
      </c>
      <c r="V1215" s="3">
        <v>5.7209849999999998</v>
      </c>
      <c r="W1215" s="3">
        <v>5.6554982000000003</v>
      </c>
      <c r="X1215" s="3">
        <v>5.5883627000000002</v>
      </c>
      <c r="Y1215" s="3">
        <v>5.5204433000000002</v>
      </c>
      <c r="Z1215" s="3">
        <v>5.4526022000000003</v>
      </c>
      <c r="AA1215" s="3">
        <v>5.3857017999999997</v>
      </c>
      <c r="AB1215" s="3">
        <v>5.3206065999999996</v>
      </c>
      <c r="AC1215" s="3">
        <v>5.2580495999999997</v>
      </c>
      <c r="AD1215" s="3">
        <v>5.1981329000000001</v>
      </c>
      <c r="AE1215" s="3">
        <v>5.1407689000000003</v>
      </c>
      <c r="AF1215" s="3">
        <v>5.0858679000000002</v>
      </c>
      <c r="AG1215" s="3">
        <v>5.0333401999999996</v>
      </c>
      <c r="AH1215" s="3">
        <v>4.9830978999999997</v>
      </c>
      <c r="AI1215" s="3">
        <v>4.9350513999999999</v>
      </c>
      <c r="AJ1215" s="3">
        <v>4.8891109999999998</v>
      </c>
      <c r="AK1215" s="3">
        <v>4.8451887999999999</v>
      </c>
      <c r="AL1215" s="3">
        <v>4.8031952000000002</v>
      </c>
      <c r="AM1215" s="3">
        <v>4.7630406000000001</v>
      </c>
      <c r="AN1215" s="3">
        <v>4.7246369000000001</v>
      </c>
      <c r="AO1215" s="3">
        <v>4.6878963999999996</v>
      </c>
      <c r="AP1215" s="3">
        <v>4.6527400999999999</v>
      </c>
      <c r="AQ1215" s="3">
        <v>4.6190924000000004</v>
      </c>
      <c r="AR1215" s="3">
        <v>4.5868764999999998</v>
      </c>
      <c r="AS1215" s="3">
        <v>4.5560156999999997</v>
      </c>
      <c r="AT1215" s="3">
        <v>4.5264341999999997</v>
      </c>
      <c r="AU1215" s="3">
        <v>4.4980554000000001</v>
      </c>
      <c r="AV1215" s="3">
        <v>4.4708025999999998</v>
      </c>
      <c r="AW1215" s="3">
        <v>4.4446000000000003</v>
      </c>
      <c r="AX1215" s="3">
        <v>4.4193708000000003</v>
      </c>
      <c r="AY1215" s="3">
        <v>4.3950386000000004</v>
      </c>
      <c r="AZ1215" s="3">
        <v>4.3715273000000003</v>
      </c>
      <c r="BA1215" s="3">
        <v>4.3487708999999999</v>
      </c>
      <c r="BB1215" s="3">
        <v>4.3267492000000001</v>
      </c>
      <c r="BC1215" s="3">
        <v>4.3054556000000002</v>
      </c>
      <c r="BD1215" s="3">
        <v>4.2848829000000004</v>
      </c>
      <c r="BE1215" s="3">
        <v>4.2650236000000001</v>
      </c>
      <c r="BF1215" s="3">
        <v>4.2458710999999996</v>
      </c>
      <c r="BG1215" s="3">
        <v>4.2274181000000004</v>
      </c>
      <c r="BH1215" s="3">
        <v>4.2096571999999997</v>
      </c>
      <c r="BI1215" s="3">
        <v>4.1925819000000004</v>
      </c>
      <c r="BJ1215" s="3">
        <v>4.1761847000000003</v>
      </c>
      <c r="BK1215" s="3">
        <v>4.1604584999999998</v>
      </c>
      <c r="BL1215" s="3">
        <v>4.1453964000000001</v>
      </c>
      <c r="BM1215" s="3">
        <v>4.0685751000000003</v>
      </c>
      <c r="BN1215" s="3">
        <v>4.0139015000000002</v>
      </c>
    </row>
    <row r="1216" spans="1:66" x14ac:dyDescent="0.35">
      <c r="A1216" s="5">
        <f t="shared" si="18"/>
        <v>45156</v>
      </c>
      <c r="B1216" t="s">
        <v>2627</v>
      </c>
      <c r="C1216" s="2">
        <v>5.25</v>
      </c>
      <c r="D1216" s="2">
        <v>5.1843000000000004</v>
      </c>
      <c r="E1216" s="3">
        <v>5.2907104</v>
      </c>
      <c r="F1216" s="3">
        <v>5.5201031</v>
      </c>
      <c r="G1216" s="3">
        <v>5.6887387</v>
      </c>
      <c r="H1216" s="3">
        <v>5.8041556999999999</v>
      </c>
      <c r="I1216" s="3">
        <v>5.8797332999999998</v>
      </c>
      <c r="J1216" s="3">
        <v>5.9254854000000003</v>
      </c>
      <c r="K1216" s="3">
        <v>5.9497378000000003</v>
      </c>
      <c r="L1216" s="3">
        <v>5.9589903</v>
      </c>
      <c r="M1216" s="3">
        <v>5.9581992000000001</v>
      </c>
      <c r="N1216" s="3">
        <v>5.9498023</v>
      </c>
      <c r="O1216" s="3">
        <v>5.9345641999999996</v>
      </c>
      <c r="P1216" s="3">
        <v>5.9122396999999998</v>
      </c>
      <c r="Q1216" s="3">
        <v>5.8813731000000002</v>
      </c>
      <c r="R1216" s="3">
        <v>5.8423543999999996</v>
      </c>
      <c r="S1216" s="3">
        <v>5.7962629000000003</v>
      </c>
      <c r="T1216" s="3">
        <v>5.7441768</v>
      </c>
      <c r="U1216" s="3">
        <v>5.6871738000000001</v>
      </c>
      <c r="V1216" s="3">
        <v>5.6263339999999999</v>
      </c>
      <c r="W1216" s="3">
        <v>5.5627142000000003</v>
      </c>
      <c r="X1216" s="3">
        <v>5.4972637999999998</v>
      </c>
      <c r="Y1216" s="3">
        <v>5.4309000999999997</v>
      </c>
      <c r="Z1216" s="3">
        <v>5.3645382000000001</v>
      </c>
      <c r="AA1216" s="3">
        <v>5.2990928999999998</v>
      </c>
      <c r="AB1216" s="3">
        <v>5.2354816</v>
      </c>
      <c r="AC1216" s="3">
        <v>5.1744659999999998</v>
      </c>
      <c r="AD1216" s="3">
        <v>5.1161311999999999</v>
      </c>
      <c r="AE1216" s="3">
        <v>5.0603777000000001</v>
      </c>
      <c r="AF1216" s="3">
        <v>5.0071038000000003</v>
      </c>
      <c r="AG1216" s="3">
        <v>4.9562080999999996</v>
      </c>
      <c r="AH1216" s="3">
        <v>4.9075908000000004</v>
      </c>
      <c r="AI1216" s="3">
        <v>4.8611503999999996</v>
      </c>
      <c r="AJ1216" s="3">
        <v>4.8167854999999999</v>
      </c>
      <c r="AK1216" s="3">
        <v>4.7743962</v>
      </c>
      <c r="AL1216" s="3">
        <v>4.7338810000000002</v>
      </c>
      <c r="AM1216" s="3">
        <v>4.6951387000000002</v>
      </c>
      <c r="AN1216" s="3">
        <v>4.6580690999999996</v>
      </c>
      <c r="AO1216" s="3">
        <v>4.6225750999999997</v>
      </c>
      <c r="AP1216" s="3">
        <v>4.5885778999999998</v>
      </c>
      <c r="AQ1216" s="3">
        <v>4.5560048000000002</v>
      </c>
      <c r="AR1216" s="3">
        <v>4.5247821999999998</v>
      </c>
      <c r="AS1216" s="3">
        <v>4.4948363999999996</v>
      </c>
      <c r="AT1216" s="3">
        <v>4.4660945999999999</v>
      </c>
      <c r="AU1216" s="3">
        <v>4.4384832000000003</v>
      </c>
      <c r="AV1216" s="3">
        <v>4.4119285000000001</v>
      </c>
      <c r="AW1216" s="3">
        <v>4.3863576999999996</v>
      </c>
      <c r="AX1216" s="3">
        <v>4.3616973000000003</v>
      </c>
      <c r="AY1216" s="3">
        <v>4.3378736</v>
      </c>
      <c r="AZ1216" s="3">
        <v>4.3148137000000002</v>
      </c>
      <c r="BA1216" s="3">
        <v>4.2924549000000001</v>
      </c>
      <c r="BB1216" s="3">
        <v>4.2707816000000003</v>
      </c>
      <c r="BC1216" s="3">
        <v>4.2497921999999999</v>
      </c>
      <c r="BD1216" s="3">
        <v>4.2294844999999999</v>
      </c>
      <c r="BE1216" s="3">
        <v>4.2098560999999997</v>
      </c>
      <c r="BF1216" s="3">
        <v>4.1909054000000001</v>
      </c>
      <c r="BG1216" s="3">
        <v>4.1726299999999998</v>
      </c>
      <c r="BH1216" s="3">
        <v>4.1550276000000004</v>
      </c>
      <c r="BI1216" s="3">
        <v>4.1380965999999999</v>
      </c>
      <c r="BJ1216" s="3">
        <v>4.1218347</v>
      </c>
      <c r="BK1216" s="3">
        <v>4.1062396000000003</v>
      </c>
      <c r="BL1216" s="3">
        <v>4.0913095999999998</v>
      </c>
      <c r="BM1216" s="3">
        <v>4.0154319999999997</v>
      </c>
      <c r="BN1216" s="3">
        <v>3.9620902</v>
      </c>
    </row>
    <row r="1217" spans="1:66" x14ac:dyDescent="0.35">
      <c r="A1217" s="5">
        <f t="shared" si="18"/>
        <v>45159</v>
      </c>
      <c r="B1217" t="s">
        <v>2628</v>
      </c>
      <c r="C1217" s="2">
        <v>5.25</v>
      </c>
      <c r="D1217" s="2">
        <v>5.1840999999999999</v>
      </c>
      <c r="E1217" s="3">
        <v>5.304856</v>
      </c>
      <c r="F1217" s="3">
        <v>5.5508724000000003</v>
      </c>
      <c r="G1217" s="3">
        <v>5.7283451000000003</v>
      </c>
      <c r="H1217" s="3">
        <v>5.8474934999999997</v>
      </c>
      <c r="I1217" s="3">
        <v>5.9257118000000002</v>
      </c>
      <c r="J1217" s="3">
        <v>5.9743962000000002</v>
      </c>
      <c r="K1217" s="3">
        <v>6.0017735999999999</v>
      </c>
      <c r="L1217" s="3">
        <v>6.0148419999999998</v>
      </c>
      <c r="M1217" s="3">
        <v>6.0186335</v>
      </c>
      <c r="N1217" s="3">
        <v>6.0161040999999997</v>
      </c>
      <c r="O1217" s="3">
        <v>6.0078059000000001</v>
      </c>
      <c r="P1217" s="3">
        <v>5.9930870000000001</v>
      </c>
      <c r="Q1217" s="3">
        <v>5.9694339999999997</v>
      </c>
      <c r="R1217" s="3">
        <v>5.9368818000000001</v>
      </c>
      <c r="S1217" s="3">
        <v>5.8963739999999998</v>
      </c>
      <c r="T1217" s="3">
        <v>5.8488528999999998</v>
      </c>
      <c r="U1217" s="3">
        <v>5.7952605000000004</v>
      </c>
      <c r="V1217" s="3">
        <v>5.7365408999999996</v>
      </c>
      <c r="W1217" s="3">
        <v>5.6736569000000001</v>
      </c>
      <c r="X1217" s="3">
        <v>5.6076774</v>
      </c>
      <c r="Y1217" s="3">
        <v>5.5397075999999998</v>
      </c>
      <c r="Z1217" s="3">
        <v>5.4708503000000004</v>
      </c>
      <c r="AA1217" s="3">
        <v>5.4022082999999999</v>
      </c>
      <c r="AB1217" s="3">
        <v>5.3348868999999999</v>
      </c>
      <c r="AC1217" s="3">
        <v>5.2698156000000003</v>
      </c>
      <c r="AD1217" s="3">
        <v>5.2071588000000002</v>
      </c>
      <c r="AE1217" s="3">
        <v>5.1468721999999998</v>
      </c>
      <c r="AF1217" s="3">
        <v>5.0889091999999998</v>
      </c>
      <c r="AG1217" s="3">
        <v>5.0332233000000004</v>
      </c>
      <c r="AH1217" s="3">
        <v>4.9797697999999997</v>
      </c>
      <c r="AI1217" s="3">
        <v>4.9285024000000002</v>
      </c>
      <c r="AJ1217" s="3">
        <v>4.8793744999999999</v>
      </c>
      <c r="AK1217" s="3">
        <v>4.8323413999999998</v>
      </c>
      <c r="AL1217" s="3">
        <v>4.7873567000000001</v>
      </c>
      <c r="AM1217" s="3">
        <v>4.7443739999999996</v>
      </c>
      <c r="AN1217" s="3">
        <v>4.7033484000000003</v>
      </c>
      <c r="AO1217" s="3">
        <v>4.6642283000000004</v>
      </c>
      <c r="AP1217" s="3">
        <v>4.626938</v>
      </c>
      <c r="AQ1217" s="3">
        <v>4.5913969000000003</v>
      </c>
      <c r="AR1217" s="3">
        <v>4.5575229000000004</v>
      </c>
      <c r="AS1217" s="3">
        <v>4.5252338999999999</v>
      </c>
      <c r="AT1217" s="3">
        <v>4.4944490999999998</v>
      </c>
      <c r="AU1217" s="3">
        <v>4.4650863999999997</v>
      </c>
      <c r="AV1217" s="3">
        <v>4.4370640000000003</v>
      </c>
      <c r="AW1217" s="3">
        <v>4.4103007999999999</v>
      </c>
      <c r="AX1217" s="3">
        <v>4.3847148999999996</v>
      </c>
      <c r="AY1217" s="3">
        <v>4.3602243999999999</v>
      </c>
      <c r="AZ1217" s="3">
        <v>4.3367481000000003</v>
      </c>
      <c r="BA1217" s="3">
        <v>4.3142117000000004</v>
      </c>
      <c r="BB1217" s="3">
        <v>4.2925807000000002</v>
      </c>
      <c r="BC1217" s="3">
        <v>4.2718350999999997</v>
      </c>
      <c r="BD1217" s="3">
        <v>4.2519537999999999</v>
      </c>
      <c r="BE1217" s="3">
        <v>4.2329160999999997</v>
      </c>
      <c r="BF1217" s="3">
        <v>4.2147015999999997</v>
      </c>
      <c r="BG1217" s="3">
        <v>4.1972895000000001</v>
      </c>
      <c r="BH1217" s="3">
        <v>4.1806590000000003</v>
      </c>
      <c r="BI1217" s="3">
        <v>4.1647898000000003</v>
      </c>
      <c r="BJ1217" s="3">
        <v>4.149661</v>
      </c>
      <c r="BK1217" s="3">
        <v>4.1352517999999998</v>
      </c>
      <c r="BL1217" s="3">
        <v>4.1215419000000004</v>
      </c>
      <c r="BM1217" s="3">
        <v>4.0529970999999998</v>
      </c>
      <c r="BN1217" s="3">
        <v>4.0055817999999999</v>
      </c>
    </row>
    <row r="1218" spans="1:66" x14ac:dyDescent="0.35">
      <c r="A1218" s="5">
        <f t="shared" si="18"/>
        <v>45160</v>
      </c>
      <c r="B1218" t="s">
        <v>2629</v>
      </c>
      <c r="C1218" s="2">
        <v>5.25</v>
      </c>
      <c r="D1218" s="2">
        <v>5.1843000000000004</v>
      </c>
      <c r="E1218" s="3">
        <v>5.3159929000000004</v>
      </c>
      <c r="F1218" s="3">
        <v>5.5540096999999999</v>
      </c>
      <c r="G1218" s="3">
        <v>5.7221586000000002</v>
      </c>
      <c r="H1218" s="3">
        <v>5.8316153000000002</v>
      </c>
      <c r="I1218" s="3">
        <v>5.8999661999999997</v>
      </c>
      <c r="J1218" s="3">
        <v>5.9393345999999996</v>
      </c>
      <c r="K1218" s="3">
        <v>5.9584199</v>
      </c>
      <c r="L1218" s="3">
        <v>5.9641992000000004</v>
      </c>
      <c r="M1218" s="3">
        <v>5.9614858000000002</v>
      </c>
      <c r="N1218" s="3">
        <v>5.9529084000000001</v>
      </c>
      <c r="O1218" s="3">
        <v>5.9391983000000002</v>
      </c>
      <c r="P1218" s="3">
        <v>5.9197837</v>
      </c>
      <c r="Q1218" s="3">
        <v>5.8927677000000003</v>
      </c>
      <c r="R1218" s="3">
        <v>5.8581712000000001</v>
      </c>
      <c r="S1218" s="3">
        <v>5.8166663999999999</v>
      </c>
      <c r="T1218" s="3">
        <v>5.7689246000000001</v>
      </c>
      <c r="U1218" s="3">
        <v>5.7156165999999997</v>
      </c>
      <c r="V1218" s="3">
        <v>5.6574150999999997</v>
      </c>
      <c r="W1218" s="3">
        <v>5.5950373000000004</v>
      </c>
      <c r="X1218" s="3">
        <v>5.5294891000000002</v>
      </c>
      <c r="Y1218" s="3">
        <v>5.4618903000000003</v>
      </c>
      <c r="Z1218" s="3">
        <v>5.3933590000000002</v>
      </c>
      <c r="AA1218" s="3">
        <v>5.3250130999999996</v>
      </c>
      <c r="AB1218" s="3">
        <v>5.2579728000000001</v>
      </c>
      <c r="AC1218" s="3">
        <v>5.193181</v>
      </c>
      <c r="AD1218" s="3">
        <v>5.1308074000000001</v>
      </c>
      <c r="AE1218" s="3">
        <v>5.0708108000000003</v>
      </c>
      <c r="AF1218" s="3">
        <v>5.0131474000000003</v>
      </c>
      <c r="AG1218" s="3">
        <v>4.9577739999999997</v>
      </c>
      <c r="AH1218" s="3">
        <v>4.904649</v>
      </c>
      <c r="AI1218" s="3">
        <v>4.8537289000000001</v>
      </c>
      <c r="AJ1218" s="3">
        <v>4.8049704000000002</v>
      </c>
      <c r="AK1218" s="3">
        <v>4.7583318999999999</v>
      </c>
      <c r="AL1218" s="3">
        <v>4.7137699</v>
      </c>
      <c r="AM1218" s="3">
        <v>4.6712410999999996</v>
      </c>
      <c r="AN1218" s="3">
        <v>4.6307038</v>
      </c>
      <c r="AO1218" s="3">
        <v>4.5921089999999998</v>
      </c>
      <c r="AP1218" s="3">
        <v>4.5553768000000003</v>
      </c>
      <c r="AQ1218" s="3">
        <v>4.5204187999999998</v>
      </c>
      <c r="AR1218" s="3">
        <v>4.4871448000000003</v>
      </c>
      <c r="AS1218" s="3">
        <v>4.4554649</v>
      </c>
      <c r="AT1218" s="3">
        <v>4.4252903000000003</v>
      </c>
      <c r="AU1218" s="3">
        <v>4.3965310999999998</v>
      </c>
      <c r="AV1218" s="3">
        <v>4.3690974000000002</v>
      </c>
      <c r="AW1218" s="3">
        <v>4.3429001999999999</v>
      </c>
      <c r="AX1218" s="3">
        <v>4.3178497</v>
      </c>
      <c r="AY1218" s="3">
        <v>4.2938559999999999</v>
      </c>
      <c r="AZ1218" s="3">
        <v>4.2708301000000004</v>
      </c>
      <c r="BA1218" s="3">
        <v>4.2486915999999999</v>
      </c>
      <c r="BB1218" s="3">
        <v>4.2274067000000004</v>
      </c>
      <c r="BC1218" s="3">
        <v>4.2069562999999999</v>
      </c>
      <c r="BD1218" s="3">
        <v>4.1873203999999999</v>
      </c>
      <c r="BE1218" s="3">
        <v>4.1684793999999998</v>
      </c>
      <c r="BF1218" s="3">
        <v>4.1504139999999996</v>
      </c>
      <c r="BG1218" s="3">
        <v>4.1331045</v>
      </c>
      <c r="BH1218" s="3">
        <v>4.1165310000000002</v>
      </c>
      <c r="BI1218" s="3">
        <v>4.1006745000000002</v>
      </c>
      <c r="BJ1218" s="3">
        <v>4.085515</v>
      </c>
      <c r="BK1218" s="3">
        <v>4.0710328999999996</v>
      </c>
      <c r="BL1218" s="3">
        <v>4.0572089</v>
      </c>
      <c r="BM1218" s="3">
        <v>3.9872122000000001</v>
      </c>
      <c r="BN1218" s="3">
        <v>3.9373613999999999</v>
      </c>
    </row>
    <row r="1219" spans="1:66" x14ac:dyDescent="0.35">
      <c r="A1219" s="5">
        <f t="shared" si="18"/>
        <v>45161</v>
      </c>
      <c r="B1219" t="s">
        <v>2630</v>
      </c>
      <c r="C1219" s="2">
        <v>5.25</v>
      </c>
      <c r="D1219" s="2">
        <v>5.1859000000000002</v>
      </c>
      <c r="E1219" s="3">
        <v>5.3144907999999997</v>
      </c>
      <c r="F1219" s="3">
        <v>5.5040950000000004</v>
      </c>
      <c r="G1219" s="3">
        <v>5.6368862000000002</v>
      </c>
      <c r="H1219" s="3">
        <v>5.7203758999999996</v>
      </c>
      <c r="I1219" s="3">
        <v>5.7679140999999996</v>
      </c>
      <c r="J1219" s="3">
        <v>5.7912216000000001</v>
      </c>
      <c r="K1219" s="3">
        <v>5.7976577999999996</v>
      </c>
      <c r="L1219" s="3">
        <v>5.7929709999999996</v>
      </c>
      <c r="M1219" s="3">
        <v>5.7810357999999997</v>
      </c>
      <c r="N1219" s="3">
        <v>5.7637752999999998</v>
      </c>
      <c r="O1219" s="3">
        <v>5.7413046000000003</v>
      </c>
      <c r="P1219" s="3">
        <v>5.7126738000000001</v>
      </c>
      <c r="Q1219" s="3">
        <v>5.6753530000000003</v>
      </c>
      <c r="R1219" s="3">
        <v>5.6296140000000001</v>
      </c>
      <c r="S1219" s="3">
        <v>5.5766695000000004</v>
      </c>
      <c r="T1219" s="3">
        <v>5.5177309000000001</v>
      </c>
      <c r="U1219" s="3">
        <v>5.4540091000000004</v>
      </c>
      <c r="V1219" s="3">
        <v>5.3867174999999996</v>
      </c>
      <c r="W1219" s="3">
        <v>5.3170400000000004</v>
      </c>
      <c r="X1219" s="3">
        <v>5.2460062000000001</v>
      </c>
      <c r="Y1219" s="3">
        <v>5.1745945000000004</v>
      </c>
      <c r="Z1219" s="3">
        <v>5.1037802000000001</v>
      </c>
      <c r="AA1219" s="3">
        <v>5.0345390999999999</v>
      </c>
      <c r="AB1219" s="3">
        <v>4.9678490999999996</v>
      </c>
      <c r="AC1219" s="3">
        <v>4.9045608999999999</v>
      </c>
      <c r="AD1219" s="3">
        <v>4.8447806</v>
      </c>
      <c r="AE1219" s="3">
        <v>4.7883415999999999</v>
      </c>
      <c r="AF1219" s="3">
        <v>4.7350748999999999</v>
      </c>
      <c r="AG1219" s="3">
        <v>4.6848117</v>
      </c>
      <c r="AH1219" s="3">
        <v>4.6373848000000004</v>
      </c>
      <c r="AI1219" s="3">
        <v>4.5926252999999999</v>
      </c>
      <c r="AJ1219" s="3">
        <v>4.5503644000000003</v>
      </c>
      <c r="AK1219" s="3">
        <v>4.5104347000000002</v>
      </c>
      <c r="AL1219" s="3">
        <v>4.4726675</v>
      </c>
      <c r="AM1219" s="3">
        <v>4.4368939000000003</v>
      </c>
      <c r="AN1219" s="3">
        <v>4.4029467000000002</v>
      </c>
      <c r="AO1219" s="3">
        <v>4.3706674000000003</v>
      </c>
      <c r="AP1219" s="3">
        <v>4.3399492999999998</v>
      </c>
      <c r="AQ1219" s="3">
        <v>4.3107023</v>
      </c>
      <c r="AR1219" s="3">
        <v>4.2828352000000001</v>
      </c>
      <c r="AS1219" s="3">
        <v>4.2562568000000001</v>
      </c>
      <c r="AT1219" s="3">
        <v>4.2308769000000002</v>
      </c>
      <c r="AU1219" s="3">
        <v>4.2066043999999998</v>
      </c>
      <c r="AV1219" s="3">
        <v>4.1833480999999999</v>
      </c>
      <c r="AW1219" s="3">
        <v>4.1610177000000004</v>
      </c>
      <c r="AX1219" s="3">
        <v>4.1395222</v>
      </c>
      <c r="AY1219" s="3">
        <v>4.1187703999999998</v>
      </c>
      <c r="AZ1219" s="3">
        <v>4.0986719999999996</v>
      </c>
      <c r="BA1219" s="3">
        <v>4.0791494000000004</v>
      </c>
      <c r="BB1219" s="3">
        <v>4.0601848</v>
      </c>
      <c r="BC1219" s="3">
        <v>4.0417776999999999</v>
      </c>
      <c r="BD1219" s="3">
        <v>4.0239266999999996</v>
      </c>
      <c r="BE1219" s="3">
        <v>4.0066303999999997</v>
      </c>
      <c r="BF1219" s="3">
        <v>3.9898883000000001</v>
      </c>
      <c r="BG1219" s="3">
        <v>3.9736989999999999</v>
      </c>
      <c r="BH1219" s="3">
        <v>3.9580612999999998</v>
      </c>
      <c r="BI1219" s="3">
        <v>3.9429744000000002</v>
      </c>
      <c r="BJ1219" s="3">
        <v>3.9284371</v>
      </c>
      <c r="BK1219" s="3">
        <v>3.9144481999999998</v>
      </c>
      <c r="BL1219" s="3">
        <v>3.9010066999999999</v>
      </c>
      <c r="BM1219" s="3">
        <v>3.8317291999999998</v>
      </c>
      <c r="BN1219" s="3">
        <v>3.7814958999999999</v>
      </c>
    </row>
    <row r="1220" spans="1:66" x14ac:dyDescent="0.35">
      <c r="A1220" s="5">
        <f t="shared" si="18"/>
        <v>45162</v>
      </c>
      <c r="B1220" t="s">
        <v>2631</v>
      </c>
      <c r="C1220" s="2">
        <v>5.25</v>
      </c>
      <c r="D1220" s="2">
        <v>5.1855000000000002</v>
      </c>
      <c r="E1220" s="3">
        <v>5.3236504</v>
      </c>
      <c r="F1220" s="3">
        <v>5.5152938999999996</v>
      </c>
      <c r="G1220" s="3">
        <v>5.6472940999999999</v>
      </c>
      <c r="H1220" s="3">
        <v>5.7296297999999997</v>
      </c>
      <c r="I1220" s="3">
        <v>5.7770511999999998</v>
      </c>
      <c r="J1220" s="3">
        <v>5.8003359000000003</v>
      </c>
      <c r="K1220" s="3">
        <v>5.8058065000000001</v>
      </c>
      <c r="L1220" s="3">
        <v>5.7972324000000004</v>
      </c>
      <c r="M1220" s="3">
        <v>5.7777764999999999</v>
      </c>
      <c r="N1220" s="3">
        <v>5.7496738000000001</v>
      </c>
      <c r="O1220" s="3">
        <v>5.7139728999999999</v>
      </c>
      <c r="P1220" s="3">
        <v>5.6714181999999997</v>
      </c>
      <c r="Q1220" s="3">
        <v>5.6222076999999997</v>
      </c>
      <c r="R1220" s="3">
        <v>5.5671698000000003</v>
      </c>
      <c r="S1220" s="3">
        <v>5.5074373000000003</v>
      </c>
      <c r="T1220" s="3">
        <v>5.4441411999999998</v>
      </c>
      <c r="U1220" s="3">
        <v>5.3784127000000002</v>
      </c>
      <c r="V1220" s="3">
        <v>5.3113849999999996</v>
      </c>
      <c r="W1220" s="3">
        <v>5.2441136999999998</v>
      </c>
      <c r="X1220" s="3">
        <v>5.1772675000000001</v>
      </c>
      <c r="Y1220" s="3">
        <v>5.1113936999999998</v>
      </c>
      <c r="Z1220" s="3">
        <v>5.0470373000000004</v>
      </c>
      <c r="AA1220" s="3">
        <v>4.9847435000000004</v>
      </c>
      <c r="AB1220" s="3">
        <v>4.9250594000000003</v>
      </c>
      <c r="AC1220" s="3">
        <v>4.8684428000000004</v>
      </c>
      <c r="AD1220" s="3">
        <v>4.8148802999999996</v>
      </c>
      <c r="AE1220" s="3">
        <v>4.7642027999999996</v>
      </c>
      <c r="AF1220" s="3">
        <v>4.7162391000000001</v>
      </c>
      <c r="AG1220" s="3">
        <v>4.6708181</v>
      </c>
      <c r="AH1220" s="3">
        <v>4.6277702999999999</v>
      </c>
      <c r="AI1220" s="3">
        <v>4.5869247</v>
      </c>
      <c r="AJ1220" s="3">
        <v>4.5481100999999997</v>
      </c>
      <c r="AK1220" s="3">
        <v>4.5111568999999996</v>
      </c>
      <c r="AL1220" s="3">
        <v>4.4758941999999999</v>
      </c>
      <c r="AM1220" s="3">
        <v>4.4421508999999997</v>
      </c>
      <c r="AN1220" s="3">
        <v>4.4097572999999999</v>
      </c>
      <c r="AO1220" s="3">
        <v>4.3785600000000002</v>
      </c>
      <c r="AP1220" s="3">
        <v>4.3484831000000002</v>
      </c>
      <c r="AQ1220" s="3">
        <v>4.3194730000000003</v>
      </c>
      <c r="AR1220" s="3">
        <v>4.2914754000000004</v>
      </c>
      <c r="AS1220" s="3">
        <v>4.2644355000000003</v>
      </c>
      <c r="AT1220" s="3">
        <v>4.2382999999999997</v>
      </c>
      <c r="AU1220" s="3">
        <v>4.2130143999999996</v>
      </c>
      <c r="AV1220" s="3">
        <v>4.1885240000000001</v>
      </c>
      <c r="AW1220" s="3">
        <v>4.1647755000000002</v>
      </c>
      <c r="AX1220" s="3">
        <v>4.1417142</v>
      </c>
      <c r="AY1220" s="3">
        <v>4.1192856999999998</v>
      </c>
      <c r="AZ1220" s="3">
        <v>4.0974364000000003</v>
      </c>
      <c r="BA1220" s="3">
        <v>4.0761212000000002</v>
      </c>
      <c r="BB1220" s="3">
        <v>4.0553362000000002</v>
      </c>
      <c r="BC1220" s="3">
        <v>4.0350896000000001</v>
      </c>
      <c r="BD1220" s="3">
        <v>4.0153888999999996</v>
      </c>
      <c r="BE1220" s="3">
        <v>3.9962417000000001</v>
      </c>
      <c r="BF1220" s="3">
        <v>3.9776560000000001</v>
      </c>
      <c r="BG1220" s="3">
        <v>3.9596395000000002</v>
      </c>
      <c r="BH1220" s="3">
        <v>3.9421995999999999</v>
      </c>
      <c r="BI1220" s="3">
        <v>3.9253445</v>
      </c>
      <c r="BJ1220" s="3">
        <v>3.9090817000000002</v>
      </c>
      <c r="BK1220" s="3">
        <v>3.8934188000000001</v>
      </c>
      <c r="BL1220" s="3">
        <v>3.8783639000000001</v>
      </c>
      <c r="BM1220" s="3">
        <v>3.8008294999999999</v>
      </c>
      <c r="BN1220" s="3">
        <v>3.7446632000000002</v>
      </c>
    </row>
    <row r="1221" spans="1:66" x14ac:dyDescent="0.35">
      <c r="A1221" s="5">
        <f t="shared" si="18"/>
        <v>45163</v>
      </c>
      <c r="B1221" t="s">
        <v>2632</v>
      </c>
      <c r="C1221" s="2">
        <v>5.25</v>
      </c>
      <c r="D1221" s="2">
        <v>5.1852</v>
      </c>
      <c r="E1221" s="3">
        <v>5.3332307999999999</v>
      </c>
      <c r="F1221" s="3">
        <v>5.5243900000000004</v>
      </c>
      <c r="G1221" s="3">
        <v>5.6579566000000003</v>
      </c>
      <c r="H1221" s="3">
        <v>5.7420530000000003</v>
      </c>
      <c r="I1221" s="3">
        <v>5.7907275</v>
      </c>
      <c r="J1221" s="3">
        <v>5.8153490999999997</v>
      </c>
      <c r="K1221" s="3">
        <v>5.8235131000000004</v>
      </c>
      <c r="L1221" s="3">
        <v>5.8206550000000004</v>
      </c>
      <c r="M1221" s="3">
        <v>5.8103758000000001</v>
      </c>
      <c r="N1221" s="3">
        <v>5.7940300999999996</v>
      </c>
      <c r="O1221" s="3">
        <v>5.7716737</v>
      </c>
      <c r="P1221" s="3">
        <v>5.7424679000000003</v>
      </c>
      <c r="Q1221" s="3">
        <v>5.7042229000000004</v>
      </c>
      <c r="R1221" s="3">
        <v>5.6571879000000003</v>
      </c>
      <c r="S1221" s="3">
        <v>5.6025931</v>
      </c>
      <c r="T1221" s="3">
        <v>5.5416673000000003</v>
      </c>
      <c r="U1221" s="3">
        <v>5.4756394000000004</v>
      </c>
      <c r="V1221" s="3">
        <v>5.4057402999999997</v>
      </c>
      <c r="W1221" s="3">
        <v>5.3331850000000003</v>
      </c>
      <c r="X1221" s="3">
        <v>5.2591169999999998</v>
      </c>
      <c r="Y1221" s="3">
        <v>5.1846595000000004</v>
      </c>
      <c r="Z1221" s="3">
        <v>5.1109334000000004</v>
      </c>
      <c r="AA1221" s="3">
        <v>5.0390592999999999</v>
      </c>
      <c r="AB1221" s="3">
        <v>4.9701605000000004</v>
      </c>
      <c r="AC1221" s="3">
        <v>4.905176</v>
      </c>
      <c r="AD1221" s="3">
        <v>4.8441581999999999</v>
      </c>
      <c r="AE1221" s="3">
        <v>4.7868921000000002</v>
      </c>
      <c r="AF1221" s="3">
        <v>4.7331605000000003</v>
      </c>
      <c r="AG1221" s="3">
        <v>4.6827461000000001</v>
      </c>
      <c r="AH1221" s="3">
        <v>4.6354338000000004</v>
      </c>
      <c r="AI1221" s="3">
        <v>4.5910061999999998</v>
      </c>
      <c r="AJ1221" s="3">
        <v>4.5492464999999997</v>
      </c>
      <c r="AK1221" s="3">
        <v>4.5099390000000001</v>
      </c>
      <c r="AL1221" s="3">
        <v>4.4728665999999997</v>
      </c>
      <c r="AM1221" s="3">
        <v>4.4378126</v>
      </c>
      <c r="AN1221" s="3">
        <v>4.4045610000000002</v>
      </c>
      <c r="AO1221" s="3">
        <v>4.3729126999999997</v>
      </c>
      <c r="AP1221" s="3">
        <v>4.3427462999999999</v>
      </c>
      <c r="AQ1221" s="3">
        <v>4.3139630000000002</v>
      </c>
      <c r="AR1221" s="3">
        <v>4.2864630999999997</v>
      </c>
      <c r="AS1221" s="3">
        <v>4.2601465999999997</v>
      </c>
      <c r="AT1221" s="3">
        <v>4.2349147</v>
      </c>
      <c r="AU1221" s="3">
        <v>4.2106677000000001</v>
      </c>
      <c r="AV1221" s="3">
        <v>4.1873057999999999</v>
      </c>
      <c r="AW1221" s="3">
        <v>4.1647299999999996</v>
      </c>
      <c r="AX1221" s="3">
        <v>4.1428406999999998</v>
      </c>
      <c r="AY1221" s="3">
        <v>4.1215380000000001</v>
      </c>
      <c r="AZ1221" s="3">
        <v>4.1007230000000003</v>
      </c>
      <c r="BA1221" s="3">
        <v>4.0803130999999997</v>
      </c>
      <c r="BB1221" s="3">
        <v>4.0603008000000003</v>
      </c>
      <c r="BC1221" s="3">
        <v>4.0407004000000004</v>
      </c>
      <c r="BD1221" s="3">
        <v>4.0215253000000004</v>
      </c>
      <c r="BE1221" s="3">
        <v>4.0027888999999996</v>
      </c>
      <c r="BF1221" s="3">
        <v>3.9845055</v>
      </c>
      <c r="BG1221" s="3">
        <v>3.9666883999999998</v>
      </c>
      <c r="BH1221" s="3">
        <v>3.9493512000000002</v>
      </c>
      <c r="BI1221" s="3">
        <v>3.9325079000000001</v>
      </c>
      <c r="BJ1221" s="3">
        <v>3.916172</v>
      </c>
      <c r="BK1221" s="3">
        <v>3.9003570999999999</v>
      </c>
      <c r="BL1221" s="3">
        <v>3.8850771000000002</v>
      </c>
      <c r="BM1221" s="3">
        <v>3.8049928</v>
      </c>
      <c r="BN1221" s="3">
        <v>3.7451473000000002</v>
      </c>
    </row>
    <row r="1222" spans="1:66" x14ac:dyDescent="0.35">
      <c r="A1222" s="5">
        <f t="shared" si="18"/>
        <v>45166</v>
      </c>
      <c r="B1222" t="s">
        <v>2633</v>
      </c>
      <c r="C1222" s="2">
        <v>5.25</v>
      </c>
      <c r="D1222" s="2" t="e">
        <v>#N/A</v>
      </c>
      <c r="E1222" s="3" t="e">
        <v>#N/A</v>
      </c>
      <c r="F1222" s="3" t="e">
        <v>#N/A</v>
      </c>
      <c r="G1222" s="3" t="e">
        <v>#N/A</v>
      </c>
      <c r="H1222" s="3" t="e">
        <v>#N/A</v>
      </c>
      <c r="I1222" s="3" t="e">
        <v>#N/A</v>
      </c>
      <c r="J1222" s="3" t="e">
        <v>#N/A</v>
      </c>
      <c r="K1222" s="3" t="e">
        <v>#N/A</v>
      </c>
      <c r="L1222" s="3" t="e">
        <v>#N/A</v>
      </c>
      <c r="M1222" s="3" t="e">
        <v>#N/A</v>
      </c>
      <c r="N1222" s="3" t="e">
        <v>#N/A</v>
      </c>
      <c r="O1222" s="3" t="e">
        <v>#N/A</v>
      </c>
      <c r="P1222" s="3" t="e">
        <v>#N/A</v>
      </c>
      <c r="Q1222" s="3" t="e">
        <v>#N/A</v>
      </c>
      <c r="R1222" s="3" t="e">
        <v>#N/A</v>
      </c>
      <c r="S1222" s="3" t="e">
        <v>#N/A</v>
      </c>
      <c r="T1222" s="3" t="e">
        <v>#N/A</v>
      </c>
      <c r="U1222" s="3" t="e">
        <v>#N/A</v>
      </c>
      <c r="V1222" s="3" t="e">
        <v>#N/A</v>
      </c>
      <c r="W1222" s="3" t="e">
        <v>#N/A</v>
      </c>
      <c r="X1222" s="3" t="e">
        <v>#N/A</v>
      </c>
      <c r="Y1222" s="3" t="e">
        <v>#N/A</v>
      </c>
      <c r="Z1222" s="3" t="e">
        <v>#N/A</v>
      </c>
      <c r="AA1222" s="3" t="e">
        <v>#N/A</v>
      </c>
      <c r="AB1222" s="3" t="e">
        <v>#N/A</v>
      </c>
      <c r="AC1222" s="3" t="e">
        <v>#N/A</v>
      </c>
      <c r="AD1222" s="3" t="e">
        <v>#N/A</v>
      </c>
      <c r="AE1222" s="3" t="e">
        <v>#N/A</v>
      </c>
      <c r="AF1222" s="3" t="e">
        <v>#N/A</v>
      </c>
      <c r="AG1222" s="3" t="e">
        <v>#N/A</v>
      </c>
      <c r="AH1222" s="3" t="e">
        <v>#N/A</v>
      </c>
      <c r="AI1222" s="3" t="e">
        <v>#N/A</v>
      </c>
      <c r="AJ1222" s="3" t="e">
        <v>#N/A</v>
      </c>
      <c r="AK1222" s="3" t="e">
        <v>#N/A</v>
      </c>
      <c r="AL1222" s="3" t="e">
        <v>#N/A</v>
      </c>
      <c r="AM1222" s="3" t="e">
        <v>#N/A</v>
      </c>
      <c r="AN1222" s="3" t="e">
        <v>#N/A</v>
      </c>
      <c r="AO1222" s="3" t="e">
        <v>#N/A</v>
      </c>
      <c r="AP1222" s="3" t="e">
        <v>#N/A</v>
      </c>
      <c r="AQ1222" s="3" t="e">
        <v>#N/A</v>
      </c>
      <c r="AR1222" s="3" t="e">
        <v>#N/A</v>
      </c>
      <c r="AS1222" s="3" t="e">
        <v>#N/A</v>
      </c>
      <c r="AT1222" s="3" t="e">
        <v>#N/A</v>
      </c>
      <c r="AU1222" s="3" t="e">
        <v>#N/A</v>
      </c>
      <c r="AV1222" s="3" t="e">
        <v>#N/A</v>
      </c>
      <c r="AW1222" s="3" t="e">
        <v>#N/A</v>
      </c>
      <c r="AX1222" s="3" t="e">
        <v>#N/A</v>
      </c>
      <c r="AY1222" s="3" t="e">
        <v>#N/A</v>
      </c>
      <c r="AZ1222" s="3" t="e">
        <v>#N/A</v>
      </c>
      <c r="BA1222" s="3" t="e">
        <v>#N/A</v>
      </c>
      <c r="BB1222" s="3" t="e">
        <v>#N/A</v>
      </c>
      <c r="BC1222" s="3" t="e">
        <v>#N/A</v>
      </c>
      <c r="BD1222" s="3" t="e">
        <v>#N/A</v>
      </c>
      <c r="BE1222" s="3" t="e">
        <v>#N/A</v>
      </c>
      <c r="BF1222" s="3" t="e">
        <v>#N/A</v>
      </c>
      <c r="BG1222" s="3" t="e">
        <v>#N/A</v>
      </c>
      <c r="BH1222" s="3" t="e">
        <v>#N/A</v>
      </c>
      <c r="BI1222" s="3" t="e">
        <v>#N/A</v>
      </c>
      <c r="BJ1222" s="3" t="e">
        <v>#N/A</v>
      </c>
      <c r="BK1222" s="3" t="e">
        <v>#N/A</v>
      </c>
      <c r="BL1222" s="3" t="e">
        <v>#N/A</v>
      </c>
      <c r="BM1222" s="3" t="e">
        <v>#N/A</v>
      </c>
      <c r="BN1222" s="3" t="e">
        <v>#N/A</v>
      </c>
    </row>
    <row r="1223" spans="1:66" x14ac:dyDescent="0.35">
      <c r="A1223" s="5">
        <f t="shared" si="18"/>
        <v>45167</v>
      </c>
      <c r="B1223" t="s">
        <v>2634</v>
      </c>
      <c r="C1223" s="2">
        <v>5.25</v>
      </c>
      <c r="D1223" s="2">
        <v>5.1852999999999998</v>
      </c>
      <c r="E1223" s="3">
        <v>5.3647007000000002</v>
      </c>
      <c r="F1223" s="3">
        <v>5.5258361000000003</v>
      </c>
      <c r="G1223" s="3">
        <v>5.6382789000000004</v>
      </c>
      <c r="H1223" s="3">
        <v>5.7066606999999996</v>
      </c>
      <c r="I1223" s="3">
        <v>5.7448974000000002</v>
      </c>
      <c r="J1223" s="3">
        <v>5.7625472000000002</v>
      </c>
      <c r="K1223" s="3">
        <v>5.7643085000000003</v>
      </c>
      <c r="L1223" s="3">
        <v>5.7527168</v>
      </c>
      <c r="M1223" s="3">
        <v>5.7291955000000003</v>
      </c>
      <c r="N1223" s="3">
        <v>5.6959892999999999</v>
      </c>
      <c r="O1223" s="3">
        <v>5.6550113</v>
      </c>
      <c r="P1223" s="3">
        <v>5.6076630999999999</v>
      </c>
      <c r="Q1223" s="3">
        <v>5.5557547999999999</v>
      </c>
      <c r="R1223" s="3">
        <v>5.5002529999999998</v>
      </c>
      <c r="S1223" s="3">
        <v>5.4418347000000002</v>
      </c>
      <c r="T1223" s="3">
        <v>5.3811748000000001</v>
      </c>
      <c r="U1223" s="3">
        <v>5.3189481000000001</v>
      </c>
      <c r="V1223" s="3">
        <v>5.2558315999999996</v>
      </c>
      <c r="W1223" s="3">
        <v>5.1924736999999999</v>
      </c>
      <c r="X1223" s="3">
        <v>5.1293562000000001</v>
      </c>
      <c r="Y1223" s="3">
        <v>5.0668990999999997</v>
      </c>
      <c r="Z1223" s="3">
        <v>5.0055199000000004</v>
      </c>
      <c r="AA1223" s="3">
        <v>4.9456362</v>
      </c>
      <c r="AB1223" s="3">
        <v>4.8876676999999997</v>
      </c>
      <c r="AC1223" s="3">
        <v>4.8319590999999997</v>
      </c>
      <c r="AD1223" s="3">
        <v>4.7785337999999999</v>
      </c>
      <c r="AE1223" s="3">
        <v>4.7273284000000002</v>
      </c>
      <c r="AF1223" s="3">
        <v>4.6782776999999998</v>
      </c>
      <c r="AG1223" s="3">
        <v>4.6313164000000002</v>
      </c>
      <c r="AH1223" s="3">
        <v>4.5863810000000003</v>
      </c>
      <c r="AI1223" s="3">
        <v>4.5434064000000003</v>
      </c>
      <c r="AJ1223" s="3">
        <v>4.5023271999999999</v>
      </c>
      <c r="AK1223" s="3">
        <v>4.4630799999999997</v>
      </c>
      <c r="AL1223" s="3">
        <v>4.4255996</v>
      </c>
      <c r="AM1223" s="3">
        <v>4.3898207999999999</v>
      </c>
      <c r="AN1223" s="3">
        <v>4.3556799000000002</v>
      </c>
      <c r="AO1223" s="3">
        <v>4.3231112999999999</v>
      </c>
      <c r="AP1223" s="3">
        <v>4.2920463</v>
      </c>
      <c r="AQ1223" s="3">
        <v>4.2624161999999997</v>
      </c>
      <c r="AR1223" s="3">
        <v>4.2341511000000001</v>
      </c>
      <c r="AS1223" s="3">
        <v>4.2071813000000002</v>
      </c>
      <c r="AT1223" s="3">
        <v>4.1814378999999997</v>
      </c>
      <c r="AU1223" s="3">
        <v>4.1568512000000002</v>
      </c>
      <c r="AV1223" s="3">
        <v>4.1333513999999996</v>
      </c>
      <c r="AW1223" s="3">
        <v>4.1108696</v>
      </c>
      <c r="AX1223" s="3">
        <v>4.0893360999999997</v>
      </c>
      <c r="AY1223" s="3">
        <v>4.0686811000000001</v>
      </c>
      <c r="AZ1223" s="3">
        <v>4.0488356999999997</v>
      </c>
      <c r="BA1223" s="3">
        <v>4.0297368999999996</v>
      </c>
      <c r="BB1223" s="3">
        <v>4.0113576000000002</v>
      </c>
      <c r="BC1223" s="3">
        <v>3.9936837000000001</v>
      </c>
      <c r="BD1223" s="3">
        <v>3.9767001</v>
      </c>
      <c r="BE1223" s="3">
        <v>3.9603920000000001</v>
      </c>
      <c r="BF1223" s="3">
        <v>3.9447451</v>
      </c>
      <c r="BG1223" s="3">
        <v>3.9297445</v>
      </c>
      <c r="BH1223" s="3">
        <v>3.9153753999999998</v>
      </c>
      <c r="BI1223" s="3">
        <v>3.9016232999999998</v>
      </c>
      <c r="BJ1223" s="3">
        <v>3.8884734999999999</v>
      </c>
      <c r="BK1223" s="3">
        <v>3.8759109999999999</v>
      </c>
      <c r="BL1223" s="3">
        <v>3.8639215999999998</v>
      </c>
      <c r="BM1223" s="3">
        <v>3.8034124999999999</v>
      </c>
      <c r="BN1223" s="3">
        <v>3.7611810000000001</v>
      </c>
    </row>
    <row r="1224" spans="1:66" x14ac:dyDescent="0.35">
      <c r="A1224" s="5">
        <f t="shared" si="18"/>
        <v>45168</v>
      </c>
      <c r="B1224" t="s">
        <v>2635</v>
      </c>
      <c r="C1224" s="2">
        <v>5.25</v>
      </c>
      <c r="D1224" s="2">
        <v>5.1855000000000002</v>
      </c>
      <c r="E1224" s="3">
        <v>5.3613606999999996</v>
      </c>
      <c r="F1224" s="3">
        <v>5.5305391999999998</v>
      </c>
      <c r="G1224" s="3">
        <v>5.6465208999999996</v>
      </c>
      <c r="H1224" s="3">
        <v>5.7193399999999999</v>
      </c>
      <c r="I1224" s="3">
        <v>5.7615410000000002</v>
      </c>
      <c r="J1224" s="3">
        <v>5.782699</v>
      </c>
      <c r="K1224" s="3">
        <v>5.7892969000000001</v>
      </c>
      <c r="L1224" s="3">
        <v>5.7857079999999996</v>
      </c>
      <c r="M1224" s="3">
        <v>5.7742032999999999</v>
      </c>
      <c r="N1224" s="3">
        <v>5.7559516000000004</v>
      </c>
      <c r="O1224" s="3">
        <v>5.7306344999999999</v>
      </c>
      <c r="P1224" s="3">
        <v>5.6971778999999998</v>
      </c>
      <c r="Q1224" s="3">
        <v>5.6530813000000002</v>
      </c>
      <c r="R1224" s="3">
        <v>5.5991173999999999</v>
      </c>
      <c r="S1224" s="3">
        <v>5.537134</v>
      </c>
      <c r="T1224" s="3">
        <v>5.4689774</v>
      </c>
      <c r="U1224" s="3">
        <v>5.3964933000000004</v>
      </c>
      <c r="V1224" s="3">
        <v>5.3215301000000004</v>
      </c>
      <c r="W1224" s="3">
        <v>5.2458065999999999</v>
      </c>
      <c r="X1224" s="3">
        <v>5.1703210000000004</v>
      </c>
      <c r="Y1224" s="3">
        <v>5.0958208999999997</v>
      </c>
      <c r="Z1224" s="3">
        <v>5.0230509999999997</v>
      </c>
      <c r="AA1224" s="3">
        <v>4.9527559999999999</v>
      </c>
      <c r="AB1224" s="3">
        <v>4.8856830999999996</v>
      </c>
      <c r="AC1224" s="3">
        <v>4.8224605</v>
      </c>
      <c r="AD1224" s="3">
        <v>4.7630894000000001</v>
      </c>
      <c r="AE1224" s="3">
        <v>4.7073625999999997</v>
      </c>
      <c r="AF1224" s="3">
        <v>4.6550709000000001</v>
      </c>
      <c r="AG1224" s="3">
        <v>4.6060049999999997</v>
      </c>
      <c r="AH1224" s="3">
        <v>4.5599574</v>
      </c>
      <c r="AI1224" s="3">
        <v>4.5167188999999999</v>
      </c>
      <c r="AJ1224" s="3">
        <v>4.4760805000000001</v>
      </c>
      <c r="AK1224" s="3">
        <v>4.4378343999999998</v>
      </c>
      <c r="AL1224" s="3">
        <v>4.4017716</v>
      </c>
      <c r="AM1224" s="3">
        <v>4.3676829000000001</v>
      </c>
      <c r="AN1224" s="3">
        <v>4.3353606999999998</v>
      </c>
      <c r="AO1224" s="3">
        <v>4.3046116000000003</v>
      </c>
      <c r="AP1224" s="3">
        <v>4.2753278000000003</v>
      </c>
      <c r="AQ1224" s="3">
        <v>4.2474312999999997</v>
      </c>
      <c r="AR1224" s="3">
        <v>4.2208427000000004</v>
      </c>
      <c r="AS1224" s="3">
        <v>4.1954830000000003</v>
      </c>
      <c r="AT1224" s="3">
        <v>4.1712737999999998</v>
      </c>
      <c r="AU1224" s="3">
        <v>4.148136</v>
      </c>
      <c r="AV1224" s="3">
        <v>4.1259905999999997</v>
      </c>
      <c r="AW1224" s="3">
        <v>4.1047590999999999</v>
      </c>
      <c r="AX1224" s="3">
        <v>4.0843626000000004</v>
      </c>
      <c r="AY1224" s="3">
        <v>4.0647216999999998</v>
      </c>
      <c r="AZ1224" s="3">
        <v>4.0457583000000001</v>
      </c>
      <c r="BA1224" s="3">
        <v>4.0274032999999996</v>
      </c>
      <c r="BB1224" s="3">
        <v>4.0096369000000003</v>
      </c>
      <c r="BC1224" s="3">
        <v>3.9924550000000001</v>
      </c>
      <c r="BD1224" s="3">
        <v>3.9758528000000002</v>
      </c>
      <c r="BE1224" s="3">
        <v>3.9598255</v>
      </c>
      <c r="BF1224" s="3">
        <v>3.9443689000000002</v>
      </c>
      <c r="BG1224" s="3">
        <v>3.9294782000000001</v>
      </c>
      <c r="BH1224" s="3">
        <v>3.9151487</v>
      </c>
      <c r="BI1224" s="3">
        <v>3.9013762000000001</v>
      </c>
      <c r="BJ1224" s="3">
        <v>3.8881559000000001</v>
      </c>
      <c r="BK1224" s="3">
        <v>3.875483</v>
      </c>
      <c r="BL1224" s="3">
        <v>3.8633533</v>
      </c>
      <c r="BM1224" s="3">
        <v>3.8017544000000001</v>
      </c>
      <c r="BN1224" s="3">
        <v>3.7587484</v>
      </c>
    </row>
    <row r="1225" spans="1:66" x14ac:dyDescent="0.35">
      <c r="A1225" s="5">
        <f t="shared" si="18"/>
        <v>45169</v>
      </c>
      <c r="B1225" t="s">
        <v>2636</v>
      </c>
      <c r="C1225" s="2">
        <v>5.25</v>
      </c>
      <c r="D1225" s="2">
        <v>5.1852</v>
      </c>
      <c r="E1225" s="3">
        <v>5.3430616000000004</v>
      </c>
      <c r="F1225" s="3">
        <v>5.4840825000000004</v>
      </c>
      <c r="G1225" s="3">
        <v>5.5796014999999999</v>
      </c>
      <c r="H1225" s="3">
        <v>5.6389981000000002</v>
      </c>
      <c r="I1225" s="3">
        <v>5.6731835999999998</v>
      </c>
      <c r="J1225" s="3">
        <v>5.6900561999999999</v>
      </c>
      <c r="K1225" s="3">
        <v>5.6945531999999996</v>
      </c>
      <c r="L1225" s="3">
        <v>5.6897909000000002</v>
      </c>
      <c r="M1225" s="3">
        <v>5.6771155000000002</v>
      </c>
      <c r="N1225" s="3">
        <v>5.6572171999999998</v>
      </c>
      <c r="O1225" s="3">
        <v>5.6297807000000004</v>
      </c>
      <c r="P1225" s="3">
        <v>5.5942670999999997</v>
      </c>
      <c r="Q1225" s="3">
        <v>5.5488023999999996</v>
      </c>
      <c r="R1225" s="3">
        <v>5.4941972000000003</v>
      </c>
      <c r="S1225" s="3">
        <v>5.432347</v>
      </c>
      <c r="T1225" s="3">
        <v>5.3651463000000001</v>
      </c>
      <c r="U1225" s="3">
        <v>5.2944893000000004</v>
      </c>
      <c r="V1225" s="3">
        <v>5.2222727999999998</v>
      </c>
      <c r="W1225" s="3">
        <v>5.1501478000000001</v>
      </c>
      <c r="X1225" s="3">
        <v>5.0788397999999999</v>
      </c>
      <c r="Y1225" s="3">
        <v>5.0088562999999997</v>
      </c>
      <c r="Z1225" s="3">
        <v>4.9407022999999999</v>
      </c>
      <c r="AA1225" s="3">
        <v>4.8748829000000002</v>
      </c>
      <c r="AB1225" s="3">
        <v>4.8119056999999996</v>
      </c>
      <c r="AC1225" s="3">
        <v>4.7521852000000004</v>
      </c>
      <c r="AD1225" s="3">
        <v>4.6956954</v>
      </c>
      <c r="AE1225" s="3">
        <v>4.6422780000000001</v>
      </c>
      <c r="AF1225" s="3">
        <v>4.5917726999999999</v>
      </c>
      <c r="AG1225" s="3">
        <v>4.5440193000000004</v>
      </c>
      <c r="AH1225" s="3">
        <v>4.4988593999999997</v>
      </c>
      <c r="AI1225" s="3">
        <v>4.4561326000000001</v>
      </c>
      <c r="AJ1225" s="3">
        <v>4.4156791000000002</v>
      </c>
      <c r="AK1225" s="3">
        <v>4.3773399</v>
      </c>
      <c r="AL1225" s="3">
        <v>4.3409551999999998</v>
      </c>
      <c r="AM1225" s="3">
        <v>4.3063647999999999</v>
      </c>
      <c r="AN1225" s="3">
        <v>4.2734098999999999</v>
      </c>
      <c r="AO1225" s="3">
        <v>4.2419440000000002</v>
      </c>
      <c r="AP1225" s="3">
        <v>4.2118859999999998</v>
      </c>
      <c r="AQ1225" s="3">
        <v>4.1831762000000001</v>
      </c>
      <c r="AR1225" s="3">
        <v>4.1557535000000003</v>
      </c>
      <c r="AS1225" s="3">
        <v>4.1295568999999999</v>
      </c>
      <c r="AT1225" s="3">
        <v>4.1045265000000004</v>
      </c>
      <c r="AU1225" s="3">
        <v>4.0806012999999997</v>
      </c>
      <c r="AV1225" s="3">
        <v>4.0577205000000003</v>
      </c>
      <c r="AW1225" s="3">
        <v>4.0358238000000002</v>
      </c>
      <c r="AX1225" s="3">
        <v>4.0148504999999997</v>
      </c>
      <c r="AY1225" s="3">
        <v>3.9947395999999999</v>
      </c>
      <c r="AZ1225" s="3">
        <v>3.9754311000000002</v>
      </c>
      <c r="BA1225" s="3">
        <v>3.9568707999999999</v>
      </c>
      <c r="BB1225" s="3">
        <v>3.9390344000000002</v>
      </c>
      <c r="BC1225" s="3">
        <v>3.9219067999999999</v>
      </c>
      <c r="BD1225" s="3">
        <v>3.9054717999999999</v>
      </c>
      <c r="BE1225" s="3">
        <v>3.8897137000000002</v>
      </c>
      <c r="BF1225" s="3">
        <v>3.8746168999999999</v>
      </c>
      <c r="BG1225" s="3">
        <v>3.8601656000000002</v>
      </c>
      <c r="BH1225" s="3">
        <v>3.8463438999999999</v>
      </c>
      <c r="BI1225" s="3">
        <v>3.8331363000000001</v>
      </c>
      <c r="BJ1225" s="3">
        <v>3.8205268999999999</v>
      </c>
      <c r="BK1225" s="3">
        <v>3.8084997999999999</v>
      </c>
      <c r="BL1225" s="3">
        <v>3.7970394999999999</v>
      </c>
      <c r="BM1225" s="3">
        <v>3.7395835000000002</v>
      </c>
      <c r="BN1225" s="3">
        <v>3.7003180000000002</v>
      </c>
    </row>
    <row r="1226" spans="1:66" x14ac:dyDescent="0.35">
      <c r="A1226" s="5">
        <f t="shared" si="18"/>
        <v>45170</v>
      </c>
      <c r="B1226" t="s">
        <v>2637</v>
      </c>
      <c r="C1226" s="2">
        <v>5.25</v>
      </c>
      <c r="D1226" s="2">
        <v>5.1852</v>
      </c>
      <c r="E1226" s="3">
        <v>5.3589462000000001</v>
      </c>
      <c r="F1226" s="3">
        <v>5.4800595000000003</v>
      </c>
      <c r="G1226" s="3">
        <v>5.5683544999999999</v>
      </c>
      <c r="H1226" s="3">
        <v>5.6221502000000001</v>
      </c>
      <c r="I1226" s="3">
        <v>5.6493563</v>
      </c>
      <c r="J1226" s="3">
        <v>5.6582536000000001</v>
      </c>
      <c r="K1226" s="3">
        <v>5.6542138</v>
      </c>
      <c r="L1226" s="3">
        <v>5.6413007000000004</v>
      </c>
      <c r="M1226" s="3">
        <v>5.6217265000000003</v>
      </c>
      <c r="N1226" s="3">
        <v>5.5964081999999999</v>
      </c>
      <c r="O1226" s="3">
        <v>5.5652603999999997</v>
      </c>
      <c r="P1226" s="3">
        <v>5.5274239999999999</v>
      </c>
      <c r="Q1226" s="3">
        <v>5.4814217000000003</v>
      </c>
      <c r="R1226" s="3">
        <v>5.4281541000000004</v>
      </c>
      <c r="S1226" s="3">
        <v>5.3693346999999996</v>
      </c>
      <c r="T1226" s="3">
        <v>5.3066751999999999</v>
      </c>
      <c r="U1226" s="3">
        <v>5.2418871999999999</v>
      </c>
      <c r="V1226" s="3">
        <v>5.1766848000000003</v>
      </c>
      <c r="W1226" s="3">
        <v>5.1125658999999999</v>
      </c>
      <c r="X1226" s="3">
        <v>5.0500379000000004</v>
      </c>
      <c r="Y1226" s="3">
        <v>4.9893235999999996</v>
      </c>
      <c r="Z1226" s="3">
        <v>4.9306432999999998</v>
      </c>
      <c r="AA1226" s="3">
        <v>4.8742174</v>
      </c>
      <c r="AB1226" s="3">
        <v>4.8202685000000001</v>
      </c>
      <c r="AC1226" s="3">
        <v>4.7689627000000003</v>
      </c>
      <c r="AD1226" s="3">
        <v>4.7202270000000004</v>
      </c>
      <c r="AE1226" s="3">
        <v>4.6739240000000004</v>
      </c>
      <c r="AF1226" s="3">
        <v>4.6299146000000002</v>
      </c>
      <c r="AG1226" s="3">
        <v>4.5880596999999996</v>
      </c>
      <c r="AH1226" s="3">
        <v>4.548222</v>
      </c>
      <c r="AI1226" s="3">
        <v>4.5102622999999999</v>
      </c>
      <c r="AJ1226" s="3">
        <v>4.4740416999999999</v>
      </c>
      <c r="AK1226" s="3">
        <v>4.4394226000000003</v>
      </c>
      <c r="AL1226" s="3">
        <v>4.4062659000000002</v>
      </c>
      <c r="AM1226" s="3">
        <v>4.3744326999999998</v>
      </c>
      <c r="AN1226" s="3">
        <v>4.3437855000000001</v>
      </c>
      <c r="AO1226" s="3">
        <v>4.3142015999999996</v>
      </c>
      <c r="AP1226" s="3">
        <v>4.2856316000000003</v>
      </c>
      <c r="AQ1226" s="3">
        <v>4.2580472</v>
      </c>
      <c r="AR1226" s="3">
        <v>4.2314189000000004</v>
      </c>
      <c r="AS1226" s="3">
        <v>4.2057174000000002</v>
      </c>
      <c r="AT1226" s="3">
        <v>4.1809142000000001</v>
      </c>
      <c r="AU1226" s="3">
        <v>4.1569799999999999</v>
      </c>
      <c r="AV1226" s="3">
        <v>4.1338853999999996</v>
      </c>
      <c r="AW1226" s="3">
        <v>4.1116020000000004</v>
      </c>
      <c r="AX1226" s="3">
        <v>4.0901002999999996</v>
      </c>
      <c r="AY1226" s="3">
        <v>4.0693511999999998</v>
      </c>
      <c r="AZ1226" s="3">
        <v>4.0493259999999998</v>
      </c>
      <c r="BA1226" s="3">
        <v>4.0299985999999999</v>
      </c>
      <c r="BB1226" s="3">
        <v>4.0113567999999997</v>
      </c>
      <c r="BC1226" s="3">
        <v>3.9933930000000002</v>
      </c>
      <c r="BD1226" s="3">
        <v>3.9760987999999999</v>
      </c>
      <c r="BE1226" s="3">
        <v>3.9594659999999999</v>
      </c>
      <c r="BF1226" s="3">
        <v>3.9434868000000001</v>
      </c>
      <c r="BG1226" s="3">
        <v>3.928153</v>
      </c>
      <c r="BH1226" s="3">
        <v>3.9134562000000002</v>
      </c>
      <c r="BI1226" s="3">
        <v>3.8993888000000001</v>
      </c>
      <c r="BJ1226" s="3">
        <v>3.8859425000000001</v>
      </c>
      <c r="BK1226" s="3">
        <v>3.8731089999999999</v>
      </c>
      <c r="BL1226" s="3">
        <v>3.8608804000000001</v>
      </c>
      <c r="BM1226" s="3">
        <v>3.7998194999999999</v>
      </c>
      <c r="BN1226" s="3">
        <v>3.7588716</v>
      </c>
    </row>
    <row r="1227" spans="1:66" x14ac:dyDescent="0.35">
      <c r="A1227" s="5">
        <f t="shared" si="18"/>
        <v>45173</v>
      </c>
      <c r="B1227" t="s">
        <v>2639</v>
      </c>
      <c r="C1227" s="2">
        <v>5.25</v>
      </c>
      <c r="D1227" s="2">
        <v>5.1852999999999998</v>
      </c>
      <c r="E1227" s="3">
        <v>5.3946404000000001</v>
      </c>
      <c r="F1227" s="3">
        <v>5.4933493999999996</v>
      </c>
      <c r="G1227" s="3">
        <v>5.5791193000000003</v>
      </c>
      <c r="H1227" s="3">
        <v>5.6385369000000001</v>
      </c>
      <c r="I1227" s="3">
        <v>5.6721757000000004</v>
      </c>
      <c r="J1227" s="3">
        <v>5.6861768000000001</v>
      </c>
      <c r="K1227" s="3">
        <v>5.6861302</v>
      </c>
      <c r="L1227" s="3">
        <v>5.6770569999999996</v>
      </c>
      <c r="M1227" s="3">
        <v>5.661734</v>
      </c>
      <c r="N1227" s="3">
        <v>5.6415350000000002</v>
      </c>
      <c r="O1227" s="3">
        <v>5.6161551000000003</v>
      </c>
      <c r="P1227" s="3">
        <v>5.5848461</v>
      </c>
      <c r="Q1227" s="3">
        <v>5.5451623000000003</v>
      </c>
      <c r="R1227" s="3">
        <v>5.4975778999999996</v>
      </c>
      <c r="S1227" s="3">
        <v>5.4435862000000004</v>
      </c>
      <c r="T1227" s="3">
        <v>5.3846791999999999</v>
      </c>
      <c r="U1227" s="3">
        <v>5.3223485000000004</v>
      </c>
      <c r="V1227" s="3">
        <v>5.2580878999999996</v>
      </c>
      <c r="W1227" s="3">
        <v>5.1932308000000003</v>
      </c>
      <c r="X1227" s="3">
        <v>5.1285074000000002</v>
      </c>
      <c r="Y1227" s="3">
        <v>5.0645068999999996</v>
      </c>
      <c r="Z1227" s="3">
        <v>5.0018162000000004</v>
      </c>
      <c r="AA1227" s="3">
        <v>4.9410220000000002</v>
      </c>
      <c r="AB1227" s="3">
        <v>4.8827135000000004</v>
      </c>
      <c r="AC1227" s="3">
        <v>4.8273653999999997</v>
      </c>
      <c r="AD1227" s="3">
        <v>4.7749578000000001</v>
      </c>
      <c r="AE1227" s="3">
        <v>4.7253360999999998</v>
      </c>
      <c r="AF1227" s="3">
        <v>4.6783437000000001</v>
      </c>
      <c r="AG1227" s="3">
        <v>4.6338242999999997</v>
      </c>
      <c r="AH1227" s="3">
        <v>4.5916231999999999</v>
      </c>
      <c r="AI1227" s="3">
        <v>4.5515838999999998</v>
      </c>
      <c r="AJ1227" s="3">
        <v>4.5135500999999998</v>
      </c>
      <c r="AK1227" s="3">
        <v>4.4773670000000001</v>
      </c>
      <c r="AL1227" s="3">
        <v>4.4428780000000003</v>
      </c>
      <c r="AM1227" s="3">
        <v>4.4099272000000003</v>
      </c>
      <c r="AN1227" s="3">
        <v>4.3783592000000002</v>
      </c>
      <c r="AO1227" s="3">
        <v>4.3480352</v>
      </c>
      <c r="AP1227" s="3">
        <v>4.3188914</v>
      </c>
      <c r="AQ1227" s="3">
        <v>4.2908863000000004</v>
      </c>
      <c r="AR1227" s="3">
        <v>4.2639771</v>
      </c>
      <c r="AS1227" s="3">
        <v>4.2381213000000004</v>
      </c>
      <c r="AT1227" s="3">
        <v>4.2132771</v>
      </c>
      <c r="AU1227" s="3">
        <v>4.1894019</v>
      </c>
      <c r="AV1227" s="3">
        <v>4.1664531</v>
      </c>
      <c r="AW1227" s="3">
        <v>4.1443887999999998</v>
      </c>
      <c r="AX1227" s="3">
        <v>4.1231665</v>
      </c>
      <c r="AY1227" s="3">
        <v>4.1027434999999999</v>
      </c>
      <c r="AZ1227" s="3">
        <v>4.0830780999999998</v>
      </c>
      <c r="BA1227" s="3">
        <v>4.0641322999999998</v>
      </c>
      <c r="BB1227" s="3">
        <v>4.0458936000000003</v>
      </c>
      <c r="BC1227" s="3">
        <v>4.0283581999999996</v>
      </c>
      <c r="BD1227" s="3">
        <v>4.0115221999999999</v>
      </c>
      <c r="BE1227" s="3">
        <v>3.9953813</v>
      </c>
      <c r="BF1227" s="3">
        <v>3.9799319</v>
      </c>
      <c r="BG1227" s="3">
        <v>3.9651698999999998</v>
      </c>
      <c r="BH1227" s="3">
        <v>3.9510911000000002</v>
      </c>
      <c r="BI1227" s="3">
        <v>3.9376920000000002</v>
      </c>
      <c r="BJ1227" s="3">
        <v>3.9249684</v>
      </c>
      <c r="BK1227" s="3">
        <v>3.9129160999999999</v>
      </c>
      <c r="BL1227" s="3">
        <v>3.9015316000000002</v>
      </c>
      <c r="BM1227" s="3">
        <v>3.8467185000000002</v>
      </c>
      <c r="BN1227" s="3">
        <v>3.8130837</v>
      </c>
    </row>
    <row r="1228" spans="1:66" x14ac:dyDescent="0.35">
      <c r="A1228" s="5">
        <f t="shared" si="18"/>
        <v>45174</v>
      </c>
      <c r="B1228" t="s">
        <v>2640</v>
      </c>
      <c r="C1228" s="2">
        <v>5.25</v>
      </c>
      <c r="D1228" s="2">
        <v>5.1852999999999998</v>
      </c>
      <c r="E1228" s="3">
        <v>5.4021583</v>
      </c>
      <c r="F1228" s="3">
        <v>5.4966910000000002</v>
      </c>
      <c r="G1228" s="3">
        <v>5.5849900000000003</v>
      </c>
      <c r="H1228" s="3">
        <v>5.6511212000000004</v>
      </c>
      <c r="I1228" s="3">
        <v>5.6926383999999999</v>
      </c>
      <c r="J1228" s="3">
        <v>5.7140753000000002</v>
      </c>
      <c r="K1228" s="3">
        <v>5.7204793</v>
      </c>
      <c r="L1228" s="3">
        <v>5.7170968999999996</v>
      </c>
      <c r="M1228" s="3">
        <v>5.7071529999999999</v>
      </c>
      <c r="N1228" s="3">
        <v>5.6922503999999998</v>
      </c>
      <c r="O1228" s="3">
        <v>5.6721073999999998</v>
      </c>
      <c r="P1228" s="3">
        <v>5.6458062</v>
      </c>
      <c r="Q1228" s="3">
        <v>5.6107315</v>
      </c>
      <c r="R1228" s="3">
        <v>5.5673051999999998</v>
      </c>
      <c r="S1228" s="3">
        <v>5.5169803999999996</v>
      </c>
      <c r="T1228" s="3">
        <v>5.4612083</v>
      </c>
      <c r="U1228" s="3">
        <v>5.4014403</v>
      </c>
      <c r="V1228" s="3">
        <v>5.3391297</v>
      </c>
      <c r="W1228" s="3">
        <v>5.2755837999999997</v>
      </c>
      <c r="X1228" s="3">
        <v>5.2115625000000003</v>
      </c>
      <c r="Y1228" s="3">
        <v>5.1476972999999999</v>
      </c>
      <c r="Z1228" s="3">
        <v>5.0846176999999999</v>
      </c>
      <c r="AA1228" s="3">
        <v>5.0229530999999996</v>
      </c>
      <c r="AB1228" s="3">
        <v>4.9633351000000001</v>
      </c>
      <c r="AC1228" s="3">
        <v>4.9062830000000002</v>
      </c>
      <c r="AD1228" s="3">
        <v>4.8518298</v>
      </c>
      <c r="AE1228" s="3">
        <v>4.7998763000000002</v>
      </c>
      <c r="AF1228" s="3">
        <v>4.7503213999999998</v>
      </c>
      <c r="AG1228" s="3">
        <v>4.7030640000000004</v>
      </c>
      <c r="AH1228" s="3">
        <v>4.6580047999999996</v>
      </c>
      <c r="AI1228" s="3">
        <v>4.6150425999999998</v>
      </c>
      <c r="AJ1228" s="3">
        <v>4.5740765999999997</v>
      </c>
      <c r="AK1228" s="3">
        <v>4.5350070999999996</v>
      </c>
      <c r="AL1228" s="3">
        <v>4.4977331999999999</v>
      </c>
      <c r="AM1228" s="3">
        <v>4.462154</v>
      </c>
      <c r="AN1228" s="3">
        <v>4.4281698</v>
      </c>
      <c r="AO1228" s="3">
        <v>4.3956850000000003</v>
      </c>
      <c r="AP1228" s="3">
        <v>4.3646330000000004</v>
      </c>
      <c r="AQ1228" s="3">
        <v>4.3349577000000004</v>
      </c>
      <c r="AR1228" s="3">
        <v>4.3066019999999998</v>
      </c>
      <c r="AS1228" s="3">
        <v>4.279509</v>
      </c>
      <c r="AT1228" s="3">
        <v>4.2536224000000002</v>
      </c>
      <c r="AU1228" s="3">
        <v>4.2288854000000002</v>
      </c>
      <c r="AV1228" s="3">
        <v>4.2052408999999997</v>
      </c>
      <c r="AW1228" s="3">
        <v>4.1826327000000001</v>
      </c>
      <c r="AX1228" s="3">
        <v>4.1610037999999996</v>
      </c>
      <c r="AY1228" s="3">
        <v>4.1402973999999997</v>
      </c>
      <c r="AZ1228" s="3">
        <v>4.1204571000000003</v>
      </c>
      <c r="BA1228" s="3">
        <v>4.1014315999999997</v>
      </c>
      <c r="BB1228" s="3">
        <v>4.0831967999999996</v>
      </c>
      <c r="BC1228" s="3">
        <v>4.0657375</v>
      </c>
      <c r="BD1228" s="3">
        <v>4.0490379000000001</v>
      </c>
      <c r="BE1228" s="3">
        <v>4.0330822</v>
      </c>
      <c r="BF1228" s="3">
        <v>4.0178551999999996</v>
      </c>
      <c r="BG1228" s="3">
        <v>4.0033409999999998</v>
      </c>
      <c r="BH1228" s="3">
        <v>3.9895239999999998</v>
      </c>
      <c r="BI1228" s="3">
        <v>3.9763888000000001</v>
      </c>
      <c r="BJ1228" s="3">
        <v>3.9639196999999999</v>
      </c>
      <c r="BK1228" s="3">
        <v>3.9521009</v>
      </c>
      <c r="BL1228" s="3">
        <v>3.9409171999999999</v>
      </c>
      <c r="BM1228" s="3">
        <v>3.8864222000000002</v>
      </c>
      <c r="BN1228" s="3">
        <v>3.8517665999999999</v>
      </c>
    </row>
    <row r="1229" spans="1:66" x14ac:dyDescent="0.35">
      <c r="A1229" s="5">
        <f t="shared" si="18"/>
        <v>45175</v>
      </c>
      <c r="B1229" t="s">
        <v>2641</v>
      </c>
      <c r="C1229" s="2">
        <v>5.25</v>
      </c>
      <c r="D1229" s="2">
        <v>5.1849999999999996</v>
      </c>
      <c r="E1229" s="3">
        <v>5.3964274999999997</v>
      </c>
      <c r="F1229" s="3">
        <v>5.4794233999999999</v>
      </c>
      <c r="G1229" s="3">
        <v>5.5613786000000003</v>
      </c>
      <c r="H1229" s="3">
        <v>5.6245450000000003</v>
      </c>
      <c r="I1229" s="3">
        <v>5.6645728000000002</v>
      </c>
      <c r="J1229" s="3">
        <v>5.6860815000000002</v>
      </c>
      <c r="K1229" s="3">
        <v>5.6939419999999998</v>
      </c>
      <c r="L1229" s="3">
        <v>5.6929350999999997</v>
      </c>
      <c r="M1229" s="3">
        <v>5.6858556</v>
      </c>
      <c r="N1229" s="3">
        <v>5.6738115000000002</v>
      </c>
      <c r="O1229" s="3">
        <v>5.6564103000000001</v>
      </c>
      <c r="P1229" s="3">
        <v>5.6324828</v>
      </c>
      <c r="Q1229" s="3">
        <v>5.5994164</v>
      </c>
      <c r="R1229" s="3">
        <v>5.5576699999999999</v>
      </c>
      <c r="S1229" s="3">
        <v>5.5087181000000003</v>
      </c>
      <c r="T1229" s="3">
        <v>5.4540335999999998</v>
      </c>
      <c r="U1229" s="3">
        <v>5.3950893999999998</v>
      </c>
      <c r="V1229" s="3">
        <v>5.3333602999999998</v>
      </c>
      <c r="W1229" s="3">
        <v>5.2701846999999997</v>
      </c>
      <c r="X1229" s="3">
        <v>5.2063892999999997</v>
      </c>
      <c r="Y1229" s="3">
        <v>5.1426813999999998</v>
      </c>
      <c r="Z1229" s="3">
        <v>5.0797657999999997</v>
      </c>
      <c r="AA1229" s="3">
        <v>5.0183476000000002</v>
      </c>
      <c r="AB1229" s="3">
        <v>4.9591339999999997</v>
      </c>
      <c r="AC1229" s="3">
        <v>4.9027275000000001</v>
      </c>
      <c r="AD1229" s="3">
        <v>4.8491787000000004</v>
      </c>
      <c r="AE1229" s="3">
        <v>4.7983551999999996</v>
      </c>
      <c r="AF1229" s="3">
        <v>4.7501227000000004</v>
      </c>
      <c r="AG1229" s="3">
        <v>4.7043467999999997</v>
      </c>
      <c r="AH1229" s="3">
        <v>4.6608948000000003</v>
      </c>
      <c r="AI1229" s="3">
        <v>4.6196321999999999</v>
      </c>
      <c r="AJ1229" s="3">
        <v>4.580425</v>
      </c>
      <c r="AK1229" s="3">
        <v>4.5431400999999996</v>
      </c>
      <c r="AL1229" s="3">
        <v>4.5076434000000001</v>
      </c>
      <c r="AM1229" s="3">
        <v>4.4738005999999997</v>
      </c>
      <c r="AN1229" s="3">
        <v>4.4414787000000002</v>
      </c>
      <c r="AO1229" s="3">
        <v>4.4105539</v>
      </c>
      <c r="AP1229" s="3">
        <v>4.3809534000000001</v>
      </c>
      <c r="AQ1229" s="3">
        <v>4.3526208000000004</v>
      </c>
      <c r="AR1229" s="3">
        <v>4.3254985000000001</v>
      </c>
      <c r="AS1229" s="3">
        <v>4.2995292000000003</v>
      </c>
      <c r="AT1229" s="3">
        <v>4.2746564999999999</v>
      </c>
      <c r="AU1229" s="3">
        <v>4.2508229000000002</v>
      </c>
      <c r="AV1229" s="3">
        <v>4.2279710000000001</v>
      </c>
      <c r="AW1229" s="3">
        <v>4.2060443000000003</v>
      </c>
      <c r="AX1229" s="3">
        <v>4.1849854999999998</v>
      </c>
      <c r="AY1229" s="3">
        <v>4.1647372000000003</v>
      </c>
      <c r="AZ1229" s="3">
        <v>4.1452426999999998</v>
      </c>
      <c r="BA1229" s="3">
        <v>4.1264523000000004</v>
      </c>
      <c r="BB1229" s="3">
        <v>4.1083486000000002</v>
      </c>
      <c r="BC1229" s="3">
        <v>4.0909240999999996</v>
      </c>
      <c r="BD1229" s="3">
        <v>4.0741706000000004</v>
      </c>
      <c r="BE1229" s="3">
        <v>4.0580800000000004</v>
      </c>
      <c r="BF1229" s="3">
        <v>4.0426446</v>
      </c>
      <c r="BG1229" s="3">
        <v>4.0278564000000001</v>
      </c>
      <c r="BH1229" s="3">
        <v>4.0137071000000004</v>
      </c>
      <c r="BI1229" s="3">
        <v>4.0001891000000001</v>
      </c>
      <c r="BJ1229" s="3">
        <v>3.9872942</v>
      </c>
      <c r="BK1229" s="3">
        <v>3.9750144000000001</v>
      </c>
      <c r="BL1229" s="3">
        <v>3.9633419999999999</v>
      </c>
      <c r="BM1229" s="3">
        <v>3.9055567999999998</v>
      </c>
      <c r="BN1229" s="3">
        <v>3.8672819999999999</v>
      </c>
    </row>
    <row r="1230" spans="1:66" x14ac:dyDescent="0.35">
      <c r="A1230" s="5">
        <f t="shared" si="18"/>
        <v>45176</v>
      </c>
      <c r="B1230" t="s">
        <v>2642</v>
      </c>
      <c r="C1230" s="2">
        <v>5.25</v>
      </c>
      <c r="D1230" s="2">
        <v>5.1855000000000002</v>
      </c>
      <c r="E1230" s="3">
        <v>5.3944127000000002</v>
      </c>
      <c r="F1230" s="3">
        <v>5.4556290000000001</v>
      </c>
      <c r="G1230" s="3">
        <v>5.515987</v>
      </c>
      <c r="H1230" s="3">
        <v>5.5596547000000003</v>
      </c>
      <c r="I1230" s="3">
        <v>5.5845742999999999</v>
      </c>
      <c r="J1230" s="3">
        <v>5.5954084999999996</v>
      </c>
      <c r="K1230" s="3">
        <v>5.5960713999999996</v>
      </c>
      <c r="L1230" s="3">
        <v>5.5895644999999998</v>
      </c>
      <c r="M1230" s="3">
        <v>5.5772765</v>
      </c>
      <c r="N1230" s="3">
        <v>5.5594131000000004</v>
      </c>
      <c r="O1230" s="3">
        <v>5.5352002000000002</v>
      </c>
      <c r="P1230" s="3">
        <v>5.5037675999999998</v>
      </c>
      <c r="Q1230" s="3">
        <v>5.4628401999999996</v>
      </c>
      <c r="R1230" s="3">
        <v>5.4131231</v>
      </c>
      <c r="S1230" s="3">
        <v>5.3565199000000003</v>
      </c>
      <c r="T1230" s="3">
        <v>5.2949335</v>
      </c>
      <c r="U1230" s="3">
        <v>5.2302663000000003</v>
      </c>
      <c r="V1230" s="3">
        <v>5.1644231999999999</v>
      </c>
      <c r="W1230" s="3">
        <v>5.0990511999999999</v>
      </c>
      <c r="X1230" s="3">
        <v>5.0348242000000001</v>
      </c>
      <c r="Y1230" s="3">
        <v>4.9721865999999997</v>
      </c>
      <c r="Z1230" s="3">
        <v>4.9115808999999997</v>
      </c>
      <c r="AA1230" s="3">
        <v>4.8534493000000003</v>
      </c>
      <c r="AB1230" s="3">
        <v>4.7982363000000001</v>
      </c>
      <c r="AC1230" s="3">
        <v>4.7462974000000004</v>
      </c>
      <c r="AD1230" s="3">
        <v>4.6975654000000002</v>
      </c>
      <c r="AE1230" s="3">
        <v>4.6518459999999999</v>
      </c>
      <c r="AF1230" s="3">
        <v>4.6089431999999997</v>
      </c>
      <c r="AG1230" s="3">
        <v>4.5686609999999996</v>
      </c>
      <c r="AH1230" s="3">
        <v>4.530805</v>
      </c>
      <c r="AI1230" s="3">
        <v>4.4951793000000002</v>
      </c>
      <c r="AJ1230" s="3">
        <v>4.4615878999999996</v>
      </c>
      <c r="AK1230" s="3">
        <v>4.4298362999999998</v>
      </c>
      <c r="AL1230" s="3">
        <v>4.3997286000000004</v>
      </c>
      <c r="AM1230" s="3">
        <v>4.3710690999999997</v>
      </c>
      <c r="AN1230" s="3">
        <v>4.3436627999999997</v>
      </c>
      <c r="AO1230" s="3">
        <v>4.3173374999999998</v>
      </c>
      <c r="AP1230" s="3">
        <v>4.2920237999999999</v>
      </c>
      <c r="AQ1230" s="3">
        <v>4.2676813999999998</v>
      </c>
      <c r="AR1230" s="3">
        <v>4.2442694999999997</v>
      </c>
      <c r="AS1230" s="3">
        <v>4.2217471</v>
      </c>
      <c r="AT1230" s="3">
        <v>4.2000742000000004</v>
      </c>
      <c r="AU1230" s="3">
        <v>4.1792096000000001</v>
      </c>
      <c r="AV1230" s="3">
        <v>4.1591126000000003</v>
      </c>
      <c r="AW1230" s="3">
        <v>4.1397428999999999</v>
      </c>
      <c r="AX1230" s="3">
        <v>4.1210595999999997</v>
      </c>
      <c r="AY1230" s="3">
        <v>4.1030218999999999</v>
      </c>
      <c r="AZ1230" s="3">
        <v>4.0855893999999999</v>
      </c>
      <c r="BA1230" s="3">
        <v>4.0687271999999997</v>
      </c>
      <c r="BB1230" s="3">
        <v>4.0524259999999996</v>
      </c>
      <c r="BC1230" s="3">
        <v>4.0366841999999998</v>
      </c>
      <c r="BD1230" s="3">
        <v>4.0214999000000002</v>
      </c>
      <c r="BE1230" s="3">
        <v>4.0068707999999997</v>
      </c>
      <c r="BF1230" s="3">
        <v>3.9927953999999999</v>
      </c>
      <c r="BG1230" s="3">
        <v>3.9792717</v>
      </c>
      <c r="BH1230" s="3">
        <v>3.9662975</v>
      </c>
      <c r="BI1230" s="3">
        <v>3.9538712999999999</v>
      </c>
      <c r="BJ1230" s="3">
        <v>3.9419909</v>
      </c>
      <c r="BK1230" s="3">
        <v>3.9306543999999999</v>
      </c>
      <c r="BL1230" s="3">
        <v>3.9198601000000002</v>
      </c>
      <c r="BM1230" s="3">
        <v>3.8662239999999999</v>
      </c>
      <c r="BN1230" s="3">
        <v>3.8307259</v>
      </c>
    </row>
    <row r="1231" spans="1:66" x14ac:dyDescent="0.35">
      <c r="A1231" s="5">
        <f t="shared" si="18"/>
        <v>45177</v>
      </c>
      <c r="B1231" t="s">
        <v>2643</v>
      </c>
      <c r="C1231" s="2">
        <v>5.25</v>
      </c>
      <c r="D1231" s="2">
        <v>5.1855000000000002</v>
      </c>
      <c r="E1231" s="3">
        <v>5.3949645000000004</v>
      </c>
      <c r="F1231" s="3">
        <v>5.4525218000000004</v>
      </c>
      <c r="G1231" s="3">
        <v>5.5067127999999999</v>
      </c>
      <c r="H1231" s="3">
        <v>5.5427850999999997</v>
      </c>
      <c r="I1231" s="3">
        <v>5.5595419000000001</v>
      </c>
      <c r="J1231" s="3">
        <v>5.5612788000000002</v>
      </c>
      <c r="K1231" s="3">
        <v>5.5519598999999999</v>
      </c>
      <c r="L1231" s="3">
        <v>5.5352408000000004</v>
      </c>
      <c r="M1231" s="3">
        <v>5.5136688999999999</v>
      </c>
      <c r="N1231" s="3">
        <v>5.4884301999999998</v>
      </c>
      <c r="O1231" s="3">
        <v>5.4592736000000004</v>
      </c>
      <c r="P1231" s="3">
        <v>5.4251103000000001</v>
      </c>
      <c r="Q1231" s="3">
        <v>5.3832298999999999</v>
      </c>
      <c r="R1231" s="3">
        <v>5.3340578000000001</v>
      </c>
      <c r="S1231" s="3">
        <v>5.2791682</v>
      </c>
      <c r="T1231" s="3">
        <v>5.2201338000000002</v>
      </c>
      <c r="U1231" s="3">
        <v>5.1585273000000003</v>
      </c>
      <c r="V1231" s="3">
        <v>5.0959232999999999</v>
      </c>
      <c r="W1231" s="3">
        <v>5.0337297999999997</v>
      </c>
      <c r="X1231" s="3">
        <v>4.9725906999999996</v>
      </c>
      <c r="Y1231" s="3">
        <v>4.9129303999999996</v>
      </c>
      <c r="Z1231" s="3">
        <v>4.8551716000000003</v>
      </c>
      <c r="AA1231" s="3">
        <v>4.7997367000000004</v>
      </c>
      <c r="AB1231" s="3">
        <v>4.7470501000000001</v>
      </c>
      <c r="AC1231" s="3">
        <v>4.6974426999999999</v>
      </c>
      <c r="AD1231" s="3">
        <v>4.6508399999999996</v>
      </c>
      <c r="AE1231" s="3">
        <v>4.6070576000000001</v>
      </c>
      <c r="AF1231" s="3">
        <v>4.5659092000000001</v>
      </c>
      <c r="AG1231" s="3">
        <v>4.5272088999999998</v>
      </c>
      <c r="AH1231" s="3">
        <v>4.4907718000000001</v>
      </c>
      <c r="AI1231" s="3">
        <v>4.4564120000000003</v>
      </c>
      <c r="AJ1231" s="3">
        <v>4.4239435</v>
      </c>
      <c r="AK1231" s="3">
        <v>4.3931813000000002</v>
      </c>
      <c r="AL1231" s="3">
        <v>4.3639396000000001</v>
      </c>
      <c r="AM1231" s="3">
        <v>4.3360323000000003</v>
      </c>
      <c r="AN1231" s="3">
        <v>4.3092744999999999</v>
      </c>
      <c r="AO1231" s="3">
        <v>4.2835026000000003</v>
      </c>
      <c r="AP1231" s="3">
        <v>4.2586513000000004</v>
      </c>
      <c r="AQ1231" s="3">
        <v>4.2346833999999998</v>
      </c>
      <c r="AR1231" s="3">
        <v>4.2115606999999997</v>
      </c>
      <c r="AS1231" s="3">
        <v>4.1892450999999999</v>
      </c>
      <c r="AT1231" s="3">
        <v>4.1676994000000001</v>
      </c>
      <c r="AU1231" s="3">
        <v>4.1468854999999998</v>
      </c>
      <c r="AV1231" s="3">
        <v>4.1267652000000004</v>
      </c>
      <c r="AW1231" s="3">
        <v>4.1073013999999999</v>
      </c>
      <c r="AX1231" s="3">
        <v>4.0884558000000002</v>
      </c>
      <c r="AY1231" s="3">
        <v>4.0701904000000004</v>
      </c>
      <c r="AZ1231" s="3">
        <v>4.0524678999999999</v>
      </c>
      <c r="BA1231" s="3">
        <v>4.0352563999999997</v>
      </c>
      <c r="BB1231" s="3">
        <v>4.0185518</v>
      </c>
      <c r="BC1231" s="3">
        <v>4.0023580000000001</v>
      </c>
      <c r="BD1231" s="3">
        <v>3.9866784000000002</v>
      </c>
      <c r="BE1231" s="3">
        <v>3.9715164000000001</v>
      </c>
      <c r="BF1231" s="3">
        <v>3.9568759</v>
      </c>
      <c r="BG1231" s="3">
        <v>3.9427604000000001</v>
      </c>
      <c r="BH1231" s="3">
        <v>3.9291733</v>
      </c>
      <c r="BI1231" s="3">
        <v>3.9161185000000001</v>
      </c>
      <c r="BJ1231" s="3">
        <v>3.9035994000000001</v>
      </c>
      <c r="BK1231" s="3">
        <v>3.8916194000000002</v>
      </c>
      <c r="BL1231" s="3">
        <v>3.8801825000000001</v>
      </c>
      <c r="BM1231" s="3">
        <v>3.8229581000000001</v>
      </c>
      <c r="BN1231" s="3">
        <v>3.7849308000000002</v>
      </c>
    </row>
    <row r="1232" spans="1:66" x14ac:dyDescent="0.35">
      <c r="A1232" s="5">
        <f t="shared" si="18"/>
        <v>45180</v>
      </c>
      <c r="B1232" t="s">
        <v>2644</v>
      </c>
      <c r="C1232" s="2">
        <v>5.25</v>
      </c>
      <c r="D1232" s="2">
        <v>5.1859999999999999</v>
      </c>
      <c r="E1232" s="3">
        <v>5.3994888999999997</v>
      </c>
      <c r="F1232" s="3">
        <v>5.4653138999999999</v>
      </c>
      <c r="G1232" s="3">
        <v>5.5218309999999997</v>
      </c>
      <c r="H1232" s="3">
        <v>5.5577316000000003</v>
      </c>
      <c r="I1232" s="3">
        <v>5.5738836000000003</v>
      </c>
      <c r="J1232" s="3">
        <v>5.5759122000000003</v>
      </c>
      <c r="K1232" s="3">
        <v>5.5683309999999997</v>
      </c>
      <c r="L1232" s="3">
        <v>5.554316</v>
      </c>
      <c r="M1232" s="3">
        <v>5.5353041999999997</v>
      </c>
      <c r="N1232" s="3">
        <v>5.5118755000000004</v>
      </c>
      <c r="O1232" s="3">
        <v>5.4834465999999997</v>
      </c>
      <c r="P1232" s="3">
        <v>5.4492228999999996</v>
      </c>
      <c r="Q1232" s="3">
        <v>5.4070270999999996</v>
      </c>
      <c r="R1232" s="3">
        <v>5.3574516000000001</v>
      </c>
      <c r="S1232" s="3">
        <v>5.3020383000000004</v>
      </c>
      <c r="T1232" s="3">
        <v>5.2423276000000003</v>
      </c>
      <c r="U1232" s="3">
        <v>5.1798596999999997</v>
      </c>
      <c r="V1232" s="3">
        <v>5.1161769000000001</v>
      </c>
      <c r="W1232" s="3">
        <v>5.0526422000000002</v>
      </c>
      <c r="X1232" s="3">
        <v>4.9899431999999999</v>
      </c>
      <c r="Y1232" s="3">
        <v>4.9286092000000004</v>
      </c>
      <c r="Z1232" s="3">
        <v>4.8691674999999996</v>
      </c>
      <c r="AA1232" s="3">
        <v>4.8121451000000004</v>
      </c>
      <c r="AB1232" s="3">
        <v>4.7580713000000001</v>
      </c>
      <c r="AC1232" s="3">
        <v>4.7073622000000004</v>
      </c>
      <c r="AD1232" s="3">
        <v>4.6599440000000003</v>
      </c>
      <c r="AE1232" s="3">
        <v>4.6156094000000003</v>
      </c>
      <c r="AF1232" s="3">
        <v>4.5741493000000002</v>
      </c>
      <c r="AG1232" s="3">
        <v>4.5353548999999997</v>
      </c>
      <c r="AH1232" s="3">
        <v>4.4990186999999997</v>
      </c>
      <c r="AI1232" s="3">
        <v>4.4649315999999999</v>
      </c>
      <c r="AJ1232" s="3">
        <v>4.4328849000000003</v>
      </c>
      <c r="AK1232" s="3">
        <v>4.4026709000000004</v>
      </c>
      <c r="AL1232" s="3">
        <v>4.3740807999999998</v>
      </c>
      <c r="AM1232" s="3">
        <v>4.3469056999999998</v>
      </c>
      <c r="AN1232" s="3">
        <v>4.3209378999999997</v>
      </c>
      <c r="AO1232" s="3">
        <v>4.2959934999999998</v>
      </c>
      <c r="AP1232" s="3">
        <v>4.2719991000000004</v>
      </c>
      <c r="AQ1232" s="3">
        <v>4.2489124</v>
      </c>
      <c r="AR1232" s="3">
        <v>4.2266902999999996</v>
      </c>
      <c r="AS1232" s="3">
        <v>4.2052899000000004</v>
      </c>
      <c r="AT1232" s="3">
        <v>4.1846686999999996</v>
      </c>
      <c r="AU1232" s="3">
        <v>4.1647838000000004</v>
      </c>
      <c r="AV1232" s="3">
        <v>4.1455922000000003</v>
      </c>
      <c r="AW1232" s="3">
        <v>4.1270514</v>
      </c>
      <c r="AX1232" s="3">
        <v>4.1091185000000001</v>
      </c>
      <c r="AY1232" s="3">
        <v>4.0917504999999998</v>
      </c>
      <c r="AZ1232" s="3">
        <v>4.0749048999999999</v>
      </c>
      <c r="BA1232" s="3">
        <v>4.0585452999999996</v>
      </c>
      <c r="BB1232" s="3">
        <v>4.0426694000000003</v>
      </c>
      <c r="BC1232" s="3">
        <v>4.0272873000000002</v>
      </c>
      <c r="BD1232" s="3">
        <v>4.0124085000000003</v>
      </c>
      <c r="BE1232" s="3">
        <v>3.9980424000000001</v>
      </c>
      <c r="BF1232" s="3">
        <v>3.9841991000000001</v>
      </c>
      <c r="BG1232" s="3">
        <v>3.970888</v>
      </c>
      <c r="BH1232" s="3">
        <v>3.9581184999999999</v>
      </c>
      <c r="BI1232" s="3">
        <v>3.9459008</v>
      </c>
      <c r="BJ1232" s="3">
        <v>3.9342442000000002</v>
      </c>
      <c r="BK1232" s="3">
        <v>3.9231582999999999</v>
      </c>
      <c r="BL1232" s="3">
        <v>3.9126530000000002</v>
      </c>
      <c r="BM1232" s="3">
        <v>3.8617457000000002</v>
      </c>
      <c r="BN1232" s="3">
        <v>3.8304524</v>
      </c>
    </row>
    <row r="1233" spans="1:66" x14ac:dyDescent="0.35">
      <c r="A1233" s="5">
        <f t="shared" si="18"/>
        <v>45181</v>
      </c>
      <c r="B1233" t="s">
        <v>2645</v>
      </c>
      <c r="C1233" s="2">
        <v>5.25</v>
      </c>
      <c r="D1233" s="2">
        <v>5.1852999999999998</v>
      </c>
      <c r="E1233" s="3">
        <v>5.3971409000000001</v>
      </c>
      <c r="F1233" s="3">
        <v>5.4637055999999999</v>
      </c>
      <c r="G1233" s="3">
        <v>5.5209799000000004</v>
      </c>
      <c r="H1233" s="3">
        <v>5.5578137999999999</v>
      </c>
      <c r="I1233" s="3">
        <v>5.5739517000000003</v>
      </c>
      <c r="J1233" s="3">
        <v>5.5746041000000002</v>
      </c>
      <c r="K1233" s="3">
        <v>5.5644672000000002</v>
      </c>
      <c r="L1233" s="3">
        <v>5.5473324000000002</v>
      </c>
      <c r="M1233" s="3">
        <v>5.5251932999999998</v>
      </c>
      <c r="N1233" s="3">
        <v>5.4987303000000001</v>
      </c>
      <c r="O1233" s="3">
        <v>5.4673097999999998</v>
      </c>
      <c r="P1233" s="3">
        <v>5.4300347000000002</v>
      </c>
      <c r="Q1233" s="3">
        <v>5.3846154999999998</v>
      </c>
      <c r="R1233" s="3">
        <v>5.3316986000000002</v>
      </c>
      <c r="S1233" s="3">
        <v>5.2729124000000001</v>
      </c>
      <c r="T1233" s="3">
        <v>5.2098830999999999</v>
      </c>
      <c r="U1233" s="3">
        <v>5.1442369000000001</v>
      </c>
      <c r="V1233" s="3">
        <v>5.0776022999999997</v>
      </c>
      <c r="W1233" s="3">
        <v>5.0114089000000002</v>
      </c>
      <c r="X1233" s="3">
        <v>4.9463378999999996</v>
      </c>
      <c r="Y1233" s="3">
        <v>4.8828943000000002</v>
      </c>
      <c r="Z1233" s="3">
        <v>4.8215811000000004</v>
      </c>
      <c r="AA1233" s="3">
        <v>4.7629013999999996</v>
      </c>
      <c r="AB1233" s="3">
        <v>4.7073600999999998</v>
      </c>
      <c r="AC1233" s="3">
        <v>4.6553522999999997</v>
      </c>
      <c r="AD1233" s="3">
        <v>4.6067958999999998</v>
      </c>
      <c r="AE1233" s="3">
        <v>4.5614793000000002</v>
      </c>
      <c r="AF1233" s="3">
        <v>4.5191888000000002</v>
      </c>
      <c r="AG1233" s="3">
        <v>4.479711</v>
      </c>
      <c r="AH1233" s="3">
        <v>4.4428337999999998</v>
      </c>
      <c r="AI1233" s="3">
        <v>4.4083439000000002</v>
      </c>
      <c r="AJ1233" s="3">
        <v>4.3760279000000004</v>
      </c>
      <c r="AK1233" s="3">
        <v>4.3456735999999996</v>
      </c>
      <c r="AL1233" s="3">
        <v>4.3170675000000003</v>
      </c>
      <c r="AM1233" s="3">
        <v>4.2899966000000003</v>
      </c>
      <c r="AN1233" s="3">
        <v>4.2642483000000002</v>
      </c>
      <c r="AO1233" s="3">
        <v>4.2396292000000004</v>
      </c>
      <c r="AP1233" s="3">
        <v>4.2160523000000003</v>
      </c>
      <c r="AQ1233" s="3">
        <v>4.1934671000000003</v>
      </c>
      <c r="AR1233" s="3">
        <v>4.1718223999999999</v>
      </c>
      <c r="AS1233" s="3">
        <v>4.1510667000000003</v>
      </c>
      <c r="AT1233" s="3">
        <v>4.1311498000000002</v>
      </c>
      <c r="AU1233" s="3">
        <v>4.1120200999999996</v>
      </c>
      <c r="AV1233" s="3">
        <v>4.0936266999999997</v>
      </c>
      <c r="AW1233" s="3">
        <v>4.0759188000000002</v>
      </c>
      <c r="AX1233" s="3">
        <v>4.0588452999999998</v>
      </c>
      <c r="AY1233" s="3">
        <v>4.0423549000000003</v>
      </c>
      <c r="AZ1233" s="3">
        <v>4.0263970000000002</v>
      </c>
      <c r="BA1233" s="3">
        <v>4.0109279000000004</v>
      </c>
      <c r="BB1233" s="3">
        <v>3.9959403</v>
      </c>
      <c r="BC1233" s="3">
        <v>3.9814384</v>
      </c>
      <c r="BD1233" s="3">
        <v>3.9674260000000001</v>
      </c>
      <c r="BE1233" s="3">
        <v>3.9539068999999998</v>
      </c>
      <c r="BF1233" s="3">
        <v>3.9408851999999999</v>
      </c>
      <c r="BG1233" s="3">
        <v>3.9283649</v>
      </c>
      <c r="BH1233" s="3">
        <v>3.9163496000000002</v>
      </c>
      <c r="BI1233" s="3">
        <v>3.9048436</v>
      </c>
      <c r="BJ1233" s="3">
        <v>3.8938507000000002</v>
      </c>
      <c r="BK1233" s="3">
        <v>3.8833747000000001</v>
      </c>
      <c r="BL1233" s="3">
        <v>3.8734196999999999</v>
      </c>
      <c r="BM1233" s="3">
        <v>3.8245345999999998</v>
      </c>
      <c r="BN1233" s="3">
        <v>3.7934619000000001</v>
      </c>
    </row>
    <row r="1234" spans="1:66" x14ac:dyDescent="0.35">
      <c r="A1234" s="5">
        <f t="shared" si="18"/>
        <v>45182</v>
      </c>
      <c r="B1234" t="s">
        <v>2646</v>
      </c>
      <c r="C1234" s="2">
        <v>5.25</v>
      </c>
      <c r="D1234" s="2">
        <v>5.1851000000000003</v>
      </c>
      <c r="E1234" s="3">
        <v>5.3818004999999998</v>
      </c>
      <c r="F1234" s="3">
        <v>5.4453041999999998</v>
      </c>
      <c r="G1234" s="3">
        <v>5.4995554999999996</v>
      </c>
      <c r="H1234" s="3">
        <v>5.5346712</v>
      </c>
      <c r="I1234" s="3">
        <v>5.5495448999999999</v>
      </c>
      <c r="J1234" s="3">
        <v>5.5486972999999997</v>
      </c>
      <c r="K1234" s="3">
        <v>5.5358270000000003</v>
      </c>
      <c r="L1234" s="3">
        <v>5.5141559000000004</v>
      </c>
      <c r="M1234" s="3">
        <v>5.4856360000000004</v>
      </c>
      <c r="N1234" s="3">
        <v>5.4511916999999999</v>
      </c>
      <c r="O1234" s="3">
        <v>5.4107900999999998</v>
      </c>
      <c r="P1234" s="3">
        <v>5.3638699000000001</v>
      </c>
      <c r="Q1234" s="3">
        <v>5.3088050999999998</v>
      </c>
      <c r="R1234" s="3">
        <v>5.2465114000000002</v>
      </c>
      <c r="S1234" s="3">
        <v>5.1787367</v>
      </c>
      <c r="T1234" s="3">
        <v>5.1072268000000003</v>
      </c>
      <c r="U1234" s="3">
        <v>5.0337271000000001</v>
      </c>
      <c r="V1234" s="3">
        <v>4.9599859000000004</v>
      </c>
      <c r="W1234" s="3">
        <v>4.8875270000000004</v>
      </c>
      <c r="X1234" s="3">
        <v>4.8170307000000001</v>
      </c>
      <c r="Y1234" s="3">
        <v>4.7489787999999997</v>
      </c>
      <c r="Z1234" s="3">
        <v>4.6838506999999998</v>
      </c>
      <c r="AA1234" s="3">
        <v>4.6221258000000001</v>
      </c>
      <c r="AB1234" s="3">
        <v>4.5642858999999998</v>
      </c>
      <c r="AC1234" s="3">
        <v>4.5107181000000001</v>
      </c>
      <c r="AD1234" s="3">
        <v>4.4613125</v>
      </c>
      <c r="AE1234" s="3">
        <v>4.4157944000000002</v>
      </c>
      <c r="AF1234" s="3">
        <v>4.3738872000000004</v>
      </c>
      <c r="AG1234" s="3">
        <v>4.3353143999999997</v>
      </c>
      <c r="AH1234" s="3">
        <v>4.2998009000000001</v>
      </c>
      <c r="AI1234" s="3">
        <v>4.2670700999999998</v>
      </c>
      <c r="AJ1234" s="3">
        <v>4.2368455999999997</v>
      </c>
      <c r="AK1234" s="3">
        <v>4.2088521999999999</v>
      </c>
      <c r="AL1234" s="3">
        <v>4.1828135</v>
      </c>
      <c r="AM1234" s="3">
        <v>4.1584529999999997</v>
      </c>
      <c r="AN1234" s="3">
        <v>4.1354953999999999</v>
      </c>
      <c r="AO1234" s="3">
        <v>4.1136935000000001</v>
      </c>
      <c r="AP1234" s="3">
        <v>4.0929419999999999</v>
      </c>
      <c r="AQ1234" s="3">
        <v>4.0731796999999998</v>
      </c>
      <c r="AR1234" s="3">
        <v>4.0543446000000003</v>
      </c>
      <c r="AS1234" s="3">
        <v>4.0363746999999996</v>
      </c>
      <c r="AT1234" s="3">
        <v>4.0192087000000001</v>
      </c>
      <c r="AU1234" s="3">
        <v>4.0027847000000003</v>
      </c>
      <c r="AV1234" s="3">
        <v>3.9870407999999999</v>
      </c>
      <c r="AW1234" s="3">
        <v>3.9719155000000002</v>
      </c>
      <c r="AX1234" s="3">
        <v>3.9573469000000001</v>
      </c>
      <c r="AY1234" s="3">
        <v>3.9432730999999999</v>
      </c>
      <c r="AZ1234" s="3">
        <v>3.9296327</v>
      </c>
      <c r="BA1234" s="3">
        <v>3.9163741000000001</v>
      </c>
      <c r="BB1234" s="3">
        <v>3.9034905000000002</v>
      </c>
      <c r="BC1234" s="3">
        <v>3.8909885000000002</v>
      </c>
      <c r="BD1234" s="3">
        <v>3.8788737000000002</v>
      </c>
      <c r="BE1234" s="3">
        <v>3.8671521000000002</v>
      </c>
      <c r="BF1234" s="3">
        <v>3.8558300000000001</v>
      </c>
      <c r="BG1234" s="3">
        <v>3.8449133</v>
      </c>
      <c r="BH1234" s="3">
        <v>3.8344078000000001</v>
      </c>
      <c r="BI1234" s="3">
        <v>3.8243198</v>
      </c>
      <c r="BJ1234" s="3">
        <v>3.8146553000000001</v>
      </c>
      <c r="BK1234" s="3">
        <v>3.8054201000000001</v>
      </c>
      <c r="BL1234" s="3">
        <v>3.7966204000000001</v>
      </c>
      <c r="BM1234" s="3">
        <v>3.7529827999999998</v>
      </c>
      <c r="BN1234" s="3">
        <v>3.7245694</v>
      </c>
    </row>
    <row r="1235" spans="1:66" x14ac:dyDescent="0.35">
      <c r="A1235" s="5">
        <f t="shared" si="18"/>
        <v>45183</v>
      </c>
      <c r="B1235" t="s">
        <v>2647</v>
      </c>
      <c r="C1235" s="2">
        <v>5.25</v>
      </c>
      <c r="D1235" s="2">
        <v>5.1847000000000003</v>
      </c>
      <c r="E1235" s="3">
        <v>5.3894646000000002</v>
      </c>
      <c r="F1235" s="3">
        <v>5.4473646999999996</v>
      </c>
      <c r="G1235" s="3">
        <v>5.4941947000000004</v>
      </c>
      <c r="H1235" s="3">
        <v>5.5221732000000001</v>
      </c>
      <c r="I1235" s="3">
        <v>5.5314831</v>
      </c>
      <c r="J1235" s="3">
        <v>5.5265288000000004</v>
      </c>
      <c r="K1235" s="3">
        <v>5.5108423000000002</v>
      </c>
      <c r="L1235" s="3">
        <v>5.4871745000000001</v>
      </c>
      <c r="M1235" s="3">
        <v>5.4568719000000003</v>
      </c>
      <c r="N1235" s="3">
        <v>5.4203951000000004</v>
      </c>
      <c r="O1235" s="3">
        <v>5.3773306999999999</v>
      </c>
      <c r="P1235" s="3">
        <v>5.3271138999999996</v>
      </c>
      <c r="Q1235" s="3">
        <v>5.2679482000000002</v>
      </c>
      <c r="R1235" s="3">
        <v>5.2008305999999997</v>
      </c>
      <c r="S1235" s="3">
        <v>5.1278721000000003</v>
      </c>
      <c r="T1235" s="3">
        <v>5.0511822999999998</v>
      </c>
      <c r="U1235" s="3">
        <v>4.9728702</v>
      </c>
      <c r="V1235" s="3">
        <v>4.8950481000000003</v>
      </c>
      <c r="W1235" s="3">
        <v>4.8195104000000004</v>
      </c>
      <c r="X1235" s="3">
        <v>4.7468529000000004</v>
      </c>
      <c r="Y1235" s="3">
        <v>4.6773886999999998</v>
      </c>
      <c r="Z1235" s="3">
        <v>4.6114281999999998</v>
      </c>
      <c r="AA1235" s="3">
        <v>4.5492821000000001</v>
      </c>
      <c r="AB1235" s="3">
        <v>4.4912631000000003</v>
      </c>
      <c r="AC1235" s="3">
        <v>4.4376017000000001</v>
      </c>
      <c r="AD1235" s="3">
        <v>4.3881375</v>
      </c>
      <c r="AE1235" s="3">
        <v>4.3425928000000003</v>
      </c>
      <c r="AF1235" s="3">
        <v>4.3006881999999997</v>
      </c>
      <c r="AG1235" s="3">
        <v>4.2621444000000004</v>
      </c>
      <c r="AH1235" s="3">
        <v>4.2266835</v>
      </c>
      <c r="AI1235" s="3">
        <v>4.1940261000000003</v>
      </c>
      <c r="AJ1235" s="3">
        <v>4.1638932000000004</v>
      </c>
      <c r="AK1235" s="3">
        <v>4.1360064999999997</v>
      </c>
      <c r="AL1235" s="3">
        <v>4.1100868999999998</v>
      </c>
      <c r="AM1235" s="3">
        <v>4.0858552000000001</v>
      </c>
      <c r="AN1235" s="3">
        <v>4.0630332999999998</v>
      </c>
      <c r="AO1235" s="3">
        <v>4.0413755</v>
      </c>
      <c r="AP1235" s="3">
        <v>4.0207848999999998</v>
      </c>
      <c r="AQ1235" s="3">
        <v>4.0012059000000004</v>
      </c>
      <c r="AR1235" s="3">
        <v>3.9825826000000002</v>
      </c>
      <c r="AS1235" s="3">
        <v>3.9648588</v>
      </c>
      <c r="AT1235" s="3">
        <v>3.9479790000000001</v>
      </c>
      <c r="AU1235" s="3">
        <v>3.9318873000000001</v>
      </c>
      <c r="AV1235" s="3">
        <v>3.9165274000000001</v>
      </c>
      <c r="AW1235" s="3">
        <v>3.9018438999999998</v>
      </c>
      <c r="AX1235" s="3">
        <v>3.8877807</v>
      </c>
      <c r="AY1235" s="3">
        <v>3.8742819000000002</v>
      </c>
      <c r="AZ1235" s="3">
        <v>3.8612918000000001</v>
      </c>
      <c r="BA1235" s="3">
        <v>3.8487624999999999</v>
      </c>
      <c r="BB1235" s="3">
        <v>3.8366818999999999</v>
      </c>
      <c r="BC1235" s="3">
        <v>3.8250484</v>
      </c>
      <c r="BD1235" s="3">
        <v>3.8138597000000001</v>
      </c>
      <c r="BE1235" s="3">
        <v>3.8031136999999999</v>
      </c>
      <c r="BF1235" s="3">
        <v>3.7928085999999999</v>
      </c>
      <c r="BG1235" s="3">
        <v>3.7829421999999999</v>
      </c>
      <c r="BH1235" s="3">
        <v>3.7735124999999998</v>
      </c>
      <c r="BI1235" s="3">
        <v>3.7645176</v>
      </c>
      <c r="BJ1235" s="3">
        <v>3.7559553999999999</v>
      </c>
      <c r="BK1235" s="3">
        <v>3.7478237000000001</v>
      </c>
      <c r="BL1235" s="3">
        <v>3.7401206999999999</v>
      </c>
      <c r="BM1235" s="3">
        <v>3.7027478</v>
      </c>
      <c r="BN1235" s="3">
        <v>3.6800356000000001</v>
      </c>
    </row>
    <row r="1236" spans="1:66" x14ac:dyDescent="0.35">
      <c r="A1236" s="5">
        <f t="shared" si="18"/>
        <v>45184</v>
      </c>
      <c r="B1236" t="s">
        <v>2648</v>
      </c>
      <c r="C1236" s="2">
        <v>5.25</v>
      </c>
      <c r="D1236" s="2">
        <v>5.1853999999999996</v>
      </c>
      <c r="E1236" s="3">
        <v>5.4091538000000003</v>
      </c>
      <c r="F1236" s="3">
        <v>5.4709937999999996</v>
      </c>
      <c r="G1236" s="3">
        <v>5.5198311000000002</v>
      </c>
      <c r="H1236" s="3">
        <v>5.5486652000000003</v>
      </c>
      <c r="I1236" s="3">
        <v>5.5588310999999999</v>
      </c>
      <c r="J1236" s="3">
        <v>5.5550176000000002</v>
      </c>
      <c r="K1236" s="3">
        <v>5.5406785999999997</v>
      </c>
      <c r="L1236" s="3">
        <v>5.5183064999999996</v>
      </c>
      <c r="M1236" s="3">
        <v>5.4893061000000003</v>
      </c>
      <c r="N1236" s="3">
        <v>5.4541323000000004</v>
      </c>
      <c r="O1236" s="3">
        <v>5.4124243999999999</v>
      </c>
      <c r="P1236" s="3">
        <v>5.3634392999999996</v>
      </c>
      <c r="Q1236" s="3">
        <v>5.3052758999999998</v>
      </c>
      <c r="R1236" s="3">
        <v>5.2389264999999998</v>
      </c>
      <c r="S1236" s="3">
        <v>5.1664196999999996</v>
      </c>
      <c r="T1236" s="3">
        <v>5.0897822000000001</v>
      </c>
      <c r="U1236" s="3">
        <v>5.0110402000000001</v>
      </c>
      <c r="V1236" s="3">
        <v>4.9322229999999996</v>
      </c>
      <c r="W1236" s="3">
        <v>4.8551365999999998</v>
      </c>
      <c r="X1236" s="3">
        <v>4.7805641000000003</v>
      </c>
      <c r="Y1236" s="3">
        <v>4.7089954000000001</v>
      </c>
      <c r="Z1236" s="3">
        <v>4.6409171000000002</v>
      </c>
      <c r="AA1236" s="3">
        <v>4.5768165999999999</v>
      </c>
      <c r="AB1236" s="3">
        <v>4.5171830000000002</v>
      </c>
      <c r="AC1236" s="3">
        <v>4.4623828000000003</v>
      </c>
      <c r="AD1236" s="3">
        <v>4.4122491999999998</v>
      </c>
      <c r="AE1236" s="3">
        <v>4.3664703999999999</v>
      </c>
      <c r="AF1236" s="3">
        <v>4.3247325999999999</v>
      </c>
      <c r="AG1236" s="3">
        <v>4.2867223000000001</v>
      </c>
      <c r="AH1236" s="3">
        <v>4.2521272999999997</v>
      </c>
      <c r="AI1236" s="3">
        <v>4.2206340000000004</v>
      </c>
      <c r="AJ1236" s="3">
        <v>4.1919288999999997</v>
      </c>
      <c r="AK1236" s="3">
        <v>4.1656997000000002</v>
      </c>
      <c r="AL1236" s="3">
        <v>4.1416328</v>
      </c>
      <c r="AM1236" s="3">
        <v>4.1194148999999998</v>
      </c>
      <c r="AN1236" s="3">
        <v>4.0987333000000001</v>
      </c>
      <c r="AO1236" s="3">
        <v>4.0793108</v>
      </c>
      <c r="AP1236" s="3">
        <v>4.0610287999999999</v>
      </c>
      <c r="AQ1236" s="3">
        <v>4.0438134999999997</v>
      </c>
      <c r="AR1236" s="3">
        <v>4.0275901999999997</v>
      </c>
      <c r="AS1236" s="3">
        <v>4.0122844000000004</v>
      </c>
      <c r="AT1236" s="3">
        <v>3.9978221</v>
      </c>
      <c r="AU1236" s="3">
        <v>3.9841286999999999</v>
      </c>
      <c r="AV1236" s="3">
        <v>3.9711297999999999</v>
      </c>
      <c r="AW1236" s="3">
        <v>3.9587512</v>
      </c>
      <c r="AX1236" s="3">
        <v>3.9469183999999999</v>
      </c>
      <c r="AY1236" s="3">
        <v>3.9355568999999999</v>
      </c>
      <c r="AZ1236" s="3">
        <v>3.9245926</v>
      </c>
      <c r="BA1236" s="3">
        <v>3.9139631000000001</v>
      </c>
      <c r="BB1236" s="3">
        <v>3.9036588000000001</v>
      </c>
      <c r="BC1236" s="3">
        <v>3.8936853</v>
      </c>
      <c r="BD1236" s="3">
        <v>3.8840477</v>
      </c>
      <c r="BE1236" s="3">
        <v>3.8747511000000001</v>
      </c>
      <c r="BF1236" s="3">
        <v>3.8658011999999999</v>
      </c>
      <c r="BG1236" s="3">
        <v>3.8572030000000002</v>
      </c>
      <c r="BH1236" s="3">
        <v>3.8489618000000001</v>
      </c>
      <c r="BI1236" s="3">
        <v>3.8410829</v>
      </c>
      <c r="BJ1236" s="3">
        <v>3.8335716</v>
      </c>
      <c r="BK1236" s="3">
        <v>3.8264331</v>
      </c>
      <c r="BL1236" s="3">
        <v>3.8196728000000002</v>
      </c>
      <c r="BM1236" s="3">
        <v>3.78715</v>
      </c>
      <c r="BN1236" s="3">
        <v>3.7683599000000001</v>
      </c>
    </row>
    <row r="1237" spans="1:66" x14ac:dyDescent="0.35">
      <c r="A1237" s="5">
        <f t="shared" si="18"/>
        <v>45187</v>
      </c>
      <c r="B1237" t="s">
        <v>2649</v>
      </c>
      <c r="C1237" s="2">
        <v>5.25</v>
      </c>
      <c r="D1237" s="2">
        <v>5.1849999999999996</v>
      </c>
      <c r="E1237" s="3">
        <v>5.4082635000000003</v>
      </c>
      <c r="F1237" s="3">
        <v>5.4689614999999998</v>
      </c>
      <c r="G1237" s="3">
        <v>5.5168996999999997</v>
      </c>
      <c r="H1237" s="3">
        <v>5.5463483</v>
      </c>
      <c r="I1237" s="3">
        <v>5.5584088999999999</v>
      </c>
      <c r="J1237" s="3">
        <v>5.5569373000000004</v>
      </c>
      <c r="K1237" s="3">
        <v>5.5450929000000002</v>
      </c>
      <c r="L1237" s="3">
        <v>5.5253959000000004</v>
      </c>
      <c r="M1237" s="3">
        <v>5.4990110999999997</v>
      </c>
      <c r="N1237" s="3">
        <v>5.4668256</v>
      </c>
      <c r="O1237" s="3">
        <v>5.4286564999999998</v>
      </c>
      <c r="P1237" s="3">
        <v>5.3841041000000001</v>
      </c>
      <c r="Q1237" s="3">
        <v>5.3316581999999997</v>
      </c>
      <c r="R1237" s="3">
        <v>5.2722027999999996</v>
      </c>
      <c r="S1237" s="3">
        <v>5.2074363999999997</v>
      </c>
      <c r="T1237" s="3">
        <v>5.1390555999999998</v>
      </c>
      <c r="U1237" s="3">
        <v>5.0687566999999998</v>
      </c>
      <c r="V1237" s="3">
        <v>4.9982385000000003</v>
      </c>
      <c r="W1237" s="3">
        <v>4.9289700999999999</v>
      </c>
      <c r="X1237" s="3">
        <v>4.8615548000000004</v>
      </c>
      <c r="Y1237" s="3">
        <v>4.7963921999999997</v>
      </c>
      <c r="Z1237" s="3">
        <v>4.7338798000000004</v>
      </c>
      <c r="AA1237" s="3">
        <v>4.6744149000000004</v>
      </c>
      <c r="AB1237" s="3">
        <v>4.6183969999999999</v>
      </c>
      <c r="AC1237" s="3">
        <v>4.5661291000000004</v>
      </c>
      <c r="AD1237" s="3">
        <v>4.5174960999999998</v>
      </c>
      <c r="AE1237" s="3">
        <v>4.47227</v>
      </c>
      <c r="AF1237" s="3">
        <v>4.4302204999999999</v>
      </c>
      <c r="AG1237" s="3">
        <v>4.3911179000000002</v>
      </c>
      <c r="AH1237" s="3">
        <v>4.3547335</v>
      </c>
      <c r="AI1237" s="3">
        <v>4.3208374000000003</v>
      </c>
      <c r="AJ1237" s="3">
        <v>4.2891997999999996</v>
      </c>
      <c r="AK1237" s="3">
        <v>4.2595919000000002</v>
      </c>
      <c r="AL1237" s="3">
        <v>4.2317840000000002</v>
      </c>
      <c r="AM1237" s="3">
        <v>4.2055461999999997</v>
      </c>
      <c r="AN1237" s="3">
        <v>4.1806497</v>
      </c>
      <c r="AO1237" s="3">
        <v>4.1568921999999997</v>
      </c>
      <c r="AP1237" s="3">
        <v>4.1341922000000002</v>
      </c>
      <c r="AQ1237" s="3">
        <v>4.1125027000000003</v>
      </c>
      <c r="AR1237" s="3">
        <v>4.0917757999999997</v>
      </c>
      <c r="AS1237" s="3">
        <v>4.0719634999999998</v>
      </c>
      <c r="AT1237" s="3">
        <v>4.0530185999999997</v>
      </c>
      <c r="AU1237" s="3">
        <v>4.0348933000000002</v>
      </c>
      <c r="AV1237" s="3">
        <v>4.0175396000000001</v>
      </c>
      <c r="AW1237" s="3">
        <v>4.0009101999999999</v>
      </c>
      <c r="AX1237" s="3">
        <v>3.9849573999999999</v>
      </c>
      <c r="AY1237" s="3">
        <v>3.9696332999999999</v>
      </c>
      <c r="AZ1237" s="3">
        <v>3.9548904999999999</v>
      </c>
      <c r="BA1237" s="3">
        <v>3.9406870999999999</v>
      </c>
      <c r="BB1237" s="3">
        <v>3.9270132000000002</v>
      </c>
      <c r="BC1237" s="3">
        <v>3.9138701</v>
      </c>
      <c r="BD1237" s="3">
        <v>3.9012585</v>
      </c>
      <c r="BE1237" s="3">
        <v>3.8891792999999999</v>
      </c>
      <c r="BF1237" s="3">
        <v>3.8776335999999998</v>
      </c>
      <c r="BG1237" s="3">
        <v>3.8666223999999998</v>
      </c>
      <c r="BH1237" s="3">
        <v>3.8561462999999998</v>
      </c>
      <c r="BI1237" s="3">
        <v>3.8462065999999999</v>
      </c>
      <c r="BJ1237" s="3">
        <v>3.8368042</v>
      </c>
      <c r="BK1237" s="3">
        <v>3.8279397999999998</v>
      </c>
      <c r="BL1237" s="3">
        <v>3.8196146999999998</v>
      </c>
      <c r="BM1237" s="3">
        <v>3.7807065</v>
      </c>
      <c r="BN1237" s="3">
        <v>3.7594110000000001</v>
      </c>
    </row>
    <row r="1238" spans="1:66" x14ac:dyDescent="0.35">
      <c r="A1238" s="5">
        <f t="shared" ref="A1238:A1301" si="19">+A1233+7</f>
        <v>45188</v>
      </c>
      <c r="B1238" t="s">
        <v>2650</v>
      </c>
      <c r="C1238" s="2">
        <v>5.25</v>
      </c>
      <c r="D1238" s="2">
        <v>5.1853999999999996</v>
      </c>
      <c r="E1238" s="3">
        <v>5.4075876999999997</v>
      </c>
      <c r="F1238" s="3">
        <v>5.4663062</v>
      </c>
      <c r="G1238" s="3">
        <v>5.5085253999999999</v>
      </c>
      <c r="H1238" s="3">
        <v>5.5308453999999996</v>
      </c>
      <c r="I1238" s="3">
        <v>5.5366505999999998</v>
      </c>
      <c r="J1238" s="3">
        <v>5.5304621000000003</v>
      </c>
      <c r="K1238" s="3">
        <v>5.5153077000000001</v>
      </c>
      <c r="L1238" s="3">
        <v>5.4934089000000004</v>
      </c>
      <c r="M1238" s="3">
        <v>5.4658436999999997</v>
      </c>
      <c r="N1238" s="3">
        <v>5.4331649999999998</v>
      </c>
      <c r="O1238" s="3">
        <v>5.3949825000000002</v>
      </c>
      <c r="P1238" s="3">
        <v>5.3507309999999997</v>
      </c>
      <c r="Q1238" s="3">
        <v>5.2986640999999999</v>
      </c>
      <c r="R1238" s="3">
        <v>5.2395924999999997</v>
      </c>
      <c r="S1238" s="3">
        <v>5.1751801000000004</v>
      </c>
      <c r="T1238" s="3">
        <v>5.1070890000000002</v>
      </c>
      <c r="U1238" s="3">
        <v>5.0369811000000002</v>
      </c>
      <c r="V1238" s="3">
        <v>4.9665207000000002</v>
      </c>
      <c r="W1238" s="3">
        <v>4.8971539000000002</v>
      </c>
      <c r="X1238" s="3">
        <v>4.8295047999999996</v>
      </c>
      <c r="Y1238" s="3">
        <v>4.7640044000000001</v>
      </c>
      <c r="Z1238" s="3">
        <v>4.7010813000000002</v>
      </c>
      <c r="AA1238" s="3">
        <v>4.6411641000000001</v>
      </c>
      <c r="AB1238" s="3">
        <v>4.5846836</v>
      </c>
      <c r="AC1238" s="3">
        <v>4.5319709000000001</v>
      </c>
      <c r="AD1238" s="3">
        <v>4.4829258999999997</v>
      </c>
      <c r="AE1238" s="3">
        <v>4.4373313000000003</v>
      </c>
      <c r="AF1238" s="3">
        <v>4.3949682000000001</v>
      </c>
      <c r="AG1238" s="3">
        <v>4.3556176999999998</v>
      </c>
      <c r="AH1238" s="3">
        <v>4.3190622999999997</v>
      </c>
      <c r="AI1238" s="3">
        <v>4.2850830999999996</v>
      </c>
      <c r="AJ1238" s="3">
        <v>4.2534612999999997</v>
      </c>
      <c r="AK1238" s="3">
        <v>4.2239792999999999</v>
      </c>
      <c r="AL1238" s="3">
        <v>4.1964182000000001</v>
      </c>
      <c r="AM1238" s="3">
        <v>4.1705594000000001</v>
      </c>
      <c r="AN1238" s="3">
        <v>4.146185</v>
      </c>
      <c r="AO1238" s="3">
        <v>4.1230956000000001</v>
      </c>
      <c r="AP1238" s="3">
        <v>4.1011953999999999</v>
      </c>
      <c r="AQ1238" s="3">
        <v>4.0804245000000003</v>
      </c>
      <c r="AR1238" s="3">
        <v>4.0607217999999996</v>
      </c>
      <c r="AS1238" s="3">
        <v>4.0420265999999998</v>
      </c>
      <c r="AT1238" s="3">
        <v>4.0242785999999997</v>
      </c>
      <c r="AU1238" s="3">
        <v>4.0074170000000002</v>
      </c>
      <c r="AV1238" s="3">
        <v>3.9913810999999999</v>
      </c>
      <c r="AW1238" s="3">
        <v>3.9761104999999999</v>
      </c>
      <c r="AX1238" s="3">
        <v>3.9615444000000002</v>
      </c>
      <c r="AY1238" s="3">
        <v>3.9476220999999998</v>
      </c>
      <c r="AZ1238" s="3">
        <v>3.9342831999999999</v>
      </c>
      <c r="BA1238" s="3">
        <v>3.9214747999999999</v>
      </c>
      <c r="BB1238" s="3">
        <v>3.9091816000000001</v>
      </c>
      <c r="BC1238" s="3">
        <v>3.8974006000000001</v>
      </c>
      <c r="BD1238" s="3">
        <v>3.8861279</v>
      </c>
      <c r="BE1238" s="3">
        <v>3.8753601</v>
      </c>
      <c r="BF1238" s="3">
        <v>3.8650939000000002</v>
      </c>
      <c r="BG1238" s="3">
        <v>3.8553256</v>
      </c>
      <c r="BH1238" s="3">
        <v>3.8460516999999999</v>
      </c>
      <c r="BI1238" s="3">
        <v>3.8372687999999999</v>
      </c>
      <c r="BJ1238" s="3">
        <v>3.8289735</v>
      </c>
      <c r="BK1238" s="3">
        <v>3.8211620000000002</v>
      </c>
      <c r="BL1238" s="3">
        <v>3.8138312000000001</v>
      </c>
      <c r="BM1238" s="3">
        <v>3.7796596999999998</v>
      </c>
      <c r="BN1238" s="3">
        <v>3.7614087999999999</v>
      </c>
    </row>
    <row r="1239" spans="1:66" x14ac:dyDescent="0.35">
      <c r="A1239" s="5">
        <f t="shared" si="19"/>
        <v>45189</v>
      </c>
      <c r="B1239" t="s">
        <v>2651</v>
      </c>
      <c r="C1239" s="2">
        <v>5.25</v>
      </c>
      <c r="D1239" s="2">
        <v>5.1848999999999998</v>
      </c>
      <c r="E1239" s="3">
        <v>5.3142858999999998</v>
      </c>
      <c r="F1239" s="3">
        <v>5.3530875</v>
      </c>
      <c r="G1239" s="3">
        <v>5.3838784999999998</v>
      </c>
      <c r="H1239" s="3">
        <v>5.4019589000000003</v>
      </c>
      <c r="I1239" s="3">
        <v>5.4057240000000002</v>
      </c>
      <c r="J1239" s="3">
        <v>5.3970563</v>
      </c>
      <c r="K1239" s="3">
        <v>5.3779044999999996</v>
      </c>
      <c r="L1239" s="3">
        <v>5.3506818999999997</v>
      </c>
      <c r="M1239" s="3">
        <v>5.3171882999999998</v>
      </c>
      <c r="N1239" s="3">
        <v>5.2784569000000001</v>
      </c>
      <c r="O1239" s="3">
        <v>5.2346086999999999</v>
      </c>
      <c r="P1239" s="3">
        <v>5.1851466000000004</v>
      </c>
      <c r="Q1239" s="3">
        <v>5.1284774000000004</v>
      </c>
      <c r="R1239" s="3">
        <v>5.0653744999999999</v>
      </c>
      <c r="S1239" s="3">
        <v>4.9973917999999999</v>
      </c>
      <c r="T1239" s="3">
        <v>4.9260811999999996</v>
      </c>
      <c r="U1239" s="3">
        <v>4.8529942000000004</v>
      </c>
      <c r="V1239" s="3">
        <v>4.7796851</v>
      </c>
      <c r="W1239" s="3">
        <v>4.7075192000000001</v>
      </c>
      <c r="X1239" s="3">
        <v>4.6371520000000004</v>
      </c>
      <c r="Y1239" s="3">
        <v>4.5690727000000004</v>
      </c>
      <c r="Z1239" s="3">
        <v>4.503768</v>
      </c>
      <c r="AA1239" s="3">
        <v>4.4417248000000003</v>
      </c>
      <c r="AB1239" s="3">
        <v>4.383432</v>
      </c>
      <c r="AC1239" s="3">
        <v>4.3292874000000001</v>
      </c>
      <c r="AD1239" s="3">
        <v>4.2792089999999998</v>
      </c>
      <c r="AE1239" s="3">
        <v>4.2329562999999997</v>
      </c>
      <c r="AF1239" s="3">
        <v>4.1902863000000004</v>
      </c>
      <c r="AG1239" s="3">
        <v>4.1509565999999998</v>
      </c>
      <c r="AH1239" s="3">
        <v>4.1147258999999998</v>
      </c>
      <c r="AI1239" s="3">
        <v>4.0813516999999999</v>
      </c>
      <c r="AJ1239" s="3">
        <v>4.0505914000000001</v>
      </c>
      <c r="AK1239" s="3">
        <v>4.0222037000000004</v>
      </c>
      <c r="AL1239" s="3">
        <v>3.9959460999999998</v>
      </c>
      <c r="AM1239" s="3">
        <v>3.9715761000000001</v>
      </c>
      <c r="AN1239" s="3">
        <v>3.9488523</v>
      </c>
      <c r="AO1239" s="3">
        <v>3.9275552</v>
      </c>
      <c r="AP1239" s="3">
        <v>3.9075772</v>
      </c>
      <c r="AQ1239" s="3">
        <v>3.8888455999999998</v>
      </c>
      <c r="AR1239" s="3">
        <v>3.8712868999999999</v>
      </c>
      <c r="AS1239" s="3">
        <v>3.8548276000000001</v>
      </c>
      <c r="AT1239" s="3">
        <v>3.8393948999999998</v>
      </c>
      <c r="AU1239" s="3">
        <v>3.8249152999999998</v>
      </c>
      <c r="AV1239" s="3">
        <v>3.8113153999999998</v>
      </c>
      <c r="AW1239" s="3">
        <v>3.7985224</v>
      </c>
      <c r="AX1239" s="3">
        <v>3.7864627999999998</v>
      </c>
      <c r="AY1239" s="3">
        <v>3.7750631000000001</v>
      </c>
      <c r="AZ1239" s="3">
        <v>3.7642506</v>
      </c>
      <c r="BA1239" s="3">
        <v>3.7539615999999998</v>
      </c>
      <c r="BB1239" s="3">
        <v>3.7441764000000002</v>
      </c>
      <c r="BC1239" s="3">
        <v>3.7348876999999998</v>
      </c>
      <c r="BD1239" s="3">
        <v>3.7260878000000002</v>
      </c>
      <c r="BE1239" s="3">
        <v>3.7177692000000002</v>
      </c>
      <c r="BF1239" s="3">
        <v>3.7099243</v>
      </c>
      <c r="BG1239" s="3">
        <v>3.7025456000000001</v>
      </c>
      <c r="BH1239" s="3">
        <v>3.6956254999999998</v>
      </c>
      <c r="BI1239" s="3">
        <v>3.6891563999999999</v>
      </c>
      <c r="BJ1239" s="3">
        <v>3.6831309000000001</v>
      </c>
      <c r="BK1239" s="3">
        <v>3.6775411999999998</v>
      </c>
      <c r="BL1239" s="3">
        <v>3.67238</v>
      </c>
      <c r="BM1239" s="3">
        <v>3.6499853999999998</v>
      </c>
      <c r="BN1239" s="3">
        <v>3.6411074999999999</v>
      </c>
    </row>
    <row r="1240" spans="1:66" x14ac:dyDescent="0.35">
      <c r="A1240" s="5">
        <f t="shared" si="19"/>
        <v>45190</v>
      </c>
      <c r="B1240" t="s">
        <v>2652</v>
      </c>
      <c r="C1240" s="2">
        <v>5.25</v>
      </c>
      <c r="D1240" s="2">
        <v>5.1848000000000001</v>
      </c>
      <c r="E1240" s="3">
        <v>5.2055965000000004</v>
      </c>
      <c r="F1240" s="3">
        <v>5.2634832999999999</v>
      </c>
      <c r="G1240" s="3">
        <v>5.3117874</v>
      </c>
      <c r="H1240" s="3">
        <v>5.34694</v>
      </c>
      <c r="I1240" s="3">
        <v>5.3672246000000001</v>
      </c>
      <c r="J1240" s="3">
        <v>5.3734383000000001</v>
      </c>
      <c r="K1240" s="3">
        <v>5.3667062000000003</v>
      </c>
      <c r="L1240" s="3">
        <v>5.3491720000000003</v>
      </c>
      <c r="M1240" s="3">
        <v>5.3228280000000003</v>
      </c>
      <c r="N1240" s="3">
        <v>5.2891038000000004</v>
      </c>
      <c r="O1240" s="3">
        <v>5.2483418000000004</v>
      </c>
      <c r="P1240" s="3">
        <v>5.2004261999999999</v>
      </c>
      <c r="Q1240" s="3">
        <v>5.1438573999999999</v>
      </c>
      <c r="R1240" s="3">
        <v>5.0796722000000001</v>
      </c>
      <c r="S1240" s="3">
        <v>5.0099387000000002</v>
      </c>
      <c r="T1240" s="3">
        <v>4.9367235000000003</v>
      </c>
      <c r="U1240" s="3">
        <v>4.8620931000000001</v>
      </c>
      <c r="V1240" s="3">
        <v>4.7881166000000004</v>
      </c>
      <c r="W1240" s="3">
        <v>4.7165420999999998</v>
      </c>
      <c r="X1240" s="3">
        <v>4.6479052999999997</v>
      </c>
      <c r="Y1240" s="3">
        <v>4.5824562999999996</v>
      </c>
      <c r="Z1240" s="3">
        <v>4.5204424999999997</v>
      </c>
      <c r="AA1240" s="3">
        <v>4.4621111999999998</v>
      </c>
      <c r="AB1240" s="3">
        <v>4.4077121999999997</v>
      </c>
      <c r="AC1240" s="3">
        <v>4.3574248000000004</v>
      </c>
      <c r="AD1240" s="3">
        <v>4.3110958000000004</v>
      </c>
      <c r="AE1240" s="3">
        <v>4.2684724000000003</v>
      </c>
      <c r="AF1240" s="3">
        <v>4.2293002</v>
      </c>
      <c r="AG1240" s="3">
        <v>4.1933249999999997</v>
      </c>
      <c r="AH1240" s="3">
        <v>4.1602937999999998</v>
      </c>
      <c r="AI1240" s="3">
        <v>4.1299523000000002</v>
      </c>
      <c r="AJ1240" s="3">
        <v>4.1020462999999996</v>
      </c>
      <c r="AK1240" s="3">
        <v>4.0763226000000001</v>
      </c>
      <c r="AL1240" s="3">
        <v>4.0525270000000004</v>
      </c>
      <c r="AM1240" s="3">
        <v>4.0304054999999996</v>
      </c>
      <c r="AN1240" s="3">
        <v>4.0097047000000003</v>
      </c>
      <c r="AO1240" s="3">
        <v>3.9902006000000001</v>
      </c>
      <c r="AP1240" s="3">
        <v>3.9718024999999999</v>
      </c>
      <c r="AQ1240" s="3">
        <v>3.9544570000000001</v>
      </c>
      <c r="AR1240" s="3">
        <v>3.9381102000000001</v>
      </c>
      <c r="AS1240" s="3">
        <v>3.9227080999999999</v>
      </c>
      <c r="AT1240" s="3">
        <v>3.9081972</v>
      </c>
      <c r="AU1240" s="3">
        <v>3.8945235999999999</v>
      </c>
      <c r="AV1240" s="3">
        <v>3.8816334000000001</v>
      </c>
      <c r="AW1240" s="3">
        <v>3.8694730000000002</v>
      </c>
      <c r="AX1240" s="3">
        <v>3.8579886000000001</v>
      </c>
      <c r="AY1240" s="3">
        <v>3.8471261000000001</v>
      </c>
      <c r="AZ1240" s="3">
        <v>3.8368321999999999</v>
      </c>
      <c r="BA1240" s="3">
        <v>3.8270596000000001</v>
      </c>
      <c r="BB1240" s="3">
        <v>3.8177914999999998</v>
      </c>
      <c r="BC1240" s="3">
        <v>3.8090196000000001</v>
      </c>
      <c r="BD1240" s="3">
        <v>3.8007352000000001</v>
      </c>
      <c r="BE1240" s="3">
        <v>3.7929298</v>
      </c>
      <c r="BF1240" s="3">
        <v>3.7855949</v>
      </c>
      <c r="BG1240" s="3">
        <v>3.7787221</v>
      </c>
      <c r="BH1240" s="3">
        <v>3.7723027</v>
      </c>
      <c r="BI1240" s="3">
        <v>3.7663283999999999</v>
      </c>
      <c r="BJ1240" s="3">
        <v>3.7607905000000001</v>
      </c>
      <c r="BK1240" s="3">
        <v>3.7556805</v>
      </c>
      <c r="BL1240" s="3">
        <v>3.7509899999999998</v>
      </c>
      <c r="BM1240" s="3">
        <v>3.7312647999999999</v>
      </c>
      <c r="BN1240" s="3">
        <v>3.7250219000000002</v>
      </c>
    </row>
    <row r="1241" spans="1:66" x14ac:dyDescent="0.35">
      <c r="A1241" s="5">
        <f t="shared" si="19"/>
        <v>45191</v>
      </c>
      <c r="B1241" t="s">
        <v>2654</v>
      </c>
      <c r="C1241" s="2">
        <v>5.25</v>
      </c>
      <c r="D1241" s="2">
        <v>5.1855000000000002</v>
      </c>
      <c r="E1241" s="3">
        <v>5.2062118999999996</v>
      </c>
      <c r="F1241" s="3">
        <v>5.2609108999999998</v>
      </c>
      <c r="G1241" s="3">
        <v>5.3033248000000004</v>
      </c>
      <c r="H1241" s="3">
        <v>5.3296834999999998</v>
      </c>
      <c r="I1241" s="3">
        <v>5.3400809000000002</v>
      </c>
      <c r="J1241" s="3">
        <v>5.3364795000000003</v>
      </c>
      <c r="K1241" s="3">
        <v>5.3207088999999996</v>
      </c>
      <c r="L1241" s="3">
        <v>5.2952007999999999</v>
      </c>
      <c r="M1241" s="3">
        <v>5.2621180000000001</v>
      </c>
      <c r="N1241" s="3">
        <v>5.2227914000000002</v>
      </c>
      <c r="O1241" s="3">
        <v>5.1777042</v>
      </c>
      <c r="P1241" s="3">
        <v>5.1267164999999997</v>
      </c>
      <c r="Q1241" s="3">
        <v>5.0682130000000001</v>
      </c>
      <c r="R1241" s="3">
        <v>5.0030153999999998</v>
      </c>
      <c r="S1241" s="3">
        <v>4.9328579000000001</v>
      </c>
      <c r="T1241" s="3">
        <v>4.8594727000000004</v>
      </c>
      <c r="U1241" s="3">
        <v>4.7845915000000003</v>
      </c>
      <c r="V1241" s="3">
        <v>4.7099491000000002</v>
      </c>
      <c r="W1241" s="3">
        <v>4.6370981999999996</v>
      </c>
      <c r="X1241" s="3">
        <v>4.5667613999999999</v>
      </c>
      <c r="Y1241" s="3">
        <v>4.4994230000000002</v>
      </c>
      <c r="Z1241" s="3">
        <v>4.4355646999999996</v>
      </c>
      <c r="AA1241" s="3">
        <v>4.3756684000000003</v>
      </c>
      <c r="AB1241" s="3">
        <v>4.3202182000000002</v>
      </c>
      <c r="AC1241" s="3">
        <v>4.2695758000000001</v>
      </c>
      <c r="AD1241" s="3">
        <v>4.223573</v>
      </c>
      <c r="AE1241" s="3">
        <v>4.1818967999999996</v>
      </c>
      <c r="AF1241" s="3">
        <v>4.1442325999999996</v>
      </c>
      <c r="AG1241" s="3">
        <v>4.1102660000000002</v>
      </c>
      <c r="AH1241" s="3">
        <v>4.0796837999999997</v>
      </c>
      <c r="AI1241" s="3">
        <v>4.0521715</v>
      </c>
      <c r="AJ1241" s="3">
        <v>4.0274147999999999</v>
      </c>
      <c r="AK1241" s="3">
        <v>4.0051002000000002</v>
      </c>
      <c r="AL1241" s="3">
        <v>3.9849135000000002</v>
      </c>
      <c r="AM1241" s="3">
        <v>3.9665403000000001</v>
      </c>
      <c r="AN1241" s="3">
        <v>3.9496671000000001</v>
      </c>
      <c r="AO1241" s="3">
        <v>3.9340152000000002</v>
      </c>
      <c r="AP1241" s="3">
        <v>3.9194635</v>
      </c>
      <c r="AQ1241" s="3">
        <v>3.9059347999999998</v>
      </c>
      <c r="AR1241" s="3">
        <v>3.8933513</v>
      </c>
      <c r="AS1241" s="3">
        <v>3.8816354</v>
      </c>
      <c r="AT1241" s="3">
        <v>3.8707098000000002</v>
      </c>
      <c r="AU1241" s="3">
        <v>3.8604967000000001</v>
      </c>
      <c r="AV1241" s="3">
        <v>3.8509185000000001</v>
      </c>
      <c r="AW1241" s="3">
        <v>3.8418977999999999</v>
      </c>
      <c r="AX1241" s="3">
        <v>3.8333571000000002</v>
      </c>
      <c r="AY1241" s="3">
        <v>3.8252185000000001</v>
      </c>
      <c r="AZ1241" s="3">
        <v>3.8174047999999998</v>
      </c>
      <c r="BA1241" s="3">
        <v>3.8098508999999998</v>
      </c>
      <c r="BB1241" s="3">
        <v>3.8025478000000001</v>
      </c>
      <c r="BC1241" s="3">
        <v>3.7955019000000001</v>
      </c>
      <c r="BD1241" s="3">
        <v>3.7887195</v>
      </c>
      <c r="BE1241" s="3">
        <v>3.7822068</v>
      </c>
      <c r="BF1241" s="3">
        <v>3.7759705000000001</v>
      </c>
      <c r="BG1241" s="3">
        <v>3.7700168000000001</v>
      </c>
      <c r="BH1241" s="3">
        <v>3.7643518999999999</v>
      </c>
      <c r="BI1241" s="3">
        <v>3.7589823999999998</v>
      </c>
      <c r="BJ1241" s="3">
        <v>3.7539145</v>
      </c>
      <c r="BK1241" s="3">
        <v>3.7491547000000001</v>
      </c>
      <c r="BL1241" s="3">
        <v>3.7447092</v>
      </c>
      <c r="BM1241" s="3">
        <v>3.7248089000000002</v>
      </c>
      <c r="BN1241" s="3">
        <v>3.7166921999999998</v>
      </c>
    </row>
    <row r="1242" spans="1:66" x14ac:dyDescent="0.35">
      <c r="A1242" s="5">
        <f t="shared" si="19"/>
        <v>45194</v>
      </c>
      <c r="B1242" t="s">
        <v>2655</v>
      </c>
      <c r="C1242" s="2">
        <v>5.25</v>
      </c>
      <c r="D1242" s="2">
        <v>5.1848999999999998</v>
      </c>
      <c r="E1242" s="3">
        <v>5.2113879000000001</v>
      </c>
      <c r="F1242" s="3">
        <v>5.2683738</v>
      </c>
      <c r="G1242" s="3">
        <v>5.3086307000000001</v>
      </c>
      <c r="H1242" s="3">
        <v>5.3307203999999997</v>
      </c>
      <c r="I1242" s="3">
        <v>5.3366528000000004</v>
      </c>
      <c r="J1242" s="3">
        <v>5.3286745</v>
      </c>
      <c r="K1242" s="3">
        <v>5.3086928999999996</v>
      </c>
      <c r="L1242" s="3">
        <v>5.2792031000000001</v>
      </c>
      <c r="M1242" s="3">
        <v>5.2420596000000002</v>
      </c>
      <c r="N1242" s="3">
        <v>5.1991114999999999</v>
      </c>
      <c r="O1242" s="3">
        <v>5.1511604999999996</v>
      </c>
      <c r="P1242" s="3">
        <v>5.0987552999999997</v>
      </c>
      <c r="Q1242" s="3">
        <v>5.04155</v>
      </c>
      <c r="R1242" s="3">
        <v>4.9804164999999996</v>
      </c>
      <c r="S1242" s="3">
        <v>4.9166835999999998</v>
      </c>
      <c r="T1242" s="3">
        <v>4.8516776000000004</v>
      </c>
      <c r="U1242" s="3">
        <v>4.7867252999999996</v>
      </c>
      <c r="V1242" s="3">
        <v>4.7231553000000002</v>
      </c>
      <c r="W1242" s="3">
        <v>4.6620777000000002</v>
      </c>
      <c r="X1242" s="3">
        <v>4.6037789</v>
      </c>
      <c r="Y1242" s="3">
        <v>4.5483510000000003</v>
      </c>
      <c r="Z1242" s="3">
        <v>4.4958843999999996</v>
      </c>
      <c r="AA1242" s="3">
        <v>4.4464692000000001</v>
      </c>
      <c r="AB1242" s="3">
        <v>4.4001975</v>
      </c>
      <c r="AC1242" s="3">
        <v>4.3571182000000004</v>
      </c>
      <c r="AD1242" s="3">
        <v>4.3170963999999996</v>
      </c>
      <c r="AE1242" s="3">
        <v>4.2799486</v>
      </c>
      <c r="AF1242" s="3">
        <v>4.2454893</v>
      </c>
      <c r="AG1242" s="3">
        <v>4.2135335999999999</v>
      </c>
      <c r="AH1242" s="3">
        <v>4.1838972999999999</v>
      </c>
      <c r="AI1242" s="3">
        <v>4.1563955000000004</v>
      </c>
      <c r="AJ1242" s="3">
        <v>4.1308429000000002</v>
      </c>
      <c r="AK1242" s="3">
        <v>4.1070555000000004</v>
      </c>
      <c r="AL1242" s="3">
        <v>4.0848483</v>
      </c>
      <c r="AM1242" s="3">
        <v>4.0640361</v>
      </c>
      <c r="AN1242" s="3">
        <v>4.0444348000000003</v>
      </c>
      <c r="AO1242" s="3">
        <v>4.0258817000000002</v>
      </c>
      <c r="AP1242" s="3">
        <v>4.0083126</v>
      </c>
      <c r="AQ1242" s="3">
        <v>3.9916914000000001</v>
      </c>
      <c r="AR1242" s="3">
        <v>3.9759810999999998</v>
      </c>
      <c r="AS1242" s="3">
        <v>3.9611448</v>
      </c>
      <c r="AT1242" s="3">
        <v>3.9471462000000002</v>
      </c>
      <c r="AU1242" s="3">
        <v>3.9339485000000001</v>
      </c>
      <c r="AV1242" s="3">
        <v>3.9215148000000002</v>
      </c>
      <c r="AW1242" s="3">
        <v>3.9098087000000001</v>
      </c>
      <c r="AX1242" s="3">
        <v>3.8987932999999999</v>
      </c>
      <c r="AY1242" s="3">
        <v>3.8884319999999999</v>
      </c>
      <c r="AZ1242" s="3">
        <v>3.8786881000000002</v>
      </c>
      <c r="BA1242" s="3">
        <v>3.8695284000000001</v>
      </c>
      <c r="BB1242" s="3">
        <v>3.8609379000000001</v>
      </c>
      <c r="BC1242" s="3">
        <v>3.8529081999999999</v>
      </c>
      <c r="BD1242" s="3">
        <v>3.8454307000000001</v>
      </c>
      <c r="BE1242" s="3">
        <v>3.8384966</v>
      </c>
      <c r="BF1242" s="3">
        <v>3.8320976</v>
      </c>
      <c r="BG1242" s="3">
        <v>3.8262249000000002</v>
      </c>
      <c r="BH1242" s="3">
        <v>3.8208698000000001</v>
      </c>
      <c r="BI1242" s="3">
        <v>3.8160240000000001</v>
      </c>
      <c r="BJ1242" s="3">
        <v>3.8116788000000001</v>
      </c>
      <c r="BK1242" s="3">
        <v>3.8078254</v>
      </c>
      <c r="BL1242" s="3">
        <v>3.8044554000000002</v>
      </c>
      <c r="BM1242" s="3">
        <v>3.7937734000000001</v>
      </c>
      <c r="BN1242" s="3">
        <v>3.7975210000000001</v>
      </c>
    </row>
    <row r="1243" spans="1:66" x14ac:dyDescent="0.35">
      <c r="A1243" s="5">
        <f t="shared" si="19"/>
        <v>45195</v>
      </c>
      <c r="B1243" t="s">
        <v>2656</v>
      </c>
      <c r="C1243" s="2">
        <v>5.25</v>
      </c>
      <c r="D1243" s="2">
        <v>5.1856999999999998</v>
      </c>
      <c r="E1243" s="3">
        <v>5.2133753</v>
      </c>
      <c r="F1243" s="3">
        <v>5.2772733000000001</v>
      </c>
      <c r="G1243" s="3">
        <v>5.3235938999999997</v>
      </c>
      <c r="H1243" s="3">
        <v>5.3519297000000003</v>
      </c>
      <c r="I1243" s="3">
        <v>5.3639652</v>
      </c>
      <c r="J1243" s="3">
        <v>5.3618208000000003</v>
      </c>
      <c r="K1243" s="3">
        <v>5.3474598000000002</v>
      </c>
      <c r="L1243" s="3">
        <v>5.3234436000000001</v>
      </c>
      <c r="M1243" s="3">
        <v>5.2917129999999997</v>
      </c>
      <c r="N1243" s="3">
        <v>5.2540277</v>
      </c>
      <c r="O1243" s="3">
        <v>5.2110272999999996</v>
      </c>
      <c r="P1243" s="3">
        <v>5.1629825</v>
      </c>
      <c r="Q1243" s="3">
        <v>5.1088481999999997</v>
      </c>
      <c r="R1243" s="3">
        <v>5.0493271000000002</v>
      </c>
      <c r="S1243" s="3">
        <v>4.9857595000000003</v>
      </c>
      <c r="T1243" s="3">
        <v>4.9194839999999997</v>
      </c>
      <c r="U1243" s="3">
        <v>4.8518385999999998</v>
      </c>
      <c r="V1243" s="3">
        <v>4.7841642000000002</v>
      </c>
      <c r="W1243" s="3">
        <v>4.7176391999999998</v>
      </c>
      <c r="X1243" s="3">
        <v>4.6528334999999998</v>
      </c>
      <c r="Y1243" s="3">
        <v>4.5901747999999998</v>
      </c>
      <c r="Z1243" s="3">
        <v>4.5300880000000001</v>
      </c>
      <c r="AA1243" s="3">
        <v>4.4729986000000004</v>
      </c>
      <c r="AB1243" s="3">
        <v>4.4193337000000001</v>
      </c>
      <c r="AC1243" s="3">
        <v>4.3694227000000003</v>
      </c>
      <c r="AD1243" s="3">
        <v>4.3231707999999998</v>
      </c>
      <c r="AE1243" s="3">
        <v>4.2803680000000002</v>
      </c>
      <c r="AF1243" s="3">
        <v>4.2408025</v>
      </c>
      <c r="AG1243" s="3">
        <v>4.2042627000000001</v>
      </c>
      <c r="AH1243" s="3">
        <v>4.1705383999999999</v>
      </c>
      <c r="AI1243" s="3">
        <v>4.1394178999999998</v>
      </c>
      <c r="AJ1243" s="3">
        <v>4.1106897</v>
      </c>
      <c r="AK1243" s="3">
        <v>4.0841433</v>
      </c>
      <c r="AL1243" s="3">
        <v>4.0595673000000003</v>
      </c>
      <c r="AM1243" s="3">
        <v>4.0367502000000002</v>
      </c>
      <c r="AN1243" s="3">
        <v>4.0154813999999996</v>
      </c>
      <c r="AO1243" s="3">
        <v>3.9955687000000002</v>
      </c>
      <c r="AP1243" s="3">
        <v>3.9769234</v>
      </c>
      <c r="AQ1243" s="3">
        <v>3.9594925999999999</v>
      </c>
      <c r="AR1243" s="3">
        <v>3.9432223999999998</v>
      </c>
      <c r="AS1243" s="3">
        <v>3.9280590000000002</v>
      </c>
      <c r="AT1243" s="3">
        <v>3.9139493000000001</v>
      </c>
      <c r="AU1243" s="3">
        <v>3.9008395</v>
      </c>
      <c r="AV1243" s="3">
        <v>3.8886759</v>
      </c>
      <c r="AW1243" s="3">
        <v>3.8774052000000001</v>
      </c>
      <c r="AX1243" s="3">
        <v>3.8669737</v>
      </c>
      <c r="AY1243" s="3">
        <v>3.8573278000000002</v>
      </c>
      <c r="AZ1243" s="3">
        <v>3.8484140999999998</v>
      </c>
      <c r="BA1243" s="3">
        <v>3.8401839999999998</v>
      </c>
      <c r="BB1243" s="3">
        <v>3.8326145</v>
      </c>
      <c r="BC1243" s="3">
        <v>3.8256903000000002</v>
      </c>
      <c r="BD1243" s="3">
        <v>3.8193958000000001</v>
      </c>
      <c r="BE1243" s="3">
        <v>3.8137156999999999</v>
      </c>
      <c r="BF1243" s="3">
        <v>3.8086346</v>
      </c>
      <c r="BG1243" s="3">
        <v>3.8041371000000002</v>
      </c>
      <c r="BH1243" s="3">
        <v>3.8002075999999998</v>
      </c>
      <c r="BI1243" s="3">
        <v>3.7968310000000001</v>
      </c>
      <c r="BJ1243" s="3">
        <v>3.7939916999999999</v>
      </c>
      <c r="BK1243" s="3">
        <v>3.7916742999999999</v>
      </c>
      <c r="BL1243" s="3">
        <v>3.7898635000000001</v>
      </c>
      <c r="BM1243" s="3">
        <v>3.7886947000000002</v>
      </c>
      <c r="BN1243" s="3">
        <v>3.8014009999999998</v>
      </c>
    </row>
    <row r="1244" spans="1:66" x14ac:dyDescent="0.35">
      <c r="A1244" s="5">
        <f t="shared" si="19"/>
        <v>45196</v>
      </c>
      <c r="B1244" t="s">
        <v>2657</v>
      </c>
      <c r="C1244" s="2">
        <v>5.25</v>
      </c>
      <c r="D1244" s="2">
        <v>5.1859999999999999</v>
      </c>
      <c r="E1244" s="3">
        <v>5.2190649999999996</v>
      </c>
      <c r="F1244" s="3">
        <v>5.2881650999999996</v>
      </c>
      <c r="G1244" s="3">
        <v>5.3387095999999996</v>
      </c>
      <c r="H1244" s="3">
        <v>5.3718174999999997</v>
      </c>
      <c r="I1244" s="3">
        <v>5.3890742999999999</v>
      </c>
      <c r="J1244" s="3">
        <v>5.3924472999999997</v>
      </c>
      <c r="K1244" s="3">
        <v>5.3834951000000002</v>
      </c>
      <c r="L1244" s="3">
        <v>5.3649135000000001</v>
      </c>
      <c r="M1244" s="3">
        <v>5.3389290000000003</v>
      </c>
      <c r="N1244" s="3">
        <v>5.3071349000000003</v>
      </c>
      <c r="O1244" s="3">
        <v>5.2700987000000001</v>
      </c>
      <c r="P1244" s="3">
        <v>5.2276809999999996</v>
      </c>
      <c r="Q1244" s="3">
        <v>5.1784905999999999</v>
      </c>
      <c r="R1244" s="3">
        <v>5.1232316999999998</v>
      </c>
      <c r="S1244" s="3">
        <v>5.0633201000000003</v>
      </c>
      <c r="T1244" s="3">
        <v>5.0001698000000001</v>
      </c>
      <c r="U1244" s="3">
        <v>4.9351947000000003</v>
      </c>
      <c r="V1244" s="3">
        <v>4.8698109000000001</v>
      </c>
      <c r="W1244" s="3">
        <v>4.8052600999999999</v>
      </c>
      <c r="X1244" s="3">
        <v>4.7421281999999998</v>
      </c>
      <c r="Y1244" s="3">
        <v>4.6808475999999999</v>
      </c>
      <c r="Z1244" s="3">
        <v>4.6218481999999996</v>
      </c>
      <c r="AA1244" s="3">
        <v>4.5655602000000002</v>
      </c>
      <c r="AB1244" s="3">
        <v>4.5124157</v>
      </c>
      <c r="AC1244" s="3">
        <v>4.4627691</v>
      </c>
      <c r="AD1244" s="3">
        <v>4.4165675999999996</v>
      </c>
      <c r="AE1244" s="3">
        <v>4.3736233999999996</v>
      </c>
      <c r="AF1244" s="3">
        <v>4.3337469000000004</v>
      </c>
      <c r="AG1244" s="3">
        <v>4.2967487000000002</v>
      </c>
      <c r="AH1244" s="3">
        <v>4.2624408000000003</v>
      </c>
      <c r="AI1244" s="3">
        <v>4.2306336</v>
      </c>
      <c r="AJ1244" s="3">
        <v>4.2011379</v>
      </c>
      <c r="AK1244" s="3">
        <v>4.1737653000000003</v>
      </c>
      <c r="AL1244" s="3">
        <v>4.1483265999999999</v>
      </c>
      <c r="AM1244" s="3">
        <v>4.1246324000000003</v>
      </c>
      <c r="AN1244" s="3">
        <v>4.1024944000000003</v>
      </c>
      <c r="AO1244" s="3">
        <v>4.0817405000000004</v>
      </c>
      <c r="AP1244" s="3">
        <v>4.0622828000000002</v>
      </c>
      <c r="AQ1244" s="3">
        <v>4.0440598000000003</v>
      </c>
      <c r="AR1244" s="3">
        <v>4.0270092000000002</v>
      </c>
      <c r="AS1244" s="3">
        <v>4.0110688000000003</v>
      </c>
      <c r="AT1244" s="3">
        <v>3.9961768000000002</v>
      </c>
      <c r="AU1244" s="3">
        <v>3.9822711000000002</v>
      </c>
      <c r="AV1244" s="3">
        <v>3.9692894000000001</v>
      </c>
      <c r="AW1244" s="3">
        <v>3.9571700999999999</v>
      </c>
      <c r="AX1244" s="3">
        <v>3.9458508000000001</v>
      </c>
      <c r="AY1244" s="3">
        <v>3.9352695</v>
      </c>
      <c r="AZ1244" s="3">
        <v>3.9253643999999999</v>
      </c>
      <c r="BA1244" s="3">
        <v>3.9160803999999998</v>
      </c>
      <c r="BB1244" s="3">
        <v>3.9073947000000002</v>
      </c>
      <c r="BC1244" s="3">
        <v>3.8992935000000002</v>
      </c>
      <c r="BD1244" s="3">
        <v>3.8917625999999998</v>
      </c>
      <c r="BE1244" s="3">
        <v>3.8847879999999999</v>
      </c>
      <c r="BF1244" s="3">
        <v>3.8783558</v>
      </c>
      <c r="BG1244" s="3">
        <v>3.8724519000000002</v>
      </c>
      <c r="BH1244" s="3">
        <v>3.8670621999999999</v>
      </c>
      <c r="BI1244" s="3">
        <v>3.8621729</v>
      </c>
      <c r="BJ1244" s="3">
        <v>3.8577697999999998</v>
      </c>
      <c r="BK1244" s="3">
        <v>3.8538389999999998</v>
      </c>
      <c r="BL1244" s="3">
        <v>3.8503664</v>
      </c>
      <c r="BM1244" s="3">
        <v>3.8384345999999998</v>
      </c>
      <c r="BN1244" s="3">
        <v>3.8398694</v>
      </c>
    </row>
    <row r="1245" spans="1:66" x14ac:dyDescent="0.35">
      <c r="A1245" s="5">
        <f t="shared" si="19"/>
        <v>45197</v>
      </c>
      <c r="B1245" t="s">
        <v>2658</v>
      </c>
      <c r="C1245" s="2">
        <v>5.25</v>
      </c>
      <c r="D1245" s="2">
        <v>5.1859000000000002</v>
      </c>
      <c r="E1245" s="3">
        <v>5.2225032000000002</v>
      </c>
      <c r="F1245" s="3">
        <v>5.2989629000000003</v>
      </c>
      <c r="G1245" s="3">
        <v>5.3534752000000001</v>
      </c>
      <c r="H1245" s="3">
        <v>5.3875337999999999</v>
      </c>
      <c r="I1245" s="3">
        <v>5.4035520999999997</v>
      </c>
      <c r="J1245" s="3">
        <v>5.4045076999999999</v>
      </c>
      <c r="K1245" s="3">
        <v>5.3931266000000004</v>
      </c>
      <c r="L1245" s="3">
        <v>5.3730900999999998</v>
      </c>
      <c r="M1245" s="3">
        <v>5.3475073000000002</v>
      </c>
      <c r="N1245" s="3">
        <v>5.3182147999999998</v>
      </c>
      <c r="O1245" s="3">
        <v>5.2857010999999998</v>
      </c>
      <c r="P1245" s="3">
        <v>5.2496622000000004</v>
      </c>
      <c r="Q1245" s="3">
        <v>5.2081645999999999</v>
      </c>
      <c r="R1245" s="3">
        <v>5.1614766000000003</v>
      </c>
      <c r="S1245" s="3">
        <v>5.1107940999999997</v>
      </c>
      <c r="T1245" s="3">
        <v>5.0573119000000002</v>
      </c>
      <c r="U1245" s="3">
        <v>5.0022248999999999</v>
      </c>
      <c r="V1245" s="3">
        <v>4.9467296000000003</v>
      </c>
      <c r="W1245" s="3">
        <v>4.8918660999999997</v>
      </c>
      <c r="X1245" s="3">
        <v>4.8380846000000002</v>
      </c>
      <c r="Y1245" s="3">
        <v>4.7856971000000001</v>
      </c>
      <c r="Z1245" s="3">
        <v>4.7350135</v>
      </c>
      <c r="AA1245" s="3">
        <v>4.6863440000000001</v>
      </c>
      <c r="AB1245" s="3">
        <v>4.6400002999999996</v>
      </c>
      <c r="AC1245" s="3">
        <v>4.5962322999999996</v>
      </c>
      <c r="AD1245" s="3">
        <v>4.5549970000000002</v>
      </c>
      <c r="AE1245" s="3">
        <v>4.5161635000000002</v>
      </c>
      <c r="AF1245" s="3">
        <v>4.4795993999999997</v>
      </c>
      <c r="AG1245" s="3">
        <v>4.4451726999999996</v>
      </c>
      <c r="AH1245" s="3">
        <v>4.4127521999999999</v>
      </c>
      <c r="AI1245" s="3">
        <v>4.3822057000000001</v>
      </c>
      <c r="AJ1245" s="3">
        <v>4.3534009999999999</v>
      </c>
      <c r="AK1245" s="3">
        <v>4.3262070000000001</v>
      </c>
      <c r="AL1245" s="3">
        <v>4.3004916</v>
      </c>
      <c r="AM1245" s="3">
        <v>4.2761225999999999</v>
      </c>
      <c r="AN1245" s="3">
        <v>4.2529687000000003</v>
      </c>
      <c r="AO1245" s="3">
        <v>4.2309124999999996</v>
      </c>
      <c r="AP1245" s="3">
        <v>4.2099007999999998</v>
      </c>
      <c r="AQ1245" s="3">
        <v>4.1898989999999996</v>
      </c>
      <c r="AR1245" s="3">
        <v>4.1708718999999999</v>
      </c>
      <c r="AS1245" s="3">
        <v>4.1527840999999999</v>
      </c>
      <c r="AT1245" s="3">
        <v>4.1356009</v>
      </c>
      <c r="AU1245" s="3">
        <v>4.1192871999999996</v>
      </c>
      <c r="AV1245" s="3">
        <v>4.1038075000000003</v>
      </c>
      <c r="AW1245" s="3">
        <v>4.0891273000000004</v>
      </c>
      <c r="AX1245" s="3">
        <v>4.0752110999999998</v>
      </c>
      <c r="AY1245" s="3">
        <v>4.0620238999999998</v>
      </c>
      <c r="AZ1245" s="3">
        <v>4.0495308000000003</v>
      </c>
      <c r="BA1245" s="3">
        <v>4.0376998000000004</v>
      </c>
      <c r="BB1245" s="3">
        <v>4.0265133000000004</v>
      </c>
      <c r="BC1245" s="3">
        <v>4.0159582</v>
      </c>
      <c r="BD1245" s="3">
        <v>4.0060206000000003</v>
      </c>
      <c r="BE1245" s="3">
        <v>3.9966870000000001</v>
      </c>
      <c r="BF1245" s="3">
        <v>3.9879441</v>
      </c>
      <c r="BG1245" s="3">
        <v>3.9797783</v>
      </c>
      <c r="BH1245" s="3">
        <v>3.9721758999999999</v>
      </c>
      <c r="BI1245" s="3">
        <v>3.9651236000000001</v>
      </c>
      <c r="BJ1245" s="3">
        <v>3.9586077999999998</v>
      </c>
      <c r="BK1245" s="3">
        <v>3.9526148999999999</v>
      </c>
      <c r="BL1245" s="3">
        <v>3.9471314999999998</v>
      </c>
      <c r="BM1245" s="3">
        <v>3.9242731000000002</v>
      </c>
      <c r="BN1245" s="3">
        <v>3.9169651000000001</v>
      </c>
    </row>
    <row r="1246" spans="1:66" x14ac:dyDescent="0.35">
      <c r="A1246" s="5">
        <f t="shared" si="19"/>
        <v>45198</v>
      </c>
      <c r="B1246" t="s">
        <v>2659</v>
      </c>
      <c r="C1246" s="2">
        <v>5.25</v>
      </c>
      <c r="D1246" s="2">
        <v>5.1867000000000001</v>
      </c>
      <c r="E1246" s="3">
        <v>5.2175339000000003</v>
      </c>
      <c r="F1246" s="3">
        <v>5.2856807000000003</v>
      </c>
      <c r="G1246" s="3">
        <v>5.3349368000000004</v>
      </c>
      <c r="H1246" s="3">
        <v>5.3655036999999997</v>
      </c>
      <c r="I1246" s="3">
        <v>5.3796818000000002</v>
      </c>
      <c r="J1246" s="3">
        <v>5.3792612999999996</v>
      </c>
      <c r="K1246" s="3">
        <v>5.3655029000000001</v>
      </c>
      <c r="L1246" s="3">
        <v>5.3393598999999998</v>
      </c>
      <c r="M1246" s="3">
        <v>5.3034539000000001</v>
      </c>
      <c r="N1246" s="3">
        <v>5.2598950999999996</v>
      </c>
      <c r="O1246" s="3">
        <v>5.2105458999999996</v>
      </c>
      <c r="P1246" s="3">
        <v>5.1569861000000001</v>
      </c>
      <c r="Q1246" s="3">
        <v>5.1006098</v>
      </c>
      <c r="R1246" s="3">
        <v>5.0423403000000002</v>
      </c>
      <c r="S1246" s="3">
        <v>4.9829613999999998</v>
      </c>
      <c r="T1246" s="3">
        <v>4.9232548999999999</v>
      </c>
      <c r="U1246" s="3">
        <v>4.8640021999999998</v>
      </c>
      <c r="V1246" s="3">
        <v>4.8059874000000002</v>
      </c>
      <c r="W1246" s="3">
        <v>4.7499039999999999</v>
      </c>
      <c r="X1246" s="3">
        <v>4.6960373999999998</v>
      </c>
      <c r="Y1246" s="3">
        <v>4.6445565999999996</v>
      </c>
      <c r="Z1246" s="3">
        <v>4.5956286000000004</v>
      </c>
      <c r="AA1246" s="3">
        <v>4.5494206000000004</v>
      </c>
      <c r="AB1246" s="3">
        <v>4.5061014999999998</v>
      </c>
      <c r="AC1246" s="3">
        <v>4.4657872999999997</v>
      </c>
      <c r="AD1246" s="3">
        <v>4.4283693</v>
      </c>
      <c r="AE1246" s="3">
        <v>4.3936780999999998</v>
      </c>
      <c r="AF1246" s="3">
        <v>4.3615427000000002</v>
      </c>
      <c r="AG1246" s="3">
        <v>4.3317926</v>
      </c>
      <c r="AH1246" s="3">
        <v>4.3042578999999996</v>
      </c>
      <c r="AI1246" s="3">
        <v>4.2787680000000003</v>
      </c>
      <c r="AJ1246" s="3">
        <v>4.2551522000000004</v>
      </c>
      <c r="AK1246" s="3">
        <v>4.2332406999999996</v>
      </c>
      <c r="AL1246" s="3">
        <v>4.2128627999999999</v>
      </c>
      <c r="AM1246" s="3">
        <v>4.193848</v>
      </c>
      <c r="AN1246" s="3">
        <v>4.1760261999999999</v>
      </c>
      <c r="AO1246" s="3">
        <v>4.1592447999999997</v>
      </c>
      <c r="AP1246" s="3">
        <v>4.1434306999999997</v>
      </c>
      <c r="AQ1246" s="3">
        <v>4.1285331000000003</v>
      </c>
      <c r="AR1246" s="3">
        <v>4.1145006000000004</v>
      </c>
      <c r="AS1246" s="3">
        <v>4.1012819</v>
      </c>
      <c r="AT1246" s="3">
        <v>4.0888263</v>
      </c>
      <c r="AU1246" s="3">
        <v>4.0770825000000004</v>
      </c>
      <c r="AV1246" s="3">
        <v>4.0659991</v>
      </c>
      <c r="AW1246" s="3">
        <v>4.0555253000000002</v>
      </c>
      <c r="AX1246" s="3">
        <v>4.0456098000000003</v>
      </c>
      <c r="AY1246" s="3">
        <v>4.0362014000000004</v>
      </c>
      <c r="AZ1246" s="3">
        <v>4.0272492</v>
      </c>
      <c r="BA1246" s="3">
        <v>4.0187096000000002</v>
      </c>
      <c r="BB1246" s="3">
        <v>4.0105729999999999</v>
      </c>
      <c r="BC1246" s="3">
        <v>4.0028395000000003</v>
      </c>
      <c r="BD1246" s="3">
        <v>3.9955088000000001</v>
      </c>
      <c r="BE1246" s="3">
        <v>3.9885807999999998</v>
      </c>
      <c r="BF1246" s="3">
        <v>3.9820555</v>
      </c>
      <c r="BG1246" s="3">
        <v>3.9759326000000001</v>
      </c>
      <c r="BH1246" s="3">
        <v>3.9702118999999998</v>
      </c>
      <c r="BI1246" s="3">
        <v>3.9648935999999999</v>
      </c>
      <c r="BJ1246" s="3">
        <v>3.9599772</v>
      </c>
      <c r="BK1246" s="3">
        <v>3.9554627999999998</v>
      </c>
      <c r="BL1246" s="3">
        <v>3.9513503000000001</v>
      </c>
      <c r="BM1246" s="3">
        <v>3.9349325999999998</v>
      </c>
      <c r="BN1246" s="3">
        <v>3.9318871999999998</v>
      </c>
    </row>
    <row r="1247" spans="1:66" x14ac:dyDescent="0.35">
      <c r="A1247" s="5">
        <f t="shared" si="19"/>
        <v>45201</v>
      </c>
      <c r="B1247" t="s">
        <v>2660</v>
      </c>
      <c r="C1247" s="2">
        <v>5.25</v>
      </c>
      <c r="D1247" s="2">
        <v>5.1867999999999999</v>
      </c>
      <c r="E1247" s="3">
        <v>5.2223392999999998</v>
      </c>
      <c r="F1247" s="3">
        <v>5.2927343000000002</v>
      </c>
      <c r="G1247" s="3">
        <v>5.3420112</v>
      </c>
      <c r="H1247" s="3">
        <v>5.3712562000000004</v>
      </c>
      <c r="I1247" s="3">
        <v>5.3839163000000001</v>
      </c>
      <c r="J1247" s="3">
        <v>5.3828559</v>
      </c>
      <c r="K1247" s="3">
        <v>5.3707115999999999</v>
      </c>
      <c r="L1247" s="3">
        <v>5.3507233999999997</v>
      </c>
      <c r="M1247" s="3">
        <v>5.3254944000000002</v>
      </c>
      <c r="N1247" s="3">
        <v>5.2967810000000002</v>
      </c>
      <c r="O1247" s="3">
        <v>5.2650449999999998</v>
      </c>
      <c r="P1247" s="3">
        <v>5.2300027</v>
      </c>
      <c r="Q1247" s="3">
        <v>5.1898277000000004</v>
      </c>
      <c r="R1247" s="3">
        <v>5.1447683</v>
      </c>
      <c r="S1247" s="3">
        <v>5.0958183000000004</v>
      </c>
      <c r="T1247" s="3">
        <v>5.0439702000000004</v>
      </c>
      <c r="U1247" s="3">
        <v>4.9902160999999996</v>
      </c>
      <c r="V1247" s="3">
        <v>4.9355501000000004</v>
      </c>
      <c r="W1247" s="3">
        <v>4.8808895000000003</v>
      </c>
      <c r="X1247" s="3">
        <v>4.8268357999999996</v>
      </c>
      <c r="Y1247" s="3">
        <v>4.7739098000000002</v>
      </c>
      <c r="Z1247" s="3">
        <v>4.7226302000000002</v>
      </c>
      <c r="AA1247" s="3">
        <v>4.6735158999999999</v>
      </c>
      <c r="AB1247" s="3">
        <v>4.6270876000000003</v>
      </c>
      <c r="AC1247" s="3">
        <v>4.5837595999999996</v>
      </c>
      <c r="AD1247" s="3">
        <v>4.5434858</v>
      </c>
      <c r="AE1247" s="3">
        <v>4.5060944999999997</v>
      </c>
      <c r="AF1247" s="3">
        <v>4.4714124999999996</v>
      </c>
      <c r="AG1247" s="3">
        <v>4.4392664999999996</v>
      </c>
      <c r="AH1247" s="3">
        <v>4.4094845999999999</v>
      </c>
      <c r="AI1247" s="3">
        <v>4.3818937</v>
      </c>
      <c r="AJ1247" s="3">
        <v>4.3563206000000001</v>
      </c>
      <c r="AK1247" s="3">
        <v>4.3325933000000001</v>
      </c>
      <c r="AL1247" s="3">
        <v>4.3105387000000004</v>
      </c>
      <c r="AM1247" s="3">
        <v>4.2899837999999999</v>
      </c>
      <c r="AN1247" s="3">
        <v>4.2707563000000004</v>
      </c>
      <c r="AO1247" s="3">
        <v>4.2527005999999998</v>
      </c>
      <c r="AP1247" s="3">
        <v>4.2357380999999998</v>
      </c>
      <c r="AQ1247" s="3">
        <v>4.2198117999999996</v>
      </c>
      <c r="AR1247" s="3">
        <v>4.2048643999999999</v>
      </c>
      <c r="AS1247" s="3">
        <v>4.1908383999999996</v>
      </c>
      <c r="AT1247" s="3">
        <v>4.1776768999999998</v>
      </c>
      <c r="AU1247" s="3">
        <v>4.1653224</v>
      </c>
      <c r="AV1247" s="3">
        <v>4.1537175</v>
      </c>
      <c r="AW1247" s="3">
        <v>4.1428053</v>
      </c>
      <c r="AX1247" s="3">
        <v>4.1325284</v>
      </c>
      <c r="AY1247" s="3">
        <v>4.1228293000000003</v>
      </c>
      <c r="AZ1247" s="3">
        <v>4.1136511000000002</v>
      </c>
      <c r="BA1247" s="3">
        <v>4.1049432000000001</v>
      </c>
      <c r="BB1247" s="3">
        <v>4.096692</v>
      </c>
      <c r="BC1247" s="3">
        <v>4.0888964999999997</v>
      </c>
      <c r="BD1247" s="3">
        <v>4.0815555000000003</v>
      </c>
      <c r="BE1247" s="3">
        <v>4.0746677</v>
      </c>
      <c r="BF1247" s="3">
        <v>4.0682321000000004</v>
      </c>
      <c r="BG1247" s="3">
        <v>4.0622474000000004</v>
      </c>
      <c r="BH1247" s="3">
        <v>4.0567124999999997</v>
      </c>
      <c r="BI1247" s="3">
        <v>4.0516262999999997</v>
      </c>
      <c r="BJ1247" s="3">
        <v>4.0469876999999999</v>
      </c>
      <c r="BK1247" s="3">
        <v>4.0427952999999999</v>
      </c>
      <c r="BL1247" s="3">
        <v>4.0390480999999996</v>
      </c>
      <c r="BM1247" s="3">
        <v>4.0255900000000002</v>
      </c>
      <c r="BN1247" s="3">
        <v>4.0262795000000002</v>
      </c>
    </row>
    <row r="1248" spans="1:66" x14ac:dyDescent="0.35">
      <c r="A1248" s="5">
        <f t="shared" si="19"/>
        <v>45202</v>
      </c>
      <c r="B1248" t="s">
        <v>2661</v>
      </c>
      <c r="C1248" s="2">
        <v>5.25</v>
      </c>
      <c r="D1248" s="2">
        <v>5.1867000000000001</v>
      </c>
      <c r="E1248" s="3">
        <v>5.2247735000000004</v>
      </c>
      <c r="F1248" s="3">
        <v>5.2910602999999998</v>
      </c>
      <c r="G1248" s="3">
        <v>5.3363857000000001</v>
      </c>
      <c r="H1248" s="3">
        <v>5.3632755000000003</v>
      </c>
      <c r="I1248" s="3">
        <v>5.3754422999999996</v>
      </c>
      <c r="J1248" s="3">
        <v>5.3759534000000002</v>
      </c>
      <c r="K1248" s="3">
        <v>5.3669582</v>
      </c>
      <c r="L1248" s="3">
        <v>5.3510552000000002</v>
      </c>
      <c r="M1248" s="3">
        <v>5.3304152</v>
      </c>
      <c r="N1248" s="3">
        <v>5.3064413999999998</v>
      </c>
      <c r="O1248" s="3">
        <v>5.2795744999999998</v>
      </c>
      <c r="P1248" s="3">
        <v>5.2494854999999996</v>
      </c>
      <c r="Q1248" s="3">
        <v>5.2144982999999998</v>
      </c>
      <c r="R1248" s="3">
        <v>5.1747934999999998</v>
      </c>
      <c r="S1248" s="3">
        <v>5.1312113000000004</v>
      </c>
      <c r="T1248" s="3">
        <v>5.0845902000000001</v>
      </c>
      <c r="U1248" s="3">
        <v>5.0357687000000002</v>
      </c>
      <c r="V1248" s="3">
        <v>4.9855869999999998</v>
      </c>
      <c r="W1248" s="3">
        <v>4.9348232999999997</v>
      </c>
      <c r="X1248" s="3">
        <v>4.8840015000000001</v>
      </c>
      <c r="Y1248" s="3">
        <v>4.8335809999999997</v>
      </c>
      <c r="Z1248" s="3">
        <v>4.7840191000000001</v>
      </c>
      <c r="AA1248" s="3">
        <v>4.7357733</v>
      </c>
      <c r="AB1248" s="3">
        <v>4.6893028000000001</v>
      </c>
      <c r="AC1248" s="3">
        <v>4.6449878</v>
      </c>
      <c r="AD1248" s="3">
        <v>4.6028688999999998</v>
      </c>
      <c r="AE1248" s="3">
        <v>4.5628938999999997</v>
      </c>
      <c r="AF1248" s="3">
        <v>4.5250094000000001</v>
      </c>
      <c r="AG1248" s="3">
        <v>4.4891619</v>
      </c>
      <c r="AH1248" s="3">
        <v>4.4552993000000001</v>
      </c>
      <c r="AI1248" s="3">
        <v>4.4233681000000002</v>
      </c>
      <c r="AJ1248" s="3">
        <v>4.3933150000000003</v>
      </c>
      <c r="AK1248" s="3">
        <v>4.3650877000000001</v>
      </c>
      <c r="AL1248" s="3">
        <v>4.3386328000000001</v>
      </c>
      <c r="AM1248" s="3">
        <v>4.3138969999999999</v>
      </c>
      <c r="AN1248" s="3">
        <v>4.2908279</v>
      </c>
      <c r="AO1248" s="3">
        <v>4.2693703000000003</v>
      </c>
      <c r="AP1248" s="3">
        <v>4.2494586999999999</v>
      </c>
      <c r="AQ1248" s="3">
        <v>4.2310251000000001</v>
      </c>
      <c r="AR1248" s="3">
        <v>4.2140003999999998</v>
      </c>
      <c r="AS1248" s="3">
        <v>4.1983161000000004</v>
      </c>
      <c r="AT1248" s="3">
        <v>4.1839037000000001</v>
      </c>
      <c r="AU1248" s="3">
        <v>4.1706944000000004</v>
      </c>
      <c r="AV1248" s="3">
        <v>4.1586195999999997</v>
      </c>
      <c r="AW1248" s="3">
        <v>4.1476107999999998</v>
      </c>
      <c r="AX1248" s="3">
        <v>4.1375992999999998</v>
      </c>
      <c r="AY1248" s="3">
        <v>4.1285163000000002</v>
      </c>
      <c r="AZ1248" s="3">
        <v>4.1202934999999998</v>
      </c>
      <c r="BA1248" s="3">
        <v>4.1128670999999999</v>
      </c>
      <c r="BB1248" s="3">
        <v>4.1061984000000002</v>
      </c>
      <c r="BC1248" s="3">
        <v>4.1002562999999999</v>
      </c>
      <c r="BD1248" s="3">
        <v>4.0950094999999997</v>
      </c>
      <c r="BE1248" s="3">
        <v>4.0904268000000004</v>
      </c>
      <c r="BF1248" s="3">
        <v>4.0864772</v>
      </c>
      <c r="BG1248" s="3">
        <v>4.0831292000000001</v>
      </c>
      <c r="BH1248" s="3">
        <v>4.0803517999999999</v>
      </c>
      <c r="BI1248" s="3">
        <v>4.0781137999999997</v>
      </c>
      <c r="BJ1248" s="3">
        <v>4.0763838999999997</v>
      </c>
      <c r="BK1248" s="3">
        <v>4.0751308999999996</v>
      </c>
      <c r="BL1248" s="3">
        <v>4.0743236999999999</v>
      </c>
      <c r="BM1248" s="3">
        <v>4.0776541999999996</v>
      </c>
      <c r="BN1248" s="3">
        <v>4.0926045000000002</v>
      </c>
    </row>
    <row r="1249" spans="1:66" x14ac:dyDescent="0.35">
      <c r="A1249" s="5">
        <f t="shared" si="19"/>
        <v>45203</v>
      </c>
      <c r="B1249" t="s">
        <v>2662</v>
      </c>
      <c r="C1249" s="2">
        <v>5.25</v>
      </c>
      <c r="D1249" s="2">
        <v>5.1871999999999998</v>
      </c>
      <c r="E1249" s="3">
        <v>5.2293685999999999</v>
      </c>
      <c r="F1249" s="3">
        <v>5.292675</v>
      </c>
      <c r="G1249" s="3">
        <v>5.3363924999999997</v>
      </c>
      <c r="H1249" s="3">
        <v>5.3605711999999999</v>
      </c>
      <c r="I1249" s="3">
        <v>5.368322</v>
      </c>
      <c r="J1249" s="3">
        <v>5.3635174000000001</v>
      </c>
      <c r="K1249" s="3">
        <v>5.3494330999999997</v>
      </c>
      <c r="L1249" s="3">
        <v>5.3290547999999998</v>
      </c>
      <c r="M1249" s="3">
        <v>5.3044115999999999</v>
      </c>
      <c r="N1249" s="3">
        <v>5.2765886999999996</v>
      </c>
      <c r="O1249" s="3">
        <v>5.2456886000000003</v>
      </c>
      <c r="P1249" s="3">
        <v>5.2112803000000003</v>
      </c>
      <c r="Q1249" s="3">
        <v>5.1718934000000001</v>
      </c>
      <c r="R1249" s="3">
        <v>5.1278499999999996</v>
      </c>
      <c r="S1249" s="3">
        <v>5.0800919000000002</v>
      </c>
      <c r="T1249" s="3">
        <v>5.0295594000000001</v>
      </c>
      <c r="U1249" s="3">
        <v>4.9771926000000004</v>
      </c>
      <c r="V1249" s="3">
        <v>4.9239335999999998</v>
      </c>
      <c r="W1249" s="3">
        <v>4.8706538999999998</v>
      </c>
      <c r="X1249" s="3">
        <v>4.8179372999999996</v>
      </c>
      <c r="Y1249" s="3">
        <v>4.7662936</v>
      </c>
      <c r="Z1249" s="3">
        <v>4.7162307999999999</v>
      </c>
      <c r="AA1249" s="3">
        <v>4.6682569000000003</v>
      </c>
      <c r="AB1249" s="3">
        <v>4.6228819000000003</v>
      </c>
      <c r="AC1249" s="3">
        <v>4.5805318000000002</v>
      </c>
      <c r="AD1249" s="3">
        <v>4.5411923999999999</v>
      </c>
      <c r="AE1249" s="3">
        <v>4.5047033000000001</v>
      </c>
      <c r="AF1249" s="3">
        <v>4.4709021</v>
      </c>
      <c r="AG1249" s="3">
        <v>4.4396271</v>
      </c>
      <c r="AH1249" s="3">
        <v>4.4107171999999997</v>
      </c>
      <c r="AI1249" s="3">
        <v>4.3840105999999999</v>
      </c>
      <c r="AJ1249" s="3">
        <v>4.3593451999999999</v>
      </c>
      <c r="AK1249" s="3">
        <v>4.3365602000000001</v>
      </c>
      <c r="AL1249" s="3">
        <v>4.3154934000000003</v>
      </c>
      <c r="AM1249" s="3">
        <v>4.2959832000000002</v>
      </c>
      <c r="AN1249" s="3">
        <v>4.2778684</v>
      </c>
      <c r="AO1249" s="3">
        <v>4.2610001000000004</v>
      </c>
      <c r="AP1249" s="3">
        <v>4.2452937000000004</v>
      </c>
      <c r="AQ1249" s="3">
        <v>4.2306841000000004</v>
      </c>
      <c r="AR1249" s="3">
        <v>4.2171061999999999</v>
      </c>
      <c r="AS1249" s="3">
        <v>4.2044945</v>
      </c>
      <c r="AT1249" s="3">
        <v>4.1927840999999999</v>
      </c>
      <c r="AU1249" s="3">
        <v>4.1819097000000003</v>
      </c>
      <c r="AV1249" s="3">
        <v>4.1718058999999998</v>
      </c>
      <c r="AW1249" s="3">
        <v>4.1624078999999998</v>
      </c>
      <c r="AX1249" s="3">
        <v>4.1536502000000004</v>
      </c>
      <c r="AY1249" s="3">
        <v>4.1454677000000002</v>
      </c>
      <c r="AZ1249" s="3">
        <v>4.1377952000000002</v>
      </c>
      <c r="BA1249" s="3">
        <v>4.1305766000000004</v>
      </c>
      <c r="BB1249" s="3">
        <v>4.1237956000000002</v>
      </c>
      <c r="BC1249" s="3">
        <v>4.1174470999999997</v>
      </c>
      <c r="BD1249" s="3">
        <v>4.1115259999999996</v>
      </c>
      <c r="BE1249" s="3">
        <v>4.1060268999999998</v>
      </c>
      <c r="BF1249" s="3">
        <v>4.1009450000000003</v>
      </c>
      <c r="BG1249" s="3">
        <v>4.0962749000000001</v>
      </c>
      <c r="BH1249" s="3">
        <v>4.0920113999999996</v>
      </c>
      <c r="BI1249" s="3">
        <v>4.0881493999999998</v>
      </c>
      <c r="BJ1249" s="3">
        <v>4.0846837999999996</v>
      </c>
      <c r="BK1249" s="3">
        <v>4.0816093999999996</v>
      </c>
      <c r="BL1249" s="3">
        <v>4.0789209</v>
      </c>
      <c r="BM1249" s="3">
        <v>4.0705248000000003</v>
      </c>
      <c r="BN1249" s="3">
        <v>4.0742158999999996</v>
      </c>
    </row>
    <row r="1250" spans="1:66" x14ac:dyDescent="0.35">
      <c r="A1250" s="5">
        <f t="shared" si="19"/>
        <v>45204</v>
      </c>
      <c r="B1250" t="s">
        <v>2663</v>
      </c>
      <c r="C1250" s="2">
        <v>5.25</v>
      </c>
      <c r="D1250" s="2">
        <v>5.1871999999999998</v>
      </c>
      <c r="E1250" s="3">
        <v>5.2257652999999999</v>
      </c>
      <c r="F1250" s="3">
        <v>5.2780966999999999</v>
      </c>
      <c r="G1250" s="3">
        <v>5.3133407000000004</v>
      </c>
      <c r="H1250" s="3">
        <v>5.3318095000000003</v>
      </c>
      <c r="I1250" s="3">
        <v>5.3363579999999997</v>
      </c>
      <c r="J1250" s="3">
        <v>5.3293391999999997</v>
      </c>
      <c r="K1250" s="3">
        <v>5.3128931000000001</v>
      </c>
      <c r="L1250" s="3">
        <v>5.2895275000000002</v>
      </c>
      <c r="M1250" s="3">
        <v>5.2613554000000002</v>
      </c>
      <c r="N1250" s="3">
        <v>5.2296632000000001</v>
      </c>
      <c r="O1250" s="3">
        <v>5.1946189</v>
      </c>
      <c r="P1250" s="3">
        <v>5.1558656000000003</v>
      </c>
      <c r="Q1250" s="3">
        <v>5.1116507999999996</v>
      </c>
      <c r="R1250" s="3">
        <v>5.0623414999999996</v>
      </c>
      <c r="S1250" s="3">
        <v>5.0092046999999997</v>
      </c>
      <c r="T1250" s="3">
        <v>4.9535061000000002</v>
      </c>
      <c r="U1250" s="3">
        <v>4.8965110000000003</v>
      </c>
      <c r="V1250" s="3">
        <v>4.8394873</v>
      </c>
      <c r="W1250" s="3">
        <v>4.7835821000000003</v>
      </c>
      <c r="X1250" s="3">
        <v>4.7293364999999996</v>
      </c>
      <c r="Y1250" s="3">
        <v>4.6771000000000003</v>
      </c>
      <c r="Z1250" s="3">
        <v>4.6272200000000003</v>
      </c>
      <c r="AA1250" s="3">
        <v>4.580044</v>
      </c>
      <c r="AB1250" s="3">
        <v>4.5359211000000004</v>
      </c>
      <c r="AC1250" s="3">
        <v>4.4951248000000001</v>
      </c>
      <c r="AD1250" s="3">
        <v>4.4575668999999998</v>
      </c>
      <c r="AE1250" s="3">
        <v>4.4230508999999998</v>
      </c>
      <c r="AF1250" s="3">
        <v>4.3913785000000001</v>
      </c>
      <c r="AG1250" s="3">
        <v>4.3623519000000002</v>
      </c>
      <c r="AH1250" s="3">
        <v>4.3357742999999997</v>
      </c>
      <c r="AI1250" s="3">
        <v>4.3114474999999999</v>
      </c>
      <c r="AJ1250" s="3">
        <v>4.2891737000000001</v>
      </c>
      <c r="AK1250" s="3">
        <v>4.2687559999999998</v>
      </c>
      <c r="AL1250" s="3">
        <v>4.2499963000000003</v>
      </c>
      <c r="AM1250" s="3">
        <v>4.2326968999999997</v>
      </c>
      <c r="AN1250" s="3">
        <v>4.2166607000000003</v>
      </c>
      <c r="AO1250" s="3">
        <v>4.2017110999999998</v>
      </c>
      <c r="AP1250" s="3">
        <v>4.1877662000000004</v>
      </c>
      <c r="AQ1250" s="3">
        <v>4.1747709000000004</v>
      </c>
      <c r="AR1250" s="3">
        <v>4.1626691999999998</v>
      </c>
      <c r="AS1250" s="3">
        <v>4.1514053000000004</v>
      </c>
      <c r="AT1250" s="3">
        <v>4.1409238000000004</v>
      </c>
      <c r="AU1250" s="3">
        <v>4.1311689999999999</v>
      </c>
      <c r="AV1250" s="3">
        <v>4.1220850999999996</v>
      </c>
      <c r="AW1250" s="3">
        <v>4.1136166000000003</v>
      </c>
      <c r="AX1250" s="3">
        <v>4.1057077</v>
      </c>
      <c r="AY1250" s="3">
        <v>4.0983027999999999</v>
      </c>
      <c r="AZ1250" s="3">
        <v>4.0913462999999997</v>
      </c>
      <c r="BA1250" s="3">
        <v>4.0847902999999999</v>
      </c>
      <c r="BB1250" s="3">
        <v>4.0786216</v>
      </c>
      <c r="BC1250" s="3">
        <v>4.0728365999999996</v>
      </c>
      <c r="BD1250" s="3">
        <v>4.0674317000000002</v>
      </c>
      <c r="BE1250" s="3">
        <v>4.0624032999999997</v>
      </c>
      <c r="BF1250" s="3">
        <v>4.0577477000000002</v>
      </c>
      <c r="BG1250" s="3">
        <v>4.0534613000000004</v>
      </c>
      <c r="BH1250" s="3">
        <v>4.0495403999999997</v>
      </c>
      <c r="BI1250" s="3">
        <v>4.0459814999999999</v>
      </c>
      <c r="BJ1250" s="3">
        <v>4.0427809000000003</v>
      </c>
      <c r="BK1250" s="3">
        <v>4.0399349999999998</v>
      </c>
      <c r="BL1250" s="3">
        <v>4.0374401999999998</v>
      </c>
      <c r="BM1250" s="3">
        <v>4.0296260999999998</v>
      </c>
      <c r="BN1250" s="3">
        <v>4.0334484000000002</v>
      </c>
    </row>
    <row r="1251" spans="1:66" x14ac:dyDescent="0.35">
      <c r="A1251" s="5">
        <f t="shared" si="19"/>
        <v>45205</v>
      </c>
      <c r="B1251" t="s">
        <v>2664</v>
      </c>
      <c r="C1251" s="2">
        <v>5.25</v>
      </c>
      <c r="D1251" s="2">
        <v>5.1871</v>
      </c>
      <c r="E1251" s="3">
        <v>5.2288019999999999</v>
      </c>
      <c r="F1251" s="3">
        <v>5.2811617999999996</v>
      </c>
      <c r="G1251" s="3">
        <v>5.3191211999999997</v>
      </c>
      <c r="H1251" s="3">
        <v>5.3427028999999999</v>
      </c>
      <c r="I1251" s="3">
        <v>5.3525641000000004</v>
      </c>
      <c r="J1251" s="3">
        <v>5.3492322000000003</v>
      </c>
      <c r="K1251" s="3">
        <v>5.3345289999999999</v>
      </c>
      <c r="L1251" s="3">
        <v>5.3107936999999996</v>
      </c>
      <c r="M1251" s="3">
        <v>5.2806695000000001</v>
      </c>
      <c r="N1251" s="3">
        <v>5.2460630999999998</v>
      </c>
      <c r="O1251" s="3">
        <v>5.2081474999999999</v>
      </c>
      <c r="P1251" s="3">
        <v>5.1672247000000002</v>
      </c>
      <c r="Q1251" s="3">
        <v>5.1230070999999997</v>
      </c>
      <c r="R1251" s="3">
        <v>5.0759999999999996</v>
      </c>
      <c r="S1251" s="3">
        <v>5.0270063</v>
      </c>
      <c r="T1251" s="3">
        <v>4.9768271999999998</v>
      </c>
      <c r="U1251" s="3">
        <v>4.9262641</v>
      </c>
      <c r="V1251" s="3">
        <v>4.8761200000000002</v>
      </c>
      <c r="W1251" s="3">
        <v>4.8271116000000003</v>
      </c>
      <c r="X1251" s="3">
        <v>4.7795638</v>
      </c>
      <c r="Y1251" s="3">
        <v>4.7336894999999997</v>
      </c>
      <c r="Z1251" s="3">
        <v>4.6896998999999999</v>
      </c>
      <c r="AA1251" s="3">
        <v>4.6478063000000001</v>
      </c>
      <c r="AB1251" s="3">
        <v>4.6082216000000003</v>
      </c>
      <c r="AC1251" s="3">
        <v>4.5711062</v>
      </c>
      <c r="AD1251" s="3">
        <v>4.5363974000000002</v>
      </c>
      <c r="AE1251" s="3">
        <v>4.5039718000000004</v>
      </c>
      <c r="AF1251" s="3">
        <v>4.4737046999999999</v>
      </c>
      <c r="AG1251" s="3">
        <v>4.4454716000000003</v>
      </c>
      <c r="AH1251" s="3">
        <v>4.4191488999999997</v>
      </c>
      <c r="AI1251" s="3">
        <v>4.3946123000000004</v>
      </c>
      <c r="AJ1251" s="3">
        <v>4.3717370000000004</v>
      </c>
      <c r="AK1251" s="3">
        <v>4.3503996000000003</v>
      </c>
      <c r="AL1251" s="3">
        <v>4.3304755000000004</v>
      </c>
      <c r="AM1251" s="3">
        <v>4.3118403000000001</v>
      </c>
      <c r="AN1251" s="3">
        <v>4.2943702000000004</v>
      </c>
      <c r="AO1251" s="3">
        <v>4.2779528000000004</v>
      </c>
      <c r="AP1251" s="3">
        <v>4.2625280999999999</v>
      </c>
      <c r="AQ1251" s="3">
        <v>4.2480510999999996</v>
      </c>
      <c r="AR1251" s="3">
        <v>4.2344765999999998</v>
      </c>
      <c r="AS1251" s="3">
        <v>4.2217589000000002</v>
      </c>
      <c r="AT1251" s="3">
        <v>4.2098532999999998</v>
      </c>
      <c r="AU1251" s="3">
        <v>4.1987142999999998</v>
      </c>
      <c r="AV1251" s="3">
        <v>4.1882964999999999</v>
      </c>
      <c r="AW1251" s="3">
        <v>4.1785550000000002</v>
      </c>
      <c r="AX1251" s="3">
        <v>4.1694443000000003</v>
      </c>
      <c r="AY1251" s="3">
        <v>4.1609189999999998</v>
      </c>
      <c r="AZ1251" s="3">
        <v>4.1529341999999998</v>
      </c>
      <c r="BA1251" s="3">
        <v>4.1454500999999997</v>
      </c>
      <c r="BB1251" s="3">
        <v>4.1384523</v>
      </c>
      <c r="BC1251" s="3">
        <v>4.1319333</v>
      </c>
      <c r="BD1251" s="3">
        <v>4.1258854999999999</v>
      </c>
      <c r="BE1251" s="3">
        <v>4.1203012000000001</v>
      </c>
      <c r="BF1251" s="3">
        <v>4.1151732000000001</v>
      </c>
      <c r="BG1251" s="3">
        <v>4.1104937000000001</v>
      </c>
      <c r="BH1251" s="3">
        <v>4.1062551999999997</v>
      </c>
      <c r="BI1251" s="3">
        <v>4.1024501999999998</v>
      </c>
      <c r="BJ1251" s="3">
        <v>4.0990710999999997</v>
      </c>
      <c r="BK1251" s="3">
        <v>4.0961103999999997</v>
      </c>
      <c r="BL1251" s="3">
        <v>4.0935604999999997</v>
      </c>
      <c r="BM1251" s="3">
        <v>4.0864994000000001</v>
      </c>
      <c r="BN1251" s="3">
        <v>4.0925294000000001</v>
      </c>
    </row>
    <row r="1252" spans="1:66" x14ac:dyDescent="0.35">
      <c r="A1252" s="5">
        <f t="shared" si="19"/>
        <v>45208</v>
      </c>
      <c r="B1252" t="s">
        <v>2665</v>
      </c>
      <c r="C1252" s="2">
        <v>5.25</v>
      </c>
      <c r="D1252" s="2">
        <v>5.1872999999999996</v>
      </c>
      <c r="E1252" s="3">
        <v>5.2284651999999996</v>
      </c>
      <c r="F1252" s="3">
        <v>5.2735278000000001</v>
      </c>
      <c r="G1252" s="3">
        <v>5.3050281000000004</v>
      </c>
      <c r="H1252" s="3">
        <v>5.3217515000000004</v>
      </c>
      <c r="I1252" s="3">
        <v>5.3248356000000001</v>
      </c>
      <c r="J1252" s="3">
        <v>5.3157690999999998</v>
      </c>
      <c r="K1252" s="3">
        <v>5.2960317000000003</v>
      </c>
      <c r="L1252" s="3">
        <v>5.2681766999999997</v>
      </c>
      <c r="M1252" s="3">
        <v>5.2346820000000003</v>
      </c>
      <c r="N1252" s="3">
        <v>5.1974802999999996</v>
      </c>
      <c r="O1252" s="3">
        <v>5.1573566</v>
      </c>
      <c r="P1252" s="3">
        <v>5.1144448999999996</v>
      </c>
      <c r="Q1252" s="3">
        <v>5.0676407000000001</v>
      </c>
      <c r="R1252" s="3">
        <v>5.0173300000000003</v>
      </c>
      <c r="S1252" s="3">
        <v>4.9644450999999998</v>
      </c>
      <c r="T1252" s="3">
        <v>4.9099168999999998</v>
      </c>
      <c r="U1252" s="3">
        <v>4.8546762000000001</v>
      </c>
      <c r="V1252" s="3">
        <v>4.7996555000000001</v>
      </c>
      <c r="W1252" s="3">
        <v>4.7456885</v>
      </c>
      <c r="X1252" s="3">
        <v>4.6932</v>
      </c>
      <c r="Y1252" s="3">
        <v>4.6425095000000001</v>
      </c>
      <c r="Z1252" s="3">
        <v>4.5939345999999999</v>
      </c>
      <c r="AA1252" s="3">
        <v>4.5477930999999998</v>
      </c>
      <c r="AB1252" s="3">
        <v>4.5044044000000003</v>
      </c>
      <c r="AC1252" s="3">
        <v>4.4640126999999996</v>
      </c>
      <c r="AD1252" s="3">
        <v>4.4265388999999997</v>
      </c>
      <c r="AE1252" s="3">
        <v>4.3918157999999998</v>
      </c>
      <c r="AF1252" s="3">
        <v>4.3596748999999999</v>
      </c>
      <c r="AG1252" s="3">
        <v>4.3299477</v>
      </c>
      <c r="AH1252" s="3">
        <v>4.3024668999999998</v>
      </c>
      <c r="AI1252" s="3">
        <v>4.2770640999999996</v>
      </c>
      <c r="AJ1252" s="3">
        <v>4.2535708999999997</v>
      </c>
      <c r="AK1252" s="3">
        <v>4.2318198000000002</v>
      </c>
      <c r="AL1252" s="3">
        <v>4.2116423999999997</v>
      </c>
      <c r="AM1252" s="3">
        <v>4.1928704999999997</v>
      </c>
      <c r="AN1252" s="3">
        <v>4.1753363999999999</v>
      </c>
      <c r="AO1252" s="3">
        <v>4.1588905</v>
      </c>
      <c r="AP1252" s="3">
        <v>4.1434657000000001</v>
      </c>
      <c r="AQ1252" s="3">
        <v>4.1290180999999997</v>
      </c>
      <c r="AR1252" s="3">
        <v>4.1155033999999997</v>
      </c>
      <c r="AS1252" s="3">
        <v>4.1028773000000003</v>
      </c>
      <c r="AT1252" s="3">
        <v>4.0910957000000003</v>
      </c>
      <c r="AU1252" s="3">
        <v>4.0801144999999996</v>
      </c>
      <c r="AV1252" s="3">
        <v>4.0698892999999998</v>
      </c>
      <c r="AW1252" s="3">
        <v>4.0603761</v>
      </c>
      <c r="AX1252" s="3">
        <v>4.0515306000000004</v>
      </c>
      <c r="AY1252" s="3">
        <v>4.0433085999999996</v>
      </c>
      <c r="AZ1252" s="3">
        <v>4.035666</v>
      </c>
      <c r="BA1252" s="3">
        <v>4.0285631000000004</v>
      </c>
      <c r="BB1252" s="3">
        <v>4.0219849999999999</v>
      </c>
      <c r="BC1252" s="3">
        <v>4.0159250999999996</v>
      </c>
      <c r="BD1252" s="3">
        <v>4.0103767000000001</v>
      </c>
      <c r="BE1252" s="3">
        <v>4.0053330999999996</v>
      </c>
      <c r="BF1252" s="3">
        <v>4.0007878999999997</v>
      </c>
      <c r="BG1252" s="3">
        <v>3.9967342000000001</v>
      </c>
      <c r="BH1252" s="3">
        <v>3.9931654999999999</v>
      </c>
      <c r="BI1252" s="3">
        <v>3.9900750999999999</v>
      </c>
      <c r="BJ1252" s="3">
        <v>3.9874564000000001</v>
      </c>
      <c r="BK1252" s="3">
        <v>3.9853027999999999</v>
      </c>
      <c r="BL1252" s="3">
        <v>3.9836075000000002</v>
      </c>
      <c r="BM1252" s="3">
        <v>3.9824913</v>
      </c>
      <c r="BN1252" s="3">
        <v>3.9949808999999998</v>
      </c>
    </row>
    <row r="1253" spans="1:66" x14ac:dyDescent="0.35">
      <c r="A1253" s="5">
        <f t="shared" si="19"/>
        <v>45209</v>
      </c>
      <c r="B1253" t="s">
        <v>2666</v>
      </c>
      <c r="C1253" s="2">
        <v>5.25</v>
      </c>
      <c r="D1253" s="2">
        <v>5.1868999999999996</v>
      </c>
      <c r="E1253" s="3">
        <v>5.2314673999999997</v>
      </c>
      <c r="F1253" s="3">
        <v>5.2720770999999997</v>
      </c>
      <c r="G1253" s="3">
        <v>5.3005335999999996</v>
      </c>
      <c r="H1253" s="3">
        <v>5.3151273000000003</v>
      </c>
      <c r="I1253" s="3">
        <v>5.3163663000000003</v>
      </c>
      <c r="J1253" s="3">
        <v>5.3059950999999996</v>
      </c>
      <c r="K1253" s="3">
        <v>5.2854773000000002</v>
      </c>
      <c r="L1253" s="3">
        <v>5.2569540999999997</v>
      </c>
      <c r="M1253" s="3">
        <v>5.2224181999999999</v>
      </c>
      <c r="N1253" s="3">
        <v>5.1834730999999996</v>
      </c>
      <c r="O1253" s="3">
        <v>5.1409681000000003</v>
      </c>
      <c r="P1253" s="3">
        <v>5.0951348000000003</v>
      </c>
      <c r="Q1253" s="3">
        <v>5.0453960000000002</v>
      </c>
      <c r="R1253" s="3">
        <v>4.9923038000000002</v>
      </c>
      <c r="S1253" s="3">
        <v>4.9368087999999997</v>
      </c>
      <c r="T1253" s="3">
        <v>4.8798596999999999</v>
      </c>
      <c r="U1253" s="3">
        <v>4.8224052000000004</v>
      </c>
      <c r="V1253" s="3">
        <v>4.7653958999999997</v>
      </c>
      <c r="W1253" s="3">
        <v>4.7096682999999997</v>
      </c>
      <c r="X1253" s="3">
        <v>4.6555869999999997</v>
      </c>
      <c r="Y1253" s="3">
        <v>4.6033949999999999</v>
      </c>
      <c r="Z1253" s="3">
        <v>4.5533330999999997</v>
      </c>
      <c r="AA1253" s="3">
        <v>4.5056422999999999</v>
      </c>
      <c r="AB1253" s="3">
        <v>4.4605651999999996</v>
      </c>
      <c r="AC1253" s="3">
        <v>4.4182860000000002</v>
      </c>
      <c r="AD1253" s="3">
        <v>4.3787380000000002</v>
      </c>
      <c r="AE1253" s="3">
        <v>4.3417864000000002</v>
      </c>
      <c r="AF1253" s="3">
        <v>4.3072952999999998</v>
      </c>
      <c r="AG1253" s="3">
        <v>4.2751286999999998</v>
      </c>
      <c r="AH1253" s="3">
        <v>4.2451518000000004</v>
      </c>
      <c r="AI1253" s="3">
        <v>4.2172288</v>
      </c>
      <c r="AJ1253" s="3">
        <v>4.1912237000000001</v>
      </c>
      <c r="AK1253" s="3">
        <v>4.1670015999999999</v>
      </c>
      <c r="AL1253" s="3">
        <v>4.1444266000000001</v>
      </c>
      <c r="AM1253" s="3">
        <v>4.1233630000000003</v>
      </c>
      <c r="AN1253" s="3">
        <v>4.1036755999999999</v>
      </c>
      <c r="AO1253" s="3">
        <v>4.0852396999999998</v>
      </c>
      <c r="AP1253" s="3">
        <v>4.0679901999999997</v>
      </c>
      <c r="AQ1253" s="3">
        <v>4.0518824000000002</v>
      </c>
      <c r="AR1253" s="3">
        <v>4.0368710999999999</v>
      </c>
      <c r="AS1253" s="3">
        <v>4.0229109999999997</v>
      </c>
      <c r="AT1253" s="3">
        <v>4.0099575999999999</v>
      </c>
      <c r="AU1253" s="3">
        <v>3.9979654999999998</v>
      </c>
      <c r="AV1253" s="3">
        <v>3.9868896999999999</v>
      </c>
      <c r="AW1253" s="3">
        <v>3.9766853000000002</v>
      </c>
      <c r="AX1253" s="3">
        <v>3.9673072999999999</v>
      </c>
      <c r="AY1253" s="3">
        <v>3.9587105999999999</v>
      </c>
      <c r="AZ1253" s="3">
        <v>3.9508502000000001</v>
      </c>
      <c r="BA1253" s="3">
        <v>3.9436844999999998</v>
      </c>
      <c r="BB1253" s="3">
        <v>3.9371893</v>
      </c>
      <c r="BC1253" s="3">
        <v>3.9313454999999999</v>
      </c>
      <c r="BD1253" s="3">
        <v>3.9261338000000001</v>
      </c>
      <c r="BE1253" s="3">
        <v>3.9215352999999999</v>
      </c>
      <c r="BF1253" s="3">
        <v>3.9175308000000002</v>
      </c>
      <c r="BG1253" s="3">
        <v>3.9141012000000002</v>
      </c>
      <c r="BH1253" s="3">
        <v>3.9112273000000002</v>
      </c>
      <c r="BI1253" s="3">
        <v>3.9088902000000001</v>
      </c>
      <c r="BJ1253" s="3">
        <v>3.9070705999999999</v>
      </c>
      <c r="BK1253" s="3">
        <v>3.9057493999999999</v>
      </c>
      <c r="BL1253" s="3">
        <v>3.9049076</v>
      </c>
      <c r="BM1253" s="3">
        <v>3.9089575000000001</v>
      </c>
      <c r="BN1253" s="3">
        <v>3.9260910999999998</v>
      </c>
    </row>
    <row r="1254" spans="1:66" x14ac:dyDescent="0.35">
      <c r="A1254" s="5">
        <f t="shared" si="19"/>
        <v>45210</v>
      </c>
      <c r="B1254" t="s">
        <v>2668</v>
      </c>
      <c r="C1254" s="2">
        <v>5.25</v>
      </c>
      <c r="D1254" s="2">
        <v>5.1866000000000003</v>
      </c>
      <c r="E1254" s="3">
        <v>5.2332008999999999</v>
      </c>
      <c r="F1254" s="3">
        <v>5.2707344000000003</v>
      </c>
      <c r="G1254" s="3">
        <v>5.2977739000000001</v>
      </c>
      <c r="H1254" s="3">
        <v>5.3117184000000002</v>
      </c>
      <c r="I1254" s="3">
        <v>5.3120114000000003</v>
      </c>
      <c r="J1254" s="3">
        <v>5.2997889999999996</v>
      </c>
      <c r="K1254" s="3">
        <v>5.2770549999999998</v>
      </c>
      <c r="L1254" s="3">
        <v>5.2468947000000004</v>
      </c>
      <c r="M1254" s="3">
        <v>5.2122526999999996</v>
      </c>
      <c r="N1254" s="3">
        <v>5.1750493999999998</v>
      </c>
      <c r="O1254" s="3">
        <v>5.1358356000000001</v>
      </c>
      <c r="P1254" s="3">
        <v>5.0942322999999998</v>
      </c>
      <c r="Q1254" s="3">
        <v>5.0482626000000002</v>
      </c>
      <c r="R1254" s="3">
        <v>4.9980604</v>
      </c>
      <c r="S1254" s="3">
        <v>4.9445164000000004</v>
      </c>
      <c r="T1254" s="3">
        <v>4.8885192000000002</v>
      </c>
      <c r="U1254" s="3">
        <v>4.8309575000000002</v>
      </c>
      <c r="V1254" s="3">
        <v>4.7727221000000002</v>
      </c>
      <c r="W1254" s="3">
        <v>4.7146347999999998</v>
      </c>
      <c r="X1254" s="3">
        <v>4.6572369</v>
      </c>
      <c r="Y1254" s="3">
        <v>4.6009981</v>
      </c>
      <c r="Z1254" s="3">
        <v>4.5463861000000003</v>
      </c>
      <c r="AA1254" s="3">
        <v>4.4938684999999996</v>
      </c>
      <c r="AB1254" s="3">
        <v>4.4439149000000002</v>
      </c>
      <c r="AC1254" s="3">
        <v>4.3969189999999996</v>
      </c>
      <c r="AD1254" s="3">
        <v>4.3528769</v>
      </c>
      <c r="AE1254" s="3">
        <v>4.3116526000000004</v>
      </c>
      <c r="AF1254" s="3">
        <v>4.2731085999999996</v>
      </c>
      <c r="AG1254" s="3">
        <v>4.2371074000000002</v>
      </c>
      <c r="AH1254" s="3">
        <v>4.2035127000000001</v>
      </c>
      <c r="AI1254" s="3">
        <v>4.1721871999999998</v>
      </c>
      <c r="AJ1254" s="3">
        <v>4.1429933999999999</v>
      </c>
      <c r="AK1254" s="3">
        <v>4.1157950999999997</v>
      </c>
      <c r="AL1254" s="3">
        <v>4.0904547000000004</v>
      </c>
      <c r="AM1254" s="3">
        <v>4.0668350000000002</v>
      </c>
      <c r="AN1254" s="3">
        <v>4.0447994999999999</v>
      </c>
      <c r="AO1254" s="3">
        <v>4.0242199000000003</v>
      </c>
      <c r="AP1254" s="3">
        <v>4.0050119999999998</v>
      </c>
      <c r="AQ1254" s="3">
        <v>3.9871055000000002</v>
      </c>
      <c r="AR1254" s="3">
        <v>3.9704294999999998</v>
      </c>
      <c r="AS1254" s="3">
        <v>3.9549132999999999</v>
      </c>
      <c r="AT1254" s="3">
        <v>3.9404865999999998</v>
      </c>
      <c r="AU1254" s="3">
        <v>3.9270784999999999</v>
      </c>
      <c r="AV1254" s="3">
        <v>3.9146182999999999</v>
      </c>
      <c r="AW1254" s="3">
        <v>3.9030355000000001</v>
      </c>
      <c r="AX1254" s="3">
        <v>3.8922595000000002</v>
      </c>
      <c r="AY1254" s="3">
        <v>3.8822193</v>
      </c>
      <c r="AZ1254" s="3">
        <v>3.8728446999999999</v>
      </c>
      <c r="BA1254" s="3">
        <v>3.8640732999999998</v>
      </c>
      <c r="BB1254" s="3">
        <v>3.8558799000000001</v>
      </c>
      <c r="BC1254" s="3">
        <v>3.8482498999999999</v>
      </c>
      <c r="BD1254" s="3">
        <v>3.8411686</v>
      </c>
      <c r="BE1254" s="3">
        <v>3.8346211000000001</v>
      </c>
      <c r="BF1254" s="3">
        <v>3.8285927000000002</v>
      </c>
      <c r="BG1254" s="3">
        <v>3.8230686</v>
      </c>
      <c r="BH1254" s="3">
        <v>3.8180339000000001</v>
      </c>
      <c r="BI1254" s="3">
        <v>3.8134741000000001</v>
      </c>
      <c r="BJ1254" s="3">
        <v>3.8093743</v>
      </c>
      <c r="BK1254" s="3">
        <v>3.8057197</v>
      </c>
      <c r="BL1254" s="3">
        <v>3.8024955</v>
      </c>
      <c r="BM1254" s="3">
        <v>3.7915804</v>
      </c>
      <c r="BN1254" s="3">
        <v>3.793774</v>
      </c>
    </row>
    <row r="1255" spans="1:66" x14ac:dyDescent="0.35">
      <c r="A1255" s="5">
        <f t="shared" si="19"/>
        <v>45211</v>
      </c>
      <c r="B1255" t="s">
        <v>2669</v>
      </c>
      <c r="C1255" s="2">
        <v>5.25</v>
      </c>
      <c r="D1255" s="2">
        <v>5.1870000000000003</v>
      </c>
      <c r="E1255" s="3">
        <v>5.2369517999999999</v>
      </c>
      <c r="F1255" s="3">
        <v>5.2767334000000004</v>
      </c>
      <c r="G1255" s="3">
        <v>5.3047554999999997</v>
      </c>
      <c r="H1255" s="3">
        <v>5.3190055000000003</v>
      </c>
      <c r="I1255" s="3">
        <v>5.3203125</v>
      </c>
      <c r="J1255" s="3">
        <v>5.3104529999999999</v>
      </c>
      <c r="K1255" s="3">
        <v>5.2916561</v>
      </c>
      <c r="L1255" s="3">
        <v>5.2666789999999999</v>
      </c>
      <c r="M1255" s="3">
        <v>5.2377748000000004</v>
      </c>
      <c r="N1255" s="3">
        <v>5.2060765</v>
      </c>
      <c r="O1255" s="3">
        <v>5.1714358000000002</v>
      </c>
      <c r="P1255" s="3">
        <v>5.1331102</v>
      </c>
      <c r="Q1255" s="3">
        <v>5.0887646000000002</v>
      </c>
      <c r="R1255" s="3">
        <v>5.0386040999999997</v>
      </c>
      <c r="S1255" s="3">
        <v>4.9839026999999998</v>
      </c>
      <c r="T1255" s="3">
        <v>4.9259331</v>
      </c>
      <c r="U1255" s="3">
        <v>4.8659680999999999</v>
      </c>
      <c r="V1255" s="3">
        <v>4.8052824999999997</v>
      </c>
      <c r="W1255" s="3">
        <v>4.7450590000000004</v>
      </c>
      <c r="X1255" s="3">
        <v>4.6860185000000003</v>
      </c>
      <c r="Y1255" s="3">
        <v>4.6287367000000001</v>
      </c>
      <c r="Z1255" s="3">
        <v>4.5737867999999997</v>
      </c>
      <c r="AA1255" s="3">
        <v>4.5217423999999999</v>
      </c>
      <c r="AB1255" s="3">
        <v>4.4731788999999997</v>
      </c>
      <c r="AC1255" s="3">
        <v>4.4285569000000002</v>
      </c>
      <c r="AD1255" s="3">
        <v>4.3877870999999997</v>
      </c>
      <c r="AE1255" s="3">
        <v>4.3506138999999999</v>
      </c>
      <c r="AF1255" s="3">
        <v>4.3167808000000001</v>
      </c>
      <c r="AG1255" s="3">
        <v>4.2860307999999998</v>
      </c>
      <c r="AH1255" s="3">
        <v>4.2581084000000002</v>
      </c>
      <c r="AI1255" s="3">
        <v>4.2327570000000003</v>
      </c>
      <c r="AJ1255" s="3">
        <v>4.2097198000000002</v>
      </c>
      <c r="AK1255" s="3">
        <v>4.1887410999999997</v>
      </c>
      <c r="AL1255" s="3">
        <v>4.1695641999999999</v>
      </c>
      <c r="AM1255" s="3">
        <v>4.1519326000000003</v>
      </c>
      <c r="AN1255" s="3">
        <v>4.1355902999999996</v>
      </c>
      <c r="AO1255" s="3">
        <v>4.1203105000000004</v>
      </c>
      <c r="AP1255" s="3">
        <v>4.1059964999999998</v>
      </c>
      <c r="AQ1255" s="3">
        <v>4.0925884000000003</v>
      </c>
      <c r="AR1255" s="3">
        <v>4.0800255999999999</v>
      </c>
      <c r="AS1255" s="3">
        <v>4.0682479000000003</v>
      </c>
      <c r="AT1255" s="3">
        <v>4.0571950000000001</v>
      </c>
      <c r="AU1255" s="3">
        <v>4.0468064999999998</v>
      </c>
      <c r="AV1255" s="3">
        <v>4.0370220999999997</v>
      </c>
      <c r="AW1255" s="3">
        <v>4.0277814999999997</v>
      </c>
      <c r="AX1255" s="3">
        <v>4.0190245000000004</v>
      </c>
      <c r="AY1255" s="3">
        <v>4.0106904999999999</v>
      </c>
      <c r="AZ1255" s="3">
        <v>4.0027194000000001</v>
      </c>
      <c r="BA1255" s="3">
        <v>3.9950613000000001</v>
      </c>
      <c r="BB1255" s="3">
        <v>3.9877123999999999</v>
      </c>
      <c r="BC1255" s="3">
        <v>3.9806819</v>
      </c>
      <c r="BD1255" s="3">
        <v>3.9739787999999998</v>
      </c>
      <c r="BE1255" s="3">
        <v>3.9676121000000002</v>
      </c>
      <c r="BF1255" s="3">
        <v>3.9615909999999999</v>
      </c>
      <c r="BG1255" s="3">
        <v>3.9559243999999998</v>
      </c>
      <c r="BH1255" s="3">
        <v>3.9506212999999999</v>
      </c>
      <c r="BI1255" s="3">
        <v>3.9456910000000001</v>
      </c>
      <c r="BJ1255" s="3">
        <v>3.9411423000000001</v>
      </c>
      <c r="BK1255" s="3">
        <v>3.9369844000000001</v>
      </c>
      <c r="BL1255" s="3">
        <v>3.9332262999999998</v>
      </c>
      <c r="BM1255" s="3">
        <v>3.9190749</v>
      </c>
      <c r="BN1255" s="3">
        <v>3.9184961</v>
      </c>
    </row>
    <row r="1256" spans="1:66" x14ac:dyDescent="0.35">
      <c r="A1256" s="5">
        <f t="shared" si="19"/>
        <v>45212</v>
      </c>
      <c r="B1256" t="s">
        <v>2670</v>
      </c>
      <c r="C1256" s="2">
        <v>5.25</v>
      </c>
      <c r="D1256" s="2">
        <v>5.1872999999999996</v>
      </c>
      <c r="E1256" s="3">
        <v>5.2431663999999998</v>
      </c>
      <c r="F1256" s="3">
        <v>5.2828549000000002</v>
      </c>
      <c r="G1256" s="3">
        <v>5.3114165</v>
      </c>
      <c r="H1256" s="3">
        <v>5.3265317999999997</v>
      </c>
      <c r="I1256" s="3">
        <v>5.3283234000000004</v>
      </c>
      <c r="J1256" s="3">
        <v>5.3176100000000002</v>
      </c>
      <c r="K1256" s="3">
        <v>5.2959756999999996</v>
      </c>
      <c r="L1256" s="3">
        <v>5.2653309999999998</v>
      </c>
      <c r="M1256" s="3">
        <v>5.2281152999999998</v>
      </c>
      <c r="N1256" s="3">
        <v>5.1862018000000001</v>
      </c>
      <c r="O1256" s="3">
        <v>5.1407939000000002</v>
      </c>
      <c r="P1256" s="3">
        <v>5.0925162000000004</v>
      </c>
      <c r="Q1256" s="3">
        <v>5.0413284000000003</v>
      </c>
      <c r="R1256" s="3">
        <v>4.9877276999999998</v>
      </c>
      <c r="S1256" s="3">
        <v>4.932442</v>
      </c>
      <c r="T1256" s="3">
        <v>4.8761975</v>
      </c>
      <c r="U1256" s="3">
        <v>4.8197203999999996</v>
      </c>
      <c r="V1256" s="3">
        <v>4.7637385999999999</v>
      </c>
      <c r="W1256" s="3">
        <v>4.7089125999999997</v>
      </c>
      <c r="X1256" s="3">
        <v>4.6555970999999996</v>
      </c>
      <c r="Y1256" s="3">
        <v>4.6040606000000004</v>
      </c>
      <c r="Z1256" s="3">
        <v>4.5545692999999998</v>
      </c>
      <c r="AA1256" s="3">
        <v>4.5073898999999997</v>
      </c>
      <c r="AB1256" s="3">
        <v>4.4627904000000003</v>
      </c>
      <c r="AC1256" s="3">
        <v>4.4209752</v>
      </c>
      <c r="AD1256" s="3">
        <v>4.3818742999999998</v>
      </c>
      <c r="AE1256" s="3">
        <v>4.3453435999999996</v>
      </c>
      <c r="AF1256" s="3">
        <v>4.3112373000000002</v>
      </c>
      <c r="AG1256" s="3">
        <v>4.2794099000000001</v>
      </c>
      <c r="AH1256" s="3">
        <v>4.2497170000000004</v>
      </c>
      <c r="AI1256" s="3">
        <v>4.2220130999999999</v>
      </c>
      <c r="AJ1256" s="3">
        <v>4.1961526999999998</v>
      </c>
      <c r="AK1256" s="3">
        <v>4.1719911999999999</v>
      </c>
      <c r="AL1256" s="3">
        <v>4.1493830999999997</v>
      </c>
      <c r="AM1256" s="3">
        <v>4.1281831000000002</v>
      </c>
      <c r="AN1256" s="3">
        <v>4.1082463999999996</v>
      </c>
      <c r="AO1256" s="3">
        <v>4.0894418999999997</v>
      </c>
      <c r="AP1256" s="3">
        <v>4.0717014000000002</v>
      </c>
      <c r="AQ1256" s="3">
        <v>4.0549745000000001</v>
      </c>
      <c r="AR1256" s="3">
        <v>4.0392105999999997</v>
      </c>
      <c r="AS1256" s="3">
        <v>4.0243586000000002</v>
      </c>
      <c r="AT1256" s="3">
        <v>4.0103682999999997</v>
      </c>
      <c r="AU1256" s="3">
        <v>3.9971890000000001</v>
      </c>
      <c r="AV1256" s="3">
        <v>3.9847697000000002</v>
      </c>
      <c r="AW1256" s="3">
        <v>3.9730601000000001</v>
      </c>
      <c r="AX1256" s="3">
        <v>3.9620093999999999</v>
      </c>
      <c r="AY1256" s="3">
        <v>3.9515668000000002</v>
      </c>
      <c r="AZ1256" s="3">
        <v>3.9416820000000001</v>
      </c>
      <c r="BA1256" s="3">
        <v>3.9323111000000002</v>
      </c>
      <c r="BB1256" s="3">
        <v>3.9234412000000001</v>
      </c>
      <c r="BC1256" s="3">
        <v>3.9150683000000002</v>
      </c>
      <c r="BD1256" s="3">
        <v>3.9071880000000001</v>
      </c>
      <c r="BE1256" s="3">
        <v>3.8997961000000001</v>
      </c>
      <c r="BF1256" s="3">
        <v>3.8928883000000001</v>
      </c>
      <c r="BG1256" s="3">
        <v>3.8864605000000001</v>
      </c>
      <c r="BH1256" s="3">
        <v>3.8805081000000001</v>
      </c>
      <c r="BI1256" s="3">
        <v>3.8750271999999999</v>
      </c>
      <c r="BJ1256" s="3">
        <v>3.8700133999999999</v>
      </c>
      <c r="BK1256" s="3">
        <v>3.8654624000000002</v>
      </c>
      <c r="BL1256" s="3">
        <v>3.86137</v>
      </c>
      <c r="BM1256" s="3">
        <v>3.8461153000000001</v>
      </c>
      <c r="BN1256" s="3">
        <v>3.8457322999999999</v>
      </c>
    </row>
    <row r="1257" spans="1:66" x14ac:dyDescent="0.35">
      <c r="A1257" s="5">
        <f t="shared" si="19"/>
        <v>45215</v>
      </c>
      <c r="B1257" t="s">
        <v>2671</v>
      </c>
      <c r="C1257" s="2">
        <v>5.25</v>
      </c>
      <c r="D1257" s="2">
        <v>5.1877000000000004</v>
      </c>
      <c r="E1257" s="3">
        <v>5.2530574000000003</v>
      </c>
      <c r="F1257" s="3">
        <v>5.2912309000000004</v>
      </c>
      <c r="G1257" s="3">
        <v>5.3244828999999996</v>
      </c>
      <c r="H1257" s="3">
        <v>5.3460530999999998</v>
      </c>
      <c r="I1257" s="3">
        <v>5.3533042000000002</v>
      </c>
      <c r="J1257" s="3">
        <v>5.3475134000000004</v>
      </c>
      <c r="K1257" s="3">
        <v>5.3311073000000002</v>
      </c>
      <c r="L1257" s="3">
        <v>5.3072467999999997</v>
      </c>
      <c r="M1257" s="3">
        <v>5.2784148000000002</v>
      </c>
      <c r="N1257" s="3">
        <v>5.2462353999999998</v>
      </c>
      <c r="O1257" s="3">
        <v>5.2111618000000002</v>
      </c>
      <c r="P1257" s="3">
        <v>5.1731192000000004</v>
      </c>
      <c r="Q1257" s="3">
        <v>5.1312063999999999</v>
      </c>
      <c r="R1257" s="3">
        <v>5.0857143999999996</v>
      </c>
      <c r="S1257" s="3">
        <v>5.0373583999999996</v>
      </c>
      <c r="T1257" s="3">
        <v>4.9868515000000002</v>
      </c>
      <c r="U1257" s="3">
        <v>4.9349071000000002</v>
      </c>
      <c r="V1257" s="3">
        <v>4.8822402</v>
      </c>
      <c r="W1257" s="3">
        <v>4.8295181999999999</v>
      </c>
      <c r="X1257" s="3">
        <v>4.7772161000000004</v>
      </c>
      <c r="Y1257" s="3">
        <v>4.7257598999999999</v>
      </c>
      <c r="Z1257" s="3">
        <v>4.6755738999999998</v>
      </c>
      <c r="AA1257" s="3">
        <v>4.6270825000000002</v>
      </c>
      <c r="AB1257" s="3">
        <v>4.5807117999999996</v>
      </c>
      <c r="AC1257" s="3">
        <v>4.5368060000000003</v>
      </c>
      <c r="AD1257" s="3">
        <v>4.4953571999999999</v>
      </c>
      <c r="AE1257" s="3">
        <v>4.4562613999999998</v>
      </c>
      <c r="AF1257" s="3">
        <v>4.4194130999999999</v>
      </c>
      <c r="AG1257" s="3">
        <v>4.3847069000000003</v>
      </c>
      <c r="AH1257" s="3">
        <v>4.3520386999999996</v>
      </c>
      <c r="AI1257" s="3">
        <v>4.3213030999999997</v>
      </c>
      <c r="AJ1257" s="3">
        <v>4.2923948999999997</v>
      </c>
      <c r="AK1257" s="3">
        <v>4.2652098000000001</v>
      </c>
      <c r="AL1257" s="3">
        <v>4.2396424000000001</v>
      </c>
      <c r="AM1257" s="3">
        <v>4.2155876000000001</v>
      </c>
      <c r="AN1257" s="3">
        <v>4.1929409</v>
      </c>
      <c r="AO1257" s="3">
        <v>4.1716056000000004</v>
      </c>
      <c r="AP1257" s="3">
        <v>4.1515224000000002</v>
      </c>
      <c r="AQ1257" s="3">
        <v>4.1326428999999996</v>
      </c>
      <c r="AR1257" s="3">
        <v>4.1149182</v>
      </c>
      <c r="AS1257" s="3">
        <v>4.0982992999999999</v>
      </c>
      <c r="AT1257" s="3">
        <v>4.0827378999999997</v>
      </c>
      <c r="AU1257" s="3">
        <v>4.0681849000000003</v>
      </c>
      <c r="AV1257" s="3">
        <v>4.0545914999999999</v>
      </c>
      <c r="AW1257" s="3">
        <v>4.0419093000000004</v>
      </c>
      <c r="AX1257" s="3">
        <v>4.0300891999999999</v>
      </c>
      <c r="AY1257" s="3">
        <v>4.0190824000000003</v>
      </c>
      <c r="AZ1257" s="3">
        <v>4.0088404000000004</v>
      </c>
      <c r="BA1257" s="3">
        <v>3.9993186000000001</v>
      </c>
      <c r="BB1257" s="3">
        <v>3.9904953000000001</v>
      </c>
      <c r="BC1257" s="3">
        <v>3.9823569000000001</v>
      </c>
      <c r="BD1257" s="3">
        <v>3.9748895000000002</v>
      </c>
      <c r="BE1257" s="3">
        <v>3.9680792</v>
      </c>
      <c r="BF1257" s="3">
        <v>3.9619122999999998</v>
      </c>
      <c r="BG1257" s="3">
        <v>3.956375</v>
      </c>
      <c r="BH1257" s="3">
        <v>3.9514532</v>
      </c>
      <c r="BI1257" s="3">
        <v>3.9471333999999998</v>
      </c>
      <c r="BJ1257" s="3">
        <v>3.9434016999999999</v>
      </c>
      <c r="BK1257" s="3">
        <v>3.9402441000000001</v>
      </c>
      <c r="BL1257" s="3">
        <v>3.9376470000000001</v>
      </c>
      <c r="BM1257" s="3">
        <v>3.9329269</v>
      </c>
      <c r="BN1257" s="3">
        <v>3.9440892999999999</v>
      </c>
    </row>
    <row r="1258" spans="1:66" x14ac:dyDescent="0.35">
      <c r="A1258" s="5">
        <f t="shared" si="19"/>
        <v>45216</v>
      </c>
      <c r="B1258" t="s">
        <v>2672</v>
      </c>
      <c r="C1258" s="2">
        <v>5.25</v>
      </c>
      <c r="D1258" s="2">
        <v>5.1870000000000003</v>
      </c>
      <c r="E1258" s="3">
        <v>5.2454333000000002</v>
      </c>
      <c r="F1258" s="3">
        <v>5.2762380999999996</v>
      </c>
      <c r="G1258" s="3">
        <v>5.3027914999999997</v>
      </c>
      <c r="H1258" s="3">
        <v>5.3184088999999997</v>
      </c>
      <c r="I1258" s="3">
        <v>5.3208839000000001</v>
      </c>
      <c r="J1258" s="3">
        <v>5.3121153999999997</v>
      </c>
      <c r="K1258" s="3">
        <v>5.2946713000000001</v>
      </c>
      <c r="L1258" s="3">
        <v>5.2718211999999998</v>
      </c>
      <c r="M1258" s="3">
        <v>5.2461045000000004</v>
      </c>
      <c r="N1258" s="3">
        <v>5.218782</v>
      </c>
      <c r="O1258" s="3">
        <v>5.1899299000000001</v>
      </c>
      <c r="P1258" s="3">
        <v>5.1588867</v>
      </c>
      <c r="Q1258" s="3">
        <v>5.1237025999999997</v>
      </c>
      <c r="R1258" s="3">
        <v>5.0844003999999998</v>
      </c>
      <c r="S1258" s="3">
        <v>5.0416936000000003</v>
      </c>
      <c r="T1258" s="3">
        <v>4.9962942000000004</v>
      </c>
      <c r="U1258" s="3">
        <v>4.9489140000000003</v>
      </c>
      <c r="V1258" s="3">
        <v>4.9002667000000004</v>
      </c>
      <c r="W1258" s="3">
        <v>4.8510236999999998</v>
      </c>
      <c r="X1258" s="3">
        <v>4.8016858999999998</v>
      </c>
      <c r="Y1258" s="3">
        <v>4.7527112999999996</v>
      </c>
      <c r="Z1258" s="3">
        <v>4.7045560000000002</v>
      </c>
      <c r="AA1258" s="3">
        <v>4.6576763999999997</v>
      </c>
      <c r="AB1258" s="3">
        <v>4.6125303000000004</v>
      </c>
      <c r="AC1258" s="3">
        <v>4.5694939999999997</v>
      </c>
      <c r="AD1258" s="3">
        <v>4.5285906999999996</v>
      </c>
      <c r="AE1258" s="3">
        <v>4.4897473999999997</v>
      </c>
      <c r="AF1258" s="3">
        <v>4.4528901000000003</v>
      </c>
      <c r="AG1258" s="3">
        <v>4.4179443999999997</v>
      </c>
      <c r="AH1258" s="3">
        <v>4.3848374000000003</v>
      </c>
      <c r="AI1258" s="3">
        <v>4.3534948</v>
      </c>
      <c r="AJ1258" s="3">
        <v>4.3238427000000001</v>
      </c>
      <c r="AK1258" s="3">
        <v>4.2958078000000004</v>
      </c>
      <c r="AL1258" s="3">
        <v>4.2693159999999999</v>
      </c>
      <c r="AM1258" s="3">
        <v>4.2442932000000004</v>
      </c>
      <c r="AN1258" s="3">
        <v>4.2206663000000004</v>
      </c>
      <c r="AO1258" s="3">
        <v>4.1983648000000002</v>
      </c>
      <c r="AP1258" s="3">
        <v>4.1773385000000003</v>
      </c>
      <c r="AQ1258" s="3">
        <v>4.1575443999999999</v>
      </c>
      <c r="AR1258" s="3">
        <v>4.1389388</v>
      </c>
      <c r="AS1258" s="3">
        <v>4.1214781</v>
      </c>
      <c r="AT1258" s="3">
        <v>4.1051193000000001</v>
      </c>
      <c r="AU1258" s="3">
        <v>4.0898189</v>
      </c>
      <c r="AV1258" s="3">
        <v>4.0755331999999997</v>
      </c>
      <c r="AW1258" s="3">
        <v>4.0622192000000004</v>
      </c>
      <c r="AX1258" s="3">
        <v>4.0498333000000004</v>
      </c>
      <c r="AY1258" s="3">
        <v>4.0383319000000002</v>
      </c>
      <c r="AZ1258" s="3">
        <v>4.0276719999999999</v>
      </c>
      <c r="BA1258" s="3">
        <v>4.0178130000000003</v>
      </c>
      <c r="BB1258" s="3">
        <v>4.0087294</v>
      </c>
      <c r="BC1258" s="3">
        <v>4.0004007000000001</v>
      </c>
      <c r="BD1258" s="3">
        <v>3.9928058000000002</v>
      </c>
      <c r="BE1258" s="3">
        <v>3.9859238000000001</v>
      </c>
      <c r="BF1258" s="3">
        <v>3.9797338999999998</v>
      </c>
      <c r="BG1258" s="3">
        <v>3.9742153999999998</v>
      </c>
      <c r="BH1258" s="3">
        <v>3.9693472000000001</v>
      </c>
      <c r="BI1258" s="3">
        <v>3.9651087</v>
      </c>
      <c r="BJ1258" s="3">
        <v>3.9614788999999999</v>
      </c>
      <c r="BK1258" s="3">
        <v>3.9584369000000001</v>
      </c>
      <c r="BL1258" s="3">
        <v>3.9559619000000001</v>
      </c>
      <c r="BM1258" s="3">
        <v>3.9519134999999999</v>
      </c>
      <c r="BN1258" s="3">
        <v>3.9634024000000001</v>
      </c>
    </row>
    <row r="1259" spans="1:66" x14ac:dyDescent="0.35">
      <c r="A1259" s="5">
        <f t="shared" si="19"/>
        <v>45217</v>
      </c>
      <c r="B1259" t="s">
        <v>2673</v>
      </c>
      <c r="C1259" s="2">
        <v>5.25</v>
      </c>
      <c r="D1259" s="2">
        <v>5.1871999999999998</v>
      </c>
      <c r="E1259" s="3">
        <v>5.2423989999999998</v>
      </c>
      <c r="F1259" s="3">
        <v>5.2839447000000002</v>
      </c>
      <c r="G1259" s="3">
        <v>5.3235894000000004</v>
      </c>
      <c r="H1259" s="3">
        <v>5.3519389999999998</v>
      </c>
      <c r="I1259" s="3">
        <v>5.3652072000000004</v>
      </c>
      <c r="J1259" s="3">
        <v>5.3649180000000003</v>
      </c>
      <c r="K1259" s="3">
        <v>5.3546123999999997</v>
      </c>
      <c r="L1259" s="3">
        <v>5.3385600999999996</v>
      </c>
      <c r="M1259" s="3">
        <v>5.3200696000000001</v>
      </c>
      <c r="N1259" s="3">
        <v>5.3006760000000002</v>
      </c>
      <c r="O1259" s="3">
        <v>5.2802056999999998</v>
      </c>
      <c r="P1259" s="3">
        <v>5.2574888</v>
      </c>
      <c r="Q1259" s="3">
        <v>5.2298086000000001</v>
      </c>
      <c r="R1259" s="3">
        <v>5.1969352000000004</v>
      </c>
      <c r="S1259" s="3">
        <v>5.1595009999999997</v>
      </c>
      <c r="T1259" s="3">
        <v>5.1181372999999999</v>
      </c>
      <c r="U1259" s="3">
        <v>5.0734750999999996</v>
      </c>
      <c r="V1259" s="3">
        <v>5.0261471999999996</v>
      </c>
      <c r="W1259" s="3">
        <v>4.9768036000000002</v>
      </c>
      <c r="X1259" s="3">
        <v>4.9262122000000002</v>
      </c>
      <c r="Y1259" s="3">
        <v>4.8751882999999996</v>
      </c>
      <c r="Z1259" s="3">
        <v>4.8245456999999998</v>
      </c>
      <c r="AA1259" s="3">
        <v>4.7750979999999998</v>
      </c>
      <c r="AB1259" s="3">
        <v>4.7276607999999998</v>
      </c>
      <c r="AC1259" s="3">
        <v>4.6829337000000004</v>
      </c>
      <c r="AD1259" s="3">
        <v>4.6410024999999999</v>
      </c>
      <c r="AE1259" s="3">
        <v>4.6017485000000002</v>
      </c>
      <c r="AF1259" s="3">
        <v>4.5650513000000004</v>
      </c>
      <c r="AG1259" s="3">
        <v>4.5307909000000004</v>
      </c>
      <c r="AH1259" s="3">
        <v>4.4988482999999997</v>
      </c>
      <c r="AI1259" s="3">
        <v>4.4691032000000002</v>
      </c>
      <c r="AJ1259" s="3">
        <v>4.4414356000000002</v>
      </c>
      <c r="AK1259" s="3">
        <v>4.4157263000000002</v>
      </c>
      <c r="AL1259" s="3">
        <v>4.3918550999999999</v>
      </c>
      <c r="AM1259" s="3">
        <v>4.3697021999999999</v>
      </c>
      <c r="AN1259" s="3">
        <v>4.3491480999999999</v>
      </c>
      <c r="AO1259" s="3">
        <v>4.3300777000000004</v>
      </c>
      <c r="AP1259" s="3">
        <v>4.3123994999999997</v>
      </c>
      <c r="AQ1259" s="3">
        <v>4.2960298000000003</v>
      </c>
      <c r="AR1259" s="3">
        <v>4.2808843000000003</v>
      </c>
      <c r="AS1259" s="3">
        <v>4.2668786000000001</v>
      </c>
      <c r="AT1259" s="3">
        <v>4.2539290999999997</v>
      </c>
      <c r="AU1259" s="3">
        <v>4.2419514999999999</v>
      </c>
      <c r="AV1259" s="3">
        <v>4.2308614999999996</v>
      </c>
      <c r="AW1259" s="3">
        <v>4.2205751999999999</v>
      </c>
      <c r="AX1259" s="3">
        <v>4.2110085000000002</v>
      </c>
      <c r="AY1259" s="3">
        <v>4.2020771000000003</v>
      </c>
      <c r="AZ1259" s="3">
        <v>4.1936970999999996</v>
      </c>
      <c r="BA1259" s="3">
        <v>4.1857959999999999</v>
      </c>
      <c r="BB1259" s="3">
        <v>4.1783526000000002</v>
      </c>
      <c r="BC1259" s="3">
        <v>4.1713601000000002</v>
      </c>
      <c r="BD1259" s="3">
        <v>4.1648116999999996</v>
      </c>
      <c r="BE1259" s="3">
        <v>4.1587002000000002</v>
      </c>
      <c r="BF1259" s="3">
        <v>4.1530190999999999</v>
      </c>
      <c r="BG1259" s="3">
        <v>4.1477611999999997</v>
      </c>
      <c r="BH1259" s="3">
        <v>4.1429197000000002</v>
      </c>
      <c r="BI1259" s="3">
        <v>4.1384878</v>
      </c>
      <c r="BJ1259" s="3">
        <v>4.1344585</v>
      </c>
      <c r="BK1259" s="3">
        <v>4.1308249000000004</v>
      </c>
      <c r="BL1259" s="3">
        <v>4.1275801000000003</v>
      </c>
      <c r="BM1259" s="3">
        <v>4.1158900000000003</v>
      </c>
      <c r="BN1259" s="3">
        <v>4.1164543</v>
      </c>
    </row>
    <row r="1260" spans="1:66" x14ac:dyDescent="0.35">
      <c r="A1260" s="5">
        <f t="shared" si="19"/>
        <v>45218</v>
      </c>
      <c r="B1260" t="s">
        <v>2674</v>
      </c>
      <c r="C1260" s="2">
        <v>5.25</v>
      </c>
      <c r="D1260" s="2">
        <v>5.1872999999999996</v>
      </c>
      <c r="E1260" s="3">
        <v>5.2406300000000003</v>
      </c>
      <c r="F1260" s="3">
        <v>5.2757500000000004</v>
      </c>
      <c r="G1260" s="3">
        <v>5.3089864000000002</v>
      </c>
      <c r="H1260" s="3">
        <v>5.3309549000000001</v>
      </c>
      <c r="I1260" s="3">
        <v>5.3391918</v>
      </c>
      <c r="J1260" s="3">
        <v>5.3360095000000003</v>
      </c>
      <c r="K1260" s="3">
        <v>5.3253439</v>
      </c>
      <c r="L1260" s="3">
        <v>5.3111994999999999</v>
      </c>
      <c r="M1260" s="3">
        <v>5.2962350999999996</v>
      </c>
      <c r="N1260" s="3">
        <v>5.2812806999999999</v>
      </c>
      <c r="O1260" s="3">
        <v>5.2655854</v>
      </c>
      <c r="P1260" s="3">
        <v>5.2475610000000001</v>
      </c>
      <c r="Q1260" s="3">
        <v>5.2238214999999997</v>
      </c>
      <c r="R1260" s="3">
        <v>5.1940676000000003</v>
      </c>
      <c r="S1260" s="3">
        <v>5.1592783999999998</v>
      </c>
      <c r="T1260" s="3">
        <v>5.1204326</v>
      </c>
      <c r="U1260" s="3">
        <v>5.0785090000000004</v>
      </c>
      <c r="V1260" s="3">
        <v>5.0344878</v>
      </c>
      <c r="W1260" s="3">
        <v>4.9893074000000004</v>
      </c>
      <c r="X1260" s="3">
        <v>4.9436787999999998</v>
      </c>
      <c r="Y1260" s="3">
        <v>4.8982346000000003</v>
      </c>
      <c r="Z1260" s="3">
        <v>4.8536055999999999</v>
      </c>
      <c r="AA1260" s="3">
        <v>4.8104225999999999</v>
      </c>
      <c r="AB1260" s="3">
        <v>4.7693180999999996</v>
      </c>
      <c r="AC1260" s="3">
        <v>4.7308171999999997</v>
      </c>
      <c r="AD1260" s="3">
        <v>4.6949296</v>
      </c>
      <c r="AE1260" s="3">
        <v>4.6615098000000001</v>
      </c>
      <c r="AF1260" s="3">
        <v>4.6304106999999997</v>
      </c>
      <c r="AG1260" s="3">
        <v>4.6014853000000002</v>
      </c>
      <c r="AH1260" s="3">
        <v>4.5745879</v>
      </c>
      <c r="AI1260" s="3">
        <v>4.5495713999999996</v>
      </c>
      <c r="AJ1260" s="3">
        <v>4.5262890000000002</v>
      </c>
      <c r="AK1260" s="3">
        <v>4.5045947000000002</v>
      </c>
      <c r="AL1260" s="3">
        <v>4.4843415000000002</v>
      </c>
      <c r="AM1260" s="3">
        <v>4.4653828000000004</v>
      </c>
      <c r="AN1260" s="3">
        <v>4.4475724000000003</v>
      </c>
      <c r="AO1260" s="3">
        <v>4.4307771999999996</v>
      </c>
      <c r="AP1260" s="3">
        <v>4.4149254999999998</v>
      </c>
      <c r="AQ1260" s="3">
        <v>4.3999626999999997</v>
      </c>
      <c r="AR1260" s="3">
        <v>4.3858338999999997</v>
      </c>
      <c r="AS1260" s="3">
        <v>4.372484</v>
      </c>
      <c r="AT1260" s="3">
        <v>4.3598585999999999</v>
      </c>
      <c r="AU1260" s="3">
        <v>4.3479026000000003</v>
      </c>
      <c r="AV1260" s="3">
        <v>4.3365610999999999</v>
      </c>
      <c r="AW1260" s="3">
        <v>4.3257795999999997</v>
      </c>
      <c r="AX1260" s="3">
        <v>4.3155029999999996</v>
      </c>
      <c r="AY1260" s="3">
        <v>4.3056764000000003</v>
      </c>
      <c r="AZ1260" s="3">
        <v>4.2962452999999998</v>
      </c>
      <c r="BA1260" s="3">
        <v>4.2871632999999996</v>
      </c>
      <c r="BB1260" s="3">
        <v>4.2784224999999996</v>
      </c>
      <c r="BC1260" s="3">
        <v>4.2700259000000003</v>
      </c>
      <c r="BD1260" s="3">
        <v>4.2619759999999998</v>
      </c>
      <c r="BE1260" s="3">
        <v>4.2542757</v>
      </c>
      <c r="BF1260" s="3">
        <v>4.2469276999999996</v>
      </c>
      <c r="BG1260" s="3">
        <v>4.2399347000000001</v>
      </c>
      <c r="BH1260" s="3">
        <v>4.2332993999999999</v>
      </c>
      <c r="BI1260" s="3">
        <v>4.2270247000000003</v>
      </c>
      <c r="BJ1260" s="3">
        <v>4.2211132999999998</v>
      </c>
      <c r="BK1260" s="3">
        <v>4.2155677999999996</v>
      </c>
      <c r="BL1260" s="3">
        <v>4.2103910999999998</v>
      </c>
      <c r="BM1260" s="3">
        <v>4.1870729999999998</v>
      </c>
      <c r="BN1260" s="3">
        <v>4.1767702</v>
      </c>
    </row>
    <row r="1261" spans="1:66" x14ac:dyDescent="0.35">
      <c r="A1261" s="5">
        <f t="shared" si="19"/>
        <v>45219</v>
      </c>
      <c r="B1261" t="s">
        <v>2675</v>
      </c>
      <c r="C1261" s="2">
        <v>5.25</v>
      </c>
      <c r="D1261" s="2">
        <v>5.1879999999999997</v>
      </c>
      <c r="E1261" s="3">
        <v>5.2238661000000004</v>
      </c>
      <c r="F1261" s="3">
        <v>5.2525123000000002</v>
      </c>
      <c r="G1261" s="3">
        <v>5.2813008000000004</v>
      </c>
      <c r="H1261" s="3">
        <v>5.3012015000000003</v>
      </c>
      <c r="I1261" s="3">
        <v>5.3076371</v>
      </c>
      <c r="J1261" s="3">
        <v>5.3000331999999997</v>
      </c>
      <c r="K1261" s="3">
        <v>5.2803528999999996</v>
      </c>
      <c r="L1261" s="3">
        <v>5.2515343000000003</v>
      </c>
      <c r="M1261" s="3">
        <v>5.2171212999999996</v>
      </c>
      <c r="N1261" s="3">
        <v>5.1798386000000001</v>
      </c>
      <c r="O1261" s="3">
        <v>5.1413127000000003</v>
      </c>
      <c r="P1261" s="3">
        <v>5.1022854000000004</v>
      </c>
      <c r="Q1261" s="3">
        <v>5.0625777999999997</v>
      </c>
      <c r="R1261" s="3">
        <v>5.0223392999999996</v>
      </c>
      <c r="S1261" s="3">
        <v>4.9819015000000002</v>
      </c>
      <c r="T1261" s="3">
        <v>4.9415946000000002</v>
      </c>
      <c r="U1261" s="3">
        <v>4.9017488</v>
      </c>
      <c r="V1261" s="3">
        <v>4.8626959000000003</v>
      </c>
      <c r="W1261" s="3">
        <v>4.8247330000000002</v>
      </c>
      <c r="X1261" s="3">
        <v>4.7879886999999997</v>
      </c>
      <c r="Y1261" s="3">
        <v>4.7525389000000002</v>
      </c>
      <c r="Z1261" s="3">
        <v>4.718458</v>
      </c>
      <c r="AA1261" s="3">
        <v>4.6858205999999996</v>
      </c>
      <c r="AB1261" s="3">
        <v>4.6547025</v>
      </c>
      <c r="AC1261" s="3">
        <v>4.6251557999999999</v>
      </c>
      <c r="AD1261" s="3">
        <v>4.5971333000000003</v>
      </c>
      <c r="AE1261" s="3">
        <v>4.5705613999999999</v>
      </c>
      <c r="AF1261" s="3">
        <v>4.5453656000000002</v>
      </c>
      <c r="AG1261" s="3">
        <v>4.5214711999999997</v>
      </c>
      <c r="AH1261" s="3">
        <v>4.4988047</v>
      </c>
      <c r="AI1261" s="3">
        <v>4.4772914000000004</v>
      </c>
      <c r="AJ1261" s="3">
        <v>4.4568570000000003</v>
      </c>
      <c r="AK1261" s="3">
        <v>4.4374276000000004</v>
      </c>
      <c r="AL1261" s="3">
        <v>4.4189287000000004</v>
      </c>
      <c r="AM1261" s="3">
        <v>4.4012859000000004</v>
      </c>
      <c r="AN1261" s="3">
        <v>4.3844253999999996</v>
      </c>
      <c r="AO1261" s="3">
        <v>4.3682806999999997</v>
      </c>
      <c r="AP1261" s="3">
        <v>4.3528202</v>
      </c>
      <c r="AQ1261" s="3">
        <v>4.3380229000000003</v>
      </c>
      <c r="AR1261" s="3">
        <v>4.3238668999999996</v>
      </c>
      <c r="AS1261" s="3">
        <v>4.3103305000000001</v>
      </c>
      <c r="AT1261" s="3">
        <v>4.2973923999999997</v>
      </c>
      <c r="AU1261" s="3">
        <v>4.2850308999999998</v>
      </c>
      <c r="AV1261" s="3">
        <v>4.2732244000000001</v>
      </c>
      <c r="AW1261" s="3">
        <v>4.2619514000000001</v>
      </c>
      <c r="AX1261" s="3">
        <v>4.2511903000000002</v>
      </c>
      <c r="AY1261" s="3">
        <v>4.2409194000000001</v>
      </c>
      <c r="AZ1261" s="3">
        <v>4.2311173000000002</v>
      </c>
      <c r="BA1261" s="3">
        <v>4.2217653999999998</v>
      </c>
      <c r="BB1261" s="3">
        <v>4.2128585999999997</v>
      </c>
      <c r="BC1261" s="3">
        <v>4.2043958000000003</v>
      </c>
      <c r="BD1261" s="3">
        <v>4.1963756999999999</v>
      </c>
      <c r="BE1261" s="3">
        <v>4.1887968999999998</v>
      </c>
      <c r="BF1261" s="3">
        <v>4.1816583999999999</v>
      </c>
      <c r="BG1261" s="3">
        <v>4.1749587000000004</v>
      </c>
      <c r="BH1261" s="3">
        <v>4.1686965000000002</v>
      </c>
      <c r="BI1261" s="3">
        <v>4.1628707</v>
      </c>
      <c r="BJ1261" s="3">
        <v>4.1574799999999996</v>
      </c>
      <c r="BK1261" s="3">
        <v>4.1525230000000004</v>
      </c>
      <c r="BL1261" s="3">
        <v>4.1479986999999996</v>
      </c>
      <c r="BM1261" s="3">
        <v>4.1297743000000002</v>
      </c>
      <c r="BN1261" s="3">
        <v>4.1262487999999999</v>
      </c>
    </row>
    <row r="1262" spans="1:66" x14ac:dyDescent="0.35">
      <c r="A1262" s="5">
        <f t="shared" si="19"/>
        <v>45222</v>
      </c>
      <c r="B1262" t="s">
        <v>2676</v>
      </c>
      <c r="C1262" s="2">
        <v>5.25</v>
      </c>
      <c r="D1262" s="2">
        <v>5.1872999999999996</v>
      </c>
      <c r="E1262" s="3">
        <v>5.2267447999999996</v>
      </c>
      <c r="F1262" s="3">
        <v>5.2551661999999997</v>
      </c>
      <c r="G1262" s="3">
        <v>5.2803680000000002</v>
      </c>
      <c r="H1262" s="3">
        <v>5.2953951000000004</v>
      </c>
      <c r="I1262" s="3">
        <v>5.2964364000000002</v>
      </c>
      <c r="J1262" s="3">
        <v>5.2838801000000002</v>
      </c>
      <c r="K1262" s="3">
        <v>5.2598319</v>
      </c>
      <c r="L1262" s="3">
        <v>5.2279887</v>
      </c>
      <c r="M1262" s="3">
        <v>5.1920614</v>
      </c>
      <c r="N1262" s="3">
        <v>5.1547904000000004</v>
      </c>
      <c r="O1262" s="3">
        <v>5.1173187000000002</v>
      </c>
      <c r="P1262" s="3">
        <v>5.0796473000000004</v>
      </c>
      <c r="Q1262" s="3">
        <v>5.0403260999999997</v>
      </c>
      <c r="R1262" s="3">
        <v>4.9993103999999997</v>
      </c>
      <c r="S1262" s="3">
        <v>4.9570857999999998</v>
      </c>
      <c r="T1262" s="3">
        <v>4.9141360000000001</v>
      </c>
      <c r="U1262" s="3">
        <v>4.8709452000000004</v>
      </c>
      <c r="V1262" s="3">
        <v>4.8279987999999996</v>
      </c>
      <c r="W1262" s="3">
        <v>4.7857431000000004</v>
      </c>
      <c r="X1262" s="3">
        <v>4.7444667000000003</v>
      </c>
      <c r="Y1262" s="3">
        <v>4.7044180999999998</v>
      </c>
      <c r="Z1262" s="3">
        <v>4.6658445000000004</v>
      </c>
      <c r="AA1262" s="3">
        <v>4.6289930000000004</v>
      </c>
      <c r="AB1262" s="3">
        <v>4.5941121000000003</v>
      </c>
      <c r="AC1262" s="3">
        <v>4.5613935000000003</v>
      </c>
      <c r="AD1262" s="3">
        <v>4.5307849999999998</v>
      </c>
      <c r="AE1262" s="3">
        <v>4.5021683000000001</v>
      </c>
      <c r="AF1262" s="3">
        <v>4.4754237000000003</v>
      </c>
      <c r="AG1262" s="3">
        <v>4.4504317000000002</v>
      </c>
      <c r="AH1262" s="3">
        <v>4.4270737999999996</v>
      </c>
      <c r="AI1262" s="3">
        <v>4.4052303000000004</v>
      </c>
      <c r="AJ1262" s="3">
        <v>4.3847820000000004</v>
      </c>
      <c r="AK1262" s="3">
        <v>4.3656100000000002</v>
      </c>
      <c r="AL1262" s="3">
        <v>4.3475948000000004</v>
      </c>
      <c r="AM1262" s="3">
        <v>4.3306171999999998</v>
      </c>
      <c r="AN1262" s="3">
        <v>4.3145582999999998</v>
      </c>
      <c r="AO1262" s="3">
        <v>4.2993123000000004</v>
      </c>
      <c r="AP1262" s="3">
        <v>4.2848338000000004</v>
      </c>
      <c r="AQ1262" s="3">
        <v>4.2710945000000002</v>
      </c>
      <c r="AR1262" s="3">
        <v>4.2580654999999998</v>
      </c>
      <c r="AS1262" s="3">
        <v>4.2457181000000004</v>
      </c>
      <c r="AT1262" s="3">
        <v>4.2340239000000004</v>
      </c>
      <c r="AU1262" s="3">
        <v>4.2229539999999997</v>
      </c>
      <c r="AV1262" s="3">
        <v>4.2124797999999997</v>
      </c>
      <c r="AW1262" s="3">
        <v>4.2025728000000004</v>
      </c>
      <c r="AX1262" s="3">
        <v>4.1932042000000003</v>
      </c>
      <c r="AY1262" s="3">
        <v>4.1843452000000001</v>
      </c>
      <c r="AZ1262" s="3">
        <v>4.1759674999999996</v>
      </c>
      <c r="BA1262" s="3">
        <v>4.1680456000000001</v>
      </c>
      <c r="BB1262" s="3">
        <v>4.1605724000000004</v>
      </c>
      <c r="BC1262" s="3">
        <v>4.1535470999999999</v>
      </c>
      <c r="BD1262" s="3">
        <v>4.1469687000000004</v>
      </c>
      <c r="BE1262" s="3">
        <v>4.1408360000000002</v>
      </c>
      <c r="BF1262" s="3">
        <v>4.1351484000000003</v>
      </c>
      <c r="BG1262" s="3">
        <v>4.1299047</v>
      </c>
      <c r="BH1262" s="3">
        <v>4.1251039</v>
      </c>
      <c r="BI1262" s="3">
        <v>4.1207452</v>
      </c>
      <c r="BJ1262" s="3">
        <v>4.1168275999999997</v>
      </c>
      <c r="BK1262" s="3">
        <v>4.1133500999999999</v>
      </c>
      <c r="BL1262" s="3">
        <v>4.1103117999999998</v>
      </c>
      <c r="BM1262" s="3">
        <v>4.1009275000000001</v>
      </c>
      <c r="BN1262" s="3">
        <v>4.1051333999999997</v>
      </c>
    </row>
    <row r="1263" spans="1:66" x14ac:dyDescent="0.35">
      <c r="A1263" s="5">
        <f t="shared" si="19"/>
        <v>45223</v>
      </c>
      <c r="B1263" t="s">
        <v>2677</v>
      </c>
      <c r="C1263" s="2">
        <v>5.25</v>
      </c>
      <c r="D1263" s="2">
        <v>5.1872999999999996</v>
      </c>
      <c r="E1263" s="3">
        <v>5.2100543999999998</v>
      </c>
      <c r="F1263" s="3">
        <v>5.2373031000000001</v>
      </c>
      <c r="G1263" s="3">
        <v>5.2592328999999998</v>
      </c>
      <c r="H1263" s="3">
        <v>5.2692949999999996</v>
      </c>
      <c r="I1263" s="3">
        <v>5.2645846000000001</v>
      </c>
      <c r="J1263" s="3">
        <v>5.2468105999999999</v>
      </c>
      <c r="K1263" s="3">
        <v>5.2186794000000001</v>
      </c>
      <c r="L1263" s="3">
        <v>5.1838379000000003</v>
      </c>
      <c r="M1263" s="3">
        <v>5.1454193999999998</v>
      </c>
      <c r="N1263" s="3">
        <v>5.1054386000000003</v>
      </c>
      <c r="O1263" s="3">
        <v>5.0646551000000004</v>
      </c>
      <c r="P1263" s="3">
        <v>5.0230458999999996</v>
      </c>
      <c r="Q1263" s="3">
        <v>4.9794251999999997</v>
      </c>
      <c r="R1263" s="3">
        <v>4.9338853</v>
      </c>
      <c r="S1263" s="3">
        <v>4.8869907000000001</v>
      </c>
      <c r="T1263" s="3">
        <v>4.8393040999999997</v>
      </c>
      <c r="U1263" s="3">
        <v>4.7913883000000004</v>
      </c>
      <c r="V1263" s="3">
        <v>4.7438075</v>
      </c>
      <c r="W1263" s="3">
        <v>4.6970805000000002</v>
      </c>
      <c r="X1263" s="3">
        <v>4.6515404</v>
      </c>
      <c r="Y1263" s="3">
        <v>4.6074732999999997</v>
      </c>
      <c r="Z1263" s="3">
        <v>4.5651637000000003</v>
      </c>
      <c r="AA1263" s="3">
        <v>4.524896</v>
      </c>
      <c r="AB1263" s="3">
        <v>4.4869563000000001</v>
      </c>
      <c r="AC1263" s="3">
        <v>4.4515656000000003</v>
      </c>
      <c r="AD1263" s="3">
        <v>4.4186654000000001</v>
      </c>
      <c r="AE1263" s="3">
        <v>4.3881209999999999</v>
      </c>
      <c r="AF1263" s="3">
        <v>4.3597963999999996</v>
      </c>
      <c r="AG1263" s="3">
        <v>4.3335559999999997</v>
      </c>
      <c r="AH1263" s="3">
        <v>4.3092648999999996</v>
      </c>
      <c r="AI1263" s="3">
        <v>4.2867873000000003</v>
      </c>
      <c r="AJ1263" s="3">
        <v>4.2659874000000002</v>
      </c>
      <c r="AK1263" s="3">
        <v>4.2467305</v>
      </c>
      <c r="AL1263" s="3">
        <v>4.2288806000000001</v>
      </c>
      <c r="AM1263" s="3">
        <v>4.2123021999999999</v>
      </c>
      <c r="AN1263" s="3">
        <v>4.1968603</v>
      </c>
      <c r="AO1263" s="3">
        <v>4.1824306</v>
      </c>
      <c r="AP1263" s="3">
        <v>4.1689515999999998</v>
      </c>
      <c r="AQ1263" s="3">
        <v>4.1563831999999996</v>
      </c>
      <c r="AR1263" s="3">
        <v>4.1446845000000003</v>
      </c>
      <c r="AS1263" s="3">
        <v>4.1338149</v>
      </c>
      <c r="AT1263" s="3">
        <v>4.1237342000000003</v>
      </c>
      <c r="AU1263" s="3">
        <v>4.1144015999999999</v>
      </c>
      <c r="AV1263" s="3">
        <v>4.1057766000000004</v>
      </c>
      <c r="AW1263" s="3">
        <v>4.0978189</v>
      </c>
      <c r="AX1263" s="3">
        <v>4.0904876999999997</v>
      </c>
      <c r="AY1263" s="3">
        <v>4.0837425999999999</v>
      </c>
      <c r="AZ1263" s="3">
        <v>4.0775430000000004</v>
      </c>
      <c r="BA1263" s="3">
        <v>4.0718528000000003</v>
      </c>
      <c r="BB1263" s="3">
        <v>4.0666570000000002</v>
      </c>
      <c r="BC1263" s="3">
        <v>4.0619471999999996</v>
      </c>
      <c r="BD1263" s="3">
        <v>4.0577148000000003</v>
      </c>
      <c r="BE1263" s="3">
        <v>4.0539512999999996</v>
      </c>
      <c r="BF1263" s="3">
        <v>4.0506484</v>
      </c>
      <c r="BG1263" s="3">
        <v>4.0477974000000003</v>
      </c>
      <c r="BH1263" s="3">
        <v>4.0453900000000003</v>
      </c>
      <c r="BI1263" s="3">
        <v>4.0434175999999997</v>
      </c>
      <c r="BJ1263" s="3">
        <v>4.0418716999999997</v>
      </c>
      <c r="BK1263" s="3">
        <v>4.0407440000000001</v>
      </c>
      <c r="BL1263" s="3">
        <v>4.0400257999999996</v>
      </c>
      <c r="BM1263" s="3">
        <v>4.0437063999999996</v>
      </c>
      <c r="BN1263" s="3">
        <v>4.0591577000000001</v>
      </c>
    </row>
    <row r="1264" spans="1:66" x14ac:dyDescent="0.35">
      <c r="A1264" s="5">
        <f t="shared" si="19"/>
        <v>45224</v>
      </c>
      <c r="B1264" t="s">
        <v>2678</v>
      </c>
      <c r="C1264" s="2">
        <v>5.25</v>
      </c>
      <c r="D1264" s="2">
        <v>5.1875999999999998</v>
      </c>
      <c r="E1264" s="3">
        <v>5.2123556000000004</v>
      </c>
      <c r="F1264" s="3">
        <v>5.2417692999999996</v>
      </c>
      <c r="G1264" s="3">
        <v>5.2644617</v>
      </c>
      <c r="H1264" s="3">
        <v>5.2740951999999997</v>
      </c>
      <c r="I1264" s="3">
        <v>5.2688655000000004</v>
      </c>
      <c r="J1264" s="3">
        <v>5.2509382000000002</v>
      </c>
      <c r="K1264" s="3">
        <v>5.2237220999999998</v>
      </c>
      <c r="L1264" s="3">
        <v>5.1912244999999997</v>
      </c>
      <c r="M1264" s="3">
        <v>5.1568290000000001</v>
      </c>
      <c r="N1264" s="3">
        <v>5.1225174999999998</v>
      </c>
      <c r="O1264" s="3">
        <v>5.0886765</v>
      </c>
      <c r="P1264" s="3">
        <v>5.0546315999999996</v>
      </c>
      <c r="Q1264" s="3">
        <v>5.0181222999999999</v>
      </c>
      <c r="R1264" s="3">
        <v>4.9788888</v>
      </c>
      <c r="S1264" s="3">
        <v>4.9373902999999997</v>
      </c>
      <c r="T1264" s="3">
        <v>4.8940844999999999</v>
      </c>
      <c r="U1264" s="3">
        <v>4.8494292000000003</v>
      </c>
      <c r="V1264" s="3">
        <v>4.8038838000000004</v>
      </c>
      <c r="W1264" s="3">
        <v>4.7579225999999997</v>
      </c>
      <c r="X1264" s="3">
        <v>4.7120896999999999</v>
      </c>
      <c r="Y1264" s="3">
        <v>4.6669492999999997</v>
      </c>
      <c r="Z1264" s="3">
        <v>4.6230639</v>
      </c>
      <c r="AA1264" s="3">
        <v>4.5809958000000002</v>
      </c>
      <c r="AB1264" s="3">
        <v>4.5413093</v>
      </c>
      <c r="AC1264" s="3">
        <v>4.5044792999999999</v>
      </c>
      <c r="AD1264" s="3">
        <v>4.4705097</v>
      </c>
      <c r="AE1264" s="3">
        <v>4.4392477000000001</v>
      </c>
      <c r="AF1264" s="3">
        <v>4.4105391000000003</v>
      </c>
      <c r="AG1264" s="3">
        <v>4.3842298</v>
      </c>
      <c r="AH1264" s="3">
        <v>4.3601666999999997</v>
      </c>
      <c r="AI1264" s="3">
        <v>4.3381957</v>
      </c>
      <c r="AJ1264" s="3">
        <v>4.3181627000000002</v>
      </c>
      <c r="AK1264" s="3">
        <v>4.2999144999999999</v>
      </c>
      <c r="AL1264" s="3">
        <v>4.2832971000000004</v>
      </c>
      <c r="AM1264" s="3">
        <v>4.2681566000000002</v>
      </c>
      <c r="AN1264" s="3">
        <v>4.2543394000000001</v>
      </c>
      <c r="AO1264" s="3">
        <v>4.2417031999999999</v>
      </c>
      <c r="AP1264" s="3">
        <v>4.2301608999999996</v>
      </c>
      <c r="AQ1264" s="3">
        <v>4.2196432000000001</v>
      </c>
      <c r="AR1264" s="3">
        <v>4.2100802000000002</v>
      </c>
      <c r="AS1264" s="3">
        <v>4.2014018999999996</v>
      </c>
      <c r="AT1264" s="3">
        <v>4.1935387000000004</v>
      </c>
      <c r="AU1264" s="3">
        <v>4.1864208999999999</v>
      </c>
      <c r="AV1264" s="3">
        <v>4.1799786000000001</v>
      </c>
      <c r="AW1264" s="3">
        <v>4.1741421000000001</v>
      </c>
      <c r="AX1264" s="3">
        <v>4.1688416000000004</v>
      </c>
      <c r="AY1264" s="3">
        <v>4.1640072999999997</v>
      </c>
      <c r="AZ1264" s="3">
        <v>4.1595694999999999</v>
      </c>
      <c r="BA1264" s="3">
        <v>4.1554685999999998</v>
      </c>
      <c r="BB1264" s="3">
        <v>4.1516907999999999</v>
      </c>
      <c r="BC1264" s="3">
        <v>4.1482345</v>
      </c>
      <c r="BD1264" s="3">
        <v>4.1450984000000002</v>
      </c>
      <c r="BE1264" s="3">
        <v>4.1422809000000003</v>
      </c>
      <c r="BF1264" s="3">
        <v>4.1397807999999996</v>
      </c>
      <c r="BG1264" s="3">
        <v>4.1375964999999999</v>
      </c>
      <c r="BH1264" s="3">
        <v>4.1357264999999996</v>
      </c>
      <c r="BI1264" s="3">
        <v>4.1341694999999996</v>
      </c>
      <c r="BJ1264" s="3">
        <v>4.1329241000000003</v>
      </c>
      <c r="BK1264" s="3">
        <v>4.1319887</v>
      </c>
      <c r="BL1264" s="3">
        <v>4.1313620999999996</v>
      </c>
      <c r="BM1264" s="3">
        <v>4.1338606999999996</v>
      </c>
      <c r="BN1264" s="3">
        <v>4.1462342000000003</v>
      </c>
    </row>
    <row r="1265" spans="1:66" x14ac:dyDescent="0.35">
      <c r="A1265" s="5">
        <f t="shared" si="19"/>
        <v>45225</v>
      </c>
      <c r="B1265" t="s">
        <v>2679</v>
      </c>
      <c r="C1265" s="2">
        <v>5.25</v>
      </c>
      <c r="D1265" s="2">
        <v>5.1871999999999998</v>
      </c>
      <c r="E1265" s="3">
        <v>5.2079347</v>
      </c>
      <c r="F1265" s="3">
        <v>5.2351799999999997</v>
      </c>
      <c r="G1265" s="3">
        <v>5.2561581999999998</v>
      </c>
      <c r="H1265" s="3">
        <v>5.2639293</v>
      </c>
      <c r="I1265" s="3">
        <v>5.2552637999999998</v>
      </c>
      <c r="J1265" s="3">
        <v>5.2316495999999999</v>
      </c>
      <c r="K1265" s="3">
        <v>5.1971227000000004</v>
      </c>
      <c r="L1265" s="3">
        <v>5.1564389999999998</v>
      </c>
      <c r="M1265" s="3">
        <v>5.1133592999999999</v>
      </c>
      <c r="N1265" s="3">
        <v>5.0699680999999996</v>
      </c>
      <c r="O1265" s="3">
        <v>5.0267521000000004</v>
      </c>
      <c r="P1265" s="3">
        <v>4.9832638999999999</v>
      </c>
      <c r="Q1265" s="3">
        <v>4.9375673999999998</v>
      </c>
      <c r="R1265" s="3">
        <v>4.8896524000000001</v>
      </c>
      <c r="S1265" s="3">
        <v>4.8403378000000004</v>
      </c>
      <c r="T1265" s="3">
        <v>4.7904418</v>
      </c>
      <c r="U1265" s="3">
        <v>4.7407823999999996</v>
      </c>
      <c r="V1265" s="3">
        <v>4.6921792</v>
      </c>
      <c r="W1265" s="3">
        <v>4.6453667999999997</v>
      </c>
      <c r="X1265" s="3">
        <v>4.6006520999999996</v>
      </c>
      <c r="Y1265" s="3">
        <v>4.5582067000000004</v>
      </c>
      <c r="Z1265" s="3">
        <v>4.5182010000000004</v>
      </c>
      <c r="AA1265" s="3">
        <v>4.4808051000000004</v>
      </c>
      <c r="AB1265" s="3">
        <v>4.4461906000000004</v>
      </c>
      <c r="AC1265" s="3">
        <v>4.4144797000000002</v>
      </c>
      <c r="AD1265" s="3">
        <v>4.3855604000000001</v>
      </c>
      <c r="AE1265" s="3">
        <v>4.3592503000000002</v>
      </c>
      <c r="AF1265" s="3">
        <v>4.3353660999999999</v>
      </c>
      <c r="AG1265" s="3">
        <v>4.3137243999999999</v>
      </c>
      <c r="AH1265" s="3">
        <v>4.2941428999999998</v>
      </c>
      <c r="AI1265" s="3">
        <v>4.2764381</v>
      </c>
      <c r="AJ1265" s="3">
        <v>4.260427</v>
      </c>
      <c r="AK1265" s="3">
        <v>4.2459268000000003</v>
      </c>
      <c r="AL1265" s="3">
        <v>4.2327544000000001</v>
      </c>
      <c r="AM1265" s="3">
        <v>4.2207265999999999</v>
      </c>
      <c r="AN1265" s="3">
        <v>4.2096606999999997</v>
      </c>
      <c r="AO1265" s="3">
        <v>4.1993954000000002</v>
      </c>
      <c r="AP1265" s="3">
        <v>4.1898666000000002</v>
      </c>
      <c r="AQ1265" s="3">
        <v>4.1810371000000002</v>
      </c>
      <c r="AR1265" s="3">
        <v>4.1728696000000003</v>
      </c>
      <c r="AS1265" s="3">
        <v>4.1653266000000002</v>
      </c>
      <c r="AT1265" s="3">
        <v>4.1583709000000004</v>
      </c>
      <c r="AU1265" s="3">
        <v>4.1519651</v>
      </c>
      <c r="AV1265" s="3">
        <v>4.1460717999999996</v>
      </c>
      <c r="AW1265" s="3">
        <v>4.1406539000000002</v>
      </c>
      <c r="AX1265" s="3">
        <v>4.1356738000000002</v>
      </c>
      <c r="AY1265" s="3">
        <v>4.1310943</v>
      </c>
      <c r="AZ1265" s="3">
        <v>4.1268780999999999</v>
      </c>
      <c r="BA1265" s="3">
        <v>4.1229933000000001</v>
      </c>
      <c r="BB1265" s="3">
        <v>4.1194318000000001</v>
      </c>
      <c r="BC1265" s="3">
        <v>4.1161924000000001</v>
      </c>
      <c r="BD1265" s="3">
        <v>4.1132736999999997</v>
      </c>
      <c r="BE1265" s="3">
        <v>4.1106743999999997</v>
      </c>
      <c r="BF1265" s="3">
        <v>4.1083932000000001</v>
      </c>
      <c r="BG1265" s="3">
        <v>4.1064287000000004</v>
      </c>
      <c r="BH1265" s="3">
        <v>4.1047795999999996</v>
      </c>
      <c r="BI1265" s="3">
        <v>4.1034446000000004</v>
      </c>
      <c r="BJ1265" s="3">
        <v>4.1024222000000004</v>
      </c>
      <c r="BK1265" s="3">
        <v>4.1017112999999998</v>
      </c>
      <c r="BL1265" s="3">
        <v>4.1013104</v>
      </c>
      <c r="BM1265" s="3">
        <v>4.1051906000000002</v>
      </c>
      <c r="BN1265" s="3">
        <v>4.1189726999999996</v>
      </c>
    </row>
    <row r="1266" spans="1:66" x14ac:dyDescent="0.35">
      <c r="A1266" s="5">
        <f t="shared" si="19"/>
        <v>45226</v>
      </c>
      <c r="B1266" t="s">
        <v>2681</v>
      </c>
      <c r="C1266" s="2">
        <v>5.25</v>
      </c>
      <c r="D1266" s="2">
        <v>5.1866000000000003</v>
      </c>
      <c r="E1266" s="3">
        <v>5.2087510999999997</v>
      </c>
      <c r="F1266" s="3">
        <v>5.2377547</v>
      </c>
      <c r="G1266" s="3">
        <v>5.2605662000000004</v>
      </c>
      <c r="H1266" s="3">
        <v>5.2707100000000002</v>
      </c>
      <c r="I1266" s="3">
        <v>5.2646037000000003</v>
      </c>
      <c r="J1266" s="3">
        <v>5.2421373999999998</v>
      </c>
      <c r="K1266" s="3">
        <v>5.2058106999999998</v>
      </c>
      <c r="L1266" s="3">
        <v>5.1592101000000001</v>
      </c>
      <c r="M1266" s="3">
        <v>5.1066675999999998</v>
      </c>
      <c r="N1266" s="3">
        <v>5.051634</v>
      </c>
      <c r="O1266" s="3">
        <v>4.9962654000000004</v>
      </c>
      <c r="P1266" s="3">
        <v>4.9415838000000001</v>
      </c>
      <c r="Q1266" s="3">
        <v>4.887715</v>
      </c>
      <c r="R1266" s="3">
        <v>4.8348465999999997</v>
      </c>
      <c r="S1266" s="3">
        <v>4.7832540999999997</v>
      </c>
      <c r="T1266" s="3">
        <v>4.7332114000000001</v>
      </c>
      <c r="U1266" s="3">
        <v>4.6849921999999999</v>
      </c>
      <c r="V1266" s="3">
        <v>4.6388720000000001</v>
      </c>
      <c r="W1266" s="3">
        <v>4.5950842999999999</v>
      </c>
      <c r="X1266" s="3">
        <v>4.5536751999999998</v>
      </c>
      <c r="Y1266" s="3">
        <v>4.5146379999999997</v>
      </c>
      <c r="Z1266" s="3">
        <v>4.4779647999999996</v>
      </c>
      <c r="AA1266" s="3">
        <v>4.4436473999999997</v>
      </c>
      <c r="AB1266" s="3">
        <v>4.4116790000000004</v>
      </c>
      <c r="AC1266" s="3">
        <v>4.3820345999999999</v>
      </c>
      <c r="AD1266" s="3">
        <v>4.3546141</v>
      </c>
      <c r="AE1266" s="3">
        <v>4.3292975</v>
      </c>
      <c r="AF1266" s="3">
        <v>4.3059640999999997</v>
      </c>
      <c r="AG1266" s="3">
        <v>4.2844930000000003</v>
      </c>
      <c r="AH1266" s="3">
        <v>4.2647642000000001</v>
      </c>
      <c r="AI1266" s="3">
        <v>4.2466568999999996</v>
      </c>
      <c r="AJ1266" s="3">
        <v>4.2300503999999997</v>
      </c>
      <c r="AK1266" s="3">
        <v>4.2148244999999998</v>
      </c>
      <c r="AL1266" s="3">
        <v>4.2008584999999998</v>
      </c>
      <c r="AM1266" s="3">
        <v>4.1880316999999998</v>
      </c>
      <c r="AN1266" s="3">
        <v>4.1762239000000001</v>
      </c>
      <c r="AO1266" s="3">
        <v>4.1653263000000003</v>
      </c>
      <c r="AP1266" s="3">
        <v>4.1552829999999998</v>
      </c>
      <c r="AQ1266" s="3">
        <v>4.1460530999999996</v>
      </c>
      <c r="AR1266" s="3">
        <v>4.1375951999999998</v>
      </c>
      <c r="AS1266" s="3">
        <v>4.1298678999999998</v>
      </c>
      <c r="AT1266" s="3">
        <v>4.1228303000000004</v>
      </c>
      <c r="AU1266" s="3">
        <v>4.1164408999999997</v>
      </c>
      <c r="AV1266" s="3">
        <v>4.1106585999999998</v>
      </c>
      <c r="AW1266" s="3">
        <v>4.1054421000000003</v>
      </c>
      <c r="AX1266" s="3">
        <v>4.1007502000000002</v>
      </c>
      <c r="AY1266" s="3">
        <v>4.0965417000000004</v>
      </c>
      <c r="AZ1266" s="3">
        <v>4.0927752999999996</v>
      </c>
      <c r="BA1266" s="3">
        <v>4.0894148000000001</v>
      </c>
      <c r="BB1266" s="3">
        <v>4.0864460999999999</v>
      </c>
      <c r="BC1266" s="3">
        <v>4.0838612999999997</v>
      </c>
      <c r="BD1266" s="3">
        <v>4.0816521000000003</v>
      </c>
      <c r="BE1266" s="3">
        <v>4.0798106000000001</v>
      </c>
      <c r="BF1266" s="3">
        <v>4.0783288999999998</v>
      </c>
      <c r="BG1266" s="3">
        <v>4.0771987999999997</v>
      </c>
      <c r="BH1266" s="3">
        <v>4.0764123999999997</v>
      </c>
      <c r="BI1266" s="3">
        <v>4.0759616000000003</v>
      </c>
      <c r="BJ1266" s="3">
        <v>4.0758384000000003</v>
      </c>
      <c r="BK1266" s="3">
        <v>4.0760348000000004</v>
      </c>
      <c r="BL1266" s="3">
        <v>4.0765427000000001</v>
      </c>
      <c r="BM1266" s="3">
        <v>4.0857758999999998</v>
      </c>
      <c r="BN1266" s="3">
        <v>4.1047682999999999</v>
      </c>
    </row>
    <row r="1267" spans="1:66" x14ac:dyDescent="0.35">
      <c r="A1267" s="5">
        <f t="shared" si="19"/>
        <v>45229</v>
      </c>
      <c r="B1267" t="s">
        <v>2682</v>
      </c>
      <c r="C1267" s="2">
        <v>5.25</v>
      </c>
      <c r="D1267" s="2">
        <v>5.1867000000000001</v>
      </c>
      <c r="E1267" s="3">
        <v>5.2042229999999998</v>
      </c>
      <c r="F1267" s="3">
        <v>5.2323757000000004</v>
      </c>
      <c r="G1267" s="3">
        <v>5.2523587999999997</v>
      </c>
      <c r="H1267" s="3">
        <v>5.256615</v>
      </c>
      <c r="I1267" s="3">
        <v>5.2433183999999997</v>
      </c>
      <c r="J1267" s="3">
        <v>5.2143774000000001</v>
      </c>
      <c r="K1267" s="3">
        <v>5.1737000000000002</v>
      </c>
      <c r="L1267" s="3">
        <v>5.1265280000000004</v>
      </c>
      <c r="M1267" s="3">
        <v>5.0774109000000003</v>
      </c>
      <c r="N1267" s="3">
        <v>5.0291353000000001</v>
      </c>
      <c r="O1267" s="3">
        <v>4.9826480000000002</v>
      </c>
      <c r="P1267" s="3">
        <v>4.9375363999999999</v>
      </c>
      <c r="Q1267" s="3">
        <v>4.8916367000000003</v>
      </c>
      <c r="R1267" s="3">
        <v>4.8447357999999996</v>
      </c>
      <c r="S1267" s="3">
        <v>4.7973350000000003</v>
      </c>
      <c r="T1267" s="3">
        <v>4.7499336999999997</v>
      </c>
      <c r="U1267" s="3">
        <v>4.7030311999999999</v>
      </c>
      <c r="V1267" s="3">
        <v>4.6571287999999997</v>
      </c>
      <c r="W1267" s="3">
        <v>4.6126734000000003</v>
      </c>
      <c r="X1267" s="3">
        <v>4.5698911999999998</v>
      </c>
      <c r="Y1267" s="3">
        <v>4.5289523000000003</v>
      </c>
      <c r="Z1267" s="3">
        <v>4.4900248999999999</v>
      </c>
      <c r="AA1267" s="3">
        <v>4.4532777000000001</v>
      </c>
      <c r="AB1267" s="3">
        <v>4.4188802999999997</v>
      </c>
      <c r="AC1267" s="3">
        <v>4.3869556999999997</v>
      </c>
      <c r="AD1267" s="3">
        <v>4.3574263999999996</v>
      </c>
      <c r="AE1267" s="3">
        <v>4.3301600999999996</v>
      </c>
      <c r="AF1267" s="3">
        <v>4.3050240000000004</v>
      </c>
      <c r="AG1267" s="3">
        <v>4.2818849999999999</v>
      </c>
      <c r="AH1267" s="3">
        <v>4.2606109999999999</v>
      </c>
      <c r="AI1267" s="3">
        <v>4.2410690000000004</v>
      </c>
      <c r="AJ1267" s="3">
        <v>4.2231259999999997</v>
      </c>
      <c r="AK1267" s="3">
        <v>4.2066498000000001</v>
      </c>
      <c r="AL1267" s="3">
        <v>4.1915073999999999</v>
      </c>
      <c r="AM1267" s="3">
        <v>4.1775659999999997</v>
      </c>
      <c r="AN1267" s="3">
        <v>4.1646932000000003</v>
      </c>
      <c r="AO1267" s="3">
        <v>4.1527703000000002</v>
      </c>
      <c r="AP1267" s="3">
        <v>4.1417419999999998</v>
      </c>
      <c r="AQ1267" s="3">
        <v>4.1315702999999999</v>
      </c>
      <c r="AR1267" s="3">
        <v>4.1222171999999997</v>
      </c>
      <c r="AS1267" s="3">
        <v>4.1136445999999998</v>
      </c>
      <c r="AT1267" s="3">
        <v>4.1058146000000004</v>
      </c>
      <c r="AU1267" s="3">
        <v>4.0986890000000002</v>
      </c>
      <c r="AV1267" s="3">
        <v>4.0922299000000004</v>
      </c>
      <c r="AW1267" s="3">
        <v>4.0863994000000003</v>
      </c>
      <c r="AX1267" s="3">
        <v>4.0811593000000004</v>
      </c>
      <c r="AY1267" s="3">
        <v>4.0764715999999996</v>
      </c>
      <c r="AZ1267" s="3">
        <v>4.0722984000000002</v>
      </c>
      <c r="BA1267" s="3">
        <v>4.0686052000000004</v>
      </c>
      <c r="BB1267" s="3">
        <v>4.0653762000000002</v>
      </c>
      <c r="BC1267" s="3">
        <v>4.0626024999999997</v>
      </c>
      <c r="BD1267" s="3">
        <v>4.0602746999999999</v>
      </c>
      <c r="BE1267" s="3">
        <v>4.0583836</v>
      </c>
      <c r="BF1267" s="3">
        <v>4.0569199999999999</v>
      </c>
      <c r="BG1267" s="3">
        <v>4.0558747999999998</v>
      </c>
      <c r="BH1267" s="3">
        <v>4.0552387000000003</v>
      </c>
      <c r="BI1267" s="3">
        <v>4.0550024000000002</v>
      </c>
      <c r="BJ1267" s="3">
        <v>4.0551567999999998</v>
      </c>
      <c r="BK1267" s="3">
        <v>4.0556926999999998</v>
      </c>
      <c r="BL1267" s="3">
        <v>4.0566009000000003</v>
      </c>
      <c r="BM1267" s="3">
        <v>4.0692867000000001</v>
      </c>
      <c r="BN1267" s="3">
        <v>4.0926558000000002</v>
      </c>
    </row>
    <row r="1268" spans="1:66" x14ac:dyDescent="0.35">
      <c r="A1268" s="5">
        <f t="shared" si="19"/>
        <v>45230</v>
      </c>
      <c r="B1268" t="s">
        <v>2683</v>
      </c>
      <c r="C1268" s="2">
        <v>5.25</v>
      </c>
      <c r="D1268" s="2">
        <v>5.1860999999999997</v>
      </c>
      <c r="E1268" s="3">
        <v>5.2091570999999997</v>
      </c>
      <c r="F1268" s="3">
        <v>5.2386080000000002</v>
      </c>
      <c r="G1268" s="3">
        <v>5.2594114000000003</v>
      </c>
      <c r="H1268" s="3">
        <v>5.2646740000000003</v>
      </c>
      <c r="I1268" s="3">
        <v>5.2532743999999996</v>
      </c>
      <c r="J1268" s="3">
        <v>5.2266623000000001</v>
      </c>
      <c r="K1268" s="3">
        <v>5.1879198999999998</v>
      </c>
      <c r="L1268" s="3">
        <v>5.1417070999999996</v>
      </c>
      <c r="M1268" s="3">
        <v>5.0919989000000001</v>
      </c>
      <c r="N1268" s="3">
        <v>5.0414436</v>
      </c>
      <c r="O1268" s="3">
        <v>4.9911123000000002</v>
      </c>
      <c r="P1268" s="3">
        <v>4.9410102</v>
      </c>
      <c r="Q1268" s="3">
        <v>4.8897111999999998</v>
      </c>
      <c r="R1268" s="3">
        <v>4.8373457999999996</v>
      </c>
      <c r="S1268" s="3">
        <v>4.7846057000000002</v>
      </c>
      <c r="T1268" s="3">
        <v>4.7321802999999996</v>
      </c>
      <c r="U1268" s="3">
        <v>4.6807593000000001</v>
      </c>
      <c r="V1268" s="3">
        <v>4.6310340999999999</v>
      </c>
      <c r="W1268" s="3">
        <v>4.5835797999999999</v>
      </c>
      <c r="X1268" s="3">
        <v>4.5385359000000003</v>
      </c>
      <c r="Y1268" s="3">
        <v>4.4959395999999998</v>
      </c>
      <c r="Z1268" s="3">
        <v>4.4558267999999996</v>
      </c>
      <c r="AA1268" s="3">
        <v>4.4182332000000004</v>
      </c>
      <c r="AB1268" s="3">
        <v>4.3831959999999999</v>
      </c>
      <c r="AC1268" s="3">
        <v>4.3507243999999998</v>
      </c>
      <c r="AD1268" s="3">
        <v>4.3207097000000001</v>
      </c>
      <c r="AE1268" s="3">
        <v>4.2930121999999997</v>
      </c>
      <c r="AF1268" s="3">
        <v>4.2674908</v>
      </c>
      <c r="AG1268" s="3">
        <v>4.2440046999999996</v>
      </c>
      <c r="AH1268" s="3">
        <v>4.2224139000000003</v>
      </c>
      <c r="AI1268" s="3">
        <v>4.2025772999999997</v>
      </c>
      <c r="AJ1268" s="3">
        <v>4.1843541999999996</v>
      </c>
      <c r="AK1268" s="3">
        <v>4.1676045000000004</v>
      </c>
      <c r="AL1268" s="3">
        <v>4.1521872000000002</v>
      </c>
      <c r="AM1268" s="3">
        <v>4.1379615999999997</v>
      </c>
      <c r="AN1268" s="3">
        <v>4.1247875000000001</v>
      </c>
      <c r="AO1268" s="3">
        <v>4.1125370999999999</v>
      </c>
      <c r="AP1268" s="3">
        <v>4.1011538999999999</v>
      </c>
      <c r="AQ1268" s="3">
        <v>4.0906054000000003</v>
      </c>
      <c r="AR1268" s="3">
        <v>4.0808587000000003</v>
      </c>
      <c r="AS1268" s="3">
        <v>4.0718810000000003</v>
      </c>
      <c r="AT1268" s="3">
        <v>4.0636397999999998</v>
      </c>
      <c r="AU1268" s="3">
        <v>4.0561021999999998</v>
      </c>
      <c r="AV1268" s="3">
        <v>4.0492353999999997</v>
      </c>
      <c r="AW1268" s="3">
        <v>4.0430069</v>
      </c>
      <c r="AX1268" s="3">
        <v>4.0373839</v>
      </c>
      <c r="AY1268" s="3">
        <v>4.0323336000000003</v>
      </c>
      <c r="AZ1268" s="3">
        <v>4.0278232999999997</v>
      </c>
      <c r="BA1268" s="3">
        <v>4.0238231999999998</v>
      </c>
      <c r="BB1268" s="3">
        <v>4.0203176999999997</v>
      </c>
      <c r="BC1268" s="3">
        <v>4.0172955999999997</v>
      </c>
      <c r="BD1268" s="3">
        <v>4.0147456000000004</v>
      </c>
      <c r="BE1268" s="3">
        <v>4.0126564</v>
      </c>
      <c r="BF1268" s="3">
        <v>4.0110168000000002</v>
      </c>
      <c r="BG1268" s="3">
        <v>4.0098153999999999</v>
      </c>
      <c r="BH1268" s="3">
        <v>4.0090412000000004</v>
      </c>
      <c r="BI1268" s="3">
        <v>4.0086826999999996</v>
      </c>
      <c r="BJ1268" s="3">
        <v>4.0087286999999998</v>
      </c>
      <c r="BK1268" s="3">
        <v>4.0091679999999998</v>
      </c>
      <c r="BL1268" s="3">
        <v>4.0099891999999997</v>
      </c>
      <c r="BM1268" s="3">
        <v>4.0223000000000004</v>
      </c>
      <c r="BN1268" s="3">
        <v>4.0454752999999997</v>
      </c>
    </row>
    <row r="1269" spans="1:66" x14ac:dyDescent="0.35">
      <c r="A1269" s="5">
        <f t="shared" si="19"/>
        <v>45231</v>
      </c>
      <c r="B1269" t="s">
        <v>2684</v>
      </c>
      <c r="C1269" s="2">
        <v>5.25</v>
      </c>
      <c r="D1269" s="2">
        <v>5.1864999999999997</v>
      </c>
      <c r="E1269" s="3">
        <v>5.2111479000000003</v>
      </c>
      <c r="F1269" s="3">
        <v>5.2428473000000002</v>
      </c>
      <c r="G1269" s="3">
        <v>5.2645343000000002</v>
      </c>
      <c r="H1269" s="3">
        <v>5.2704354999999996</v>
      </c>
      <c r="I1269" s="3">
        <v>5.2589148000000003</v>
      </c>
      <c r="J1269" s="3">
        <v>5.2316773000000003</v>
      </c>
      <c r="K1269" s="3">
        <v>5.1921520000000001</v>
      </c>
      <c r="L1269" s="3">
        <v>5.1448603999999998</v>
      </c>
      <c r="M1269" s="3">
        <v>5.0936146000000004</v>
      </c>
      <c r="N1269" s="3">
        <v>5.0409303000000003</v>
      </c>
      <c r="O1269" s="3">
        <v>4.9878689999999999</v>
      </c>
      <c r="P1269" s="3">
        <v>4.9344292999999997</v>
      </c>
      <c r="Q1269" s="3">
        <v>4.8792574000000002</v>
      </c>
      <c r="R1269" s="3">
        <v>4.8226089999999999</v>
      </c>
      <c r="S1269" s="3">
        <v>4.7653097000000004</v>
      </c>
      <c r="T1269" s="3">
        <v>4.7081828999999997</v>
      </c>
      <c r="U1269" s="3">
        <v>4.6520520000000003</v>
      </c>
      <c r="V1269" s="3">
        <v>4.5977423999999996</v>
      </c>
      <c r="W1269" s="3">
        <v>4.5459486</v>
      </c>
      <c r="X1269" s="3">
        <v>4.4968735000000004</v>
      </c>
      <c r="Y1269" s="3">
        <v>4.4506049000000001</v>
      </c>
      <c r="Z1269" s="3">
        <v>4.4072287000000001</v>
      </c>
      <c r="AA1269" s="3">
        <v>4.3668310999999997</v>
      </c>
      <c r="AB1269" s="3">
        <v>4.3294997000000004</v>
      </c>
      <c r="AC1269" s="3">
        <v>4.2952868000000004</v>
      </c>
      <c r="AD1269" s="3">
        <v>4.2640637000000003</v>
      </c>
      <c r="AE1269" s="3">
        <v>4.2356417999999998</v>
      </c>
      <c r="AF1269" s="3">
        <v>4.2098313999999997</v>
      </c>
      <c r="AG1269" s="3">
        <v>4.1864429999999997</v>
      </c>
      <c r="AH1269" s="3">
        <v>4.1652879</v>
      </c>
      <c r="AI1269" s="3">
        <v>4.1461762999999996</v>
      </c>
      <c r="AJ1269" s="3">
        <v>4.1289189000000004</v>
      </c>
      <c r="AK1269" s="3">
        <v>4.1133267</v>
      </c>
      <c r="AL1269" s="3">
        <v>4.0992103000000002</v>
      </c>
      <c r="AM1269" s="3">
        <v>4.0863801000000004</v>
      </c>
      <c r="AN1269" s="3">
        <v>4.0746471</v>
      </c>
      <c r="AO1269" s="3">
        <v>4.0638426000000001</v>
      </c>
      <c r="AP1269" s="3">
        <v>4.0538976</v>
      </c>
      <c r="AQ1269" s="3">
        <v>4.0447743000000003</v>
      </c>
      <c r="AR1269" s="3">
        <v>4.0364344000000001</v>
      </c>
      <c r="AS1269" s="3">
        <v>4.0288396000000004</v>
      </c>
      <c r="AT1269" s="3">
        <v>4.0219521</v>
      </c>
      <c r="AU1269" s="3">
        <v>4.0157334000000002</v>
      </c>
      <c r="AV1269" s="3">
        <v>4.0101455000000001</v>
      </c>
      <c r="AW1269" s="3">
        <v>4.0051503000000004</v>
      </c>
      <c r="AX1269" s="3">
        <v>4.0007095000000001</v>
      </c>
      <c r="AY1269" s="3">
        <v>3.996785</v>
      </c>
      <c r="AZ1269" s="3">
        <v>3.9933386999999998</v>
      </c>
      <c r="BA1269" s="3">
        <v>3.9903368000000001</v>
      </c>
      <c r="BB1269" s="3">
        <v>3.9877647000000001</v>
      </c>
      <c r="BC1269" s="3">
        <v>3.9856134000000001</v>
      </c>
      <c r="BD1269" s="3">
        <v>3.9838735999999999</v>
      </c>
      <c r="BE1269" s="3">
        <v>3.9825362000000002</v>
      </c>
      <c r="BF1269" s="3">
        <v>3.981592</v>
      </c>
      <c r="BG1269" s="3">
        <v>3.9810319000000001</v>
      </c>
      <c r="BH1269" s="3">
        <v>3.9808466999999998</v>
      </c>
      <c r="BI1269" s="3">
        <v>3.9810272000000002</v>
      </c>
      <c r="BJ1269" s="3">
        <v>3.9815643000000001</v>
      </c>
      <c r="BK1269" s="3">
        <v>3.9824487999999998</v>
      </c>
      <c r="BL1269" s="3">
        <v>3.9836714999999998</v>
      </c>
      <c r="BM1269" s="3">
        <v>3.9975474000000002</v>
      </c>
      <c r="BN1269" s="3">
        <v>4.0209821000000003</v>
      </c>
    </row>
    <row r="1270" spans="1:66" x14ac:dyDescent="0.35">
      <c r="A1270" s="5">
        <f t="shared" si="19"/>
        <v>45232</v>
      </c>
      <c r="B1270" t="s">
        <v>2686</v>
      </c>
      <c r="C1270" s="2">
        <v>5.25</v>
      </c>
      <c r="D1270" s="2">
        <v>5.1870000000000003</v>
      </c>
      <c r="E1270" s="3">
        <v>5.1940372999999997</v>
      </c>
      <c r="F1270" s="3">
        <v>5.2309697999999996</v>
      </c>
      <c r="G1270" s="3">
        <v>5.2542873999999999</v>
      </c>
      <c r="H1270" s="3">
        <v>5.2601893999999998</v>
      </c>
      <c r="I1270" s="3">
        <v>5.2475478000000004</v>
      </c>
      <c r="J1270" s="3">
        <v>5.2182316000000002</v>
      </c>
      <c r="K1270" s="3">
        <v>5.1754465999999999</v>
      </c>
      <c r="L1270" s="3">
        <v>5.1233452000000002</v>
      </c>
      <c r="M1270" s="3">
        <v>5.0655989000000003</v>
      </c>
      <c r="N1270" s="3">
        <v>5.0048298000000004</v>
      </c>
      <c r="O1270" s="3">
        <v>4.9423754999999998</v>
      </c>
      <c r="P1270" s="3">
        <v>4.8787165000000003</v>
      </c>
      <c r="Q1270" s="3">
        <v>4.8131275999999996</v>
      </c>
      <c r="R1270" s="3">
        <v>4.7461456999999996</v>
      </c>
      <c r="S1270" s="3">
        <v>4.6788606000000001</v>
      </c>
      <c r="T1270" s="3">
        <v>4.6123599000000004</v>
      </c>
      <c r="U1270" s="3">
        <v>4.5477312000000003</v>
      </c>
      <c r="V1270" s="3">
        <v>4.4860645000000003</v>
      </c>
      <c r="W1270" s="3">
        <v>4.4282402999999997</v>
      </c>
      <c r="X1270" s="3">
        <v>4.3743512000000004</v>
      </c>
      <c r="Y1270" s="3">
        <v>4.3243039999999997</v>
      </c>
      <c r="Z1270" s="3">
        <v>4.2780034999999996</v>
      </c>
      <c r="AA1270" s="3">
        <v>4.2353548999999999</v>
      </c>
      <c r="AB1270" s="3">
        <v>4.1962647000000004</v>
      </c>
      <c r="AC1270" s="3">
        <v>4.160622</v>
      </c>
      <c r="AD1270" s="3">
        <v>4.1282392000000003</v>
      </c>
      <c r="AE1270" s="3">
        <v>4.0989063999999997</v>
      </c>
      <c r="AF1270" s="3">
        <v>4.0724125000000004</v>
      </c>
      <c r="AG1270" s="3">
        <v>4.0485462999999999</v>
      </c>
      <c r="AH1270" s="3">
        <v>4.0270977999999999</v>
      </c>
      <c r="AI1270" s="3">
        <v>4.0078559</v>
      </c>
      <c r="AJ1270" s="3">
        <v>3.9906098000000001</v>
      </c>
      <c r="AK1270" s="3">
        <v>3.975149</v>
      </c>
      <c r="AL1270" s="3">
        <v>3.9612626</v>
      </c>
      <c r="AM1270" s="3">
        <v>3.9487397999999998</v>
      </c>
      <c r="AN1270" s="3">
        <v>3.9373700999999999</v>
      </c>
      <c r="AO1270" s="3">
        <v>3.9269683999999998</v>
      </c>
      <c r="AP1270" s="3">
        <v>3.9174633999999999</v>
      </c>
      <c r="AQ1270" s="3">
        <v>3.9088155000000002</v>
      </c>
      <c r="AR1270" s="3">
        <v>3.9009849000000001</v>
      </c>
      <c r="AS1270" s="3">
        <v>3.8939316000000002</v>
      </c>
      <c r="AT1270" s="3">
        <v>3.8876160999999998</v>
      </c>
      <c r="AU1270" s="3">
        <v>3.8819984999999999</v>
      </c>
      <c r="AV1270" s="3">
        <v>3.8770389000000001</v>
      </c>
      <c r="AW1270" s="3">
        <v>3.8726976</v>
      </c>
      <c r="AX1270" s="3">
        <v>3.8689347999999999</v>
      </c>
      <c r="AY1270" s="3">
        <v>3.8657107000000002</v>
      </c>
      <c r="AZ1270" s="3">
        <v>3.8629856</v>
      </c>
      <c r="BA1270" s="3">
        <v>3.8607235000000002</v>
      </c>
      <c r="BB1270" s="3">
        <v>3.8589058000000001</v>
      </c>
      <c r="BC1270" s="3">
        <v>3.8575187</v>
      </c>
      <c r="BD1270" s="3">
        <v>3.8565483</v>
      </c>
      <c r="BE1270" s="3">
        <v>3.8559808000000002</v>
      </c>
      <c r="BF1270" s="3">
        <v>3.8558024</v>
      </c>
      <c r="BG1270" s="3">
        <v>3.8559991</v>
      </c>
      <c r="BH1270" s="3">
        <v>3.8565572000000001</v>
      </c>
      <c r="BI1270" s="3">
        <v>3.8574628</v>
      </c>
      <c r="BJ1270" s="3">
        <v>3.8587020000000001</v>
      </c>
      <c r="BK1270" s="3">
        <v>3.8602609999999999</v>
      </c>
      <c r="BL1270" s="3">
        <v>3.8621259999999999</v>
      </c>
      <c r="BM1270" s="3">
        <v>3.8791533999999999</v>
      </c>
      <c r="BN1270" s="3">
        <v>3.9048604999999998</v>
      </c>
    </row>
    <row r="1271" spans="1:66" x14ac:dyDescent="0.35">
      <c r="A1271" s="5">
        <f t="shared" si="19"/>
        <v>45233</v>
      </c>
      <c r="B1271" t="s">
        <v>2688</v>
      </c>
      <c r="C1271" s="2">
        <v>5.25</v>
      </c>
      <c r="D1271" s="2">
        <v>5.1870000000000003</v>
      </c>
      <c r="E1271" s="3">
        <v>5.1963850999999996</v>
      </c>
      <c r="F1271" s="3">
        <v>5.2220535999999997</v>
      </c>
      <c r="G1271" s="3">
        <v>5.2391003999999999</v>
      </c>
      <c r="H1271" s="3">
        <v>5.2409217999999997</v>
      </c>
      <c r="I1271" s="3">
        <v>5.2243069999999996</v>
      </c>
      <c r="J1271" s="3">
        <v>5.1899856</v>
      </c>
      <c r="K1271" s="3">
        <v>5.1412259999999996</v>
      </c>
      <c r="L1271" s="3">
        <v>5.0826950000000002</v>
      </c>
      <c r="M1271" s="3">
        <v>5.0185462000000003</v>
      </c>
      <c r="N1271" s="3">
        <v>4.9515422999999998</v>
      </c>
      <c r="O1271" s="3">
        <v>4.8830673999999998</v>
      </c>
      <c r="P1271" s="3">
        <v>4.8134598000000004</v>
      </c>
      <c r="Q1271" s="3">
        <v>4.7417524000000002</v>
      </c>
      <c r="R1271" s="3">
        <v>4.6684846999999996</v>
      </c>
      <c r="S1271" s="3">
        <v>4.5947863</v>
      </c>
      <c r="T1271" s="3">
        <v>4.5217840000000002</v>
      </c>
      <c r="U1271" s="3">
        <v>4.4506047000000004</v>
      </c>
      <c r="V1271" s="3">
        <v>4.3823778000000004</v>
      </c>
      <c r="W1271" s="3">
        <v>4.3180909999999999</v>
      </c>
      <c r="X1271" s="3">
        <v>4.2580191000000003</v>
      </c>
      <c r="Y1271" s="3">
        <v>4.2022114000000004</v>
      </c>
      <c r="Z1271" s="3">
        <v>4.1507148000000003</v>
      </c>
      <c r="AA1271" s="3">
        <v>4.1035763000000003</v>
      </c>
      <c r="AB1271" s="3">
        <v>4.0608447999999999</v>
      </c>
      <c r="AC1271" s="3">
        <v>4.0225166000000003</v>
      </c>
      <c r="AD1271" s="3">
        <v>3.9883641999999999</v>
      </c>
      <c r="AE1271" s="3">
        <v>3.9580996000000002</v>
      </c>
      <c r="AF1271" s="3">
        <v>3.9314334</v>
      </c>
      <c r="AG1271" s="3">
        <v>3.9080764000000001</v>
      </c>
      <c r="AH1271" s="3">
        <v>3.8877402999999999</v>
      </c>
      <c r="AI1271" s="3">
        <v>3.870136</v>
      </c>
      <c r="AJ1271" s="3">
        <v>3.8549742</v>
      </c>
      <c r="AK1271" s="3">
        <v>3.8419666000000001</v>
      </c>
      <c r="AL1271" s="3">
        <v>3.8308238999999999</v>
      </c>
      <c r="AM1271" s="3">
        <v>3.8212573000000001</v>
      </c>
      <c r="AN1271" s="3">
        <v>3.8129778999999999</v>
      </c>
      <c r="AO1271" s="3">
        <v>3.8057311</v>
      </c>
      <c r="AP1271" s="3">
        <v>3.7994127999999998</v>
      </c>
      <c r="AQ1271" s="3">
        <v>3.7939609999999999</v>
      </c>
      <c r="AR1271" s="3">
        <v>3.7893135999999998</v>
      </c>
      <c r="AS1271" s="3">
        <v>3.7854082</v>
      </c>
      <c r="AT1271" s="3">
        <v>3.7821826999999999</v>
      </c>
      <c r="AU1271" s="3">
        <v>3.7795749999999999</v>
      </c>
      <c r="AV1271" s="3">
        <v>3.7775227</v>
      </c>
      <c r="AW1271" s="3">
        <v>3.7759638999999998</v>
      </c>
      <c r="AX1271" s="3">
        <v>3.7748362000000002</v>
      </c>
      <c r="AY1271" s="3">
        <v>3.7740775000000002</v>
      </c>
      <c r="AZ1271" s="3">
        <v>3.7736255999999999</v>
      </c>
      <c r="BA1271" s="3">
        <v>3.7734272999999998</v>
      </c>
      <c r="BB1271" s="3">
        <v>3.7734692999999999</v>
      </c>
      <c r="BC1271" s="3">
        <v>3.7737490999999999</v>
      </c>
      <c r="BD1271" s="3">
        <v>3.7742643</v>
      </c>
      <c r="BE1271" s="3">
        <v>3.7750126000000002</v>
      </c>
      <c r="BF1271" s="3">
        <v>3.7759914999999999</v>
      </c>
      <c r="BG1271" s="3">
        <v>3.7771987</v>
      </c>
      <c r="BH1271" s="3">
        <v>3.7786317</v>
      </c>
      <c r="BI1271" s="3">
        <v>3.7802882000000002</v>
      </c>
      <c r="BJ1271" s="3">
        <v>3.7821657000000002</v>
      </c>
      <c r="BK1271" s="3">
        <v>3.7842617999999999</v>
      </c>
      <c r="BL1271" s="3">
        <v>3.7865742</v>
      </c>
      <c r="BM1271" s="3">
        <v>3.8048384999999998</v>
      </c>
      <c r="BN1271" s="3">
        <v>3.8301786</v>
      </c>
    </row>
    <row r="1272" spans="1:66" x14ac:dyDescent="0.35">
      <c r="A1272" s="5">
        <f t="shared" si="19"/>
        <v>45236</v>
      </c>
      <c r="B1272" t="s">
        <v>2689</v>
      </c>
      <c r="C1272" s="2">
        <v>5.25</v>
      </c>
      <c r="D1272" s="2">
        <v>5.1867000000000001</v>
      </c>
      <c r="E1272" s="3">
        <v>5.1957291000000003</v>
      </c>
      <c r="F1272" s="3">
        <v>5.2242458000000003</v>
      </c>
      <c r="G1272" s="3">
        <v>5.2430161000000002</v>
      </c>
      <c r="H1272" s="3">
        <v>5.2461256000000001</v>
      </c>
      <c r="I1272" s="3">
        <v>5.2308735000000004</v>
      </c>
      <c r="J1272" s="3">
        <v>5.1972057999999999</v>
      </c>
      <c r="K1272" s="3">
        <v>5.1469357000000002</v>
      </c>
      <c r="L1272" s="3">
        <v>5.0839631000000001</v>
      </c>
      <c r="M1272" s="3">
        <v>5.0128572</v>
      </c>
      <c r="N1272" s="3">
        <v>4.9381795999999998</v>
      </c>
      <c r="O1272" s="3">
        <v>4.8633132000000003</v>
      </c>
      <c r="P1272" s="3">
        <v>4.7904558000000002</v>
      </c>
      <c r="Q1272" s="3">
        <v>4.7204414000000003</v>
      </c>
      <c r="R1272" s="3">
        <v>4.6533894</v>
      </c>
      <c r="S1272" s="3">
        <v>4.5893116000000003</v>
      </c>
      <c r="T1272" s="3">
        <v>4.5282173999999999</v>
      </c>
      <c r="U1272" s="3">
        <v>4.4701164000000002</v>
      </c>
      <c r="V1272" s="3">
        <v>4.4150201999999998</v>
      </c>
      <c r="W1272" s="3">
        <v>4.3629445999999996</v>
      </c>
      <c r="X1272" s="3">
        <v>4.3139298000000004</v>
      </c>
      <c r="Y1272" s="3">
        <v>4.2680233999999997</v>
      </c>
      <c r="Z1272" s="3">
        <v>4.2252711999999999</v>
      </c>
      <c r="AA1272" s="3">
        <v>4.1857192000000003</v>
      </c>
      <c r="AB1272" s="3">
        <v>4.1494149</v>
      </c>
      <c r="AC1272" s="3">
        <v>4.1163673000000003</v>
      </c>
      <c r="AD1272" s="3">
        <v>4.0864238000000004</v>
      </c>
      <c r="AE1272" s="3">
        <v>4.0593877000000003</v>
      </c>
      <c r="AF1272" s="3">
        <v>4.0350615000000003</v>
      </c>
      <c r="AG1272" s="3">
        <v>4.0132477</v>
      </c>
      <c r="AH1272" s="3">
        <v>3.9937496000000001</v>
      </c>
      <c r="AI1272" s="3">
        <v>3.9763695999999999</v>
      </c>
      <c r="AJ1272" s="3">
        <v>3.9609103000000001</v>
      </c>
      <c r="AK1272" s="3">
        <v>3.9471748999999998</v>
      </c>
      <c r="AL1272" s="3">
        <v>3.9349660000000002</v>
      </c>
      <c r="AM1272" s="3">
        <v>3.9240862000000001</v>
      </c>
      <c r="AN1272" s="3">
        <v>3.9143384000000001</v>
      </c>
      <c r="AO1272" s="3">
        <v>3.9055471000000002</v>
      </c>
      <c r="AP1272" s="3">
        <v>3.8976321</v>
      </c>
      <c r="AQ1272" s="3">
        <v>3.8905403999999999</v>
      </c>
      <c r="AR1272" s="3">
        <v>3.8842181</v>
      </c>
      <c r="AS1272" s="3">
        <v>3.8786117999999998</v>
      </c>
      <c r="AT1272" s="3">
        <v>3.8736682</v>
      </c>
      <c r="AU1272" s="3">
        <v>3.8693336</v>
      </c>
      <c r="AV1272" s="3">
        <v>3.8655545</v>
      </c>
      <c r="AW1272" s="3">
        <v>3.8622776000000001</v>
      </c>
      <c r="AX1272" s="3">
        <v>3.8594491999999998</v>
      </c>
      <c r="AY1272" s="3">
        <v>3.8570158999999999</v>
      </c>
      <c r="AZ1272" s="3">
        <v>3.8549243</v>
      </c>
      <c r="BA1272" s="3">
        <v>3.8531278000000002</v>
      </c>
      <c r="BB1272" s="3">
        <v>3.8516181999999999</v>
      </c>
      <c r="BC1272" s="3">
        <v>3.8503997999999999</v>
      </c>
      <c r="BD1272" s="3">
        <v>3.8494769999999998</v>
      </c>
      <c r="BE1272" s="3">
        <v>3.8488543000000002</v>
      </c>
      <c r="BF1272" s="3">
        <v>3.8485360000000002</v>
      </c>
      <c r="BG1272" s="3">
        <v>3.8485266</v>
      </c>
      <c r="BH1272" s="3">
        <v>3.8488304000000002</v>
      </c>
      <c r="BI1272" s="3">
        <v>3.8494519999999999</v>
      </c>
      <c r="BJ1272" s="3">
        <v>3.8503956000000001</v>
      </c>
      <c r="BK1272" s="3">
        <v>3.8516656999999999</v>
      </c>
      <c r="BL1272" s="3">
        <v>3.8532666999999998</v>
      </c>
      <c r="BM1272" s="3">
        <v>3.8696554999999999</v>
      </c>
      <c r="BN1272" s="3">
        <v>3.8965340999999998</v>
      </c>
    </row>
    <row r="1273" spans="1:66" x14ac:dyDescent="0.35">
      <c r="A1273" s="5">
        <f t="shared" si="19"/>
        <v>45237</v>
      </c>
      <c r="B1273" t="s">
        <v>2690</v>
      </c>
      <c r="C1273" s="2">
        <v>5.25</v>
      </c>
      <c r="D1273" s="2">
        <v>5.1863999999999999</v>
      </c>
      <c r="E1273" s="3">
        <v>5.1957456000000004</v>
      </c>
      <c r="F1273" s="3">
        <v>5.2146743999999998</v>
      </c>
      <c r="G1273" s="3">
        <v>5.2224003000000003</v>
      </c>
      <c r="H1273" s="3">
        <v>5.2120537000000002</v>
      </c>
      <c r="I1273" s="3">
        <v>5.1820161999999996</v>
      </c>
      <c r="J1273" s="3">
        <v>5.1346178</v>
      </c>
      <c r="K1273" s="3">
        <v>5.0745778000000001</v>
      </c>
      <c r="L1273" s="3">
        <v>5.0078490000000002</v>
      </c>
      <c r="M1273" s="3">
        <v>4.9389209000000003</v>
      </c>
      <c r="N1273" s="3">
        <v>4.8704859999999996</v>
      </c>
      <c r="O1273" s="3">
        <v>4.8035791999999997</v>
      </c>
      <c r="P1273" s="3">
        <v>4.7382198000000004</v>
      </c>
      <c r="Q1273" s="3">
        <v>4.6730846000000001</v>
      </c>
      <c r="R1273" s="3">
        <v>4.6083078000000004</v>
      </c>
      <c r="S1273" s="3">
        <v>4.5445492999999999</v>
      </c>
      <c r="T1273" s="3">
        <v>4.4824666000000004</v>
      </c>
      <c r="U1273" s="3">
        <v>4.4227175000000001</v>
      </c>
      <c r="V1273" s="3">
        <v>4.3659618</v>
      </c>
      <c r="W1273" s="3">
        <v>4.3127238999999999</v>
      </c>
      <c r="X1273" s="3">
        <v>4.2630207999999996</v>
      </c>
      <c r="Y1273" s="3">
        <v>4.2167507000000004</v>
      </c>
      <c r="Z1273" s="3">
        <v>4.1738097999999999</v>
      </c>
      <c r="AA1273" s="3">
        <v>4.1340946000000001</v>
      </c>
      <c r="AB1273" s="3">
        <v>4.0975029000000003</v>
      </c>
      <c r="AC1273" s="3">
        <v>4.0639199000000001</v>
      </c>
      <c r="AD1273" s="3">
        <v>4.0331808999999996</v>
      </c>
      <c r="AE1273" s="3">
        <v>4.0051082999999998</v>
      </c>
      <c r="AF1273" s="3">
        <v>3.9795237999999999</v>
      </c>
      <c r="AG1273" s="3">
        <v>3.9562488999999998</v>
      </c>
      <c r="AH1273" s="3">
        <v>3.9351060000000002</v>
      </c>
      <c r="AI1273" s="3">
        <v>3.9159168000000002</v>
      </c>
      <c r="AJ1273" s="3">
        <v>3.8985026999999999</v>
      </c>
      <c r="AK1273" s="3">
        <v>3.8826863</v>
      </c>
      <c r="AL1273" s="3">
        <v>3.8682889999999999</v>
      </c>
      <c r="AM1273" s="3">
        <v>3.8551326000000001</v>
      </c>
      <c r="AN1273" s="3">
        <v>3.8430393</v>
      </c>
      <c r="AO1273" s="3">
        <v>3.8318482</v>
      </c>
      <c r="AP1273" s="3">
        <v>3.8214929999999998</v>
      </c>
      <c r="AQ1273" s="3">
        <v>3.8119390000000002</v>
      </c>
      <c r="AR1273" s="3">
        <v>3.8031516000000001</v>
      </c>
      <c r="AS1273" s="3">
        <v>3.7950957000000001</v>
      </c>
      <c r="AT1273" s="3">
        <v>3.7877369999999999</v>
      </c>
      <c r="AU1273" s="3">
        <v>3.7810405</v>
      </c>
      <c r="AV1273" s="3">
        <v>3.7749714999999999</v>
      </c>
      <c r="AW1273" s="3">
        <v>3.7694955000000001</v>
      </c>
      <c r="AX1273" s="3">
        <v>3.7645775000000001</v>
      </c>
      <c r="AY1273" s="3">
        <v>3.7601827999999999</v>
      </c>
      <c r="AZ1273" s="3">
        <v>3.7562769</v>
      </c>
      <c r="BA1273" s="3">
        <v>3.7528283999999998</v>
      </c>
      <c r="BB1273" s="3">
        <v>3.7498231</v>
      </c>
      <c r="BC1273" s="3">
        <v>3.7472522000000001</v>
      </c>
      <c r="BD1273" s="3">
        <v>3.7451064999999999</v>
      </c>
      <c r="BE1273" s="3">
        <v>3.7433771999999998</v>
      </c>
      <c r="BF1273" s="3">
        <v>3.7420551999999998</v>
      </c>
      <c r="BG1273" s="3">
        <v>3.7411316000000001</v>
      </c>
      <c r="BH1273" s="3">
        <v>3.7405973000000001</v>
      </c>
      <c r="BI1273" s="3">
        <v>3.7404435</v>
      </c>
      <c r="BJ1273" s="3">
        <v>3.7406611000000001</v>
      </c>
      <c r="BK1273" s="3">
        <v>3.7412412000000002</v>
      </c>
      <c r="BL1273" s="3">
        <v>3.7421747999999999</v>
      </c>
      <c r="BM1273" s="3">
        <v>3.754712</v>
      </c>
      <c r="BN1273" s="3">
        <v>3.7778075000000002</v>
      </c>
    </row>
    <row r="1274" spans="1:66" x14ac:dyDescent="0.35">
      <c r="A1274" s="5">
        <f t="shared" si="19"/>
        <v>45238</v>
      </c>
      <c r="B1274" t="s">
        <v>2691</v>
      </c>
      <c r="C1274" s="2">
        <v>5.25</v>
      </c>
      <c r="D1274" s="2">
        <v>5.1866000000000003</v>
      </c>
      <c r="E1274" s="3">
        <v>5.1975255999999996</v>
      </c>
      <c r="F1274" s="3">
        <v>5.2245942999999997</v>
      </c>
      <c r="G1274" s="3">
        <v>5.2403608999999998</v>
      </c>
      <c r="H1274" s="3">
        <v>5.2369532000000003</v>
      </c>
      <c r="I1274" s="3">
        <v>5.211703</v>
      </c>
      <c r="J1274" s="3">
        <v>5.1663183999999998</v>
      </c>
      <c r="K1274" s="3">
        <v>5.1062447999999998</v>
      </c>
      <c r="L1274" s="3">
        <v>5.0382471000000004</v>
      </c>
      <c r="M1274" s="3">
        <v>4.9677325999999997</v>
      </c>
      <c r="N1274" s="3">
        <v>4.8977785999999996</v>
      </c>
      <c r="O1274" s="3">
        <v>4.8294915999999999</v>
      </c>
      <c r="P1274" s="3">
        <v>4.7627680999999997</v>
      </c>
      <c r="Q1274" s="3">
        <v>4.6960312000000002</v>
      </c>
      <c r="R1274" s="3">
        <v>4.6293230000000003</v>
      </c>
      <c r="S1274" s="3">
        <v>4.5632666999999998</v>
      </c>
      <c r="T1274" s="3">
        <v>4.4984831999999999</v>
      </c>
      <c r="U1274" s="3">
        <v>4.4355932999999999</v>
      </c>
      <c r="V1274" s="3">
        <v>4.3752202999999996</v>
      </c>
      <c r="W1274" s="3">
        <v>4.3178903000000002</v>
      </c>
      <c r="X1274" s="3">
        <v>4.2637685000000003</v>
      </c>
      <c r="Y1274" s="3">
        <v>4.2129363</v>
      </c>
      <c r="Z1274" s="3">
        <v>4.1654730999999998</v>
      </c>
      <c r="AA1274" s="3">
        <v>4.1214585000000001</v>
      </c>
      <c r="AB1274" s="3">
        <v>4.0809734999999998</v>
      </c>
      <c r="AC1274" s="3">
        <v>4.0440598000000003</v>
      </c>
      <c r="AD1274" s="3">
        <v>4.0105559</v>
      </c>
      <c r="AE1274" s="3">
        <v>3.9802330000000001</v>
      </c>
      <c r="AF1274" s="3">
        <v>3.9528612000000001</v>
      </c>
      <c r="AG1274" s="3">
        <v>3.9282108</v>
      </c>
      <c r="AH1274" s="3">
        <v>3.9060527999999999</v>
      </c>
      <c r="AI1274" s="3">
        <v>3.8861574000000001</v>
      </c>
      <c r="AJ1274" s="3">
        <v>3.8682948000000001</v>
      </c>
      <c r="AK1274" s="3">
        <v>3.852236</v>
      </c>
      <c r="AL1274" s="3">
        <v>3.8377512</v>
      </c>
      <c r="AM1274" s="3">
        <v>3.8246107999999999</v>
      </c>
      <c r="AN1274" s="3">
        <v>3.8125855999999998</v>
      </c>
      <c r="AO1274" s="3">
        <v>3.8014708000000001</v>
      </c>
      <c r="AP1274" s="3">
        <v>3.7911834999999998</v>
      </c>
      <c r="AQ1274" s="3">
        <v>3.7816781000000002</v>
      </c>
      <c r="AR1274" s="3">
        <v>3.7729086000000001</v>
      </c>
      <c r="AS1274" s="3">
        <v>3.7648291</v>
      </c>
      <c r="AT1274" s="3">
        <v>3.7573940000000001</v>
      </c>
      <c r="AU1274" s="3">
        <v>3.7505571999999998</v>
      </c>
      <c r="AV1274" s="3">
        <v>3.7442730000000002</v>
      </c>
      <c r="AW1274" s="3">
        <v>3.7384957000000001</v>
      </c>
      <c r="AX1274" s="3">
        <v>3.7331791999999999</v>
      </c>
      <c r="AY1274" s="3">
        <v>3.7282777999999999</v>
      </c>
      <c r="AZ1274" s="3">
        <v>3.7237458000000001</v>
      </c>
      <c r="BA1274" s="3">
        <v>3.7195442000000001</v>
      </c>
      <c r="BB1274" s="3">
        <v>3.7156652000000001</v>
      </c>
      <c r="BC1274" s="3">
        <v>3.7121095999999998</v>
      </c>
      <c r="BD1274" s="3">
        <v>3.7088782</v>
      </c>
      <c r="BE1274" s="3">
        <v>3.7059715</v>
      </c>
      <c r="BF1274" s="3">
        <v>3.7033904999999998</v>
      </c>
      <c r="BG1274" s="3">
        <v>3.7011357999999999</v>
      </c>
      <c r="BH1274" s="3">
        <v>3.6992080999999999</v>
      </c>
      <c r="BI1274" s="3">
        <v>3.6976081999999999</v>
      </c>
      <c r="BJ1274" s="3">
        <v>3.6963368000000001</v>
      </c>
      <c r="BK1274" s="3">
        <v>3.6953946000000002</v>
      </c>
      <c r="BL1274" s="3">
        <v>3.6947823999999998</v>
      </c>
      <c r="BM1274" s="3">
        <v>3.6978278000000002</v>
      </c>
      <c r="BN1274" s="3">
        <v>3.7113906000000001</v>
      </c>
    </row>
    <row r="1275" spans="1:66" x14ac:dyDescent="0.35">
      <c r="A1275" s="5">
        <f t="shared" si="19"/>
        <v>45239</v>
      </c>
      <c r="B1275" t="s">
        <v>2692</v>
      </c>
      <c r="C1275" s="2">
        <v>5.25</v>
      </c>
      <c r="D1275" s="2">
        <v>5.1866000000000003</v>
      </c>
      <c r="E1275" s="3">
        <v>5.1946408000000002</v>
      </c>
      <c r="F1275" s="3">
        <v>5.2179555999999998</v>
      </c>
      <c r="G1275" s="3">
        <v>5.2299625000000001</v>
      </c>
      <c r="H1275" s="3">
        <v>5.2235497999999998</v>
      </c>
      <c r="I1275" s="3">
        <v>5.1962304000000001</v>
      </c>
      <c r="J1275" s="3">
        <v>5.1506654999999997</v>
      </c>
      <c r="K1275" s="3">
        <v>5.0922023000000003</v>
      </c>
      <c r="L1275" s="3">
        <v>5.0270124999999997</v>
      </c>
      <c r="M1275" s="3">
        <v>4.9595476999999999</v>
      </c>
      <c r="N1275" s="3">
        <v>4.8922672</v>
      </c>
      <c r="O1275" s="3">
        <v>4.8260360000000002</v>
      </c>
      <c r="P1275" s="3">
        <v>4.7606278</v>
      </c>
      <c r="Q1275" s="3">
        <v>4.6940508999999997</v>
      </c>
      <c r="R1275" s="3">
        <v>4.6264158000000002</v>
      </c>
      <c r="S1275" s="3">
        <v>4.5587321000000003</v>
      </c>
      <c r="T1275" s="3">
        <v>4.4920077999999997</v>
      </c>
      <c r="U1275" s="3">
        <v>4.4272507000000001</v>
      </c>
      <c r="V1275" s="3">
        <v>4.3654710999999997</v>
      </c>
      <c r="W1275" s="3">
        <v>4.3074899000000002</v>
      </c>
      <c r="X1275" s="3">
        <v>4.2534162000000002</v>
      </c>
      <c r="Y1275" s="3">
        <v>4.2031913999999997</v>
      </c>
      <c r="Z1275" s="3">
        <v>4.1567550000000004</v>
      </c>
      <c r="AA1275" s="3">
        <v>4.1140469</v>
      </c>
      <c r="AB1275" s="3">
        <v>4.0750082000000001</v>
      </c>
      <c r="AC1275" s="3">
        <v>4.0395561000000004</v>
      </c>
      <c r="AD1275" s="3">
        <v>4.0074978000000003</v>
      </c>
      <c r="AE1275" s="3">
        <v>3.9786085999999998</v>
      </c>
      <c r="AF1275" s="3">
        <v>3.9526623000000001</v>
      </c>
      <c r="AG1275" s="3">
        <v>3.9294327999999998</v>
      </c>
      <c r="AH1275" s="3">
        <v>3.9086951000000001</v>
      </c>
      <c r="AI1275" s="3">
        <v>3.8902230000000002</v>
      </c>
      <c r="AJ1275" s="3">
        <v>3.8737908000000001</v>
      </c>
      <c r="AK1275" s="3">
        <v>3.8591731</v>
      </c>
      <c r="AL1275" s="3">
        <v>3.8461439999999998</v>
      </c>
      <c r="AM1275" s="3">
        <v>3.8344776</v>
      </c>
      <c r="AN1275" s="3">
        <v>3.8239483999999999</v>
      </c>
      <c r="AO1275" s="3">
        <v>3.8143577999999998</v>
      </c>
      <c r="AP1275" s="3">
        <v>3.8056266000000001</v>
      </c>
      <c r="AQ1275" s="3">
        <v>3.7977091000000001</v>
      </c>
      <c r="AR1275" s="3">
        <v>3.790559</v>
      </c>
      <c r="AS1275" s="3">
        <v>3.7841304</v>
      </c>
      <c r="AT1275" s="3">
        <v>3.7783774000000001</v>
      </c>
      <c r="AU1275" s="3">
        <v>3.7732538999999998</v>
      </c>
      <c r="AV1275" s="3">
        <v>3.7687138999999998</v>
      </c>
      <c r="AW1275" s="3">
        <v>3.7647115000000002</v>
      </c>
      <c r="AX1275" s="3">
        <v>3.7612006999999998</v>
      </c>
      <c r="AY1275" s="3">
        <v>3.7581353000000002</v>
      </c>
      <c r="AZ1275" s="3">
        <v>3.7554694999999998</v>
      </c>
      <c r="BA1275" s="3">
        <v>3.7531631000000001</v>
      </c>
      <c r="BB1275" s="3">
        <v>3.7512015000000001</v>
      </c>
      <c r="BC1275" s="3">
        <v>3.7495772999999999</v>
      </c>
      <c r="BD1275" s="3">
        <v>3.7482829999999998</v>
      </c>
      <c r="BE1275" s="3">
        <v>3.7473112999999998</v>
      </c>
      <c r="BF1275" s="3">
        <v>3.7466547000000001</v>
      </c>
      <c r="BG1275" s="3">
        <v>3.7463057000000002</v>
      </c>
      <c r="BH1275" s="3">
        <v>3.7462569000000001</v>
      </c>
      <c r="BI1275" s="3">
        <v>3.7465009</v>
      </c>
      <c r="BJ1275" s="3">
        <v>3.7470302000000002</v>
      </c>
      <c r="BK1275" s="3">
        <v>3.7478373999999999</v>
      </c>
      <c r="BL1275" s="3">
        <v>3.7489151000000001</v>
      </c>
      <c r="BM1275" s="3">
        <v>3.7607539000000001</v>
      </c>
      <c r="BN1275" s="3">
        <v>3.7811281999999999</v>
      </c>
    </row>
    <row r="1276" spans="1:66" x14ac:dyDescent="0.35">
      <c r="A1276" s="5">
        <f t="shared" si="19"/>
        <v>45240</v>
      </c>
      <c r="B1276" t="s">
        <v>2693</v>
      </c>
      <c r="C1276" s="2">
        <v>5.25</v>
      </c>
      <c r="D1276" s="2">
        <v>5.1868999999999996</v>
      </c>
      <c r="E1276" s="3">
        <v>5.1962845</v>
      </c>
      <c r="F1276" s="3">
        <v>5.2185921000000004</v>
      </c>
      <c r="G1276" s="3">
        <v>5.2302977000000004</v>
      </c>
      <c r="H1276" s="3">
        <v>5.22431</v>
      </c>
      <c r="I1276" s="3">
        <v>5.1988265</v>
      </c>
      <c r="J1276" s="3">
        <v>5.1565893000000003</v>
      </c>
      <c r="K1276" s="3">
        <v>5.1027190999999998</v>
      </c>
      <c r="L1276" s="3">
        <v>5.0429712999999996</v>
      </c>
      <c r="M1276" s="3">
        <v>4.9815567999999999</v>
      </c>
      <c r="N1276" s="3">
        <v>4.9207974999999999</v>
      </c>
      <c r="O1276" s="3">
        <v>4.8613990999999999</v>
      </c>
      <c r="P1276" s="3">
        <v>4.8030727000000004</v>
      </c>
      <c r="Q1276" s="3">
        <v>4.7440572000000003</v>
      </c>
      <c r="R1276" s="3">
        <v>4.6843605999999998</v>
      </c>
      <c r="S1276" s="3">
        <v>4.6246824000000002</v>
      </c>
      <c r="T1276" s="3">
        <v>4.5657202000000003</v>
      </c>
      <c r="U1276" s="3">
        <v>4.5081714000000002</v>
      </c>
      <c r="V1276" s="3">
        <v>4.4527356999999999</v>
      </c>
      <c r="W1276" s="3">
        <v>4.4000199000000002</v>
      </c>
      <c r="X1276" s="3">
        <v>4.3502103999999999</v>
      </c>
      <c r="Y1276" s="3">
        <v>4.3033738000000001</v>
      </c>
      <c r="Z1276" s="3">
        <v>4.2595745000000003</v>
      </c>
      <c r="AA1276" s="3">
        <v>4.2188771999999997</v>
      </c>
      <c r="AB1276" s="3">
        <v>4.1813482000000004</v>
      </c>
      <c r="AC1276" s="3">
        <v>4.1470117999999996</v>
      </c>
      <c r="AD1276" s="3">
        <v>4.1157145000000002</v>
      </c>
      <c r="AE1276" s="3">
        <v>4.0872549999999999</v>
      </c>
      <c r="AF1276" s="3">
        <v>4.0614308000000001</v>
      </c>
      <c r="AG1276" s="3">
        <v>4.0380393999999997</v>
      </c>
      <c r="AH1276" s="3">
        <v>4.0168793000000003</v>
      </c>
      <c r="AI1276" s="3">
        <v>3.9977480000000001</v>
      </c>
      <c r="AJ1276" s="3">
        <v>3.9804431</v>
      </c>
      <c r="AK1276" s="3">
        <v>3.9647630999999999</v>
      </c>
      <c r="AL1276" s="3">
        <v>3.9505053999999999</v>
      </c>
      <c r="AM1276" s="3">
        <v>3.9374677999999999</v>
      </c>
      <c r="AN1276" s="3">
        <v>3.9254484999999999</v>
      </c>
      <c r="AO1276" s="3">
        <v>3.9142693999999998</v>
      </c>
      <c r="AP1276" s="3">
        <v>3.9038599999999999</v>
      </c>
      <c r="AQ1276" s="3">
        <v>3.8941794999999999</v>
      </c>
      <c r="AR1276" s="3">
        <v>3.8851868999999999</v>
      </c>
      <c r="AS1276" s="3">
        <v>3.8768411999999999</v>
      </c>
      <c r="AT1276" s="3">
        <v>3.8691016999999999</v>
      </c>
      <c r="AU1276" s="3">
        <v>3.8619271999999998</v>
      </c>
      <c r="AV1276" s="3">
        <v>3.8552770000000001</v>
      </c>
      <c r="AW1276" s="3">
        <v>3.8491100999999999</v>
      </c>
      <c r="AX1276" s="3">
        <v>3.8433855000000001</v>
      </c>
      <c r="AY1276" s="3">
        <v>3.8380624000000001</v>
      </c>
      <c r="AZ1276" s="3">
        <v>3.8330999000000001</v>
      </c>
      <c r="BA1276" s="3">
        <v>3.8284631999999998</v>
      </c>
      <c r="BB1276" s="3">
        <v>3.8241456999999999</v>
      </c>
      <c r="BC1276" s="3">
        <v>3.8201483999999999</v>
      </c>
      <c r="BD1276" s="3">
        <v>3.8164722000000002</v>
      </c>
      <c r="BE1276" s="3">
        <v>3.8131178999999999</v>
      </c>
      <c r="BF1276" s="3">
        <v>3.8100866</v>
      </c>
      <c r="BG1276" s="3">
        <v>3.8073790999999999</v>
      </c>
      <c r="BH1276" s="3">
        <v>3.8049965000000001</v>
      </c>
      <c r="BI1276" s="3">
        <v>3.8029397</v>
      </c>
      <c r="BJ1276" s="3">
        <v>3.8012095000000001</v>
      </c>
      <c r="BK1276" s="3">
        <v>3.7998069999999999</v>
      </c>
      <c r="BL1276" s="3">
        <v>3.7987331000000002</v>
      </c>
      <c r="BM1276" s="3">
        <v>3.7991025</v>
      </c>
      <c r="BN1276" s="3">
        <v>3.8106768999999998</v>
      </c>
    </row>
    <row r="1277" spans="1:66" x14ac:dyDescent="0.35">
      <c r="A1277" s="5">
        <f t="shared" si="19"/>
        <v>45243</v>
      </c>
      <c r="B1277" t="s">
        <v>2694</v>
      </c>
      <c r="C1277" s="2">
        <v>5.25</v>
      </c>
      <c r="D1277" s="2">
        <v>5.1867000000000001</v>
      </c>
      <c r="E1277" s="3">
        <v>5.1978396</v>
      </c>
      <c r="F1277" s="3">
        <v>5.2201180000000003</v>
      </c>
      <c r="G1277" s="3">
        <v>5.2305989999999998</v>
      </c>
      <c r="H1277" s="3">
        <v>5.2226897000000001</v>
      </c>
      <c r="I1277" s="3">
        <v>5.1955429000000004</v>
      </c>
      <c r="J1277" s="3">
        <v>5.1519224000000001</v>
      </c>
      <c r="K1277" s="3">
        <v>5.0965077000000001</v>
      </c>
      <c r="L1277" s="3">
        <v>5.0349386999999997</v>
      </c>
      <c r="M1277" s="3">
        <v>4.9715030999999996</v>
      </c>
      <c r="N1277" s="3">
        <v>4.9088019999999997</v>
      </c>
      <c r="O1277" s="3">
        <v>4.8480205999999999</v>
      </c>
      <c r="P1277" s="3">
        <v>4.7892900999999997</v>
      </c>
      <c r="Q1277" s="3">
        <v>4.7315301999999999</v>
      </c>
      <c r="R1277" s="3">
        <v>4.6746759000000004</v>
      </c>
      <c r="S1277" s="3">
        <v>4.6190556000000003</v>
      </c>
      <c r="T1277" s="3">
        <v>4.5649953999999999</v>
      </c>
      <c r="U1277" s="3">
        <v>4.5128216999999999</v>
      </c>
      <c r="V1277" s="3">
        <v>4.4628626999999996</v>
      </c>
      <c r="W1277" s="3">
        <v>4.4153826</v>
      </c>
      <c r="X1277" s="3">
        <v>4.3704096000000003</v>
      </c>
      <c r="Y1277" s="3">
        <v>4.3279167999999997</v>
      </c>
      <c r="Z1277" s="3">
        <v>4.2878762000000004</v>
      </c>
      <c r="AA1277" s="3">
        <v>4.2502595000000003</v>
      </c>
      <c r="AB1277" s="3">
        <v>4.2150401000000004</v>
      </c>
      <c r="AC1277" s="3">
        <v>4.1821738000000002</v>
      </c>
      <c r="AD1277" s="3">
        <v>4.1515469999999999</v>
      </c>
      <c r="AE1277" s="3">
        <v>4.1230276000000003</v>
      </c>
      <c r="AF1277" s="3">
        <v>4.0964824999999996</v>
      </c>
      <c r="AG1277" s="3">
        <v>4.0717787000000003</v>
      </c>
      <c r="AH1277" s="3">
        <v>4.0487840000000004</v>
      </c>
      <c r="AI1277" s="3">
        <v>4.0273655000000002</v>
      </c>
      <c r="AJ1277" s="3">
        <v>4.00739</v>
      </c>
      <c r="AK1277" s="3">
        <v>3.9887255000000001</v>
      </c>
      <c r="AL1277" s="3">
        <v>3.9712388000000001</v>
      </c>
      <c r="AM1277" s="3">
        <v>3.9547971</v>
      </c>
      <c r="AN1277" s="3">
        <v>3.9392681000000001</v>
      </c>
      <c r="AO1277" s="3">
        <v>3.9245355000000002</v>
      </c>
      <c r="AP1277" s="3">
        <v>3.9105574000000001</v>
      </c>
      <c r="AQ1277" s="3">
        <v>3.8973127000000001</v>
      </c>
      <c r="AR1277" s="3">
        <v>3.8847798</v>
      </c>
      <c r="AS1277" s="3">
        <v>3.8729372</v>
      </c>
      <c r="AT1277" s="3">
        <v>3.8617637999999999</v>
      </c>
      <c r="AU1277" s="3">
        <v>3.8512379000000001</v>
      </c>
      <c r="AV1277" s="3">
        <v>3.8413382</v>
      </c>
      <c r="AW1277" s="3">
        <v>3.8320433999999999</v>
      </c>
      <c r="AX1277" s="3">
        <v>3.8233320000000002</v>
      </c>
      <c r="AY1277" s="3">
        <v>3.8151823999999999</v>
      </c>
      <c r="AZ1277" s="3">
        <v>3.8075736</v>
      </c>
      <c r="BA1277" s="3">
        <v>3.8004861000000001</v>
      </c>
      <c r="BB1277" s="3">
        <v>3.7939115000000001</v>
      </c>
      <c r="BC1277" s="3">
        <v>3.7878455999999998</v>
      </c>
      <c r="BD1277" s="3">
        <v>3.7822838000000001</v>
      </c>
      <c r="BE1277" s="3">
        <v>3.7772215999999998</v>
      </c>
      <c r="BF1277" s="3">
        <v>3.7726546999999999</v>
      </c>
      <c r="BG1277" s="3">
        <v>3.7685784999999998</v>
      </c>
      <c r="BH1277" s="3">
        <v>3.7649886000000001</v>
      </c>
      <c r="BI1277" s="3">
        <v>3.7618806</v>
      </c>
      <c r="BJ1277" s="3">
        <v>3.7592498000000001</v>
      </c>
      <c r="BK1277" s="3">
        <v>3.7570920000000001</v>
      </c>
      <c r="BL1277" s="3">
        <v>3.7554026</v>
      </c>
      <c r="BM1277" s="3">
        <v>3.7545951999999998</v>
      </c>
      <c r="BN1277" s="3">
        <v>3.7679421</v>
      </c>
    </row>
    <row r="1278" spans="1:66" x14ac:dyDescent="0.35">
      <c r="A1278" s="5">
        <f t="shared" si="19"/>
        <v>45244</v>
      </c>
      <c r="B1278" t="s">
        <v>2695</v>
      </c>
      <c r="C1278" s="2">
        <v>5.25</v>
      </c>
      <c r="D1278" s="2">
        <v>5.1871999999999998</v>
      </c>
      <c r="E1278" s="3">
        <v>5.1968021999999996</v>
      </c>
      <c r="F1278" s="3">
        <v>5.2135382999999997</v>
      </c>
      <c r="G1278" s="3">
        <v>5.216259</v>
      </c>
      <c r="H1278" s="3">
        <v>5.1976703000000004</v>
      </c>
      <c r="I1278" s="3">
        <v>5.1578263</v>
      </c>
      <c r="J1278" s="3">
        <v>5.1006564000000001</v>
      </c>
      <c r="K1278" s="3">
        <v>5.0315574999999999</v>
      </c>
      <c r="L1278" s="3">
        <v>4.9565678999999996</v>
      </c>
      <c r="M1278" s="3">
        <v>4.8800765000000004</v>
      </c>
      <c r="N1278" s="3">
        <v>4.8046655999999999</v>
      </c>
      <c r="O1278" s="3">
        <v>4.7315247999999999</v>
      </c>
      <c r="P1278" s="3">
        <v>4.6610367999999998</v>
      </c>
      <c r="Q1278" s="3">
        <v>4.5924386999999998</v>
      </c>
      <c r="R1278" s="3">
        <v>4.5257608999999999</v>
      </c>
      <c r="S1278" s="3">
        <v>4.4613516000000004</v>
      </c>
      <c r="T1278" s="3">
        <v>4.3995566999999998</v>
      </c>
      <c r="U1278" s="3">
        <v>4.3407220999999998</v>
      </c>
      <c r="V1278" s="3">
        <v>4.2851958999999997</v>
      </c>
      <c r="W1278" s="3">
        <v>4.2332384999999997</v>
      </c>
      <c r="X1278" s="3">
        <v>4.1847855999999997</v>
      </c>
      <c r="Y1278" s="3">
        <v>4.1396972999999999</v>
      </c>
      <c r="Z1278" s="3">
        <v>4.0978319000000001</v>
      </c>
      <c r="AA1278" s="3">
        <v>4.0590478000000001</v>
      </c>
      <c r="AB1278" s="3">
        <v>4.0232047</v>
      </c>
      <c r="AC1278" s="3">
        <v>3.9901564999999999</v>
      </c>
      <c r="AD1278" s="3">
        <v>3.9597364000000002</v>
      </c>
      <c r="AE1278" s="3">
        <v>3.9317730000000002</v>
      </c>
      <c r="AF1278" s="3">
        <v>3.9060939000000001</v>
      </c>
      <c r="AG1278" s="3">
        <v>3.8825267999999999</v>
      </c>
      <c r="AH1278" s="3">
        <v>3.8609000999999998</v>
      </c>
      <c r="AI1278" s="3">
        <v>3.8410416000000001</v>
      </c>
      <c r="AJ1278" s="3">
        <v>3.8227788999999999</v>
      </c>
      <c r="AK1278" s="3">
        <v>3.8059403999999999</v>
      </c>
      <c r="AL1278" s="3">
        <v>3.7903536999999998</v>
      </c>
      <c r="AM1278" s="3">
        <v>3.7758468000000001</v>
      </c>
      <c r="AN1278" s="3">
        <v>3.7622477999999999</v>
      </c>
      <c r="AO1278" s="3">
        <v>3.7494027999999999</v>
      </c>
      <c r="AP1278" s="3">
        <v>3.7372562999999999</v>
      </c>
      <c r="AQ1278" s="3">
        <v>3.7257863000000002</v>
      </c>
      <c r="AR1278" s="3">
        <v>3.7149705000000002</v>
      </c>
      <c r="AS1278" s="3">
        <v>3.7047864000000001</v>
      </c>
      <c r="AT1278" s="3">
        <v>3.6952120000000002</v>
      </c>
      <c r="AU1278" s="3">
        <v>3.6862249</v>
      </c>
      <c r="AV1278" s="3">
        <v>3.6778027</v>
      </c>
      <c r="AW1278" s="3">
        <v>3.6699234000000001</v>
      </c>
      <c r="AX1278" s="3">
        <v>3.6625646000000001</v>
      </c>
      <c r="AY1278" s="3">
        <v>3.6557038999999998</v>
      </c>
      <c r="AZ1278" s="3">
        <v>3.6493191999999999</v>
      </c>
      <c r="BA1278" s="3">
        <v>3.6433909999999998</v>
      </c>
      <c r="BB1278" s="3">
        <v>3.6379125999999999</v>
      </c>
      <c r="BC1278" s="3">
        <v>3.6328819000000001</v>
      </c>
      <c r="BD1278" s="3">
        <v>3.6282964</v>
      </c>
      <c r="BE1278" s="3">
        <v>3.6241536000000001</v>
      </c>
      <c r="BF1278" s="3">
        <v>3.6204512000000002</v>
      </c>
      <c r="BG1278" s="3">
        <v>3.6171869000000001</v>
      </c>
      <c r="BH1278" s="3">
        <v>3.6143581</v>
      </c>
      <c r="BI1278" s="3">
        <v>3.6119625000000002</v>
      </c>
      <c r="BJ1278" s="3">
        <v>3.6099977000000001</v>
      </c>
      <c r="BK1278" s="3">
        <v>3.6084613000000001</v>
      </c>
      <c r="BL1278" s="3">
        <v>3.607351</v>
      </c>
      <c r="BM1278" s="3">
        <v>3.6091620999999998</v>
      </c>
      <c r="BN1278" s="3">
        <v>3.6236288999999999</v>
      </c>
    </row>
    <row r="1279" spans="1:66" x14ac:dyDescent="0.35">
      <c r="A1279" s="5">
        <f t="shared" si="19"/>
        <v>45245</v>
      </c>
      <c r="B1279" t="s">
        <v>2696</v>
      </c>
      <c r="C1279" s="2">
        <v>5.25</v>
      </c>
      <c r="D1279" s="2">
        <v>5.1867999999999999</v>
      </c>
      <c r="E1279" s="3">
        <v>5.1890970000000003</v>
      </c>
      <c r="F1279" s="3">
        <v>5.2031073000000001</v>
      </c>
      <c r="G1279" s="3">
        <v>5.2076519000000001</v>
      </c>
      <c r="H1279" s="3">
        <v>5.1914346</v>
      </c>
      <c r="I1279" s="3">
        <v>5.1534078000000001</v>
      </c>
      <c r="J1279" s="3">
        <v>5.0975726000000003</v>
      </c>
      <c r="K1279" s="3">
        <v>5.0304142000000001</v>
      </c>
      <c r="L1279" s="3">
        <v>4.9585163999999997</v>
      </c>
      <c r="M1279" s="3">
        <v>4.8865736999999996</v>
      </c>
      <c r="N1279" s="3">
        <v>4.8169621999999999</v>
      </c>
      <c r="O1279" s="3">
        <v>4.7504562000000004</v>
      </c>
      <c r="P1279" s="3">
        <v>4.6868653</v>
      </c>
      <c r="Q1279" s="3">
        <v>4.6249077999999999</v>
      </c>
      <c r="R1279" s="3">
        <v>4.5643877000000002</v>
      </c>
      <c r="S1279" s="3">
        <v>4.5055050000000003</v>
      </c>
      <c r="T1279" s="3">
        <v>4.4484579999999996</v>
      </c>
      <c r="U1279" s="3">
        <v>4.3934448000000001</v>
      </c>
      <c r="V1279" s="3">
        <v>4.3406653000000004</v>
      </c>
      <c r="W1279" s="3">
        <v>4.2902972999999998</v>
      </c>
      <c r="X1279" s="3">
        <v>4.2424400999999996</v>
      </c>
      <c r="Y1279" s="3">
        <v>4.1971762000000004</v>
      </c>
      <c r="Z1279" s="3">
        <v>4.1545863000000001</v>
      </c>
      <c r="AA1279" s="3">
        <v>4.1147514000000003</v>
      </c>
      <c r="AB1279" s="3">
        <v>4.0777538</v>
      </c>
      <c r="AC1279" s="3">
        <v>4.0436442000000001</v>
      </c>
      <c r="AD1279" s="3">
        <v>4.0123113999999998</v>
      </c>
      <c r="AE1279" s="3">
        <v>3.9835910999999999</v>
      </c>
      <c r="AF1279" s="3">
        <v>3.9573176000000001</v>
      </c>
      <c r="AG1279" s="3">
        <v>3.9333255</v>
      </c>
      <c r="AH1279" s="3">
        <v>3.9114501000000002</v>
      </c>
      <c r="AI1279" s="3">
        <v>3.8915259</v>
      </c>
      <c r="AJ1279" s="3">
        <v>3.8733876</v>
      </c>
      <c r="AK1279" s="3">
        <v>3.8568704</v>
      </c>
      <c r="AL1279" s="3">
        <v>3.8418087999999999</v>
      </c>
      <c r="AM1279" s="3">
        <v>3.8280375000000002</v>
      </c>
      <c r="AN1279" s="3">
        <v>3.8153915999999999</v>
      </c>
      <c r="AO1279" s="3">
        <v>3.8037214000000001</v>
      </c>
      <c r="AP1279" s="3">
        <v>3.7929534999999999</v>
      </c>
      <c r="AQ1279" s="3">
        <v>3.7830377999999998</v>
      </c>
      <c r="AR1279" s="3">
        <v>3.7739242000000002</v>
      </c>
      <c r="AS1279" s="3">
        <v>3.7655623</v>
      </c>
      <c r="AT1279" s="3">
        <v>3.7579022000000002</v>
      </c>
      <c r="AU1279" s="3">
        <v>3.7508937000000002</v>
      </c>
      <c r="AV1279" s="3">
        <v>3.7444864999999998</v>
      </c>
      <c r="AW1279" s="3">
        <v>3.7386306</v>
      </c>
      <c r="AX1279" s="3">
        <v>3.7332757999999999</v>
      </c>
      <c r="AY1279" s="3">
        <v>3.7283718000000001</v>
      </c>
      <c r="AZ1279" s="3">
        <v>3.7238687000000001</v>
      </c>
      <c r="BA1279" s="3">
        <v>3.7197235000000002</v>
      </c>
      <c r="BB1279" s="3">
        <v>3.7159255</v>
      </c>
      <c r="BC1279" s="3">
        <v>3.7124728999999999</v>
      </c>
      <c r="BD1279" s="3">
        <v>3.7093641000000002</v>
      </c>
      <c r="BE1279" s="3">
        <v>3.7065971000000002</v>
      </c>
      <c r="BF1279" s="3">
        <v>3.7041702000000001</v>
      </c>
      <c r="BG1279" s="3">
        <v>3.7020816000000001</v>
      </c>
      <c r="BH1279" s="3">
        <v>3.7003295999999999</v>
      </c>
      <c r="BI1279" s="3">
        <v>3.6989122999999999</v>
      </c>
      <c r="BJ1279" s="3">
        <v>3.6978279999999999</v>
      </c>
      <c r="BK1279" s="3">
        <v>3.6970749000000001</v>
      </c>
      <c r="BL1279" s="3">
        <v>3.6966511</v>
      </c>
      <c r="BM1279" s="3">
        <v>3.7007813000000001</v>
      </c>
      <c r="BN1279" s="3">
        <v>3.7154303999999998</v>
      </c>
    </row>
    <row r="1280" spans="1:66" x14ac:dyDescent="0.35">
      <c r="A1280" s="5">
        <f t="shared" si="19"/>
        <v>45246</v>
      </c>
      <c r="B1280" t="s">
        <v>2699</v>
      </c>
      <c r="C1280" s="2">
        <v>5.25</v>
      </c>
      <c r="D1280" s="2">
        <v>5.1874000000000002</v>
      </c>
      <c r="E1280" s="3">
        <v>5.1879286999999996</v>
      </c>
      <c r="F1280" s="3">
        <v>5.1988956999999996</v>
      </c>
      <c r="G1280" s="3">
        <v>5.2019691999999997</v>
      </c>
      <c r="H1280" s="3">
        <v>5.1851624000000003</v>
      </c>
      <c r="I1280" s="3">
        <v>5.1450943999999996</v>
      </c>
      <c r="J1280" s="3">
        <v>5.0858425</v>
      </c>
      <c r="K1280" s="3">
        <v>5.0136472000000003</v>
      </c>
      <c r="L1280" s="3">
        <v>4.9352992999999996</v>
      </c>
      <c r="M1280" s="3">
        <v>4.8558139999999996</v>
      </c>
      <c r="N1280" s="3">
        <v>4.7778644000000003</v>
      </c>
      <c r="O1280" s="3">
        <v>4.7024699999999999</v>
      </c>
      <c r="P1280" s="3">
        <v>4.6295425999999997</v>
      </c>
      <c r="Q1280" s="3">
        <v>4.5573962999999997</v>
      </c>
      <c r="R1280" s="3">
        <v>4.4860287000000003</v>
      </c>
      <c r="S1280" s="3">
        <v>4.4161712</v>
      </c>
      <c r="T1280" s="3">
        <v>4.3485531999999996</v>
      </c>
      <c r="U1280" s="3">
        <v>4.2839042000000003</v>
      </c>
      <c r="V1280" s="3">
        <v>4.2229559999999999</v>
      </c>
      <c r="W1280" s="3">
        <v>4.1662819000000004</v>
      </c>
      <c r="X1280" s="3">
        <v>4.1138602000000004</v>
      </c>
      <c r="Y1280" s="3">
        <v>4.0655295000000002</v>
      </c>
      <c r="Z1280" s="3">
        <v>4.0211264</v>
      </c>
      <c r="AA1280" s="3">
        <v>3.9804879999999998</v>
      </c>
      <c r="AB1280" s="3">
        <v>3.9434524</v>
      </c>
      <c r="AC1280" s="3">
        <v>3.9098476999999998</v>
      </c>
      <c r="AD1280" s="3">
        <v>3.8794591</v>
      </c>
      <c r="AE1280" s="3">
        <v>3.8520599</v>
      </c>
      <c r="AF1280" s="3">
        <v>3.8274221000000002</v>
      </c>
      <c r="AG1280" s="3">
        <v>3.8053178999999999</v>
      </c>
      <c r="AH1280" s="3">
        <v>3.7855205000000001</v>
      </c>
      <c r="AI1280" s="3">
        <v>3.7678020000000001</v>
      </c>
      <c r="AJ1280" s="3">
        <v>3.7519347000000001</v>
      </c>
      <c r="AK1280" s="3">
        <v>3.7376914999999999</v>
      </c>
      <c r="AL1280" s="3">
        <v>3.7248446</v>
      </c>
      <c r="AM1280" s="3">
        <v>3.7131664999999998</v>
      </c>
      <c r="AN1280" s="3">
        <v>3.7024298</v>
      </c>
      <c r="AO1280" s="3">
        <v>3.6924367</v>
      </c>
      <c r="AP1280" s="3">
        <v>3.6831204</v>
      </c>
      <c r="AQ1280" s="3">
        <v>3.6744504999999998</v>
      </c>
      <c r="AR1280" s="3">
        <v>3.6663964999999998</v>
      </c>
      <c r="AS1280" s="3">
        <v>3.6589277999999998</v>
      </c>
      <c r="AT1280" s="3">
        <v>3.6520139999999999</v>
      </c>
      <c r="AU1280" s="3">
        <v>3.6456246999999999</v>
      </c>
      <c r="AV1280" s="3">
        <v>3.6397292000000001</v>
      </c>
      <c r="AW1280" s="3">
        <v>3.6342971999999998</v>
      </c>
      <c r="AX1280" s="3">
        <v>3.6292981000000002</v>
      </c>
      <c r="AY1280" s="3">
        <v>3.6247014000000002</v>
      </c>
      <c r="AZ1280" s="3">
        <v>3.6204767000000002</v>
      </c>
      <c r="BA1280" s="3">
        <v>3.6165978000000001</v>
      </c>
      <c r="BB1280" s="3">
        <v>3.6130580000000001</v>
      </c>
      <c r="BC1280" s="3">
        <v>3.6098560000000002</v>
      </c>
      <c r="BD1280" s="3">
        <v>3.6069905000000002</v>
      </c>
      <c r="BE1280" s="3">
        <v>3.6044600999999998</v>
      </c>
      <c r="BF1280" s="3">
        <v>3.6022634</v>
      </c>
      <c r="BG1280" s="3">
        <v>3.6003992</v>
      </c>
      <c r="BH1280" s="3">
        <v>3.5988660000000001</v>
      </c>
      <c r="BI1280" s="3">
        <v>3.5976625000000002</v>
      </c>
      <c r="BJ1280" s="3">
        <v>3.5967875</v>
      </c>
      <c r="BK1280" s="3">
        <v>3.5962394</v>
      </c>
      <c r="BL1280" s="3">
        <v>3.5960169999999998</v>
      </c>
      <c r="BM1280" s="3">
        <v>3.6012985</v>
      </c>
      <c r="BN1280" s="3">
        <v>3.6170553999999999</v>
      </c>
    </row>
    <row r="1281" spans="1:66" x14ac:dyDescent="0.35">
      <c r="A1281" s="5">
        <f t="shared" si="19"/>
        <v>45247</v>
      </c>
      <c r="B1281" t="s">
        <v>2700</v>
      </c>
      <c r="C1281" s="2">
        <v>5.25</v>
      </c>
      <c r="D1281" s="2">
        <v>5.1881000000000004</v>
      </c>
      <c r="E1281" s="3">
        <v>5.1930345999999998</v>
      </c>
      <c r="F1281" s="3">
        <v>5.2019310000000001</v>
      </c>
      <c r="G1281" s="3">
        <v>5.1995205999999996</v>
      </c>
      <c r="H1281" s="3">
        <v>5.1776976000000001</v>
      </c>
      <c r="I1281" s="3">
        <v>5.1350604999999998</v>
      </c>
      <c r="J1281" s="3">
        <v>5.0750637000000003</v>
      </c>
      <c r="K1281" s="3">
        <v>5.0032525999999997</v>
      </c>
      <c r="L1281" s="3">
        <v>4.9257454999999997</v>
      </c>
      <c r="M1281" s="3">
        <v>4.8470130999999999</v>
      </c>
      <c r="N1281" s="3">
        <v>4.7695248000000001</v>
      </c>
      <c r="O1281" s="3">
        <v>4.6942706000000003</v>
      </c>
      <c r="P1281" s="3">
        <v>4.6214515</v>
      </c>
      <c r="Q1281" s="3">
        <v>4.5501396999999999</v>
      </c>
      <c r="R1281" s="3">
        <v>4.4803905999999998</v>
      </c>
      <c r="S1281" s="3">
        <v>4.4126706999999996</v>
      </c>
      <c r="T1281" s="3">
        <v>4.3474443999999997</v>
      </c>
      <c r="U1281" s="3">
        <v>4.2851756999999999</v>
      </c>
      <c r="V1281" s="3">
        <v>4.2263313</v>
      </c>
      <c r="W1281" s="3">
        <v>4.1712837</v>
      </c>
      <c r="X1281" s="3">
        <v>4.1199804000000002</v>
      </c>
      <c r="Y1281" s="3">
        <v>4.0722472999999999</v>
      </c>
      <c r="Z1281" s="3">
        <v>4.0279086</v>
      </c>
      <c r="AA1281" s="3">
        <v>3.9867887</v>
      </c>
      <c r="AB1281" s="3">
        <v>3.9487133000000001</v>
      </c>
      <c r="AC1281" s="3">
        <v>3.9135087</v>
      </c>
      <c r="AD1281" s="3">
        <v>3.8810101000000001</v>
      </c>
      <c r="AE1281" s="3">
        <v>3.8510564</v>
      </c>
      <c r="AF1281" s="3">
        <v>3.8234853000000002</v>
      </c>
      <c r="AG1281" s="3">
        <v>3.7981345000000002</v>
      </c>
      <c r="AH1281" s="3">
        <v>3.7748427000000002</v>
      </c>
      <c r="AI1281" s="3">
        <v>3.7534478</v>
      </c>
      <c r="AJ1281" s="3">
        <v>3.7337874000000002</v>
      </c>
      <c r="AK1281" s="3">
        <v>3.7157002000000001</v>
      </c>
      <c r="AL1281" s="3">
        <v>3.6990240999999999</v>
      </c>
      <c r="AM1281" s="3">
        <v>3.6835968000000001</v>
      </c>
      <c r="AN1281" s="3">
        <v>3.6692567999999999</v>
      </c>
      <c r="AO1281" s="3">
        <v>3.6558614999999999</v>
      </c>
      <c r="AP1281" s="3">
        <v>3.6433532999999998</v>
      </c>
      <c r="AQ1281" s="3">
        <v>3.6316991000000001</v>
      </c>
      <c r="AR1281" s="3">
        <v>3.6208651000000001</v>
      </c>
      <c r="AS1281" s="3">
        <v>3.6108175</v>
      </c>
      <c r="AT1281" s="3">
        <v>3.6015229999999998</v>
      </c>
      <c r="AU1281" s="3">
        <v>3.5929479</v>
      </c>
      <c r="AV1281" s="3">
        <v>3.5850583999999999</v>
      </c>
      <c r="AW1281" s="3">
        <v>3.5778211</v>
      </c>
      <c r="AX1281" s="3">
        <v>3.5712024000000002</v>
      </c>
      <c r="AY1281" s="3">
        <v>3.5651684000000001</v>
      </c>
      <c r="AZ1281" s="3">
        <v>3.5596858999999998</v>
      </c>
      <c r="BA1281" s="3">
        <v>3.5547243000000002</v>
      </c>
      <c r="BB1281" s="3">
        <v>3.5502679000000001</v>
      </c>
      <c r="BC1281" s="3">
        <v>3.5463049</v>
      </c>
      <c r="BD1281" s="3">
        <v>3.5428234999999999</v>
      </c>
      <c r="BE1281" s="3">
        <v>3.5398119000000001</v>
      </c>
      <c r="BF1281" s="3">
        <v>3.5372583</v>
      </c>
      <c r="BG1281" s="3">
        <v>3.5351509000000001</v>
      </c>
      <c r="BH1281" s="3">
        <v>3.5334780000000001</v>
      </c>
      <c r="BI1281" s="3">
        <v>3.5322277</v>
      </c>
      <c r="BJ1281" s="3">
        <v>3.5313883000000001</v>
      </c>
      <c r="BK1281" s="3">
        <v>3.530948</v>
      </c>
      <c r="BL1281" s="3">
        <v>3.5308948999999998</v>
      </c>
      <c r="BM1281" s="3">
        <v>3.5381482000000002</v>
      </c>
      <c r="BN1281" s="3">
        <v>3.5569823999999999</v>
      </c>
    </row>
    <row r="1282" spans="1:66" x14ac:dyDescent="0.35">
      <c r="A1282" s="5">
        <f t="shared" si="19"/>
        <v>45250</v>
      </c>
      <c r="B1282" t="s">
        <v>2701</v>
      </c>
      <c r="C1282" s="2">
        <v>5.25</v>
      </c>
      <c r="D1282" s="2">
        <v>5.1882000000000001</v>
      </c>
      <c r="E1282" s="3">
        <v>5.1946189</v>
      </c>
      <c r="F1282" s="3">
        <v>5.2038587999999999</v>
      </c>
      <c r="G1282" s="3">
        <v>5.1998918999999999</v>
      </c>
      <c r="H1282" s="3">
        <v>5.1752414</v>
      </c>
      <c r="I1282" s="3">
        <v>5.1301480000000002</v>
      </c>
      <c r="J1282" s="3">
        <v>5.0688336999999999</v>
      </c>
      <c r="K1282" s="3">
        <v>4.9969653000000003</v>
      </c>
      <c r="L1282" s="3">
        <v>4.9207957999999996</v>
      </c>
      <c r="M1282" s="3">
        <v>4.8449435999999997</v>
      </c>
      <c r="N1282" s="3">
        <v>4.7717403000000003</v>
      </c>
      <c r="O1282" s="3">
        <v>4.7020194999999996</v>
      </c>
      <c r="P1282" s="3">
        <v>4.6355421000000003</v>
      </c>
      <c r="Q1282" s="3">
        <v>4.5707642000000002</v>
      </c>
      <c r="R1282" s="3">
        <v>4.5074674000000003</v>
      </c>
      <c r="S1282" s="3">
        <v>4.4459258000000004</v>
      </c>
      <c r="T1282" s="3">
        <v>4.3864112999999998</v>
      </c>
      <c r="U1282" s="3">
        <v>4.3291959000000002</v>
      </c>
      <c r="V1282" s="3">
        <v>4.2745536</v>
      </c>
      <c r="W1282" s="3">
        <v>4.2227060999999999</v>
      </c>
      <c r="X1282" s="3">
        <v>4.1736832000000001</v>
      </c>
      <c r="Y1282" s="3">
        <v>4.1274706999999999</v>
      </c>
      <c r="Z1282" s="3">
        <v>4.0840528999999997</v>
      </c>
      <c r="AA1282" s="3">
        <v>4.0434140000000003</v>
      </c>
      <c r="AB1282" s="3">
        <v>4.0055396999999999</v>
      </c>
      <c r="AC1282" s="3">
        <v>3.9703925999999998</v>
      </c>
      <c r="AD1282" s="3">
        <v>3.9378402000000001</v>
      </c>
      <c r="AE1282" s="3">
        <v>3.9077245999999999</v>
      </c>
      <c r="AF1282" s="3">
        <v>3.8798868</v>
      </c>
      <c r="AG1282" s="3">
        <v>3.854168</v>
      </c>
      <c r="AH1282" s="3">
        <v>3.8304100999999999</v>
      </c>
      <c r="AI1282" s="3">
        <v>3.8084543000000002</v>
      </c>
      <c r="AJ1282" s="3">
        <v>3.7881417000000002</v>
      </c>
      <c r="AK1282" s="3">
        <v>3.7693143</v>
      </c>
      <c r="AL1282" s="3">
        <v>3.7518132</v>
      </c>
      <c r="AM1282" s="3">
        <v>3.7354796000000001</v>
      </c>
      <c r="AN1282" s="3">
        <v>3.7201553999999999</v>
      </c>
      <c r="AO1282" s="3">
        <v>3.7057020999999999</v>
      </c>
      <c r="AP1282" s="3">
        <v>3.6920712</v>
      </c>
      <c r="AQ1282" s="3">
        <v>3.6792392999999999</v>
      </c>
      <c r="AR1282" s="3">
        <v>3.6671828</v>
      </c>
      <c r="AS1282" s="3">
        <v>3.6558777999999998</v>
      </c>
      <c r="AT1282" s="3">
        <v>3.6453011000000002</v>
      </c>
      <c r="AU1282" s="3">
        <v>3.6354288000000001</v>
      </c>
      <c r="AV1282" s="3">
        <v>3.6262373999999999</v>
      </c>
      <c r="AW1282" s="3">
        <v>3.6177033000000001</v>
      </c>
      <c r="AX1282" s="3">
        <v>3.6098029999999999</v>
      </c>
      <c r="AY1282" s="3">
        <v>3.6025125999999998</v>
      </c>
      <c r="AZ1282" s="3">
        <v>3.5958087999999999</v>
      </c>
      <c r="BA1282" s="3">
        <v>3.5896699999999999</v>
      </c>
      <c r="BB1282" s="3">
        <v>3.5840862000000002</v>
      </c>
      <c r="BC1282" s="3">
        <v>3.5790513000000002</v>
      </c>
      <c r="BD1282" s="3">
        <v>3.5745591000000001</v>
      </c>
      <c r="BE1282" s="3">
        <v>3.5706033000000001</v>
      </c>
      <c r="BF1282" s="3">
        <v>3.5671781</v>
      </c>
      <c r="BG1282" s="3">
        <v>3.5642771</v>
      </c>
      <c r="BH1282" s="3">
        <v>3.5618941999999998</v>
      </c>
      <c r="BI1282" s="3">
        <v>3.5600233000000001</v>
      </c>
      <c r="BJ1282" s="3">
        <v>3.5586582</v>
      </c>
      <c r="BK1282" s="3">
        <v>3.5577926999999998</v>
      </c>
      <c r="BL1282" s="3">
        <v>3.5574207000000002</v>
      </c>
      <c r="BM1282" s="3">
        <v>3.5648564999999999</v>
      </c>
      <c r="BN1282" s="3">
        <v>3.5863499999999999</v>
      </c>
    </row>
    <row r="1283" spans="1:66" x14ac:dyDescent="0.35">
      <c r="A1283" s="5">
        <f t="shared" si="19"/>
        <v>45251</v>
      </c>
      <c r="B1283" t="s">
        <v>2702</v>
      </c>
      <c r="C1283" s="2">
        <v>5.25</v>
      </c>
      <c r="D1283" s="2">
        <v>5.1885000000000003</v>
      </c>
      <c r="E1283" s="3">
        <v>5.195837</v>
      </c>
      <c r="F1283" s="3">
        <v>5.2092593999999997</v>
      </c>
      <c r="G1283" s="3">
        <v>5.2126479999999997</v>
      </c>
      <c r="H1283" s="3">
        <v>5.1960812000000001</v>
      </c>
      <c r="I1283" s="3">
        <v>5.1579286</v>
      </c>
      <c r="J1283" s="3">
        <v>5.1018848999999999</v>
      </c>
      <c r="K1283" s="3">
        <v>5.0340942999999996</v>
      </c>
      <c r="L1283" s="3">
        <v>4.9609646999999999</v>
      </c>
      <c r="M1283" s="3">
        <v>4.8861176000000004</v>
      </c>
      <c r="N1283" s="3">
        <v>4.8111534000000002</v>
      </c>
      <c r="O1283" s="3">
        <v>4.7367819000000004</v>
      </c>
      <c r="P1283" s="3">
        <v>4.6635507</v>
      </c>
      <c r="Q1283" s="3">
        <v>4.5929431999999997</v>
      </c>
      <c r="R1283" s="3">
        <v>4.5254519999999996</v>
      </c>
      <c r="S1283" s="3">
        <v>4.4612018999999998</v>
      </c>
      <c r="T1283" s="3">
        <v>4.4003152999999999</v>
      </c>
      <c r="U1283" s="3">
        <v>4.3429146999999997</v>
      </c>
      <c r="V1283" s="3">
        <v>4.2891246000000001</v>
      </c>
      <c r="W1283" s="3">
        <v>4.2389983000000004</v>
      </c>
      <c r="X1283" s="3">
        <v>4.1923260999999998</v>
      </c>
      <c r="Y1283" s="3">
        <v>4.1488373999999997</v>
      </c>
      <c r="Z1283" s="3">
        <v>4.1082597999999999</v>
      </c>
      <c r="AA1283" s="3">
        <v>4.0703209999999999</v>
      </c>
      <c r="AB1283" s="3">
        <v>4.0347502000000004</v>
      </c>
      <c r="AC1283" s="3">
        <v>4.0013006999999998</v>
      </c>
      <c r="AD1283" s="3">
        <v>3.9698395</v>
      </c>
      <c r="AE1283" s="3">
        <v>3.9402658000000002</v>
      </c>
      <c r="AF1283" s="3">
        <v>3.9124778999999998</v>
      </c>
      <c r="AG1283" s="3">
        <v>3.8863739000000002</v>
      </c>
      <c r="AH1283" s="3">
        <v>3.861853</v>
      </c>
      <c r="AI1283" s="3">
        <v>3.8388135999999999</v>
      </c>
      <c r="AJ1283" s="3">
        <v>3.8171537</v>
      </c>
      <c r="AK1283" s="3">
        <v>3.7967726000000002</v>
      </c>
      <c r="AL1283" s="3">
        <v>3.7775683999999998</v>
      </c>
      <c r="AM1283" s="3">
        <v>3.7594395999999999</v>
      </c>
      <c r="AN1283" s="3">
        <v>3.7422851000000001</v>
      </c>
      <c r="AO1283" s="3">
        <v>3.7260133999999998</v>
      </c>
      <c r="AP1283" s="3">
        <v>3.7105880999999998</v>
      </c>
      <c r="AQ1283" s="3">
        <v>3.6959914999999999</v>
      </c>
      <c r="AR1283" s="3">
        <v>3.6822056999999999</v>
      </c>
      <c r="AS1283" s="3">
        <v>3.6692125999999998</v>
      </c>
      <c r="AT1283" s="3">
        <v>3.6569946</v>
      </c>
      <c r="AU1283" s="3">
        <v>3.6455337000000001</v>
      </c>
      <c r="AV1283" s="3">
        <v>3.6348118999999999</v>
      </c>
      <c r="AW1283" s="3">
        <v>3.6248114999999999</v>
      </c>
      <c r="AX1283" s="3">
        <v>3.6155145000000002</v>
      </c>
      <c r="AY1283" s="3">
        <v>3.606903</v>
      </c>
      <c r="AZ1283" s="3">
        <v>3.5989591999999999</v>
      </c>
      <c r="BA1283" s="3">
        <v>3.591666</v>
      </c>
      <c r="BB1283" s="3">
        <v>3.58501</v>
      </c>
      <c r="BC1283" s="3">
        <v>3.5789791000000002</v>
      </c>
      <c r="BD1283" s="3">
        <v>3.5735611</v>
      </c>
      <c r="BE1283" s="3">
        <v>3.5687437000000002</v>
      </c>
      <c r="BF1283" s="3">
        <v>3.5645150000000001</v>
      </c>
      <c r="BG1283" s="3">
        <v>3.5608626999999999</v>
      </c>
      <c r="BH1283" s="3">
        <v>3.5577744999999998</v>
      </c>
      <c r="BI1283" s="3">
        <v>3.5552385000000002</v>
      </c>
      <c r="BJ1283" s="3">
        <v>3.5532423</v>
      </c>
      <c r="BK1283" s="3">
        <v>3.5517737999999999</v>
      </c>
      <c r="BL1283" s="3">
        <v>3.5508209000000002</v>
      </c>
      <c r="BM1283" s="3">
        <v>3.5550761</v>
      </c>
      <c r="BN1283" s="3">
        <v>3.5737681000000001</v>
      </c>
    </row>
    <row r="1284" spans="1:66" x14ac:dyDescent="0.35">
      <c r="A1284" s="5">
        <f t="shared" si="19"/>
        <v>45252</v>
      </c>
      <c r="B1284" t="s">
        <v>2703</v>
      </c>
      <c r="C1284" s="2">
        <v>5.25</v>
      </c>
      <c r="D1284" s="2">
        <v>5.1887999999999996</v>
      </c>
      <c r="E1284" s="3">
        <v>5.1970774999999998</v>
      </c>
      <c r="F1284" s="3">
        <v>5.2145869999999999</v>
      </c>
      <c r="G1284" s="3">
        <v>5.2221786999999997</v>
      </c>
      <c r="H1284" s="3">
        <v>5.2116698000000001</v>
      </c>
      <c r="I1284" s="3">
        <v>5.1816294999999997</v>
      </c>
      <c r="J1284" s="3">
        <v>5.1348973999999998</v>
      </c>
      <c r="K1284" s="3">
        <v>5.0767388000000002</v>
      </c>
      <c r="L1284" s="3">
        <v>5.0128225999999998</v>
      </c>
      <c r="M1284" s="3">
        <v>4.9474352000000001</v>
      </c>
      <c r="N1284" s="3">
        <v>4.8828649000000004</v>
      </c>
      <c r="O1284" s="3">
        <v>4.8198496999999998</v>
      </c>
      <c r="P1284" s="3">
        <v>4.7581251</v>
      </c>
      <c r="Q1284" s="3">
        <v>4.6958494000000002</v>
      </c>
      <c r="R1284" s="3">
        <v>4.6329753</v>
      </c>
      <c r="S1284" s="3">
        <v>4.5700998000000004</v>
      </c>
      <c r="T1284" s="3">
        <v>4.5078174999999998</v>
      </c>
      <c r="U1284" s="3">
        <v>4.4467232000000001</v>
      </c>
      <c r="V1284" s="3">
        <v>4.3874138</v>
      </c>
      <c r="W1284" s="3">
        <v>4.3304068999999998</v>
      </c>
      <c r="X1284" s="3">
        <v>4.2759267000000003</v>
      </c>
      <c r="Y1284" s="3">
        <v>4.2241290999999999</v>
      </c>
      <c r="Z1284" s="3">
        <v>4.1751683999999996</v>
      </c>
      <c r="AA1284" s="3">
        <v>4.1291988000000002</v>
      </c>
      <c r="AB1284" s="3">
        <v>4.0863763000000004</v>
      </c>
      <c r="AC1284" s="3">
        <v>4.0468121000000004</v>
      </c>
      <c r="AD1284" s="3">
        <v>4.0103863000000004</v>
      </c>
      <c r="AE1284" s="3">
        <v>3.9769025</v>
      </c>
      <c r="AF1284" s="3">
        <v>3.9461632</v>
      </c>
      <c r="AG1284" s="3">
        <v>3.9179708</v>
      </c>
      <c r="AH1284" s="3">
        <v>3.8921288999999999</v>
      </c>
      <c r="AI1284" s="3">
        <v>3.8684398</v>
      </c>
      <c r="AJ1284" s="3">
        <v>3.8467061</v>
      </c>
      <c r="AK1284" s="3">
        <v>3.8267312000000002</v>
      </c>
      <c r="AL1284" s="3">
        <v>3.8083176000000001</v>
      </c>
      <c r="AM1284" s="3">
        <v>3.7912678999999998</v>
      </c>
      <c r="AN1284" s="3">
        <v>3.7753852999999999</v>
      </c>
      <c r="AO1284" s="3">
        <v>3.7604936000000002</v>
      </c>
      <c r="AP1284" s="3">
        <v>3.7465202</v>
      </c>
      <c r="AQ1284" s="3">
        <v>3.7334241000000001</v>
      </c>
      <c r="AR1284" s="3">
        <v>3.7211642</v>
      </c>
      <c r="AS1284" s="3">
        <v>3.7096992000000002</v>
      </c>
      <c r="AT1284" s="3">
        <v>3.6989882000000001</v>
      </c>
      <c r="AU1284" s="3">
        <v>3.68899</v>
      </c>
      <c r="AV1284" s="3">
        <v>3.6796633999999999</v>
      </c>
      <c r="AW1284" s="3">
        <v>3.6709676</v>
      </c>
      <c r="AX1284" s="3">
        <v>3.6628612</v>
      </c>
      <c r="AY1284" s="3">
        <v>3.655303</v>
      </c>
      <c r="AZ1284" s="3">
        <v>3.6482522999999998</v>
      </c>
      <c r="BA1284" s="3">
        <v>3.6416734000000002</v>
      </c>
      <c r="BB1284" s="3">
        <v>3.6355564999999999</v>
      </c>
      <c r="BC1284" s="3">
        <v>3.6298987</v>
      </c>
      <c r="BD1284" s="3">
        <v>3.6246971000000001</v>
      </c>
      <c r="BE1284" s="3">
        <v>3.6199487000000001</v>
      </c>
      <c r="BF1284" s="3">
        <v>3.6156507000000002</v>
      </c>
      <c r="BG1284" s="3">
        <v>3.6118001</v>
      </c>
      <c r="BH1284" s="3">
        <v>3.6083940999999999</v>
      </c>
      <c r="BI1284" s="3">
        <v>3.6054297000000002</v>
      </c>
      <c r="BJ1284" s="3">
        <v>3.6029040000000001</v>
      </c>
      <c r="BK1284" s="3">
        <v>3.6008141999999999</v>
      </c>
      <c r="BL1284" s="3">
        <v>3.5991572000000001</v>
      </c>
      <c r="BM1284" s="3">
        <v>3.5978688999999999</v>
      </c>
      <c r="BN1284" s="3">
        <v>3.6097462</v>
      </c>
    </row>
    <row r="1285" spans="1:66" x14ac:dyDescent="0.35">
      <c r="A1285" s="5">
        <f t="shared" si="19"/>
        <v>45253</v>
      </c>
      <c r="B1285" t="s">
        <v>2704</v>
      </c>
      <c r="C1285" s="2">
        <v>5.25</v>
      </c>
      <c r="D1285" s="2">
        <v>5.1882999999999999</v>
      </c>
      <c r="E1285" s="3">
        <v>5.1967938</v>
      </c>
      <c r="F1285" s="3">
        <v>5.2198392</v>
      </c>
      <c r="G1285" s="3">
        <v>5.2371436999999998</v>
      </c>
      <c r="H1285" s="3">
        <v>5.2385381999999998</v>
      </c>
      <c r="I1285" s="3">
        <v>5.2198390000000003</v>
      </c>
      <c r="J1285" s="3">
        <v>5.1829102000000002</v>
      </c>
      <c r="K1285" s="3">
        <v>5.1321861999999996</v>
      </c>
      <c r="L1285" s="3">
        <v>5.0734091000000001</v>
      </c>
      <c r="M1285" s="3">
        <v>5.0113763999999996</v>
      </c>
      <c r="N1285" s="3">
        <v>4.9488596999999999</v>
      </c>
      <c r="O1285" s="3">
        <v>4.8869429000000002</v>
      </c>
      <c r="P1285" s="3">
        <v>4.8256671000000004</v>
      </c>
      <c r="Q1285" s="3">
        <v>4.7635642999999996</v>
      </c>
      <c r="R1285" s="3">
        <v>4.7007433000000001</v>
      </c>
      <c r="S1285" s="3">
        <v>4.6380024000000004</v>
      </c>
      <c r="T1285" s="3">
        <v>4.5761380999999997</v>
      </c>
      <c r="U1285" s="3">
        <v>4.5159471</v>
      </c>
      <c r="V1285" s="3">
        <v>4.4582281000000004</v>
      </c>
      <c r="W1285" s="3">
        <v>4.4036232000000002</v>
      </c>
      <c r="X1285" s="3">
        <v>4.3521858</v>
      </c>
      <c r="Y1285" s="3">
        <v>4.3038315000000003</v>
      </c>
      <c r="Z1285" s="3">
        <v>4.2584736000000003</v>
      </c>
      <c r="AA1285" s="3">
        <v>4.2160257999999997</v>
      </c>
      <c r="AB1285" s="3">
        <v>4.1764032000000002</v>
      </c>
      <c r="AC1285" s="3">
        <v>4.1395099999999996</v>
      </c>
      <c r="AD1285" s="3">
        <v>4.1052040999999999</v>
      </c>
      <c r="AE1285" s="3">
        <v>4.0733309999999996</v>
      </c>
      <c r="AF1285" s="3">
        <v>4.0437344</v>
      </c>
      <c r="AG1285" s="3">
        <v>4.0162585999999996</v>
      </c>
      <c r="AH1285" s="3">
        <v>3.9907485</v>
      </c>
      <c r="AI1285" s="3">
        <v>3.9670481999999998</v>
      </c>
      <c r="AJ1285" s="3">
        <v>3.9450018999999998</v>
      </c>
      <c r="AK1285" s="3">
        <v>3.9244545</v>
      </c>
      <c r="AL1285" s="3">
        <v>3.9052501999999998</v>
      </c>
      <c r="AM1285" s="3">
        <v>3.8872330000000002</v>
      </c>
      <c r="AN1285" s="3">
        <v>3.8702478999999999</v>
      </c>
      <c r="AO1285" s="3">
        <v>3.8541587000000002</v>
      </c>
      <c r="AP1285" s="3">
        <v>3.8389161000000001</v>
      </c>
      <c r="AQ1285" s="3">
        <v>3.8244954</v>
      </c>
      <c r="AR1285" s="3">
        <v>3.8108713000000001</v>
      </c>
      <c r="AS1285" s="3">
        <v>3.7980182999999998</v>
      </c>
      <c r="AT1285" s="3">
        <v>3.7859118999999999</v>
      </c>
      <c r="AU1285" s="3">
        <v>3.7745266000000002</v>
      </c>
      <c r="AV1285" s="3">
        <v>3.7638370999999999</v>
      </c>
      <c r="AW1285" s="3">
        <v>3.7538187000000001</v>
      </c>
      <c r="AX1285" s="3">
        <v>3.7444459999999999</v>
      </c>
      <c r="AY1285" s="3">
        <v>3.7356938999999998</v>
      </c>
      <c r="AZ1285" s="3">
        <v>3.7275372999999998</v>
      </c>
      <c r="BA1285" s="3">
        <v>3.7199529999999998</v>
      </c>
      <c r="BB1285" s="3">
        <v>3.7129264000000002</v>
      </c>
      <c r="BC1285" s="3">
        <v>3.7064452999999999</v>
      </c>
      <c r="BD1285" s="3">
        <v>3.7004974000000002</v>
      </c>
      <c r="BE1285" s="3">
        <v>3.6950704000000001</v>
      </c>
      <c r="BF1285" s="3">
        <v>3.6901522</v>
      </c>
      <c r="BG1285" s="3">
        <v>3.6857304000000002</v>
      </c>
      <c r="BH1285" s="3">
        <v>3.6817929</v>
      </c>
      <c r="BI1285" s="3">
        <v>3.6783275</v>
      </c>
      <c r="BJ1285" s="3">
        <v>3.6753217999999999</v>
      </c>
      <c r="BK1285" s="3">
        <v>3.6727636000000001</v>
      </c>
      <c r="BL1285" s="3">
        <v>3.6706406999999999</v>
      </c>
      <c r="BM1285" s="3">
        <v>3.6664560000000002</v>
      </c>
      <c r="BN1285" s="3">
        <v>3.6754522999999999</v>
      </c>
    </row>
    <row r="1286" spans="1:66" x14ac:dyDescent="0.35">
      <c r="A1286" s="5">
        <f t="shared" si="19"/>
        <v>45254</v>
      </c>
      <c r="B1286" t="s">
        <v>2705</v>
      </c>
      <c r="C1286" s="2">
        <v>5.25</v>
      </c>
      <c r="D1286" s="2">
        <v>5.1889000000000003</v>
      </c>
      <c r="E1286" s="3">
        <v>5.1975072999999998</v>
      </c>
      <c r="F1286" s="3">
        <v>5.223058</v>
      </c>
      <c r="G1286" s="3">
        <v>5.2427755999999999</v>
      </c>
      <c r="H1286" s="3">
        <v>5.2461712</v>
      </c>
      <c r="I1286" s="3">
        <v>5.2295043999999997</v>
      </c>
      <c r="J1286" s="3">
        <v>5.1948116000000004</v>
      </c>
      <c r="K1286" s="3">
        <v>5.1467951000000003</v>
      </c>
      <c r="L1286" s="3">
        <v>5.0910824000000003</v>
      </c>
      <c r="M1286" s="3">
        <v>5.0322655999999997</v>
      </c>
      <c r="N1286" s="3">
        <v>4.9730638999999996</v>
      </c>
      <c r="O1286" s="3">
        <v>4.9144893999999999</v>
      </c>
      <c r="P1286" s="3">
        <v>4.8564534000000004</v>
      </c>
      <c r="Q1286" s="3">
        <v>4.7972291</v>
      </c>
      <c r="R1286" s="3">
        <v>4.7368370999999998</v>
      </c>
      <c r="S1286" s="3">
        <v>4.6759963000000004</v>
      </c>
      <c r="T1286" s="3">
        <v>4.6154232000000004</v>
      </c>
      <c r="U1286" s="3">
        <v>4.5558347000000001</v>
      </c>
      <c r="V1286" s="3">
        <v>4.4979494000000004</v>
      </c>
      <c r="W1286" s="3">
        <v>4.4424028</v>
      </c>
      <c r="X1286" s="3">
        <v>4.3894137000000004</v>
      </c>
      <c r="Y1286" s="3">
        <v>4.3390696999999996</v>
      </c>
      <c r="Z1286" s="3">
        <v>4.2914564999999998</v>
      </c>
      <c r="AA1286" s="3">
        <v>4.2466597999999998</v>
      </c>
      <c r="AB1286" s="3">
        <v>4.2047670000000004</v>
      </c>
      <c r="AC1286" s="3">
        <v>4.1658257000000001</v>
      </c>
      <c r="AD1286" s="3">
        <v>4.1297155999999999</v>
      </c>
      <c r="AE1286" s="3">
        <v>4.0962709999999998</v>
      </c>
      <c r="AF1286" s="3">
        <v>4.0653249999999996</v>
      </c>
      <c r="AG1286" s="3">
        <v>4.0367109000000001</v>
      </c>
      <c r="AH1286" s="3">
        <v>4.0102630000000001</v>
      </c>
      <c r="AI1286" s="3">
        <v>3.9858144000000002</v>
      </c>
      <c r="AJ1286" s="3">
        <v>3.9631984</v>
      </c>
      <c r="AK1286" s="3">
        <v>3.9422492</v>
      </c>
      <c r="AL1286" s="3">
        <v>3.9228000999999999</v>
      </c>
      <c r="AM1286" s="3">
        <v>3.9046843</v>
      </c>
      <c r="AN1286" s="3">
        <v>3.8877359</v>
      </c>
      <c r="AO1286" s="3">
        <v>3.8718070999999998</v>
      </c>
      <c r="AP1286" s="3">
        <v>3.8568327</v>
      </c>
      <c r="AQ1286" s="3">
        <v>3.8427712000000001</v>
      </c>
      <c r="AR1286" s="3">
        <v>3.8295804000000002</v>
      </c>
      <c r="AS1286" s="3">
        <v>3.8172183</v>
      </c>
      <c r="AT1286" s="3">
        <v>3.8056429999999999</v>
      </c>
      <c r="AU1286" s="3">
        <v>3.7948124999999999</v>
      </c>
      <c r="AV1286" s="3">
        <v>3.7846847000000001</v>
      </c>
      <c r="AW1286" s="3">
        <v>3.7752178999999999</v>
      </c>
      <c r="AX1286" s="3">
        <v>3.7663700000000002</v>
      </c>
      <c r="AY1286" s="3">
        <v>3.7580988</v>
      </c>
      <c r="AZ1286" s="3">
        <v>3.7503625999999999</v>
      </c>
      <c r="BA1286" s="3">
        <v>3.7431245</v>
      </c>
      <c r="BB1286" s="3">
        <v>3.73637</v>
      </c>
      <c r="BC1286" s="3">
        <v>3.7300913000000002</v>
      </c>
      <c r="BD1286" s="3">
        <v>3.7242801999999999</v>
      </c>
      <c r="BE1286" s="3">
        <v>3.7189285000000001</v>
      </c>
      <c r="BF1286" s="3">
        <v>3.7140282999999998</v>
      </c>
      <c r="BG1286" s="3">
        <v>3.7095715</v>
      </c>
      <c r="BH1286" s="3">
        <v>3.7055500000000001</v>
      </c>
      <c r="BI1286" s="3">
        <v>3.7019557000000001</v>
      </c>
      <c r="BJ1286" s="3">
        <v>3.6987804999999998</v>
      </c>
      <c r="BK1286" s="3">
        <v>3.6960164</v>
      </c>
      <c r="BL1286" s="3">
        <v>3.6936553000000001</v>
      </c>
      <c r="BM1286" s="3">
        <v>3.6875711999999998</v>
      </c>
      <c r="BN1286" s="3">
        <v>3.6944007999999999</v>
      </c>
    </row>
    <row r="1287" spans="1:66" x14ac:dyDescent="0.35">
      <c r="A1287" s="5">
        <f t="shared" si="19"/>
        <v>45257</v>
      </c>
      <c r="B1287" t="s">
        <v>2706</v>
      </c>
      <c r="C1287" s="2">
        <v>5.25</v>
      </c>
      <c r="D1287" s="2">
        <v>5.1879999999999997</v>
      </c>
      <c r="E1287" s="3">
        <v>5.1944986000000002</v>
      </c>
      <c r="F1287" s="3">
        <v>5.2133364999999996</v>
      </c>
      <c r="G1287" s="3">
        <v>5.2254415999999999</v>
      </c>
      <c r="H1287" s="3">
        <v>5.2200464000000002</v>
      </c>
      <c r="I1287" s="3">
        <v>5.1946298000000004</v>
      </c>
      <c r="J1287" s="3">
        <v>5.1515181999999999</v>
      </c>
      <c r="K1287" s="3">
        <v>5.0949168</v>
      </c>
      <c r="L1287" s="3">
        <v>5.0299281000000002</v>
      </c>
      <c r="M1287" s="3">
        <v>4.9612031999999999</v>
      </c>
      <c r="N1287" s="3">
        <v>4.8919921999999998</v>
      </c>
      <c r="O1287" s="3">
        <v>4.8238979999999998</v>
      </c>
      <c r="P1287" s="3">
        <v>4.7574465999999997</v>
      </c>
      <c r="Q1287" s="3">
        <v>4.6919965000000001</v>
      </c>
      <c r="R1287" s="3">
        <v>4.6276412999999996</v>
      </c>
      <c r="S1287" s="3">
        <v>4.5647817999999996</v>
      </c>
      <c r="T1287" s="3">
        <v>4.5038169999999997</v>
      </c>
      <c r="U1287" s="3">
        <v>4.4451457000000003</v>
      </c>
      <c r="V1287" s="3">
        <v>4.3891688000000002</v>
      </c>
      <c r="W1287" s="3">
        <v>4.3362027999999997</v>
      </c>
      <c r="X1287" s="3">
        <v>4.2862505999999998</v>
      </c>
      <c r="Y1287" s="3">
        <v>4.2392421000000002</v>
      </c>
      <c r="Z1287" s="3">
        <v>4.1951055000000004</v>
      </c>
      <c r="AA1287" s="3">
        <v>4.1537692000000002</v>
      </c>
      <c r="AB1287" s="3">
        <v>4.1151628000000002</v>
      </c>
      <c r="AC1287" s="3">
        <v>4.0792020000000004</v>
      </c>
      <c r="AD1287" s="3">
        <v>4.0457454000000004</v>
      </c>
      <c r="AE1287" s="3">
        <v>4.0146373999999998</v>
      </c>
      <c r="AF1287" s="3">
        <v>3.9857212</v>
      </c>
      <c r="AG1287" s="3">
        <v>3.9588399999999999</v>
      </c>
      <c r="AH1287" s="3">
        <v>3.9338378999999999</v>
      </c>
      <c r="AI1287" s="3">
        <v>3.9105582000000001</v>
      </c>
      <c r="AJ1287" s="3">
        <v>3.8888441999999999</v>
      </c>
      <c r="AK1287" s="3">
        <v>3.8685399999999999</v>
      </c>
      <c r="AL1287" s="3">
        <v>3.8494888</v>
      </c>
      <c r="AM1287" s="3">
        <v>3.8315339000000002</v>
      </c>
      <c r="AN1287" s="3">
        <v>3.8145193000000002</v>
      </c>
      <c r="AO1287" s="3">
        <v>3.7983096000000001</v>
      </c>
      <c r="AP1287" s="3">
        <v>3.7828626999999999</v>
      </c>
      <c r="AQ1287" s="3">
        <v>3.7681629000000001</v>
      </c>
      <c r="AR1287" s="3">
        <v>3.7541940999999999</v>
      </c>
      <c r="AS1287" s="3">
        <v>3.7409401</v>
      </c>
      <c r="AT1287" s="3">
        <v>3.7283851000000001</v>
      </c>
      <c r="AU1287" s="3">
        <v>3.7165129000000001</v>
      </c>
      <c r="AV1287" s="3">
        <v>3.7053074000000001</v>
      </c>
      <c r="AW1287" s="3">
        <v>3.6947527999999998</v>
      </c>
      <c r="AX1287" s="3">
        <v>3.6848329999999998</v>
      </c>
      <c r="AY1287" s="3">
        <v>3.6755317999999999</v>
      </c>
      <c r="AZ1287" s="3">
        <v>3.6668333</v>
      </c>
      <c r="BA1287" s="3">
        <v>3.6587227000000002</v>
      </c>
      <c r="BB1287" s="3">
        <v>3.6511916000000002</v>
      </c>
      <c r="BC1287" s="3">
        <v>3.6442337999999999</v>
      </c>
      <c r="BD1287" s="3">
        <v>3.6378433000000001</v>
      </c>
      <c r="BE1287" s="3">
        <v>3.6320136000000001</v>
      </c>
      <c r="BF1287" s="3">
        <v>3.6267388999999999</v>
      </c>
      <c r="BG1287" s="3">
        <v>3.6220127999999998</v>
      </c>
      <c r="BH1287" s="3">
        <v>3.6178292000000001</v>
      </c>
      <c r="BI1287" s="3">
        <v>3.6141819000000002</v>
      </c>
      <c r="BJ1287" s="3">
        <v>3.6110647999999999</v>
      </c>
      <c r="BK1287" s="3">
        <v>3.6084716000000001</v>
      </c>
      <c r="BL1287" s="3">
        <v>3.6063963000000001</v>
      </c>
      <c r="BM1287" s="3">
        <v>3.6041884</v>
      </c>
      <c r="BN1287" s="3">
        <v>3.6173223000000001</v>
      </c>
    </row>
    <row r="1288" spans="1:66" x14ac:dyDescent="0.35">
      <c r="A1288" s="5">
        <f t="shared" si="19"/>
        <v>45258</v>
      </c>
      <c r="B1288" t="s">
        <v>2707</v>
      </c>
      <c r="C1288" s="2">
        <v>5.25</v>
      </c>
      <c r="D1288" s="2">
        <v>5.1879</v>
      </c>
      <c r="E1288" s="3">
        <v>5.1942937999999996</v>
      </c>
      <c r="F1288" s="3">
        <v>5.2085955000000004</v>
      </c>
      <c r="G1288" s="3">
        <v>5.215554</v>
      </c>
      <c r="H1288" s="3">
        <v>5.2046343999999998</v>
      </c>
      <c r="I1288" s="3">
        <v>5.1733595000000001</v>
      </c>
      <c r="J1288" s="3">
        <v>5.1242638999999999</v>
      </c>
      <c r="K1288" s="3">
        <v>5.0616300000000001</v>
      </c>
      <c r="L1288" s="3">
        <v>4.9907832000000001</v>
      </c>
      <c r="M1288" s="3">
        <v>4.9164060999999997</v>
      </c>
      <c r="N1288" s="3">
        <v>4.841691</v>
      </c>
      <c r="O1288" s="3">
        <v>4.7681965000000002</v>
      </c>
      <c r="P1288" s="3">
        <v>4.6965782000000003</v>
      </c>
      <c r="Q1288" s="3">
        <v>4.6264371000000004</v>
      </c>
      <c r="R1288" s="3">
        <v>4.5579777000000004</v>
      </c>
      <c r="S1288" s="3">
        <v>4.4916575999999999</v>
      </c>
      <c r="T1288" s="3">
        <v>4.4279323000000002</v>
      </c>
      <c r="U1288" s="3">
        <v>4.3672572000000001</v>
      </c>
      <c r="V1288" s="3">
        <v>4.3100899000000004</v>
      </c>
      <c r="W1288" s="3">
        <v>4.2567668000000003</v>
      </c>
      <c r="X1288" s="3">
        <v>4.2071711000000001</v>
      </c>
      <c r="Y1288" s="3">
        <v>4.1610798000000004</v>
      </c>
      <c r="Z1288" s="3">
        <v>4.1182680999999999</v>
      </c>
      <c r="AA1288" s="3">
        <v>4.0785115000000003</v>
      </c>
      <c r="AB1288" s="3">
        <v>4.0415866999999999</v>
      </c>
      <c r="AC1288" s="3">
        <v>4.0072805000000002</v>
      </c>
      <c r="AD1288" s="3">
        <v>3.9754293999999999</v>
      </c>
      <c r="AE1288" s="3">
        <v>3.9458848999999998</v>
      </c>
      <c r="AF1288" s="3">
        <v>3.9184975</v>
      </c>
      <c r="AG1288" s="3">
        <v>3.8931174999999998</v>
      </c>
      <c r="AH1288" s="3">
        <v>3.8695963</v>
      </c>
      <c r="AI1288" s="3">
        <v>3.8477844000000001</v>
      </c>
      <c r="AJ1288" s="3">
        <v>3.8275321999999998</v>
      </c>
      <c r="AK1288" s="3">
        <v>3.808691</v>
      </c>
      <c r="AL1288" s="3">
        <v>3.7911112</v>
      </c>
      <c r="AM1288" s="3">
        <v>3.7746434999999998</v>
      </c>
      <c r="AN1288" s="3">
        <v>3.7591389999999998</v>
      </c>
      <c r="AO1288" s="3">
        <v>3.7444641000000001</v>
      </c>
      <c r="AP1288" s="3">
        <v>3.7305712</v>
      </c>
      <c r="AQ1288" s="3">
        <v>3.7174418</v>
      </c>
      <c r="AR1288" s="3">
        <v>3.705057</v>
      </c>
      <c r="AS1288" s="3">
        <v>3.6933980000000002</v>
      </c>
      <c r="AT1288" s="3">
        <v>3.6824461999999998</v>
      </c>
      <c r="AU1288" s="3">
        <v>3.6721827</v>
      </c>
      <c r="AV1288" s="3">
        <v>3.6625888</v>
      </c>
      <c r="AW1288" s="3">
        <v>3.6536458000000001</v>
      </c>
      <c r="AX1288" s="3">
        <v>3.6453350000000002</v>
      </c>
      <c r="AY1288" s="3">
        <v>3.6376374999999999</v>
      </c>
      <c r="AZ1288" s="3">
        <v>3.6305347000000001</v>
      </c>
      <c r="BA1288" s="3">
        <v>3.624009</v>
      </c>
      <c r="BB1288" s="3">
        <v>3.6180493</v>
      </c>
      <c r="BC1288" s="3">
        <v>3.6126463000000002</v>
      </c>
      <c r="BD1288" s="3">
        <v>3.6077908000000001</v>
      </c>
      <c r="BE1288" s="3">
        <v>3.6034733999999999</v>
      </c>
      <c r="BF1288" s="3">
        <v>3.5996847999999999</v>
      </c>
      <c r="BG1288" s="3">
        <v>3.5964159000000002</v>
      </c>
      <c r="BH1288" s="3">
        <v>3.5936572</v>
      </c>
      <c r="BI1288" s="3">
        <v>3.5913995999999999</v>
      </c>
      <c r="BJ1288" s="3">
        <v>3.5896336999999998</v>
      </c>
      <c r="BK1288" s="3">
        <v>3.5883501999999998</v>
      </c>
      <c r="BL1288" s="3">
        <v>3.5875398999999999</v>
      </c>
      <c r="BM1288" s="3">
        <v>3.5919433999999999</v>
      </c>
      <c r="BN1288" s="3">
        <v>3.6101101999999998</v>
      </c>
    </row>
    <row r="1289" spans="1:66" x14ac:dyDescent="0.35">
      <c r="A1289" s="5">
        <f t="shared" si="19"/>
        <v>45259</v>
      </c>
      <c r="B1289" t="s">
        <v>2708</v>
      </c>
      <c r="C1289" s="2">
        <v>5.25</v>
      </c>
      <c r="D1289" s="2">
        <v>5.1879</v>
      </c>
      <c r="E1289" s="3">
        <v>5.1917616999999998</v>
      </c>
      <c r="F1289" s="3">
        <v>5.2053912000000002</v>
      </c>
      <c r="G1289" s="3">
        <v>5.2097299000000001</v>
      </c>
      <c r="H1289" s="3">
        <v>5.1947865000000002</v>
      </c>
      <c r="I1289" s="3">
        <v>5.1572372</v>
      </c>
      <c r="J1289" s="3">
        <v>5.0999696999999999</v>
      </c>
      <c r="K1289" s="3">
        <v>5.0279065000000003</v>
      </c>
      <c r="L1289" s="3">
        <v>4.9473684999999996</v>
      </c>
      <c r="M1289" s="3">
        <v>4.8639606000000004</v>
      </c>
      <c r="N1289" s="3">
        <v>4.7812535</v>
      </c>
      <c r="O1289" s="3">
        <v>4.7009024999999998</v>
      </c>
      <c r="P1289" s="3">
        <v>4.6234111000000002</v>
      </c>
      <c r="Q1289" s="3">
        <v>4.5479234000000002</v>
      </c>
      <c r="R1289" s="3">
        <v>4.4744517999999998</v>
      </c>
      <c r="S1289" s="3">
        <v>4.4033604999999998</v>
      </c>
      <c r="T1289" s="3">
        <v>4.3350114</v>
      </c>
      <c r="U1289" s="3">
        <v>4.2697664</v>
      </c>
      <c r="V1289" s="3">
        <v>4.2079896000000003</v>
      </c>
      <c r="W1289" s="3">
        <v>4.1499600000000001</v>
      </c>
      <c r="X1289" s="3">
        <v>4.0956408</v>
      </c>
      <c r="Y1289" s="3">
        <v>4.0449219999999997</v>
      </c>
      <c r="Z1289" s="3">
        <v>3.9976916</v>
      </c>
      <c r="AA1289" s="3">
        <v>3.9538378999999999</v>
      </c>
      <c r="AB1289" s="3">
        <v>3.9132506</v>
      </c>
      <c r="AC1289" s="3">
        <v>3.8758089</v>
      </c>
      <c r="AD1289" s="3">
        <v>3.8413447999999999</v>
      </c>
      <c r="AE1289" s="3">
        <v>3.8096754000000002</v>
      </c>
      <c r="AF1289" s="3">
        <v>3.7806164</v>
      </c>
      <c r="AG1289" s="3">
        <v>3.7539837999999999</v>
      </c>
      <c r="AH1289" s="3">
        <v>3.7295946</v>
      </c>
      <c r="AI1289" s="3">
        <v>3.7072645999999998</v>
      </c>
      <c r="AJ1289" s="3">
        <v>3.6868099000000001</v>
      </c>
      <c r="AK1289" s="3">
        <v>3.6680472000000002</v>
      </c>
      <c r="AL1289" s="3">
        <v>3.6507925999999999</v>
      </c>
      <c r="AM1289" s="3">
        <v>3.6348620999999999</v>
      </c>
      <c r="AN1289" s="3">
        <v>3.6200722999999999</v>
      </c>
      <c r="AO1289" s="3">
        <v>3.6062599</v>
      </c>
      <c r="AP1289" s="3">
        <v>3.5933617</v>
      </c>
      <c r="AQ1289" s="3">
        <v>3.5813451999999999</v>
      </c>
      <c r="AR1289" s="3">
        <v>3.5701776000000001</v>
      </c>
      <c r="AS1289" s="3">
        <v>3.5598263000000001</v>
      </c>
      <c r="AT1289" s="3">
        <v>3.5502587000000001</v>
      </c>
      <c r="AU1289" s="3">
        <v>3.5414422000000001</v>
      </c>
      <c r="AV1289" s="3">
        <v>3.533344</v>
      </c>
      <c r="AW1289" s="3">
        <v>3.5259315999999998</v>
      </c>
      <c r="AX1289" s="3">
        <v>3.5191723000000001</v>
      </c>
      <c r="AY1289" s="3">
        <v>3.5130333999999999</v>
      </c>
      <c r="AZ1289" s="3">
        <v>3.5074822999999999</v>
      </c>
      <c r="BA1289" s="3">
        <v>3.5024896999999999</v>
      </c>
      <c r="BB1289" s="3">
        <v>3.4980408000000001</v>
      </c>
      <c r="BC1289" s="3">
        <v>3.4941249000000001</v>
      </c>
      <c r="BD1289" s="3">
        <v>3.4907311000000001</v>
      </c>
      <c r="BE1289" s="3">
        <v>3.4878488999999999</v>
      </c>
      <c r="BF1289" s="3">
        <v>3.4854674000000001</v>
      </c>
      <c r="BG1289" s="3">
        <v>3.4835758999999999</v>
      </c>
      <c r="BH1289" s="3">
        <v>3.4821635999999998</v>
      </c>
      <c r="BI1289" s="3">
        <v>3.4812199000000001</v>
      </c>
      <c r="BJ1289" s="3">
        <v>3.4807339000000002</v>
      </c>
      <c r="BK1289" s="3">
        <v>3.4806949999999999</v>
      </c>
      <c r="BL1289" s="3">
        <v>3.4810922999999998</v>
      </c>
      <c r="BM1289" s="3">
        <v>3.4919175</v>
      </c>
      <c r="BN1289" s="3">
        <v>3.5150087000000001</v>
      </c>
    </row>
    <row r="1290" spans="1:66" x14ac:dyDescent="0.35">
      <c r="A1290" s="5">
        <f t="shared" si="19"/>
        <v>45260</v>
      </c>
      <c r="B1290" t="s">
        <v>2709</v>
      </c>
      <c r="C1290" s="2">
        <v>5.25</v>
      </c>
      <c r="D1290" s="2">
        <v>5.1881000000000004</v>
      </c>
      <c r="E1290" s="3">
        <v>5.1901247000000001</v>
      </c>
      <c r="F1290" s="3">
        <v>5.2037119000000001</v>
      </c>
      <c r="G1290" s="3">
        <v>5.2073442999999999</v>
      </c>
      <c r="H1290" s="3">
        <v>5.1936958000000004</v>
      </c>
      <c r="I1290" s="3">
        <v>5.1607814999999997</v>
      </c>
      <c r="J1290" s="3">
        <v>5.1111746</v>
      </c>
      <c r="K1290" s="3">
        <v>5.0492754</v>
      </c>
      <c r="L1290" s="3">
        <v>4.9805558999999997</v>
      </c>
      <c r="M1290" s="3">
        <v>4.9098695000000001</v>
      </c>
      <c r="N1290" s="3">
        <v>4.8401082000000004</v>
      </c>
      <c r="O1290" s="3">
        <v>4.7720221</v>
      </c>
      <c r="P1290" s="3">
        <v>4.7052079999999998</v>
      </c>
      <c r="Q1290" s="3">
        <v>4.6375839000000001</v>
      </c>
      <c r="R1290" s="3">
        <v>4.5690999000000003</v>
      </c>
      <c r="S1290" s="3">
        <v>4.5005965000000003</v>
      </c>
      <c r="T1290" s="3">
        <v>4.4329124000000002</v>
      </c>
      <c r="U1290" s="3">
        <v>4.3668863</v>
      </c>
      <c r="V1290" s="3">
        <v>4.3033593999999997</v>
      </c>
      <c r="W1290" s="3">
        <v>4.2430751999999998</v>
      </c>
      <c r="X1290" s="3">
        <v>4.1862903999999999</v>
      </c>
      <c r="Y1290" s="3">
        <v>4.133108</v>
      </c>
      <c r="Z1290" s="3">
        <v>4.0836288999999999</v>
      </c>
      <c r="AA1290" s="3">
        <v>4.0379541999999997</v>
      </c>
      <c r="AB1290" s="3">
        <v>3.9961864999999999</v>
      </c>
      <c r="AC1290" s="3">
        <v>3.9583773999999998</v>
      </c>
      <c r="AD1290" s="3">
        <v>3.9243378999999998</v>
      </c>
      <c r="AE1290" s="3">
        <v>3.8938066999999998</v>
      </c>
      <c r="AF1290" s="3">
        <v>3.8665213</v>
      </c>
      <c r="AG1290" s="3">
        <v>3.8422193999999998</v>
      </c>
      <c r="AH1290" s="3">
        <v>3.8206395999999998</v>
      </c>
      <c r="AI1290" s="3">
        <v>3.8015194000000001</v>
      </c>
      <c r="AJ1290" s="3">
        <v>3.7845966</v>
      </c>
      <c r="AK1290" s="3">
        <v>3.7696095999999999</v>
      </c>
      <c r="AL1290" s="3">
        <v>3.7562961000000001</v>
      </c>
      <c r="AM1290" s="3">
        <v>3.7443938999999999</v>
      </c>
      <c r="AN1290" s="3">
        <v>3.7336412000000001</v>
      </c>
      <c r="AO1290" s="3">
        <v>3.7238083999999998</v>
      </c>
      <c r="AP1290" s="3">
        <v>3.7148089999999998</v>
      </c>
      <c r="AQ1290" s="3">
        <v>3.7065966000000001</v>
      </c>
      <c r="AR1290" s="3">
        <v>3.6991242999999998</v>
      </c>
      <c r="AS1290" s="3">
        <v>3.6923452999999999</v>
      </c>
      <c r="AT1290" s="3">
        <v>3.6862130999999998</v>
      </c>
      <c r="AU1290" s="3">
        <v>3.6806809</v>
      </c>
      <c r="AV1290" s="3">
        <v>3.6757019</v>
      </c>
      <c r="AW1290" s="3">
        <v>3.6712294999999999</v>
      </c>
      <c r="AX1290" s="3">
        <v>3.6672169000000001</v>
      </c>
      <c r="AY1290" s="3">
        <v>3.6636175</v>
      </c>
      <c r="AZ1290" s="3">
        <v>3.6603845000000002</v>
      </c>
      <c r="BA1290" s="3">
        <v>3.6574784</v>
      </c>
      <c r="BB1290" s="3">
        <v>3.6548921000000001</v>
      </c>
      <c r="BC1290" s="3">
        <v>3.6526271000000001</v>
      </c>
      <c r="BD1290" s="3">
        <v>3.6506851</v>
      </c>
      <c r="BE1290" s="3">
        <v>3.6490675000000001</v>
      </c>
      <c r="BF1290" s="3">
        <v>3.6477761000000002</v>
      </c>
      <c r="BG1290" s="3">
        <v>3.6468124</v>
      </c>
      <c r="BH1290" s="3">
        <v>3.6461779999999999</v>
      </c>
      <c r="BI1290" s="3">
        <v>3.6458745000000001</v>
      </c>
      <c r="BJ1290" s="3">
        <v>3.6459036</v>
      </c>
      <c r="BK1290" s="3">
        <v>3.6462667999999998</v>
      </c>
      <c r="BL1290" s="3">
        <v>3.6469657</v>
      </c>
      <c r="BM1290" s="3">
        <v>3.6580029999999999</v>
      </c>
      <c r="BN1290" s="3">
        <v>3.6797137000000002</v>
      </c>
    </row>
    <row r="1291" spans="1:66" x14ac:dyDescent="0.35">
      <c r="A1291" s="5">
        <f t="shared" si="19"/>
        <v>45261</v>
      </c>
      <c r="B1291" t="s">
        <v>2710</v>
      </c>
      <c r="C1291" s="2">
        <v>5.25</v>
      </c>
      <c r="D1291" s="2">
        <v>5.1886000000000001</v>
      </c>
      <c r="E1291" s="3">
        <v>5.1928939999999999</v>
      </c>
      <c r="F1291" s="3">
        <v>5.1996418999999996</v>
      </c>
      <c r="G1291" s="3">
        <v>5.1947429999999999</v>
      </c>
      <c r="H1291" s="3">
        <v>5.1692977000000004</v>
      </c>
      <c r="I1291" s="3">
        <v>5.1226345000000002</v>
      </c>
      <c r="J1291" s="3">
        <v>5.0587030999999998</v>
      </c>
      <c r="K1291" s="3">
        <v>4.9828786000000003</v>
      </c>
      <c r="L1291" s="3">
        <v>4.9002558000000001</v>
      </c>
      <c r="M1291" s="3">
        <v>4.8155051000000002</v>
      </c>
      <c r="N1291" s="3">
        <v>4.7316241000000003</v>
      </c>
      <c r="O1291" s="3">
        <v>4.6500645</v>
      </c>
      <c r="P1291" s="3">
        <v>4.5714784999999996</v>
      </c>
      <c r="Q1291" s="3">
        <v>4.49573</v>
      </c>
      <c r="R1291" s="3">
        <v>4.4229127000000004</v>
      </c>
      <c r="S1291" s="3">
        <v>4.3532643999999996</v>
      </c>
      <c r="T1291" s="3">
        <v>4.2870200000000001</v>
      </c>
      <c r="U1291" s="3">
        <v>4.2244146999999996</v>
      </c>
      <c r="V1291" s="3">
        <v>4.165686</v>
      </c>
      <c r="W1291" s="3">
        <v>4.1110129000000004</v>
      </c>
      <c r="X1291" s="3">
        <v>4.0603157000000003</v>
      </c>
      <c r="Y1291" s="3">
        <v>4.0134410000000003</v>
      </c>
      <c r="Z1291" s="3">
        <v>3.9702335</v>
      </c>
      <c r="AA1291" s="3">
        <v>3.9305384000000001</v>
      </c>
      <c r="AB1291" s="3">
        <v>3.8942019999999999</v>
      </c>
      <c r="AC1291" s="3">
        <v>3.8610627000000002</v>
      </c>
      <c r="AD1291" s="3">
        <v>3.8309297999999998</v>
      </c>
      <c r="AE1291" s="3">
        <v>3.8036056</v>
      </c>
      <c r="AF1291" s="3">
        <v>3.7788911999999999</v>
      </c>
      <c r="AG1291" s="3">
        <v>3.7565881000000001</v>
      </c>
      <c r="AH1291" s="3">
        <v>3.7364983000000001</v>
      </c>
      <c r="AI1291" s="3">
        <v>3.7184232000000002</v>
      </c>
      <c r="AJ1291" s="3">
        <v>3.7021641000000001</v>
      </c>
      <c r="AK1291" s="3">
        <v>3.6875228999999998</v>
      </c>
      <c r="AL1291" s="3">
        <v>3.6743011999999999</v>
      </c>
      <c r="AM1291" s="3">
        <v>3.6623001999999998</v>
      </c>
      <c r="AN1291" s="3">
        <v>3.651322</v>
      </c>
      <c r="AO1291" s="3">
        <v>3.6411921</v>
      </c>
      <c r="AP1291" s="3">
        <v>3.6318429999999999</v>
      </c>
      <c r="AQ1291" s="3">
        <v>3.623237</v>
      </c>
      <c r="AR1291" s="3">
        <v>3.6153362000000002</v>
      </c>
      <c r="AS1291" s="3">
        <v>3.6081026</v>
      </c>
      <c r="AT1291" s="3">
        <v>3.6014984000000001</v>
      </c>
      <c r="AU1291" s="3">
        <v>3.5954855999999999</v>
      </c>
      <c r="AV1291" s="3">
        <v>3.5900262000000001</v>
      </c>
      <c r="AW1291" s="3">
        <v>3.5850825999999998</v>
      </c>
      <c r="AX1291" s="3">
        <v>3.5806165999999999</v>
      </c>
      <c r="AY1291" s="3">
        <v>3.5765905</v>
      </c>
      <c r="AZ1291" s="3">
        <v>3.5729663</v>
      </c>
      <c r="BA1291" s="3">
        <v>3.5697117</v>
      </c>
      <c r="BB1291" s="3">
        <v>3.5668191999999999</v>
      </c>
      <c r="BC1291" s="3">
        <v>3.5642879999999999</v>
      </c>
      <c r="BD1291" s="3">
        <v>3.5621173000000002</v>
      </c>
      <c r="BE1291" s="3">
        <v>3.5603064999999998</v>
      </c>
      <c r="BF1291" s="3">
        <v>3.5588546999999999</v>
      </c>
      <c r="BG1291" s="3">
        <v>3.5577613000000001</v>
      </c>
      <c r="BH1291" s="3">
        <v>3.5570254000000001</v>
      </c>
      <c r="BI1291" s="3">
        <v>3.5566464</v>
      </c>
      <c r="BJ1291" s="3">
        <v>3.5566233999999999</v>
      </c>
      <c r="BK1291" s="3">
        <v>3.5569557999999999</v>
      </c>
      <c r="BL1291" s="3">
        <v>3.5576428</v>
      </c>
      <c r="BM1291" s="3">
        <v>3.5689888000000001</v>
      </c>
      <c r="BN1291" s="3">
        <v>3.5918022999999999</v>
      </c>
    </row>
    <row r="1292" spans="1:66" x14ac:dyDescent="0.35">
      <c r="A1292" s="5">
        <f t="shared" si="19"/>
        <v>45264</v>
      </c>
      <c r="B1292" t="s">
        <v>2712</v>
      </c>
      <c r="C1292" s="2">
        <v>5.25</v>
      </c>
      <c r="D1292" s="2">
        <v>5.1878000000000002</v>
      </c>
      <c r="E1292" s="3">
        <v>5.1933178</v>
      </c>
      <c r="F1292" s="3">
        <v>5.2007684999999997</v>
      </c>
      <c r="G1292" s="3">
        <v>5.1976247999999998</v>
      </c>
      <c r="H1292" s="3">
        <v>5.1756146999999997</v>
      </c>
      <c r="I1292" s="3">
        <v>5.1333421000000001</v>
      </c>
      <c r="J1292" s="3">
        <v>5.0742818999999999</v>
      </c>
      <c r="K1292" s="3">
        <v>5.0043053000000004</v>
      </c>
      <c r="L1292" s="3">
        <v>4.9294757000000002</v>
      </c>
      <c r="M1292" s="3">
        <v>4.8545831000000002</v>
      </c>
      <c r="N1292" s="3">
        <v>4.7823615999999998</v>
      </c>
      <c r="O1292" s="3">
        <v>4.7137457999999999</v>
      </c>
      <c r="P1292" s="3">
        <v>4.6486014000000004</v>
      </c>
      <c r="Q1292" s="3">
        <v>4.5854900000000001</v>
      </c>
      <c r="R1292" s="3">
        <v>4.5241182999999996</v>
      </c>
      <c r="S1292" s="3">
        <v>4.4646356999999997</v>
      </c>
      <c r="T1292" s="3">
        <v>4.4071892000000004</v>
      </c>
      <c r="U1292" s="3">
        <v>4.3519259999999997</v>
      </c>
      <c r="V1292" s="3">
        <v>4.2989952999999996</v>
      </c>
      <c r="W1292" s="3">
        <v>4.2485219000000001</v>
      </c>
      <c r="X1292" s="3">
        <v>4.2005366000000004</v>
      </c>
      <c r="Y1292" s="3">
        <v>4.1550475000000002</v>
      </c>
      <c r="Z1292" s="3">
        <v>4.1120606999999998</v>
      </c>
      <c r="AA1292" s="3">
        <v>4.0715827000000004</v>
      </c>
      <c r="AB1292" s="3">
        <v>4.0336210000000001</v>
      </c>
      <c r="AC1292" s="3">
        <v>3.9981623000000002</v>
      </c>
      <c r="AD1292" s="3">
        <v>3.9651052999999998</v>
      </c>
      <c r="AE1292" s="3">
        <v>3.9343257999999999</v>
      </c>
      <c r="AF1292" s="3">
        <v>3.9056985000000002</v>
      </c>
      <c r="AG1292" s="3">
        <v>3.8790981000000002</v>
      </c>
      <c r="AH1292" s="3">
        <v>3.8544002000000002</v>
      </c>
      <c r="AI1292" s="3">
        <v>3.8314796000000002</v>
      </c>
      <c r="AJ1292" s="3">
        <v>3.8102109</v>
      </c>
      <c r="AK1292" s="3">
        <v>3.7904697999999999</v>
      </c>
      <c r="AL1292" s="3">
        <v>3.7721309999999999</v>
      </c>
      <c r="AM1292" s="3">
        <v>3.7550693000000002</v>
      </c>
      <c r="AN1292" s="3">
        <v>3.7391600999999999</v>
      </c>
      <c r="AO1292" s="3">
        <v>3.7242924999999998</v>
      </c>
      <c r="AP1292" s="3">
        <v>3.7104180000000002</v>
      </c>
      <c r="AQ1292" s="3">
        <v>3.6975058000000001</v>
      </c>
      <c r="AR1292" s="3">
        <v>3.6855248</v>
      </c>
      <c r="AS1292" s="3">
        <v>3.6744436999999999</v>
      </c>
      <c r="AT1292" s="3">
        <v>3.6642318999999999</v>
      </c>
      <c r="AU1292" s="3">
        <v>3.6548581000000002</v>
      </c>
      <c r="AV1292" s="3">
        <v>3.6462913000000001</v>
      </c>
      <c r="AW1292" s="3">
        <v>3.6385003999999999</v>
      </c>
      <c r="AX1292" s="3">
        <v>3.6314544999999998</v>
      </c>
      <c r="AY1292" s="3">
        <v>3.6251224</v>
      </c>
      <c r="AZ1292" s="3">
        <v>3.6194731999999998</v>
      </c>
      <c r="BA1292" s="3">
        <v>3.6144777000000001</v>
      </c>
      <c r="BB1292" s="3">
        <v>3.6101168000000001</v>
      </c>
      <c r="BC1292" s="3">
        <v>3.6063749999999999</v>
      </c>
      <c r="BD1292" s="3">
        <v>3.6032367000000001</v>
      </c>
      <c r="BE1292" s="3">
        <v>3.6006863</v>
      </c>
      <c r="BF1292" s="3">
        <v>3.5987081999999999</v>
      </c>
      <c r="BG1292" s="3">
        <v>3.5972868</v>
      </c>
      <c r="BH1292" s="3">
        <v>3.5964065000000001</v>
      </c>
      <c r="BI1292" s="3">
        <v>3.5960516999999999</v>
      </c>
      <c r="BJ1292" s="3">
        <v>3.5962068</v>
      </c>
      <c r="BK1292" s="3">
        <v>3.5968562999999998</v>
      </c>
      <c r="BL1292" s="3">
        <v>3.5979844000000001</v>
      </c>
      <c r="BM1292" s="3">
        <v>3.6138482000000001</v>
      </c>
      <c r="BN1292" s="3">
        <v>3.6424946999999999</v>
      </c>
    </row>
    <row r="1293" spans="1:66" x14ac:dyDescent="0.35">
      <c r="A1293" s="5">
        <f t="shared" si="19"/>
        <v>45265</v>
      </c>
      <c r="B1293" t="s">
        <v>2714</v>
      </c>
      <c r="C1293" s="2">
        <v>5.25</v>
      </c>
      <c r="D1293" s="2">
        <v>5.1875</v>
      </c>
      <c r="E1293" s="3">
        <v>5.1908031000000001</v>
      </c>
      <c r="F1293" s="3">
        <v>5.1960961000000001</v>
      </c>
      <c r="G1293" s="3">
        <v>5.1867295000000002</v>
      </c>
      <c r="H1293" s="3">
        <v>5.1534018000000001</v>
      </c>
      <c r="I1293" s="3">
        <v>5.0957336</v>
      </c>
      <c r="J1293" s="3">
        <v>5.0195628000000001</v>
      </c>
      <c r="K1293" s="3">
        <v>4.9325836000000001</v>
      </c>
      <c r="L1293" s="3">
        <v>4.8425396000000003</v>
      </c>
      <c r="M1293" s="3">
        <v>4.7551690000000004</v>
      </c>
      <c r="N1293" s="3">
        <v>4.6734080000000002</v>
      </c>
      <c r="O1293" s="3">
        <v>4.5976714999999997</v>
      </c>
      <c r="P1293" s="3">
        <v>4.5273738000000003</v>
      </c>
      <c r="Q1293" s="3">
        <v>4.4602022999999997</v>
      </c>
      <c r="R1293" s="3">
        <v>4.3955324999999998</v>
      </c>
      <c r="S1293" s="3">
        <v>4.3333893999999997</v>
      </c>
      <c r="T1293" s="3">
        <v>4.2737954</v>
      </c>
      <c r="U1293" s="3">
        <v>4.2167732000000004</v>
      </c>
      <c r="V1293" s="3">
        <v>4.1623475000000001</v>
      </c>
      <c r="W1293" s="3">
        <v>4.1105356000000004</v>
      </c>
      <c r="X1293" s="3">
        <v>4.0613317000000002</v>
      </c>
      <c r="Y1293" s="3">
        <v>4.0147259000000002</v>
      </c>
      <c r="Z1293" s="3">
        <v>3.9707064999999999</v>
      </c>
      <c r="AA1293" s="3">
        <v>3.9292617999999999</v>
      </c>
      <c r="AB1293" s="3">
        <v>3.8903816999999998</v>
      </c>
      <c r="AC1293" s="3">
        <v>3.8540374000000002</v>
      </c>
      <c r="AD1293" s="3">
        <v>3.8201239</v>
      </c>
      <c r="AE1293" s="3">
        <v>3.7885165000000001</v>
      </c>
      <c r="AF1293" s="3">
        <v>3.7590892</v>
      </c>
      <c r="AG1293" s="3">
        <v>3.7317162000000001</v>
      </c>
      <c r="AH1293" s="3">
        <v>3.7062726000000001</v>
      </c>
      <c r="AI1293" s="3">
        <v>3.6826324000000001</v>
      </c>
      <c r="AJ1293" s="3">
        <v>3.6606698999999998</v>
      </c>
      <c r="AK1293" s="3">
        <v>3.6402600999999999</v>
      </c>
      <c r="AL1293" s="3">
        <v>3.6212772000000002</v>
      </c>
      <c r="AM1293" s="3">
        <v>3.6035952999999998</v>
      </c>
      <c r="AN1293" s="3">
        <v>3.5870894999999998</v>
      </c>
      <c r="AO1293" s="3">
        <v>3.5716451</v>
      </c>
      <c r="AP1293" s="3">
        <v>3.5572083999999999</v>
      </c>
      <c r="AQ1293" s="3">
        <v>3.5437466</v>
      </c>
      <c r="AR1293" s="3">
        <v>3.5312261</v>
      </c>
      <c r="AS1293" s="3">
        <v>3.5196136999999998</v>
      </c>
      <c r="AT1293" s="3">
        <v>3.5088762999999998</v>
      </c>
      <c r="AU1293" s="3">
        <v>3.4989805</v>
      </c>
      <c r="AV1293" s="3">
        <v>3.4898931000000002</v>
      </c>
      <c r="AW1293" s="3">
        <v>3.4815809</v>
      </c>
      <c r="AX1293" s="3">
        <v>3.4740106000000002</v>
      </c>
      <c r="AY1293" s="3">
        <v>3.467149</v>
      </c>
      <c r="AZ1293" s="3">
        <v>3.4609627999999999</v>
      </c>
      <c r="BA1293" s="3">
        <v>3.4554212</v>
      </c>
      <c r="BB1293" s="3">
        <v>3.4505045999999999</v>
      </c>
      <c r="BC1293" s="3">
        <v>3.4461971</v>
      </c>
      <c r="BD1293" s="3">
        <v>3.4424825999999999</v>
      </c>
      <c r="BE1293" s="3">
        <v>3.4393449999999999</v>
      </c>
      <c r="BF1293" s="3">
        <v>3.4367684999999999</v>
      </c>
      <c r="BG1293" s="3">
        <v>3.4347370000000002</v>
      </c>
      <c r="BH1293" s="3">
        <v>3.4332345000000002</v>
      </c>
      <c r="BI1293" s="3">
        <v>3.4322449000000002</v>
      </c>
      <c r="BJ1293" s="3">
        <v>3.4317522999999999</v>
      </c>
      <c r="BK1293" s="3">
        <v>3.4317407000000002</v>
      </c>
      <c r="BL1293" s="3">
        <v>3.432194</v>
      </c>
      <c r="BM1293" s="3">
        <v>3.4438217999999998</v>
      </c>
      <c r="BN1293" s="3">
        <v>3.4684045999999999</v>
      </c>
    </row>
    <row r="1294" spans="1:66" x14ac:dyDescent="0.35">
      <c r="A1294" s="5">
        <f t="shared" si="19"/>
        <v>45266</v>
      </c>
      <c r="B1294" t="s">
        <v>2715</v>
      </c>
      <c r="C1294" s="2">
        <v>5.25</v>
      </c>
      <c r="D1294" s="2">
        <v>5.1874000000000002</v>
      </c>
      <c r="E1294" s="3">
        <v>5.1892693999999997</v>
      </c>
      <c r="F1294" s="3">
        <v>5.1937274000000002</v>
      </c>
      <c r="G1294" s="3">
        <v>5.1829473999999998</v>
      </c>
      <c r="H1294" s="3">
        <v>5.1486270000000003</v>
      </c>
      <c r="I1294" s="3">
        <v>5.0900831000000002</v>
      </c>
      <c r="J1294" s="3">
        <v>5.0134182000000003</v>
      </c>
      <c r="K1294" s="3">
        <v>4.9259548000000004</v>
      </c>
      <c r="L1294" s="3">
        <v>4.8350749000000004</v>
      </c>
      <c r="M1294" s="3">
        <v>4.7461615000000004</v>
      </c>
      <c r="N1294" s="3">
        <v>4.6618029999999999</v>
      </c>
      <c r="O1294" s="3">
        <v>4.5823285</v>
      </c>
      <c r="P1294" s="3">
        <v>4.5070661999999997</v>
      </c>
      <c r="Q1294" s="3">
        <v>4.4337061999999996</v>
      </c>
      <c r="R1294" s="3">
        <v>4.3619409999999998</v>
      </c>
      <c r="S1294" s="3">
        <v>4.2921958</v>
      </c>
      <c r="T1294" s="3">
        <v>4.2248929000000004</v>
      </c>
      <c r="U1294" s="3">
        <v>4.1604551000000001</v>
      </c>
      <c r="V1294" s="3">
        <v>4.0993072000000002</v>
      </c>
      <c r="W1294" s="3">
        <v>4.0417895000000001</v>
      </c>
      <c r="X1294" s="3">
        <v>3.9878958999999998</v>
      </c>
      <c r="Y1294" s="3">
        <v>3.9375312999999998</v>
      </c>
      <c r="Z1294" s="3">
        <v>3.8905986000000001</v>
      </c>
      <c r="AA1294" s="3">
        <v>3.8470008999999998</v>
      </c>
      <c r="AB1294" s="3">
        <v>3.8066428999999999</v>
      </c>
      <c r="AC1294" s="3">
        <v>3.7694168000000001</v>
      </c>
      <c r="AD1294" s="3">
        <v>3.7351568999999998</v>
      </c>
      <c r="AE1294" s="3">
        <v>3.7036793000000001</v>
      </c>
      <c r="AF1294" s="3">
        <v>3.6747985000000001</v>
      </c>
      <c r="AG1294" s="3">
        <v>3.6483295999999998</v>
      </c>
      <c r="AH1294" s="3">
        <v>3.6240882000000001</v>
      </c>
      <c r="AI1294" s="3">
        <v>3.6018892</v>
      </c>
      <c r="AJ1294" s="3">
        <v>3.5815475999999999</v>
      </c>
      <c r="AK1294" s="3">
        <v>3.5628788999999998</v>
      </c>
      <c r="AL1294" s="3">
        <v>3.5456981000000001</v>
      </c>
      <c r="AM1294" s="3">
        <v>3.5298200999999998</v>
      </c>
      <c r="AN1294" s="3">
        <v>3.5150605000000001</v>
      </c>
      <c r="AO1294" s="3">
        <v>3.5012546000000002</v>
      </c>
      <c r="AP1294" s="3">
        <v>3.4883362</v>
      </c>
      <c r="AQ1294" s="3">
        <v>3.47627</v>
      </c>
      <c r="AR1294" s="3">
        <v>3.4650200999999998</v>
      </c>
      <c r="AS1294" s="3">
        <v>3.4545504999999999</v>
      </c>
      <c r="AT1294" s="3">
        <v>3.4448257999999998</v>
      </c>
      <c r="AU1294" s="3">
        <v>3.43581</v>
      </c>
      <c r="AV1294" s="3">
        <v>3.4274673</v>
      </c>
      <c r="AW1294" s="3">
        <v>3.4197622000000001</v>
      </c>
      <c r="AX1294" s="3">
        <v>3.4126587000000002</v>
      </c>
      <c r="AY1294" s="3">
        <v>3.4061210000000002</v>
      </c>
      <c r="AZ1294" s="3">
        <v>3.4001136000000001</v>
      </c>
      <c r="BA1294" s="3">
        <v>3.3946044999999998</v>
      </c>
      <c r="BB1294" s="3">
        <v>3.3895802000000002</v>
      </c>
      <c r="BC1294" s="3">
        <v>3.3850319</v>
      </c>
      <c r="BD1294" s="3">
        <v>3.380951</v>
      </c>
      <c r="BE1294" s="3">
        <v>3.3773285</v>
      </c>
      <c r="BF1294" s="3">
        <v>3.3741558999999999</v>
      </c>
      <c r="BG1294" s="3">
        <v>3.3714244</v>
      </c>
      <c r="BH1294" s="3">
        <v>3.3691252999999999</v>
      </c>
      <c r="BI1294" s="3">
        <v>3.3672498000000002</v>
      </c>
      <c r="BJ1294" s="3">
        <v>3.3657892999999999</v>
      </c>
      <c r="BK1294" s="3">
        <v>3.3647349000000002</v>
      </c>
      <c r="BL1294" s="3">
        <v>3.3640780000000001</v>
      </c>
      <c r="BM1294" s="3">
        <v>3.3680004000000001</v>
      </c>
      <c r="BN1294" s="3">
        <v>3.3840705999999998</v>
      </c>
    </row>
    <row r="1295" spans="1:66" x14ac:dyDescent="0.35">
      <c r="A1295" s="5">
        <f t="shared" si="19"/>
        <v>45267</v>
      </c>
      <c r="B1295" t="s">
        <v>2716</v>
      </c>
      <c r="C1295" s="2">
        <v>5.25</v>
      </c>
      <c r="D1295" s="2">
        <v>5.1875</v>
      </c>
      <c r="E1295" s="3">
        <v>5.1906863999999997</v>
      </c>
      <c r="F1295" s="3">
        <v>5.1967954000000001</v>
      </c>
      <c r="G1295" s="3">
        <v>5.1870627999999996</v>
      </c>
      <c r="H1295" s="3">
        <v>5.1535443000000001</v>
      </c>
      <c r="I1295" s="3">
        <v>5.0962132000000002</v>
      </c>
      <c r="J1295" s="3">
        <v>5.0206897000000001</v>
      </c>
      <c r="K1295" s="3">
        <v>4.9343425999999999</v>
      </c>
      <c r="L1295" s="3">
        <v>4.8442039000000001</v>
      </c>
      <c r="M1295" s="3">
        <v>4.7553435000000004</v>
      </c>
      <c r="N1295" s="3">
        <v>4.6703562999999999</v>
      </c>
      <c r="O1295" s="3">
        <v>4.5895731</v>
      </c>
      <c r="P1295" s="3">
        <v>4.5123917999999996</v>
      </c>
      <c r="Q1295" s="3">
        <v>4.4364666000000001</v>
      </c>
      <c r="R1295" s="3">
        <v>4.3615177000000003</v>
      </c>
      <c r="S1295" s="3">
        <v>4.2881834999999997</v>
      </c>
      <c r="T1295" s="3">
        <v>4.2171000000000003</v>
      </c>
      <c r="U1295" s="3">
        <v>4.1489037</v>
      </c>
      <c r="V1295" s="3">
        <v>4.0842334999999999</v>
      </c>
      <c r="W1295" s="3">
        <v>4.0236346000000003</v>
      </c>
      <c r="X1295" s="3">
        <v>3.9671877000000002</v>
      </c>
      <c r="Y1295" s="3">
        <v>3.9148263999999999</v>
      </c>
      <c r="Z1295" s="3">
        <v>3.8664825</v>
      </c>
      <c r="AA1295" s="3">
        <v>3.8220879000000001</v>
      </c>
      <c r="AB1295" s="3">
        <v>3.7815759</v>
      </c>
      <c r="AC1295" s="3">
        <v>3.7448524000000001</v>
      </c>
      <c r="AD1295" s="3">
        <v>3.7116965999999998</v>
      </c>
      <c r="AE1295" s="3">
        <v>3.6818504000000001</v>
      </c>
      <c r="AF1295" s="3">
        <v>3.6550544</v>
      </c>
      <c r="AG1295" s="3">
        <v>3.6310494000000002</v>
      </c>
      <c r="AH1295" s="3">
        <v>3.6095769999999998</v>
      </c>
      <c r="AI1295" s="3">
        <v>3.5903778000000002</v>
      </c>
      <c r="AJ1295" s="3">
        <v>3.5731928000000002</v>
      </c>
      <c r="AK1295" s="3">
        <v>3.5577633999999998</v>
      </c>
      <c r="AL1295" s="3">
        <v>3.5438304</v>
      </c>
      <c r="AM1295" s="3">
        <v>3.5311347999999998</v>
      </c>
      <c r="AN1295" s="3">
        <v>3.5194177999999998</v>
      </c>
      <c r="AO1295" s="3">
        <v>3.5084542000000001</v>
      </c>
      <c r="AP1295" s="3">
        <v>3.4981688000000002</v>
      </c>
      <c r="AQ1295" s="3">
        <v>3.4885280000000001</v>
      </c>
      <c r="AR1295" s="3">
        <v>3.4794977</v>
      </c>
      <c r="AS1295" s="3">
        <v>3.4710440999999999</v>
      </c>
      <c r="AT1295" s="3">
        <v>3.4631333999999998</v>
      </c>
      <c r="AU1295" s="3">
        <v>3.4557318000000001</v>
      </c>
      <c r="AV1295" s="3">
        <v>3.4488051999999998</v>
      </c>
      <c r="AW1295" s="3">
        <v>3.44232</v>
      </c>
      <c r="AX1295" s="3">
        <v>3.4362423</v>
      </c>
      <c r="AY1295" s="3">
        <v>3.4305381000000001</v>
      </c>
      <c r="AZ1295" s="3">
        <v>3.4251737000000002</v>
      </c>
      <c r="BA1295" s="3">
        <v>3.4201210999999998</v>
      </c>
      <c r="BB1295" s="3">
        <v>3.4153785999999999</v>
      </c>
      <c r="BC1295" s="3">
        <v>3.4109516000000002</v>
      </c>
      <c r="BD1295" s="3">
        <v>3.4068458000000001</v>
      </c>
      <c r="BE1295" s="3">
        <v>3.4030664000000002</v>
      </c>
      <c r="BF1295" s="3">
        <v>3.3996189999999999</v>
      </c>
      <c r="BG1295" s="3">
        <v>3.3965090999999998</v>
      </c>
      <c r="BH1295" s="3">
        <v>3.3937422000000002</v>
      </c>
      <c r="BI1295" s="3">
        <v>3.3913237000000001</v>
      </c>
      <c r="BJ1295" s="3">
        <v>3.3892592000000001</v>
      </c>
      <c r="BK1295" s="3">
        <v>3.3875540000000002</v>
      </c>
      <c r="BL1295" s="3">
        <v>3.3862136999999999</v>
      </c>
      <c r="BM1295" s="3">
        <v>3.3857775999999999</v>
      </c>
      <c r="BN1295" s="3">
        <v>3.3976259</v>
      </c>
    </row>
    <row r="1296" spans="1:66" x14ac:dyDescent="0.35">
      <c r="A1296" s="5">
        <f t="shared" si="19"/>
        <v>45268</v>
      </c>
      <c r="B1296" t="s">
        <v>2717</v>
      </c>
      <c r="C1296" s="2">
        <v>5.25</v>
      </c>
      <c r="D1296" s="2">
        <v>5.1871999999999998</v>
      </c>
      <c r="E1296" s="3">
        <v>5.1920355000000002</v>
      </c>
      <c r="F1296" s="3">
        <v>5.20059</v>
      </c>
      <c r="G1296" s="3">
        <v>5.1954973000000004</v>
      </c>
      <c r="H1296" s="3">
        <v>5.1677084999999998</v>
      </c>
      <c r="I1296" s="3">
        <v>5.1163707</v>
      </c>
      <c r="J1296" s="3">
        <v>5.0458246000000004</v>
      </c>
      <c r="K1296" s="3">
        <v>4.9629114999999997</v>
      </c>
      <c r="L1296" s="3">
        <v>4.8737088999999996</v>
      </c>
      <c r="M1296" s="3">
        <v>4.7831923999999999</v>
      </c>
      <c r="N1296" s="3">
        <v>4.6945183999999998</v>
      </c>
      <c r="O1296" s="3">
        <v>4.6092652000000003</v>
      </c>
      <c r="P1296" s="3">
        <v>4.5281437999999996</v>
      </c>
      <c r="Q1296" s="3">
        <v>4.4511488999999997</v>
      </c>
      <c r="R1296" s="3">
        <v>4.3782375</v>
      </c>
      <c r="S1296" s="3">
        <v>4.3094146999999996</v>
      </c>
      <c r="T1296" s="3">
        <v>4.2446827999999996</v>
      </c>
      <c r="U1296" s="3">
        <v>4.1840443</v>
      </c>
      <c r="V1296" s="3">
        <v>4.1275038999999998</v>
      </c>
      <c r="W1296" s="3">
        <v>4.0750279999999997</v>
      </c>
      <c r="X1296" s="3">
        <v>4.0264158999999999</v>
      </c>
      <c r="Y1296" s="3">
        <v>3.9814204000000002</v>
      </c>
      <c r="Z1296" s="3">
        <v>3.9397923000000001</v>
      </c>
      <c r="AA1296" s="3">
        <v>3.9012826</v>
      </c>
      <c r="AB1296" s="3">
        <v>3.8656437000000001</v>
      </c>
      <c r="AC1296" s="3">
        <v>3.8326406999999998</v>
      </c>
      <c r="AD1296" s="3">
        <v>3.8021010999999998</v>
      </c>
      <c r="AE1296" s="3">
        <v>3.7738708999999999</v>
      </c>
      <c r="AF1296" s="3">
        <v>3.7477946000000002</v>
      </c>
      <c r="AG1296" s="3">
        <v>3.7237171</v>
      </c>
      <c r="AH1296" s="3">
        <v>3.7014841000000001</v>
      </c>
      <c r="AI1296" s="3">
        <v>3.6809402000000002</v>
      </c>
      <c r="AJ1296" s="3">
        <v>3.6619304000000001</v>
      </c>
      <c r="AK1296" s="3">
        <v>3.6443002999999998</v>
      </c>
      <c r="AL1296" s="3">
        <v>3.6278945999999999</v>
      </c>
      <c r="AM1296" s="3">
        <v>3.6125582000000001</v>
      </c>
      <c r="AN1296" s="3">
        <v>3.5981367</v>
      </c>
      <c r="AO1296" s="3">
        <v>3.5844947</v>
      </c>
      <c r="AP1296" s="3">
        <v>3.5715848000000001</v>
      </c>
      <c r="AQ1296" s="3">
        <v>3.5593840000000001</v>
      </c>
      <c r="AR1296" s="3">
        <v>3.5478689999999999</v>
      </c>
      <c r="AS1296" s="3">
        <v>3.5370164000000002</v>
      </c>
      <c r="AT1296" s="3">
        <v>3.5268033999999999</v>
      </c>
      <c r="AU1296" s="3">
        <v>3.5172064999999999</v>
      </c>
      <c r="AV1296" s="3">
        <v>3.5082024999999999</v>
      </c>
      <c r="AW1296" s="3">
        <v>3.4997685000000001</v>
      </c>
      <c r="AX1296" s="3">
        <v>3.4918809999999998</v>
      </c>
      <c r="AY1296" s="3">
        <v>3.4845169</v>
      </c>
      <c r="AZ1296" s="3">
        <v>3.4776530999999999</v>
      </c>
      <c r="BA1296" s="3">
        <v>3.4712692000000001</v>
      </c>
      <c r="BB1296" s="3">
        <v>3.4653583999999999</v>
      </c>
      <c r="BC1296" s="3">
        <v>3.4599174000000001</v>
      </c>
      <c r="BD1296" s="3">
        <v>3.4549428</v>
      </c>
      <c r="BE1296" s="3">
        <v>3.4504313999999998</v>
      </c>
      <c r="BF1296" s="3">
        <v>3.4463797999999999</v>
      </c>
      <c r="BG1296" s="3">
        <v>3.4427848999999999</v>
      </c>
      <c r="BH1296" s="3">
        <v>3.4396431000000001</v>
      </c>
      <c r="BI1296" s="3">
        <v>3.4369513</v>
      </c>
      <c r="BJ1296" s="3">
        <v>3.4347061999999999</v>
      </c>
      <c r="BK1296" s="3">
        <v>3.4329044</v>
      </c>
      <c r="BL1296" s="3">
        <v>3.4315427000000001</v>
      </c>
      <c r="BM1296" s="3">
        <v>3.4322225</v>
      </c>
      <c r="BN1296" s="3">
        <v>3.4466462</v>
      </c>
    </row>
    <row r="1297" spans="1:66" x14ac:dyDescent="0.35">
      <c r="A1297" s="5">
        <f t="shared" si="19"/>
        <v>45271</v>
      </c>
      <c r="B1297" t="s">
        <v>2718</v>
      </c>
      <c r="C1297" s="2">
        <v>5.25</v>
      </c>
      <c r="D1297" s="2">
        <v>5.1875999999999998</v>
      </c>
      <c r="E1297" s="3">
        <v>5.1939007999999998</v>
      </c>
      <c r="F1297" s="3">
        <v>5.2056513999999998</v>
      </c>
      <c r="G1297" s="3">
        <v>5.2051901000000003</v>
      </c>
      <c r="H1297" s="3">
        <v>5.1830271000000003</v>
      </c>
      <c r="I1297" s="3">
        <v>5.1369705999999997</v>
      </c>
      <c r="J1297" s="3">
        <v>5.0708846999999997</v>
      </c>
      <c r="K1297" s="3">
        <v>4.9912957999999996</v>
      </c>
      <c r="L1297" s="3">
        <v>4.9057019999999998</v>
      </c>
      <c r="M1297" s="3">
        <v>4.8200374000000004</v>
      </c>
      <c r="N1297" s="3">
        <v>4.7378042999999996</v>
      </c>
      <c r="O1297" s="3">
        <v>4.6603808999999998</v>
      </c>
      <c r="P1297" s="3">
        <v>4.5877283999999996</v>
      </c>
      <c r="Q1297" s="3">
        <v>4.5181082000000004</v>
      </c>
      <c r="R1297" s="3">
        <v>4.4510886999999997</v>
      </c>
      <c r="S1297" s="3">
        <v>4.3867574999999999</v>
      </c>
      <c r="T1297" s="3">
        <v>4.3251999000000003</v>
      </c>
      <c r="U1297" s="3">
        <v>4.2665015999999998</v>
      </c>
      <c r="V1297" s="3">
        <v>4.21075</v>
      </c>
      <c r="W1297" s="3">
        <v>4.1580095999999998</v>
      </c>
      <c r="X1297" s="3">
        <v>4.1082558999999996</v>
      </c>
      <c r="Y1297" s="3">
        <v>4.0614432000000003</v>
      </c>
      <c r="Z1297" s="3">
        <v>4.0175238999999996</v>
      </c>
      <c r="AA1297" s="3">
        <v>3.9764504999999999</v>
      </c>
      <c r="AB1297" s="3">
        <v>3.938177</v>
      </c>
      <c r="AC1297" s="3">
        <v>3.9026391999999999</v>
      </c>
      <c r="AD1297" s="3">
        <v>3.8697004000000002</v>
      </c>
      <c r="AE1297" s="3">
        <v>3.8392046</v>
      </c>
      <c r="AF1297" s="3">
        <v>3.8109947000000002</v>
      </c>
      <c r="AG1297" s="3">
        <v>3.7849138999999998</v>
      </c>
      <c r="AH1297" s="3">
        <v>3.7608060999999999</v>
      </c>
      <c r="AI1297" s="3">
        <v>3.7385142</v>
      </c>
      <c r="AJ1297" s="3">
        <v>3.7178814999999998</v>
      </c>
      <c r="AK1297" s="3">
        <v>3.6987516999999999</v>
      </c>
      <c r="AL1297" s="3">
        <v>3.680968</v>
      </c>
      <c r="AM1297" s="3">
        <v>3.6643734000000001</v>
      </c>
      <c r="AN1297" s="3">
        <v>3.6488117999999998</v>
      </c>
      <c r="AO1297" s="3">
        <v>3.6341458000000002</v>
      </c>
      <c r="AP1297" s="3">
        <v>3.6203249</v>
      </c>
      <c r="AQ1297" s="3">
        <v>3.6073227999999999</v>
      </c>
      <c r="AR1297" s="3">
        <v>3.5951127</v>
      </c>
      <c r="AS1297" s="3">
        <v>3.5836679999999999</v>
      </c>
      <c r="AT1297" s="3">
        <v>3.5729622000000001</v>
      </c>
      <c r="AU1297" s="3">
        <v>3.5629688000000002</v>
      </c>
      <c r="AV1297" s="3">
        <v>3.5536609000000001</v>
      </c>
      <c r="AW1297" s="3">
        <v>3.5450122999999998</v>
      </c>
      <c r="AX1297" s="3">
        <v>3.5369961999999999</v>
      </c>
      <c r="AY1297" s="3">
        <v>3.5295860000000001</v>
      </c>
      <c r="AZ1297" s="3">
        <v>3.5227552000000002</v>
      </c>
      <c r="BA1297" s="3">
        <v>3.5164797000000001</v>
      </c>
      <c r="BB1297" s="3">
        <v>3.5107487000000002</v>
      </c>
      <c r="BC1297" s="3">
        <v>3.5055559000000001</v>
      </c>
      <c r="BD1297" s="3">
        <v>3.5008949999999999</v>
      </c>
      <c r="BE1297" s="3">
        <v>3.4967598</v>
      </c>
      <c r="BF1297" s="3">
        <v>3.4931439000000002</v>
      </c>
      <c r="BG1297" s="3">
        <v>3.4900410000000002</v>
      </c>
      <c r="BH1297" s="3">
        <v>3.4874448999999998</v>
      </c>
      <c r="BI1297" s="3">
        <v>3.4853493000000002</v>
      </c>
      <c r="BJ1297" s="3">
        <v>3.4837479</v>
      </c>
      <c r="BK1297" s="3">
        <v>3.4826343999999998</v>
      </c>
      <c r="BL1297" s="3">
        <v>3.4820023999999998</v>
      </c>
      <c r="BM1297" s="3">
        <v>3.4876838999999999</v>
      </c>
      <c r="BN1297" s="3">
        <v>3.5073484000000001</v>
      </c>
    </row>
    <row r="1298" spans="1:66" x14ac:dyDescent="0.35">
      <c r="A1298" s="5">
        <f t="shared" si="19"/>
        <v>45272</v>
      </c>
      <c r="B1298" t="s">
        <v>2719</v>
      </c>
      <c r="C1298" s="2">
        <v>5.25</v>
      </c>
      <c r="D1298" s="2">
        <v>5.1878000000000002</v>
      </c>
      <c r="E1298" s="3">
        <v>5.1902195999999998</v>
      </c>
      <c r="F1298" s="3">
        <v>5.1962238000000003</v>
      </c>
      <c r="G1298" s="3">
        <v>5.1871973999999996</v>
      </c>
      <c r="H1298" s="3">
        <v>5.1536076</v>
      </c>
      <c r="I1298" s="3">
        <v>5.0937950000000001</v>
      </c>
      <c r="J1298" s="3">
        <v>5.0124652000000003</v>
      </c>
      <c r="K1298" s="3">
        <v>4.9170375000000002</v>
      </c>
      <c r="L1298" s="3">
        <v>4.8158171999999997</v>
      </c>
      <c r="M1298" s="3">
        <v>4.7151747000000004</v>
      </c>
      <c r="N1298" s="3">
        <v>4.6189420999999999</v>
      </c>
      <c r="O1298" s="3">
        <v>4.5286165</v>
      </c>
      <c r="P1298" s="3">
        <v>4.4446076000000003</v>
      </c>
      <c r="Q1298" s="3">
        <v>4.3658944999999996</v>
      </c>
      <c r="R1298" s="3">
        <v>4.2920501</v>
      </c>
      <c r="S1298" s="3">
        <v>4.2229412000000002</v>
      </c>
      <c r="T1298" s="3">
        <v>4.1584317000000004</v>
      </c>
      <c r="U1298" s="3">
        <v>4.0983858</v>
      </c>
      <c r="V1298" s="3">
        <v>4.0426700000000002</v>
      </c>
      <c r="W1298" s="3">
        <v>3.9911297999999999</v>
      </c>
      <c r="X1298" s="3">
        <v>3.9435332000000001</v>
      </c>
      <c r="Y1298" s="3">
        <v>3.899629</v>
      </c>
      <c r="Z1298" s="3">
        <v>3.8591646000000002</v>
      </c>
      <c r="AA1298" s="3">
        <v>3.8218876000000002</v>
      </c>
      <c r="AB1298" s="3">
        <v>3.7875467</v>
      </c>
      <c r="AC1298" s="3">
        <v>3.755903</v>
      </c>
      <c r="AD1298" s="3">
        <v>3.7267779999999999</v>
      </c>
      <c r="AE1298" s="3">
        <v>3.7000112000000001</v>
      </c>
      <c r="AF1298" s="3">
        <v>3.6754406999999998</v>
      </c>
      <c r="AG1298" s="3">
        <v>3.6529048</v>
      </c>
      <c r="AH1298" s="3">
        <v>3.6322426999999999</v>
      </c>
      <c r="AI1298" s="3">
        <v>3.6132927000000001</v>
      </c>
      <c r="AJ1298" s="3">
        <v>3.5958931000000001</v>
      </c>
      <c r="AK1298" s="3">
        <v>3.5798830000000001</v>
      </c>
      <c r="AL1298" s="3">
        <v>3.5651006999999999</v>
      </c>
      <c r="AM1298" s="3">
        <v>3.5513846</v>
      </c>
      <c r="AN1298" s="3">
        <v>3.5385738</v>
      </c>
      <c r="AO1298" s="3">
        <v>3.5265236</v>
      </c>
      <c r="AP1298" s="3">
        <v>3.5151819</v>
      </c>
      <c r="AQ1298" s="3">
        <v>3.5045278</v>
      </c>
      <c r="AR1298" s="3">
        <v>3.4945400000000002</v>
      </c>
      <c r="AS1298" s="3">
        <v>3.4851972</v>
      </c>
      <c r="AT1298" s="3">
        <v>3.4764784999999998</v>
      </c>
      <c r="AU1298" s="3">
        <v>3.4683625999999999</v>
      </c>
      <c r="AV1298" s="3">
        <v>3.4608284</v>
      </c>
      <c r="AW1298" s="3">
        <v>3.4538546999999999</v>
      </c>
      <c r="AX1298" s="3">
        <v>3.4474203999999999</v>
      </c>
      <c r="AY1298" s="3">
        <v>3.4415043000000001</v>
      </c>
      <c r="AZ1298" s="3">
        <v>3.4360852</v>
      </c>
      <c r="BA1298" s="3">
        <v>3.4311443000000001</v>
      </c>
      <c r="BB1298" s="3">
        <v>3.4266728999999998</v>
      </c>
      <c r="BC1298" s="3">
        <v>3.4226659000000001</v>
      </c>
      <c r="BD1298" s="3">
        <v>3.4191178999999998</v>
      </c>
      <c r="BE1298" s="3">
        <v>3.4160237000000002</v>
      </c>
      <c r="BF1298" s="3">
        <v>3.4133781000000001</v>
      </c>
      <c r="BG1298" s="3">
        <v>3.4111756999999998</v>
      </c>
      <c r="BH1298" s="3">
        <v>3.4094112999999999</v>
      </c>
      <c r="BI1298" s="3">
        <v>3.4080796000000002</v>
      </c>
      <c r="BJ1298" s="3">
        <v>3.4071755000000001</v>
      </c>
      <c r="BK1298" s="3">
        <v>3.4066934999999998</v>
      </c>
      <c r="BL1298" s="3">
        <v>3.4066283999999998</v>
      </c>
      <c r="BM1298" s="3">
        <v>3.4144785</v>
      </c>
      <c r="BN1298" s="3">
        <v>3.4346599000000002</v>
      </c>
    </row>
    <row r="1299" spans="1:66" x14ac:dyDescent="0.35">
      <c r="A1299" s="5">
        <f t="shared" si="19"/>
        <v>45273</v>
      </c>
      <c r="B1299" t="s">
        <v>2720</v>
      </c>
      <c r="C1299" s="2">
        <v>5.25</v>
      </c>
      <c r="D1299" s="2">
        <v>5.1874000000000002</v>
      </c>
      <c r="E1299" s="3">
        <v>5.1910892999999998</v>
      </c>
      <c r="F1299" s="3">
        <v>5.1901085</v>
      </c>
      <c r="G1299" s="3">
        <v>5.1667310999999998</v>
      </c>
      <c r="H1299" s="3">
        <v>5.1135482999999997</v>
      </c>
      <c r="I1299" s="3">
        <v>5.0327131999999999</v>
      </c>
      <c r="J1299" s="3">
        <v>4.9321631000000004</v>
      </c>
      <c r="K1299" s="3">
        <v>4.8211347</v>
      </c>
      <c r="L1299" s="3">
        <v>4.7080128999999999</v>
      </c>
      <c r="M1299" s="3">
        <v>4.5985645000000002</v>
      </c>
      <c r="N1299" s="3">
        <v>4.4957238000000004</v>
      </c>
      <c r="O1299" s="3">
        <v>4.4003065000000001</v>
      </c>
      <c r="P1299" s="3">
        <v>4.3120943</v>
      </c>
      <c r="Q1299" s="3">
        <v>4.2294501999999996</v>
      </c>
      <c r="R1299" s="3">
        <v>4.1517781999999999</v>
      </c>
      <c r="S1299" s="3">
        <v>4.0789077999999996</v>
      </c>
      <c r="T1299" s="3">
        <v>4.0106655</v>
      </c>
      <c r="U1299" s="3">
        <v>3.9468781000000002</v>
      </c>
      <c r="V1299" s="3">
        <v>3.8873747999999999</v>
      </c>
      <c r="W1299" s="3">
        <v>3.831979</v>
      </c>
      <c r="X1299" s="3">
        <v>3.7805000999999998</v>
      </c>
      <c r="Y1299" s="3">
        <v>3.7327458999999998</v>
      </c>
      <c r="Z1299" s="3">
        <v>3.6885219999999999</v>
      </c>
      <c r="AA1299" s="3">
        <v>3.6476343999999998</v>
      </c>
      <c r="AB1299" s="3">
        <v>3.6098903999999998</v>
      </c>
      <c r="AC1299" s="3">
        <v>3.5750996000000002</v>
      </c>
      <c r="AD1299" s="3">
        <v>3.5430902</v>
      </c>
      <c r="AE1299" s="3">
        <v>3.5136981</v>
      </c>
      <c r="AF1299" s="3">
        <v>3.4867580999999999</v>
      </c>
      <c r="AG1299" s="3">
        <v>3.4621050000000002</v>
      </c>
      <c r="AH1299" s="3">
        <v>3.4395744000000001</v>
      </c>
      <c r="AI1299" s="3">
        <v>3.4190011999999999</v>
      </c>
      <c r="AJ1299" s="3">
        <v>3.4002202000000001</v>
      </c>
      <c r="AK1299" s="3">
        <v>3.3830670999999999</v>
      </c>
      <c r="AL1299" s="3">
        <v>3.3673766999999999</v>
      </c>
      <c r="AM1299" s="3">
        <v>3.3529838999999999</v>
      </c>
      <c r="AN1299" s="3">
        <v>3.3397242</v>
      </c>
      <c r="AO1299" s="3">
        <v>3.3274493999999999</v>
      </c>
      <c r="AP1299" s="3">
        <v>3.3160942000000002</v>
      </c>
      <c r="AQ1299" s="3">
        <v>3.3056187000000001</v>
      </c>
      <c r="AR1299" s="3">
        <v>3.2959825</v>
      </c>
      <c r="AS1299" s="3">
        <v>3.2871456000000001</v>
      </c>
      <c r="AT1299" s="3">
        <v>3.2790678999999998</v>
      </c>
      <c r="AU1299" s="3">
        <v>3.2717092000000001</v>
      </c>
      <c r="AV1299" s="3">
        <v>3.2650293000000001</v>
      </c>
      <c r="AW1299" s="3">
        <v>3.2589882999999999</v>
      </c>
      <c r="AX1299" s="3">
        <v>3.2535457999999999</v>
      </c>
      <c r="AY1299" s="3">
        <v>3.2486617999999998</v>
      </c>
      <c r="AZ1299" s="3">
        <v>3.2442962</v>
      </c>
      <c r="BA1299" s="3">
        <v>3.2404134</v>
      </c>
      <c r="BB1299" s="3">
        <v>3.2369976999999999</v>
      </c>
      <c r="BC1299" s="3">
        <v>3.2340390000000001</v>
      </c>
      <c r="BD1299" s="3">
        <v>3.2315271999999999</v>
      </c>
      <c r="BE1299" s="3">
        <v>3.2294523000000002</v>
      </c>
      <c r="BF1299" s="3">
        <v>3.2278041000000002</v>
      </c>
      <c r="BG1299" s="3">
        <v>3.2265725000000001</v>
      </c>
      <c r="BH1299" s="3">
        <v>3.2257475000000002</v>
      </c>
      <c r="BI1299" s="3">
        <v>3.2253189</v>
      </c>
      <c r="BJ1299" s="3">
        <v>3.2252765999999999</v>
      </c>
      <c r="BK1299" s="3">
        <v>3.2256105000000002</v>
      </c>
      <c r="BL1299" s="3">
        <v>3.2263104999999999</v>
      </c>
      <c r="BM1299" s="3">
        <v>3.2377047999999999</v>
      </c>
      <c r="BN1299" s="3">
        <v>3.2601711999999998</v>
      </c>
    </row>
    <row r="1300" spans="1:66" x14ac:dyDescent="0.35">
      <c r="A1300" s="5">
        <f t="shared" si="19"/>
        <v>45274</v>
      </c>
      <c r="B1300" t="s">
        <v>2721</v>
      </c>
      <c r="C1300" s="2">
        <v>5.25</v>
      </c>
      <c r="D1300" s="2">
        <v>5.1859000000000002</v>
      </c>
      <c r="E1300" s="3">
        <v>5.1903271000000002</v>
      </c>
      <c r="F1300" s="3">
        <v>5.1872553999999997</v>
      </c>
      <c r="G1300" s="3">
        <v>5.1624004000000001</v>
      </c>
      <c r="H1300" s="3">
        <v>5.1049733000000002</v>
      </c>
      <c r="I1300" s="3">
        <v>5.0164046000000004</v>
      </c>
      <c r="J1300" s="3">
        <v>4.9065553</v>
      </c>
      <c r="K1300" s="3">
        <v>4.7865824999999997</v>
      </c>
      <c r="L1300" s="3">
        <v>4.6654606999999997</v>
      </c>
      <c r="M1300" s="3">
        <v>4.5487479000000004</v>
      </c>
      <c r="N1300" s="3">
        <v>4.4391952999999997</v>
      </c>
      <c r="O1300" s="3">
        <v>4.3371781</v>
      </c>
      <c r="P1300" s="3">
        <v>4.2421042</v>
      </c>
      <c r="Q1300" s="3">
        <v>4.1517112000000003</v>
      </c>
      <c r="R1300" s="3">
        <v>4.0655092000000002</v>
      </c>
      <c r="S1300" s="3">
        <v>3.9838144999999998</v>
      </c>
      <c r="T1300" s="3">
        <v>3.9069406</v>
      </c>
      <c r="U1300" s="3">
        <v>3.8352013</v>
      </c>
      <c r="V1300" s="3">
        <v>3.7689130999999998</v>
      </c>
      <c r="W1300" s="3">
        <v>3.7083034000000001</v>
      </c>
      <c r="X1300" s="3">
        <v>3.6531574</v>
      </c>
      <c r="Y1300" s="3">
        <v>3.6031209999999998</v>
      </c>
      <c r="Z1300" s="3">
        <v>3.5578381000000001</v>
      </c>
      <c r="AA1300" s="3">
        <v>3.5169527</v>
      </c>
      <c r="AB1300" s="3">
        <v>3.4801103000000002</v>
      </c>
      <c r="AC1300" s="3">
        <v>3.4469694999999998</v>
      </c>
      <c r="AD1300" s="3">
        <v>3.4172606999999999</v>
      </c>
      <c r="AE1300" s="3">
        <v>3.3907370999999999</v>
      </c>
      <c r="AF1300" s="3">
        <v>3.3671508000000001</v>
      </c>
      <c r="AG1300" s="3">
        <v>3.3462538999999998</v>
      </c>
      <c r="AH1300" s="3">
        <v>3.3277996000000001</v>
      </c>
      <c r="AI1300" s="3">
        <v>3.3115399000000001</v>
      </c>
      <c r="AJ1300" s="3">
        <v>3.2972271000000002</v>
      </c>
      <c r="AK1300" s="3">
        <v>3.2846142</v>
      </c>
      <c r="AL1300" s="3">
        <v>3.2734532999999999</v>
      </c>
      <c r="AM1300" s="3">
        <v>3.2634968999999998</v>
      </c>
      <c r="AN1300" s="3">
        <v>3.2544976000000001</v>
      </c>
      <c r="AO1300" s="3">
        <v>3.2462411000000002</v>
      </c>
      <c r="AP1300" s="3">
        <v>3.2386599</v>
      </c>
      <c r="AQ1300" s="3">
        <v>3.2317277</v>
      </c>
      <c r="AR1300" s="3">
        <v>3.2254174999999998</v>
      </c>
      <c r="AS1300" s="3">
        <v>3.2197026000000002</v>
      </c>
      <c r="AT1300" s="3">
        <v>3.2145565</v>
      </c>
      <c r="AU1300" s="3">
        <v>3.2099522</v>
      </c>
      <c r="AV1300" s="3">
        <v>3.2058631000000002</v>
      </c>
      <c r="AW1300" s="3">
        <v>3.2022626000000001</v>
      </c>
      <c r="AX1300" s="3">
        <v>3.1991239</v>
      </c>
      <c r="AY1300" s="3">
        <v>3.1964201999999999</v>
      </c>
      <c r="AZ1300" s="3">
        <v>3.1941248</v>
      </c>
      <c r="BA1300" s="3">
        <v>3.1922145999999998</v>
      </c>
      <c r="BB1300" s="3">
        <v>3.1906816999999998</v>
      </c>
      <c r="BC1300" s="3">
        <v>3.1895221999999999</v>
      </c>
      <c r="BD1300" s="3">
        <v>3.1887327000000001</v>
      </c>
      <c r="BE1300" s="3">
        <v>3.1883094000000001</v>
      </c>
      <c r="BF1300" s="3">
        <v>3.1882486000000001</v>
      </c>
      <c r="BG1300" s="3">
        <v>3.1885466999999998</v>
      </c>
      <c r="BH1300" s="3">
        <v>3.1892</v>
      </c>
      <c r="BI1300" s="3">
        <v>3.1902048999999999</v>
      </c>
      <c r="BJ1300" s="3">
        <v>3.1915577000000002</v>
      </c>
      <c r="BK1300" s="3">
        <v>3.1932546999999998</v>
      </c>
      <c r="BL1300" s="3">
        <v>3.1952923000000002</v>
      </c>
      <c r="BM1300" s="3">
        <v>3.2143244000000002</v>
      </c>
      <c r="BN1300" s="3">
        <v>3.2438356000000002</v>
      </c>
    </row>
    <row r="1301" spans="1:66" x14ac:dyDescent="0.35">
      <c r="A1301" s="5">
        <f t="shared" si="19"/>
        <v>45275</v>
      </c>
      <c r="B1301" t="s">
        <v>2722</v>
      </c>
      <c r="C1301" s="2">
        <v>5.25</v>
      </c>
      <c r="D1301" s="2">
        <v>5.1858000000000004</v>
      </c>
      <c r="E1301" s="3">
        <v>5.1909263000000001</v>
      </c>
      <c r="F1301" s="3">
        <v>5.1946159999999999</v>
      </c>
      <c r="G1301" s="3">
        <v>5.1763608999999997</v>
      </c>
      <c r="H1301" s="3">
        <v>5.124587</v>
      </c>
      <c r="I1301" s="3">
        <v>5.0396796999999998</v>
      </c>
      <c r="J1301" s="3">
        <v>4.9287530000000004</v>
      </c>
      <c r="K1301" s="3">
        <v>4.8021662999999997</v>
      </c>
      <c r="L1301" s="3">
        <v>4.6687516999999996</v>
      </c>
      <c r="M1301" s="3">
        <v>4.5350171000000001</v>
      </c>
      <c r="N1301" s="3">
        <v>4.4052651000000003</v>
      </c>
      <c r="O1301" s="3">
        <v>4.2821404000000003</v>
      </c>
      <c r="P1301" s="3">
        <v>4.1672197000000004</v>
      </c>
      <c r="Q1301" s="3">
        <v>4.0617555000000003</v>
      </c>
      <c r="R1301" s="3">
        <v>3.9656837</v>
      </c>
      <c r="S1301" s="3">
        <v>3.8785291000000002</v>
      </c>
      <c r="T1301" s="3">
        <v>3.7998132</v>
      </c>
      <c r="U1301" s="3">
        <v>3.7290576</v>
      </c>
      <c r="V1301" s="3">
        <v>3.6657864999999998</v>
      </c>
      <c r="W1301" s="3">
        <v>3.6094833999999998</v>
      </c>
      <c r="X1301" s="3">
        <v>3.5594549</v>
      </c>
      <c r="Y1301" s="3">
        <v>3.514958</v>
      </c>
      <c r="Z1301" s="3">
        <v>3.4752481</v>
      </c>
      <c r="AA1301" s="3">
        <v>3.4395804000000001</v>
      </c>
      <c r="AB1301" s="3">
        <v>3.4072117999999998</v>
      </c>
      <c r="AC1301" s="3">
        <v>3.3774869999999999</v>
      </c>
      <c r="AD1301" s="3">
        <v>3.3501458</v>
      </c>
      <c r="AE1301" s="3">
        <v>3.3250375000000001</v>
      </c>
      <c r="AF1301" s="3">
        <v>3.3020108000000001</v>
      </c>
      <c r="AG1301" s="3">
        <v>3.2809143000000001</v>
      </c>
      <c r="AH1301" s="3">
        <v>3.2615973999999999</v>
      </c>
      <c r="AI1301" s="3">
        <v>3.2439087</v>
      </c>
      <c r="AJ1301" s="3">
        <v>3.2276967999999999</v>
      </c>
      <c r="AK1301" s="3">
        <v>3.2128109999999999</v>
      </c>
      <c r="AL1301" s="3">
        <v>3.1991000000000001</v>
      </c>
      <c r="AM1301" s="3">
        <v>3.1864124999999999</v>
      </c>
      <c r="AN1301" s="3">
        <v>3.1745977999999999</v>
      </c>
      <c r="AO1301" s="3">
        <v>3.1635249999999999</v>
      </c>
      <c r="AP1301" s="3">
        <v>3.1531539999999998</v>
      </c>
      <c r="AQ1301" s="3">
        <v>3.1434703000000002</v>
      </c>
      <c r="AR1301" s="3">
        <v>3.1344587000000002</v>
      </c>
      <c r="AS1301" s="3">
        <v>3.1261041999999999</v>
      </c>
      <c r="AT1301" s="3">
        <v>3.1183922000000002</v>
      </c>
      <c r="AU1301" s="3">
        <v>3.1113073999999998</v>
      </c>
      <c r="AV1301" s="3">
        <v>3.1048350999999998</v>
      </c>
      <c r="AW1301" s="3">
        <v>3.0989602999999999</v>
      </c>
      <c r="AX1301" s="3">
        <v>3.0936680000000001</v>
      </c>
      <c r="AY1301" s="3">
        <v>3.0889433999999998</v>
      </c>
      <c r="AZ1301" s="3">
        <v>3.0847715</v>
      </c>
      <c r="BA1301" s="3">
        <v>3.0811377000000002</v>
      </c>
      <c r="BB1301" s="3">
        <v>3.0780287999999998</v>
      </c>
      <c r="BC1301" s="3">
        <v>3.0754320000000002</v>
      </c>
      <c r="BD1301" s="3">
        <v>3.0733345000000001</v>
      </c>
      <c r="BE1301" s="3">
        <v>3.0717235000000001</v>
      </c>
      <c r="BF1301" s="3">
        <v>3.0705862000000002</v>
      </c>
      <c r="BG1301" s="3">
        <v>3.0699098</v>
      </c>
      <c r="BH1301" s="3">
        <v>3.0696815000000002</v>
      </c>
      <c r="BI1301" s="3">
        <v>3.0698884999999998</v>
      </c>
      <c r="BJ1301" s="3">
        <v>3.0705179</v>
      </c>
      <c r="BK1301" s="3">
        <v>3.0715571000000002</v>
      </c>
      <c r="BL1301" s="3">
        <v>3.0729931000000001</v>
      </c>
      <c r="BM1301" s="3">
        <v>3.0892957000000001</v>
      </c>
      <c r="BN1301" s="3">
        <v>3.1170843000000001</v>
      </c>
    </row>
    <row r="1302" spans="1:66" x14ac:dyDescent="0.35">
      <c r="A1302" s="5">
        <f t="shared" ref="A1302:A1366" si="20">+A1297+7</f>
        <v>45278</v>
      </c>
      <c r="B1302" t="s">
        <v>2723</v>
      </c>
      <c r="C1302" s="2">
        <v>5.25</v>
      </c>
      <c r="D1302" s="2">
        <v>5.1864999999999997</v>
      </c>
      <c r="E1302" s="3">
        <v>5.1952965000000004</v>
      </c>
      <c r="F1302" s="3">
        <v>5.1920314999999997</v>
      </c>
      <c r="G1302" s="3">
        <v>5.1620590999999996</v>
      </c>
      <c r="H1302" s="3">
        <v>5.0963047000000001</v>
      </c>
      <c r="I1302" s="3">
        <v>5.0000083000000002</v>
      </c>
      <c r="J1302" s="3">
        <v>4.8836357000000001</v>
      </c>
      <c r="K1302" s="3">
        <v>4.7577106000000002</v>
      </c>
      <c r="L1302" s="3">
        <v>4.6309171999999998</v>
      </c>
      <c r="M1302" s="3">
        <v>4.5084871</v>
      </c>
      <c r="N1302" s="3">
        <v>4.3929016000000001</v>
      </c>
      <c r="O1302" s="3">
        <v>4.2849731999999996</v>
      </c>
      <c r="P1302" s="3">
        <v>4.1843611000000003</v>
      </c>
      <c r="Q1302" s="3">
        <v>4.0894063000000003</v>
      </c>
      <c r="R1302" s="3">
        <v>3.9997120000000002</v>
      </c>
      <c r="S1302" s="3">
        <v>3.9153568999999999</v>
      </c>
      <c r="T1302" s="3">
        <v>3.8364167</v>
      </c>
      <c r="U1302" s="3">
        <v>3.7629671999999998</v>
      </c>
      <c r="V1302" s="3">
        <v>3.6950869000000002</v>
      </c>
      <c r="W1302" s="3">
        <v>3.6327880000000001</v>
      </c>
      <c r="X1302" s="3">
        <v>3.5758152000000001</v>
      </c>
      <c r="Y1302" s="3">
        <v>3.5238451999999998</v>
      </c>
      <c r="Z1302" s="3">
        <v>3.4765522</v>
      </c>
      <c r="AA1302" s="3">
        <v>3.4336110999999998</v>
      </c>
      <c r="AB1302" s="3">
        <v>3.3946979000000002</v>
      </c>
      <c r="AC1302" s="3">
        <v>3.3594995000000001</v>
      </c>
      <c r="AD1302" s="3">
        <v>3.3277570000000001</v>
      </c>
      <c r="AE1302" s="3">
        <v>3.2992271999999998</v>
      </c>
      <c r="AF1302" s="3">
        <v>3.273666</v>
      </c>
      <c r="AG1302" s="3">
        <v>3.2508292000000001</v>
      </c>
      <c r="AH1302" s="3">
        <v>3.2304738</v>
      </c>
      <c r="AI1302" s="3">
        <v>3.2123555000000001</v>
      </c>
      <c r="AJ1302" s="3">
        <v>3.1962304000000001</v>
      </c>
      <c r="AK1302" s="3">
        <v>3.1818550999999999</v>
      </c>
      <c r="AL1302" s="3">
        <v>3.1689856000000001</v>
      </c>
      <c r="AM1302" s="3">
        <v>3.157378</v>
      </c>
      <c r="AN1302" s="3">
        <v>3.1467887000000001</v>
      </c>
      <c r="AO1302" s="3">
        <v>3.1370060999999998</v>
      </c>
      <c r="AP1302" s="3">
        <v>3.1279607999999999</v>
      </c>
      <c r="AQ1302" s="3">
        <v>3.1196233000000002</v>
      </c>
      <c r="AR1302" s="3">
        <v>3.1119634</v>
      </c>
      <c r="AS1302" s="3">
        <v>3.1049513000000002</v>
      </c>
      <c r="AT1302" s="3">
        <v>3.0985572000000001</v>
      </c>
      <c r="AU1302" s="3">
        <v>3.0927511000000001</v>
      </c>
      <c r="AV1302" s="3">
        <v>3.0875031000000002</v>
      </c>
      <c r="AW1302" s="3">
        <v>3.0827833999999998</v>
      </c>
      <c r="AX1302" s="3">
        <v>3.0785619999999998</v>
      </c>
      <c r="AY1302" s="3">
        <v>3.0748091</v>
      </c>
      <c r="AZ1302" s="3">
        <v>3.0714947000000001</v>
      </c>
      <c r="BA1302" s="3">
        <v>3.0685924999999998</v>
      </c>
      <c r="BB1302" s="3">
        <v>3.0660949</v>
      </c>
      <c r="BC1302" s="3">
        <v>3.0640005000000001</v>
      </c>
      <c r="BD1302" s="3">
        <v>3.0623079999999998</v>
      </c>
      <c r="BE1302" s="3">
        <v>3.0610162000000001</v>
      </c>
      <c r="BF1302" s="3">
        <v>3.0601237999999999</v>
      </c>
      <c r="BG1302" s="3">
        <v>3.0596293999999999</v>
      </c>
      <c r="BH1302" s="3">
        <v>3.0595317999999998</v>
      </c>
      <c r="BI1302" s="3">
        <v>3.0598296</v>
      </c>
      <c r="BJ1302" s="3">
        <v>3.0605216</v>
      </c>
      <c r="BK1302" s="3">
        <v>3.0616064000000001</v>
      </c>
      <c r="BL1302" s="3">
        <v>3.0630828000000001</v>
      </c>
      <c r="BM1302" s="3">
        <v>3.0797595000000002</v>
      </c>
      <c r="BN1302" s="3">
        <v>3.1081718999999999</v>
      </c>
    </row>
    <row r="1303" spans="1:66" x14ac:dyDescent="0.35">
      <c r="A1303" s="5">
        <f t="shared" si="20"/>
        <v>45279</v>
      </c>
      <c r="B1303" t="s">
        <v>2724</v>
      </c>
      <c r="C1303" s="2">
        <v>5.25</v>
      </c>
      <c r="D1303" s="2">
        <v>5.1863000000000001</v>
      </c>
      <c r="E1303" s="3">
        <v>5.1930316999999997</v>
      </c>
      <c r="F1303" s="3">
        <v>5.1988970999999999</v>
      </c>
      <c r="G1303" s="3">
        <v>5.1793825</v>
      </c>
      <c r="H1303" s="3">
        <v>5.1245535999999996</v>
      </c>
      <c r="I1303" s="3">
        <v>5.0354904999999999</v>
      </c>
      <c r="J1303" s="3">
        <v>4.9194076999999998</v>
      </c>
      <c r="K1303" s="3">
        <v>4.7855121</v>
      </c>
      <c r="L1303" s="3">
        <v>4.6434591999999997</v>
      </c>
      <c r="M1303" s="3">
        <v>4.5004974000000004</v>
      </c>
      <c r="N1303" s="3">
        <v>4.3617651999999998</v>
      </c>
      <c r="O1303" s="3">
        <v>4.2304871000000004</v>
      </c>
      <c r="P1303" s="3">
        <v>4.1088529999999999</v>
      </c>
      <c r="Q1303" s="3">
        <v>3.9984997</v>
      </c>
      <c r="R1303" s="3">
        <v>3.8991144000000002</v>
      </c>
      <c r="S1303" s="3">
        <v>3.8098424999999998</v>
      </c>
      <c r="T1303" s="3">
        <v>3.7298257000000001</v>
      </c>
      <c r="U1303" s="3">
        <v>3.6582062</v>
      </c>
      <c r="V1303" s="3">
        <v>3.5941285000000001</v>
      </c>
      <c r="W1303" s="3">
        <v>3.5367609999999998</v>
      </c>
      <c r="X1303" s="3">
        <v>3.4853824000000002</v>
      </c>
      <c r="Y1303" s="3">
        <v>3.4393020000000001</v>
      </c>
      <c r="Z1303" s="3">
        <v>3.3978275</v>
      </c>
      <c r="AA1303" s="3">
        <v>3.3602664999999998</v>
      </c>
      <c r="AB1303" s="3">
        <v>3.3259281999999999</v>
      </c>
      <c r="AC1303" s="3">
        <v>3.2942051000000001</v>
      </c>
      <c r="AD1303" s="3">
        <v>3.2648646000000001</v>
      </c>
      <c r="AE1303" s="3">
        <v>3.2377785000000001</v>
      </c>
      <c r="AF1303" s="3">
        <v>3.2128173000000002</v>
      </c>
      <c r="AG1303" s="3">
        <v>3.1898520000000001</v>
      </c>
      <c r="AH1303" s="3">
        <v>3.1687542</v>
      </c>
      <c r="AI1303" s="3">
        <v>3.1493945000000001</v>
      </c>
      <c r="AJ1303" s="3">
        <v>3.1316438</v>
      </c>
      <c r="AK1303" s="3">
        <v>3.1153737000000001</v>
      </c>
      <c r="AL1303" s="3">
        <v>3.1004548999999999</v>
      </c>
      <c r="AM1303" s="3">
        <v>3.0867583999999999</v>
      </c>
      <c r="AN1303" s="3">
        <v>3.0741554</v>
      </c>
      <c r="AO1303" s="3">
        <v>3.0625293999999998</v>
      </c>
      <c r="AP1303" s="3">
        <v>3.0518299</v>
      </c>
      <c r="AQ1303" s="3">
        <v>3.0420294000000001</v>
      </c>
      <c r="AR1303" s="3">
        <v>3.0331000000000001</v>
      </c>
      <c r="AS1303" s="3">
        <v>3.0250138</v>
      </c>
      <c r="AT1303" s="3">
        <v>3.0177431000000001</v>
      </c>
      <c r="AU1303" s="3">
        <v>3.01126</v>
      </c>
      <c r="AV1303" s="3">
        <v>3.0055366999999999</v>
      </c>
      <c r="AW1303" s="3">
        <v>3.0005454</v>
      </c>
      <c r="AX1303" s="3">
        <v>2.9962582000000002</v>
      </c>
      <c r="AY1303" s="3">
        <v>2.9926474000000001</v>
      </c>
      <c r="AZ1303" s="3">
        <v>2.9896851</v>
      </c>
      <c r="BA1303" s="3">
        <v>2.9873446000000001</v>
      </c>
      <c r="BB1303" s="3">
        <v>2.9856041000000002</v>
      </c>
      <c r="BC1303" s="3">
        <v>2.9844436000000001</v>
      </c>
      <c r="BD1303" s="3">
        <v>2.9838428000000001</v>
      </c>
      <c r="BE1303" s="3">
        <v>2.9837815999999999</v>
      </c>
      <c r="BF1303" s="3">
        <v>2.9842398999999999</v>
      </c>
      <c r="BG1303" s="3">
        <v>2.9851975999999998</v>
      </c>
      <c r="BH1303" s="3">
        <v>2.9866343999999998</v>
      </c>
      <c r="BI1303" s="3">
        <v>2.9885302999999999</v>
      </c>
      <c r="BJ1303" s="3">
        <v>2.9908649999999999</v>
      </c>
      <c r="BK1303" s="3">
        <v>2.9936186</v>
      </c>
      <c r="BL1303" s="3">
        <v>2.9967706999999999</v>
      </c>
      <c r="BM1303" s="3">
        <v>3.0230972</v>
      </c>
      <c r="BN1303" s="3">
        <v>3.0597460999999999</v>
      </c>
    </row>
    <row r="1304" spans="1:66" x14ac:dyDescent="0.35">
      <c r="A1304" s="5">
        <f t="shared" si="20"/>
        <v>45280</v>
      </c>
      <c r="B1304" t="s">
        <v>2725</v>
      </c>
      <c r="C1304" s="2">
        <v>5.25</v>
      </c>
      <c r="D1304" s="2">
        <v>5.1863999999999999</v>
      </c>
      <c r="E1304" s="3">
        <v>5.1903601999999998</v>
      </c>
      <c r="F1304" s="3">
        <v>5.1762921999999998</v>
      </c>
      <c r="G1304" s="3">
        <v>5.1287039999999999</v>
      </c>
      <c r="H1304" s="3">
        <v>5.0380022999999996</v>
      </c>
      <c r="I1304" s="3">
        <v>4.9093055000000003</v>
      </c>
      <c r="J1304" s="3">
        <v>4.7554125000000003</v>
      </c>
      <c r="K1304" s="3">
        <v>4.5911429000000004</v>
      </c>
      <c r="L1304" s="3">
        <v>4.4296062000000003</v>
      </c>
      <c r="M1304" s="3">
        <v>4.2787176999999996</v>
      </c>
      <c r="N1304" s="3">
        <v>4.1416816000000001</v>
      </c>
      <c r="O1304" s="3">
        <v>4.0186801000000001</v>
      </c>
      <c r="P1304" s="3">
        <v>3.9085143000000002</v>
      </c>
      <c r="Q1304" s="3">
        <v>3.8076943999999999</v>
      </c>
      <c r="R1304" s="3">
        <v>3.7149103000000001</v>
      </c>
      <c r="S1304" s="3">
        <v>3.6296911999999999</v>
      </c>
      <c r="T1304" s="3">
        <v>3.5515626999999999</v>
      </c>
      <c r="U1304" s="3">
        <v>3.4800509000000002</v>
      </c>
      <c r="V1304" s="3">
        <v>3.4146842999999998</v>
      </c>
      <c r="W1304" s="3">
        <v>3.3550076999999998</v>
      </c>
      <c r="X1304" s="3">
        <v>3.3006462000000001</v>
      </c>
      <c r="Y1304" s="3">
        <v>3.2512474999999998</v>
      </c>
      <c r="Z1304" s="3">
        <v>3.2064574000000001</v>
      </c>
      <c r="AA1304" s="3">
        <v>3.1659218999999998</v>
      </c>
      <c r="AB1304" s="3">
        <v>3.1292886000000002</v>
      </c>
      <c r="AC1304" s="3">
        <v>3.0962196</v>
      </c>
      <c r="AD1304" s="3">
        <v>3.0664658999999999</v>
      </c>
      <c r="AE1304" s="3">
        <v>3.0398087</v>
      </c>
      <c r="AF1304" s="3">
        <v>3.0160282999999999</v>
      </c>
      <c r="AG1304" s="3">
        <v>2.9949051</v>
      </c>
      <c r="AH1304" s="3">
        <v>2.9762203999999999</v>
      </c>
      <c r="AI1304" s="3">
        <v>2.9597544</v>
      </c>
      <c r="AJ1304" s="3">
        <v>2.9452878</v>
      </c>
      <c r="AK1304" s="3">
        <v>2.9326015000000001</v>
      </c>
      <c r="AL1304" s="3">
        <v>2.9214760000000002</v>
      </c>
      <c r="AM1304" s="3">
        <v>2.9116919000000001</v>
      </c>
      <c r="AN1304" s="3">
        <v>2.9030300000000002</v>
      </c>
      <c r="AO1304" s="3">
        <v>2.8952952999999999</v>
      </c>
      <c r="AP1304" s="3">
        <v>2.8884115000000001</v>
      </c>
      <c r="AQ1304" s="3">
        <v>2.8823389000000001</v>
      </c>
      <c r="AR1304" s="3">
        <v>2.8770373999999999</v>
      </c>
      <c r="AS1304" s="3">
        <v>2.8724669999999999</v>
      </c>
      <c r="AT1304" s="3">
        <v>2.8685879000000001</v>
      </c>
      <c r="AU1304" s="3">
        <v>2.8653599999999999</v>
      </c>
      <c r="AV1304" s="3">
        <v>2.8627433</v>
      </c>
      <c r="AW1304" s="3">
        <v>2.8606980000000002</v>
      </c>
      <c r="AX1304" s="3">
        <v>2.8591839999999999</v>
      </c>
      <c r="AY1304" s="3">
        <v>2.8581612999999999</v>
      </c>
      <c r="AZ1304" s="3">
        <v>2.8575900999999999</v>
      </c>
      <c r="BA1304" s="3">
        <v>2.8574351999999998</v>
      </c>
      <c r="BB1304" s="3">
        <v>2.8576826</v>
      </c>
      <c r="BC1304" s="3">
        <v>2.8583243</v>
      </c>
      <c r="BD1304" s="3">
        <v>2.8593521000000002</v>
      </c>
      <c r="BE1304" s="3">
        <v>2.8607580000000001</v>
      </c>
      <c r="BF1304" s="3">
        <v>2.8625340000000001</v>
      </c>
      <c r="BG1304" s="3">
        <v>2.8646718</v>
      </c>
      <c r="BH1304" s="3">
        <v>2.8671636</v>
      </c>
      <c r="BI1304" s="3">
        <v>2.8700009999999998</v>
      </c>
      <c r="BJ1304" s="3">
        <v>2.8731762000000001</v>
      </c>
      <c r="BK1304" s="3">
        <v>2.876681</v>
      </c>
      <c r="BL1304" s="3">
        <v>2.8805073000000001</v>
      </c>
      <c r="BM1304" s="3">
        <v>2.9097464999999998</v>
      </c>
      <c r="BN1304" s="3">
        <v>2.9484119999999998</v>
      </c>
    </row>
    <row r="1305" spans="1:66" x14ac:dyDescent="0.35">
      <c r="A1305" s="5">
        <f t="shared" si="20"/>
        <v>45281</v>
      </c>
      <c r="B1305" t="s">
        <v>2726</v>
      </c>
      <c r="C1305" s="2">
        <v>5.25</v>
      </c>
      <c r="D1305" s="2">
        <v>5.1860999999999997</v>
      </c>
      <c r="E1305" s="3">
        <v>5.1964383999999999</v>
      </c>
      <c r="F1305" s="3">
        <v>5.1850889999999996</v>
      </c>
      <c r="G1305" s="3">
        <v>5.1390270999999998</v>
      </c>
      <c r="H1305" s="3">
        <v>5.0507612000000002</v>
      </c>
      <c r="I1305" s="3">
        <v>4.9254686999999997</v>
      </c>
      <c r="J1305" s="3">
        <v>4.7738750000000003</v>
      </c>
      <c r="K1305" s="3">
        <v>4.6100035999999998</v>
      </c>
      <c r="L1305" s="3">
        <v>4.4470102999999996</v>
      </c>
      <c r="M1305" s="3">
        <v>4.2926446</v>
      </c>
      <c r="N1305" s="3">
        <v>4.1503237999999998</v>
      </c>
      <c r="O1305" s="3">
        <v>4.0201729999999998</v>
      </c>
      <c r="P1305" s="3">
        <v>3.9011111000000001</v>
      </c>
      <c r="Q1305" s="3">
        <v>3.7898985999999999</v>
      </c>
      <c r="R1305" s="3">
        <v>3.6856876000000001</v>
      </c>
      <c r="S1305" s="3">
        <v>3.5887107999999999</v>
      </c>
      <c r="T1305" s="3">
        <v>3.4991978000000001</v>
      </c>
      <c r="U1305" s="3">
        <v>3.4173784999999999</v>
      </c>
      <c r="V1305" s="3">
        <v>3.3434857999999998</v>
      </c>
      <c r="W1305" s="3">
        <v>3.2776396999999999</v>
      </c>
      <c r="X1305" s="3">
        <v>3.2193976000000002</v>
      </c>
      <c r="Y1305" s="3">
        <v>3.1681390999999999</v>
      </c>
      <c r="Z1305" s="3">
        <v>3.1232416999999999</v>
      </c>
      <c r="AA1305" s="3">
        <v>3.0840831</v>
      </c>
      <c r="AB1305" s="3">
        <v>3.0500425</v>
      </c>
      <c r="AC1305" s="3">
        <v>3.0205353000000001</v>
      </c>
      <c r="AD1305" s="3">
        <v>2.9951606000000002</v>
      </c>
      <c r="AE1305" s="3">
        <v>2.9735744</v>
      </c>
      <c r="AF1305" s="3">
        <v>2.9554318999999998</v>
      </c>
      <c r="AG1305" s="3">
        <v>2.9403880999999998</v>
      </c>
      <c r="AH1305" s="3">
        <v>2.9280989000000002</v>
      </c>
      <c r="AI1305" s="3">
        <v>2.9182195000000002</v>
      </c>
      <c r="AJ1305" s="3">
        <v>2.9104051000000002</v>
      </c>
      <c r="AK1305" s="3">
        <v>2.9043114000000001</v>
      </c>
      <c r="AL1305" s="3">
        <v>2.8995936000000002</v>
      </c>
      <c r="AM1305" s="3">
        <v>2.8959069999999998</v>
      </c>
      <c r="AN1305" s="3">
        <v>2.8929071999999998</v>
      </c>
      <c r="AO1305" s="3">
        <v>2.8902999999999999</v>
      </c>
      <c r="AP1305" s="3">
        <v>2.8880142000000002</v>
      </c>
      <c r="AQ1305" s="3">
        <v>2.8860402000000001</v>
      </c>
      <c r="AR1305" s="3">
        <v>2.8843684999999999</v>
      </c>
      <c r="AS1305" s="3">
        <v>2.8829894</v>
      </c>
      <c r="AT1305" s="3">
        <v>2.8818933000000002</v>
      </c>
      <c r="AU1305" s="3">
        <v>2.8810706000000001</v>
      </c>
      <c r="AV1305" s="3">
        <v>2.8805116000000002</v>
      </c>
      <c r="AW1305" s="3">
        <v>2.8802069000000001</v>
      </c>
      <c r="AX1305" s="3">
        <v>2.8801465999999998</v>
      </c>
      <c r="AY1305" s="3">
        <v>2.8803212999999999</v>
      </c>
      <c r="AZ1305" s="3">
        <v>2.8807214000000001</v>
      </c>
      <c r="BA1305" s="3">
        <v>2.8813398000000001</v>
      </c>
      <c r="BB1305" s="3">
        <v>2.8821816999999998</v>
      </c>
      <c r="BC1305" s="3">
        <v>2.8832553999999999</v>
      </c>
      <c r="BD1305" s="3">
        <v>2.8845691000000002</v>
      </c>
      <c r="BE1305" s="3">
        <v>2.8861311999999999</v>
      </c>
      <c r="BF1305" s="3">
        <v>2.8879500999999999</v>
      </c>
      <c r="BG1305" s="3">
        <v>2.890034</v>
      </c>
      <c r="BH1305" s="3">
        <v>2.8923912000000001</v>
      </c>
      <c r="BI1305" s="3">
        <v>2.8950301999999999</v>
      </c>
      <c r="BJ1305" s="3">
        <v>2.8979591</v>
      </c>
      <c r="BK1305" s="3">
        <v>2.9011863999999998</v>
      </c>
      <c r="BL1305" s="3">
        <v>2.9047201999999999</v>
      </c>
      <c r="BM1305" s="3">
        <v>2.9323215</v>
      </c>
      <c r="BN1305" s="3">
        <v>2.9699466999999999</v>
      </c>
    </row>
    <row r="1306" spans="1:66" x14ac:dyDescent="0.35">
      <c r="A1306" s="5">
        <f t="shared" si="20"/>
        <v>45282</v>
      </c>
      <c r="B1306" t="s">
        <v>2727</v>
      </c>
      <c r="C1306" s="2">
        <v>5.25</v>
      </c>
      <c r="D1306" s="2">
        <v>5.1867000000000001</v>
      </c>
      <c r="E1306" s="3">
        <v>5.1868270000000001</v>
      </c>
      <c r="F1306" s="3">
        <v>5.1776799000000002</v>
      </c>
      <c r="G1306" s="3">
        <v>5.1344070999999998</v>
      </c>
      <c r="H1306" s="3">
        <v>5.0440946000000002</v>
      </c>
      <c r="I1306" s="3">
        <v>4.9117914999999996</v>
      </c>
      <c r="J1306" s="3">
        <v>4.7507482999999997</v>
      </c>
      <c r="K1306" s="3">
        <v>4.5772614000000003</v>
      </c>
      <c r="L1306" s="3">
        <v>4.4049275999999997</v>
      </c>
      <c r="M1306" s="3">
        <v>4.2417813999999998</v>
      </c>
      <c r="N1306" s="3">
        <v>4.0913297000000002</v>
      </c>
      <c r="O1306" s="3">
        <v>3.9543841999999998</v>
      </c>
      <c r="P1306" s="3">
        <v>3.8305880000000001</v>
      </c>
      <c r="Q1306" s="3">
        <v>3.7183419999999998</v>
      </c>
      <c r="R1306" s="3">
        <v>3.6166852</v>
      </c>
      <c r="S1306" s="3">
        <v>3.5249752000000001</v>
      </c>
      <c r="T1306" s="3">
        <v>3.4425658000000001</v>
      </c>
      <c r="U1306" s="3">
        <v>3.3688113</v>
      </c>
      <c r="V1306" s="3">
        <v>3.3030686</v>
      </c>
      <c r="W1306" s="3">
        <v>3.2446923999999999</v>
      </c>
      <c r="X1306" s="3">
        <v>3.1930394</v>
      </c>
      <c r="Y1306" s="3">
        <v>3.1474690000000001</v>
      </c>
      <c r="Z1306" s="3">
        <v>3.1073385</v>
      </c>
      <c r="AA1306" s="3">
        <v>3.0720052999999998</v>
      </c>
      <c r="AB1306" s="3">
        <v>3.0408284000000001</v>
      </c>
      <c r="AC1306" s="3">
        <v>3.0132224999999999</v>
      </c>
      <c r="AD1306" s="3">
        <v>2.9888556999999998</v>
      </c>
      <c r="AE1306" s="3">
        <v>2.9674667000000001</v>
      </c>
      <c r="AF1306" s="3">
        <v>2.9487930000000002</v>
      </c>
      <c r="AG1306" s="3">
        <v>2.9325727000000001</v>
      </c>
      <c r="AH1306" s="3">
        <v>2.9185441000000001</v>
      </c>
      <c r="AI1306" s="3">
        <v>2.9064451999999998</v>
      </c>
      <c r="AJ1306" s="3">
        <v>2.8960138999999998</v>
      </c>
      <c r="AK1306" s="3">
        <v>2.8869883999999999</v>
      </c>
      <c r="AL1306" s="3">
        <v>2.8791066999999999</v>
      </c>
      <c r="AM1306" s="3">
        <v>2.8721066999999998</v>
      </c>
      <c r="AN1306" s="3">
        <v>2.8657268</v>
      </c>
      <c r="AO1306" s="3">
        <v>2.8597451</v>
      </c>
      <c r="AP1306" s="3">
        <v>2.8541178</v>
      </c>
      <c r="AQ1306" s="3">
        <v>2.8488502000000002</v>
      </c>
      <c r="AR1306" s="3">
        <v>2.8439475999999999</v>
      </c>
      <c r="AS1306" s="3">
        <v>2.8394149999999998</v>
      </c>
      <c r="AT1306" s="3">
        <v>2.8352577999999999</v>
      </c>
      <c r="AU1306" s="3">
        <v>2.8314813000000001</v>
      </c>
      <c r="AV1306" s="3">
        <v>2.8280905999999999</v>
      </c>
      <c r="AW1306" s="3">
        <v>2.825091</v>
      </c>
      <c r="AX1306" s="3">
        <v>2.8224876999999999</v>
      </c>
      <c r="AY1306" s="3">
        <v>2.8202859999999998</v>
      </c>
      <c r="AZ1306" s="3">
        <v>2.8184912</v>
      </c>
      <c r="BA1306" s="3">
        <v>2.8171086000000001</v>
      </c>
      <c r="BB1306" s="3">
        <v>2.8161447000000002</v>
      </c>
      <c r="BC1306" s="3">
        <v>2.8156062999999998</v>
      </c>
      <c r="BD1306" s="3">
        <v>2.8155001</v>
      </c>
      <c r="BE1306" s="3">
        <v>2.8158327000000001</v>
      </c>
      <c r="BF1306" s="3">
        <v>2.816611</v>
      </c>
      <c r="BG1306" s="3">
        <v>2.8178415999999999</v>
      </c>
      <c r="BH1306" s="3">
        <v>2.8195312000000001</v>
      </c>
      <c r="BI1306" s="3">
        <v>2.8216866</v>
      </c>
      <c r="BJ1306" s="3">
        <v>2.8243144999999998</v>
      </c>
      <c r="BK1306" s="3">
        <v>2.8274216000000001</v>
      </c>
      <c r="BL1306" s="3">
        <v>2.8310146</v>
      </c>
      <c r="BM1306" s="3">
        <v>2.8622648000000002</v>
      </c>
      <c r="BN1306" s="3">
        <v>2.9072496000000001</v>
      </c>
    </row>
    <row r="1307" spans="1:66" x14ac:dyDescent="0.35">
      <c r="A1307" s="5">
        <f t="shared" si="20"/>
        <v>45285</v>
      </c>
      <c r="B1307" t="s">
        <v>2728</v>
      </c>
      <c r="C1307" s="2">
        <v>5.25</v>
      </c>
      <c r="D1307" s="2" t="e">
        <v>#N/A</v>
      </c>
      <c r="E1307" s="3" t="e">
        <v>#N/A</v>
      </c>
      <c r="F1307" s="3" t="e">
        <v>#N/A</v>
      </c>
      <c r="G1307" s="3" t="e">
        <v>#N/A</v>
      </c>
      <c r="H1307" s="3" t="e">
        <v>#N/A</v>
      </c>
      <c r="I1307" s="3" t="e">
        <v>#N/A</v>
      </c>
      <c r="J1307" s="3" t="e">
        <v>#N/A</v>
      </c>
      <c r="K1307" s="3" t="e">
        <v>#N/A</v>
      </c>
      <c r="L1307" s="3" t="e">
        <v>#N/A</v>
      </c>
      <c r="M1307" s="3" t="e">
        <v>#N/A</v>
      </c>
      <c r="N1307" s="3" t="e">
        <v>#N/A</v>
      </c>
      <c r="O1307" s="3" t="e">
        <v>#N/A</v>
      </c>
      <c r="P1307" s="3" t="e">
        <v>#N/A</v>
      </c>
      <c r="Q1307" s="3" t="e">
        <v>#N/A</v>
      </c>
      <c r="R1307" s="3" t="e">
        <v>#N/A</v>
      </c>
      <c r="S1307" s="3" t="e">
        <v>#N/A</v>
      </c>
      <c r="T1307" s="3" t="e">
        <v>#N/A</v>
      </c>
      <c r="U1307" s="3" t="e">
        <v>#N/A</v>
      </c>
      <c r="V1307" s="3" t="e">
        <v>#N/A</v>
      </c>
      <c r="W1307" s="3" t="e">
        <v>#N/A</v>
      </c>
      <c r="X1307" s="3" t="e">
        <v>#N/A</v>
      </c>
      <c r="Y1307" s="3" t="e">
        <v>#N/A</v>
      </c>
      <c r="Z1307" s="3" t="e">
        <v>#N/A</v>
      </c>
      <c r="AA1307" s="3" t="e">
        <v>#N/A</v>
      </c>
      <c r="AB1307" s="3" t="e">
        <v>#N/A</v>
      </c>
      <c r="AC1307" s="3" t="e">
        <v>#N/A</v>
      </c>
      <c r="AD1307" s="3" t="e">
        <v>#N/A</v>
      </c>
      <c r="AE1307" s="3" t="e">
        <v>#N/A</v>
      </c>
      <c r="AF1307" s="3" t="e">
        <v>#N/A</v>
      </c>
      <c r="AG1307" s="3" t="e">
        <v>#N/A</v>
      </c>
      <c r="AH1307" s="3" t="e">
        <v>#N/A</v>
      </c>
      <c r="AI1307" s="3" t="e">
        <v>#N/A</v>
      </c>
      <c r="AJ1307" s="3" t="e">
        <v>#N/A</v>
      </c>
      <c r="AK1307" s="3" t="e">
        <v>#N/A</v>
      </c>
      <c r="AL1307" s="3" t="e">
        <v>#N/A</v>
      </c>
      <c r="AM1307" s="3" t="e">
        <v>#N/A</v>
      </c>
      <c r="AN1307" s="3" t="e">
        <v>#N/A</v>
      </c>
      <c r="AO1307" s="3" t="e">
        <v>#N/A</v>
      </c>
      <c r="AP1307" s="3" t="e">
        <v>#N/A</v>
      </c>
      <c r="AQ1307" s="3" t="e">
        <v>#N/A</v>
      </c>
      <c r="AR1307" s="3" t="e">
        <v>#N/A</v>
      </c>
      <c r="AS1307" s="3" t="e">
        <v>#N/A</v>
      </c>
      <c r="AT1307" s="3" t="e">
        <v>#N/A</v>
      </c>
      <c r="AU1307" s="3" t="e">
        <v>#N/A</v>
      </c>
      <c r="AV1307" s="3" t="e">
        <v>#N/A</v>
      </c>
      <c r="AW1307" s="3" t="e">
        <v>#N/A</v>
      </c>
      <c r="AX1307" s="3" t="e">
        <v>#N/A</v>
      </c>
      <c r="AY1307" s="3" t="e">
        <v>#N/A</v>
      </c>
      <c r="AZ1307" s="3" t="e">
        <v>#N/A</v>
      </c>
      <c r="BA1307" s="3" t="e">
        <v>#N/A</v>
      </c>
      <c r="BB1307" s="3" t="e">
        <v>#N/A</v>
      </c>
      <c r="BC1307" s="3" t="e">
        <v>#N/A</v>
      </c>
      <c r="BD1307" s="3" t="e">
        <v>#N/A</v>
      </c>
      <c r="BE1307" s="3" t="e">
        <v>#N/A</v>
      </c>
      <c r="BF1307" s="3" t="e">
        <v>#N/A</v>
      </c>
      <c r="BG1307" s="3" t="e">
        <v>#N/A</v>
      </c>
      <c r="BH1307" s="3" t="e">
        <v>#N/A</v>
      </c>
      <c r="BI1307" s="3" t="e">
        <v>#N/A</v>
      </c>
      <c r="BJ1307" s="3" t="e">
        <v>#N/A</v>
      </c>
      <c r="BK1307" s="3" t="e">
        <v>#N/A</v>
      </c>
      <c r="BL1307" s="3" t="e">
        <v>#N/A</v>
      </c>
      <c r="BM1307" s="3" t="e">
        <v>#N/A</v>
      </c>
      <c r="BN1307" s="3" t="e">
        <v>#N/A</v>
      </c>
    </row>
    <row r="1308" spans="1:66" x14ac:dyDescent="0.35">
      <c r="A1308" s="5">
        <f t="shared" si="20"/>
        <v>45286</v>
      </c>
      <c r="B1308" t="s">
        <v>2729</v>
      </c>
      <c r="C1308" s="2">
        <v>5.25</v>
      </c>
      <c r="D1308" s="2" t="e">
        <v>#N/A</v>
      </c>
      <c r="E1308" s="3" t="e">
        <v>#N/A</v>
      </c>
      <c r="F1308" s="3" t="e">
        <v>#N/A</v>
      </c>
      <c r="G1308" s="3" t="e">
        <v>#N/A</v>
      </c>
      <c r="H1308" s="3" t="e">
        <v>#N/A</v>
      </c>
      <c r="I1308" s="3" t="e">
        <v>#N/A</v>
      </c>
      <c r="J1308" s="3" t="e">
        <v>#N/A</v>
      </c>
      <c r="K1308" s="3" t="e">
        <v>#N/A</v>
      </c>
      <c r="L1308" s="3" t="e">
        <v>#N/A</v>
      </c>
      <c r="M1308" s="3" t="e">
        <v>#N/A</v>
      </c>
      <c r="N1308" s="3" t="e">
        <v>#N/A</v>
      </c>
      <c r="O1308" s="3" t="e">
        <v>#N/A</v>
      </c>
      <c r="P1308" s="3" t="e">
        <v>#N/A</v>
      </c>
      <c r="Q1308" s="3" t="e">
        <v>#N/A</v>
      </c>
      <c r="R1308" s="3" t="e">
        <v>#N/A</v>
      </c>
      <c r="S1308" s="3" t="e">
        <v>#N/A</v>
      </c>
      <c r="T1308" s="3" t="e">
        <v>#N/A</v>
      </c>
      <c r="U1308" s="3" t="e">
        <v>#N/A</v>
      </c>
      <c r="V1308" s="3" t="e">
        <v>#N/A</v>
      </c>
      <c r="W1308" s="3" t="e">
        <v>#N/A</v>
      </c>
      <c r="X1308" s="3" t="e">
        <v>#N/A</v>
      </c>
      <c r="Y1308" s="3" t="e">
        <v>#N/A</v>
      </c>
      <c r="Z1308" s="3" t="e">
        <v>#N/A</v>
      </c>
      <c r="AA1308" s="3" t="e">
        <v>#N/A</v>
      </c>
      <c r="AB1308" s="3" t="e">
        <v>#N/A</v>
      </c>
      <c r="AC1308" s="3" t="e">
        <v>#N/A</v>
      </c>
      <c r="AD1308" s="3" t="e">
        <v>#N/A</v>
      </c>
      <c r="AE1308" s="3" t="e">
        <v>#N/A</v>
      </c>
      <c r="AF1308" s="3" t="e">
        <v>#N/A</v>
      </c>
      <c r="AG1308" s="3" t="e">
        <v>#N/A</v>
      </c>
      <c r="AH1308" s="3" t="e">
        <v>#N/A</v>
      </c>
      <c r="AI1308" s="3" t="e">
        <v>#N/A</v>
      </c>
      <c r="AJ1308" s="3" t="e">
        <v>#N/A</v>
      </c>
      <c r="AK1308" s="3" t="e">
        <v>#N/A</v>
      </c>
      <c r="AL1308" s="3" t="e">
        <v>#N/A</v>
      </c>
      <c r="AM1308" s="3" t="e">
        <v>#N/A</v>
      </c>
      <c r="AN1308" s="3" t="e">
        <v>#N/A</v>
      </c>
      <c r="AO1308" s="3" t="e">
        <v>#N/A</v>
      </c>
      <c r="AP1308" s="3" t="e">
        <v>#N/A</v>
      </c>
      <c r="AQ1308" s="3" t="e">
        <v>#N/A</v>
      </c>
      <c r="AR1308" s="3" t="e">
        <v>#N/A</v>
      </c>
      <c r="AS1308" s="3" t="e">
        <v>#N/A</v>
      </c>
      <c r="AT1308" s="3" t="e">
        <v>#N/A</v>
      </c>
      <c r="AU1308" s="3" t="e">
        <v>#N/A</v>
      </c>
      <c r="AV1308" s="3" t="e">
        <v>#N/A</v>
      </c>
      <c r="AW1308" s="3" t="e">
        <v>#N/A</v>
      </c>
      <c r="AX1308" s="3" t="e">
        <v>#N/A</v>
      </c>
      <c r="AY1308" s="3" t="e">
        <v>#N/A</v>
      </c>
      <c r="AZ1308" s="3" t="e">
        <v>#N/A</v>
      </c>
      <c r="BA1308" s="3" t="e">
        <v>#N/A</v>
      </c>
      <c r="BB1308" s="3" t="e">
        <v>#N/A</v>
      </c>
      <c r="BC1308" s="3" t="e">
        <v>#N/A</v>
      </c>
      <c r="BD1308" s="3" t="e">
        <v>#N/A</v>
      </c>
      <c r="BE1308" s="3" t="e">
        <v>#N/A</v>
      </c>
      <c r="BF1308" s="3" t="e">
        <v>#N/A</v>
      </c>
      <c r="BG1308" s="3" t="e">
        <v>#N/A</v>
      </c>
      <c r="BH1308" s="3" t="e">
        <v>#N/A</v>
      </c>
      <c r="BI1308" s="3" t="e">
        <v>#N/A</v>
      </c>
      <c r="BJ1308" s="3" t="e">
        <v>#N/A</v>
      </c>
      <c r="BK1308" s="3" t="e">
        <v>#N/A</v>
      </c>
      <c r="BL1308" s="3" t="e">
        <v>#N/A</v>
      </c>
      <c r="BM1308" s="3" t="e">
        <v>#N/A</v>
      </c>
      <c r="BN1308" s="3" t="e">
        <v>#N/A</v>
      </c>
    </row>
    <row r="1309" spans="1:66" x14ac:dyDescent="0.35">
      <c r="A1309" s="5">
        <f t="shared" si="20"/>
        <v>45287</v>
      </c>
      <c r="B1309" t="s">
        <v>2730</v>
      </c>
      <c r="C1309" s="2">
        <v>5.25</v>
      </c>
      <c r="D1309" s="2">
        <v>5.1863000000000001</v>
      </c>
      <c r="E1309" s="3">
        <v>5.1909615000000002</v>
      </c>
      <c r="F1309" s="3">
        <v>5.1735559000000002</v>
      </c>
      <c r="G1309" s="3">
        <v>5.1219989999999997</v>
      </c>
      <c r="H1309" s="3">
        <v>5.0228539999999997</v>
      </c>
      <c r="I1309" s="3">
        <v>4.8803131999999998</v>
      </c>
      <c r="J1309" s="3">
        <v>4.7103463999999997</v>
      </c>
      <c r="K1309" s="3">
        <v>4.5295012000000003</v>
      </c>
      <c r="L1309" s="3">
        <v>4.3525520000000002</v>
      </c>
      <c r="M1309" s="3">
        <v>4.1882704000000004</v>
      </c>
      <c r="N1309" s="3">
        <v>4.0398230000000002</v>
      </c>
      <c r="O1309" s="3">
        <v>3.9073338</v>
      </c>
      <c r="P1309" s="3">
        <v>3.7896519999999998</v>
      </c>
      <c r="Q1309" s="3">
        <v>3.6832962</v>
      </c>
      <c r="R1309" s="3">
        <v>3.5867190999999998</v>
      </c>
      <c r="S1309" s="3">
        <v>3.4991444999999999</v>
      </c>
      <c r="T1309" s="3">
        <v>3.4197931000000001</v>
      </c>
      <c r="U1309" s="3">
        <v>3.3478854999999998</v>
      </c>
      <c r="V1309" s="3">
        <v>3.2826453999999998</v>
      </c>
      <c r="W1309" s="3">
        <v>3.2233478999999998</v>
      </c>
      <c r="X1309" s="3">
        <v>3.1694979000000001</v>
      </c>
      <c r="Y1309" s="3">
        <v>3.1206624999999999</v>
      </c>
      <c r="Z1309" s="3">
        <v>3.0764067000000002</v>
      </c>
      <c r="AA1309" s="3">
        <v>3.0362958</v>
      </c>
      <c r="AB1309" s="3">
        <v>2.9998963999999999</v>
      </c>
      <c r="AC1309" s="3">
        <v>2.9668041000000001</v>
      </c>
      <c r="AD1309" s="3">
        <v>2.9367776999999999</v>
      </c>
      <c r="AE1309" s="3">
        <v>2.9096320000000002</v>
      </c>
      <c r="AF1309" s="3">
        <v>2.8851806999999998</v>
      </c>
      <c r="AG1309" s="3">
        <v>2.8632374999999999</v>
      </c>
      <c r="AH1309" s="3">
        <v>2.8436168999999998</v>
      </c>
      <c r="AI1309" s="3">
        <v>2.8261327000000001</v>
      </c>
      <c r="AJ1309" s="3">
        <v>2.8105988000000002</v>
      </c>
      <c r="AK1309" s="3">
        <v>2.7968294999999999</v>
      </c>
      <c r="AL1309" s="3">
        <v>2.7846388000000002</v>
      </c>
      <c r="AM1309" s="3">
        <v>2.7738404000000001</v>
      </c>
      <c r="AN1309" s="3">
        <v>2.7642487</v>
      </c>
      <c r="AO1309" s="3">
        <v>2.7556956000000001</v>
      </c>
      <c r="AP1309" s="3">
        <v>2.7481106999999998</v>
      </c>
      <c r="AQ1309" s="3">
        <v>2.7414564000000001</v>
      </c>
      <c r="AR1309" s="3">
        <v>2.7356948999999999</v>
      </c>
      <c r="AS1309" s="3">
        <v>2.7307885000000001</v>
      </c>
      <c r="AT1309" s="3">
        <v>2.7266995000000001</v>
      </c>
      <c r="AU1309" s="3">
        <v>2.7233903000000002</v>
      </c>
      <c r="AV1309" s="3">
        <v>2.7208228999999999</v>
      </c>
      <c r="AW1309" s="3">
        <v>2.7189599000000002</v>
      </c>
      <c r="AX1309" s="3">
        <v>2.7177633999999999</v>
      </c>
      <c r="AY1309" s="3">
        <v>2.7171957999999998</v>
      </c>
      <c r="AZ1309" s="3">
        <v>2.7172193</v>
      </c>
      <c r="BA1309" s="3">
        <v>2.7177986999999999</v>
      </c>
      <c r="BB1309" s="3">
        <v>2.7189111000000001</v>
      </c>
      <c r="BC1309" s="3">
        <v>2.7205382</v>
      </c>
      <c r="BD1309" s="3">
        <v>2.7226615999999999</v>
      </c>
      <c r="BE1309" s="3">
        <v>2.7252629000000002</v>
      </c>
      <c r="BF1309" s="3">
        <v>2.7283235000000001</v>
      </c>
      <c r="BG1309" s="3">
        <v>2.7318251</v>
      </c>
      <c r="BH1309" s="3">
        <v>2.7357493000000002</v>
      </c>
      <c r="BI1309" s="3">
        <v>2.7400775999999998</v>
      </c>
      <c r="BJ1309" s="3">
        <v>2.7447914999999998</v>
      </c>
      <c r="BK1309" s="3">
        <v>2.7498729000000002</v>
      </c>
      <c r="BL1309" s="3">
        <v>2.7553030000000001</v>
      </c>
      <c r="BM1309" s="3">
        <v>2.7943916999999998</v>
      </c>
      <c r="BN1309" s="3">
        <v>2.8427077999999999</v>
      </c>
    </row>
    <row r="1310" spans="1:66" x14ac:dyDescent="0.35">
      <c r="A1310" s="5">
        <f t="shared" si="20"/>
        <v>45288</v>
      </c>
      <c r="B1310" t="s">
        <v>2731</v>
      </c>
      <c r="C1310" s="2">
        <v>5.25</v>
      </c>
      <c r="D1310" s="2">
        <v>5.1867000000000001</v>
      </c>
      <c r="E1310" s="3">
        <v>5.1895677999999998</v>
      </c>
      <c r="F1310" s="3">
        <v>5.1726131999999998</v>
      </c>
      <c r="G1310" s="3">
        <v>5.1224169000000002</v>
      </c>
      <c r="H1310" s="3">
        <v>5.0221714000000004</v>
      </c>
      <c r="I1310" s="3">
        <v>4.8756446000000002</v>
      </c>
      <c r="J1310" s="3">
        <v>4.6992779000000002</v>
      </c>
      <c r="K1310" s="3">
        <v>4.5117504000000004</v>
      </c>
      <c r="L1310" s="3">
        <v>4.3292444000000003</v>
      </c>
      <c r="M1310" s="3">
        <v>4.1609976</v>
      </c>
      <c r="N1310" s="3">
        <v>4.0105288000000003</v>
      </c>
      <c r="O1310" s="3">
        <v>3.8774288000000001</v>
      </c>
      <c r="P1310" s="3">
        <v>3.7600844000000002</v>
      </c>
      <c r="Q1310" s="3">
        <v>3.6546970999999999</v>
      </c>
      <c r="R1310" s="3">
        <v>3.5595077000000002</v>
      </c>
      <c r="S1310" s="3">
        <v>3.4737190999999998</v>
      </c>
      <c r="T1310" s="3">
        <v>3.396531</v>
      </c>
      <c r="U1310" s="3">
        <v>3.3271438999999998</v>
      </c>
      <c r="V1310" s="3">
        <v>3.2647605999999998</v>
      </c>
      <c r="W1310" s="3">
        <v>3.2086242999999999</v>
      </c>
      <c r="X1310" s="3">
        <v>3.1581996999999999</v>
      </c>
      <c r="Y1310" s="3">
        <v>3.1130236999999998</v>
      </c>
      <c r="Z1310" s="3">
        <v>3.0726315999999998</v>
      </c>
      <c r="AA1310" s="3">
        <v>3.0365584999999999</v>
      </c>
      <c r="AB1310" s="3">
        <v>3.0043413000000001</v>
      </c>
      <c r="AC1310" s="3">
        <v>2.9755486000000002</v>
      </c>
      <c r="AD1310" s="3">
        <v>2.9499127000000001</v>
      </c>
      <c r="AE1310" s="3">
        <v>2.9272163</v>
      </c>
      <c r="AF1310" s="3">
        <v>2.9072414000000002</v>
      </c>
      <c r="AG1310" s="3">
        <v>2.8897697999999998</v>
      </c>
      <c r="AH1310" s="3">
        <v>2.8745842000000001</v>
      </c>
      <c r="AI1310" s="3">
        <v>2.8614665000000001</v>
      </c>
      <c r="AJ1310" s="3">
        <v>2.8501987999999998</v>
      </c>
      <c r="AK1310" s="3">
        <v>2.8405635</v>
      </c>
      <c r="AL1310" s="3">
        <v>2.8323426</v>
      </c>
      <c r="AM1310" s="3">
        <v>2.8253181999999999</v>
      </c>
      <c r="AN1310" s="3">
        <v>2.8192727</v>
      </c>
      <c r="AO1310" s="3">
        <v>2.8140135000000002</v>
      </c>
      <c r="AP1310" s="3">
        <v>2.8094722999999999</v>
      </c>
      <c r="AQ1310" s="3">
        <v>2.8056185</v>
      </c>
      <c r="AR1310" s="3">
        <v>2.8024214000000001</v>
      </c>
      <c r="AS1310" s="3">
        <v>2.7998504</v>
      </c>
      <c r="AT1310" s="3">
        <v>2.7978748000000002</v>
      </c>
      <c r="AU1310" s="3">
        <v>2.7964641000000001</v>
      </c>
      <c r="AV1310" s="3">
        <v>2.7955874999999999</v>
      </c>
      <c r="AW1310" s="3">
        <v>2.7952145000000002</v>
      </c>
      <c r="AX1310" s="3">
        <v>2.7953144000000001</v>
      </c>
      <c r="AY1310" s="3">
        <v>2.7958565000000002</v>
      </c>
      <c r="AZ1310" s="3">
        <v>2.7968103000000002</v>
      </c>
      <c r="BA1310" s="3">
        <v>2.7981482999999998</v>
      </c>
      <c r="BB1310" s="3">
        <v>2.7998596</v>
      </c>
      <c r="BC1310" s="3">
        <v>2.8019379</v>
      </c>
      <c r="BD1310" s="3">
        <v>2.8043768999999998</v>
      </c>
      <c r="BE1310" s="3">
        <v>2.8071704999999998</v>
      </c>
      <c r="BF1310" s="3">
        <v>2.8103123999999999</v>
      </c>
      <c r="BG1310" s="3">
        <v>2.8137965</v>
      </c>
      <c r="BH1310" s="3">
        <v>2.8176166999999999</v>
      </c>
      <c r="BI1310" s="3">
        <v>2.8217664999999998</v>
      </c>
      <c r="BJ1310" s="3">
        <v>2.8262399</v>
      </c>
      <c r="BK1310" s="3">
        <v>2.8310306999999999</v>
      </c>
      <c r="BL1310" s="3">
        <v>2.8361326</v>
      </c>
      <c r="BM1310" s="3">
        <v>2.872865</v>
      </c>
      <c r="BN1310" s="3">
        <v>2.9188304999999999</v>
      </c>
    </row>
    <row r="1311" spans="1:66" x14ac:dyDescent="0.35">
      <c r="A1311" s="5">
        <f t="shared" si="20"/>
        <v>45289</v>
      </c>
      <c r="B1311" t="s">
        <v>2732</v>
      </c>
      <c r="C1311" s="2">
        <v>5.25</v>
      </c>
      <c r="D1311" s="2">
        <v>5.1868999999999996</v>
      </c>
      <c r="E1311" s="3">
        <v>5.1895508000000001</v>
      </c>
      <c r="F1311" s="3">
        <v>5.1750026</v>
      </c>
      <c r="G1311" s="3">
        <v>5.1291067000000004</v>
      </c>
      <c r="H1311" s="3">
        <v>5.0351691000000001</v>
      </c>
      <c r="I1311" s="3">
        <v>4.8947086999999998</v>
      </c>
      <c r="J1311" s="3">
        <v>4.7205715000000001</v>
      </c>
      <c r="K1311" s="3">
        <v>4.5311807999999996</v>
      </c>
      <c r="L1311" s="3">
        <v>4.3435053999999997</v>
      </c>
      <c r="M1311" s="3">
        <v>4.1679997000000002</v>
      </c>
      <c r="N1311" s="3">
        <v>4.0092528999999999</v>
      </c>
      <c r="O1311" s="3">
        <v>3.8681587999999998</v>
      </c>
      <c r="P1311" s="3">
        <v>3.7439483</v>
      </c>
      <c r="Q1311" s="3">
        <v>3.6339157000000002</v>
      </c>
      <c r="R1311" s="3">
        <v>3.5364749</v>
      </c>
      <c r="S1311" s="3">
        <v>3.4505761000000001</v>
      </c>
      <c r="T1311" s="3">
        <v>3.3751660999999999</v>
      </c>
      <c r="U1311" s="3">
        <v>3.3091922</v>
      </c>
      <c r="V1311" s="3">
        <v>3.2516039999999999</v>
      </c>
      <c r="W1311" s="3">
        <v>3.2013905999999999</v>
      </c>
      <c r="X1311" s="3">
        <v>3.1577358000000002</v>
      </c>
      <c r="Y1311" s="3">
        <v>3.1198814000000001</v>
      </c>
      <c r="Z1311" s="3">
        <v>3.0870677</v>
      </c>
      <c r="AA1311" s="3">
        <v>3.0585347999999999</v>
      </c>
      <c r="AB1311" s="3">
        <v>3.0335242999999998</v>
      </c>
      <c r="AC1311" s="3">
        <v>3.0113595000000002</v>
      </c>
      <c r="AD1311" s="3">
        <v>2.9917305000000001</v>
      </c>
      <c r="AE1311" s="3">
        <v>2.9744291</v>
      </c>
      <c r="AF1311" s="3">
        <v>2.9592466000000002</v>
      </c>
      <c r="AG1311" s="3">
        <v>2.9459740999999999</v>
      </c>
      <c r="AH1311" s="3">
        <v>2.9344033</v>
      </c>
      <c r="AI1311" s="3">
        <v>2.9243256</v>
      </c>
      <c r="AJ1311" s="3">
        <v>2.9155323000000002</v>
      </c>
      <c r="AK1311" s="3">
        <v>2.9078149</v>
      </c>
      <c r="AL1311" s="3">
        <v>2.9009648000000001</v>
      </c>
      <c r="AM1311" s="3">
        <v>2.8947731999999999</v>
      </c>
      <c r="AN1311" s="3">
        <v>2.8890318000000001</v>
      </c>
      <c r="AO1311" s="3">
        <v>2.8835670000000002</v>
      </c>
      <c r="AP1311" s="3">
        <v>2.8783607999999998</v>
      </c>
      <c r="AQ1311" s="3">
        <v>2.8734381</v>
      </c>
      <c r="AR1311" s="3">
        <v>2.8688235</v>
      </c>
      <c r="AS1311" s="3">
        <v>2.8645418999999999</v>
      </c>
      <c r="AT1311" s="3">
        <v>2.8606180999999999</v>
      </c>
      <c r="AU1311" s="3">
        <v>2.8570768000000002</v>
      </c>
      <c r="AV1311" s="3">
        <v>2.8539428999999998</v>
      </c>
      <c r="AW1311" s="3">
        <v>2.8512412</v>
      </c>
      <c r="AX1311" s="3">
        <v>2.8489963999999999</v>
      </c>
      <c r="AY1311" s="3">
        <v>2.8472333000000001</v>
      </c>
      <c r="AZ1311" s="3">
        <v>2.8459767999999999</v>
      </c>
      <c r="BA1311" s="3">
        <v>2.8452476</v>
      </c>
      <c r="BB1311" s="3">
        <v>2.8450486000000001</v>
      </c>
      <c r="BC1311" s="3">
        <v>2.8453778000000001</v>
      </c>
      <c r="BD1311" s="3">
        <v>2.8462331000000001</v>
      </c>
      <c r="BE1311" s="3">
        <v>2.8476126000000002</v>
      </c>
      <c r="BF1311" s="3">
        <v>2.8495143000000001</v>
      </c>
      <c r="BG1311" s="3">
        <v>2.8519361000000001</v>
      </c>
      <c r="BH1311" s="3">
        <v>2.854876</v>
      </c>
      <c r="BI1311" s="3">
        <v>2.8583319999999999</v>
      </c>
      <c r="BJ1311" s="3">
        <v>2.8623021999999998</v>
      </c>
      <c r="BK1311" s="3">
        <v>2.8667843999999998</v>
      </c>
      <c r="BL1311" s="3">
        <v>2.8717766999999998</v>
      </c>
      <c r="BM1311" s="3">
        <v>2.9116018000000001</v>
      </c>
      <c r="BN1311" s="3">
        <v>2.9648184</v>
      </c>
    </row>
    <row r="1312" spans="1:66" x14ac:dyDescent="0.35">
      <c r="A1312" s="5">
        <f t="shared" si="20"/>
        <v>45292</v>
      </c>
      <c r="B1312" t="s">
        <v>2733</v>
      </c>
      <c r="C1312" s="2">
        <v>5.25</v>
      </c>
      <c r="D1312" s="2" t="e">
        <v>#N/A</v>
      </c>
      <c r="E1312" s="3" t="e">
        <v>#N/A</v>
      </c>
      <c r="F1312" s="3" t="e">
        <v>#N/A</v>
      </c>
      <c r="G1312" s="3" t="e">
        <v>#N/A</v>
      </c>
      <c r="H1312" s="3" t="e">
        <v>#N/A</v>
      </c>
      <c r="I1312" s="3" t="e">
        <v>#N/A</v>
      </c>
      <c r="J1312" s="3" t="e">
        <v>#N/A</v>
      </c>
      <c r="K1312" s="3" t="e">
        <v>#N/A</v>
      </c>
      <c r="L1312" s="3" t="e">
        <v>#N/A</v>
      </c>
      <c r="M1312" s="3" t="e">
        <v>#N/A</v>
      </c>
      <c r="N1312" s="3" t="e">
        <v>#N/A</v>
      </c>
      <c r="O1312" s="3" t="e">
        <v>#N/A</v>
      </c>
      <c r="P1312" s="3" t="e">
        <v>#N/A</v>
      </c>
      <c r="Q1312" s="3" t="e">
        <v>#N/A</v>
      </c>
      <c r="R1312" s="3" t="e">
        <v>#N/A</v>
      </c>
      <c r="S1312" s="3" t="e">
        <v>#N/A</v>
      </c>
      <c r="T1312" s="3" t="e">
        <v>#N/A</v>
      </c>
      <c r="U1312" s="3" t="e">
        <v>#N/A</v>
      </c>
      <c r="V1312" s="3" t="e">
        <v>#N/A</v>
      </c>
      <c r="W1312" s="3" t="e">
        <v>#N/A</v>
      </c>
      <c r="X1312" s="3" t="e">
        <v>#N/A</v>
      </c>
      <c r="Y1312" s="3" t="e">
        <v>#N/A</v>
      </c>
      <c r="Z1312" s="3" t="e">
        <v>#N/A</v>
      </c>
      <c r="AA1312" s="3" t="e">
        <v>#N/A</v>
      </c>
      <c r="AB1312" s="3" t="e">
        <v>#N/A</v>
      </c>
      <c r="AC1312" s="3" t="e">
        <v>#N/A</v>
      </c>
      <c r="AD1312" s="3" t="e">
        <v>#N/A</v>
      </c>
      <c r="AE1312" s="3" t="e">
        <v>#N/A</v>
      </c>
      <c r="AF1312" s="3" t="e">
        <v>#N/A</v>
      </c>
      <c r="AG1312" s="3" t="e">
        <v>#N/A</v>
      </c>
      <c r="AH1312" s="3" t="e">
        <v>#N/A</v>
      </c>
      <c r="AI1312" s="3" t="e">
        <v>#N/A</v>
      </c>
      <c r="AJ1312" s="3" t="e">
        <v>#N/A</v>
      </c>
      <c r="AK1312" s="3" t="e">
        <v>#N/A</v>
      </c>
      <c r="AL1312" s="3" t="e">
        <v>#N/A</v>
      </c>
      <c r="AM1312" s="3" t="e">
        <v>#N/A</v>
      </c>
      <c r="AN1312" s="3" t="e">
        <v>#N/A</v>
      </c>
      <c r="AO1312" s="3" t="e">
        <v>#N/A</v>
      </c>
      <c r="AP1312" s="3" t="e">
        <v>#N/A</v>
      </c>
      <c r="AQ1312" s="3" t="e">
        <v>#N/A</v>
      </c>
      <c r="AR1312" s="3" t="e">
        <v>#N/A</v>
      </c>
      <c r="AS1312" s="3" t="e">
        <v>#N/A</v>
      </c>
      <c r="AT1312" s="3" t="e">
        <v>#N/A</v>
      </c>
      <c r="AU1312" s="3" t="e">
        <v>#N/A</v>
      </c>
      <c r="AV1312" s="3" t="e">
        <v>#N/A</v>
      </c>
      <c r="AW1312" s="3" t="e">
        <v>#N/A</v>
      </c>
      <c r="AX1312" s="3" t="e">
        <v>#N/A</v>
      </c>
      <c r="AY1312" s="3" t="e">
        <v>#N/A</v>
      </c>
      <c r="AZ1312" s="3" t="e">
        <v>#N/A</v>
      </c>
      <c r="BA1312" s="3" t="e">
        <v>#N/A</v>
      </c>
      <c r="BB1312" s="3" t="e">
        <v>#N/A</v>
      </c>
      <c r="BC1312" s="3" t="e">
        <v>#N/A</v>
      </c>
      <c r="BD1312" s="3" t="e">
        <v>#N/A</v>
      </c>
      <c r="BE1312" s="3" t="e">
        <v>#N/A</v>
      </c>
      <c r="BF1312" s="3" t="e">
        <v>#N/A</v>
      </c>
      <c r="BG1312" s="3" t="e">
        <v>#N/A</v>
      </c>
      <c r="BH1312" s="3" t="e">
        <v>#N/A</v>
      </c>
      <c r="BI1312" s="3" t="e">
        <v>#N/A</v>
      </c>
      <c r="BJ1312" s="3" t="e">
        <v>#N/A</v>
      </c>
      <c r="BK1312" s="3" t="e">
        <v>#N/A</v>
      </c>
      <c r="BL1312" s="3" t="e">
        <v>#N/A</v>
      </c>
      <c r="BM1312" s="3" t="e">
        <v>#N/A</v>
      </c>
      <c r="BN1312" s="3" t="e">
        <v>#N/A</v>
      </c>
    </row>
    <row r="1313" spans="1:66" x14ac:dyDescent="0.35">
      <c r="A1313" s="5">
        <f t="shared" si="20"/>
        <v>45293</v>
      </c>
      <c r="B1313" t="s">
        <v>2734</v>
      </c>
      <c r="C1313" s="2">
        <v>5.25</v>
      </c>
      <c r="D1313" s="2">
        <v>5.1863000000000001</v>
      </c>
      <c r="E1313" s="3">
        <v>5.1869458000000002</v>
      </c>
      <c r="F1313" s="3">
        <v>5.1737152000000002</v>
      </c>
      <c r="G1313" s="3">
        <v>5.1274641000000001</v>
      </c>
      <c r="H1313" s="3">
        <v>5.0330693000000002</v>
      </c>
      <c r="I1313" s="3">
        <v>4.8948083999999996</v>
      </c>
      <c r="J1313" s="3">
        <v>4.7267552000000004</v>
      </c>
      <c r="K1313" s="3">
        <v>4.5455904</v>
      </c>
      <c r="L1313" s="3">
        <v>4.3673209000000002</v>
      </c>
      <c r="M1313" s="3">
        <v>4.2024467000000003</v>
      </c>
      <c r="N1313" s="3">
        <v>4.0550731000000004</v>
      </c>
      <c r="O1313" s="3">
        <v>3.9257072000000002</v>
      </c>
      <c r="P1313" s="3">
        <v>3.8133507</v>
      </c>
      <c r="Q1313" s="3">
        <v>3.7135649000000002</v>
      </c>
      <c r="R1313" s="3">
        <v>3.6243989000000001</v>
      </c>
      <c r="S1313" s="3">
        <v>3.5449014999999999</v>
      </c>
      <c r="T1313" s="3">
        <v>3.4741183000000002</v>
      </c>
      <c r="U1313" s="3">
        <v>3.4110950999999998</v>
      </c>
      <c r="V1313" s="3">
        <v>3.3548802000000002</v>
      </c>
      <c r="W1313" s="3">
        <v>3.3045933000000001</v>
      </c>
      <c r="X1313" s="3">
        <v>3.2596362000000001</v>
      </c>
      <c r="Y1313" s="3">
        <v>3.2194791</v>
      </c>
      <c r="Z1313" s="3">
        <v>3.1835906</v>
      </c>
      <c r="AA1313" s="3">
        <v>3.1514395999999998</v>
      </c>
      <c r="AB1313" s="3">
        <v>3.1224959999999999</v>
      </c>
      <c r="AC1313" s="3">
        <v>3.0962854000000002</v>
      </c>
      <c r="AD1313" s="3">
        <v>3.0725845000000001</v>
      </c>
      <c r="AE1313" s="3">
        <v>3.0512400999999998</v>
      </c>
      <c r="AF1313" s="3">
        <v>3.0320982000000001</v>
      </c>
      <c r="AG1313" s="3">
        <v>3.0150047999999998</v>
      </c>
      <c r="AH1313" s="3">
        <v>2.9998064000000002</v>
      </c>
      <c r="AI1313" s="3">
        <v>2.9863491</v>
      </c>
      <c r="AJ1313" s="3">
        <v>2.9744790000000001</v>
      </c>
      <c r="AK1313" s="3">
        <v>2.9640426</v>
      </c>
      <c r="AL1313" s="3">
        <v>2.9548858999999998</v>
      </c>
      <c r="AM1313" s="3">
        <v>2.9468551000000001</v>
      </c>
      <c r="AN1313" s="3">
        <v>2.9397964999999999</v>
      </c>
      <c r="AO1313" s="3">
        <v>2.9335732999999999</v>
      </c>
      <c r="AP1313" s="3">
        <v>2.9281397</v>
      </c>
      <c r="AQ1313" s="3">
        <v>2.9234808999999999</v>
      </c>
      <c r="AR1313" s="3">
        <v>2.9195818</v>
      </c>
      <c r="AS1313" s="3">
        <v>2.9164273000000001</v>
      </c>
      <c r="AT1313" s="3">
        <v>2.9140025999999999</v>
      </c>
      <c r="AU1313" s="3">
        <v>2.9122925</v>
      </c>
      <c r="AV1313" s="3">
        <v>2.9112821000000002</v>
      </c>
      <c r="AW1313" s="3">
        <v>2.9109563999999999</v>
      </c>
      <c r="AX1313" s="3">
        <v>2.9113003000000002</v>
      </c>
      <c r="AY1313" s="3">
        <v>2.912299</v>
      </c>
      <c r="AZ1313" s="3">
        <v>2.9139373000000002</v>
      </c>
      <c r="BA1313" s="3">
        <v>2.9161996000000001</v>
      </c>
      <c r="BB1313" s="3">
        <v>2.9190670000000001</v>
      </c>
      <c r="BC1313" s="3">
        <v>2.9225194999999999</v>
      </c>
      <c r="BD1313" s="3">
        <v>2.9265371</v>
      </c>
      <c r="BE1313" s="3">
        <v>2.9310996999999999</v>
      </c>
      <c r="BF1313" s="3">
        <v>2.9361872</v>
      </c>
      <c r="BG1313" s="3">
        <v>2.9417797000000001</v>
      </c>
      <c r="BH1313" s="3">
        <v>2.9478570999999998</v>
      </c>
      <c r="BI1313" s="3">
        <v>2.9543993999999998</v>
      </c>
      <c r="BJ1313" s="3">
        <v>2.9613863999999999</v>
      </c>
      <c r="BK1313" s="3">
        <v>2.9687983999999998</v>
      </c>
      <c r="BL1313" s="3">
        <v>2.9766149999999998</v>
      </c>
      <c r="BM1313" s="3">
        <v>3.0309689999999998</v>
      </c>
      <c r="BN1313" s="3">
        <v>3.0953135999999999</v>
      </c>
    </row>
    <row r="1314" spans="1:66" x14ac:dyDescent="0.35">
      <c r="A1314" s="5">
        <f t="shared" si="20"/>
        <v>45294</v>
      </c>
      <c r="B1314" t="s">
        <v>2736</v>
      </c>
      <c r="C1314" s="2">
        <v>5.25</v>
      </c>
      <c r="D1314" s="2">
        <v>5.1863000000000001</v>
      </c>
      <c r="E1314" s="3">
        <v>5.1879346000000002</v>
      </c>
      <c r="F1314" s="3">
        <v>5.1698623000000001</v>
      </c>
      <c r="G1314" s="3">
        <v>5.1217679</v>
      </c>
      <c r="H1314" s="3">
        <v>5.0292523999999998</v>
      </c>
      <c r="I1314" s="3">
        <v>4.8955915000000001</v>
      </c>
      <c r="J1314" s="3">
        <v>4.7327474</v>
      </c>
      <c r="K1314" s="3">
        <v>4.5561572999999997</v>
      </c>
      <c r="L1314" s="3">
        <v>4.3801250999999999</v>
      </c>
      <c r="M1314" s="3">
        <v>4.2145865999999996</v>
      </c>
      <c r="N1314" s="3">
        <v>4.0638513999999999</v>
      </c>
      <c r="O1314" s="3">
        <v>3.9292761</v>
      </c>
      <c r="P1314" s="3">
        <v>3.8103908999999998</v>
      </c>
      <c r="Q1314" s="3">
        <v>3.7037410999999998</v>
      </c>
      <c r="R1314" s="3">
        <v>3.6077142000000002</v>
      </c>
      <c r="S1314" s="3">
        <v>3.5214569999999998</v>
      </c>
      <c r="T1314" s="3">
        <v>3.4441131</v>
      </c>
      <c r="U1314" s="3">
        <v>3.3748263000000001</v>
      </c>
      <c r="V1314" s="3">
        <v>3.3127428999999999</v>
      </c>
      <c r="W1314" s="3">
        <v>3.2570771000000001</v>
      </c>
      <c r="X1314" s="3">
        <v>3.2073119000000001</v>
      </c>
      <c r="Y1314" s="3">
        <v>3.1629961</v>
      </c>
      <c r="Z1314" s="3">
        <v>3.1236763999999999</v>
      </c>
      <c r="AA1314" s="3">
        <v>3.0889000000000002</v>
      </c>
      <c r="AB1314" s="3">
        <v>3.0582151</v>
      </c>
      <c r="AC1314" s="3">
        <v>3.0311935000000001</v>
      </c>
      <c r="AD1314" s="3">
        <v>3.0075392999999999</v>
      </c>
      <c r="AE1314" s="3">
        <v>2.9870022000000001</v>
      </c>
      <c r="AF1314" s="3">
        <v>2.9693309999999999</v>
      </c>
      <c r="AG1314" s="3">
        <v>2.9542744999999999</v>
      </c>
      <c r="AH1314" s="3">
        <v>2.9415821000000002</v>
      </c>
      <c r="AI1314" s="3">
        <v>2.9310025999999998</v>
      </c>
      <c r="AJ1314" s="3">
        <v>2.9222850999999999</v>
      </c>
      <c r="AK1314" s="3">
        <v>2.9151788000000001</v>
      </c>
      <c r="AL1314" s="3">
        <v>2.9094326000000001</v>
      </c>
      <c r="AM1314" s="3">
        <v>2.9047955000000001</v>
      </c>
      <c r="AN1314" s="3">
        <v>2.9010166000000002</v>
      </c>
      <c r="AO1314" s="3">
        <v>2.8978771000000001</v>
      </c>
      <c r="AP1314" s="3">
        <v>2.8953139999999999</v>
      </c>
      <c r="AQ1314" s="3">
        <v>2.8933122</v>
      </c>
      <c r="AR1314" s="3">
        <v>2.8918564</v>
      </c>
      <c r="AS1314" s="3">
        <v>2.8909313999999999</v>
      </c>
      <c r="AT1314" s="3">
        <v>2.8905219</v>
      </c>
      <c r="AU1314" s="3">
        <v>2.8906127000000001</v>
      </c>
      <c r="AV1314" s="3">
        <v>2.8911885000000002</v>
      </c>
      <c r="AW1314" s="3">
        <v>2.8922341</v>
      </c>
      <c r="AX1314" s="3">
        <v>2.8937341999999999</v>
      </c>
      <c r="AY1314" s="3">
        <v>2.8956737000000001</v>
      </c>
      <c r="AZ1314" s="3">
        <v>2.8980372000000001</v>
      </c>
      <c r="BA1314" s="3">
        <v>2.9008110999999999</v>
      </c>
      <c r="BB1314" s="3">
        <v>2.9039899</v>
      </c>
      <c r="BC1314" s="3">
        <v>2.9075703000000002</v>
      </c>
      <c r="BD1314" s="3">
        <v>2.9115490999999998</v>
      </c>
      <c r="BE1314" s="3">
        <v>2.9159234000000001</v>
      </c>
      <c r="BF1314" s="3">
        <v>2.9206896000000002</v>
      </c>
      <c r="BG1314" s="3">
        <v>2.9258448000000001</v>
      </c>
      <c r="BH1314" s="3">
        <v>2.9313858000000002</v>
      </c>
      <c r="BI1314" s="3">
        <v>2.9373092999999999</v>
      </c>
      <c r="BJ1314" s="3">
        <v>2.9436122</v>
      </c>
      <c r="BK1314" s="3">
        <v>2.9502913999999998</v>
      </c>
      <c r="BL1314" s="3">
        <v>2.9573434999999999</v>
      </c>
      <c r="BM1314" s="3">
        <v>3.0068421000000001</v>
      </c>
      <c r="BN1314" s="3">
        <v>3.0660859999999999</v>
      </c>
    </row>
    <row r="1315" spans="1:66" x14ac:dyDescent="0.35">
      <c r="A1315" s="5">
        <f t="shared" si="20"/>
        <v>45295</v>
      </c>
      <c r="B1315" t="s">
        <v>2737</v>
      </c>
      <c r="C1315" s="2">
        <v>5.25</v>
      </c>
      <c r="D1315" s="2">
        <v>5.1870000000000003</v>
      </c>
      <c r="E1315" s="3">
        <v>5.1847630999999996</v>
      </c>
      <c r="F1315" s="3">
        <v>5.1706678000000004</v>
      </c>
      <c r="G1315" s="3">
        <v>5.1289198999999996</v>
      </c>
      <c r="H1315" s="3">
        <v>5.0490297999999996</v>
      </c>
      <c r="I1315" s="3">
        <v>4.9325416000000004</v>
      </c>
      <c r="J1315" s="3">
        <v>4.7903403999999998</v>
      </c>
      <c r="K1315" s="3">
        <v>4.6344699</v>
      </c>
      <c r="L1315" s="3">
        <v>4.4767792000000002</v>
      </c>
      <c r="M1315" s="3">
        <v>4.3259129999999999</v>
      </c>
      <c r="N1315" s="3">
        <v>4.1861157999999996</v>
      </c>
      <c r="O1315" s="3">
        <v>4.0594066</v>
      </c>
      <c r="P1315" s="3">
        <v>3.9458215999999999</v>
      </c>
      <c r="Q1315" s="3">
        <v>3.8430555000000002</v>
      </c>
      <c r="R1315" s="3">
        <v>3.7499595999999999</v>
      </c>
      <c r="S1315" s="3">
        <v>3.6659828999999999</v>
      </c>
      <c r="T1315" s="3">
        <v>3.5905711999999999</v>
      </c>
      <c r="U1315" s="3">
        <v>3.5231710999999999</v>
      </c>
      <c r="V1315" s="3">
        <v>3.4632312000000001</v>
      </c>
      <c r="W1315" s="3">
        <v>3.4101861000000002</v>
      </c>
      <c r="X1315" s="3">
        <v>3.3634252999999998</v>
      </c>
      <c r="Y1315" s="3">
        <v>3.3223291000000001</v>
      </c>
      <c r="Z1315" s="3">
        <v>3.2862764000000002</v>
      </c>
      <c r="AA1315" s="3">
        <v>3.2546461</v>
      </c>
      <c r="AB1315" s="3">
        <v>3.2268181999999999</v>
      </c>
      <c r="AC1315" s="3">
        <v>3.2022270000000002</v>
      </c>
      <c r="AD1315" s="3">
        <v>3.1805764000000001</v>
      </c>
      <c r="AE1315" s="3">
        <v>3.1616533000000002</v>
      </c>
      <c r="AF1315" s="3">
        <v>3.1452434</v>
      </c>
      <c r="AG1315" s="3">
        <v>3.1311331</v>
      </c>
      <c r="AH1315" s="3">
        <v>3.1191087999999998</v>
      </c>
      <c r="AI1315" s="3">
        <v>3.1089566</v>
      </c>
      <c r="AJ1315" s="3">
        <v>3.1004627</v>
      </c>
      <c r="AK1315" s="3">
        <v>3.0934135</v>
      </c>
      <c r="AL1315" s="3">
        <v>3.0875952</v>
      </c>
      <c r="AM1315" s="3">
        <v>3.0827939999999998</v>
      </c>
      <c r="AN1315" s="3">
        <v>3.0787962000000002</v>
      </c>
      <c r="AO1315" s="3">
        <v>3.0754177999999999</v>
      </c>
      <c r="AP1315" s="3">
        <v>3.0726057</v>
      </c>
      <c r="AQ1315" s="3">
        <v>3.0703431000000001</v>
      </c>
      <c r="AR1315" s="3">
        <v>3.0686133</v>
      </c>
      <c r="AS1315" s="3">
        <v>3.0673992999999999</v>
      </c>
      <c r="AT1315" s="3">
        <v>3.0666845</v>
      </c>
      <c r="AU1315" s="3">
        <v>3.066452</v>
      </c>
      <c r="AV1315" s="3">
        <v>3.0666848999999998</v>
      </c>
      <c r="AW1315" s="3">
        <v>3.0673664999999999</v>
      </c>
      <c r="AX1315" s="3">
        <v>3.0684798999999998</v>
      </c>
      <c r="AY1315" s="3">
        <v>3.0700083</v>
      </c>
      <c r="AZ1315" s="3">
        <v>3.0719349999999999</v>
      </c>
      <c r="BA1315" s="3">
        <v>3.0742444999999998</v>
      </c>
      <c r="BB1315" s="3">
        <v>3.0769278999999998</v>
      </c>
      <c r="BC1315" s="3">
        <v>3.0799780999999999</v>
      </c>
      <c r="BD1315" s="3">
        <v>3.0833879999999998</v>
      </c>
      <c r="BE1315" s="3">
        <v>3.0871504999999999</v>
      </c>
      <c r="BF1315" s="3">
        <v>3.0912582999999998</v>
      </c>
      <c r="BG1315" s="3">
        <v>3.0957043</v>
      </c>
      <c r="BH1315" s="3">
        <v>3.1004814000000001</v>
      </c>
      <c r="BI1315" s="3">
        <v>3.1055825000000001</v>
      </c>
      <c r="BJ1315" s="3">
        <v>3.1110004</v>
      </c>
      <c r="BK1315" s="3">
        <v>3.1167281</v>
      </c>
      <c r="BL1315" s="3">
        <v>3.1227581999999998</v>
      </c>
      <c r="BM1315" s="3">
        <v>3.1648269999999998</v>
      </c>
      <c r="BN1315" s="3">
        <v>3.2155847999999998</v>
      </c>
    </row>
    <row r="1316" spans="1:66" x14ac:dyDescent="0.35">
      <c r="A1316" s="5">
        <f t="shared" si="20"/>
        <v>45296</v>
      </c>
      <c r="B1316" t="s">
        <v>2739</v>
      </c>
      <c r="C1316" s="2">
        <v>5.25</v>
      </c>
      <c r="D1316" s="2">
        <v>5.1868999999999996</v>
      </c>
      <c r="E1316" s="3">
        <v>5.1873271000000001</v>
      </c>
      <c r="F1316" s="3">
        <v>5.1720791999999998</v>
      </c>
      <c r="G1316" s="3">
        <v>5.1334346999999996</v>
      </c>
      <c r="H1316" s="3">
        <v>5.0598045000000003</v>
      </c>
      <c r="I1316" s="3">
        <v>4.9517376000000004</v>
      </c>
      <c r="J1316" s="3">
        <v>4.8187670000000002</v>
      </c>
      <c r="K1316" s="3">
        <v>4.6723584999999996</v>
      </c>
      <c r="L1316" s="3">
        <v>4.5243145</v>
      </c>
      <c r="M1316" s="3">
        <v>4.3831626999999997</v>
      </c>
      <c r="N1316" s="3">
        <v>4.2534108000000002</v>
      </c>
      <c r="O1316" s="3">
        <v>4.1364166999999998</v>
      </c>
      <c r="P1316" s="3">
        <v>4.0318582999999997</v>
      </c>
      <c r="Q1316" s="3">
        <v>3.9368302000000002</v>
      </c>
      <c r="R1316" s="3">
        <v>3.8500800000000002</v>
      </c>
      <c r="S1316" s="3">
        <v>3.7711019000000001</v>
      </c>
      <c r="T1316" s="3">
        <v>3.6993871</v>
      </c>
      <c r="U1316" s="3">
        <v>3.6344272000000002</v>
      </c>
      <c r="V1316" s="3">
        <v>3.5757159000000001</v>
      </c>
      <c r="W1316" s="3">
        <v>3.5227607999999999</v>
      </c>
      <c r="X1316" s="3">
        <v>3.4751452</v>
      </c>
      <c r="Y1316" s="3">
        <v>3.4324758000000002</v>
      </c>
      <c r="Z1316" s="3">
        <v>3.3943576000000002</v>
      </c>
      <c r="AA1316" s="3">
        <v>3.3603955999999999</v>
      </c>
      <c r="AB1316" s="3">
        <v>3.3301962999999999</v>
      </c>
      <c r="AC1316" s="3">
        <v>3.3033904999999999</v>
      </c>
      <c r="AD1316" s="3">
        <v>3.2797228</v>
      </c>
      <c r="AE1316" s="3">
        <v>3.2589695999999999</v>
      </c>
      <c r="AF1316" s="3">
        <v>3.2409067999999999</v>
      </c>
      <c r="AG1316" s="3">
        <v>3.2253104000000001</v>
      </c>
      <c r="AH1316" s="3">
        <v>3.2119566000000002</v>
      </c>
      <c r="AI1316" s="3">
        <v>3.2006214000000002</v>
      </c>
      <c r="AJ1316" s="3">
        <v>3.1910807999999999</v>
      </c>
      <c r="AK1316" s="3">
        <v>3.1831111000000001</v>
      </c>
      <c r="AL1316" s="3">
        <v>3.1764880999999998</v>
      </c>
      <c r="AM1316" s="3">
        <v>3.1709879000000001</v>
      </c>
      <c r="AN1316" s="3">
        <v>3.1663868000000002</v>
      </c>
      <c r="AO1316" s="3">
        <v>3.1624897999999999</v>
      </c>
      <c r="AP1316" s="3">
        <v>3.1592315000000002</v>
      </c>
      <c r="AQ1316" s="3">
        <v>3.1565820000000002</v>
      </c>
      <c r="AR1316" s="3">
        <v>3.1545114000000001</v>
      </c>
      <c r="AS1316" s="3">
        <v>3.1529896000000002</v>
      </c>
      <c r="AT1316" s="3">
        <v>3.1519868999999998</v>
      </c>
      <c r="AU1316" s="3">
        <v>3.1514731999999999</v>
      </c>
      <c r="AV1316" s="3">
        <v>3.1514186</v>
      </c>
      <c r="AW1316" s="3">
        <v>3.1517933</v>
      </c>
      <c r="AX1316" s="3">
        <v>3.1525672</v>
      </c>
      <c r="AY1316" s="3">
        <v>3.1537104999999999</v>
      </c>
      <c r="AZ1316" s="3">
        <v>3.1551931999999998</v>
      </c>
      <c r="BA1316" s="3">
        <v>3.1569896000000002</v>
      </c>
      <c r="BB1316" s="3">
        <v>3.1590924</v>
      </c>
      <c r="BC1316" s="3">
        <v>3.1614995000000001</v>
      </c>
      <c r="BD1316" s="3">
        <v>3.1642087000000001</v>
      </c>
      <c r="BE1316" s="3">
        <v>3.1672178999999998</v>
      </c>
      <c r="BF1316" s="3">
        <v>3.170525</v>
      </c>
      <c r="BG1316" s="3">
        <v>3.1741275999999998</v>
      </c>
      <c r="BH1316" s="3">
        <v>3.1780238999999999</v>
      </c>
      <c r="BI1316" s="3">
        <v>3.1822113999999999</v>
      </c>
      <c r="BJ1316" s="3">
        <v>3.1866881999999999</v>
      </c>
      <c r="BK1316" s="3">
        <v>3.191452</v>
      </c>
      <c r="BL1316" s="3">
        <v>3.1965007000000001</v>
      </c>
      <c r="BM1316" s="3">
        <v>3.2325005999999998</v>
      </c>
      <c r="BN1316" s="3">
        <v>3.2772655999999998</v>
      </c>
    </row>
    <row r="1317" spans="1:66" x14ac:dyDescent="0.35">
      <c r="A1317" s="5">
        <f t="shared" si="20"/>
        <v>45299</v>
      </c>
      <c r="B1317" t="s">
        <v>2740</v>
      </c>
      <c r="C1317" s="2">
        <v>5.25</v>
      </c>
      <c r="D1317" s="2">
        <v>5.1868999999999996</v>
      </c>
      <c r="E1317" s="3">
        <v>5.1875371000000001</v>
      </c>
      <c r="F1317" s="3">
        <v>5.1723518000000004</v>
      </c>
      <c r="G1317" s="3">
        <v>5.1318123</v>
      </c>
      <c r="H1317" s="3">
        <v>5.0538828000000002</v>
      </c>
      <c r="I1317" s="3">
        <v>4.9407069999999997</v>
      </c>
      <c r="J1317" s="3">
        <v>4.8022983000000004</v>
      </c>
      <c r="K1317" s="3">
        <v>4.6506226000000002</v>
      </c>
      <c r="L1317" s="3">
        <v>4.4975445000000001</v>
      </c>
      <c r="M1317" s="3">
        <v>4.3519113999999997</v>
      </c>
      <c r="N1317" s="3">
        <v>4.2180825000000004</v>
      </c>
      <c r="O1317" s="3">
        <v>4.0980800999999998</v>
      </c>
      <c r="P1317" s="3">
        <v>3.9915984999999998</v>
      </c>
      <c r="Q1317" s="3">
        <v>3.8957126999999998</v>
      </c>
      <c r="R1317" s="3">
        <v>3.8090535999999999</v>
      </c>
      <c r="S1317" s="3">
        <v>3.7309025</v>
      </c>
      <c r="T1317" s="3">
        <v>3.6605376000000001</v>
      </c>
      <c r="U1317" s="3">
        <v>3.5972374999999999</v>
      </c>
      <c r="V1317" s="3">
        <v>3.5402832000000002</v>
      </c>
      <c r="W1317" s="3">
        <v>3.4890080000000001</v>
      </c>
      <c r="X1317" s="3">
        <v>3.4429542</v>
      </c>
      <c r="Y1317" s="3">
        <v>3.4017156000000002</v>
      </c>
      <c r="Z1317" s="3">
        <v>3.3648842000000001</v>
      </c>
      <c r="AA1317" s="3">
        <v>3.3320520999999999</v>
      </c>
      <c r="AB1317" s="3">
        <v>3.3028127999999999</v>
      </c>
      <c r="AC1317" s="3">
        <v>3.2767879</v>
      </c>
      <c r="AD1317" s="3">
        <v>3.2537294999999999</v>
      </c>
      <c r="AE1317" s="3">
        <v>3.2334263999999999</v>
      </c>
      <c r="AF1317" s="3">
        <v>3.2156666</v>
      </c>
      <c r="AG1317" s="3">
        <v>3.2002381999999998</v>
      </c>
      <c r="AH1317" s="3">
        <v>3.1869299</v>
      </c>
      <c r="AI1317" s="3">
        <v>3.1755298000000001</v>
      </c>
      <c r="AJ1317" s="3">
        <v>3.1658259000000002</v>
      </c>
      <c r="AK1317" s="3">
        <v>3.1576069000000002</v>
      </c>
      <c r="AL1317" s="3">
        <v>3.1506609000000001</v>
      </c>
      <c r="AM1317" s="3">
        <v>3.1447761000000001</v>
      </c>
      <c r="AN1317" s="3">
        <v>3.1397409000000001</v>
      </c>
      <c r="AO1317" s="3">
        <v>3.1353719999999998</v>
      </c>
      <c r="AP1317" s="3">
        <v>3.1316117999999999</v>
      </c>
      <c r="AQ1317" s="3">
        <v>3.1284377999999999</v>
      </c>
      <c r="AR1317" s="3">
        <v>3.1258268999999999</v>
      </c>
      <c r="AS1317" s="3">
        <v>3.1237564999999998</v>
      </c>
      <c r="AT1317" s="3">
        <v>3.1222037999999999</v>
      </c>
      <c r="AU1317" s="3">
        <v>3.1211457999999999</v>
      </c>
      <c r="AV1317" s="3">
        <v>3.1205599999999998</v>
      </c>
      <c r="AW1317" s="3">
        <v>3.1204234</v>
      </c>
      <c r="AX1317" s="3">
        <v>3.1207132999999998</v>
      </c>
      <c r="AY1317" s="3">
        <v>3.1214067999999999</v>
      </c>
      <c r="AZ1317" s="3">
        <v>3.1224812000000002</v>
      </c>
      <c r="BA1317" s="3">
        <v>3.1239165</v>
      </c>
      <c r="BB1317" s="3">
        <v>3.1257071999999999</v>
      </c>
      <c r="BC1317" s="3">
        <v>3.1278529000000002</v>
      </c>
      <c r="BD1317" s="3">
        <v>3.1303531000000002</v>
      </c>
      <c r="BE1317" s="3">
        <v>3.1332076</v>
      </c>
      <c r="BF1317" s="3">
        <v>3.1364157000000001</v>
      </c>
      <c r="BG1317" s="3">
        <v>3.139977</v>
      </c>
      <c r="BH1317" s="3">
        <v>3.1438912999999999</v>
      </c>
      <c r="BI1317" s="3">
        <v>3.1481579000000002</v>
      </c>
      <c r="BJ1317" s="3">
        <v>3.1527764999999999</v>
      </c>
      <c r="BK1317" s="3">
        <v>3.1577465999999998</v>
      </c>
      <c r="BL1317" s="3">
        <v>3.1630677999999999</v>
      </c>
      <c r="BM1317" s="3">
        <v>3.2019753999999998</v>
      </c>
      <c r="BN1317" s="3">
        <v>3.2511538999999998</v>
      </c>
    </row>
    <row r="1318" spans="1:66" x14ac:dyDescent="0.35">
      <c r="A1318" s="5">
        <f t="shared" si="20"/>
        <v>45300</v>
      </c>
      <c r="B1318" t="s">
        <v>2743</v>
      </c>
      <c r="C1318" s="2">
        <v>5.25</v>
      </c>
      <c r="D1318" s="2">
        <v>5.1867000000000001</v>
      </c>
      <c r="E1318" s="3">
        <v>5.1852612000000002</v>
      </c>
      <c r="F1318" s="3">
        <v>5.1702462999999996</v>
      </c>
      <c r="G1318" s="3">
        <v>5.1298316000000002</v>
      </c>
      <c r="H1318" s="3">
        <v>5.0519414999999999</v>
      </c>
      <c r="I1318" s="3">
        <v>4.9396490999999996</v>
      </c>
      <c r="J1318" s="3">
        <v>4.8037638999999999</v>
      </c>
      <c r="K1318" s="3">
        <v>4.6561959999999996</v>
      </c>
      <c r="L1318" s="3">
        <v>4.5079649000000002</v>
      </c>
      <c r="M1318" s="3">
        <v>4.3668256999999997</v>
      </c>
      <c r="N1318" s="3">
        <v>4.2366576</v>
      </c>
      <c r="O1318" s="3">
        <v>4.1187677000000003</v>
      </c>
      <c r="P1318" s="3">
        <v>4.0132621999999998</v>
      </c>
      <c r="Q1318" s="3">
        <v>3.9177742000000002</v>
      </c>
      <c r="R1318" s="3">
        <v>3.8311198000000002</v>
      </c>
      <c r="S1318" s="3">
        <v>3.7526541999999998</v>
      </c>
      <c r="T1318" s="3">
        <v>3.6817291000000001</v>
      </c>
      <c r="U1318" s="3">
        <v>3.6176968999999999</v>
      </c>
      <c r="V1318" s="3">
        <v>3.5599118000000001</v>
      </c>
      <c r="W1318" s="3">
        <v>3.5077647000000001</v>
      </c>
      <c r="X1318" s="3">
        <v>3.4607923</v>
      </c>
      <c r="Y1318" s="3">
        <v>3.4185682000000002</v>
      </c>
      <c r="Z1318" s="3">
        <v>3.3806642</v>
      </c>
      <c r="AA1318" s="3">
        <v>3.3466521999999999</v>
      </c>
      <c r="AB1318" s="3">
        <v>3.3161052999999998</v>
      </c>
      <c r="AC1318" s="3">
        <v>3.2886324999999998</v>
      </c>
      <c r="AD1318" s="3">
        <v>3.2640061</v>
      </c>
      <c r="AE1318" s="3">
        <v>3.2420445999999998</v>
      </c>
      <c r="AF1318" s="3">
        <v>3.2225655</v>
      </c>
      <c r="AG1318" s="3">
        <v>3.2053862</v>
      </c>
      <c r="AH1318" s="3">
        <v>3.1903250000000001</v>
      </c>
      <c r="AI1318" s="3">
        <v>3.1771994000000001</v>
      </c>
      <c r="AJ1318" s="3">
        <v>3.1658271999999998</v>
      </c>
      <c r="AK1318" s="3">
        <v>3.1560261999999999</v>
      </c>
      <c r="AL1318" s="3">
        <v>3.1476142</v>
      </c>
      <c r="AM1318" s="3">
        <v>3.1404089000000002</v>
      </c>
      <c r="AN1318" s="3">
        <v>3.1342281999999999</v>
      </c>
      <c r="AO1318" s="3">
        <v>3.1289080999999999</v>
      </c>
      <c r="AP1318" s="3">
        <v>3.1243834000000001</v>
      </c>
      <c r="AQ1318" s="3">
        <v>3.1206223999999998</v>
      </c>
      <c r="AR1318" s="3">
        <v>3.1175928000000002</v>
      </c>
      <c r="AS1318" s="3">
        <v>3.1152628</v>
      </c>
      <c r="AT1318" s="3">
        <v>3.1136004000000002</v>
      </c>
      <c r="AU1318" s="3">
        <v>3.1125734999999999</v>
      </c>
      <c r="AV1318" s="3">
        <v>3.1121503000000001</v>
      </c>
      <c r="AW1318" s="3">
        <v>3.1122987000000002</v>
      </c>
      <c r="AX1318" s="3">
        <v>3.1129867999999998</v>
      </c>
      <c r="AY1318" s="3">
        <v>3.1141825000000001</v>
      </c>
      <c r="AZ1318" s="3">
        <v>3.1158538999999998</v>
      </c>
      <c r="BA1318" s="3">
        <v>3.117972</v>
      </c>
      <c r="BB1318" s="3">
        <v>3.1205215000000002</v>
      </c>
      <c r="BC1318" s="3">
        <v>3.1234918</v>
      </c>
      <c r="BD1318" s="3">
        <v>3.1268718999999998</v>
      </c>
      <c r="BE1318" s="3">
        <v>3.1306511000000001</v>
      </c>
      <c r="BF1318" s="3">
        <v>3.1348186</v>
      </c>
      <c r="BG1318" s="3">
        <v>3.1393635</v>
      </c>
      <c r="BH1318" s="3">
        <v>3.1442751000000002</v>
      </c>
      <c r="BI1318" s="3">
        <v>3.1495424000000001</v>
      </c>
      <c r="BJ1318" s="3">
        <v>3.1551547000000002</v>
      </c>
      <c r="BK1318" s="3">
        <v>3.1611012999999999</v>
      </c>
      <c r="BL1318" s="3">
        <v>3.1673711999999998</v>
      </c>
      <c r="BM1318" s="3">
        <v>3.2111431000000001</v>
      </c>
      <c r="BN1318" s="3">
        <v>3.2636286999999999</v>
      </c>
    </row>
    <row r="1319" spans="1:66" x14ac:dyDescent="0.35">
      <c r="A1319" s="5">
        <f t="shared" si="20"/>
        <v>45301</v>
      </c>
      <c r="B1319" t="s">
        <v>2744</v>
      </c>
      <c r="C1319" s="2">
        <v>5.25</v>
      </c>
      <c r="D1319" s="2">
        <v>5.1871999999999998</v>
      </c>
      <c r="E1319" s="3">
        <v>5.1850911999999996</v>
      </c>
      <c r="F1319" s="3">
        <v>5.1708219</v>
      </c>
      <c r="G1319" s="3">
        <v>5.1309503000000003</v>
      </c>
      <c r="H1319" s="3">
        <v>5.0544507999999997</v>
      </c>
      <c r="I1319" s="3">
        <v>4.9451799000000003</v>
      </c>
      <c r="J1319" s="3">
        <v>4.8134886000000003</v>
      </c>
      <c r="K1319" s="3">
        <v>4.6711023999999997</v>
      </c>
      <c r="L1319" s="3">
        <v>4.5282673999999998</v>
      </c>
      <c r="M1319" s="3">
        <v>4.3923388000000001</v>
      </c>
      <c r="N1319" s="3">
        <v>4.2669033000000001</v>
      </c>
      <c r="O1319" s="3">
        <v>4.1533587000000001</v>
      </c>
      <c r="P1319" s="3">
        <v>4.0516975999999998</v>
      </c>
      <c r="Q1319" s="3">
        <v>3.9600377</v>
      </c>
      <c r="R1319" s="3">
        <v>3.8771955</v>
      </c>
      <c r="S1319" s="3">
        <v>3.8023256000000001</v>
      </c>
      <c r="T1319" s="3">
        <v>3.7345796</v>
      </c>
      <c r="U1319" s="3">
        <v>3.6731094999999998</v>
      </c>
      <c r="V1319" s="3">
        <v>3.6170692999999998</v>
      </c>
      <c r="W1319" s="3">
        <v>3.5657097000000002</v>
      </c>
      <c r="X1319" s="3">
        <v>3.5186568</v>
      </c>
      <c r="Y1319" s="3">
        <v>3.4756281000000002</v>
      </c>
      <c r="Z1319" s="3">
        <v>3.4363391999999999</v>
      </c>
      <c r="AA1319" s="3">
        <v>3.4005057999999999</v>
      </c>
      <c r="AB1319" s="3">
        <v>3.367845</v>
      </c>
      <c r="AC1319" s="3">
        <v>3.3380884000000002</v>
      </c>
      <c r="AD1319" s="3">
        <v>3.3110529999999998</v>
      </c>
      <c r="AE1319" s="3">
        <v>3.2865853999999999</v>
      </c>
      <c r="AF1319" s="3">
        <v>3.2645311000000001</v>
      </c>
      <c r="AG1319" s="3">
        <v>3.2447357999999999</v>
      </c>
      <c r="AH1319" s="3">
        <v>3.2270458999999998</v>
      </c>
      <c r="AI1319" s="3">
        <v>3.2113071</v>
      </c>
      <c r="AJ1319" s="3">
        <v>3.1973650999999998</v>
      </c>
      <c r="AK1319" s="3">
        <v>3.1850660999999998</v>
      </c>
      <c r="AL1319" s="3">
        <v>3.1742558999999999</v>
      </c>
      <c r="AM1319" s="3">
        <v>3.1647802999999999</v>
      </c>
      <c r="AN1319" s="3">
        <v>3.1564854000000002</v>
      </c>
      <c r="AO1319" s="3">
        <v>3.1492323</v>
      </c>
      <c r="AP1319" s="3">
        <v>3.1429566000000002</v>
      </c>
      <c r="AQ1319" s="3">
        <v>3.1376165999999999</v>
      </c>
      <c r="AR1319" s="3">
        <v>3.1331706000000001</v>
      </c>
      <c r="AS1319" s="3">
        <v>3.1295768000000002</v>
      </c>
      <c r="AT1319" s="3">
        <v>3.1267934999999998</v>
      </c>
      <c r="AU1319" s="3">
        <v>3.1247790000000002</v>
      </c>
      <c r="AV1319" s="3">
        <v>3.1234915999999999</v>
      </c>
      <c r="AW1319" s="3">
        <v>3.1228894999999999</v>
      </c>
      <c r="AX1319" s="3">
        <v>3.1229309999999999</v>
      </c>
      <c r="AY1319" s="3">
        <v>3.1235745000000001</v>
      </c>
      <c r="AZ1319" s="3">
        <v>3.1247780999999999</v>
      </c>
      <c r="BA1319" s="3">
        <v>3.1265040000000002</v>
      </c>
      <c r="BB1319" s="3">
        <v>3.1287318000000002</v>
      </c>
      <c r="BC1319" s="3">
        <v>3.1314456000000002</v>
      </c>
      <c r="BD1319" s="3">
        <v>3.1346295999999998</v>
      </c>
      <c r="BE1319" s="3">
        <v>3.1382682000000002</v>
      </c>
      <c r="BF1319" s="3">
        <v>3.1423454</v>
      </c>
      <c r="BG1319" s="3">
        <v>3.1468455</v>
      </c>
      <c r="BH1319" s="3">
        <v>3.1517528000000001</v>
      </c>
      <c r="BI1319" s="3">
        <v>3.1570515000000001</v>
      </c>
      <c r="BJ1319" s="3">
        <v>3.1627257000000002</v>
      </c>
      <c r="BK1319" s="3">
        <v>3.1687596999999998</v>
      </c>
      <c r="BL1319" s="3">
        <v>3.1751377000000001</v>
      </c>
      <c r="BM1319" s="3">
        <v>3.2197924000000002</v>
      </c>
      <c r="BN1319" s="3">
        <v>3.2731349000000001</v>
      </c>
    </row>
    <row r="1320" spans="1:66" x14ac:dyDescent="0.35">
      <c r="A1320" s="5">
        <f t="shared" si="20"/>
        <v>45302</v>
      </c>
      <c r="B1320" t="s">
        <v>2745</v>
      </c>
      <c r="C1320" s="2">
        <v>5.25</v>
      </c>
      <c r="D1320" s="2">
        <v>5.1875999999999998</v>
      </c>
      <c r="E1320" s="3">
        <v>5.1883039000000002</v>
      </c>
      <c r="F1320" s="3">
        <v>5.1673171</v>
      </c>
      <c r="G1320" s="3">
        <v>5.1189593999999996</v>
      </c>
      <c r="H1320" s="3">
        <v>5.0346507999999996</v>
      </c>
      <c r="I1320" s="3">
        <v>4.9187015000000001</v>
      </c>
      <c r="J1320" s="3">
        <v>4.7829969999999999</v>
      </c>
      <c r="K1320" s="3">
        <v>4.6394120000000001</v>
      </c>
      <c r="L1320" s="3">
        <v>4.4977175000000003</v>
      </c>
      <c r="M1320" s="3">
        <v>4.3643033999999998</v>
      </c>
      <c r="N1320" s="3">
        <v>4.2417531999999998</v>
      </c>
      <c r="O1320" s="3">
        <v>4.1308655999999999</v>
      </c>
      <c r="P1320" s="3">
        <v>4.0309255999999998</v>
      </c>
      <c r="Q1320" s="3">
        <v>3.9389314999999998</v>
      </c>
      <c r="R1320" s="3">
        <v>3.8538378999999998</v>
      </c>
      <c r="S1320" s="3">
        <v>3.7754856999999999</v>
      </c>
      <c r="T1320" s="3">
        <v>3.7037130999999999</v>
      </c>
      <c r="U1320" s="3">
        <v>3.6383589000000001</v>
      </c>
      <c r="V1320" s="3">
        <v>3.5792639999999998</v>
      </c>
      <c r="W1320" s="3">
        <v>3.5262153000000001</v>
      </c>
      <c r="X1320" s="3">
        <v>3.4788019999999999</v>
      </c>
      <c r="Y1320" s="3">
        <v>3.4365684000000001</v>
      </c>
      <c r="Z1320" s="3">
        <v>3.3990567999999999</v>
      </c>
      <c r="AA1320" s="3">
        <v>3.3658098000000001</v>
      </c>
      <c r="AB1320" s="3">
        <v>3.3363711</v>
      </c>
      <c r="AC1320" s="3">
        <v>3.3103155000000002</v>
      </c>
      <c r="AD1320" s="3">
        <v>3.2873739999999998</v>
      </c>
      <c r="AE1320" s="3">
        <v>3.2673260000000002</v>
      </c>
      <c r="AF1320" s="3">
        <v>3.2499503000000001</v>
      </c>
      <c r="AG1320" s="3">
        <v>3.2350254999999999</v>
      </c>
      <c r="AH1320" s="3">
        <v>3.2223310000000001</v>
      </c>
      <c r="AI1320" s="3">
        <v>3.2116454999999999</v>
      </c>
      <c r="AJ1320" s="3">
        <v>3.2027477000000002</v>
      </c>
      <c r="AK1320" s="3">
        <v>3.195417</v>
      </c>
      <c r="AL1320" s="3">
        <v>3.189432</v>
      </c>
      <c r="AM1320" s="3">
        <v>3.1845716999999998</v>
      </c>
      <c r="AN1320" s="3">
        <v>3.180615</v>
      </c>
      <c r="AO1320" s="3">
        <v>3.1773707</v>
      </c>
      <c r="AP1320" s="3">
        <v>3.1747784000000001</v>
      </c>
      <c r="AQ1320" s="3">
        <v>3.1728144999999999</v>
      </c>
      <c r="AR1320" s="3">
        <v>3.1714547999999998</v>
      </c>
      <c r="AS1320" s="3">
        <v>3.1706755000000002</v>
      </c>
      <c r="AT1320" s="3">
        <v>3.1704526</v>
      </c>
      <c r="AU1320" s="3">
        <v>3.1707622</v>
      </c>
      <c r="AV1320" s="3">
        <v>3.1715805000000001</v>
      </c>
      <c r="AW1320" s="3">
        <v>3.1728833999999999</v>
      </c>
      <c r="AX1320" s="3">
        <v>3.1746470000000002</v>
      </c>
      <c r="AY1320" s="3">
        <v>3.1768474000000002</v>
      </c>
      <c r="AZ1320" s="3">
        <v>3.1794606999999999</v>
      </c>
      <c r="BA1320" s="3">
        <v>3.1824648999999998</v>
      </c>
      <c r="BB1320" s="3">
        <v>3.1858464</v>
      </c>
      <c r="BC1320" s="3">
        <v>3.1895940999999999</v>
      </c>
      <c r="BD1320" s="3">
        <v>3.1936968000000001</v>
      </c>
      <c r="BE1320" s="3">
        <v>3.1981434000000002</v>
      </c>
      <c r="BF1320" s="3">
        <v>3.2029226999999998</v>
      </c>
      <c r="BG1320" s="3">
        <v>3.2080234000000001</v>
      </c>
      <c r="BH1320" s="3">
        <v>3.2134345</v>
      </c>
      <c r="BI1320" s="3">
        <v>3.2191448</v>
      </c>
      <c r="BJ1320" s="3">
        <v>3.2251430000000001</v>
      </c>
      <c r="BK1320" s="3">
        <v>3.2314181999999998</v>
      </c>
      <c r="BL1320" s="3">
        <v>3.2379589000000002</v>
      </c>
      <c r="BM1320" s="3">
        <v>3.2822065</v>
      </c>
      <c r="BN1320" s="3">
        <v>3.3335096000000002</v>
      </c>
    </row>
    <row r="1321" spans="1:66" x14ac:dyDescent="0.35">
      <c r="A1321" s="5">
        <f t="shared" si="20"/>
        <v>45303</v>
      </c>
      <c r="B1321" t="s">
        <v>2746</v>
      </c>
      <c r="C1321" s="2">
        <v>5.25</v>
      </c>
      <c r="D1321" s="2">
        <v>5.1883999999999997</v>
      </c>
      <c r="E1321" s="3">
        <v>5.1887350000000003</v>
      </c>
      <c r="F1321" s="3">
        <v>5.1604989000000003</v>
      </c>
      <c r="G1321" s="3">
        <v>5.0990228999999996</v>
      </c>
      <c r="H1321" s="3">
        <v>4.9954140000000002</v>
      </c>
      <c r="I1321" s="3">
        <v>4.8574653000000003</v>
      </c>
      <c r="J1321" s="3">
        <v>4.7009555000000001</v>
      </c>
      <c r="K1321" s="3">
        <v>4.5407209000000002</v>
      </c>
      <c r="L1321" s="3">
        <v>4.3873024999999997</v>
      </c>
      <c r="M1321" s="3">
        <v>4.2463179000000002</v>
      </c>
      <c r="N1321" s="3">
        <v>4.1196491999999996</v>
      </c>
      <c r="O1321" s="3">
        <v>4.0067671999999996</v>
      </c>
      <c r="P1321" s="3">
        <v>3.9063379999999999</v>
      </c>
      <c r="Q1321" s="3">
        <v>3.8150971</v>
      </c>
      <c r="R1321" s="3">
        <v>3.7317977999999998</v>
      </c>
      <c r="S1321" s="3">
        <v>3.6560160000000002</v>
      </c>
      <c r="T1321" s="3">
        <v>3.5873251000000002</v>
      </c>
      <c r="U1321" s="3">
        <v>3.5252984999999999</v>
      </c>
      <c r="V1321" s="3">
        <v>3.4695121000000002</v>
      </c>
      <c r="W1321" s="3">
        <v>3.4195369000000002</v>
      </c>
      <c r="X1321" s="3">
        <v>3.374933</v>
      </c>
      <c r="Y1321" s="3">
        <v>3.3352586</v>
      </c>
      <c r="Z1321" s="3">
        <v>3.3000704000000001</v>
      </c>
      <c r="AA1321" s="3">
        <v>3.2689254000000001</v>
      </c>
      <c r="AB1321" s="3">
        <v>3.2413816</v>
      </c>
      <c r="AC1321" s="3">
        <v>3.2170317000000002</v>
      </c>
      <c r="AD1321" s="3">
        <v>3.1956270999999998</v>
      </c>
      <c r="AE1321" s="3">
        <v>3.1769634999999998</v>
      </c>
      <c r="AF1321" s="3">
        <v>3.1608361</v>
      </c>
      <c r="AG1321" s="3">
        <v>3.1470400000000001</v>
      </c>
      <c r="AH1321" s="3">
        <v>3.1353707000000002</v>
      </c>
      <c r="AI1321" s="3">
        <v>3.1256235999999999</v>
      </c>
      <c r="AJ1321" s="3">
        <v>3.1175937</v>
      </c>
      <c r="AK1321" s="3">
        <v>3.1110766000000001</v>
      </c>
      <c r="AL1321" s="3">
        <v>3.1058674000000002</v>
      </c>
      <c r="AM1321" s="3">
        <v>3.1017614999999998</v>
      </c>
      <c r="AN1321" s="3">
        <v>3.0985542000000001</v>
      </c>
      <c r="AO1321" s="3">
        <v>3.0960678000000001</v>
      </c>
      <c r="AP1321" s="3">
        <v>3.0942432000000002</v>
      </c>
      <c r="AQ1321" s="3">
        <v>3.0930544000000002</v>
      </c>
      <c r="AR1321" s="3">
        <v>3.0924751000000001</v>
      </c>
      <c r="AS1321" s="3">
        <v>3.0924792999999999</v>
      </c>
      <c r="AT1321" s="3">
        <v>3.0930407</v>
      </c>
      <c r="AU1321" s="3">
        <v>3.0941333000000002</v>
      </c>
      <c r="AV1321" s="3">
        <v>3.0957309</v>
      </c>
      <c r="AW1321" s="3">
        <v>3.0978072000000001</v>
      </c>
      <c r="AX1321" s="3">
        <v>3.1003362999999999</v>
      </c>
      <c r="AY1321" s="3">
        <v>3.1032918999999999</v>
      </c>
      <c r="AZ1321" s="3">
        <v>3.1066479</v>
      </c>
      <c r="BA1321" s="3">
        <v>3.1103806999999999</v>
      </c>
      <c r="BB1321" s="3">
        <v>3.1144783999999999</v>
      </c>
      <c r="BC1321" s="3">
        <v>3.1189320999999999</v>
      </c>
      <c r="BD1321" s="3">
        <v>3.1237330000000001</v>
      </c>
      <c r="BE1321" s="3">
        <v>3.1288724000000001</v>
      </c>
      <c r="BF1321" s="3">
        <v>3.1343415000000001</v>
      </c>
      <c r="BG1321" s="3">
        <v>3.1401313000000002</v>
      </c>
      <c r="BH1321" s="3">
        <v>3.1462333</v>
      </c>
      <c r="BI1321" s="3">
        <v>3.1526383999999998</v>
      </c>
      <c r="BJ1321" s="3">
        <v>3.1593379000000001</v>
      </c>
      <c r="BK1321" s="3">
        <v>3.1663231999999999</v>
      </c>
      <c r="BL1321" s="3">
        <v>3.1735852000000002</v>
      </c>
      <c r="BM1321" s="3">
        <v>3.2224387999999999</v>
      </c>
      <c r="BN1321" s="3">
        <v>3.2788018999999999</v>
      </c>
    </row>
    <row r="1322" spans="1:66" x14ac:dyDescent="0.35">
      <c r="A1322" s="5">
        <f t="shared" si="20"/>
        <v>45306</v>
      </c>
      <c r="B1322" t="s">
        <v>2747</v>
      </c>
      <c r="C1322" s="2">
        <v>5.25</v>
      </c>
      <c r="D1322" s="2">
        <v>5.1874000000000002</v>
      </c>
      <c r="E1322" s="3">
        <v>5.1864986999999996</v>
      </c>
      <c r="F1322" s="3">
        <v>5.1613939000000002</v>
      </c>
      <c r="G1322" s="3">
        <v>5.1015344999999996</v>
      </c>
      <c r="H1322" s="3">
        <v>4.9956199000000003</v>
      </c>
      <c r="I1322" s="3">
        <v>4.8521907999999998</v>
      </c>
      <c r="J1322" s="3">
        <v>4.6889729999999998</v>
      </c>
      <c r="K1322" s="3">
        <v>4.5229898000000004</v>
      </c>
      <c r="L1322" s="3">
        <v>4.3655984999999999</v>
      </c>
      <c r="M1322" s="3">
        <v>4.2226676999999997</v>
      </c>
      <c r="N1322" s="3">
        <v>4.0950553999999997</v>
      </c>
      <c r="O1322" s="3">
        <v>3.9821699000000002</v>
      </c>
      <c r="P1322" s="3">
        <v>3.8821870000000001</v>
      </c>
      <c r="Q1322" s="3">
        <v>3.7914805999999999</v>
      </c>
      <c r="R1322" s="3">
        <v>3.7087614000000002</v>
      </c>
      <c r="S1322" s="3">
        <v>3.6335690999999999</v>
      </c>
      <c r="T1322" s="3">
        <v>3.5654406999999999</v>
      </c>
      <c r="U1322" s="3">
        <v>3.5039132999999998</v>
      </c>
      <c r="V1322" s="3">
        <v>3.4485261999999999</v>
      </c>
      <c r="W1322" s="3">
        <v>3.3988263000000001</v>
      </c>
      <c r="X1322" s="3">
        <v>3.3543965999999998</v>
      </c>
      <c r="Y1322" s="3">
        <v>3.3148308000000002</v>
      </c>
      <c r="Z1322" s="3">
        <v>3.2797206000000001</v>
      </c>
      <c r="AA1322" s="3">
        <v>3.2486581999999999</v>
      </c>
      <c r="AB1322" s="3">
        <v>3.2212367999999998</v>
      </c>
      <c r="AC1322" s="3">
        <v>3.1970774999999998</v>
      </c>
      <c r="AD1322" s="3">
        <v>3.1759309</v>
      </c>
      <c r="AE1322" s="3">
        <v>3.1575840999999998</v>
      </c>
      <c r="AF1322" s="3">
        <v>3.1418233</v>
      </c>
      <c r="AG1322" s="3">
        <v>3.1284345999999998</v>
      </c>
      <c r="AH1322" s="3">
        <v>3.1172049999999998</v>
      </c>
      <c r="AI1322" s="3">
        <v>3.1079205999999999</v>
      </c>
      <c r="AJ1322" s="3">
        <v>3.1003677999999999</v>
      </c>
      <c r="AK1322" s="3">
        <v>3.0943333000000002</v>
      </c>
      <c r="AL1322" s="3">
        <v>3.0896034000000001</v>
      </c>
      <c r="AM1322" s="3">
        <v>3.0859646000000001</v>
      </c>
      <c r="AN1322" s="3">
        <v>3.0832033000000001</v>
      </c>
      <c r="AO1322" s="3">
        <v>3.0811348000000001</v>
      </c>
      <c r="AP1322" s="3">
        <v>3.0797021999999998</v>
      </c>
      <c r="AQ1322" s="3">
        <v>3.0788836000000002</v>
      </c>
      <c r="AR1322" s="3">
        <v>3.0786570000000002</v>
      </c>
      <c r="AS1322" s="3">
        <v>3.0790008000000002</v>
      </c>
      <c r="AT1322" s="3">
        <v>3.0798928999999999</v>
      </c>
      <c r="AU1322" s="3">
        <v>3.0813115</v>
      </c>
      <c r="AV1322" s="3">
        <v>3.0832348000000001</v>
      </c>
      <c r="AW1322" s="3">
        <v>3.0856409</v>
      </c>
      <c r="AX1322" s="3">
        <v>3.088508</v>
      </c>
      <c r="AY1322" s="3">
        <v>3.0918142999999998</v>
      </c>
      <c r="AZ1322" s="3">
        <v>3.0955377999999998</v>
      </c>
      <c r="BA1322" s="3">
        <v>3.0996584</v>
      </c>
      <c r="BB1322" s="3">
        <v>3.1041661999999999</v>
      </c>
      <c r="BC1322" s="3">
        <v>3.109054</v>
      </c>
      <c r="BD1322" s="3">
        <v>3.1143149000000001</v>
      </c>
      <c r="BE1322" s="3">
        <v>3.1199422000000001</v>
      </c>
      <c r="BF1322" s="3">
        <v>3.1259288000000001</v>
      </c>
      <c r="BG1322" s="3">
        <v>3.1322676999999999</v>
      </c>
      <c r="BH1322" s="3">
        <v>3.1389521999999999</v>
      </c>
      <c r="BI1322" s="3">
        <v>3.1459752999999999</v>
      </c>
      <c r="BJ1322" s="3">
        <v>3.15333</v>
      </c>
      <c r="BK1322" s="3">
        <v>3.1610095</v>
      </c>
      <c r="BL1322" s="3">
        <v>3.1690068</v>
      </c>
      <c r="BM1322" s="3">
        <v>3.2230363</v>
      </c>
      <c r="BN1322" s="3">
        <v>3.2852853999999998</v>
      </c>
    </row>
    <row r="1323" spans="1:66" x14ac:dyDescent="0.35">
      <c r="A1323" s="5">
        <f t="shared" si="20"/>
        <v>45307</v>
      </c>
      <c r="B1323" t="s">
        <v>2748</v>
      </c>
      <c r="C1323" s="2">
        <v>5.25</v>
      </c>
      <c r="D1323" s="2">
        <v>5.1875999999999998</v>
      </c>
      <c r="E1323" s="3">
        <v>5.1912832</v>
      </c>
      <c r="F1323" s="3">
        <v>5.1664072000000001</v>
      </c>
      <c r="G1323" s="3">
        <v>5.1080097000000002</v>
      </c>
      <c r="H1323" s="3">
        <v>5.0063493000000001</v>
      </c>
      <c r="I1323" s="3">
        <v>4.8679759999999996</v>
      </c>
      <c r="J1323" s="3">
        <v>4.7086041999999999</v>
      </c>
      <c r="K1323" s="3">
        <v>4.5445595000000001</v>
      </c>
      <c r="L1323" s="3">
        <v>4.3872499999999999</v>
      </c>
      <c r="M1323" s="3">
        <v>4.2424888000000003</v>
      </c>
      <c r="N1323" s="3">
        <v>4.1116752999999999</v>
      </c>
      <c r="O1323" s="3">
        <v>3.9942375999999999</v>
      </c>
      <c r="P1323" s="3">
        <v>3.8892679000000001</v>
      </c>
      <c r="Q1323" s="3">
        <v>3.7938850999999998</v>
      </c>
      <c r="R1323" s="3">
        <v>3.7070630000000002</v>
      </c>
      <c r="S1323" s="3">
        <v>3.6284901999999999</v>
      </c>
      <c r="T1323" s="3">
        <v>3.557852</v>
      </c>
      <c r="U1323" s="3">
        <v>3.4948342000000001</v>
      </c>
      <c r="V1323" s="3">
        <v>3.4391248000000001</v>
      </c>
      <c r="W1323" s="3">
        <v>3.3903463999999999</v>
      </c>
      <c r="X1323" s="3">
        <v>3.3478821000000001</v>
      </c>
      <c r="Y1323" s="3">
        <v>3.3110591</v>
      </c>
      <c r="Z1323" s="3">
        <v>3.2792031000000001</v>
      </c>
      <c r="AA1323" s="3">
        <v>3.2516403</v>
      </c>
      <c r="AB1323" s="3">
        <v>3.2276975000000001</v>
      </c>
      <c r="AC1323" s="3">
        <v>3.2067727000000001</v>
      </c>
      <c r="AD1323" s="3">
        <v>3.1885810000000001</v>
      </c>
      <c r="AE1323" s="3">
        <v>3.1729261000000002</v>
      </c>
      <c r="AF1323" s="3">
        <v>3.1596107</v>
      </c>
      <c r="AG1323" s="3">
        <v>3.1484378</v>
      </c>
      <c r="AH1323" s="3">
        <v>3.1392107</v>
      </c>
      <c r="AI1323" s="3">
        <v>3.1317324000000002</v>
      </c>
      <c r="AJ1323" s="3">
        <v>3.1258056999999999</v>
      </c>
      <c r="AK1323" s="3">
        <v>3.1212339999999998</v>
      </c>
      <c r="AL1323" s="3">
        <v>3.1178202000000002</v>
      </c>
      <c r="AM1323" s="3">
        <v>3.1153673999999998</v>
      </c>
      <c r="AN1323" s="3">
        <v>3.1136786000000001</v>
      </c>
      <c r="AO1323" s="3">
        <v>3.1125797999999998</v>
      </c>
      <c r="AP1323" s="3">
        <v>3.1120196999999998</v>
      </c>
      <c r="AQ1323" s="3">
        <v>3.1119886999999999</v>
      </c>
      <c r="AR1323" s="3">
        <v>3.1124767000000002</v>
      </c>
      <c r="AS1323" s="3">
        <v>3.1134738999999998</v>
      </c>
      <c r="AT1323" s="3">
        <v>3.1149705000000001</v>
      </c>
      <c r="AU1323" s="3">
        <v>3.1169565000000001</v>
      </c>
      <c r="AV1323" s="3">
        <v>3.1194223000000001</v>
      </c>
      <c r="AW1323" s="3">
        <v>3.1223578000000001</v>
      </c>
      <c r="AX1323" s="3">
        <v>3.1257533</v>
      </c>
      <c r="AY1323" s="3">
        <v>3.1295988000000001</v>
      </c>
      <c r="AZ1323" s="3">
        <v>3.1338846</v>
      </c>
      <c r="BA1323" s="3">
        <v>3.1386004999999999</v>
      </c>
      <c r="BB1323" s="3">
        <v>3.1437357000000001</v>
      </c>
      <c r="BC1323" s="3">
        <v>3.1492789000000001</v>
      </c>
      <c r="BD1323" s="3">
        <v>3.1552190000000002</v>
      </c>
      <c r="BE1323" s="3">
        <v>3.1615448000000002</v>
      </c>
      <c r="BF1323" s="3">
        <v>3.1682450000000002</v>
      </c>
      <c r="BG1323" s="3">
        <v>3.1753084</v>
      </c>
      <c r="BH1323" s="3">
        <v>3.1827239999999999</v>
      </c>
      <c r="BI1323" s="3">
        <v>3.1904802999999999</v>
      </c>
      <c r="BJ1323" s="3">
        <v>3.1985663</v>
      </c>
      <c r="BK1323" s="3">
        <v>3.2069709</v>
      </c>
      <c r="BL1323" s="3">
        <v>3.2156826000000001</v>
      </c>
      <c r="BM1323" s="3">
        <v>3.2737519000000002</v>
      </c>
      <c r="BN1323" s="3">
        <v>3.3398984999999999</v>
      </c>
    </row>
    <row r="1324" spans="1:66" x14ac:dyDescent="0.35">
      <c r="A1324" s="5">
        <f t="shared" si="20"/>
        <v>45308</v>
      </c>
      <c r="B1324" t="s">
        <v>2749</v>
      </c>
      <c r="C1324" s="2">
        <v>5.25</v>
      </c>
      <c r="D1324" s="2">
        <v>5.1879999999999997</v>
      </c>
      <c r="E1324" s="3">
        <v>5.1870647999999999</v>
      </c>
      <c r="F1324" s="3">
        <v>5.1803457999999996</v>
      </c>
      <c r="G1324" s="3">
        <v>5.1485105000000004</v>
      </c>
      <c r="H1324" s="3">
        <v>5.0809502000000002</v>
      </c>
      <c r="I1324" s="3">
        <v>4.9811300000000003</v>
      </c>
      <c r="J1324" s="3">
        <v>4.8598482000000001</v>
      </c>
      <c r="K1324" s="3">
        <v>4.7298052000000004</v>
      </c>
      <c r="L1324" s="3">
        <v>4.6007116999999997</v>
      </c>
      <c r="M1324" s="3">
        <v>4.4787318999999997</v>
      </c>
      <c r="N1324" s="3">
        <v>4.3664604000000002</v>
      </c>
      <c r="O1324" s="3">
        <v>4.2645356999999997</v>
      </c>
      <c r="P1324" s="3">
        <v>4.1724997000000004</v>
      </c>
      <c r="Q1324" s="3">
        <v>4.0877527000000002</v>
      </c>
      <c r="R1324" s="3">
        <v>4.0093645000000002</v>
      </c>
      <c r="S1324" s="3">
        <v>3.9370579000000001</v>
      </c>
      <c r="T1324" s="3">
        <v>3.8705528999999999</v>
      </c>
      <c r="U1324" s="3">
        <v>3.8095699000000001</v>
      </c>
      <c r="V1324" s="3">
        <v>3.7538311000000002</v>
      </c>
      <c r="W1324" s="3">
        <v>3.7030482999999998</v>
      </c>
      <c r="X1324" s="3">
        <v>3.6569007999999998</v>
      </c>
      <c r="Y1324" s="3">
        <v>3.6150617999999999</v>
      </c>
      <c r="Z1324" s="3">
        <v>3.5772029000000001</v>
      </c>
      <c r="AA1324" s="3">
        <v>3.5429957000000001</v>
      </c>
      <c r="AB1324" s="3">
        <v>3.5121131999999999</v>
      </c>
      <c r="AC1324" s="3">
        <v>3.4842456999999998</v>
      </c>
      <c r="AD1324" s="3">
        <v>3.4591839000000002</v>
      </c>
      <c r="AE1324" s="3">
        <v>3.4367527</v>
      </c>
      <c r="AF1324" s="3">
        <v>3.4167765000000001</v>
      </c>
      <c r="AG1324" s="3">
        <v>3.3990794000000002</v>
      </c>
      <c r="AH1324" s="3">
        <v>3.3834865000000001</v>
      </c>
      <c r="AI1324" s="3">
        <v>3.3698220999999999</v>
      </c>
      <c r="AJ1324" s="3">
        <v>3.3579105</v>
      </c>
      <c r="AK1324" s="3">
        <v>3.3475765000000002</v>
      </c>
      <c r="AL1324" s="3">
        <v>3.3386445</v>
      </c>
      <c r="AM1324" s="3">
        <v>3.3309389</v>
      </c>
      <c r="AN1324" s="3">
        <v>3.3242843999999998</v>
      </c>
      <c r="AO1324" s="3">
        <v>3.3185256000000001</v>
      </c>
      <c r="AP1324" s="3">
        <v>3.3136055</v>
      </c>
      <c r="AQ1324" s="3">
        <v>3.3094972999999999</v>
      </c>
      <c r="AR1324" s="3">
        <v>3.3061737</v>
      </c>
      <c r="AS1324" s="3">
        <v>3.3036078999999998</v>
      </c>
      <c r="AT1324" s="3">
        <v>3.3017729</v>
      </c>
      <c r="AU1324" s="3">
        <v>3.3006414999999998</v>
      </c>
      <c r="AV1324" s="3">
        <v>3.3001868999999999</v>
      </c>
      <c r="AW1324" s="3">
        <v>3.3003819000000001</v>
      </c>
      <c r="AX1324" s="3">
        <v>3.3011997000000002</v>
      </c>
      <c r="AY1324" s="3">
        <v>3.3026130999999999</v>
      </c>
      <c r="AZ1324" s="3">
        <v>3.3045952999999999</v>
      </c>
      <c r="BA1324" s="3">
        <v>3.3071204999999999</v>
      </c>
      <c r="BB1324" s="3">
        <v>3.3101696</v>
      </c>
      <c r="BC1324" s="3">
        <v>3.3137253000000002</v>
      </c>
      <c r="BD1324" s="3">
        <v>3.3177699999999999</v>
      </c>
      <c r="BE1324" s="3">
        <v>3.3222865000000001</v>
      </c>
      <c r="BF1324" s="3">
        <v>3.3272571000000002</v>
      </c>
      <c r="BG1324" s="3">
        <v>3.3326646000000002</v>
      </c>
      <c r="BH1324" s="3">
        <v>3.3384915999999998</v>
      </c>
      <c r="BI1324" s="3">
        <v>3.3447203999999999</v>
      </c>
      <c r="BJ1324" s="3">
        <v>3.3513339000000002</v>
      </c>
      <c r="BK1324" s="3">
        <v>3.3583145000000001</v>
      </c>
      <c r="BL1324" s="3">
        <v>3.3656448000000001</v>
      </c>
      <c r="BM1324" s="3">
        <v>3.4160227000000001</v>
      </c>
      <c r="BN1324" s="3">
        <v>3.4747675</v>
      </c>
    </row>
    <row r="1325" spans="1:66" x14ac:dyDescent="0.35">
      <c r="A1325" s="5">
        <f t="shared" si="20"/>
        <v>45309</v>
      </c>
      <c r="B1325" t="s">
        <v>2750</v>
      </c>
      <c r="C1325" s="2">
        <v>5.25</v>
      </c>
      <c r="D1325" s="2">
        <v>5.1882999999999999</v>
      </c>
      <c r="E1325" s="3">
        <v>5.1869164000000003</v>
      </c>
      <c r="F1325" s="3">
        <v>5.1776901000000004</v>
      </c>
      <c r="G1325" s="3">
        <v>5.1408351999999997</v>
      </c>
      <c r="H1325" s="3">
        <v>5.0663888999999998</v>
      </c>
      <c r="I1325" s="3">
        <v>4.9579611999999997</v>
      </c>
      <c r="J1325" s="3">
        <v>4.8290191</v>
      </c>
      <c r="K1325" s="3">
        <v>4.6930677000000003</v>
      </c>
      <c r="L1325" s="3">
        <v>4.5596575000000001</v>
      </c>
      <c r="M1325" s="3">
        <v>4.4343028999999996</v>
      </c>
      <c r="N1325" s="3">
        <v>4.3189016999999996</v>
      </c>
      <c r="O1325" s="3">
        <v>4.2137297</v>
      </c>
      <c r="P1325" s="3">
        <v>4.1179306000000002</v>
      </c>
      <c r="Q1325" s="3">
        <v>4.0287191</v>
      </c>
      <c r="R1325" s="3">
        <v>3.9452891999999999</v>
      </c>
      <c r="S1325" s="3">
        <v>3.8677035000000002</v>
      </c>
      <c r="T1325" s="3">
        <v>3.7960221999999999</v>
      </c>
      <c r="U1325" s="3">
        <v>3.7303058</v>
      </c>
      <c r="V1325" s="3">
        <v>3.670617</v>
      </c>
      <c r="W1325" s="3">
        <v>3.6169267000000001</v>
      </c>
      <c r="X1325" s="3">
        <v>3.5688651999999998</v>
      </c>
      <c r="Y1325" s="3">
        <v>3.5259830999999999</v>
      </c>
      <c r="Z1325" s="3">
        <v>3.4878293999999999</v>
      </c>
      <c r="AA1325" s="3">
        <v>3.4539534000000001</v>
      </c>
      <c r="AB1325" s="3">
        <v>3.4239054000000002</v>
      </c>
      <c r="AC1325" s="3">
        <v>3.3972655</v>
      </c>
      <c r="AD1325" s="3">
        <v>3.3737640999999998</v>
      </c>
      <c r="AE1325" s="3">
        <v>3.3531784</v>
      </c>
      <c r="AF1325" s="3">
        <v>3.3352845000000002</v>
      </c>
      <c r="AG1325" s="3">
        <v>3.3198588999999998</v>
      </c>
      <c r="AH1325" s="3">
        <v>3.3066783000000002</v>
      </c>
      <c r="AI1325" s="3">
        <v>3.2955192000000002</v>
      </c>
      <c r="AJ1325" s="3">
        <v>3.2861579000000001</v>
      </c>
      <c r="AK1325" s="3">
        <v>3.2783712999999999</v>
      </c>
      <c r="AL1325" s="3">
        <v>3.2719356999999998</v>
      </c>
      <c r="AM1325" s="3">
        <v>3.2666274999999998</v>
      </c>
      <c r="AN1325" s="3">
        <v>3.2622235000000002</v>
      </c>
      <c r="AO1325" s="3">
        <v>3.2585313</v>
      </c>
      <c r="AP1325" s="3">
        <v>3.2554962999999999</v>
      </c>
      <c r="AQ1325" s="3">
        <v>3.2531021999999998</v>
      </c>
      <c r="AR1325" s="3">
        <v>3.2513323000000001</v>
      </c>
      <c r="AS1325" s="3">
        <v>3.2501701000000001</v>
      </c>
      <c r="AT1325" s="3">
        <v>3.2495992</v>
      </c>
      <c r="AU1325" s="3">
        <v>3.249603</v>
      </c>
      <c r="AV1325" s="3">
        <v>3.250165</v>
      </c>
      <c r="AW1325" s="3">
        <v>3.2512688000000001</v>
      </c>
      <c r="AX1325" s="3">
        <v>3.2528977000000001</v>
      </c>
      <c r="AY1325" s="3">
        <v>3.2550354000000001</v>
      </c>
      <c r="AZ1325" s="3">
        <v>3.2576651999999999</v>
      </c>
      <c r="BA1325" s="3">
        <v>3.2607713</v>
      </c>
      <c r="BB1325" s="3">
        <v>3.2643407999999998</v>
      </c>
      <c r="BC1325" s="3">
        <v>3.2683613</v>
      </c>
      <c r="BD1325" s="3">
        <v>3.2728207</v>
      </c>
      <c r="BE1325" s="3">
        <v>3.2777067999999998</v>
      </c>
      <c r="BF1325" s="3">
        <v>3.2830073999999998</v>
      </c>
      <c r="BG1325" s="3">
        <v>3.2887100999999999</v>
      </c>
      <c r="BH1325" s="3">
        <v>3.2948029999999999</v>
      </c>
      <c r="BI1325" s="3">
        <v>3.3012736999999999</v>
      </c>
      <c r="BJ1325" s="3">
        <v>3.3081098999999998</v>
      </c>
      <c r="BK1325" s="3">
        <v>3.3152995999999999</v>
      </c>
      <c r="BL1325" s="3">
        <v>3.3228304</v>
      </c>
      <c r="BM1325" s="3">
        <v>3.3743970000000001</v>
      </c>
      <c r="BN1325" s="3">
        <v>3.4345602</v>
      </c>
    </row>
    <row r="1326" spans="1:66" x14ac:dyDescent="0.35">
      <c r="A1326" s="5">
        <f t="shared" si="20"/>
        <v>45310</v>
      </c>
      <c r="B1326" t="s">
        <v>2751</v>
      </c>
      <c r="C1326" s="2">
        <v>5.25</v>
      </c>
      <c r="D1326" s="2">
        <v>5.1875999999999998</v>
      </c>
      <c r="E1326" s="3">
        <v>5.1887527999999996</v>
      </c>
      <c r="F1326" s="3">
        <v>5.1780002999999999</v>
      </c>
      <c r="G1326" s="3">
        <v>5.1399207999999996</v>
      </c>
      <c r="H1326" s="3">
        <v>5.0660791999999999</v>
      </c>
      <c r="I1326" s="3">
        <v>4.9607850999999998</v>
      </c>
      <c r="J1326" s="3">
        <v>4.8358841999999997</v>
      </c>
      <c r="K1326" s="3">
        <v>4.7040654999999996</v>
      </c>
      <c r="L1326" s="3">
        <v>4.5747957000000001</v>
      </c>
      <c r="M1326" s="3">
        <v>4.4535067000000002</v>
      </c>
      <c r="N1326" s="3">
        <v>4.3424420000000001</v>
      </c>
      <c r="O1326" s="3">
        <v>4.2414709000000004</v>
      </c>
      <c r="P1326" s="3">
        <v>4.1495841000000002</v>
      </c>
      <c r="Q1326" s="3">
        <v>4.0640079</v>
      </c>
      <c r="R1326" s="3">
        <v>3.9839484000000001</v>
      </c>
      <c r="S1326" s="3">
        <v>3.9094061999999998</v>
      </c>
      <c r="T1326" s="3">
        <v>3.8403786000000002</v>
      </c>
      <c r="U1326" s="3">
        <v>3.7768635000000002</v>
      </c>
      <c r="V1326" s="3">
        <v>3.718861</v>
      </c>
      <c r="W1326" s="3">
        <v>3.6663114999999999</v>
      </c>
      <c r="X1326" s="3">
        <v>3.6188894999999999</v>
      </c>
      <c r="Y1326" s="3">
        <v>3.5761943</v>
      </c>
      <c r="Z1326" s="3">
        <v>3.5378231000000002</v>
      </c>
      <c r="AA1326" s="3">
        <v>3.5033734999999999</v>
      </c>
      <c r="AB1326" s="3">
        <v>3.4724444000000001</v>
      </c>
      <c r="AC1326" s="3">
        <v>3.4446637</v>
      </c>
      <c r="AD1326" s="3">
        <v>3.4197932</v>
      </c>
      <c r="AE1326" s="3">
        <v>3.3976326000000001</v>
      </c>
      <c r="AF1326" s="3">
        <v>3.3779807000000002</v>
      </c>
      <c r="AG1326" s="3">
        <v>3.3606364000000002</v>
      </c>
      <c r="AH1326" s="3">
        <v>3.3453992000000001</v>
      </c>
      <c r="AI1326" s="3">
        <v>3.332068</v>
      </c>
      <c r="AJ1326" s="3">
        <v>3.3204416999999999</v>
      </c>
      <c r="AK1326" s="3">
        <v>3.3103197</v>
      </c>
      <c r="AL1326" s="3">
        <v>3.3015010999999999</v>
      </c>
      <c r="AM1326" s="3">
        <v>3.2937846999999998</v>
      </c>
      <c r="AN1326" s="3">
        <v>3.2869698000000001</v>
      </c>
      <c r="AO1326" s="3">
        <v>3.2808836000000001</v>
      </c>
      <c r="AP1326" s="3">
        <v>3.2754764999999999</v>
      </c>
      <c r="AQ1326" s="3">
        <v>3.2707334000000001</v>
      </c>
      <c r="AR1326" s="3">
        <v>3.2666390999999999</v>
      </c>
      <c r="AS1326" s="3">
        <v>3.2631784000000001</v>
      </c>
      <c r="AT1326" s="3">
        <v>3.2603360000000001</v>
      </c>
      <c r="AU1326" s="3">
        <v>3.2580966999999998</v>
      </c>
      <c r="AV1326" s="3">
        <v>3.2564451999999999</v>
      </c>
      <c r="AW1326" s="3">
        <v>3.2553664000000002</v>
      </c>
      <c r="AX1326" s="3">
        <v>3.2548450999999998</v>
      </c>
      <c r="AY1326" s="3">
        <v>3.2548659</v>
      </c>
      <c r="AZ1326" s="3">
        <v>3.2554135999999998</v>
      </c>
      <c r="BA1326" s="3">
        <v>3.2564736000000001</v>
      </c>
      <c r="BB1326" s="3">
        <v>3.2580330000000002</v>
      </c>
      <c r="BC1326" s="3">
        <v>3.2600796000000001</v>
      </c>
      <c r="BD1326" s="3">
        <v>3.2626013</v>
      </c>
      <c r="BE1326" s="3">
        <v>3.2655858000000002</v>
      </c>
      <c r="BF1326" s="3">
        <v>3.269021</v>
      </c>
      <c r="BG1326" s="3">
        <v>3.2728947000000002</v>
      </c>
      <c r="BH1326" s="3">
        <v>3.2771946999999999</v>
      </c>
      <c r="BI1326" s="3">
        <v>3.2819086999999998</v>
      </c>
      <c r="BJ1326" s="3">
        <v>3.2870246000000001</v>
      </c>
      <c r="BK1326" s="3">
        <v>3.2925303000000001</v>
      </c>
      <c r="BL1326" s="3">
        <v>3.2984133999999998</v>
      </c>
      <c r="BM1326" s="3">
        <v>3.3409002999999999</v>
      </c>
      <c r="BN1326" s="3">
        <v>3.3935567</v>
      </c>
    </row>
    <row r="1327" spans="1:66" x14ac:dyDescent="0.35">
      <c r="A1327" s="5">
        <f t="shared" si="20"/>
        <v>45313</v>
      </c>
      <c r="B1327" t="s">
        <v>2752</v>
      </c>
      <c r="C1327" s="2">
        <v>5.25</v>
      </c>
      <c r="D1327" s="2">
        <v>5.1879</v>
      </c>
      <c r="E1327" s="3">
        <v>5.1876758000000001</v>
      </c>
      <c r="F1327" s="3">
        <v>5.1735163000000002</v>
      </c>
      <c r="G1327" s="3">
        <v>5.1304359000000002</v>
      </c>
      <c r="H1327" s="3">
        <v>5.0506997</v>
      </c>
      <c r="I1327" s="3">
        <v>4.9406131999999996</v>
      </c>
      <c r="J1327" s="3">
        <v>4.8124133000000002</v>
      </c>
      <c r="K1327" s="3">
        <v>4.6785996000000001</v>
      </c>
      <c r="L1327" s="3">
        <v>4.5482889999999996</v>
      </c>
      <c r="M1327" s="3">
        <v>4.4266204</v>
      </c>
      <c r="N1327" s="3">
        <v>4.3151827999999997</v>
      </c>
      <c r="O1327" s="3">
        <v>4.2142325999999999</v>
      </c>
      <c r="P1327" s="3">
        <v>4.1228926000000001</v>
      </c>
      <c r="Q1327" s="3">
        <v>4.0394158999999998</v>
      </c>
      <c r="R1327" s="3">
        <v>3.9630131</v>
      </c>
      <c r="S1327" s="3">
        <v>3.8932351000000001</v>
      </c>
      <c r="T1327" s="3">
        <v>3.8296296999999999</v>
      </c>
      <c r="U1327" s="3">
        <v>3.7717453000000001</v>
      </c>
      <c r="V1327" s="3">
        <v>3.7191320999999999</v>
      </c>
      <c r="W1327" s="3">
        <v>3.6713504000000001</v>
      </c>
      <c r="X1327" s="3">
        <v>3.6280057999999999</v>
      </c>
      <c r="Y1327" s="3">
        <v>3.5887163000000002</v>
      </c>
      <c r="Z1327" s="3">
        <v>3.5530986000000002</v>
      </c>
      <c r="AA1327" s="3">
        <v>3.5207690999999999</v>
      </c>
      <c r="AB1327" s="3">
        <v>3.4913457999999999</v>
      </c>
      <c r="AC1327" s="3">
        <v>3.4644813999999999</v>
      </c>
      <c r="AD1327" s="3">
        <v>3.4399885000000001</v>
      </c>
      <c r="AE1327" s="3">
        <v>3.4177247999999998</v>
      </c>
      <c r="AF1327" s="3">
        <v>3.3975468000000002</v>
      </c>
      <c r="AG1327" s="3">
        <v>3.3793112999999999</v>
      </c>
      <c r="AH1327" s="3">
        <v>3.3628757999999999</v>
      </c>
      <c r="AI1327" s="3">
        <v>3.3480968999999998</v>
      </c>
      <c r="AJ1327" s="3">
        <v>3.3348315999999998</v>
      </c>
      <c r="AK1327" s="3">
        <v>3.322937</v>
      </c>
      <c r="AL1327" s="3">
        <v>3.3122699999999998</v>
      </c>
      <c r="AM1327" s="3">
        <v>3.3026875000000002</v>
      </c>
      <c r="AN1327" s="3">
        <v>3.2940466000000002</v>
      </c>
      <c r="AO1327" s="3">
        <v>3.2862231</v>
      </c>
      <c r="AP1327" s="3">
        <v>3.2791755</v>
      </c>
      <c r="AQ1327" s="3">
        <v>3.2728858999999999</v>
      </c>
      <c r="AR1327" s="3">
        <v>3.2673356999999998</v>
      </c>
      <c r="AS1327" s="3">
        <v>3.2625066999999999</v>
      </c>
      <c r="AT1327" s="3">
        <v>3.2583806000000002</v>
      </c>
      <c r="AU1327" s="3">
        <v>3.2549391000000001</v>
      </c>
      <c r="AV1327" s="3">
        <v>3.2521639000000002</v>
      </c>
      <c r="AW1327" s="3">
        <v>3.2500366000000001</v>
      </c>
      <c r="AX1327" s="3">
        <v>3.2485390999999999</v>
      </c>
      <c r="AY1327" s="3">
        <v>3.2476528999999998</v>
      </c>
      <c r="AZ1327" s="3">
        <v>3.2473597000000001</v>
      </c>
      <c r="BA1327" s="3">
        <v>3.2476419999999999</v>
      </c>
      <c r="BB1327" s="3">
        <v>3.2484853</v>
      </c>
      <c r="BC1327" s="3">
        <v>3.2498762999999999</v>
      </c>
      <c r="BD1327" s="3">
        <v>3.2518020000000001</v>
      </c>
      <c r="BE1327" s="3">
        <v>3.2542491</v>
      </c>
      <c r="BF1327" s="3">
        <v>3.2572043000000002</v>
      </c>
      <c r="BG1327" s="3">
        <v>3.2606544</v>
      </c>
      <c r="BH1327" s="3">
        <v>3.2645862999999999</v>
      </c>
      <c r="BI1327" s="3">
        <v>3.2689867000000001</v>
      </c>
      <c r="BJ1327" s="3">
        <v>3.2738421999999998</v>
      </c>
      <c r="BK1327" s="3">
        <v>3.2791399000000001</v>
      </c>
      <c r="BL1327" s="3">
        <v>3.2848663999999999</v>
      </c>
      <c r="BM1327" s="3">
        <v>3.3273443999999999</v>
      </c>
      <c r="BN1327" s="3">
        <v>3.3810345000000002</v>
      </c>
    </row>
    <row r="1328" spans="1:66" x14ac:dyDescent="0.35">
      <c r="A1328" s="5">
        <f t="shared" si="20"/>
        <v>45314</v>
      </c>
      <c r="B1328" t="s">
        <v>2753</v>
      </c>
      <c r="C1328" s="2">
        <v>5.25</v>
      </c>
      <c r="D1328" s="2">
        <v>5.1872999999999996</v>
      </c>
      <c r="E1328" s="3">
        <v>5.1859941000000003</v>
      </c>
      <c r="F1328" s="3">
        <v>5.1749590000000003</v>
      </c>
      <c r="G1328" s="3">
        <v>5.1400496000000002</v>
      </c>
      <c r="H1328" s="3">
        <v>5.0725395999999998</v>
      </c>
      <c r="I1328" s="3">
        <v>4.9760911999999999</v>
      </c>
      <c r="J1328" s="3">
        <v>4.8604414</v>
      </c>
      <c r="K1328" s="3">
        <v>4.7365585000000001</v>
      </c>
      <c r="L1328" s="3">
        <v>4.6134215999999997</v>
      </c>
      <c r="M1328" s="3">
        <v>4.4966809999999997</v>
      </c>
      <c r="N1328" s="3">
        <v>4.3890212000000002</v>
      </c>
      <c r="O1328" s="3">
        <v>4.2910855999999997</v>
      </c>
      <c r="P1328" s="3">
        <v>4.2025816999999996</v>
      </c>
      <c r="Q1328" s="3">
        <v>4.1210901</v>
      </c>
      <c r="R1328" s="3">
        <v>4.0457403000000003</v>
      </c>
      <c r="S1328" s="3">
        <v>3.9762845000000002</v>
      </c>
      <c r="T1328" s="3">
        <v>3.9124720000000002</v>
      </c>
      <c r="U1328" s="3">
        <v>3.8540524</v>
      </c>
      <c r="V1328" s="3">
        <v>3.8007773999999999</v>
      </c>
      <c r="W1328" s="3">
        <v>3.7523740000000001</v>
      </c>
      <c r="X1328" s="3">
        <v>3.7084834</v>
      </c>
      <c r="Y1328" s="3">
        <v>3.6687280000000002</v>
      </c>
      <c r="Z1328" s="3">
        <v>3.6327286999999999</v>
      </c>
      <c r="AA1328" s="3">
        <v>3.6001064</v>
      </c>
      <c r="AB1328" s="3">
        <v>3.5704832</v>
      </c>
      <c r="AC1328" s="3">
        <v>3.5435145000000001</v>
      </c>
      <c r="AD1328" s="3">
        <v>3.5190070000000002</v>
      </c>
      <c r="AE1328" s="3">
        <v>3.4968102999999999</v>
      </c>
      <c r="AF1328" s="3">
        <v>3.4767730999999999</v>
      </c>
      <c r="AG1328" s="3">
        <v>3.4587441000000001</v>
      </c>
      <c r="AH1328" s="3">
        <v>3.4425726999999999</v>
      </c>
      <c r="AI1328" s="3">
        <v>3.4281076000000001</v>
      </c>
      <c r="AJ1328" s="3">
        <v>3.4151975999999999</v>
      </c>
      <c r="AK1328" s="3">
        <v>3.4036919999999999</v>
      </c>
      <c r="AL1328" s="3">
        <v>3.3934397000000001</v>
      </c>
      <c r="AM1328" s="3">
        <v>3.3842894000000001</v>
      </c>
      <c r="AN1328" s="3">
        <v>3.3760902000000002</v>
      </c>
      <c r="AO1328" s="3">
        <v>3.3687071999999998</v>
      </c>
      <c r="AP1328" s="3">
        <v>3.3620912000000001</v>
      </c>
      <c r="AQ1328" s="3">
        <v>3.3562224999999999</v>
      </c>
      <c r="AR1328" s="3">
        <v>3.3510808999999999</v>
      </c>
      <c r="AS1328" s="3">
        <v>3.3466464999999999</v>
      </c>
      <c r="AT1328" s="3">
        <v>3.3428993999999999</v>
      </c>
      <c r="AU1328" s="3">
        <v>3.3398194999999999</v>
      </c>
      <c r="AV1328" s="3">
        <v>3.3373868999999998</v>
      </c>
      <c r="AW1328" s="3">
        <v>3.3355815</v>
      </c>
      <c r="AX1328" s="3">
        <v>3.3343834999999999</v>
      </c>
      <c r="AY1328" s="3">
        <v>3.3337726999999999</v>
      </c>
      <c r="AZ1328" s="3">
        <v>3.3337292999999999</v>
      </c>
      <c r="BA1328" s="3">
        <v>3.3342339999999999</v>
      </c>
      <c r="BB1328" s="3">
        <v>3.3352710999999999</v>
      </c>
      <c r="BC1328" s="3">
        <v>3.3368259</v>
      </c>
      <c r="BD1328" s="3">
        <v>3.3388838999999999</v>
      </c>
      <c r="BE1328" s="3">
        <v>3.3414304000000001</v>
      </c>
      <c r="BF1328" s="3">
        <v>3.3444509</v>
      </c>
      <c r="BG1328" s="3">
        <v>3.3479307</v>
      </c>
      <c r="BH1328" s="3">
        <v>3.3518553</v>
      </c>
      <c r="BI1328" s="3">
        <v>3.3562099000000001</v>
      </c>
      <c r="BJ1328" s="3">
        <v>3.3609800000000001</v>
      </c>
      <c r="BK1328" s="3">
        <v>3.3661511000000002</v>
      </c>
      <c r="BL1328" s="3">
        <v>3.3717084000000002</v>
      </c>
      <c r="BM1328" s="3">
        <v>3.4123271000000002</v>
      </c>
      <c r="BN1328" s="3">
        <v>3.4630551999999999</v>
      </c>
    </row>
    <row r="1329" spans="1:66" x14ac:dyDescent="0.35">
      <c r="A1329" s="5">
        <f t="shared" si="20"/>
        <v>45315</v>
      </c>
      <c r="B1329" t="s">
        <v>2754</v>
      </c>
      <c r="C1329" s="2">
        <v>5.25</v>
      </c>
      <c r="D1329" s="2">
        <v>5.1875</v>
      </c>
      <c r="E1329" s="3">
        <v>5.1849090000000002</v>
      </c>
      <c r="F1329" s="3">
        <v>5.1767840999999999</v>
      </c>
      <c r="G1329" s="3">
        <v>5.1466114999999997</v>
      </c>
      <c r="H1329" s="3">
        <v>5.0856415999999998</v>
      </c>
      <c r="I1329" s="3">
        <v>4.9962078999999999</v>
      </c>
      <c r="J1329" s="3">
        <v>4.8863583999999998</v>
      </c>
      <c r="K1329" s="3">
        <v>4.7669034000000003</v>
      </c>
      <c r="L1329" s="3">
        <v>4.6468661999999998</v>
      </c>
      <c r="M1329" s="3">
        <v>4.5323209000000002</v>
      </c>
      <c r="N1329" s="3">
        <v>4.4261775999999999</v>
      </c>
      <c r="O1329" s="3">
        <v>4.3293257000000001</v>
      </c>
      <c r="P1329" s="3">
        <v>4.2413793999999996</v>
      </c>
      <c r="Q1329" s="3">
        <v>4.1600153999999998</v>
      </c>
      <c r="R1329" s="3">
        <v>4.0844407</v>
      </c>
      <c r="S1329" s="3">
        <v>4.0144536000000004</v>
      </c>
      <c r="T1329" s="3">
        <v>3.9498500999999999</v>
      </c>
      <c r="U1329" s="3">
        <v>3.8904258999999999</v>
      </c>
      <c r="V1329" s="3">
        <v>3.8359793999999998</v>
      </c>
      <c r="W1329" s="3">
        <v>3.7862836999999998</v>
      </c>
      <c r="X1329" s="3">
        <v>3.7410260000000002</v>
      </c>
      <c r="Y1329" s="3">
        <v>3.6998742999999998</v>
      </c>
      <c r="Z1329" s="3">
        <v>3.6624949999999998</v>
      </c>
      <c r="AA1329" s="3">
        <v>3.6285549000000001</v>
      </c>
      <c r="AB1329" s="3">
        <v>3.5977218</v>
      </c>
      <c r="AC1329" s="3">
        <v>3.5696826000000001</v>
      </c>
      <c r="AD1329" s="3">
        <v>3.5442338000000002</v>
      </c>
      <c r="AE1329" s="3">
        <v>3.5212096000000002</v>
      </c>
      <c r="AF1329" s="3">
        <v>3.5004431999999999</v>
      </c>
      <c r="AG1329" s="3">
        <v>3.4817681</v>
      </c>
      <c r="AH1329" s="3">
        <v>3.4650181</v>
      </c>
      <c r="AI1329" s="3">
        <v>3.4500266000000002</v>
      </c>
      <c r="AJ1329" s="3">
        <v>3.4366270999999999</v>
      </c>
      <c r="AK1329" s="3">
        <v>3.4246533000000001</v>
      </c>
      <c r="AL1329" s="3">
        <v>3.4139387999999999</v>
      </c>
      <c r="AM1329" s="3">
        <v>3.4043168000000001</v>
      </c>
      <c r="AN1329" s="3">
        <v>3.3956214</v>
      </c>
      <c r="AO1329" s="3">
        <v>3.3877060000000001</v>
      </c>
      <c r="AP1329" s="3">
        <v>3.3805230000000002</v>
      </c>
      <c r="AQ1329" s="3">
        <v>3.3740549</v>
      </c>
      <c r="AR1329" s="3">
        <v>3.3682839000000002</v>
      </c>
      <c r="AS1329" s="3">
        <v>3.3631924</v>
      </c>
      <c r="AT1329" s="3">
        <v>3.3587628999999999</v>
      </c>
      <c r="AU1329" s="3">
        <v>3.3549775999999998</v>
      </c>
      <c r="AV1329" s="3">
        <v>3.3518189</v>
      </c>
      <c r="AW1329" s="3">
        <v>3.3492692000000002</v>
      </c>
      <c r="AX1329" s="3">
        <v>3.3473107999999998</v>
      </c>
      <c r="AY1329" s="3">
        <v>3.3459260999999998</v>
      </c>
      <c r="AZ1329" s="3">
        <v>3.3450975000000001</v>
      </c>
      <c r="BA1329" s="3">
        <v>3.344808</v>
      </c>
      <c r="BB1329" s="3">
        <v>3.3450446</v>
      </c>
      <c r="BC1329" s="3">
        <v>3.3457951000000001</v>
      </c>
      <c r="BD1329" s="3">
        <v>3.3470471000000002</v>
      </c>
      <c r="BE1329" s="3">
        <v>3.3487885999999998</v>
      </c>
      <c r="BF1329" s="3">
        <v>3.3510073</v>
      </c>
      <c r="BG1329" s="3">
        <v>3.3536910999999998</v>
      </c>
      <c r="BH1329" s="3">
        <v>3.3568278</v>
      </c>
      <c r="BI1329" s="3">
        <v>3.3604050000000001</v>
      </c>
      <c r="BJ1329" s="3">
        <v>3.3644107000000001</v>
      </c>
      <c r="BK1329" s="3">
        <v>3.3688327</v>
      </c>
      <c r="BL1329" s="3">
        <v>3.3736587999999998</v>
      </c>
      <c r="BM1329" s="3">
        <v>3.4103029</v>
      </c>
      <c r="BN1329" s="3">
        <v>3.4577190999999998</v>
      </c>
    </row>
    <row r="1330" spans="1:66" x14ac:dyDescent="0.35">
      <c r="A1330" s="5">
        <f t="shared" si="20"/>
        <v>45316</v>
      </c>
      <c r="B1330" t="s">
        <v>2755</v>
      </c>
      <c r="C1330" s="2">
        <v>5.25</v>
      </c>
      <c r="D1330" s="2">
        <v>5.1882000000000001</v>
      </c>
      <c r="E1330" s="3">
        <v>5.1848684</v>
      </c>
      <c r="F1330" s="3">
        <v>5.1711606000000003</v>
      </c>
      <c r="G1330" s="3">
        <v>5.1350126999999999</v>
      </c>
      <c r="H1330" s="3">
        <v>5.0678324999999997</v>
      </c>
      <c r="I1330" s="3">
        <v>4.9714397999999997</v>
      </c>
      <c r="J1330" s="3">
        <v>4.8557014000000001</v>
      </c>
      <c r="K1330" s="3">
        <v>4.7312193999999996</v>
      </c>
      <c r="L1330" s="3">
        <v>4.6063979000000002</v>
      </c>
      <c r="M1330" s="3">
        <v>4.4865811000000004</v>
      </c>
      <c r="N1330" s="3">
        <v>4.3743689999999997</v>
      </c>
      <c r="O1330" s="3">
        <v>4.2709707999999997</v>
      </c>
      <c r="P1330" s="3">
        <v>4.1762113999999997</v>
      </c>
      <c r="Q1330" s="3">
        <v>4.0885337000000002</v>
      </c>
      <c r="R1330" s="3">
        <v>4.0073987999999998</v>
      </c>
      <c r="S1330" s="3">
        <v>3.9327614999999998</v>
      </c>
      <c r="T1330" s="3">
        <v>3.8645738000000001</v>
      </c>
      <c r="U1330" s="3">
        <v>3.8027880000000001</v>
      </c>
      <c r="V1330" s="3">
        <v>3.7473586000000001</v>
      </c>
      <c r="W1330" s="3">
        <v>3.6981440000000001</v>
      </c>
      <c r="X1330" s="3">
        <v>3.6546449999999999</v>
      </c>
      <c r="Y1330" s="3">
        <v>3.6162787000000001</v>
      </c>
      <c r="Z1330" s="3">
        <v>3.5824606999999999</v>
      </c>
      <c r="AA1330" s="3">
        <v>3.5526068</v>
      </c>
      <c r="AB1330" s="3">
        <v>3.5261338000000002</v>
      </c>
      <c r="AC1330" s="3">
        <v>3.5025116999999999</v>
      </c>
      <c r="AD1330" s="3">
        <v>3.4814745999999999</v>
      </c>
      <c r="AE1330" s="3">
        <v>3.4628378</v>
      </c>
      <c r="AF1330" s="3">
        <v>3.4464158</v>
      </c>
      <c r="AG1330" s="3">
        <v>3.4320232000000002</v>
      </c>
      <c r="AH1330" s="3">
        <v>3.4194751999999999</v>
      </c>
      <c r="AI1330" s="3">
        <v>3.4085863000000001</v>
      </c>
      <c r="AJ1330" s="3">
        <v>3.3991712000000001</v>
      </c>
      <c r="AK1330" s="3">
        <v>3.3910448999999998</v>
      </c>
      <c r="AL1330" s="3">
        <v>3.3840221000000001</v>
      </c>
      <c r="AM1330" s="3">
        <v>3.3779175000000001</v>
      </c>
      <c r="AN1330" s="3">
        <v>3.3725459999999998</v>
      </c>
      <c r="AO1330" s="3">
        <v>3.3677491000000002</v>
      </c>
      <c r="AP1330" s="3">
        <v>3.3634868999999998</v>
      </c>
      <c r="AQ1330" s="3">
        <v>3.3597524000000001</v>
      </c>
      <c r="AR1330" s="3">
        <v>3.3565382000000001</v>
      </c>
      <c r="AS1330" s="3">
        <v>3.3538372999999999</v>
      </c>
      <c r="AT1330" s="3">
        <v>3.3516423</v>
      </c>
      <c r="AU1330" s="3">
        <v>3.3499462000000002</v>
      </c>
      <c r="AV1330" s="3">
        <v>3.3487417000000002</v>
      </c>
      <c r="AW1330" s="3">
        <v>3.3480216</v>
      </c>
      <c r="AX1330" s="3">
        <v>3.3477787999999999</v>
      </c>
      <c r="AY1330" s="3">
        <v>3.3480059999999998</v>
      </c>
      <c r="AZ1330" s="3">
        <v>3.3486961000000002</v>
      </c>
      <c r="BA1330" s="3">
        <v>3.3498415000000001</v>
      </c>
      <c r="BB1330" s="3">
        <v>3.3514322000000001</v>
      </c>
      <c r="BC1330" s="3">
        <v>3.3534578000000002</v>
      </c>
      <c r="BD1330" s="3">
        <v>3.3559079999999999</v>
      </c>
      <c r="BE1330" s="3">
        <v>3.3587723999999999</v>
      </c>
      <c r="BF1330" s="3">
        <v>3.3620404000000002</v>
      </c>
      <c r="BG1330" s="3">
        <v>3.3657018000000001</v>
      </c>
      <c r="BH1330" s="3">
        <v>3.3697460000000001</v>
      </c>
      <c r="BI1330" s="3">
        <v>3.3741628000000001</v>
      </c>
      <c r="BJ1330" s="3">
        <v>3.3789414999999998</v>
      </c>
      <c r="BK1330" s="3">
        <v>3.3840720000000002</v>
      </c>
      <c r="BL1330" s="3">
        <v>3.3895436999999999</v>
      </c>
      <c r="BM1330" s="3">
        <v>3.4289336000000001</v>
      </c>
      <c r="BN1330" s="3">
        <v>3.4778424999999999</v>
      </c>
    </row>
    <row r="1331" spans="1:66" x14ac:dyDescent="0.35">
      <c r="A1331" s="5">
        <f t="shared" si="20"/>
        <v>45317</v>
      </c>
      <c r="B1331" t="s">
        <v>2756</v>
      </c>
      <c r="C1331" s="2">
        <v>5.25</v>
      </c>
      <c r="D1331" s="2">
        <v>5.1882000000000001</v>
      </c>
      <c r="E1331" s="3">
        <v>5.1874973999999998</v>
      </c>
      <c r="F1331" s="3">
        <v>5.1729279000000004</v>
      </c>
      <c r="G1331" s="3">
        <v>5.1327997999999999</v>
      </c>
      <c r="H1331" s="3">
        <v>5.0586389</v>
      </c>
      <c r="I1331" s="3">
        <v>4.9538674</v>
      </c>
      <c r="J1331" s="3">
        <v>4.8295180999999996</v>
      </c>
      <c r="K1331" s="3">
        <v>4.6976255</v>
      </c>
      <c r="L1331" s="3">
        <v>4.5675298</v>
      </c>
      <c r="M1331" s="3">
        <v>4.4446446000000002</v>
      </c>
      <c r="N1331" s="3">
        <v>4.3316486999999997</v>
      </c>
      <c r="O1331" s="3">
        <v>4.229031</v>
      </c>
      <c r="P1331" s="3">
        <v>4.1361011000000003</v>
      </c>
      <c r="Q1331" s="3">
        <v>4.0503140000000002</v>
      </c>
      <c r="R1331" s="3">
        <v>3.9708169</v>
      </c>
      <c r="S1331" s="3">
        <v>3.8974764999999998</v>
      </c>
      <c r="T1331" s="3">
        <v>3.8301566</v>
      </c>
      <c r="U1331" s="3">
        <v>3.7687214999999998</v>
      </c>
      <c r="V1331" s="3">
        <v>3.7130375999999998</v>
      </c>
      <c r="W1331" s="3">
        <v>3.6629307999999998</v>
      </c>
      <c r="X1331" s="3">
        <v>3.6180496</v>
      </c>
      <c r="Y1331" s="3">
        <v>3.5779926999999998</v>
      </c>
      <c r="Z1331" s="3">
        <v>3.5423570999999998</v>
      </c>
      <c r="AA1331" s="3">
        <v>3.5107401</v>
      </c>
      <c r="AB1331" s="3">
        <v>3.4827398999999999</v>
      </c>
      <c r="AC1331" s="3">
        <v>3.4579816000000001</v>
      </c>
      <c r="AD1331" s="3">
        <v>3.4362127</v>
      </c>
      <c r="AE1331" s="3">
        <v>3.4172153999999999</v>
      </c>
      <c r="AF1331" s="3">
        <v>3.4007711</v>
      </c>
      <c r="AG1331" s="3">
        <v>3.3866611999999998</v>
      </c>
      <c r="AH1331" s="3">
        <v>3.3746676999999998</v>
      </c>
      <c r="AI1331" s="3">
        <v>3.3645722</v>
      </c>
      <c r="AJ1331" s="3">
        <v>3.3561559999999999</v>
      </c>
      <c r="AK1331" s="3">
        <v>3.3492011000000002</v>
      </c>
      <c r="AL1331" s="3">
        <v>3.3434889999999999</v>
      </c>
      <c r="AM1331" s="3">
        <v>3.3388013000000001</v>
      </c>
      <c r="AN1331" s="3">
        <v>3.3349198000000002</v>
      </c>
      <c r="AO1331" s="3">
        <v>3.3316558999999999</v>
      </c>
      <c r="AP1331" s="3">
        <v>3.3289534000000001</v>
      </c>
      <c r="AQ1331" s="3">
        <v>3.3267924999999998</v>
      </c>
      <c r="AR1331" s="3">
        <v>3.3251534</v>
      </c>
      <c r="AS1331" s="3">
        <v>3.3240162</v>
      </c>
      <c r="AT1331" s="3">
        <v>3.3233611999999999</v>
      </c>
      <c r="AU1331" s="3">
        <v>3.3231685999999998</v>
      </c>
      <c r="AV1331" s="3">
        <v>3.3234184999999998</v>
      </c>
      <c r="AW1331" s="3">
        <v>3.3240911</v>
      </c>
      <c r="AX1331" s="3">
        <v>3.3251667</v>
      </c>
      <c r="AY1331" s="3">
        <v>3.3266254000000002</v>
      </c>
      <c r="AZ1331" s="3">
        <v>3.3284473999999999</v>
      </c>
      <c r="BA1331" s="3">
        <v>3.3306155</v>
      </c>
      <c r="BB1331" s="3">
        <v>3.3331238000000001</v>
      </c>
      <c r="BC1331" s="3">
        <v>3.3359694000000002</v>
      </c>
      <c r="BD1331" s="3">
        <v>3.3391495</v>
      </c>
      <c r="BE1331" s="3">
        <v>3.3426615000000002</v>
      </c>
      <c r="BF1331" s="3">
        <v>3.3465023999999999</v>
      </c>
      <c r="BG1331" s="3">
        <v>3.3506695</v>
      </c>
      <c r="BH1331" s="3">
        <v>3.3551601</v>
      </c>
      <c r="BI1331" s="3">
        <v>3.3599711999999999</v>
      </c>
      <c r="BJ1331" s="3">
        <v>3.3651000999999998</v>
      </c>
      <c r="BK1331" s="3">
        <v>3.3705441</v>
      </c>
      <c r="BL1331" s="3">
        <v>3.3763003</v>
      </c>
      <c r="BM1331" s="3">
        <v>3.4170300999999998</v>
      </c>
      <c r="BN1331" s="3">
        <v>3.4670204999999998</v>
      </c>
    </row>
    <row r="1332" spans="1:66" x14ac:dyDescent="0.35">
      <c r="A1332" s="5">
        <f t="shared" si="20"/>
        <v>45320</v>
      </c>
      <c r="B1332" t="s">
        <v>2757</v>
      </c>
      <c r="C1332" s="2">
        <v>5.25</v>
      </c>
      <c r="D1332" s="2">
        <v>5.1879</v>
      </c>
      <c r="E1332" s="3">
        <v>5.1864936999999998</v>
      </c>
      <c r="F1332" s="3">
        <v>5.1663777</v>
      </c>
      <c r="G1332" s="3">
        <v>5.1185650000000003</v>
      </c>
      <c r="H1332" s="3">
        <v>5.0334146999999998</v>
      </c>
      <c r="I1332" s="3">
        <v>4.9173387999999996</v>
      </c>
      <c r="J1332" s="3">
        <v>4.7828564</v>
      </c>
      <c r="K1332" s="3">
        <v>4.6430781999999997</v>
      </c>
      <c r="L1332" s="3">
        <v>4.5071275999999996</v>
      </c>
      <c r="M1332" s="3">
        <v>4.3797940999999998</v>
      </c>
      <c r="N1332" s="3">
        <v>4.2627777</v>
      </c>
      <c r="O1332" s="3">
        <v>4.1567100000000003</v>
      </c>
      <c r="P1332" s="3">
        <v>4.0609840999999998</v>
      </c>
      <c r="Q1332" s="3">
        <v>3.9735798999999998</v>
      </c>
      <c r="R1332" s="3">
        <v>3.8936277000000001</v>
      </c>
      <c r="S1332" s="3">
        <v>3.8207013000000001</v>
      </c>
      <c r="T1332" s="3">
        <v>3.7543714000000001</v>
      </c>
      <c r="U1332" s="3">
        <v>3.6942089999999999</v>
      </c>
      <c r="V1332" s="3">
        <v>3.6397875000000002</v>
      </c>
      <c r="W1332" s="3">
        <v>3.5906908999999998</v>
      </c>
      <c r="X1332" s="3">
        <v>3.546554</v>
      </c>
      <c r="Y1332" s="3">
        <v>3.5070247999999999</v>
      </c>
      <c r="Z1332" s="3">
        <v>3.4717498</v>
      </c>
      <c r="AA1332" s="3">
        <v>3.4403758</v>
      </c>
      <c r="AB1332" s="3">
        <v>3.4125505</v>
      </c>
      <c r="AC1332" s="3">
        <v>3.3879402999999999</v>
      </c>
      <c r="AD1332" s="3">
        <v>3.3662987000000002</v>
      </c>
      <c r="AE1332" s="3">
        <v>3.3474039000000002</v>
      </c>
      <c r="AF1332" s="3">
        <v>3.3310331</v>
      </c>
      <c r="AG1332" s="3">
        <v>3.316964</v>
      </c>
      <c r="AH1332" s="3">
        <v>3.3049745000000001</v>
      </c>
      <c r="AI1332" s="3">
        <v>3.2948420999999999</v>
      </c>
      <c r="AJ1332" s="3">
        <v>3.2863443999999999</v>
      </c>
      <c r="AK1332" s="3">
        <v>3.2792593000000001</v>
      </c>
      <c r="AL1332" s="3">
        <v>3.2733642999999999</v>
      </c>
      <c r="AM1332" s="3">
        <v>3.268437</v>
      </c>
      <c r="AN1332" s="3">
        <v>3.2642552</v>
      </c>
      <c r="AO1332" s="3">
        <v>3.2606278</v>
      </c>
      <c r="AP1332" s="3">
        <v>3.2575020000000001</v>
      </c>
      <c r="AQ1332" s="3">
        <v>3.2548634000000001</v>
      </c>
      <c r="AR1332" s="3">
        <v>3.2526972000000001</v>
      </c>
      <c r="AS1332" s="3">
        <v>3.2509888999999998</v>
      </c>
      <c r="AT1332" s="3">
        <v>3.2497237999999999</v>
      </c>
      <c r="AU1332" s="3">
        <v>3.2488872999999998</v>
      </c>
      <c r="AV1332" s="3">
        <v>3.2484649000000001</v>
      </c>
      <c r="AW1332" s="3">
        <v>3.2484419</v>
      </c>
      <c r="AX1332" s="3">
        <v>3.2488036999999998</v>
      </c>
      <c r="AY1332" s="3">
        <v>3.2495357999999999</v>
      </c>
      <c r="AZ1332" s="3">
        <v>3.2506235000000001</v>
      </c>
      <c r="BA1332" s="3">
        <v>3.2520544</v>
      </c>
      <c r="BB1332" s="3">
        <v>3.2538288</v>
      </c>
      <c r="BC1332" s="3">
        <v>3.2559509000000002</v>
      </c>
      <c r="BD1332" s="3">
        <v>3.2584247999999998</v>
      </c>
      <c r="BE1332" s="3">
        <v>3.2612549999999998</v>
      </c>
      <c r="BF1332" s="3">
        <v>3.2644457</v>
      </c>
      <c r="BG1332" s="3">
        <v>3.2680009999999999</v>
      </c>
      <c r="BH1332" s="3">
        <v>3.2719252999999999</v>
      </c>
      <c r="BI1332" s="3">
        <v>3.2762229</v>
      </c>
      <c r="BJ1332" s="3">
        <v>3.2808978999999998</v>
      </c>
      <c r="BK1332" s="3">
        <v>3.2859547999999998</v>
      </c>
      <c r="BL1332" s="3">
        <v>3.2913975999999998</v>
      </c>
      <c r="BM1332" s="3">
        <v>3.3317771999999999</v>
      </c>
      <c r="BN1332" s="3">
        <v>3.3833080999999998</v>
      </c>
    </row>
    <row r="1333" spans="1:66" x14ac:dyDescent="0.35">
      <c r="A1333" s="5">
        <f t="shared" si="20"/>
        <v>45321</v>
      </c>
      <c r="B1333" t="s">
        <v>2758</v>
      </c>
      <c r="C1333" s="2">
        <v>5.25</v>
      </c>
      <c r="D1333" s="2">
        <v>5.1883999999999997</v>
      </c>
      <c r="E1333" s="3">
        <v>5.1869579999999997</v>
      </c>
      <c r="F1333" s="3">
        <v>5.1684799999999997</v>
      </c>
      <c r="G1333" s="3">
        <v>5.1244585999999996</v>
      </c>
      <c r="H1333" s="3">
        <v>5.0467744999999997</v>
      </c>
      <c r="I1333" s="3">
        <v>4.9411632000000001</v>
      </c>
      <c r="J1333" s="3">
        <v>4.8183483999999996</v>
      </c>
      <c r="K1333" s="3">
        <v>4.6897798000000002</v>
      </c>
      <c r="L1333" s="3">
        <v>4.5638500999999998</v>
      </c>
      <c r="M1333" s="3">
        <v>4.4450089999999998</v>
      </c>
      <c r="N1333" s="3">
        <v>4.3352313999999996</v>
      </c>
      <c r="O1333" s="3">
        <v>4.2351082</v>
      </c>
      <c r="P1333" s="3">
        <v>4.1444714999999999</v>
      </c>
      <c r="Q1333" s="3">
        <v>4.0609405000000001</v>
      </c>
      <c r="R1333" s="3">
        <v>3.9836651999999999</v>
      </c>
      <c r="S1333" s="3">
        <v>3.9124211999999998</v>
      </c>
      <c r="T1333" s="3">
        <v>3.8469814000000002</v>
      </c>
      <c r="U1333" s="3">
        <v>3.7871190000000001</v>
      </c>
      <c r="V1333" s="3">
        <v>3.7326093</v>
      </c>
      <c r="W1333" s="3">
        <v>3.6831920999999999</v>
      </c>
      <c r="X1333" s="3">
        <v>3.6384810000000001</v>
      </c>
      <c r="Y1333" s="3">
        <v>3.598061</v>
      </c>
      <c r="Z1333" s="3">
        <v>3.5615152999999999</v>
      </c>
      <c r="AA1333" s="3">
        <v>3.5284276000000001</v>
      </c>
      <c r="AB1333" s="3">
        <v>3.4983825</v>
      </c>
      <c r="AC1333" s="3">
        <v>3.4710035000000001</v>
      </c>
      <c r="AD1333" s="3">
        <v>3.4460909000000002</v>
      </c>
      <c r="AE1333" s="3">
        <v>3.4234947999999998</v>
      </c>
      <c r="AF1333" s="3">
        <v>3.4030642000000002</v>
      </c>
      <c r="AG1333" s="3">
        <v>3.3846482</v>
      </c>
      <c r="AH1333" s="3">
        <v>3.3680965999999999</v>
      </c>
      <c r="AI1333" s="3">
        <v>3.3532586000000002</v>
      </c>
      <c r="AJ1333" s="3">
        <v>3.3399833999999999</v>
      </c>
      <c r="AK1333" s="3">
        <v>3.3281206999999999</v>
      </c>
      <c r="AL1333" s="3">
        <v>3.3175195999999998</v>
      </c>
      <c r="AM1333" s="3">
        <v>3.3080295</v>
      </c>
      <c r="AN1333" s="3">
        <v>3.2994998999999998</v>
      </c>
      <c r="AO1333" s="3">
        <v>3.2917964999999998</v>
      </c>
      <c r="AP1333" s="3">
        <v>3.2848739</v>
      </c>
      <c r="AQ1333" s="3">
        <v>3.2787166999999999</v>
      </c>
      <c r="AR1333" s="3">
        <v>3.2733089999999998</v>
      </c>
      <c r="AS1333" s="3">
        <v>3.2686354</v>
      </c>
      <c r="AT1333" s="3">
        <v>3.2646803000000002</v>
      </c>
      <c r="AU1333" s="3">
        <v>3.2614279000000002</v>
      </c>
      <c r="AV1333" s="3">
        <v>3.2588628000000002</v>
      </c>
      <c r="AW1333" s="3">
        <v>3.2569694</v>
      </c>
      <c r="AX1333" s="3">
        <v>3.2557320000000001</v>
      </c>
      <c r="AY1333" s="3">
        <v>3.2551350000000001</v>
      </c>
      <c r="AZ1333" s="3">
        <v>3.2551629000000002</v>
      </c>
      <c r="BA1333" s="3">
        <v>3.2557996999999999</v>
      </c>
      <c r="BB1333" s="3">
        <v>3.2570285000000001</v>
      </c>
      <c r="BC1333" s="3">
        <v>3.258832</v>
      </c>
      <c r="BD1333" s="3">
        <v>3.2611929000000002</v>
      </c>
      <c r="BE1333" s="3">
        <v>3.2640937000000001</v>
      </c>
      <c r="BF1333" s="3">
        <v>3.2675171000000001</v>
      </c>
      <c r="BG1333" s="3">
        <v>3.2714458999999998</v>
      </c>
      <c r="BH1333" s="3">
        <v>3.2758626</v>
      </c>
      <c r="BI1333" s="3">
        <v>3.2807499999999998</v>
      </c>
      <c r="BJ1333" s="3">
        <v>3.2860906000000001</v>
      </c>
      <c r="BK1333" s="3">
        <v>3.2918672</v>
      </c>
      <c r="BL1333" s="3">
        <v>3.2980624000000001</v>
      </c>
      <c r="BM1333" s="3">
        <v>3.3430422000000002</v>
      </c>
      <c r="BN1333" s="3">
        <v>3.3986548000000001</v>
      </c>
    </row>
    <row r="1334" spans="1:66" x14ac:dyDescent="0.35">
      <c r="A1334" s="5">
        <f t="shared" si="20"/>
        <v>45322</v>
      </c>
      <c r="B1334" t="s">
        <v>2759</v>
      </c>
      <c r="C1334" s="2">
        <v>5.25</v>
      </c>
      <c r="D1334" s="2">
        <v>5.1881000000000004</v>
      </c>
      <c r="E1334" s="3">
        <v>5.1819325999999997</v>
      </c>
      <c r="F1334" s="3">
        <v>5.1503085999999998</v>
      </c>
      <c r="G1334" s="3">
        <v>5.0887986999999999</v>
      </c>
      <c r="H1334" s="3">
        <v>4.9931459</v>
      </c>
      <c r="I1334" s="3">
        <v>4.8711301000000002</v>
      </c>
      <c r="J1334" s="3">
        <v>4.7343362000000004</v>
      </c>
      <c r="K1334" s="3">
        <v>4.5946926000000001</v>
      </c>
      <c r="L1334" s="3">
        <v>4.4605300000000003</v>
      </c>
      <c r="M1334" s="3">
        <v>4.3360110000000001</v>
      </c>
      <c r="N1334" s="3">
        <v>4.2224447999999999</v>
      </c>
      <c r="O1334" s="3">
        <v>4.1198302</v>
      </c>
      <c r="P1334" s="3">
        <v>4.0272195000000002</v>
      </c>
      <c r="Q1334" s="3">
        <v>3.9413366000000001</v>
      </c>
      <c r="R1334" s="3">
        <v>3.8612251</v>
      </c>
      <c r="S1334" s="3">
        <v>3.7867907999999999</v>
      </c>
      <c r="T1334" s="3">
        <v>3.7179365</v>
      </c>
      <c r="U1334" s="3">
        <v>3.6545652</v>
      </c>
      <c r="V1334" s="3">
        <v>3.5965824</v>
      </c>
      <c r="W1334" s="3">
        <v>3.5438521999999999</v>
      </c>
      <c r="X1334" s="3">
        <v>3.4960920999999998</v>
      </c>
      <c r="Y1334" s="3">
        <v>3.4529857000000002</v>
      </c>
      <c r="Z1334" s="3">
        <v>3.4142152000000001</v>
      </c>
      <c r="AA1334" s="3">
        <v>3.3794629</v>
      </c>
      <c r="AB1334" s="3">
        <v>3.3484123000000001</v>
      </c>
      <c r="AC1334" s="3">
        <v>3.3207564999999999</v>
      </c>
      <c r="AD1334" s="3">
        <v>3.2962463</v>
      </c>
      <c r="AE1334" s="3">
        <v>3.2746526999999999</v>
      </c>
      <c r="AF1334" s="3">
        <v>3.2557459999999998</v>
      </c>
      <c r="AG1334" s="3">
        <v>3.2392965999999999</v>
      </c>
      <c r="AH1334" s="3">
        <v>3.2250754000000001</v>
      </c>
      <c r="AI1334" s="3">
        <v>3.2128526000000002</v>
      </c>
      <c r="AJ1334" s="3">
        <v>3.2023986999999998</v>
      </c>
      <c r="AK1334" s="3">
        <v>3.1934844999999998</v>
      </c>
      <c r="AL1334" s="3">
        <v>3.1858803999999998</v>
      </c>
      <c r="AM1334" s="3">
        <v>3.1793567</v>
      </c>
      <c r="AN1334" s="3">
        <v>3.1736841999999998</v>
      </c>
      <c r="AO1334" s="3">
        <v>3.1686629000000002</v>
      </c>
      <c r="AP1334" s="3">
        <v>3.1642364999999999</v>
      </c>
      <c r="AQ1334" s="3">
        <v>3.160393</v>
      </c>
      <c r="AR1334" s="3">
        <v>3.1571199000000001</v>
      </c>
      <c r="AS1334" s="3">
        <v>3.1544048</v>
      </c>
      <c r="AT1334" s="3">
        <v>3.1522356999999999</v>
      </c>
      <c r="AU1334" s="3">
        <v>3.1505999999999998</v>
      </c>
      <c r="AV1334" s="3">
        <v>3.1494856000000002</v>
      </c>
      <c r="AW1334" s="3">
        <v>3.1488800000000001</v>
      </c>
      <c r="AX1334" s="3">
        <v>3.1487710999999998</v>
      </c>
      <c r="AY1334" s="3">
        <v>3.1491465000000001</v>
      </c>
      <c r="AZ1334" s="3">
        <v>3.1499939000000001</v>
      </c>
      <c r="BA1334" s="3">
        <v>3.1513018000000002</v>
      </c>
      <c r="BB1334" s="3">
        <v>3.1530629000000001</v>
      </c>
      <c r="BC1334" s="3">
        <v>3.1552707999999998</v>
      </c>
      <c r="BD1334" s="3">
        <v>3.1579190000000001</v>
      </c>
      <c r="BE1334" s="3">
        <v>3.1610014</v>
      </c>
      <c r="BF1334" s="3">
        <v>3.1645113999999999</v>
      </c>
      <c r="BG1334" s="3">
        <v>3.1684426999999999</v>
      </c>
      <c r="BH1334" s="3">
        <v>3.1727891000000001</v>
      </c>
      <c r="BI1334" s="3">
        <v>3.1775440000000001</v>
      </c>
      <c r="BJ1334" s="3">
        <v>3.1827011000000001</v>
      </c>
      <c r="BK1334" s="3">
        <v>3.1882541999999998</v>
      </c>
      <c r="BL1334" s="3">
        <v>3.1941967</v>
      </c>
      <c r="BM1334" s="3">
        <v>3.2373375000000002</v>
      </c>
      <c r="BN1334" s="3">
        <v>3.2908241999999999</v>
      </c>
    </row>
    <row r="1335" spans="1:66" x14ac:dyDescent="0.35">
      <c r="A1335" s="5">
        <f t="shared" si="20"/>
        <v>45323</v>
      </c>
      <c r="B1335" t="s">
        <v>2760</v>
      </c>
      <c r="C1335" s="2">
        <v>5.25</v>
      </c>
      <c r="D1335" s="2">
        <v>5.1878000000000002</v>
      </c>
      <c r="E1335" s="3">
        <v>5.1843307000000003</v>
      </c>
      <c r="F1335" s="3">
        <v>5.1616550999999999</v>
      </c>
      <c r="G1335" s="3">
        <v>5.1100726999999999</v>
      </c>
      <c r="H1335" s="3">
        <v>5.0244027999999998</v>
      </c>
      <c r="I1335" s="3">
        <v>4.9106955000000001</v>
      </c>
      <c r="J1335" s="3">
        <v>4.7796438999999999</v>
      </c>
      <c r="K1335" s="3">
        <v>4.6421660999999999</v>
      </c>
      <c r="L1335" s="3">
        <v>4.5062578999999996</v>
      </c>
      <c r="M1335" s="3">
        <v>4.3762499000000004</v>
      </c>
      <c r="N1335" s="3">
        <v>4.2541212000000002</v>
      </c>
      <c r="O1335" s="3">
        <v>4.1406957999999996</v>
      </c>
      <c r="P1335" s="3">
        <v>4.0357456999999997</v>
      </c>
      <c r="Q1335" s="3">
        <v>3.9378179000000002</v>
      </c>
      <c r="R1335" s="3">
        <v>3.8465082000000002</v>
      </c>
      <c r="S1335" s="3">
        <v>3.7618965000000002</v>
      </c>
      <c r="T1335" s="3">
        <v>3.6840595999999999</v>
      </c>
      <c r="U1335" s="3">
        <v>3.6130745000000002</v>
      </c>
      <c r="V1335" s="3">
        <v>3.5490208999999999</v>
      </c>
      <c r="W1335" s="3">
        <v>3.4918613000000001</v>
      </c>
      <c r="X1335" s="3">
        <v>3.4411219000000002</v>
      </c>
      <c r="Y1335" s="3">
        <v>3.3962268</v>
      </c>
      <c r="Z1335" s="3">
        <v>3.3565982999999999</v>
      </c>
      <c r="AA1335" s="3">
        <v>3.3216592</v>
      </c>
      <c r="AB1335" s="3">
        <v>3.2908330000000001</v>
      </c>
      <c r="AC1335" s="3">
        <v>3.2635881000000002</v>
      </c>
      <c r="AD1335" s="3">
        <v>3.2396148999999999</v>
      </c>
      <c r="AE1335" s="3">
        <v>3.2186724999999998</v>
      </c>
      <c r="AF1335" s="3">
        <v>3.2005191000000002</v>
      </c>
      <c r="AG1335" s="3">
        <v>3.1849129</v>
      </c>
      <c r="AH1335" s="3">
        <v>3.1716129999999998</v>
      </c>
      <c r="AI1335" s="3">
        <v>3.1603775999999999</v>
      </c>
      <c r="AJ1335" s="3">
        <v>3.1509649999999998</v>
      </c>
      <c r="AK1335" s="3">
        <v>3.1431339999999999</v>
      </c>
      <c r="AL1335" s="3">
        <v>3.1366429999999998</v>
      </c>
      <c r="AM1335" s="3">
        <v>3.1312503999999999</v>
      </c>
      <c r="AN1335" s="3">
        <v>3.1267147999999998</v>
      </c>
      <c r="AO1335" s="3">
        <v>3.1228286999999999</v>
      </c>
      <c r="AP1335" s="3">
        <v>3.1195347</v>
      </c>
      <c r="AQ1335" s="3">
        <v>3.1168171</v>
      </c>
      <c r="AR1335" s="3">
        <v>3.1146598999999999</v>
      </c>
      <c r="AS1335" s="3">
        <v>3.1130472999999999</v>
      </c>
      <c r="AT1335" s="3">
        <v>3.1119634999999999</v>
      </c>
      <c r="AU1335" s="3">
        <v>3.1113925999999998</v>
      </c>
      <c r="AV1335" s="3">
        <v>3.1113187</v>
      </c>
      <c r="AW1335" s="3">
        <v>3.1117260999999998</v>
      </c>
      <c r="AX1335" s="3">
        <v>3.1125986999999999</v>
      </c>
      <c r="AY1335" s="3">
        <v>3.1139207999999998</v>
      </c>
      <c r="AZ1335" s="3">
        <v>3.1156765000000002</v>
      </c>
      <c r="BA1335" s="3">
        <v>3.1178512</v>
      </c>
      <c r="BB1335" s="3">
        <v>3.1204358999999999</v>
      </c>
      <c r="BC1335" s="3">
        <v>3.1234231000000001</v>
      </c>
      <c r="BD1335" s="3">
        <v>3.1268050999999999</v>
      </c>
      <c r="BE1335" s="3">
        <v>3.1305746999999999</v>
      </c>
      <c r="BF1335" s="3">
        <v>3.1347241000000001</v>
      </c>
      <c r="BG1335" s="3">
        <v>3.1392459000000001</v>
      </c>
      <c r="BH1335" s="3">
        <v>3.1441325999999998</v>
      </c>
      <c r="BI1335" s="3">
        <v>3.1493766000000001</v>
      </c>
      <c r="BJ1335" s="3">
        <v>3.1549705000000001</v>
      </c>
      <c r="BK1335" s="3">
        <v>3.1609067999999998</v>
      </c>
      <c r="BL1335" s="3">
        <v>3.1671779</v>
      </c>
      <c r="BM1335" s="3">
        <v>3.2112845999999999</v>
      </c>
      <c r="BN1335" s="3">
        <v>3.2647526</v>
      </c>
    </row>
    <row r="1336" spans="1:66" x14ac:dyDescent="0.35">
      <c r="A1336" s="5">
        <f t="shared" si="20"/>
        <v>45324</v>
      </c>
      <c r="B1336" t="s">
        <v>2761</v>
      </c>
      <c r="C1336" s="2">
        <v>5.25</v>
      </c>
      <c r="D1336" s="2">
        <v>5.1885000000000003</v>
      </c>
      <c r="E1336" s="3">
        <v>5.1810986000000003</v>
      </c>
      <c r="F1336" s="3">
        <v>5.1687959000000001</v>
      </c>
      <c r="G1336" s="3">
        <v>5.1308084000000003</v>
      </c>
      <c r="H1336" s="3">
        <v>5.0609634999999997</v>
      </c>
      <c r="I1336" s="3">
        <v>4.9644914</v>
      </c>
      <c r="J1336" s="3">
        <v>4.8513273999999997</v>
      </c>
      <c r="K1336" s="3">
        <v>4.7330914999999996</v>
      </c>
      <c r="L1336" s="3">
        <v>4.6182891000000001</v>
      </c>
      <c r="M1336" s="3">
        <v>4.5105414000000001</v>
      </c>
      <c r="N1336" s="3">
        <v>4.4107979999999998</v>
      </c>
      <c r="O1336" s="3">
        <v>4.3182790999999998</v>
      </c>
      <c r="P1336" s="3">
        <v>4.2314125000000002</v>
      </c>
      <c r="Q1336" s="3">
        <v>4.1478409000000003</v>
      </c>
      <c r="R1336" s="3">
        <v>4.0672927999999997</v>
      </c>
      <c r="S1336" s="3">
        <v>3.9902348999999999</v>
      </c>
      <c r="T1336" s="3">
        <v>3.9171312999999999</v>
      </c>
      <c r="U1336" s="3">
        <v>3.8484460999999999</v>
      </c>
      <c r="V1336" s="3">
        <v>3.7846460999999998</v>
      </c>
      <c r="W1336" s="3">
        <v>3.7260905000000002</v>
      </c>
      <c r="X1336" s="3">
        <v>3.6726510000000001</v>
      </c>
      <c r="Y1336" s="3">
        <v>3.6240602000000002</v>
      </c>
      <c r="Z1336" s="3">
        <v>3.5800488000000001</v>
      </c>
      <c r="AA1336" s="3">
        <v>3.5403475000000002</v>
      </c>
      <c r="AB1336" s="3">
        <v>3.5046886000000002</v>
      </c>
      <c r="AC1336" s="3">
        <v>3.4728061000000001</v>
      </c>
      <c r="AD1336" s="3">
        <v>3.4444485</v>
      </c>
      <c r="AE1336" s="3">
        <v>3.4193696999999998</v>
      </c>
      <c r="AF1336" s="3">
        <v>3.3973222000000001</v>
      </c>
      <c r="AG1336" s="3">
        <v>3.3780587</v>
      </c>
      <c r="AH1336" s="3">
        <v>3.3613325999999999</v>
      </c>
      <c r="AI1336" s="3">
        <v>3.3468966999999998</v>
      </c>
      <c r="AJ1336" s="3">
        <v>3.3345039000000001</v>
      </c>
      <c r="AK1336" s="3">
        <v>3.3239071999999998</v>
      </c>
      <c r="AL1336" s="3">
        <v>3.3148597</v>
      </c>
      <c r="AM1336" s="3">
        <v>3.3071141000000002</v>
      </c>
      <c r="AN1336" s="3">
        <v>3.3004235999999998</v>
      </c>
      <c r="AO1336" s="3">
        <v>3.2945734999999998</v>
      </c>
      <c r="AP1336" s="3">
        <v>3.2894925000000002</v>
      </c>
      <c r="AQ1336" s="3">
        <v>3.2851490999999999</v>
      </c>
      <c r="AR1336" s="3">
        <v>3.2815115000000001</v>
      </c>
      <c r="AS1336" s="3">
        <v>3.2785479999999998</v>
      </c>
      <c r="AT1336" s="3">
        <v>3.276227</v>
      </c>
      <c r="AU1336" s="3">
        <v>3.2745166999999999</v>
      </c>
      <c r="AV1336" s="3">
        <v>3.2733854999999998</v>
      </c>
      <c r="AW1336" s="3">
        <v>3.2728016000000002</v>
      </c>
      <c r="AX1336" s="3">
        <v>3.2727335000000002</v>
      </c>
      <c r="AY1336" s="3">
        <v>3.2731493</v>
      </c>
      <c r="AZ1336" s="3">
        <v>3.2740174999999998</v>
      </c>
      <c r="BA1336" s="3">
        <v>3.2753100000000002</v>
      </c>
      <c r="BB1336" s="3">
        <v>3.2770158</v>
      </c>
      <c r="BC1336" s="3">
        <v>3.279128</v>
      </c>
      <c r="BD1336" s="3">
        <v>3.2816399999999999</v>
      </c>
      <c r="BE1336" s="3">
        <v>3.2845453</v>
      </c>
      <c r="BF1336" s="3">
        <v>3.2878371</v>
      </c>
      <c r="BG1336" s="3">
        <v>3.2915087999999999</v>
      </c>
      <c r="BH1336" s="3">
        <v>3.2955537000000001</v>
      </c>
      <c r="BI1336" s="3">
        <v>3.2999651999999999</v>
      </c>
      <c r="BJ1336" s="3">
        <v>3.3047366999999999</v>
      </c>
      <c r="BK1336" s="3">
        <v>3.3098614</v>
      </c>
      <c r="BL1336" s="3">
        <v>3.3153328000000002</v>
      </c>
      <c r="BM1336" s="3">
        <v>3.3549177000000001</v>
      </c>
      <c r="BN1336" s="3">
        <v>3.4043849000000002</v>
      </c>
    </row>
    <row r="1337" spans="1:66" x14ac:dyDescent="0.35">
      <c r="A1337" s="5">
        <f t="shared" si="20"/>
        <v>45327</v>
      </c>
      <c r="B1337" t="s">
        <v>2767</v>
      </c>
      <c r="C1337" s="2">
        <v>5.25</v>
      </c>
      <c r="D1337" s="2">
        <v>5.1883999999999997</v>
      </c>
      <c r="E1337" s="3">
        <v>5.1834436000000004</v>
      </c>
      <c r="F1337" s="3">
        <v>5.1678597999999996</v>
      </c>
      <c r="G1337" s="3">
        <v>5.1348197000000004</v>
      </c>
      <c r="H1337" s="3">
        <v>5.0772466999999999</v>
      </c>
      <c r="I1337" s="3">
        <v>4.9979082000000004</v>
      </c>
      <c r="J1337" s="3">
        <v>4.9020260000000002</v>
      </c>
      <c r="K1337" s="3">
        <v>4.7967801000000003</v>
      </c>
      <c r="L1337" s="3">
        <v>4.6884772000000003</v>
      </c>
      <c r="M1337" s="3">
        <v>4.5819403000000003</v>
      </c>
      <c r="N1337" s="3">
        <v>4.4804639999999996</v>
      </c>
      <c r="O1337" s="3">
        <v>4.3862252000000002</v>
      </c>
      <c r="P1337" s="3">
        <v>4.2995466000000002</v>
      </c>
      <c r="Q1337" s="3">
        <v>4.2182966999999998</v>
      </c>
      <c r="R1337" s="3">
        <v>4.1418647999999996</v>
      </c>
      <c r="S1337" s="3">
        <v>4.0702769999999999</v>
      </c>
      <c r="T1337" s="3">
        <v>4.0035562000000002</v>
      </c>
      <c r="U1337" s="3">
        <v>3.9417260999999999</v>
      </c>
      <c r="V1337" s="3">
        <v>3.8848121</v>
      </c>
      <c r="W1337" s="3">
        <v>3.8327757</v>
      </c>
      <c r="X1337" s="3">
        <v>3.7853431999999998</v>
      </c>
      <c r="Y1337" s="3">
        <v>3.7421864</v>
      </c>
      <c r="Z1337" s="3">
        <v>3.7029755999999998</v>
      </c>
      <c r="AA1337" s="3">
        <v>3.6673809999999998</v>
      </c>
      <c r="AB1337" s="3">
        <v>3.6350742</v>
      </c>
      <c r="AC1337" s="3">
        <v>3.6057462</v>
      </c>
      <c r="AD1337" s="3">
        <v>3.5791789999999999</v>
      </c>
      <c r="AE1337" s="3">
        <v>3.5551808</v>
      </c>
      <c r="AF1337" s="3">
        <v>3.5335588000000002</v>
      </c>
      <c r="AG1337" s="3">
        <v>3.5141201999999998</v>
      </c>
      <c r="AH1337" s="3">
        <v>3.4966732</v>
      </c>
      <c r="AI1337" s="3">
        <v>3.4810248000000001</v>
      </c>
      <c r="AJ1337" s="3">
        <v>3.4669824999999999</v>
      </c>
      <c r="AK1337" s="3">
        <v>3.4543542</v>
      </c>
      <c r="AL1337" s="3">
        <v>3.4429471</v>
      </c>
      <c r="AM1337" s="3">
        <v>3.4325687</v>
      </c>
      <c r="AN1337" s="3">
        <v>3.4230266999999999</v>
      </c>
      <c r="AO1337" s="3">
        <v>3.4141569999999999</v>
      </c>
      <c r="AP1337" s="3">
        <v>3.4059211999999999</v>
      </c>
      <c r="AQ1337" s="3">
        <v>3.3983158000000002</v>
      </c>
      <c r="AR1337" s="3">
        <v>3.391337</v>
      </c>
      <c r="AS1337" s="3">
        <v>3.3849811000000001</v>
      </c>
      <c r="AT1337" s="3">
        <v>3.3792445999999998</v>
      </c>
      <c r="AU1337" s="3">
        <v>3.3741237000000002</v>
      </c>
      <c r="AV1337" s="3">
        <v>3.3696147999999999</v>
      </c>
      <c r="AW1337" s="3">
        <v>3.3657142000000002</v>
      </c>
      <c r="AX1337" s="3">
        <v>3.3624182999999999</v>
      </c>
      <c r="AY1337" s="3">
        <v>3.3597234</v>
      </c>
      <c r="AZ1337" s="3">
        <v>3.3576258999999999</v>
      </c>
      <c r="BA1337" s="3">
        <v>3.3561212999999999</v>
      </c>
      <c r="BB1337" s="3">
        <v>3.3552018000000001</v>
      </c>
      <c r="BC1337" s="3">
        <v>3.3548581999999998</v>
      </c>
      <c r="BD1337" s="3">
        <v>3.3550811999999999</v>
      </c>
      <c r="BE1337" s="3">
        <v>3.3558615999999999</v>
      </c>
      <c r="BF1337" s="3">
        <v>3.3571903000000001</v>
      </c>
      <c r="BG1337" s="3">
        <v>3.3590580000000001</v>
      </c>
      <c r="BH1337" s="3">
        <v>3.3614557</v>
      </c>
      <c r="BI1337" s="3">
        <v>3.3643738999999999</v>
      </c>
      <c r="BJ1337" s="3">
        <v>3.3678037000000001</v>
      </c>
      <c r="BK1337" s="3">
        <v>3.3717356999999999</v>
      </c>
      <c r="BL1337" s="3">
        <v>3.3761608000000001</v>
      </c>
      <c r="BM1337" s="3">
        <v>3.4121519999999999</v>
      </c>
      <c r="BN1337" s="3">
        <v>3.4611282999999999</v>
      </c>
    </row>
    <row r="1338" spans="1:66" x14ac:dyDescent="0.35">
      <c r="A1338" s="5">
        <f t="shared" si="20"/>
        <v>45328</v>
      </c>
      <c r="B1338" t="s">
        <v>2768</v>
      </c>
      <c r="C1338" s="2">
        <v>5.25</v>
      </c>
      <c r="D1338" s="2">
        <v>5.1894</v>
      </c>
      <c r="E1338" s="3">
        <v>5.1834636999999999</v>
      </c>
      <c r="F1338" s="3">
        <v>5.1643863999999997</v>
      </c>
      <c r="G1338" s="3">
        <v>5.1270356000000001</v>
      </c>
      <c r="H1338" s="3">
        <v>5.0645870000000004</v>
      </c>
      <c r="I1338" s="3">
        <v>4.9802979000000001</v>
      </c>
      <c r="J1338" s="3">
        <v>4.8808309999999997</v>
      </c>
      <c r="K1338" s="3">
        <v>4.7733169000000002</v>
      </c>
      <c r="L1338" s="3">
        <v>4.6638856000000004</v>
      </c>
      <c r="M1338" s="3">
        <v>4.5565648000000003</v>
      </c>
      <c r="N1338" s="3">
        <v>4.4538570999999996</v>
      </c>
      <c r="O1338" s="3">
        <v>4.3573573999999997</v>
      </c>
      <c r="P1338" s="3">
        <v>4.2673702000000002</v>
      </c>
      <c r="Q1338" s="3">
        <v>4.1831063000000004</v>
      </c>
      <c r="R1338" s="3">
        <v>4.1043107000000001</v>
      </c>
      <c r="S1338" s="3">
        <v>4.0309542</v>
      </c>
      <c r="T1338" s="3">
        <v>3.9630049000000001</v>
      </c>
      <c r="U1338" s="3">
        <v>3.9004313000000002</v>
      </c>
      <c r="V1338" s="3">
        <v>3.8432037999999999</v>
      </c>
      <c r="W1338" s="3">
        <v>3.7912205999999999</v>
      </c>
      <c r="X1338" s="3">
        <v>3.7441122999999998</v>
      </c>
      <c r="Y1338" s="3">
        <v>3.7014480999999999</v>
      </c>
      <c r="Z1338" s="3">
        <v>3.6627949000000002</v>
      </c>
      <c r="AA1338" s="3">
        <v>3.6277202000000002</v>
      </c>
      <c r="AB1338" s="3">
        <v>3.5957925999999998</v>
      </c>
      <c r="AC1338" s="3">
        <v>3.5666194</v>
      </c>
      <c r="AD1338" s="3">
        <v>3.5399848999999999</v>
      </c>
      <c r="AE1338" s="3">
        <v>3.5157231000000002</v>
      </c>
      <c r="AF1338" s="3">
        <v>3.4936669</v>
      </c>
      <c r="AG1338" s="3">
        <v>3.4736494000000002</v>
      </c>
      <c r="AH1338" s="3">
        <v>3.4555045</v>
      </c>
      <c r="AI1338" s="3">
        <v>3.4390651999999999</v>
      </c>
      <c r="AJ1338" s="3">
        <v>3.4241646000000001</v>
      </c>
      <c r="AK1338" s="3">
        <v>3.4106366000000001</v>
      </c>
      <c r="AL1338" s="3">
        <v>3.3983140999999999</v>
      </c>
      <c r="AM1338" s="3">
        <v>3.3870304999999998</v>
      </c>
      <c r="AN1338" s="3">
        <v>3.3766193000000002</v>
      </c>
      <c r="AO1338" s="3">
        <v>3.3669337000000001</v>
      </c>
      <c r="AP1338" s="3">
        <v>3.3579349999999999</v>
      </c>
      <c r="AQ1338" s="3">
        <v>3.3496212000000001</v>
      </c>
      <c r="AR1338" s="3">
        <v>3.3419895999999998</v>
      </c>
      <c r="AS1338" s="3">
        <v>3.3350379000000001</v>
      </c>
      <c r="AT1338" s="3">
        <v>3.3287637999999999</v>
      </c>
      <c r="AU1338" s="3">
        <v>3.3231649000000001</v>
      </c>
      <c r="AV1338" s="3">
        <v>3.3182388999999999</v>
      </c>
      <c r="AW1338" s="3">
        <v>3.3139834000000001</v>
      </c>
      <c r="AX1338" s="3">
        <v>3.3103959999999999</v>
      </c>
      <c r="AY1338" s="3">
        <v>3.3074743999999998</v>
      </c>
      <c r="AZ1338" s="3">
        <v>3.3052161</v>
      </c>
      <c r="BA1338" s="3">
        <v>3.3036164000000001</v>
      </c>
      <c r="BB1338" s="3">
        <v>3.3026577000000001</v>
      </c>
      <c r="BC1338" s="3">
        <v>3.3023188999999999</v>
      </c>
      <c r="BD1338" s="3">
        <v>3.3025788</v>
      </c>
      <c r="BE1338" s="3">
        <v>3.3034161000000002</v>
      </c>
      <c r="BF1338" s="3">
        <v>3.3048096999999999</v>
      </c>
      <c r="BG1338" s="3">
        <v>3.3067383000000001</v>
      </c>
      <c r="BH1338" s="3">
        <v>3.3091807000000002</v>
      </c>
      <c r="BI1338" s="3">
        <v>3.3121157999999999</v>
      </c>
      <c r="BJ1338" s="3">
        <v>3.3155222000000002</v>
      </c>
      <c r="BK1338" s="3">
        <v>3.3193790000000001</v>
      </c>
      <c r="BL1338" s="3">
        <v>3.3236645999999999</v>
      </c>
      <c r="BM1338" s="3">
        <v>3.3572734</v>
      </c>
      <c r="BN1338" s="3">
        <v>3.4014300999999998</v>
      </c>
    </row>
    <row r="1339" spans="1:66" x14ac:dyDescent="0.35">
      <c r="A1339" s="5">
        <f t="shared" si="20"/>
        <v>45329</v>
      </c>
      <c r="B1339" t="s">
        <v>2769</v>
      </c>
      <c r="C1339" s="2">
        <v>5.25</v>
      </c>
      <c r="D1339" s="2">
        <v>5.1890000000000001</v>
      </c>
      <c r="E1339" s="3">
        <v>5.1841197000000001</v>
      </c>
      <c r="F1339" s="3">
        <v>5.1656370999999996</v>
      </c>
      <c r="G1339" s="3">
        <v>5.1278486000000001</v>
      </c>
      <c r="H1339" s="3">
        <v>5.0659045000000003</v>
      </c>
      <c r="I1339" s="3">
        <v>4.9838412999999999</v>
      </c>
      <c r="J1339" s="3">
        <v>4.8876809999999997</v>
      </c>
      <c r="K1339" s="3">
        <v>4.783944</v>
      </c>
      <c r="L1339" s="3">
        <v>4.6781153</v>
      </c>
      <c r="M1339" s="3">
        <v>4.574001</v>
      </c>
      <c r="N1339" s="3">
        <v>4.4741635999999998</v>
      </c>
      <c r="O1339" s="3">
        <v>4.380077</v>
      </c>
      <c r="P1339" s="3">
        <v>4.2922424000000001</v>
      </c>
      <c r="Q1339" s="3">
        <v>4.2099333000000003</v>
      </c>
      <c r="R1339" s="3">
        <v>4.1328601000000003</v>
      </c>
      <c r="S1339" s="3">
        <v>4.0609484</v>
      </c>
      <c r="T1339" s="3">
        <v>3.9941211000000001</v>
      </c>
      <c r="U1339" s="3">
        <v>3.9323011000000001</v>
      </c>
      <c r="V1339" s="3">
        <v>3.8754138</v>
      </c>
      <c r="W1339" s="3">
        <v>3.8233340999999998</v>
      </c>
      <c r="X1339" s="3">
        <v>3.7757546</v>
      </c>
      <c r="Y1339" s="3">
        <v>3.7323263</v>
      </c>
      <c r="Z1339" s="3">
        <v>3.6926982000000002</v>
      </c>
      <c r="AA1339" s="3">
        <v>3.6565197</v>
      </c>
      <c r="AB1339" s="3">
        <v>3.6234413000000001</v>
      </c>
      <c r="AC1339" s="3">
        <v>3.5931367999999999</v>
      </c>
      <c r="AD1339" s="3">
        <v>3.5654119</v>
      </c>
      <c r="AE1339" s="3">
        <v>3.5401177000000001</v>
      </c>
      <c r="AF1339" s="3">
        <v>3.5171041999999999</v>
      </c>
      <c r="AG1339" s="3">
        <v>3.4962214</v>
      </c>
      <c r="AH1339" s="3">
        <v>3.4773201</v>
      </c>
      <c r="AI1339" s="3">
        <v>3.4602504999999999</v>
      </c>
      <c r="AJ1339" s="3">
        <v>3.4448628000000001</v>
      </c>
      <c r="AK1339" s="3">
        <v>3.4310076</v>
      </c>
      <c r="AL1339" s="3">
        <v>3.4185349999999999</v>
      </c>
      <c r="AM1339" s="3">
        <v>3.4072954000000002</v>
      </c>
      <c r="AN1339" s="3">
        <v>3.3971393000000001</v>
      </c>
      <c r="AO1339" s="3">
        <v>3.3879334999999999</v>
      </c>
      <c r="AP1339" s="3">
        <v>3.3796265000000001</v>
      </c>
      <c r="AQ1339" s="3">
        <v>3.3721915999999998</v>
      </c>
      <c r="AR1339" s="3">
        <v>3.3656019000000001</v>
      </c>
      <c r="AS1339" s="3">
        <v>3.3598303999999999</v>
      </c>
      <c r="AT1339" s="3">
        <v>3.3548505999999998</v>
      </c>
      <c r="AU1339" s="3">
        <v>3.3506353999999998</v>
      </c>
      <c r="AV1339" s="3">
        <v>3.3471581000000001</v>
      </c>
      <c r="AW1339" s="3">
        <v>3.344392</v>
      </c>
      <c r="AX1339" s="3">
        <v>3.3423101000000002</v>
      </c>
      <c r="AY1339" s="3">
        <v>3.3408856999999998</v>
      </c>
      <c r="AZ1339" s="3">
        <v>3.3400918000000002</v>
      </c>
      <c r="BA1339" s="3">
        <v>3.3399030000000001</v>
      </c>
      <c r="BB1339" s="3">
        <v>3.3402989999999999</v>
      </c>
      <c r="BC1339" s="3">
        <v>3.3412611000000001</v>
      </c>
      <c r="BD1339" s="3">
        <v>3.3427704</v>
      </c>
      <c r="BE1339" s="3">
        <v>3.3448082000000001</v>
      </c>
      <c r="BF1339" s="3">
        <v>3.3473557999999999</v>
      </c>
      <c r="BG1339" s="3">
        <v>3.3503945000000002</v>
      </c>
      <c r="BH1339" s="3">
        <v>3.3539055000000002</v>
      </c>
      <c r="BI1339" s="3">
        <v>3.3578698999999999</v>
      </c>
      <c r="BJ1339" s="3">
        <v>3.3622690999999998</v>
      </c>
      <c r="BK1339" s="3">
        <v>3.3670844</v>
      </c>
      <c r="BL1339" s="3">
        <v>3.3722968999999998</v>
      </c>
      <c r="BM1339" s="3">
        <v>3.4109571999999999</v>
      </c>
      <c r="BN1339" s="3">
        <v>3.4597630000000001</v>
      </c>
    </row>
    <row r="1340" spans="1:66" x14ac:dyDescent="0.35">
      <c r="A1340" s="5">
        <f t="shared" si="20"/>
        <v>45330</v>
      </c>
      <c r="B1340" t="s">
        <v>2770</v>
      </c>
      <c r="C1340" s="2">
        <v>5.25</v>
      </c>
      <c r="D1340" s="2">
        <v>5.1879999999999997</v>
      </c>
      <c r="E1340" s="3">
        <v>5.1825599000000002</v>
      </c>
      <c r="F1340" s="3">
        <v>5.1710200999999998</v>
      </c>
      <c r="G1340" s="3">
        <v>5.1430100000000003</v>
      </c>
      <c r="H1340" s="3">
        <v>5.0892860999999998</v>
      </c>
      <c r="I1340" s="3">
        <v>5.0095948999999997</v>
      </c>
      <c r="J1340" s="3">
        <v>4.9130456000000002</v>
      </c>
      <c r="K1340" s="3">
        <v>4.8090488999999996</v>
      </c>
      <c r="L1340" s="3">
        <v>4.7030608000000003</v>
      </c>
      <c r="M1340" s="3">
        <v>4.5984802</v>
      </c>
      <c r="N1340" s="3">
        <v>4.4977678000000001</v>
      </c>
      <c r="O1340" s="3">
        <v>4.4033538999999999</v>
      </c>
      <c r="P1340" s="3">
        <v>4.3165857000000001</v>
      </c>
      <c r="Q1340" s="3">
        <v>4.2368703999999999</v>
      </c>
      <c r="R1340" s="3">
        <v>4.1636537999999996</v>
      </c>
      <c r="S1340" s="3">
        <v>4.0965590000000001</v>
      </c>
      <c r="T1340" s="3">
        <v>4.0352063999999999</v>
      </c>
      <c r="U1340" s="3">
        <v>3.9792168000000001</v>
      </c>
      <c r="V1340" s="3">
        <v>3.928213</v>
      </c>
      <c r="W1340" s="3">
        <v>3.8818122000000002</v>
      </c>
      <c r="X1340" s="3">
        <v>3.8396186000000001</v>
      </c>
      <c r="Y1340" s="3">
        <v>3.8012348</v>
      </c>
      <c r="Z1340" s="3">
        <v>3.7662616</v>
      </c>
      <c r="AA1340" s="3">
        <v>3.7343001999999998</v>
      </c>
      <c r="AB1340" s="3">
        <v>3.7049528999999999</v>
      </c>
      <c r="AC1340" s="3">
        <v>3.6778594999999998</v>
      </c>
      <c r="AD1340" s="3">
        <v>3.6528483</v>
      </c>
      <c r="AE1340" s="3">
        <v>3.6298059999999999</v>
      </c>
      <c r="AF1340" s="3">
        <v>3.6086181000000002</v>
      </c>
      <c r="AG1340" s="3">
        <v>3.5891704999999998</v>
      </c>
      <c r="AH1340" s="3">
        <v>3.5713496999999998</v>
      </c>
      <c r="AI1340" s="3">
        <v>3.5550413000000001</v>
      </c>
      <c r="AJ1340" s="3">
        <v>3.5401313000000001</v>
      </c>
      <c r="AK1340" s="3">
        <v>3.5265059999999999</v>
      </c>
      <c r="AL1340" s="3">
        <v>3.5140511999999999</v>
      </c>
      <c r="AM1340" s="3">
        <v>3.5026527999999999</v>
      </c>
      <c r="AN1340" s="3">
        <v>3.492197</v>
      </c>
      <c r="AO1340" s="3">
        <v>3.4825837000000002</v>
      </c>
      <c r="AP1340" s="3">
        <v>3.4737740000000001</v>
      </c>
      <c r="AQ1340" s="3">
        <v>3.4657464999999998</v>
      </c>
      <c r="AR1340" s="3">
        <v>3.4584795000000002</v>
      </c>
      <c r="AS1340" s="3">
        <v>3.4519510000000002</v>
      </c>
      <c r="AT1340" s="3">
        <v>3.4461396999999998</v>
      </c>
      <c r="AU1340" s="3">
        <v>3.4410237000000001</v>
      </c>
      <c r="AV1340" s="3">
        <v>3.4365812</v>
      </c>
      <c r="AW1340" s="3">
        <v>3.4327907</v>
      </c>
      <c r="AX1340" s="3">
        <v>3.4296305</v>
      </c>
      <c r="AY1340" s="3">
        <v>3.4270787999999999</v>
      </c>
      <c r="AZ1340" s="3">
        <v>3.4251138999999999</v>
      </c>
      <c r="BA1340" s="3">
        <v>3.4237150000000001</v>
      </c>
      <c r="BB1340" s="3">
        <v>3.4228638999999998</v>
      </c>
      <c r="BC1340" s="3">
        <v>3.4225436999999999</v>
      </c>
      <c r="BD1340" s="3">
        <v>3.4227373000000001</v>
      </c>
      <c r="BE1340" s="3">
        <v>3.4234276000000001</v>
      </c>
      <c r="BF1340" s="3">
        <v>3.4245975</v>
      </c>
      <c r="BG1340" s="3">
        <v>3.4262299999999999</v>
      </c>
      <c r="BH1340" s="3">
        <v>3.4283079999999999</v>
      </c>
      <c r="BI1340" s="3">
        <v>3.4308144</v>
      </c>
      <c r="BJ1340" s="3">
        <v>3.4337322000000001</v>
      </c>
      <c r="BK1340" s="3">
        <v>3.4370441999999999</v>
      </c>
      <c r="BL1340" s="3">
        <v>3.4407334000000001</v>
      </c>
      <c r="BM1340" s="3">
        <v>3.4700072999999998</v>
      </c>
      <c r="BN1340" s="3">
        <v>3.5096235</v>
      </c>
    </row>
    <row r="1341" spans="1:66" x14ac:dyDescent="0.35">
      <c r="A1341" s="5">
        <f t="shared" si="20"/>
        <v>45331</v>
      </c>
      <c r="B1341" t="s">
        <v>2771</v>
      </c>
      <c r="C1341" s="2">
        <v>5.25</v>
      </c>
      <c r="D1341" s="2">
        <v>5.1885000000000003</v>
      </c>
      <c r="E1341" s="3">
        <v>5.1829739999999997</v>
      </c>
      <c r="F1341" s="3">
        <v>5.1678312000000002</v>
      </c>
      <c r="G1341" s="3">
        <v>5.1350043999999997</v>
      </c>
      <c r="H1341" s="3">
        <v>5.0810604000000001</v>
      </c>
      <c r="I1341" s="3">
        <v>5.0096257</v>
      </c>
      <c r="J1341" s="3">
        <v>4.9257526</v>
      </c>
      <c r="K1341" s="3">
        <v>4.8347306999999997</v>
      </c>
      <c r="L1341" s="3">
        <v>4.7412763</v>
      </c>
      <c r="M1341" s="3">
        <v>4.6490660999999998</v>
      </c>
      <c r="N1341" s="3">
        <v>4.5607471000000004</v>
      </c>
      <c r="O1341" s="3">
        <v>4.4777113000000002</v>
      </c>
      <c r="P1341" s="3">
        <v>4.4001298000000002</v>
      </c>
      <c r="Q1341" s="3">
        <v>4.3261238000000004</v>
      </c>
      <c r="R1341" s="3">
        <v>4.2552664</v>
      </c>
      <c r="S1341" s="3">
        <v>4.1877652999999997</v>
      </c>
      <c r="T1341" s="3">
        <v>4.1238257000000003</v>
      </c>
      <c r="U1341" s="3">
        <v>4.0636532000000001</v>
      </c>
      <c r="V1341" s="3">
        <v>4.0074551999999999</v>
      </c>
      <c r="W1341" s="3">
        <v>3.9553791999999999</v>
      </c>
      <c r="X1341" s="3">
        <v>3.9073036000000001</v>
      </c>
      <c r="Y1341" s="3">
        <v>3.8630306999999999</v>
      </c>
      <c r="Z1341" s="3">
        <v>3.8223607999999998</v>
      </c>
      <c r="AA1341" s="3">
        <v>3.7850945999999999</v>
      </c>
      <c r="AB1341" s="3">
        <v>3.7510338999999999</v>
      </c>
      <c r="AC1341" s="3">
        <v>3.7199814999999998</v>
      </c>
      <c r="AD1341" s="3">
        <v>3.6917498000000002</v>
      </c>
      <c r="AE1341" s="3">
        <v>3.6661545000000002</v>
      </c>
      <c r="AF1341" s="3">
        <v>3.6430106000000002</v>
      </c>
      <c r="AG1341" s="3">
        <v>3.6221331999999999</v>
      </c>
      <c r="AH1341" s="3">
        <v>3.6033379999999999</v>
      </c>
      <c r="AI1341" s="3">
        <v>3.5864398999999998</v>
      </c>
      <c r="AJ1341" s="3">
        <v>3.5712540000000002</v>
      </c>
      <c r="AK1341" s="3">
        <v>3.5575960000000002</v>
      </c>
      <c r="AL1341" s="3">
        <v>3.5452808999999998</v>
      </c>
      <c r="AM1341" s="3">
        <v>3.5341238000000001</v>
      </c>
      <c r="AN1341" s="3">
        <v>3.5239403</v>
      </c>
      <c r="AO1341" s="3">
        <v>3.5145689999999998</v>
      </c>
      <c r="AP1341" s="3">
        <v>3.5059521999999999</v>
      </c>
      <c r="AQ1341" s="3">
        <v>3.4980614999999999</v>
      </c>
      <c r="AR1341" s="3">
        <v>3.4908679999999999</v>
      </c>
      <c r="AS1341" s="3">
        <v>3.4843427</v>
      </c>
      <c r="AT1341" s="3">
        <v>3.4784570000000001</v>
      </c>
      <c r="AU1341" s="3">
        <v>3.473182</v>
      </c>
      <c r="AV1341" s="3">
        <v>3.4684889000000001</v>
      </c>
      <c r="AW1341" s="3">
        <v>3.4643489999999999</v>
      </c>
      <c r="AX1341" s="3">
        <v>3.4607334000000001</v>
      </c>
      <c r="AY1341" s="3">
        <v>3.4576134000000001</v>
      </c>
      <c r="AZ1341" s="3">
        <v>3.4549601000000001</v>
      </c>
      <c r="BA1341" s="3">
        <v>3.4527481999999998</v>
      </c>
      <c r="BB1341" s="3">
        <v>3.4509672999999998</v>
      </c>
      <c r="BC1341" s="3">
        <v>3.4496112000000001</v>
      </c>
      <c r="BD1341" s="3">
        <v>3.4486739000000002</v>
      </c>
      <c r="BE1341" s="3">
        <v>3.4481492</v>
      </c>
      <c r="BF1341" s="3">
        <v>3.4480309</v>
      </c>
      <c r="BG1341" s="3">
        <v>3.4483128000000001</v>
      </c>
      <c r="BH1341" s="3">
        <v>3.4489888</v>
      </c>
      <c r="BI1341" s="3">
        <v>3.4500527000000001</v>
      </c>
      <c r="BJ1341" s="3">
        <v>3.4514984000000002</v>
      </c>
      <c r="BK1341" s="3">
        <v>3.4533197000000002</v>
      </c>
      <c r="BL1341" s="3">
        <v>3.4555104999999999</v>
      </c>
      <c r="BM1341" s="3">
        <v>3.4760114</v>
      </c>
      <c r="BN1341" s="3">
        <v>3.5079091999999998</v>
      </c>
    </row>
    <row r="1342" spans="1:66" x14ac:dyDescent="0.35">
      <c r="A1342" s="5">
        <f t="shared" si="20"/>
        <v>45334</v>
      </c>
      <c r="B1342" t="s">
        <v>2773</v>
      </c>
      <c r="C1342" s="2">
        <v>5.25</v>
      </c>
      <c r="D1342" s="2">
        <v>5.1882000000000001</v>
      </c>
      <c r="E1342" s="3">
        <v>5.1822813999999999</v>
      </c>
      <c r="F1342" s="3">
        <v>5.1596266999999996</v>
      </c>
      <c r="G1342" s="3">
        <v>5.1197986999999996</v>
      </c>
      <c r="H1342" s="3">
        <v>5.0581494999999999</v>
      </c>
      <c r="I1342" s="3">
        <v>4.9790009</v>
      </c>
      <c r="J1342" s="3">
        <v>4.8882089000000004</v>
      </c>
      <c r="K1342" s="3">
        <v>4.7921037999999996</v>
      </c>
      <c r="L1342" s="3">
        <v>4.6957531000000001</v>
      </c>
      <c r="M1342" s="3">
        <v>4.6026030000000002</v>
      </c>
      <c r="N1342" s="3">
        <v>4.5143342999999998</v>
      </c>
      <c r="O1342" s="3">
        <v>4.4317773999999996</v>
      </c>
      <c r="P1342" s="3">
        <v>4.3545467000000002</v>
      </c>
      <c r="Q1342" s="3">
        <v>4.2814094000000003</v>
      </c>
      <c r="R1342" s="3">
        <v>4.2121206000000004</v>
      </c>
      <c r="S1342" s="3">
        <v>4.1467814000000001</v>
      </c>
      <c r="T1342" s="3">
        <v>4.0854904999999997</v>
      </c>
      <c r="U1342" s="3">
        <v>4.0283467000000002</v>
      </c>
      <c r="V1342" s="3">
        <v>3.9754508999999998</v>
      </c>
      <c r="W1342" s="3">
        <v>3.9268328000000001</v>
      </c>
      <c r="X1342" s="3">
        <v>3.8822597000000001</v>
      </c>
      <c r="Y1342" s="3">
        <v>3.8414373999999998</v>
      </c>
      <c r="Z1342" s="3">
        <v>3.8040706000000002</v>
      </c>
      <c r="AA1342" s="3">
        <v>3.7698637000000002</v>
      </c>
      <c r="AB1342" s="3">
        <v>3.7385228000000001</v>
      </c>
      <c r="AC1342" s="3">
        <v>3.7097734999999998</v>
      </c>
      <c r="AD1342" s="3">
        <v>3.6834356000000001</v>
      </c>
      <c r="AE1342" s="3">
        <v>3.6593553999999999</v>
      </c>
      <c r="AF1342" s="3">
        <v>3.6373783</v>
      </c>
      <c r="AG1342" s="3">
        <v>3.6173500000000001</v>
      </c>
      <c r="AH1342" s="3">
        <v>3.5991167000000002</v>
      </c>
      <c r="AI1342" s="3">
        <v>3.5825238000000001</v>
      </c>
      <c r="AJ1342" s="3">
        <v>3.5674171000000001</v>
      </c>
      <c r="AK1342" s="3">
        <v>3.5536425999999999</v>
      </c>
      <c r="AL1342" s="3">
        <v>3.5410458999999999</v>
      </c>
      <c r="AM1342" s="3">
        <v>3.5294728000000002</v>
      </c>
      <c r="AN1342" s="3">
        <v>3.5187691000000001</v>
      </c>
      <c r="AO1342" s="3">
        <v>3.5088021</v>
      </c>
      <c r="AP1342" s="3">
        <v>3.4995337000000002</v>
      </c>
      <c r="AQ1342" s="3">
        <v>3.4909522000000002</v>
      </c>
      <c r="AR1342" s="3">
        <v>3.4830458000000002</v>
      </c>
      <c r="AS1342" s="3">
        <v>3.4758024999999999</v>
      </c>
      <c r="AT1342" s="3">
        <v>3.4692107999999999</v>
      </c>
      <c r="AU1342" s="3">
        <v>3.4632586000000001</v>
      </c>
      <c r="AV1342" s="3">
        <v>3.4579342</v>
      </c>
      <c r="AW1342" s="3">
        <v>3.4532259000000001</v>
      </c>
      <c r="AX1342" s="3">
        <v>3.4491217000000001</v>
      </c>
      <c r="AY1342" s="3">
        <v>3.4456099</v>
      </c>
      <c r="AZ1342" s="3">
        <v>3.4426787000000001</v>
      </c>
      <c r="BA1342" s="3">
        <v>3.4403163000000001</v>
      </c>
      <c r="BB1342" s="3">
        <v>3.4385118000000001</v>
      </c>
      <c r="BC1342" s="3">
        <v>3.4372544999999999</v>
      </c>
      <c r="BD1342" s="3">
        <v>3.4365334999999999</v>
      </c>
      <c r="BE1342" s="3">
        <v>3.4363381</v>
      </c>
      <c r="BF1342" s="3">
        <v>3.4366576000000002</v>
      </c>
      <c r="BG1342" s="3">
        <v>3.4374812000000001</v>
      </c>
      <c r="BH1342" s="3">
        <v>3.4387981000000001</v>
      </c>
      <c r="BI1342" s="3">
        <v>3.4405975</v>
      </c>
      <c r="BJ1342" s="3">
        <v>3.4428687999999998</v>
      </c>
      <c r="BK1342" s="3">
        <v>3.4456011000000002</v>
      </c>
      <c r="BL1342" s="3">
        <v>3.4487836999999999</v>
      </c>
      <c r="BM1342" s="3">
        <v>3.4765153999999998</v>
      </c>
      <c r="BN1342" s="3">
        <v>3.5164127000000001</v>
      </c>
    </row>
    <row r="1343" spans="1:66" x14ac:dyDescent="0.35">
      <c r="A1343" s="5">
        <f t="shared" si="20"/>
        <v>45335</v>
      </c>
      <c r="B1343" t="s">
        <v>2774</v>
      </c>
      <c r="C1343" s="2">
        <v>5.25</v>
      </c>
      <c r="D1343" s="2">
        <v>5.1887999999999996</v>
      </c>
      <c r="E1343" s="3">
        <v>5.1881858999999997</v>
      </c>
      <c r="F1343" s="3">
        <v>5.1836932999999998</v>
      </c>
      <c r="G1343" s="3">
        <v>5.1655557999999999</v>
      </c>
      <c r="H1343" s="3">
        <v>5.1288004000000003</v>
      </c>
      <c r="I1343" s="3">
        <v>5.0743339000000001</v>
      </c>
      <c r="J1343" s="3">
        <v>5.0060332000000001</v>
      </c>
      <c r="K1343" s="3">
        <v>4.9286785000000002</v>
      </c>
      <c r="L1343" s="3">
        <v>4.8473027999999996</v>
      </c>
      <c r="M1343" s="3">
        <v>4.7657832000000004</v>
      </c>
      <c r="N1343" s="3">
        <v>4.6866225000000004</v>
      </c>
      <c r="O1343" s="3">
        <v>4.6112273999999998</v>
      </c>
      <c r="P1343" s="3">
        <v>4.5397856000000001</v>
      </c>
      <c r="Q1343" s="3">
        <v>4.4711454000000002</v>
      </c>
      <c r="R1343" s="3">
        <v>4.4051049000000004</v>
      </c>
      <c r="S1343" s="3">
        <v>4.3418329</v>
      </c>
      <c r="T1343" s="3">
        <v>4.2814959999999997</v>
      </c>
      <c r="U1343" s="3">
        <v>4.2242607999999997</v>
      </c>
      <c r="V1343" s="3">
        <v>4.1702959999999996</v>
      </c>
      <c r="W1343" s="3">
        <v>4.1197084999999998</v>
      </c>
      <c r="X1343" s="3">
        <v>4.0723782000000002</v>
      </c>
      <c r="Y1343" s="3">
        <v>4.0281327999999998</v>
      </c>
      <c r="Z1343" s="3">
        <v>3.9867979999999998</v>
      </c>
      <c r="AA1343" s="3">
        <v>3.9481999999999999</v>
      </c>
      <c r="AB1343" s="3">
        <v>3.912166</v>
      </c>
      <c r="AC1343" s="3">
        <v>3.8785314</v>
      </c>
      <c r="AD1343" s="3">
        <v>3.8471725999999999</v>
      </c>
      <c r="AE1343" s="3">
        <v>3.8179786999999998</v>
      </c>
      <c r="AF1343" s="3">
        <v>3.7908376000000001</v>
      </c>
      <c r="AG1343" s="3">
        <v>3.7656371000000002</v>
      </c>
      <c r="AH1343" s="3">
        <v>3.7422662</v>
      </c>
      <c r="AI1343" s="3">
        <v>3.7206128000000001</v>
      </c>
      <c r="AJ1343" s="3">
        <v>3.7005648999999998</v>
      </c>
      <c r="AK1343" s="3">
        <v>3.6820111999999998</v>
      </c>
      <c r="AL1343" s="3">
        <v>3.6648396999999999</v>
      </c>
      <c r="AM1343" s="3">
        <v>3.6489384999999999</v>
      </c>
      <c r="AN1343" s="3">
        <v>3.6341961999999999</v>
      </c>
      <c r="AO1343" s="3">
        <v>3.6205107999999999</v>
      </c>
      <c r="AP1343" s="3">
        <v>3.6078328000000002</v>
      </c>
      <c r="AQ1343" s="3">
        <v>3.5961314</v>
      </c>
      <c r="AR1343" s="3">
        <v>3.5853749000000001</v>
      </c>
      <c r="AS1343" s="3">
        <v>3.5755319999999999</v>
      </c>
      <c r="AT1343" s="3">
        <v>3.5665713999999999</v>
      </c>
      <c r="AU1343" s="3">
        <v>3.5584617000000001</v>
      </c>
      <c r="AV1343" s="3">
        <v>3.5511715000000001</v>
      </c>
      <c r="AW1343" s="3">
        <v>3.5446696000000002</v>
      </c>
      <c r="AX1343" s="3">
        <v>3.5389244999999998</v>
      </c>
      <c r="AY1343" s="3">
        <v>3.5339049</v>
      </c>
      <c r="AZ1343" s="3">
        <v>3.5295793999999998</v>
      </c>
      <c r="BA1343" s="3">
        <v>3.5259184000000001</v>
      </c>
      <c r="BB1343" s="3">
        <v>3.5228996000000001</v>
      </c>
      <c r="BC1343" s="3">
        <v>3.5205036000000001</v>
      </c>
      <c r="BD1343" s="3">
        <v>3.5187107000000002</v>
      </c>
      <c r="BE1343" s="3">
        <v>3.5175011</v>
      </c>
      <c r="BF1343" s="3">
        <v>3.5168553</v>
      </c>
      <c r="BG1343" s="3">
        <v>3.5167535999999999</v>
      </c>
      <c r="BH1343" s="3">
        <v>3.5171763999999999</v>
      </c>
      <c r="BI1343" s="3">
        <v>3.5181040000000001</v>
      </c>
      <c r="BJ1343" s="3">
        <v>3.5195167999999999</v>
      </c>
      <c r="BK1343" s="3">
        <v>3.5213950000000001</v>
      </c>
      <c r="BL1343" s="3">
        <v>3.5237191999999999</v>
      </c>
      <c r="BM1343" s="3">
        <v>3.5461056000000002</v>
      </c>
      <c r="BN1343" s="3">
        <v>3.5806898</v>
      </c>
    </row>
    <row r="1344" spans="1:66" x14ac:dyDescent="0.35">
      <c r="A1344" s="5">
        <f t="shared" si="20"/>
        <v>45336</v>
      </c>
      <c r="B1344" t="s">
        <v>2775</v>
      </c>
      <c r="C1344" s="2">
        <v>5.25</v>
      </c>
      <c r="D1344" s="2">
        <v>5.1887999999999996</v>
      </c>
      <c r="E1344" s="3">
        <v>5.1880091999999998</v>
      </c>
      <c r="F1344" s="3">
        <v>5.1727223000000002</v>
      </c>
      <c r="G1344" s="3">
        <v>5.1387647000000003</v>
      </c>
      <c r="H1344" s="3">
        <v>5.0808974999999998</v>
      </c>
      <c r="I1344" s="3">
        <v>5.0034232999999997</v>
      </c>
      <c r="J1344" s="3">
        <v>4.9132822999999997</v>
      </c>
      <c r="K1344" s="3">
        <v>4.8171087000000004</v>
      </c>
      <c r="L1344" s="3">
        <v>4.7201411000000002</v>
      </c>
      <c r="M1344" s="3">
        <v>4.6258691000000001</v>
      </c>
      <c r="N1344" s="3">
        <v>4.5361149000000003</v>
      </c>
      <c r="O1344" s="3">
        <v>4.4515704999999999</v>
      </c>
      <c r="P1344" s="3">
        <v>4.3721217000000001</v>
      </c>
      <c r="Q1344" s="3">
        <v>4.2962258000000002</v>
      </c>
      <c r="R1344" s="3">
        <v>4.2235702000000002</v>
      </c>
      <c r="S1344" s="3">
        <v>4.1543115999999998</v>
      </c>
      <c r="T1344" s="3">
        <v>4.0886037000000002</v>
      </c>
      <c r="U1344" s="3">
        <v>4.0266007000000004</v>
      </c>
      <c r="V1344" s="3">
        <v>3.9684588000000001</v>
      </c>
      <c r="W1344" s="3">
        <v>3.9142782</v>
      </c>
      <c r="X1344" s="3">
        <v>3.8639540999999999</v>
      </c>
      <c r="Y1344" s="3">
        <v>3.8173347</v>
      </c>
      <c r="Z1344" s="3">
        <v>3.7742665</v>
      </c>
      <c r="AA1344" s="3">
        <v>3.7345959</v>
      </c>
      <c r="AB1344" s="3">
        <v>3.6981709999999999</v>
      </c>
      <c r="AC1344" s="3">
        <v>3.6648353999999999</v>
      </c>
      <c r="AD1344" s="3">
        <v>3.6344178</v>
      </c>
      <c r="AE1344" s="3">
        <v>3.6067429</v>
      </c>
      <c r="AF1344" s="3">
        <v>3.5816341999999999</v>
      </c>
      <c r="AG1344" s="3">
        <v>3.5589154000000001</v>
      </c>
      <c r="AH1344" s="3">
        <v>3.5384107999999999</v>
      </c>
      <c r="AI1344" s="3">
        <v>3.5199443000000001</v>
      </c>
      <c r="AJ1344" s="3">
        <v>3.5033394000000002</v>
      </c>
      <c r="AK1344" s="3">
        <v>3.4884206</v>
      </c>
      <c r="AL1344" s="3">
        <v>3.4750114999999999</v>
      </c>
      <c r="AM1344" s="3">
        <v>3.4629357999999999</v>
      </c>
      <c r="AN1344" s="3">
        <v>3.4520179999999998</v>
      </c>
      <c r="AO1344" s="3">
        <v>3.4421010999999999</v>
      </c>
      <c r="AP1344" s="3">
        <v>3.4331236000000001</v>
      </c>
      <c r="AQ1344" s="3">
        <v>3.4250531999999998</v>
      </c>
      <c r="AR1344" s="3">
        <v>3.4178573000000001</v>
      </c>
      <c r="AS1344" s="3">
        <v>3.4115031</v>
      </c>
      <c r="AT1344" s="3">
        <v>3.4059583</v>
      </c>
      <c r="AU1344" s="3">
        <v>3.4011903000000001</v>
      </c>
      <c r="AV1344" s="3">
        <v>3.3971665</v>
      </c>
      <c r="AW1344" s="3">
        <v>3.3938545000000002</v>
      </c>
      <c r="AX1344" s="3">
        <v>3.3912214999999999</v>
      </c>
      <c r="AY1344" s="3">
        <v>3.3892351999999999</v>
      </c>
      <c r="AZ1344" s="3">
        <v>3.3878629</v>
      </c>
      <c r="BA1344" s="3">
        <v>3.3870746</v>
      </c>
      <c r="BB1344" s="3">
        <v>3.3868512000000002</v>
      </c>
      <c r="BC1344" s="3">
        <v>3.3871766000000001</v>
      </c>
      <c r="BD1344" s="3">
        <v>3.3880347</v>
      </c>
      <c r="BE1344" s="3">
        <v>3.3894093999999999</v>
      </c>
      <c r="BF1344" s="3">
        <v>3.3912846000000001</v>
      </c>
      <c r="BG1344" s="3">
        <v>3.3936443000000001</v>
      </c>
      <c r="BH1344" s="3">
        <v>3.3964723000000001</v>
      </c>
      <c r="BI1344" s="3">
        <v>3.3997525999999998</v>
      </c>
      <c r="BJ1344" s="3">
        <v>3.4034691000000001</v>
      </c>
      <c r="BK1344" s="3">
        <v>3.4076057</v>
      </c>
      <c r="BL1344" s="3">
        <v>3.4121462999999999</v>
      </c>
      <c r="BM1344" s="3">
        <v>3.4469229000000001</v>
      </c>
      <c r="BN1344" s="3">
        <v>3.4918809999999998</v>
      </c>
    </row>
    <row r="1345" spans="1:66" x14ac:dyDescent="0.35">
      <c r="A1345" s="5">
        <f t="shared" si="20"/>
        <v>45337</v>
      </c>
      <c r="B1345" t="s">
        <v>2776</v>
      </c>
      <c r="C1345" s="2">
        <v>5.25</v>
      </c>
      <c r="D1345" s="2">
        <v>5.1885000000000003</v>
      </c>
      <c r="E1345" s="3">
        <v>5.1880239000000001</v>
      </c>
      <c r="F1345" s="3">
        <v>5.1752238999999998</v>
      </c>
      <c r="G1345" s="3">
        <v>5.1408756000000002</v>
      </c>
      <c r="H1345" s="3">
        <v>5.0804251999999996</v>
      </c>
      <c r="I1345" s="3">
        <v>4.9988979000000002</v>
      </c>
      <c r="J1345" s="3">
        <v>4.9046984</v>
      </c>
      <c r="K1345" s="3">
        <v>4.8050229</v>
      </c>
      <c r="L1345" s="3">
        <v>4.7051970000000001</v>
      </c>
      <c r="M1345" s="3">
        <v>4.6086052000000004</v>
      </c>
      <c r="N1345" s="3">
        <v>4.5169708999999996</v>
      </c>
      <c r="O1345" s="3">
        <v>4.4310836</v>
      </c>
      <c r="P1345" s="3">
        <v>4.3508426</v>
      </c>
      <c r="Q1345" s="3">
        <v>4.2746959999999996</v>
      </c>
      <c r="R1345" s="3">
        <v>4.2023130000000002</v>
      </c>
      <c r="S1345" s="3">
        <v>4.1339208000000003</v>
      </c>
      <c r="T1345" s="3">
        <v>4.069744</v>
      </c>
      <c r="U1345" s="3">
        <v>4.0100078000000003</v>
      </c>
      <c r="V1345" s="3">
        <v>3.9549392999999999</v>
      </c>
      <c r="W1345" s="3">
        <v>3.9046501999999998</v>
      </c>
      <c r="X1345" s="3">
        <v>3.8588209</v>
      </c>
      <c r="Y1345" s="3">
        <v>3.8170307000000001</v>
      </c>
      <c r="Z1345" s="3">
        <v>3.7788571000000002</v>
      </c>
      <c r="AA1345" s="3">
        <v>3.7438779000000002</v>
      </c>
      <c r="AB1345" s="3">
        <v>3.7116723</v>
      </c>
      <c r="AC1345" s="3">
        <v>3.6818599000000001</v>
      </c>
      <c r="AD1345" s="3">
        <v>3.6542648</v>
      </c>
      <c r="AE1345" s="3">
        <v>3.6287745999999999</v>
      </c>
      <c r="AF1345" s="3">
        <v>3.6052756000000001</v>
      </c>
      <c r="AG1345" s="3">
        <v>3.5836543999999999</v>
      </c>
      <c r="AH1345" s="3">
        <v>3.5637981000000001</v>
      </c>
      <c r="AI1345" s="3">
        <v>3.5455933000000002</v>
      </c>
      <c r="AJ1345" s="3">
        <v>3.5289264999999999</v>
      </c>
      <c r="AK1345" s="3">
        <v>3.5136848999999999</v>
      </c>
      <c r="AL1345" s="3">
        <v>3.4997550999999998</v>
      </c>
      <c r="AM1345" s="3">
        <v>3.4870236000000001</v>
      </c>
      <c r="AN1345" s="3">
        <v>3.4753775</v>
      </c>
      <c r="AO1345" s="3">
        <v>3.4647168000000002</v>
      </c>
      <c r="AP1345" s="3">
        <v>3.4550011</v>
      </c>
      <c r="AQ1345" s="3">
        <v>3.4462065000000002</v>
      </c>
      <c r="AR1345" s="3">
        <v>3.4383088000000002</v>
      </c>
      <c r="AS1345" s="3">
        <v>3.4312839999999998</v>
      </c>
      <c r="AT1345" s="3">
        <v>3.4251081999999999</v>
      </c>
      <c r="AU1345" s="3">
        <v>3.4197573999999999</v>
      </c>
      <c r="AV1345" s="3">
        <v>3.4152073000000001</v>
      </c>
      <c r="AW1345" s="3">
        <v>3.4114341000000001</v>
      </c>
      <c r="AX1345" s="3">
        <v>3.4084137000000001</v>
      </c>
      <c r="AY1345" s="3">
        <v>3.4061221000000002</v>
      </c>
      <c r="AZ1345" s="3">
        <v>3.4045353</v>
      </c>
      <c r="BA1345" s="3">
        <v>3.4036284999999999</v>
      </c>
      <c r="BB1345" s="3">
        <v>3.4033745</v>
      </c>
      <c r="BC1345" s="3">
        <v>3.4037449999999998</v>
      </c>
      <c r="BD1345" s="3">
        <v>3.4047119000000001</v>
      </c>
      <c r="BE1345" s="3">
        <v>3.406247</v>
      </c>
      <c r="BF1345" s="3">
        <v>3.4083222000000002</v>
      </c>
      <c r="BG1345" s="3">
        <v>3.4109091999999999</v>
      </c>
      <c r="BH1345" s="3">
        <v>3.41398</v>
      </c>
      <c r="BI1345" s="3">
        <v>3.4175064000000002</v>
      </c>
      <c r="BJ1345" s="3">
        <v>3.4214601999999998</v>
      </c>
      <c r="BK1345" s="3">
        <v>3.4258133000000002</v>
      </c>
      <c r="BL1345" s="3">
        <v>3.4305374</v>
      </c>
      <c r="BM1345" s="3">
        <v>3.4656180000000001</v>
      </c>
      <c r="BN1345" s="3">
        <v>3.5101486999999998</v>
      </c>
    </row>
    <row r="1346" spans="1:66" x14ac:dyDescent="0.35">
      <c r="A1346" s="5">
        <f t="shared" si="20"/>
        <v>45338</v>
      </c>
      <c r="B1346" t="s">
        <v>2777</v>
      </c>
      <c r="C1346" s="2">
        <v>5.25</v>
      </c>
      <c r="D1346" s="2">
        <v>5.1881000000000004</v>
      </c>
      <c r="E1346" s="3">
        <v>5.1871783000000002</v>
      </c>
      <c r="F1346" s="3">
        <v>5.1761794999999999</v>
      </c>
      <c r="G1346" s="3">
        <v>5.1498881000000001</v>
      </c>
      <c r="H1346" s="3">
        <v>5.1035442</v>
      </c>
      <c r="I1346" s="3">
        <v>5.0396502999999999</v>
      </c>
      <c r="J1346" s="3">
        <v>4.9637761999999999</v>
      </c>
      <c r="K1346" s="3">
        <v>4.8818611000000001</v>
      </c>
      <c r="L1346" s="3">
        <v>4.7988825000000004</v>
      </c>
      <c r="M1346" s="3">
        <v>4.7181438</v>
      </c>
      <c r="N1346" s="3">
        <v>4.6413389</v>
      </c>
      <c r="O1346" s="3">
        <v>4.5687810000000004</v>
      </c>
      <c r="P1346" s="3">
        <v>4.4997816999999998</v>
      </c>
      <c r="Q1346" s="3">
        <v>4.4320706999999997</v>
      </c>
      <c r="R1346" s="3">
        <v>4.3653385</v>
      </c>
      <c r="S1346" s="3">
        <v>4.3000376999999999</v>
      </c>
      <c r="T1346" s="3">
        <v>4.2366187000000002</v>
      </c>
      <c r="U1346" s="3">
        <v>4.1755319999999996</v>
      </c>
      <c r="V1346" s="3">
        <v>4.1172301999999998</v>
      </c>
      <c r="W1346" s="3">
        <v>4.0620944000000003</v>
      </c>
      <c r="X1346" s="3">
        <v>4.0101830999999999</v>
      </c>
      <c r="Y1346" s="3">
        <v>3.9614636000000001</v>
      </c>
      <c r="Z1346" s="3">
        <v>3.9159011000000001</v>
      </c>
      <c r="AA1346" s="3">
        <v>3.8734608000000001</v>
      </c>
      <c r="AB1346" s="3">
        <v>3.8341097999999998</v>
      </c>
      <c r="AC1346" s="3">
        <v>3.7977946</v>
      </c>
      <c r="AD1346" s="3">
        <v>3.7643795999999998</v>
      </c>
      <c r="AE1346" s="3">
        <v>3.7337075999999998</v>
      </c>
      <c r="AF1346" s="3">
        <v>3.7056200000000001</v>
      </c>
      <c r="AG1346" s="3">
        <v>3.6799585000000001</v>
      </c>
      <c r="AH1346" s="3">
        <v>3.6565656999999998</v>
      </c>
      <c r="AI1346" s="3">
        <v>3.6352831999999999</v>
      </c>
      <c r="AJ1346" s="3">
        <v>3.6159528000000001</v>
      </c>
      <c r="AK1346" s="3">
        <v>3.5984167999999999</v>
      </c>
      <c r="AL1346" s="3">
        <v>3.5825170000000002</v>
      </c>
      <c r="AM1346" s="3">
        <v>3.5680952000000001</v>
      </c>
      <c r="AN1346" s="3">
        <v>3.5549935000000001</v>
      </c>
      <c r="AO1346" s="3">
        <v>3.5430706999999999</v>
      </c>
      <c r="AP1346" s="3">
        <v>3.5322594999999999</v>
      </c>
      <c r="AQ1346" s="3">
        <v>3.5225135000000001</v>
      </c>
      <c r="AR1346" s="3">
        <v>3.5137860000000001</v>
      </c>
      <c r="AS1346" s="3">
        <v>3.5060302999999999</v>
      </c>
      <c r="AT1346" s="3">
        <v>3.4991998</v>
      </c>
      <c r="AU1346" s="3">
        <v>3.4932479999999999</v>
      </c>
      <c r="AV1346" s="3">
        <v>3.4881281</v>
      </c>
      <c r="AW1346" s="3">
        <v>3.4837935999999998</v>
      </c>
      <c r="AX1346" s="3">
        <v>3.4801978</v>
      </c>
      <c r="AY1346" s="3">
        <v>3.4772940000000001</v>
      </c>
      <c r="AZ1346" s="3">
        <v>3.4750358000000001</v>
      </c>
      <c r="BA1346" s="3">
        <v>3.4733805000000002</v>
      </c>
      <c r="BB1346" s="3">
        <v>3.4723033000000001</v>
      </c>
      <c r="BC1346" s="3">
        <v>3.4717844000000002</v>
      </c>
      <c r="BD1346" s="3">
        <v>3.4718038999999998</v>
      </c>
      <c r="BE1346" s="3">
        <v>3.4723419999999998</v>
      </c>
      <c r="BF1346" s="3">
        <v>3.4733789000000002</v>
      </c>
      <c r="BG1346" s="3">
        <v>3.4748947000000001</v>
      </c>
      <c r="BH1346" s="3">
        <v>3.4768696000000001</v>
      </c>
      <c r="BI1346" s="3">
        <v>3.4792836999999999</v>
      </c>
      <c r="BJ1346" s="3">
        <v>3.4821171999999998</v>
      </c>
      <c r="BK1346" s="3">
        <v>3.4853502999999999</v>
      </c>
      <c r="BL1346" s="3">
        <v>3.4889630999999999</v>
      </c>
      <c r="BM1346" s="3">
        <v>3.5178159</v>
      </c>
      <c r="BN1346" s="3">
        <v>3.5572596000000001</v>
      </c>
    </row>
    <row r="1347" spans="1:66" x14ac:dyDescent="0.35">
      <c r="A1347" s="5">
        <f t="shared" si="20"/>
        <v>45341</v>
      </c>
      <c r="B1347" t="s">
        <v>2779</v>
      </c>
      <c r="C1347" s="2">
        <v>5.25</v>
      </c>
      <c r="D1347" s="2">
        <v>5.1874000000000002</v>
      </c>
      <c r="E1347" s="3">
        <v>5.1890112000000004</v>
      </c>
      <c r="F1347" s="3">
        <v>5.1762766999999998</v>
      </c>
      <c r="G1347" s="3">
        <v>5.1459086999999997</v>
      </c>
      <c r="H1347" s="3">
        <v>5.0929804000000001</v>
      </c>
      <c r="I1347" s="3">
        <v>5.0215443999999998</v>
      </c>
      <c r="J1347" s="3">
        <v>4.9380993000000002</v>
      </c>
      <c r="K1347" s="3">
        <v>4.8491670999999998</v>
      </c>
      <c r="L1347" s="3">
        <v>4.7598298999999997</v>
      </c>
      <c r="M1347" s="3">
        <v>4.6736561999999999</v>
      </c>
      <c r="N1347" s="3">
        <v>4.5922339000000001</v>
      </c>
      <c r="O1347" s="3">
        <v>4.5161626999999998</v>
      </c>
      <c r="P1347" s="3">
        <v>4.4448220999999997</v>
      </c>
      <c r="Q1347" s="3">
        <v>4.3759788000000004</v>
      </c>
      <c r="R1347" s="3">
        <v>4.3093101999999996</v>
      </c>
      <c r="S1347" s="3">
        <v>4.2451825999999997</v>
      </c>
      <c r="T1347" s="3">
        <v>4.1839599999999999</v>
      </c>
      <c r="U1347" s="3">
        <v>4.1260063999999996</v>
      </c>
      <c r="V1347" s="3">
        <v>4.0716878999999997</v>
      </c>
      <c r="W1347" s="3">
        <v>4.0212678999999998</v>
      </c>
      <c r="X1347" s="3">
        <v>3.9746269000000001</v>
      </c>
      <c r="Y1347" s="3">
        <v>3.9315559000000002</v>
      </c>
      <c r="Z1347" s="3">
        <v>3.8918441000000001</v>
      </c>
      <c r="AA1347" s="3">
        <v>3.8552810000000002</v>
      </c>
      <c r="AB1347" s="3">
        <v>3.8216572000000002</v>
      </c>
      <c r="AC1347" s="3">
        <v>3.7907668999999999</v>
      </c>
      <c r="AD1347" s="3">
        <v>3.7624254000000001</v>
      </c>
      <c r="AE1347" s="3">
        <v>3.7364546999999999</v>
      </c>
      <c r="AF1347" s="3">
        <v>3.7126758</v>
      </c>
      <c r="AG1347" s="3">
        <v>3.6909098999999999</v>
      </c>
      <c r="AH1347" s="3">
        <v>3.6709789000000002</v>
      </c>
      <c r="AI1347" s="3">
        <v>3.6527037</v>
      </c>
      <c r="AJ1347" s="3">
        <v>3.6359056999999999</v>
      </c>
      <c r="AK1347" s="3">
        <v>3.6204065999999999</v>
      </c>
      <c r="AL1347" s="3">
        <v>3.6060275000000002</v>
      </c>
      <c r="AM1347" s="3">
        <v>3.5925896000000002</v>
      </c>
      <c r="AN1347" s="3">
        <v>3.5799148000000001</v>
      </c>
      <c r="AO1347" s="3">
        <v>3.5678532999999999</v>
      </c>
      <c r="AP1347" s="3">
        <v>3.5563850000000001</v>
      </c>
      <c r="AQ1347" s="3">
        <v>3.5455256999999998</v>
      </c>
      <c r="AR1347" s="3">
        <v>3.5352907</v>
      </c>
      <c r="AS1347" s="3">
        <v>3.5256954</v>
      </c>
      <c r="AT1347" s="3">
        <v>3.5167557</v>
      </c>
      <c r="AU1347" s="3">
        <v>3.5084868999999999</v>
      </c>
      <c r="AV1347" s="3">
        <v>3.5009044</v>
      </c>
      <c r="AW1347" s="3">
        <v>3.4940239000000002</v>
      </c>
      <c r="AX1347" s="3">
        <v>3.4878610000000001</v>
      </c>
      <c r="AY1347" s="3">
        <v>3.4824309000000002</v>
      </c>
      <c r="AZ1347" s="3">
        <v>3.4777494999999998</v>
      </c>
      <c r="BA1347" s="3">
        <v>3.4738283999999999</v>
      </c>
      <c r="BB1347" s="3">
        <v>3.4706602000000002</v>
      </c>
      <c r="BC1347" s="3">
        <v>3.4682308000000002</v>
      </c>
      <c r="BD1347" s="3">
        <v>3.466526</v>
      </c>
      <c r="BE1347" s="3">
        <v>3.4655315999999998</v>
      </c>
      <c r="BF1347" s="3">
        <v>3.4652337000000002</v>
      </c>
      <c r="BG1347" s="3">
        <v>3.4656180999999999</v>
      </c>
      <c r="BH1347" s="3">
        <v>3.4666706</v>
      </c>
      <c r="BI1347" s="3">
        <v>3.4683771999999999</v>
      </c>
      <c r="BJ1347" s="3">
        <v>3.4707237000000002</v>
      </c>
      <c r="BK1347" s="3">
        <v>3.4736959999999999</v>
      </c>
      <c r="BL1347" s="3">
        <v>3.4772801000000002</v>
      </c>
      <c r="BM1347" s="3">
        <v>3.5102652999999999</v>
      </c>
      <c r="BN1347" s="3">
        <v>3.5581922000000001</v>
      </c>
    </row>
    <row r="1348" spans="1:66" x14ac:dyDescent="0.35">
      <c r="A1348" s="5">
        <f t="shared" si="20"/>
        <v>45342</v>
      </c>
      <c r="B1348" t="s">
        <v>2780</v>
      </c>
      <c r="C1348" s="2">
        <v>5.25</v>
      </c>
      <c r="D1348" s="2">
        <v>5.1879</v>
      </c>
      <c r="E1348" s="3">
        <v>5.1904661000000001</v>
      </c>
      <c r="F1348" s="3">
        <v>5.1734203000000001</v>
      </c>
      <c r="G1348" s="3">
        <v>5.1345172999999997</v>
      </c>
      <c r="H1348" s="3">
        <v>5.0689332</v>
      </c>
      <c r="I1348" s="3">
        <v>4.9828574000000003</v>
      </c>
      <c r="J1348" s="3">
        <v>4.8854096</v>
      </c>
      <c r="K1348" s="3">
        <v>4.7836004000000001</v>
      </c>
      <c r="L1348" s="3">
        <v>4.6823801999999999</v>
      </c>
      <c r="M1348" s="3">
        <v>4.5852035000000004</v>
      </c>
      <c r="N1348" s="3">
        <v>4.4939603000000004</v>
      </c>
      <c r="O1348" s="3">
        <v>4.4098813999999997</v>
      </c>
      <c r="P1348" s="3">
        <v>4.3330006000000001</v>
      </c>
      <c r="Q1348" s="3">
        <v>4.2624190000000004</v>
      </c>
      <c r="R1348" s="3">
        <v>4.1974498000000002</v>
      </c>
      <c r="S1348" s="3">
        <v>4.1375242999999999</v>
      </c>
      <c r="T1348" s="3">
        <v>4.0820711999999997</v>
      </c>
      <c r="U1348" s="3">
        <v>4.0305195999999999</v>
      </c>
      <c r="V1348" s="3">
        <v>3.9823002999999999</v>
      </c>
      <c r="W1348" s="3">
        <v>3.9369282000000001</v>
      </c>
      <c r="X1348" s="3">
        <v>3.8942462</v>
      </c>
      <c r="Y1348" s="3">
        <v>3.8541766000000002</v>
      </c>
      <c r="Z1348" s="3">
        <v>3.8166402000000001</v>
      </c>
      <c r="AA1348" s="3">
        <v>3.7815577</v>
      </c>
      <c r="AB1348" s="3">
        <v>3.7488513000000001</v>
      </c>
      <c r="AC1348" s="3">
        <v>3.7184376000000001</v>
      </c>
      <c r="AD1348" s="3">
        <v>3.6902154</v>
      </c>
      <c r="AE1348" s="3">
        <v>3.6640790999999999</v>
      </c>
      <c r="AF1348" s="3">
        <v>3.6399224000000001</v>
      </c>
      <c r="AG1348" s="3">
        <v>3.6176387999999999</v>
      </c>
      <c r="AH1348" s="3">
        <v>3.5971229</v>
      </c>
      <c r="AI1348" s="3">
        <v>3.5782682000000001</v>
      </c>
      <c r="AJ1348" s="3">
        <v>3.5609684000000001</v>
      </c>
      <c r="AK1348" s="3">
        <v>3.545118</v>
      </c>
      <c r="AL1348" s="3">
        <v>3.5306104999999999</v>
      </c>
      <c r="AM1348" s="3">
        <v>3.5173397</v>
      </c>
      <c r="AN1348" s="3">
        <v>3.5051998000000002</v>
      </c>
      <c r="AO1348" s="3">
        <v>3.4940928000000002</v>
      </c>
      <c r="AP1348" s="3">
        <v>3.4839639999999998</v>
      </c>
      <c r="AQ1348" s="3">
        <v>3.4747742000000001</v>
      </c>
      <c r="AR1348" s="3">
        <v>3.4664834</v>
      </c>
      <c r="AS1348" s="3">
        <v>3.4590519</v>
      </c>
      <c r="AT1348" s="3">
        <v>3.4524401999999998</v>
      </c>
      <c r="AU1348" s="3">
        <v>3.4466084000000001</v>
      </c>
      <c r="AV1348" s="3">
        <v>3.4415170000000002</v>
      </c>
      <c r="AW1348" s="3">
        <v>3.4371261</v>
      </c>
      <c r="AX1348" s="3">
        <v>3.4333961999999998</v>
      </c>
      <c r="AY1348" s="3">
        <v>3.4302876000000002</v>
      </c>
      <c r="AZ1348" s="3">
        <v>3.4277603999999999</v>
      </c>
      <c r="BA1348" s="3">
        <v>3.4257791000000002</v>
      </c>
      <c r="BB1348" s="3">
        <v>3.4243266000000001</v>
      </c>
      <c r="BC1348" s="3">
        <v>3.4233920000000002</v>
      </c>
      <c r="BD1348" s="3">
        <v>3.4229642999999998</v>
      </c>
      <c r="BE1348" s="3">
        <v>3.4230323</v>
      </c>
      <c r="BF1348" s="3">
        <v>3.4235850000000001</v>
      </c>
      <c r="BG1348" s="3">
        <v>3.4246113999999999</v>
      </c>
      <c r="BH1348" s="3">
        <v>3.4261004000000002</v>
      </c>
      <c r="BI1348" s="3">
        <v>3.4280409000000001</v>
      </c>
      <c r="BJ1348" s="3">
        <v>3.4304220000000001</v>
      </c>
      <c r="BK1348" s="3">
        <v>3.4332326000000002</v>
      </c>
      <c r="BL1348" s="3">
        <v>3.4364615000000001</v>
      </c>
      <c r="BM1348" s="3">
        <v>3.4638930000000001</v>
      </c>
      <c r="BN1348" s="3">
        <v>3.5029268</v>
      </c>
    </row>
    <row r="1349" spans="1:66" x14ac:dyDescent="0.35">
      <c r="A1349" s="5">
        <f t="shared" si="20"/>
        <v>45343</v>
      </c>
      <c r="B1349" t="s">
        <v>2781</v>
      </c>
      <c r="C1349" s="2">
        <v>5.25</v>
      </c>
      <c r="D1349" s="2">
        <v>5.1879999999999997</v>
      </c>
      <c r="E1349" s="3">
        <v>5.1893862999999998</v>
      </c>
      <c r="F1349" s="3">
        <v>5.1790538000000002</v>
      </c>
      <c r="G1349" s="3">
        <v>5.1491264000000001</v>
      </c>
      <c r="H1349" s="3">
        <v>5.0950556000000002</v>
      </c>
      <c r="I1349" s="3">
        <v>5.0215465000000004</v>
      </c>
      <c r="J1349" s="3">
        <v>4.9363590999999998</v>
      </c>
      <c r="K1349" s="3">
        <v>4.8463551999999996</v>
      </c>
      <c r="L1349" s="3">
        <v>4.7565473000000003</v>
      </c>
      <c r="M1349" s="3">
        <v>4.6704720000000002</v>
      </c>
      <c r="N1349" s="3">
        <v>4.5900761000000001</v>
      </c>
      <c r="O1349" s="3">
        <v>4.5160635999999998</v>
      </c>
      <c r="P1349" s="3">
        <v>4.4481289000000004</v>
      </c>
      <c r="Q1349" s="3">
        <v>4.3838151999999999</v>
      </c>
      <c r="R1349" s="3">
        <v>4.3223985999999996</v>
      </c>
      <c r="S1349" s="3">
        <v>4.263827</v>
      </c>
      <c r="T1349" s="3">
        <v>4.2080466000000003</v>
      </c>
      <c r="U1349" s="3">
        <v>4.1550034</v>
      </c>
      <c r="V1349" s="3">
        <v>4.1046452000000002</v>
      </c>
      <c r="W1349" s="3">
        <v>4.0569211999999997</v>
      </c>
      <c r="X1349" s="3">
        <v>4.0117909000000003</v>
      </c>
      <c r="Y1349" s="3">
        <v>3.9692186</v>
      </c>
      <c r="Z1349" s="3">
        <v>3.9291665999999998</v>
      </c>
      <c r="AA1349" s="3">
        <v>3.8915975</v>
      </c>
      <c r="AB1349" s="3">
        <v>3.8564750000000001</v>
      </c>
      <c r="AC1349" s="3">
        <v>3.8237516999999999</v>
      </c>
      <c r="AD1349" s="3">
        <v>3.7933268999999998</v>
      </c>
      <c r="AE1349" s="3">
        <v>3.7650826999999998</v>
      </c>
      <c r="AF1349" s="3">
        <v>3.7389003999999999</v>
      </c>
      <c r="AG1349" s="3">
        <v>3.7146612000000001</v>
      </c>
      <c r="AH1349" s="3">
        <v>3.6922473</v>
      </c>
      <c r="AI1349" s="3">
        <v>3.6715399</v>
      </c>
      <c r="AJ1349" s="3">
        <v>3.6524204</v>
      </c>
      <c r="AK1349" s="3">
        <v>3.6347706999999998</v>
      </c>
      <c r="AL1349" s="3">
        <v>3.6184721999999998</v>
      </c>
      <c r="AM1349" s="3">
        <v>3.6034063000000001</v>
      </c>
      <c r="AN1349" s="3">
        <v>3.5894548999999998</v>
      </c>
      <c r="AO1349" s="3">
        <v>3.576511</v>
      </c>
      <c r="AP1349" s="3">
        <v>3.5645251</v>
      </c>
      <c r="AQ1349" s="3">
        <v>3.5534655000000002</v>
      </c>
      <c r="AR1349" s="3">
        <v>3.5432998000000002</v>
      </c>
      <c r="AS1349" s="3">
        <v>3.5339958999999999</v>
      </c>
      <c r="AT1349" s="3">
        <v>3.5255220999999999</v>
      </c>
      <c r="AU1349" s="3">
        <v>3.517846</v>
      </c>
      <c r="AV1349" s="3">
        <v>3.5109357000000001</v>
      </c>
      <c r="AW1349" s="3">
        <v>3.5047590999999998</v>
      </c>
      <c r="AX1349" s="3">
        <v>3.4992842999999998</v>
      </c>
      <c r="AY1349" s="3">
        <v>3.4944788999999998</v>
      </c>
      <c r="AZ1349" s="3">
        <v>3.4903111999999998</v>
      </c>
      <c r="BA1349" s="3">
        <v>3.4867512999999999</v>
      </c>
      <c r="BB1349" s="3">
        <v>3.4837802</v>
      </c>
      <c r="BC1349" s="3">
        <v>3.4813816000000002</v>
      </c>
      <c r="BD1349" s="3">
        <v>3.4795394000000002</v>
      </c>
      <c r="BE1349" s="3">
        <v>3.4782372000000001</v>
      </c>
      <c r="BF1349" s="3">
        <v>3.4774588999999998</v>
      </c>
      <c r="BG1349" s="3">
        <v>3.4771882999999999</v>
      </c>
      <c r="BH1349" s="3">
        <v>3.4774091999999999</v>
      </c>
      <c r="BI1349" s="3">
        <v>3.4781053000000002</v>
      </c>
      <c r="BJ1349" s="3">
        <v>3.4792603999999998</v>
      </c>
      <c r="BK1349" s="3">
        <v>3.4808583</v>
      </c>
      <c r="BL1349" s="3">
        <v>3.4828828000000001</v>
      </c>
      <c r="BM1349" s="3">
        <v>3.5031588999999999</v>
      </c>
      <c r="BN1349" s="3">
        <v>3.5351891000000002</v>
      </c>
    </row>
    <row r="1350" spans="1:66" x14ac:dyDescent="0.35">
      <c r="A1350" s="5">
        <f t="shared" si="20"/>
        <v>45344</v>
      </c>
      <c r="B1350" t="s">
        <v>2782</v>
      </c>
      <c r="C1350" s="2">
        <v>5.25</v>
      </c>
      <c r="D1350" s="2">
        <v>5.1887999999999996</v>
      </c>
      <c r="E1350" s="3">
        <v>5.1891552000000001</v>
      </c>
      <c r="F1350" s="3">
        <v>5.1765321999999996</v>
      </c>
      <c r="G1350" s="3">
        <v>5.1477062</v>
      </c>
      <c r="H1350" s="3">
        <v>5.0976077000000002</v>
      </c>
      <c r="I1350" s="3">
        <v>5.0292186000000001</v>
      </c>
      <c r="J1350" s="3">
        <v>4.9496558000000004</v>
      </c>
      <c r="K1350" s="3">
        <v>4.8653567999999998</v>
      </c>
      <c r="L1350" s="3">
        <v>4.7810617000000004</v>
      </c>
      <c r="M1350" s="3">
        <v>4.6999734000000002</v>
      </c>
      <c r="N1350" s="3">
        <v>4.6236658000000004</v>
      </c>
      <c r="O1350" s="3">
        <v>4.5526536999999996</v>
      </c>
      <c r="P1350" s="3">
        <v>4.4865227000000001</v>
      </c>
      <c r="Q1350" s="3">
        <v>4.4233712000000001</v>
      </c>
      <c r="R1350" s="3">
        <v>4.3627045999999998</v>
      </c>
      <c r="S1350" s="3">
        <v>4.3046543000000002</v>
      </c>
      <c r="T1350" s="3">
        <v>4.2493502000000003</v>
      </c>
      <c r="U1350" s="3">
        <v>4.1969221000000001</v>
      </c>
      <c r="V1350" s="3">
        <v>4.1475017999999997</v>
      </c>
      <c r="W1350" s="3">
        <v>4.1011636999999999</v>
      </c>
      <c r="X1350" s="3">
        <v>4.0577708000000001</v>
      </c>
      <c r="Y1350" s="3">
        <v>4.0171371999999996</v>
      </c>
      <c r="Z1350" s="3">
        <v>3.9790757000000001</v>
      </c>
      <c r="AA1350" s="3">
        <v>3.9433989</v>
      </c>
      <c r="AB1350" s="3">
        <v>3.9099208000000001</v>
      </c>
      <c r="AC1350" s="3">
        <v>3.8784670999999999</v>
      </c>
      <c r="AD1350" s="3">
        <v>3.8489257000000001</v>
      </c>
      <c r="AE1350" s="3">
        <v>3.8212047999999998</v>
      </c>
      <c r="AF1350" s="3">
        <v>3.7952113999999999</v>
      </c>
      <c r="AG1350" s="3">
        <v>3.7708526999999998</v>
      </c>
      <c r="AH1350" s="3">
        <v>3.7480367000000001</v>
      </c>
      <c r="AI1350" s="3">
        <v>3.7266704000000002</v>
      </c>
      <c r="AJ1350" s="3">
        <v>3.7066612000000001</v>
      </c>
      <c r="AK1350" s="3">
        <v>3.6879168</v>
      </c>
      <c r="AL1350" s="3">
        <v>3.6703443999999998</v>
      </c>
      <c r="AM1350" s="3">
        <v>3.6538514000000002</v>
      </c>
      <c r="AN1350" s="3">
        <v>3.6383454</v>
      </c>
      <c r="AO1350" s="3">
        <v>3.6237450999999998</v>
      </c>
      <c r="AP1350" s="3">
        <v>3.6100192999999998</v>
      </c>
      <c r="AQ1350" s="3">
        <v>3.5971511999999999</v>
      </c>
      <c r="AR1350" s="3">
        <v>3.5851236000000002</v>
      </c>
      <c r="AS1350" s="3">
        <v>3.5739190000000001</v>
      </c>
      <c r="AT1350" s="3">
        <v>3.5635207000000002</v>
      </c>
      <c r="AU1350" s="3">
        <v>3.5539114000000001</v>
      </c>
      <c r="AV1350" s="3">
        <v>3.5450738999999998</v>
      </c>
      <c r="AW1350" s="3">
        <v>3.5369910999999998</v>
      </c>
      <c r="AX1350" s="3">
        <v>3.5296458999999998</v>
      </c>
      <c r="AY1350" s="3">
        <v>3.5230210999999998</v>
      </c>
      <c r="AZ1350" s="3">
        <v>3.5170995999999999</v>
      </c>
      <c r="BA1350" s="3">
        <v>3.5118638999999998</v>
      </c>
      <c r="BB1350" s="3">
        <v>3.5072949000000002</v>
      </c>
      <c r="BC1350" s="3">
        <v>3.5033731000000001</v>
      </c>
      <c r="BD1350" s="3">
        <v>3.5000789999999999</v>
      </c>
      <c r="BE1350" s="3">
        <v>3.4973931999999999</v>
      </c>
      <c r="BF1350" s="3">
        <v>3.4952961</v>
      </c>
      <c r="BG1350" s="3">
        <v>3.4937681999999999</v>
      </c>
      <c r="BH1350" s="3">
        <v>3.4927899999999998</v>
      </c>
      <c r="BI1350" s="3">
        <v>3.4923421000000001</v>
      </c>
      <c r="BJ1350" s="3">
        <v>3.4924048999999999</v>
      </c>
      <c r="BK1350" s="3">
        <v>3.4929589000000001</v>
      </c>
      <c r="BL1350" s="3">
        <v>3.4939846000000001</v>
      </c>
      <c r="BM1350" s="3">
        <v>3.5091106999999999</v>
      </c>
      <c r="BN1350" s="3">
        <v>3.5372710999999999</v>
      </c>
    </row>
    <row r="1351" spans="1:66" x14ac:dyDescent="0.35">
      <c r="A1351" s="5">
        <f t="shared" si="20"/>
        <v>45345</v>
      </c>
      <c r="B1351" t="s">
        <v>2783</v>
      </c>
      <c r="C1351" s="2">
        <v>5.25</v>
      </c>
      <c r="D1351" s="2">
        <v>5.1881000000000004</v>
      </c>
      <c r="E1351" s="3">
        <v>5.1911202000000003</v>
      </c>
      <c r="F1351" s="3">
        <v>5.1764121000000003</v>
      </c>
      <c r="G1351" s="3">
        <v>5.1412718999999996</v>
      </c>
      <c r="H1351" s="3">
        <v>5.0810101000000003</v>
      </c>
      <c r="I1351" s="3">
        <v>5.0013110999999997</v>
      </c>
      <c r="J1351" s="3">
        <v>4.9112236999999999</v>
      </c>
      <c r="K1351" s="3">
        <v>4.8183414999999998</v>
      </c>
      <c r="L1351" s="3">
        <v>4.7277338000000002</v>
      </c>
      <c r="M1351" s="3">
        <v>4.6423572999999996</v>
      </c>
      <c r="N1351" s="3">
        <v>4.56351</v>
      </c>
      <c r="O1351" s="3">
        <v>4.4910712000000004</v>
      </c>
      <c r="P1351" s="3">
        <v>4.4239810999999998</v>
      </c>
      <c r="Q1351" s="3">
        <v>4.3593095000000002</v>
      </c>
      <c r="R1351" s="3">
        <v>4.2964254999999998</v>
      </c>
      <c r="S1351" s="3">
        <v>4.2355970000000003</v>
      </c>
      <c r="T1351" s="3">
        <v>4.1770899000000004</v>
      </c>
      <c r="U1351" s="3">
        <v>4.1211701999999999</v>
      </c>
      <c r="V1351" s="3">
        <v>4.0681057000000003</v>
      </c>
      <c r="W1351" s="3">
        <v>4.0181193999999998</v>
      </c>
      <c r="X1351" s="3">
        <v>3.9712136</v>
      </c>
      <c r="Y1351" s="3">
        <v>3.9273218000000001</v>
      </c>
      <c r="Z1351" s="3">
        <v>3.8863758000000002</v>
      </c>
      <c r="AA1351" s="3">
        <v>3.8483073999999999</v>
      </c>
      <c r="AB1351" s="3">
        <v>3.8130500999999999</v>
      </c>
      <c r="AC1351" s="3">
        <v>3.7805213000000002</v>
      </c>
      <c r="AD1351" s="3">
        <v>3.7505763000000001</v>
      </c>
      <c r="AE1351" s="3">
        <v>3.7230538000000002</v>
      </c>
      <c r="AF1351" s="3">
        <v>3.6977913999999998</v>
      </c>
      <c r="AG1351" s="3">
        <v>3.6746270999999999</v>
      </c>
      <c r="AH1351" s="3">
        <v>3.6533994999999999</v>
      </c>
      <c r="AI1351" s="3">
        <v>3.6339462999999999</v>
      </c>
      <c r="AJ1351" s="3">
        <v>3.6161055000000002</v>
      </c>
      <c r="AK1351" s="3">
        <v>3.5997154999999998</v>
      </c>
      <c r="AL1351" s="3">
        <v>3.5846141999999999</v>
      </c>
      <c r="AM1351" s="3">
        <v>3.5706395999999998</v>
      </c>
      <c r="AN1351" s="3">
        <v>3.5576300999999999</v>
      </c>
      <c r="AO1351" s="3">
        <v>3.5454441999999999</v>
      </c>
      <c r="AP1351" s="3">
        <v>3.5340322999999998</v>
      </c>
      <c r="AQ1351" s="3">
        <v>3.5233701000000002</v>
      </c>
      <c r="AR1351" s="3">
        <v>3.5134332000000001</v>
      </c>
      <c r="AS1351" s="3">
        <v>3.5041970999999998</v>
      </c>
      <c r="AT1351" s="3">
        <v>3.4956374000000001</v>
      </c>
      <c r="AU1351" s="3">
        <v>3.4877297999999999</v>
      </c>
      <c r="AV1351" s="3">
        <v>3.4804498000000001</v>
      </c>
      <c r="AW1351" s="3">
        <v>3.473773</v>
      </c>
      <c r="AX1351" s="3">
        <v>3.4676749999999998</v>
      </c>
      <c r="AY1351" s="3">
        <v>3.4621314000000001</v>
      </c>
      <c r="AZ1351" s="3">
        <v>3.4571179000000001</v>
      </c>
      <c r="BA1351" s="3">
        <v>3.4526123000000002</v>
      </c>
      <c r="BB1351" s="3">
        <v>3.4486036000000002</v>
      </c>
      <c r="BC1351" s="3">
        <v>3.4450834000000001</v>
      </c>
      <c r="BD1351" s="3">
        <v>3.4420435</v>
      </c>
      <c r="BE1351" s="3">
        <v>3.4394756000000002</v>
      </c>
      <c r="BF1351" s="3">
        <v>3.4373714999999998</v>
      </c>
      <c r="BG1351" s="3">
        <v>3.4357228000000002</v>
      </c>
      <c r="BH1351" s="3">
        <v>3.4345213999999999</v>
      </c>
      <c r="BI1351" s="3">
        <v>3.4337589999999998</v>
      </c>
      <c r="BJ1351" s="3">
        <v>3.4334273</v>
      </c>
      <c r="BK1351" s="3">
        <v>3.4335179999999998</v>
      </c>
      <c r="BL1351" s="3">
        <v>3.4340229</v>
      </c>
      <c r="BM1351" s="3">
        <v>3.4452443000000001</v>
      </c>
      <c r="BN1351" s="3">
        <v>3.4690291000000002</v>
      </c>
    </row>
    <row r="1352" spans="1:66" x14ac:dyDescent="0.35">
      <c r="A1352" s="5">
        <f t="shared" si="20"/>
        <v>45348</v>
      </c>
      <c r="B1352" t="s">
        <v>2784</v>
      </c>
      <c r="C1352" s="2">
        <v>5.25</v>
      </c>
      <c r="D1352" s="2">
        <v>5.1881000000000004</v>
      </c>
      <c r="E1352" s="3">
        <v>5.1910660999999996</v>
      </c>
      <c r="F1352" s="3">
        <v>5.1780061999999996</v>
      </c>
      <c r="G1352" s="3">
        <v>5.1471799000000003</v>
      </c>
      <c r="H1352" s="3">
        <v>5.0928807000000003</v>
      </c>
      <c r="I1352" s="3">
        <v>5.0198612999999996</v>
      </c>
      <c r="J1352" s="3">
        <v>4.9355760999999996</v>
      </c>
      <c r="K1352" s="3">
        <v>4.8469300000000004</v>
      </c>
      <c r="L1352" s="3">
        <v>4.7585839999999999</v>
      </c>
      <c r="M1352" s="3">
        <v>4.6740263999999998</v>
      </c>
      <c r="N1352" s="3">
        <v>4.5950673999999996</v>
      </c>
      <c r="O1352" s="3">
        <v>4.5224766000000001</v>
      </c>
      <c r="P1352" s="3">
        <v>4.4559274000000002</v>
      </c>
      <c r="Q1352" s="3">
        <v>4.3936109999999999</v>
      </c>
      <c r="R1352" s="3">
        <v>4.3348966999999998</v>
      </c>
      <c r="S1352" s="3">
        <v>4.2796154</v>
      </c>
      <c r="T1352" s="3">
        <v>4.2275958999999999</v>
      </c>
      <c r="U1352" s="3">
        <v>4.1786672999999999</v>
      </c>
      <c r="V1352" s="3">
        <v>4.1326602000000001</v>
      </c>
      <c r="W1352" s="3">
        <v>4.0894066000000002</v>
      </c>
      <c r="X1352" s="3">
        <v>4.0487497000000001</v>
      </c>
      <c r="Y1352" s="3">
        <v>4.0105367999999997</v>
      </c>
      <c r="Z1352" s="3">
        <v>3.9746138000000002</v>
      </c>
      <c r="AA1352" s="3">
        <v>3.9408267000000001</v>
      </c>
      <c r="AB1352" s="3">
        <v>3.9090227999999998</v>
      </c>
      <c r="AC1352" s="3">
        <v>3.8790575</v>
      </c>
      <c r="AD1352" s="3">
        <v>3.8508292000000002</v>
      </c>
      <c r="AE1352" s="3">
        <v>3.8242490999999998</v>
      </c>
      <c r="AF1352" s="3">
        <v>3.7992271999999998</v>
      </c>
      <c r="AG1352" s="3">
        <v>3.7756734999999999</v>
      </c>
      <c r="AH1352" s="3">
        <v>3.7534991999999998</v>
      </c>
      <c r="AI1352" s="3">
        <v>3.7326144000000001</v>
      </c>
      <c r="AJ1352" s="3">
        <v>3.7129291000000002</v>
      </c>
      <c r="AK1352" s="3">
        <v>3.6943543999999999</v>
      </c>
      <c r="AL1352" s="3">
        <v>3.6768003</v>
      </c>
      <c r="AM1352" s="3">
        <v>3.6601770999999999</v>
      </c>
      <c r="AN1352" s="3">
        <v>3.6443957</v>
      </c>
      <c r="AO1352" s="3">
        <v>3.6293788999999999</v>
      </c>
      <c r="AP1352" s="3">
        <v>3.6151059999999999</v>
      </c>
      <c r="AQ1352" s="3">
        <v>3.6015720999999998</v>
      </c>
      <c r="AR1352" s="3">
        <v>3.5887718999999998</v>
      </c>
      <c r="AS1352" s="3">
        <v>3.5767001999999999</v>
      </c>
      <c r="AT1352" s="3">
        <v>3.5653519999999999</v>
      </c>
      <c r="AU1352" s="3">
        <v>3.5547221000000002</v>
      </c>
      <c r="AV1352" s="3">
        <v>3.5448051999999999</v>
      </c>
      <c r="AW1352" s="3">
        <v>3.5355965</v>
      </c>
      <c r="AX1352" s="3">
        <v>3.5270904999999999</v>
      </c>
      <c r="AY1352" s="3">
        <v>3.5192822000000001</v>
      </c>
      <c r="AZ1352" s="3">
        <v>3.5121666</v>
      </c>
      <c r="BA1352" s="3">
        <v>3.5057377999999999</v>
      </c>
      <c r="BB1352" s="3">
        <v>3.499987</v>
      </c>
      <c r="BC1352" s="3">
        <v>3.4949045000000001</v>
      </c>
      <c r="BD1352" s="3">
        <v>3.4904804</v>
      </c>
      <c r="BE1352" s="3">
        <v>3.4867048</v>
      </c>
      <c r="BF1352" s="3">
        <v>3.4835680999999998</v>
      </c>
      <c r="BG1352" s="3">
        <v>3.4810603000000002</v>
      </c>
      <c r="BH1352" s="3">
        <v>3.4791717000000002</v>
      </c>
      <c r="BI1352" s="3">
        <v>3.4778924</v>
      </c>
      <c r="BJ1352" s="3">
        <v>3.4772126999999999</v>
      </c>
      <c r="BK1352" s="3">
        <v>3.4771226</v>
      </c>
      <c r="BL1352" s="3">
        <v>3.4776123000000001</v>
      </c>
      <c r="BM1352" s="3">
        <v>3.4918338000000002</v>
      </c>
      <c r="BN1352" s="3">
        <v>3.5223420000000001</v>
      </c>
    </row>
    <row r="1353" spans="1:66" x14ac:dyDescent="0.35">
      <c r="A1353" s="5">
        <f t="shared" si="20"/>
        <v>45349</v>
      </c>
      <c r="B1353" t="s">
        <v>2785</v>
      </c>
      <c r="C1353" s="2">
        <v>5.25</v>
      </c>
      <c r="D1353" s="2">
        <v>5.1877000000000004</v>
      </c>
      <c r="E1353" s="3">
        <v>5.189527</v>
      </c>
      <c r="F1353" s="3">
        <v>5.1770050000000003</v>
      </c>
      <c r="G1353" s="3">
        <v>5.1478282000000002</v>
      </c>
      <c r="H1353" s="3">
        <v>5.0966386999999997</v>
      </c>
      <c r="I1353" s="3">
        <v>5.0272147</v>
      </c>
      <c r="J1353" s="3">
        <v>4.9471455999999998</v>
      </c>
      <c r="K1353" s="3">
        <v>4.8634161000000002</v>
      </c>
      <c r="L1353" s="3">
        <v>4.7809406000000001</v>
      </c>
      <c r="M1353" s="3">
        <v>4.7029245</v>
      </c>
      <c r="N1353" s="3">
        <v>4.6307200000000002</v>
      </c>
      <c r="O1353" s="3">
        <v>4.5646388</v>
      </c>
      <c r="P1353" s="3">
        <v>4.5037868999999997</v>
      </c>
      <c r="Q1353" s="3">
        <v>4.4457196999999997</v>
      </c>
      <c r="R1353" s="3">
        <v>4.3898200999999997</v>
      </c>
      <c r="S1353" s="3">
        <v>4.3361156000000003</v>
      </c>
      <c r="T1353" s="3">
        <v>4.2846317000000003</v>
      </c>
      <c r="U1353" s="3">
        <v>4.2353942</v>
      </c>
      <c r="V1353" s="3">
        <v>4.1884304999999999</v>
      </c>
      <c r="W1353" s="3">
        <v>4.1437514999999996</v>
      </c>
      <c r="X1353" s="3">
        <v>4.1013114000000002</v>
      </c>
      <c r="Y1353" s="3">
        <v>4.0610524999999997</v>
      </c>
      <c r="Z1353" s="3">
        <v>4.0229157999999998</v>
      </c>
      <c r="AA1353" s="3">
        <v>3.9868420000000002</v>
      </c>
      <c r="AB1353" s="3">
        <v>3.9527733999999999</v>
      </c>
      <c r="AC1353" s="3">
        <v>3.9206468999999999</v>
      </c>
      <c r="AD1353" s="3">
        <v>3.8903821000000001</v>
      </c>
      <c r="AE1353" s="3">
        <v>3.8618947000000001</v>
      </c>
      <c r="AF1353" s="3">
        <v>3.8350993999999998</v>
      </c>
      <c r="AG1353" s="3">
        <v>3.8099109000000002</v>
      </c>
      <c r="AH1353" s="3">
        <v>3.7862450999999999</v>
      </c>
      <c r="AI1353" s="3">
        <v>3.7640164999999999</v>
      </c>
      <c r="AJ1353" s="3">
        <v>3.7431401000000002</v>
      </c>
      <c r="AK1353" s="3">
        <v>3.7235314000000002</v>
      </c>
      <c r="AL1353" s="3">
        <v>3.7051050999999999</v>
      </c>
      <c r="AM1353" s="3">
        <v>3.6877762999999999</v>
      </c>
      <c r="AN1353" s="3">
        <v>3.6714601999999998</v>
      </c>
      <c r="AO1353" s="3">
        <v>3.6560796999999998</v>
      </c>
      <c r="AP1353" s="3">
        <v>3.6415994999999999</v>
      </c>
      <c r="AQ1353" s="3">
        <v>3.6279989000000001</v>
      </c>
      <c r="AR1353" s="3">
        <v>3.6152568</v>
      </c>
      <c r="AS1353" s="3">
        <v>3.6033520999999999</v>
      </c>
      <c r="AT1353" s="3">
        <v>3.5922641999999998</v>
      </c>
      <c r="AU1353" s="3">
        <v>3.5819719999999999</v>
      </c>
      <c r="AV1353" s="3">
        <v>3.5724543999999998</v>
      </c>
      <c r="AW1353" s="3">
        <v>3.5636906000000002</v>
      </c>
      <c r="AX1353" s="3">
        <v>3.5556597000000001</v>
      </c>
      <c r="AY1353" s="3">
        <v>3.5483405000000001</v>
      </c>
      <c r="AZ1353" s="3">
        <v>3.5417122999999999</v>
      </c>
      <c r="BA1353" s="3">
        <v>3.535755</v>
      </c>
      <c r="BB1353" s="3">
        <v>3.5304524000000002</v>
      </c>
      <c r="BC1353" s="3">
        <v>3.5257900000000002</v>
      </c>
      <c r="BD1353" s="3">
        <v>3.5217531000000002</v>
      </c>
      <c r="BE1353" s="3">
        <v>3.5183268999999999</v>
      </c>
      <c r="BF1353" s="3">
        <v>3.5154968000000002</v>
      </c>
      <c r="BG1353" s="3">
        <v>3.5132481000000002</v>
      </c>
      <c r="BH1353" s="3">
        <v>3.5115661</v>
      </c>
      <c r="BI1353" s="3">
        <v>3.5104362</v>
      </c>
      <c r="BJ1353" s="3">
        <v>3.5098435000000001</v>
      </c>
      <c r="BK1353" s="3">
        <v>3.5097733999999998</v>
      </c>
      <c r="BL1353" s="3">
        <v>3.5102112999999999</v>
      </c>
      <c r="BM1353" s="3">
        <v>3.5226476</v>
      </c>
      <c r="BN1353" s="3">
        <v>3.5494533000000001</v>
      </c>
    </row>
    <row r="1354" spans="1:66" x14ac:dyDescent="0.35">
      <c r="A1354" s="5">
        <f t="shared" si="20"/>
        <v>45350</v>
      </c>
      <c r="B1354" t="s">
        <v>2786</v>
      </c>
      <c r="C1354" s="2">
        <v>5.25</v>
      </c>
      <c r="D1354" s="2">
        <v>5.1882000000000001</v>
      </c>
      <c r="E1354" s="3">
        <v>5.1898312999999998</v>
      </c>
      <c r="F1354" s="3">
        <v>5.1719606999999996</v>
      </c>
      <c r="G1354" s="3">
        <v>5.1399046000000004</v>
      </c>
      <c r="H1354" s="3">
        <v>5.0877128000000003</v>
      </c>
      <c r="I1354" s="3">
        <v>5.0183267000000003</v>
      </c>
      <c r="J1354" s="3">
        <v>4.9387217999999997</v>
      </c>
      <c r="K1354" s="3">
        <v>4.8558754000000004</v>
      </c>
      <c r="L1354" s="3">
        <v>4.7747156999999998</v>
      </c>
      <c r="M1354" s="3">
        <v>4.6984639000000001</v>
      </c>
      <c r="N1354" s="3">
        <v>4.6284853999999997</v>
      </c>
      <c r="O1354" s="3">
        <v>4.5646721000000001</v>
      </c>
      <c r="P1354" s="3">
        <v>4.5059494000000004</v>
      </c>
      <c r="Q1354" s="3">
        <v>4.4493314000000002</v>
      </c>
      <c r="R1354" s="3">
        <v>4.3940818999999998</v>
      </c>
      <c r="S1354" s="3">
        <v>4.3402716999999997</v>
      </c>
      <c r="T1354" s="3">
        <v>4.2879696000000003</v>
      </c>
      <c r="U1354" s="3">
        <v>4.2372443999999998</v>
      </c>
      <c r="V1354" s="3">
        <v>4.1881668000000003</v>
      </c>
      <c r="W1354" s="3">
        <v>4.1408133999999999</v>
      </c>
      <c r="X1354" s="3">
        <v>4.0952913999999998</v>
      </c>
      <c r="Y1354" s="3">
        <v>4.0517165999999998</v>
      </c>
      <c r="Z1354" s="3">
        <v>4.0102029999999997</v>
      </c>
      <c r="AA1354" s="3">
        <v>3.9708649999999999</v>
      </c>
      <c r="AB1354" s="3">
        <v>3.9338182000000002</v>
      </c>
      <c r="AC1354" s="3">
        <v>3.8991484999999999</v>
      </c>
      <c r="AD1354" s="3">
        <v>3.8667886</v>
      </c>
      <c r="AE1354" s="3">
        <v>3.8366213999999998</v>
      </c>
      <c r="AF1354" s="3">
        <v>3.8085284000000001</v>
      </c>
      <c r="AG1354" s="3">
        <v>3.7823910999999999</v>
      </c>
      <c r="AH1354" s="3">
        <v>3.758092</v>
      </c>
      <c r="AI1354" s="3">
        <v>3.7355128</v>
      </c>
      <c r="AJ1354" s="3">
        <v>3.7145350000000001</v>
      </c>
      <c r="AK1354" s="3">
        <v>3.6950411999999999</v>
      </c>
      <c r="AL1354" s="3">
        <v>3.6769129</v>
      </c>
      <c r="AM1354" s="3">
        <v>3.6600318000000001</v>
      </c>
      <c r="AN1354" s="3">
        <v>3.6442803000000001</v>
      </c>
      <c r="AO1354" s="3">
        <v>3.6295514999999998</v>
      </c>
      <c r="AP1354" s="3">
        <v>3.6157940000000002</v>
      </c>
      <c r="AQ1354" s="3">
        <v>3.6029738</v>
      </c>
      <c r="AR1354" s="3">
        <v>3.5910567000000002</v>
      </c>
      <c r="AS1354" s="3">
        <v>3.5800082</v>
      </c>
      <c r="AT1354" s="3">
        <v>3.5697942999999999</v>
      </c>
      <c r="AU1354" s="3">
        <v>3.5603807000000001</v>
      </c>
      <c r="AV1354" s="3">
        <v>3.551733</v>
      </c>
      <c r="AW1354" s="3">
        <v>3.5438171000000001</v>
      </c>
      <c r="AX1354" s="3">
        <v>3.5365986999999999</v>
      </c>
      <c r="AY1354" s="3">
        <v>3.5300435000000001</v>
      </c>
      <c r="AZ1354" s="3">
        <v>3.5241174000000002</v>
      </c>
      <c r="BA1354" s="3">
        <v>3.5187889999999999</v>
      </c>
      <c r="BB1354" s="3">
        <v>3.5140414</v>
      </c>
      <c r="BC1354" s="3">
        <v>3.5098622000000002</v>
      </c>
      <c r="BD1354" s="3">
        <v>3.5062388000000002</v>
      </c>
      <c r="BE1354" s="3">
        <v>3.5031588</v>
      </c>
      <c r="BF1354" s="3">
        <v>3.5006096000000002</v>
      </c>
      <c r="BG1354" s="3">
        <v>3.4985788000000002</v>
      </c>
      <c r="BH1354" s="3">
        <v>3.4970538000000002</v>
      </c>
      <c r="BI1354" s="3">
        <v>3.4960222000000001</v>
      </c>
      <c r="BJ1354" s="3">
        <v>3.4954714999999998</v>
      </c>
      <c r="BK1354" s="3">
        <v>3.4953891000000001</v>
      </c>
      <c r="BL1354" s="3">
        <v>3.4957625999999999</v>
      </c>
      <c r="BM1354" s="3">
        <v>3.5068241000000002</v>
      </c>
      <c r="BN1354" s="3">
        <v>3.5308212999999999</v>
      </c>
    </row>
    <row r="1355" spans="1:66" x14ac:dyDescent="0.35">
      <c r="A1355" s="5">
        <f t="shared" si="20"/>
        <v>45351</v>
      </c>
      <c r="B1355" t="s">
        <v>2787</v>
      </c>
      <c r="C1355" s="2">
        <v>5.25</v>
      </c>
      <c r="D1355" s="2">
        <v>5.1885000000000003</v>
      </c>
      <c r="E1355" s="3">
        <v>5.1883420999999998</v>
      </c>
      <c r="F1355" s="3">
        <v>5.1727388999999997</v>
      </c>
      <c r="G1355" s="3">
        <v>5.1406713999999996</v>
      </c>
      <c r="H1355" s="3">
        <v>5.0871211000000001</v>
      </c>
      <c r="I1355" s="3">
        <v>5.0154617999999997</v>
      </c>
      <c r="J1355" s="3">
        <v>4.9327486</v>
      </c>
      <c r="K1355" s="3">
        <v>4.8446676000000002</v>
      </c>
      <c r="L1355" s="3">
        <v>4.7549672000000003</v>
      </c>
      <c r="M1355" s="3">
        <v>4.6667921000000003</v>
      </c>
      <c r="N1355" s="3">
        <v>4.5829161999999997</v>
      </c>
      <c r="O1355" s="3">
        <v>4.5051163000000001</v>
      </c>
      <c r="P1355" s="3">
        <v>4.4344144999999999</v>
      </c>
      <c r="Q1355" s="3">
        <v>4.3711498999999998</v>
      </c>
      <c r="R1355" s="3">
        <v>4.3144840999999996</v>
      </c>
      <c r="S1355" s="3">
        <v>4.2633102999999997</v>
      </c>
      <c r="T1355" s="3">
        <v>4.2165194000000001</v>
      </c>
      <c r="U1355" s="3">
        <v>4.1730026999999996</v>
      </c>
      <c r="V1355" s="3">
        <v>4.1316528000000003</v>
      </c>
      <c r="W1355" s="3">
        <v>4.0915137000000001</v>
      </c>
      <c r="X1355" s="3">
        <v>4.0524120999999997</v>
      </c>
      <c r="Y1355" s="3">
        <v>4.0144257999999997</v>
      </c>
      <c r="Z1355" s="3">
        <v>3.9776315000000002</v>
      </c>
      <c r="AA1355" s="3">
        <v>3.9421059000000001</v>
      </c>
      <c r="AB1355" s="3">
        <v>3.9079271000000002</v>
      </c>
      <c r="AC1355" s="3">
        <v>3.8751593999999998</v>
      </c>
      <c r="AD1355" s="3">
        <v>3.8438072000000001</v>
      </c>
      <c r="AE1355" s="3">
        <v>3.8138578000000001</v>
      </c>
      <c r="AF1355" s="3">
        <v>3.7852974000000001</v>
      </c>
      <c r="AG1355" s="3">
        <v>3.7581121999999998</v>
      </c>
      <c r="AH1355" s="3">
        <v>3.7322894</v>
      </c>
      <c r="AI1355" s="3">
        <v>3.7078150999999999</v>
      </c>
      <c r="AJ1355" s="3">
        <v>3.6846755999999998</v>
      </c>
      <c r="AK1355" s="3">
        <v>3.6628579999999999</v>
      </c>
      <c r="AL1355" s="3">
        <v>3.6423485000000002</v>
      </c>
      <c r="AM1355" s="3">
        <v>3.6231334999999998</v>
      </c>
      <c r="AN1355" s="3">
        <v>3.6051999000000001</v>
      </c>
      <c r="AO1355" s="3">
        <v>3.5885277000000002</v>
      </c>
      <c r="AP1355" s="3">
        <v>3.5730691999999999</v>
      </c>
      <c r="AQ1355" s="3">
        <v>3.5587697</v>
      </c>
      <c r="AR1355" s="3">
        <v>3.5455738000000001</v>
      </c>
      <c r="AS1355" s="3">
        <v>3.533426</v>
      </c>
      <c r="AT1355" s="3">
        <v>3.5222717000000001</v>
      </c>
      <c r="AU1355" s="3">
        <v>3.5120553000000001</v>
      </c>
      <c r="AV1355" s="3">
        <v>3.5027216999999999</v>
      </c>
      <c r="AW1355" s="3">
        <v>3.4942158999999999</v>
      </c>
      <c r="AX1355" s="3">
        <v>3.4864826</v>
      </c>
      <c r="AY1355" s="3">
        <v>3.4794665</v>
      </c>
      <c r="AZ1355" s="3">
        <v>3.4731127000000002</v>
      </c>
      <c r="BA1355" s="3">
        <v>3.4673718</v>
      </c>
      <c r="BB1355" s="3">
        <v>3.4622210999999998</v>
      </c>
      <c r="BC1355" s="3">
        <v>3.4576456000000002</v>
      </c>
      <c r="BD1355" s="3">
        <v>3.4536297</v>
      </c>
      <c r="BE1355" s="3">
        <v>3.4501580000000001</v>
      </c>
      <c r="BF1355" s="3">
        <v>3.4472155</v>
      </c>
      <c r="BG1355" s="3">
        <v>3.4447865000000002</v>
      </c>
      <c r="BH1355" s="3">
        <v>3.4428559000000001</v>
      </c>
      <c r="BI1355" s="3">
        <v>3.4414083</v>
      </c>
      <c r="BJ1355" s="3">
        <v>3.4404283000000002</v>
      </c>
      <c r="BK1355" s="3">
        <v>3.4399006999999999</v>
      </c>
      <c r="BL1355" s="3">
        <v>3.4398100999999999</v>
      </c>
      <c r="BM1355" s="3">
        <v>3.4477145999999999</v>
      </c>
      <c r="BN1355" s="3">
        <v>3.4682754999999998</v>
      </c>
    </row>
    <row r="1356" spans="1:66" x14ac:dyDescent="0.35">
      <c r="A1356" s="5">
        <f t="shared" si="20"/>
        <v>45352</v>
      </c>
      <c r="B1356" t="s">
        <v>2788</v>
      </c>
      <c r="C1356" s="2">
        <v>5.25</v>
      </c>
      <c r="D1356" s="2">
        <v>5.1886999999999999</v>
      </c>
      <c r="E1356" s="3">
        <v>5.1883822000000004</v>
      </c>
      <c r="F1356" s="3">
        <v>5.1748481999999996</v>
      </c>
      <c r="G1356" s="3">
        <v>5.1415443999999999</v>
      </c>
      <c r="H1356" s="3">
        <v>5.0838066</v>
      </c>
      <c r="I1356" s="3">
        <v>5.0061517000000002</v>
      </c>
      <c r="J1356" s="3">
        <v>4.9173276000000001</v>
      </c>
      <c r="K1356" s="3">
        <v>4.8250134999999998</v>
      </c>
      <c r="L1356" s="3">
        <v>4.7341354000000004</v>
      </c>
      <c r="M1356" s="3">
        <v>4.6478742999999998</v>
      </c>
      <c r="N1356" s="3">
        <v>4.5679692999999997</v>
      </c>
      <c r="O1356" s="3">
        <v>4.4946256</v>
      </c>
      <c r="P1356" s="3">
        <v>4.4272610999999999</v>
      </c>
      <c r="Q1356" s="3">
        <v>4.3643872999999997</v>
      </c>
      <c r="R1356" s="3">
        <v>4.3052783999999997</v>
      </c>
      <c r="S1356" s="3">
        <v>4.2495649000000002</v>
      </c>
      <c r="T1356" s="3">
        <v>4.1968772999999997</v>
      </c>
      <c r="U1356" s="3">
        <v>4.1468461999999997</v>
      </c>
      <c r="V1356" s="3">
        <v>4.0991021999999999</v>
      </c>
      <c r="W1356" s="3">
        <v>4.0533384999999997</v>
      </c>
      <c r="X1356" s="3">
        <v>4.0095394999999998</v>
      </c>
      <c r="Y1356" s="3">
        <v>3.9677737</v>
      </c>
      <c r="Z1356" s="3">
        <v>3.9281098000000001</v>
      </c>
      <c r="AA1356" s="3">
        <v>3.8906163</v>
      </c>
      <c r="AB1356" s="3">
        <v>3.855362</v>
      </c>
      <c r="AC1356" s="3">
        <v>3.8223877000000002</v>
      </c>
      <c r="AD1356" s="3">
        <v>3.7916118999999999</v>
      </c>
      <c r="AE1356" s="3">
        <v>3.7629191</v>
      </c>
      <c r="AF1356" s="3">
        <v>3.7361941999999999</v>
      </c>
      <c r="AG1356" s="3">
        <v>3.7113217000000001</v>
      </c>
      <c r="AH1356" s="3">
        <v>3.6881862999999999</v>
      </c>
      <c r="AI1356" s="3">
        <v>3.6666726000000001</v>
      </c>
      <c r="AJ1356" s="3">
        <v>3.6466653999999998</v>
      </c>
      <c r="AK1356" s="3">
        <v>3.6280492999999998</v>
      </c>
      <c r="AL1356" s="3">
        <v>3.6107089000000001</v>
      </c>
      <c r="AM1356" s="3">
        <v>3.5945288999999998</v>
      </c>
      <c r="AN1356" s="3">
        <v>3.5793938999999999</v>
      </c>
      <c r="AO1356" s="3">
        <v>3.5652018999999999</v>
      </c>
      <c r="AP1356" s="3">
        <v>3.5519034999999999</v>
      </c>
      <c r="AQ1356" s="3">
        <v>3.5394624000000001</v>
      </c>
      <c r="AR1356" s="3">
        <v>3.5278426000000001</v>
      </c>
      <c r="AS1356" s="3">
        <v>3.5170078999999999</v>
      </c>
      <c r="AT1356" s="3">
        <v>3.5069221000000002</v>
      </c>
      <c r="AU1356" s="3">
        <v>3.4975489999999998</v>
      </c>
      <c r="AV1356" s="3">
        <v>3.4888526</v>
      </c>
      <c r="AW1356" s="3">
        <v>3.4807966000000001</v>
      </c>
      <c r="AX1356" s="3">
        <v>3.4733448999999998</v>
      </c>
      <c r="AY1356" s="3">
        <v>3.4664613000000002</v>
      </c>
      <c r="AZ1356" s="3">
        <v>3.4601096999999998</v>
      </c>
      <c r="BA1356" s="3">
        <v>3.4542584999999999</v>
      </c>
      <c r="BB1356" s="3">
        <v>3.4488970000000001</v>
      </c>
      <c r="BC1356" s="3">
        <v>3.4440202000000002</v>
      </c>
      <c r="BD1356" s="3">
        <v>3.4396227000000001</v>
      </c>
      <c r="BE1356" s="3">
        <v>3.4356996999999998</v>
      </c>
      <c r="BF1356" s="3">
        <v>3.4322460000000001</v>
      </c>
      <c r="BG1356" s="3">
        <v>3.4292563999999999</v>
      </c>
      <c r="BH1356" s="3">
        <v>3.4267257999999998</v>
      </c>
      <c r="BI1356" s="3">
        <v>3.4246493</v>
      </c>
      <c r="BJ1356" s="3">
        <v>3.4230216000000002</v>
      </c>
      <c r="BK1356" s="3">
        <v>3.4218377000000002</v>
      </c>
      <c r="BL1356" s="3">
        <v>3.4210924</v>
      </c>
      <c r="BM1356" s="3">
        <v>3.425376</v>
      </c>
      <c r="BN1356" s="3">
        <v>3.4431278000000001</v>
      </c>
    </row>
    <row r="1357" spans="1:66" x14ac:dyDescent="0.35">
      <c r="A1357" s="5">
        <f t="shared" si="20"/>
        <v>45355</v>
      </c>
      <c r="B1357" t="s">
        <v>2789</v>
      </c>
      <c r="C1357" s="2">
        <v>5.25</v>
      </c>
      <c r="D1357" s="2">
        <v>5.1883999999999997</v>
      </c>
      <c r="E1357" s="3">
        <v>5.1931303</v>
      </c>
      <c r="F1357" s="3">
        <v>5.1779551000000001</v>
      </c>
      <c r="G1357" s="3">
        <v>5.1468654000000003</v>
      </c>
      <c r="H1357" s="3">
        <v>5.0954338999999997</v>
      </c>
      <c r="I1357" s="3">
        <v>5.0269617999999996</v>
      </c>
      <c r="J1357" s="3">
        <v>4.9480268000000001</v>
      </c>
      <c r="K1357" s="3">
        <v>4.8647336000000001</v>
      </c>
      <c r="L1357" s="3">
        <v>4.7816071999999998</v>
      </c>
      <c r="M1357" s="3">
        <v>4.7020694000000001</v>
      </c>
      <c r="N1357" s="3">
        <v>4.6280478</v>
      </c>
      <c r="O1357" s="3">
        <v>4.5600391</v>
      </c>
      <c r="P1357" s="3">
        <v>4.4975999</v>
      </c>
      <c r="Q1357" s="3">
        <v>4.4394084999999999</v>
      </c>
      <c r="R1357" s="3">
        <v>4.3846784000000003</v>
      </c>
      <c r="S1357" s="3">
        <v>4.3328293000000002</v>
      </c>
      <c r="T1357" s="3">
        <v>4.2832809999999997</v>
      </c>
      <c r="U1357" s="3">
        <v>4.2354532000000003</v>
      </c>
      <c r="V1357" s="3">
        <v>4.1887656</v>
      </c>
      <c r="W1357" s="3">
        <v>4.1427623000000002</v>
      </c>
      <c r="X1357" s="3">
        <v>4.0975630000000001</v>
      </c>
      <c r="Y1357" s="3">
        <v>4.0534546000000002</v>
      </c>
      <c r="Z1357" s="3">
        <v>4.0107239000000003</v>
      </c>
      <c r="AA1357" s="3">
        <v>3.9696579000000001</v>
      </c>
      <c r="AB1357" s="3">
        <v>3.9305433999999999</v>
      </c>
      <c r="AC1357" s="3">
        <v>3.8936042999999998</v>
      </c>
      <c r="AD1357" s="3">
        <v>3.8588129000000002</v>
      </c>
      <c r="AE1357" s="3">
        <v>3.8260787000000001</v>
      </c>
      <c r="AF1357" s="3">
        <v>3.7953112</v>
      </c>
      <c r="AG1357" s="3">
        <v>3.7664197000000001</v>
      </c>
      <c r="AH1357" s="3">
        <v>3.7393136999999999</v>
      </c>
      <c r="AI1357" s="3">
        <v>3.7139026999999998</v>
      </c>
      <c r="AJ1357" s="3">
        <v>3.6900962000000002</v>
      </c>
      <c r="AK1357" s="3">
        <v>3.6678033999999999</v>
      </c>
      <c r="AL1357" s="3">
        <v>3.6469339999999999</v>
      </c>
      <c r="AM1357" s="3">
        <v>3.6273971999999999</v>
      </c>
      <c r="AN1357" s="3">
        <v>3.6091027000000002</v>
      </c>
      <c r="AO1357" s="3">
        <v>3.5919677000000001</v>
      </c>
      <c r="AP1357" s="3">
        <v>3.5759411000000001</v>
      </c>
      <c r="AQ1357" s="3">
        <v>3.5609799999999998</v>
      </c>
      <c r="AR1357" s="3">
        <v>3.5470410999999999</v>
      </c>
      <c r="AS1357" s="3">
        <v>3.5340813999999998</v>
      </c>
      <c r="AT1357" s="3">
        <v>3.5220577999999998</v>
      </c>
      <c r="AU1357" s="3">
        <v>3.5109271</v>
      </c>
      <c r="AV1357" s="3">
        <v>3.5006463000000001</v>
      </c>
      <c r="AW1357" s="3">
        <v>3.4911721999999998</v>
      </c>
      <c r="AX1357" s="3">
        <v>3.4824616000000002</v>
      </c>
      <c r="AY1357" s="3">
        <v>3.4744716000000002</v>
      </c>
      <c r="AZ1357" s="3">
        <v>3.4671590000000001</v>
      </c>
      <c r="BA1357" s="3">
        <v>3.4604849</v>
      </c>
      <c r="BB1357" s="3">
        <v>3.4544326999999999</v>
      </c>
      <c r="BC1357" s="3">
        <v>3.4489934</v>
      </c>
      <c r="BD1357" s="3">
        <v>3.4441581999999999</v>
      </c>
      <c r="BE1357" s="3">
        <v>3.4399179000000002</v>
      </c>
      <c r="BF1357" s="3">
        <v>3.4362636000000002</v>
      </c>
      <c r="BG1357" s="3">
        <v>3.4331863999999999</v>
      </c>
      <c r="BH1357" s="3">
        <v>3.4306773000000002</v>
      </c>
      <c r="BI1357" s="3">
        <v>3.4287272999999998</v>
      </c>
      <c r="BJ1357" s="3">
        <v>3.4273273</v>
      </c>
      <c r="BK1357" s="3">
        <v>3.4264684999999999</v>
      </c>
      <c r="BL1357" s="3">
        <v>3.4261419000000002</v>
      </c>
      <c r="BM1357" s="3">
        <v>3.4344625</v>
      </c>
      <c r="BN1357" s="3">
        <v>3.4572742000000001</v>
      </c>
    </row>
    <row r="1358" spans="1:66" x14ac:dyDescent="0.35">
      <c r="A1358" s="5">
        <f t="shared" si="20"/>
        <v>45356</v>
      </c>
      <c r="B1358" t="s">
        <v>2790</v>
      </c>
      <c r="C1358" s="2">
        <v>5.25</v>
      </c>
      <c r="D1358" s="2">
        <v>5.1886999999999999</v>
      </c>
      <c r="E1358" s="3">
        <v>5.1928565999999998</v>
      </c>
      <c r="F1358" s="3">
        <v>5.1755749</v>
      </c>
      <c r="G1358" s="3">
        <v>5.1406485000000002</v>
      </c>
      <c r="H1358" s="3">
        <v>5.0827882999999998</v>
      </c>
      <c r="I1358" s="3">
        <v>5.0062486000000002</v>
      </c>
      <c r="J1358" s="3">
        <v>4.9188235999999996</v>
      </c>
      <c r="K1358" s="3">
        <v>4.8272668999999997</v>
      </c>
      <c r="L1358" s="3">
        <v>4.7363334000000004</v>
      </c>
      <c r="M1358" s="3">
        <v>4.6496354000000002</v>
      </c>
      <c r="N1358" s="3">
        <v>4.5693087999999999</v>
      </c>
      <c r="O1358" s="3">
        <v>4.4958640000000001</v>
      </c>
      <c r="P1358" s="3">
        <v>4.4289855999999999</v>
      </c>
      <c r="Q1358" s="3">
        <v>4.3670182000000004</v>
      </c>
      <c r="R1358" s="3">
        <v>4.3090675000000003</v>
      </c>
      <c r="S1358" s="3">
        <v>4.2545567000000002</v>
      </c>
      <c r="T1358" s="3">
        <v>4.2029091000000003</v>
      </c>
      <c r="U1358" s="3">
        <v>4.1535478000000001</v>
      </c>
      <c r="V1358" s="3">
        <v>4.1058960999999998</v>
      </c>
      <c r="W1358" s="3">
        <v>4.0594758999999998</v>
      </c>
      <c r="X1358" s="3">
        <v>4.0142677999999998</v>
      </c>
      <c r="Y1358" s="3">
        <v>3.9703849</v>
      </c>
      <c r="Z1358" s="3">
        <v>3.9279404000000002</v>
      </c>
      <c r="AA1358" s="3">
        <v>3.8870475</v>
      </c>
      <c r="AB1358" s="3">
        <v>3.8478194000000001</v>
      </c>
      <c r="AC1358" s="3">
        <v>3.8103438999999999</v>
      </c>
      <c r="AD1358" s="3">
        <v>3.7746067000000001</v>
      </c>
      <c r="AE1358" s="3">
        <v>3.7405683000000001</v>
      </c>
      <c r="AF1358" s="3">
        <v>3.7081889000000001</v>
      </c>
      <c r="AG1358" s="3">
        <v>3.6774290000000001</v>
      </c>
      <c r="AH1358" s="3">
        <v>3.6482489999999999</v>
      </c>
      <c r="AI1358" s="3">
        <v>3.6206090999999998</v>
      </c>
      <c r="AJ1358" s="3">
        <v>3.5944696999999999</v>
      </c>
      <c r="AK1358" s="3">
        <v>3.5697912000000001</v>
      </c>
      <c r="AL1358" s="3">
        <v>3.5465339</v>
      </c>
      <c r="AM1358" s="3">
        <v>3.5246583</v>
      </c>
      <c r="AN1358" s="3">
        <v>3.5041245999999999</v>
      </c>
      <c r="AO1358" s="3">
        <v>3.4848924999999999</v>
      </c>
      <c r="AP1358" s="3">
        <v>3.4669186999999999</v>
      </c>
      <c r="AQ1358" s="3">
        <v>3.4501593000000002</v>
      </c>
      <c r="AR1358" s="3">
        <v>3.4345702999999999</v>
      </c>
      <c r="AS1358" s="3">
        <v>3.4201077</v>
      </c>
      <c r="AT1358" s="3">
        <v>3.4067276</v>
      </c>
      <c r="AU1358" s="3">
        <v>3.3943859999999999</v>
      </c>
      <c r="AV1358" s="3">
        <v>3.3830388</v>
      </c>
      <c r="AW1358" s="3">
        <v>3.3726422</v>
      </c>
      <c r="AX1358" s="3">
        <v>3.3631522</v>
      </c>
      <c r="AY1358" s="3">
        <v>3.3545248000000001</v>
      </c>
      <c r="AZ1358" s="3">
        <v>3.3467159</v>
      </c>
      <c r="BA1358" s="3">
        <v>3.3396846</v>
      </c>
      <c r="BB1358" s="3">
        <v>3.3334031</v>
      </c>
      <c r="BC1358" s="3">
        <v>3.3278482999999999</v>
      </c>
      <c r="BD1358" s="3">
        <v>3.3229966000000002</v>
      </c>
      <c r="BE1358" s="3">
        <v>3.3188249000000001</v>
      </c>
      <c r="BF1358" s="3">
        <v>3.3153096</v>
      </c>
      <c r="BG1358" s="3">
        <v>3.3124275000000001</v>
      </c>
      <c r="BH1358" s="3">
        <v>3.3101552000000001</v>
      </c>
      <c r="BI1358" s="3">
        <v>3.3084693000000001</v>
      </c>
      <c r="BJ1358" s="3">
        <v>3.3073465</v>
      </c>
      <c r="BK1358" s="3">
        <v>3.3067633999999999</v>
      </c>
      <c r="BL1358" s="3">
        <v>3.3066966999999998</v>
      </c>
      <c r="BM1358" s="3">
        <v>3.3160240999999999</v>
      </c>
      <c r="BN1358" s="3">
        <v>3.3392197000000001</v>
      </c>
    </row>
    <row r="1359" spans="1:66" x14ac:dyDescent="0.35">
      <c r="A1359" s="5">
        <f t="shared" si="20"/>
        <v>45357</v>
      </c>
      <c r="B1359" t="s">
        <v>2791</v>
      </c>
      <c r="C1359" s="2">
        <v>5.25</v>
      </c>
      <c r="D1359" s="2">
        <v>5.1882999999999999</v>
      </c>
      <c r="E1359" s="3">
        <v>5.1839807000000002</v>
      </c>
      <c r="F1359" s="3">
        <v>5.1666724999999998</v>
      </c>
      <c r="G1359" s="3">
        <v>5.1299406999999997</v>
      </c>
      <c r="H1359" s="3">
        <v>5.0720235999999996</v>
      </c>
      <c r="I1359" s="3">
        <v>4.9977029000000002</v>
      </c>
      <c r="J1359" s="3">
        <v>4.9138795000000002</v>
      </c>
      <c r="K1359" s="3">
        <v>4.8259531000000004</v>
      </c>
      <c r="L1359" s="3">
        <v>4.7379145999999999</v>
      </c>
      <c r="M1359" s="3">
        <v>4.6530306000000001</v>
      </c>
      <c r="N1359" s="3">
        <v>4.5732559000000004</v>
      </c>
      <c r="O1359" s="3">
        <v>4.4990937000000004</v>
      </c>
      <c r="P1359" s="3">
        <v>4.4302308000000004</v>
      </c>
      <c r="Q1359" s="3">
        <v>4.3656043000000002</v>
      </c>
      <c r="R1359" s="3">
        <v>4.3045403999999996</v>
      </c>
      <c r="S1359" s="3">
        <v>4.2465260000000002</v>
      </c>
      <c r="T1359" s="3">
        <v>4.1910480000000003</v>
      </c>
      <c r="U1359" s="3">
        <v>4.1375935999999998</v>
      </c>
      <c r="V1359" s="3">
        <v>4.0856496</v>
      </c>
      <c r="W1359" s="3">
        <v>4.0347898999999998</v>
      </c>
      <c r="X1359" s="3">
        <v>3.9850794</v>
      </c>
      <c r="Y1359" s="3">
        <v>3.9367559999999999</v>
      </c>
      <c r="Z1359" s="3">
        <v>3.8900578000000001</v>
      </c>
      <c r="AA1359" s="3">
        <v>3.8452226999999999</v>
      </c>
      <c r="AB1359" s="3">
        <v>3.8024889000000002</v>
      </c>
      <c r="AC1359" s="3">
        <v>3.7620431999999999</v>
      </c>
      <c r="AD1359" s="3">
        <v>3.7238682999999999</v>
      </c>
      <c r="AE1359" s="3">
        <v>3.6878956999999999</v>
      </c>
      <c r="AF1359" s="3">
        <v>3.6540568000000002</v>
      </c>
      <c r="AG1359" s="3">
        <v>3.6222832</v>
      </c>
      <c r="AH1359" s="3">
        <v>3.5925063000000002</v>
      </c>
      <c r="AI1359" s="3">
        <v>3.5646577000000002</v>
      </c>
      <c r="AJ1359" s="3">
        <v>3.5386687999999999</v>
      </c>
      <c r="AK1359" s="3">
        <v>3.5144712</v>
      </c>
      <c r="AL1359" s="3">
        <v>3.4919962999999998</v>
      </c>
      <c r="AM1359" s="3">
        <v>3.4711756999999999</v>
      </c>
      <c r="AN1359" s="3">
        <v>3.4519408999999999</v>
      </c>
      <c r="AO1359" s="3">
        <v>3.4342226999999999</v>
      </c>
      <c r="AP1359" s="3">
        <v>3.4179488</v>
      </c>
      <c r="AQ1359" s="3">
        <v>3.4030461999999999</v>
      </c>
      <c r="AR1359" s="3">
        <v>3.3894416000000001</v>
      </c>
      <c r="AS1359" s="3">
        <v>3.3770619000000002</v>
      </c>
      <c r="AT1359" s="3">
        <v>3.3658337999999999</v>
      </c>
      <c r="AU1359" s="3">
        <v>3.3556841999999998</v>
      </c>
      <c r="AV1359" s="3">
        <v>3.3465400000000001</v>
      </c>
      <c r="AW1359" s="3">
        <v>3.3383278999999999</v>
      </c>
      <c r="AX1359" s="3">
        <v>3.3309747999999999</v>
      </c>
      <c r="AY1359" s="3">
        <v>3.3244074000000001</v>
      </c>
      <c r="AZ1359" s="3">
        <v>3.3185527000000001</v>
      </c>
      <c r="BA1359" s="3">
        <v>3.3133454000000002</v>
      </c>
      <c r="BB1359" s="3">
        <v>3.3087550999999999</v>
      </c>
      <c r="BC1359" s="3">
        <v>3.3047613999999998</v>
      </c>
      <c r="BD1359" s="3">
        <v>3.3013435000000002</v>
      </c>
      <c r="BE1359" s="3">
        <v>3.2984808000000001</v>
      </c>
      <c r="BF1359" s="3">
        <v>3.2961528000000002</v>
      </c>
      <c r="BG1359" s="3">
        <v>3.2943387999999998</v>
      </c>
      <c r="BH1359" s="3">
        <v>3.2930182000000001</v>
      </c>
      <c r="BI1359" s="3">
        <v>3.2921703999999998</v>
      </c>
      <c r="BJ1359" s="3">
        <v>3.2917747999999998</v>
      </c>
      <c r="BK1359" s="3">
        <v>3.2918107000000001</v>
      </c>
      <c r="BL1359" s="3">
        <v>3.2922574999999998</v>
      </c>
      <c r="BM1359" s="3">
        <v>3.3027202999999998</v>
      </c>
      <c r="BN1359" s="3">
        <v>3.3246405000000001</v>
      </c>
    </row>
    <row r="1360" spans="1:66" x14ac:dyDescent="0.35">
      <c r="A1360" s="5">
        <f t="shared" si="20"/>
        <v>45358</v>
      </c>
      <c r="B1360" t="s">
        <v>2792</v>
      </c>
      <c r="C1360" s="2">
        <v>5.25</v>
      </c>
      <c r="D1360" s="2">
        <v>5.1883999999999997</v>
      </c>
      <c r="E1360" s="3">
        <v>5.1897815999999999</v>
      </c>
      <c r="F1360" s="3">
        <v>5.1735784000000002</v>
      </c>
      <c r="G1360" s="3">
        <v>5.1383492000000004</v>
      </c>
      <c r="H1360" s="3">
        <v>5.0817835000000002</v>
      </c>
      <c r="I1360" s="3">
        <v>5.0087577999999997</v>
      </c>
      <c r="J1360" s="3">
        <v>4.9261208999999999</v>
      </c>
      <c r="K1360" s="3">
        <v>4.8389505000000002</v>
      </c>
      <c r="L1360" s="3">
        <v>4.7503941999999997</v>
      </c>
      <c r="M1360" s="3">
        <v>4.6630947000000003</v>
      </c>
      <c r="N1360" s="3">
        <v>4.5791667</v>
      </c>
      <c r="O1360" s="3">
        <v>4.4996688999999996</v>
      </c>
      <c r="P1360" s="3">
        <v>4.4251874999999998</v>
      </c>
      <c r="Q1360" s="3">
        <v>4.3562827999999998</v>
      </c>
      <c r="R1360" s="3">
        <v>4.2924992</v>
      </c>
      <c r="S1360" s="3">
        <v>4.2331009999999996</v>
      </c>
      <c r="T1360" s="3">
        <v>4.1773525999999999</v>
      </c>
      <c r="U1360" s="3">
        <v>4.1245183000000001</v>
      </c>
      <c r="V1360" s="3">
        <v>4.0738627000000003</v>
      </c>
      <c r="W1360" s="3">
        <v>4.0247631999999998</v>
      </c>
      <c r="X1360" s="3">
        <v>3.9771773000000001</v>
      </c>
      <c r="Y1360" s="3">
        <v>3.9312472999999999</v>
      </c>
      <c r="Z1360" s="3">
        <v>3.8871159</v>
      </c>
      <c r="AA1360" s="3">
        <v>3.8449257999999999</v>
      </c>
      <c r="AB1360" s="3">
        <v>3.8048194</v>
      </c>
      <c r="AC1360" s="3">
        <v>3.7669100000000002</v>
      </c>
      <c r="AD1360" s="3">
        <v>3.7311671999999998</v>
      </c>
      <c r="AE1360" s="3">
        <v>3.6975170999999998</v>
      </c>
      <c r="AF1360" s="3">
        <v>3.6658857</v>
      </c>
      <c r="AG1360" s="3">
        <v>3.6361990999999998</v>
      </c>
      <c r="AH1360" s="3">
        <v>3.6083832</v>
      </c>
      <c r="AI1360" s="3">
        <v>3.5823640999999999</v>
      </c>
      <c r="AJ1360" s="3">
        <v>3.5580677999999999</v>
      </c>
      <c r="AK1360" s="3">
        <v>3.5354204</v>
      </c>
      <c r="AL1360" s="3">
        <v>3.5143479000000002</v>
      </c>
      <c r="AM1360" s="3">
        <v>3.4947762999999998</v>
      </c>
      <c r="AN1360" s="3">
        <v>3.4766316000000002</v>
      </c>
      <c r="AO1360" s="3">
        <v>3.4598409999999999</v>
      </c>
      <c r="AP1360" s="3">
        <v>3.4443361000000001</v>
      </c>
      <c r="AQ1360" s="3">
        <v>3.4300500999999999</v>
      </c>
      <c r="AR1360" s="3">
        <v>3.4169160000000001</v>
      </c>
      <c r="AS1360" s="3">
        <v>3.4048668000000002</v>
      </c>
      <c r="AT1360" s="3">
        <v>3.3938356999999999</v>
      </c>
      <c r="AU1360" s="3">
        <v>3.3837554999999999</v>
      </c>
      <c r="AV1360" s="3">
        <v>3.3745595000000002</v>
      </c>
      <c r="AW1360" s="3">
        <v>3.3661807000000001</v>
      </c>
      <c r="AX1360" s="3">
        <v>3.3585520999999998</v>
      </c>
      <c r="AY1360" s="3">
        <v>3.3516067</v>
      </c>
      <c r="AZ1360" s="3">
        <v>3.3452777</v>
      </c>
      <c r="BA1360" s="3">
        <v>3.3395063999999999</v>
      </c>
      <c r="BB1360" s="3">
        <v>3.3342711</v>
      </c>
      <c r="BC1360" s="3">
        <v>3.3295601000000001</v>
      </c>
      <c r="BD1360" s="3">
        <v>3.3253620000000002</v>
      </c>
      <c r="BE1360" s="3">
        <v>3.3216651000000001</v>
      </c>
      <c r="BF1360" s="3">
        <v>3.3184578</v>
      </c>
      <c r="BG1360" s="3">
        <v>3.3157285999999999</v>
      </c>
      <c r="BH1360" s="3">
        <v>3.3134657999999999</v>
      </c>
      <c r="BI1360" s="3">
        <v>3.3116579000000002</v>
      </c>
      <c r="BJ1360" s="3">
        <v>3.3102933999999999</v>
      </c>
      <c r="BK1360" s="3">
        <v>3.3093604999999999</v>
      </c>
      <c r="BL1360" s="3">
        <v>3.3088476999999998</v>
      </c>
      <c r="BM1360" s="3">
        <v>3.3139737999999999</v>
      </c>
      <c r="BN1360" s="3">
        <v>3.3314786999999999</v>
      </c>
    </row>
    <row r="1361" spans="1:66" x14ac:dyDescent="0.35">
      <c r="A1361" s="5">
        <f t="shared" si="20"/>
        <v>45359</v>
      </c>
      <c r="B1361" t="s">
        <v>2793</v>
      </c>
      <c r="C1361" s="2">
        <v>5.25</v>
      </c>
      <c r="D1361" s="2">
        <v>5.1881000000000004</v>
      </c>
      <c r="E1361" s="3">
        <v>5.1862738999999998</v>
      </c>
      <c r="F1361" s="3">
        <v>5.1689819000000004</v>
      </c>
      <c r="G1361" s="3">
        <v>5.1299130000000002</v>
      </c>
      <c r="H1361" s="3">
        <v>5.0694825999999997</v>
      </c>
      <c r="I1361" s="3">
        <v>4.9934652000000002</v>
      </c>
      <c r="J1361" s="3">
        <v>4.9081557</v>
      </c>
      <c r="K1361" s="3">
        <v>4.8184684999999998</v>
      </c>
      <c r="L1361" s="3">
        <v>4.7276502000000002</v>
      </c>
      <c r="M1361" s="3">
        <v>4.6381264</v>
      </c>
      <c r="N1361" s="3">
        <v>4.5515514000000001</v>
      </c>
      <c r="O1361" s="3">
        <v>4.4686130999999998</v>
      </c>
      <c r="P1361" s="3">
        <v>4.3894596000000003</v>
      </c>
      <c r="Q1361" s="3">
        <v>4.3143821000000004</v>
      </c>
      <c r="R1361" s="3">
        <v>4.2433728000000004</v>
      </c>
      <c r="S1361" s="3">
        <v>4.1762929</v>
      </c>
      <c r="T1361" s="3">
        <v>4.1130040000000001</v>
      </c>
      <c r="U1361" s="3">
        <v>4.0533674</v>
      </c>
      <c r="V1361" s="3">
        <v>3.9972444999999999</v>
      </c>
      <c r="W1361" s="3">
        <v>3.9444949999999999</v>
      </c>
      <c r="X1361" s="3">
        <v>3.8949712999999999</v>
      </c>
      <c r="Y1361" s="3">
        <v>3.8485235000000002</v>
      </c>
      <c r="Z1361" s="3">
        <v>3.8050017999999999</v>
      </c>
      <c r="AA1361" s="3">
        <v>3.7642562000000002</v>
      </c>
      <c r="AB1361" s="3">
        <v>3.7261369000000002</v>
      </c>
      <c r="AC1361" s="3">
        <v>3.6904984000000001</v>
      </c>
      <c r="AD1361" s="3">
        <v>3.6572141</v>
      </c>
      <c r="AE1361" s="3">
        <v>3.6261627999999999</v>
      </c>
      <c r="AF1361" s="3">
        <v>3.5972230999999999</v>
      </c>
      <c r="AG1361" s="3">
        <v>3.5702737999999998</v>
      </c>
      <c r="AH1361" s="3">
        <v>3.5451934999999999</v>
      </c>
      <c r="AI1361" s="3">
        <v>3.5218611000000002</v>
      </c>
      <c r="AJ1361" s="3">
        <v>3.5001552</v>
      </c>
      <c r="AK1361" s="3">
        <v>3.4799544999999998</v>
      </c>
      <c r="AL1361" s="3">
        <v>3.4611377000000001</v>
      </c>
      <c r="AM1361" s="3">
        <v>3.4435836000000002</v>
      </c>
      <c r="AN1361" s="3">
        <v>3.4271709000000001</v>
      </c>
      <c r="AO1361" s="3">
        <v>3.4117923999999999</v>
      </c>
      <c r="AP1361" s="3">
        <v>3.3973976000000001</v>
      </c>
      <c r="AQ1361" s="3">
        <v>3.3839502000000001</v>
      </c>
      <c r="AR1361" s="3">
        <v>3.3714137000000002</v>
      </c>
      <c r="AS1361" s="3">
        <v>3.3597516999999999</v>
      </c>
      <c r="AT1361" s="3">
        <v>3.3489279000000001</v>
      </c>
      <c r="AU1361" s="3">
        <v>3.3389058999999999</v>
      </c>
      <c r="AV1361" s="3">
        <v>3.3296492999999998</v>
      </c>
      <c r="AW1361" s="3">
        <v>3.3211217</v>
      </c>
      <c r="AX1361" s="3">
        <v>3.3132866999999999</v>
      </c>
      <c r="AY1361" s="3">
        <v>3.306108</v>
      </c>
      <c r="AZ1361" s="3">
        <v>3.2995492</v>
      </c>
      <c r="BA1361" s="3">
        <v>3.2935775999999999</v>
      </c>
      <c r="BB1361" s="3">
        <v>3.2881773000000001</v>
      </c>
      <c r="BC1361" s="3">
        <v>3.283337</v>
      </c>
      <c r="BD1361" s="3">
        <v>3.2790452999999999</v>
      </c>
      <c r="BE1361" s="3">
        <v>3.2752908999999999</v>
      </c>
      <c r="BF1361" s="3">
        <v>3.2720625000000001</v>
      </c>
      <c r="BG1361" s="3">
        <v>3.2693485999999998</v>
      </c>
      <c r="BH1361" s="3">
        <v>3.2671380999999999</v>
      </c>
      <c r="BI1361" s="3">
        <v>3.2654193999999999</v>
      </c>
      <c r="BJ1361" s="3">
        <v>3.2641814</v>
      </c>
      <c r="BK1361" s="3">
        <v>3.2634126000000001</v>
      </c>
      <c r="BL1361" s="3">
        <v>3.2631017</v>
      </c>
      <c r="BM1361" s="3">
        <v>3.270213</v>
      </c>
      <c r="BN1361" s="3">
        <v>3.2909263000000002</v>
      </c>
    </row>
    <row r="1362" spans="1:66" x14ac:dyDescent="0.35">
      <c r="A1362" s="5">
        <f t="shared" si="20"/>
        <v>45362</v>
      </c>
      <c r="B1362" t="s">
        <v>2795</v>
      </c>
      <c r="C1362" s="2">
        <v>5.25</v>
      </c>
      <c r="D1362" s="2">
        <v>5.1879999999999997</v>
      </c>
      <c r="E1362" s="3">
        <v>5.1881047999999996</v>
      </c>
      <c r="F1362" s="3">
        <v>5.1660921000000002</v>
      </c>
      <c r="G1362" s="3">
        <v>5.1223836</v>
      </c>
      <c r="H1362" s="3">
        <v>5.0551326999999997</v>
      </c>
      <c r="I1362" s="3">
        <v>4.9712249000000002</v>
      </c>
      <c r="J1362" s="3">
        <v>4.8779222999999998</v>
      </c>
      <c r="K1362" s="3">
        <v>4.7807779000000004</v>
      </c>
      <c r="L1362" s="3">
        <v>4.6837513</v>
      </c>
      <c r="M1362" s="3">
        <v>4.5899988</v>
      </c>
      <c r="N1362" s="3">
        <v>4.5017687000000004</v>
      </c>
      <c r="O1362" s="3">
        <v>4.4200204999999997</v>
      </c>
      <c r="P1362" s="3">
        <v>4.3446594000000003</v>
      </c>
      <c r="Q1362" s="3">
        <v>4.2745414999999998</v>
      </c>
      <c r="R1362" s="3">
        <v>4.2089862</v>
      </c>
      <c r="S1362" s="3">
        <v>4.1475112000000003</v>
      </c>
      <c r="T1362" s="3">
        <v>4.0896343999999996</v>
      </c>
      <c r="U1362" s="3">
        <v>4.0348737999999997</v>
      </c>
      <c r="V1362" s="3">
        <v>3.9827471999999999</v>
      </c>
      <c r="W1362" s="3">
        <v>3.9328452999999999</v>
      </c>
      <c r="X1362" s="3">
        <v>3.885097</v>
      </c>
      <c r="Y1362" s="3">
        <v>3.8395288999999999</v>
      </c>
      <c r="Z1362" s="3">
        <v>3.7961680000000002</v>
      </c>
      <c r="AA1362" s="3">
        <v>3.7550409</v>
      </c>
      <c r="AB1362" s="3">
        <v>3.7161745000000002</v>
      </c>
      <c r="AC1362" s="3">
        <v>3.6795754999999999</v>
      </c>
      <c r="AD1362" s="3">
        <v>3.6451704999999999</v>
      </c>
      <c r="AE1362" s="3">
        <v>3.6128662</v>
      </c>
      <c r="AF1362" s="3">
        <v>3.5825692</v>
      </c>
      <c r="AG1362" s="3">
        <v>3.5541860999999999</v>
      </c>
      <c r="AH1362" s="3">
        <v>3.5276234999999998</v>
      </c>
      <c r="AI1362" s="3">
        <v>3.5027881000000001</v>
      </c>
      <c r="AJ1362" s="3">
        <v>3.4795864999999999</v>
      </c>
      <c r="AK1362" s="3">
        <v>3.4579252</v>
      </c>
      <c r="AL1362" s="3">
        <v>3.4377110000000002</v>
      </c>
      <c r="AM1362" s="3">
        <v>3.4188505</v>
      </c>
      <c r="AN1362" s="3">
        <v>3.4012501999999998</v>
      </c>
      <c r="AO1362" s="3">
        <v>3.3848262</v>
      </c>
      <c r="AP1362" s="3">
        <v>3.3695325999999999</v>
      </c>
      <c r="AQ1362" s="3">
        <v>3.3553329000000001</v>
      </c>
      <c r="AR1362" s="3">
        <v>3.3421902999999999</v>
      </c>
      <c r="AS1362" s="3">
        <v>3.3300684999999999</v>
      </c>
      <c r="AT1362" s="3">
        <v>3.3189308999999998</v>
      </c>
      <c r="AU1362" s="3">
        <v>3.3087409999999999</v>
      </c>
      <c r="AV1362" s="3">
        <v>3.2994621</v>
      </c>
      <c r="AW1362" s="3">
        <v>3.2910577000000001</v>
      </c>
      <c r="AX1362" s="3">
        <v>3.2834913999999999</v>
      </c>
      <c r="AY1362" s="3">
        <v>3.2767265999999999</v>
      </c>
      <c r="AZ1362" s="3">
        <v>3.2707266000000002</v>
      </c>
      <c r="BA1362" s="3">
        <v>3.2654573</v>
      </c>
      <c r="BB1362" s="3">
        <v>3.2608961000000001</v>
      </c>
      <c r="BC1362" s="3">
        <v>3.2570245999999998</v>
      </c>
      <c r="BD1362" s="3">
        <v>3.2538241999999999</v>
      </c>
      <c r="BE1362" s="3">
        <v>3.2512766000000002</v>
      </c>
      <c r="BF1362" s="3">
        <v>3.2493633000000002</v>
      </c>
      <c r="BG1362" s="3">
        <v>3.2480658</v>
      </c>
      <c r="BH1362" s="3">
        <v>3.2473656000000002</v>
      </c>
      <c r="BI1362" s="3">
        <v>3.2472441999999999</v>
      </c>
      <c r="BJ1362" s="3">
        <v>3.2476832999999998</v>
      </c>
      <c r="BK1362" s="3">
        <v>3.2486643000000002</v>
      </c>
      <c r="BL1362" s="3">
        <v>3.2501688</v>
      </c>
      <c r="BM1362" s="3">
        <v>3.2690448999999999</v>
      </c>
      <c r="BN1362" s="3">
        <v>3.3014399999999999</v>
      </c>
    </row>
    <row r="1363" spans="1:66" x14ac:dyDescent="0.35">
      <c r="A1363" s="5">
        <f t="shared" si="20"/>
        <v>45363</v>
      </c>
      <c r="B1363" t="s">
        <v>2796</v>
      </c>
      <c r="C1363" s="2">
        <v>5.25</v>
      </c>
      <c r="D1363" s="2">
        <v>5.1886999999999999</v>
      </c>
      <c r="E1363" s="3">
        <v>5.1867580000000002</v>
      </c>
      <c r="F1363" s="3">
        <v>5.1595825</v>
      </c>
      <c r="G1363" s="3">
        <v>5.1101362000000004</v>
      </c>
      <c r="H1363" s="3">
        <v>5.0384035999999996</v>
      </c>
      <c r="I1363" s="3">
        <v>4.9520379999999999</v>
      </c>
      <c r="J1363" s="3">
        <v>4.8581041999999997</v>
      </c>
      <c r="K1363" s="3">
        <v>4.7615729</v>
      </c>
      <c r="L1363" s="3">
        <v>4.6658875000000002</v>
      </c>
      <c r="M1363" s="3">
        <v>4.5737744999999999</v>
      </c>
      <c r="N1363" s="3">
        <v>4.4870479999999997</v>
      </c>
      <c r="O1363" s="3">
        <v>4.4063312999999997</v>
      </c>
      <c r="P1363" s="3">
        <v>4.3315996999999999</v>
      </c>
      <c r="Q1363" s="3">
        <v>4.2619129999999998</v>
      </c>
      <c r="R1363" s="3">
        <v>4.1966245999999998</v>
      </c>
      <c r="S1363" s="3">
        <v>4.1352418000000002</v>
      </c>
      <c r="T1363" s="3">
        <v>4.0772716000000004</v>
      </c>
      <c r="U1363" s="3">
        <v>4.0222211000000003</v>
      </c>
      <c r="V1363" s="3">
        <v>3.9695974000000001</v>
      </c>
      <c r="W1363" s="3">
        <v>3.9189861000000001</v>
      </c>
      <c r="X1363" s="3">
        <v>3.8703368999999999</v>
      </c>
      <c r="Y1363" s="3">
        <v>3.8237049000000001</v>
      </c>
      <c r="Z1363" s="3">
        <v>3.7791454</v>
      </c>
      <c r="AA1363" s="3">
        <v>3.7367137000000001</v>
      </c>
      <c r="AB1363" s="3">
        <v>3.6964648000000002</v>
      </c>
      <c r="AC1363" s="3">
        <v>3.6584332000000002</v>
      </c>
      <c r="AD1363" s="3">
        <v>3.6225702000000002</v>
      </c>
      <c r="AE1363" s="3">
        <v>3.5888062999999999</v>
      </c>
      <c r="AF1363" s="3">
        <v>3.5570719999999998</v>
      </c>
      <c r="AG1363" s="3">
        <v>3.5272975999999998</v>
      </c>
      <c r="AH1363" s="3">
        <v>3.4994138000000001</v>
      </c>
      <c r="AI1363" s="3">
        <v>3.4733510000000001</v>
      </c>
      <c r="AJ1363" s="3">
        <v>3.4490397000000002</v>
      </c>
      <c r="AK1363" s="3">
        <v>3.4264103000000001</v>
      </c>
      <c r="AL1363" s="3">
        <v>3.4053933000000001</v>
      </c>
      <c r="AM1363" s="3">
        <v>3.3859192999999999</v>
      </c>
      <c r="AN1363" s="3">
        <v>3.3679187000000002</v>
      </c>
      <c r="AO1363" s="3">
        <v>3.3513240999999998</v>
      </c>
      <c r="AP1363" s="3">
        <v>3.3360769000000001</v>
      </c>
      <c r="AQ1363" s="3">
        <v>3.3221204000000002</v>
      </c>
      <c r="AR1363" s="3">
        <v>3.3093979999999998</v>
      </c>
      <c r="AS1363" s="3">
        <v>3.2978532999999999</v>
      </c>
      <c r="AT1363" s="3">
        <v>3.2874295</v>
      </c>
      <c r="AU1363" s="3">
        <v>3.2780702000000002</v>
      </c>
      <c r="AV1363" s="3">
        <v>3.2697186999999999</v>
      </c>
      <c r="AW1363" s="3">
        <v>3.2623186</v>
      </c>
      <c r="AX1363" s="3">
        <v>3.2558131000000001</v>
      </c>
      <c r="AY1363" s="3">
        <v>3.2501457999999999</v>
      </c>
      <c r="AZ1363" s="3">
        <v>3.2452600999999999</v>
      </c>
      <c r="BA1363" s="3">
        <v>3.2411036000000002</v>
      </c>
      <c r="BB1363" s="3">
        <v>3.2376450000000001</v>
      </c>
      <c r="BC1363" s="3">
        <v>3.2348591</v>
      </c>
      <c r="BD1363" s="3">
        <v>3.2327210000000002</v>
      </c>
      <c r="BE1363" s="3">
        <v>3.2312055000000002</v>
      </c>
      <c r="BF1363" s="3">
        <v>3.2302875000000002</v>
      </c>
      <c r="BG1363" s="3">
        <v>3.2299421000000001</v>
      </c>
      <c r="BH1363" s="3">
        <v>3.2301440000000001</v>
      </c>
      <c r="BI1363" s="3">
        <v>3.2308683999999999</v>
      </c>
      <c r="BJ1363" s="3">
        <v>3.2320899999999999</v>
      </c>
      <c r="BK1363" s="3">
        <v>3.2337837999999999</v>
      </c>
      <c r="BL1363" s="3">
        <v>3.2359247</v>
      </c>
      <c r="BM1363" s="3">
        <v>3.2570562999999999</v>
      </c>
      <c r="BN1363" s="3">
        <v>3.2897869000000002</v>
      </c>
    </row>
    <row r="1364" spans="1:66" x14ac:dyDescent="0.35">
      <c r="A1364" s="5">
        <f t="shared" si="20"/>
        <v>45364</v>
      </c>
      <c r="B1364" t="s">
        <v>2797</v>
      </c>
      <c r="C1364" s="2">
        <v>5.25</v>
      </c>
      <c r="D1364" s="2">
        <v>5.1889000000000003</v>
      </c>
      <c r="E1364" s="3">
        <v>5.1888394</v>
      </c>
      <c r="F1364" s="3">
        <v>5.1642330999999997</v>
      </c>
      <c r="G1364" s="3">
        <v>5.1171068000000002</v>
      </c>
      <c r="H1364" s="3">
        <v>5.0480687</v>
      </c>
      <c r="I1364" s="3">
        <v>4.9648238999999998</v>
      </c>
      <c r="J1364" s="3">
        <v>4.8746849000000001</v>
      </c>
      <c r="K1364" s="3">
        <v>4.7823500000000001</v>
      </c>
      <c r="L1364" s="3">
        <v>4.6911294000000003</v>
      </c>
      <c r="M1364" s="3">
        <v>4.6036213000000004</v>
      </c>
      <c r="N1364" s="3">
        <v>4.5214141000000003</v>
      </c>
      <c r="O1364" s="3">
        <v>4.4450086999999998</v>
      </c>
      <c r="P1364" s="3">
        <v>4.3741703999999997</v>
      </c>
      <c r="Q1364" s="3">
        <v>4.3078035999999997</v>
      </c>
      <c r="R1364" s="3">
        <v>4.2452668999999998</v>
      </c>
      <c r="S1364" s="3">
        <v>4.1861079999999999</v>
      </c>
      <c r="T1364" s="3">
        <v>4.1298747000000002</v>
      </c>
      <c r="U1364" s="3">
        <v>4.0761146000000004</v>
      </c>
      <c r="V1364" s="3">
        <v>4.0243754999999997</v>
      </c>
      <c r="W1364" s="3">
        <v>3.9742750999999998</v>
      </c>
      <c r="X1364" s="3">
        <v>3.9258278999999998</v>
      </c>
      <c r="Y1364" s="3">
        <v>3.8791878</v>
      </c>
      <c r="Z1364" s="3">
        <v>3.8345088999999999</v>
      </c>
      <c r="AA1364" s="3">
        <v>3.7919453999999999</v>
      </c>
      <c r="AB1364" s="3">
        <v>3.7516512999999998</v>
      </c>
      <c r="AC1364" s="3">
        <v>3.7137411999999999</v>
      </c>
      <c r="AD1364" s="3">
        <v>3.6781709</v>
      </c>
      <c r="AE1364" s="3">
        <v>3.6448567999999999</v>
      </c>
      <c r="AF1364" s="3">
        <v>3.6137153999999998</v>
      </c>
      <c r="AG1364" s="3">
        <v>3.5846627999999998</v>
      </c>
      <c r="AH1364" s="3">
        <v>3.5576156000000001</v>
      </c>
      <c r="AI1364" s="3">
        <v>3.5324900000000001</v>
      </c>
      <c r="AJ1364" s="3">
        <v>3.5092023000000001</v>
      </c>
      <c r="AK1364" s="3">
        <v>3.4876689999999999</v>
      </c>
      <c r="AL1364" s="3">
        <v>3.4678064000000002</v>
      </c>
      <c r="AM1364" s="3">
        <v>3.4495307999999998</v>
      </c>
      <c r="AN1364" s="3">
        <v>3.4327586000000001</v>
      </c>
      <c r="AO1364" s="3">
        <v>3.417408</v>
      </c>
      <c r="AP1364" s="3">
        <v>3.4034067000000001</v>
      </c>
      <c r="AQ1364" s="3">
        <v>3.3906852999999999</v>
      </c>
      <c r="AR1364" s="3">
        <v>3.3791741000000002</v>
      </c>
      <c r="AS1364" s="3">
        <v>3.3688037999999998</v>
      </c>
      <c r="AT1364" s="3">
        <v>3.3595049000000001</v>
      </c>
      <c r="AU1364" s="3">
        <v>3.3512078000000001</v>
      </c>
      <c r="AV1364" s="3">
        <v>3.3438431</v>
      </c>
      <c r="AW1364" s="3">
        <v>3.3373412</v>
      </c>
      <c r="AX1364" s="3">
        <v>3.3316327999999999</v>
      </c>
      <c r="AY1364" s="3">
        <v>3.3266482000000002</v>
      </c>
      <c r="AZ1364" s="3">
        <v>3.3223180999999999</v>
      </c>
      <c r="BA1364" s="3">
        <v>3.3185806000000002</v>
      </c>
      <c r="BB1364" s="3">
        <v>3.3154075000000001</v>
      </c>
      <c r="BC1364" s="3">
        <v>3.3127803</v>
      </c>
      <c r="BD1364" s="3">
        <v>3.3106800999999999</v>
      </c>
      <c r="BE1364" s="3">
        <v>3.3090883</v>
      </c>
      <c r="BF1364" s="3">
        <v>3.3079860000000001</v>
      </c>
      <c r="BG1364" s="3">
        <v>3.3073546</v>
      </c>
      <c r="BH1364" s="3">
        <v>3.3071752999999999</v>
      </c>
      <c r="BI1364" s="3">
        <v>3.3074292999999999</v>
      </c>
      <c r="BJ1364" s="3">
        <v>3.3080981</v>
      </c>
      <c r="BK1364" s="3">
        <v>3.3091626999999999</v>
      </c>
      <c r="BL1364" s="3">
        <v>3.3106045000000002</v>
      </c>
      <c r="BM1364" s="3">
        <v>3.3264122999999999</v>
      </c>
      <c r="BN1364" s="3">
        <v>3.3528085000000001</v>
      </c>
    </row>
    <row r="1365" spans="1:66" x14ac:dyDescent="0.35">
      <c r="A1365" s="5">
        <f t="shared" si="20"/>
        <v>45365</v>
      </c>
      <c r="B1365" t="s">
        <v>2798</v>
      </c>
      <c r="C1365" s="2">
        <v>5.25</v>
      </c>
      <c r="D1365" s="2">
        <v>5.1887999999999996</v>
      </c>
      <c r="E1365" s="3">
        <v>5.1884554999999999</v>
      </c>
      <c r="F1365" s="3">
        <v>5.1656592000000003</v>
      </c>
      <c r="G1365" s="3">
        <v>5.1206448</v>
      </c>
      <c r="H1365" s="3">
        <v>5.0542417999999998</v>
      </c>
      <c r="I1365" s="3">
        <v>4.9743599999999999</v>
      </c>
      <c r="J1365" s="3">
        <v>4.8878155999999997</v>
      </c>
      <c r="K1365" s="3">
        <v>4.7989753000000004</v>
      </c>
      <c r="L1365" s="3">
        <v>4.7107830000000002</v>
      </c>
      <c r="M1365" s="3">
        <v>4.6255889000000003</v>
      </c>
      <c r="N1365" s="3">
        <v>4.5453434000000001</v>
      </c>
      <c r="O1365" s="3">
        <v>4.4709824999999999</v>
      </c>
      <c r="P1365" s="3">
        <v>4.4028809000000004</v>
      </c>
      <c r="Q1365" s="3">
        <v>4.3408749000000002</v>
      </c>
      <c r="R1365" s="3">
        <v>4.2842146999999997</v>
      </c>
      <c r="S1365" s="3">
        <v>4.2320333999999997</v>
      </c>
      <c r="T1365" s="3">
        <v>4.1834639999999998</v>
      </c>
      <c r="U1365" s="3">
        <v>4.1376394999999997</v>
      </c>
      <c r="V1365" s="3">
        <v>4.093693</v>
      </c>
      <c r="W1365" s="3">
        <v>4.0508838000000003</v>
      </c>
      <c r="X1365" s="3">
        <v>4.0091182999999999</v>
      </c>
      <c r="Y1365" s="3">
        <v>3.9685093999999999</v>
      </c>
      <c r="Z1365" s="3">
        <v>3.9291703999999998</v>
      </c>
      <c r="AA1365" s="3">
        <v>3.8912144</v>
      </c>
      <c r="AB1365" s="3">
        <v>3.8547544</v>
      </c>
      <c r="AC1365" s="3">
        <v>3.8198851</v>
      </c>
      <c r="AD1365" s="3">
        <v>3.7866114999999998</v>
      </c>
      <c r="AE1365" s="3">
        <v>3.7549112</v>
      </c>
      <c r="AF1365" s="3">
        <v>3.7247615999999999</v>
      </c>
      <c r="AG1365" s="3">
        <v>3.6961404</v>
      </c>
      <c r="AH1365" s="3">
        <v>3.6690250999999998</v>
      </c>
      <c r="AI1365" s="3">
        <v>3.6433933000000001</v>
      </c>
      <c r="AJ1365" s="3">
        <v>3.6192226000000001</v>
      </c>
      <c r="AK1365" s="3">
        <v>3.5964904999999998</v>
      </c>
      <c r="AL1365" s="3">
        <v>3.5751746</v>
      </c>
      <c r="AM1365" s="3">
        <v>3.5552524000000001</v>
      </c>
      <c r="AN1365" s="3">
        <v>3.5367015999999998</v>
      </c>
      <c r="AO1365" s="3">
        <v>3.5194947000000001</v>
      </c>
      <c r="AP1365" s="3">
        <v>3.5035829999999999</v>
      </c>
      <c r="AQ1365" s="3">
        <v>3.4889114000000001</v>
      </c>
      <c r="AR1365" s="3">
        <v>3.4754252000000001</v>
      </c>
      <c r="AS1365" s="3">
        <v>3.4630694000000002</v>
      </c>
      <c r="AT1365" s="3">
        <v>3.4517891999999999</v>
      </c>
      <c r="AU1365" s="3">
        <v>3.4415296999999998</v>
      </c>
      <c r="AV1365" s="3">
        <v>3.4322360000000001</v>
      </c>
      <c r="AW1365" s="3">
        <v>3.4238533000000002</v>
      </c>
      <c r="AX1365" s="3">
        <v>3.4163266999999999</v>
      </c>
      <c r="AY1365" s="3">
        <v>3.4096012</v>
      </c>
      <c r="AZ1365" s="3">
        <v>3.4036221000000002</v>
      </c>
      <c r="BA1365" s="3">
        <v>3.3983397000000002</v>
      </c>
      <c r="BB1365" s="3">
        <v>3.3937271</v>
      </c>
      <c r="BC1365" s="3">
        <v>3.389764</v>
      </c>
      <c r="BD1365" s="3">
        <v>3.3864299999999998</v>
      </c>
      <c r="BE1365" s="3">
        <v>3.3837047</v>
      </c>
      <c r="BF1365" s="3">
        <v>3.3815675000000001</v>
      </c>
      <c r="BG1365" s="3">
        <v>3.3799982000000002</v>
      </c>
      <c r="BH1365" s="3">
        <v>3.3789763000000002</v>
      </c>
      <c r="BI1365" s="3">
        <v>3.3784812999999998</v>
      </c>
      <c r="BJ1365" s="3">
        <v>3.3784928999999999</v>
      </c>
      <c r="BK1365" s="3">
        <v>3.3789905999999998</v>
      </c>
      <c r="BL1365" s="3">
        <v>3.3799541</v>
      </c>
      <c r="BM1365" s="3">
        <v>3.3945400999999999</v>
      </c>
      <c r="BN1365" s="3">
        <v>3.4217702000000001</v>
      </c>
    </row>
    <row r="1366" spans="1:66" x14ac:dyDescent="0.35">
      <c r="A1366" s="5">
        <f t="shared" si="20"/>
        <v>45366</v>
      </c>
      <c r="B1366" t="s">
        <v>2799</v>
      </c>
      <c r="C1366" s="2">
        <v>5.25</v>
      </c>
      <c r="D1366" s="2">
        <v>5.1894</v>
      </c>
      <c r="E1366" s="3">
        <v>5.1940401999999999</v>
      </c>
      <c r="F1366" s="3">
        <v>5.1647204999999996</v>
      </c>
      <c r="G1366" s="3">
        <v>5.1185801</v>
      </c>
      <c r="H1366" s="3">
        <v>5.0537505999999999</v>
      </c>
      <c r="I1366" s="3">
        <v>4.9766367000000002</v>
      </c>
      <c r="J1366" s="3">
        <v>4.8929586</v>
      </c>
      <c r="K1366" s="3">
        <v>4.8069385000000002</v>
      </c>
      <c r="L1366" s="3">
        <v>4.7218730999999998</v>
      </c>
      <c r="M1366" s="3">
        <v>4.6403040999999998</v>
      </c>
      <c r="N1366" s="3">
        <v>4.5639225999999997</v>
      </c>
      <c r="O1366" s="3">
        <v>4.4932430999999999</v>
      </c>
      <c r="P1366" s="3">
        <v>4.4278420000000001</v>
      </c>
      <c r="Q1366" s="3">
        <v>4.3666004999999997</v>
      </c>
      <c r="R1366" s="3">
        <v>4.3089176</v>
      </c>
      <c r="S1366" s="3">
        <v>4.2544304999999998</v>
      </c>
      <c r="T1366" s="3">
        <v>4.2027761999999997</v>
      </c>
      <c r="U1366" s="3">
        <v>4.1535916999999998</v>
      </c>
      <c r="V1366" s="3">
        <v>4.1065142000000003</v>
      </c>
      <c r="W1366" s="3">
        <v>4.0612387999999999</v>
      </c>
      <c r="X1366" s="3">
        <v>4.0177296</v>
      </c>
      <c r="Y1366" s="3">
        <v>3.9760290999999999</v>
      </c>
      <c r="Z1366" s="3">
        <v>3.9361793</v>
      </c>
      <c r="AA1366" s="3">
        <v>3.8982226999999998</v>
      </c>
      <c r="AB1366" s="3">
        <v>3.8622013000000002</v>
      </c>
      <c r="AC1366" s="3">
        <v>3.8281398000000002</v>
      </c>
      <c r="AD1366" s="3">
        <v>3.7959830999999999</v>
      </c>
      <c r="AE1366" s="3">
        <v>3.7656550000000002</v>
      </c>
      <c r="AF1366" s="3">
        <v>3.7370787000000001</v>
      </c>
      <c r="AG1366" s="3">
        <v>3.7101777</v>
      </c>
      <c r="AH1366" s="3">
        <v>3.6848755999999998</v>
      </c>
      <c r="AI1366" s="3">
        <v>3.6610957000000002</v>
      </c>
      <c r="AJ1366" s="3">
        <v>3.6387616</v>
      </c>
      <c r="AK1366" s="3">
        <v>3.6177966000000001</v>
      </c>
      <c r="AL1366" s="3">
        <v>3.5981242999999998</v>
      </c>
      <c r="AM1366" s="3">
        <v>3.5796679999999999</v>
      </c>
      <c r="AN1366" s="3">
        <v>3.5623513</v>
      </c>
      <c r="AO1366" s="3">
        <v>3.5461041999999998</v>
      </c>
      <c r="AP1366" s="3">
        <v>3.5308833000000002</v>
      </c>
      <c r="AQ1366" s="3">
        <v>3.5166518</v>
      </c>
      <c r="AR1366" s="3">
        <v>3.5033728000000002</v>
      </c>
      <c r="AS1366" s="3">
        <v>3.4910095999999999</v>
      </c>
      <c r="AT1366" s="3">
        <v>3.4795254</v>
      </c>
      <c r="AU1366" s="3">
        <v>3.4688832999999999</v>
      </c>
      <c r="AV1366" s="3">
        <v>3.4590464999999999</v>
      </c>
      <c r="AW1366" s="3">
        <v>3.4499783000000002</v>
      </c>
      <c r="AX1366" s="3">
        <v>3.4416416999999999</v>
      </c>
      <c r="AY1366" s="3">
        <v>3.4340001</v>
      </c>
      <c r="AZ1366" s="3">
        <v>3.4270166</v>
      </c>
      <c r="BA1366" s="3">
        <v>3.420658</v>
      </c>
      <c r="BB1366" s="3">
        <v>3.4149075999999998</v>
      </c>
      <c r="BC1366" s="3">
        <v>3.4097529999999998</v>
      </c>
      <c r="BD1366" s="3">
        <v>3.4051819000000001</v>
      </c>
      <c r="BE1366" s="3">
        <v>3.4011819999999999</v>
      </c>
      <c r="BF1366" s="3">
        <v>3.3977409000000001</v>
      </c>
      <c r="BG1366" s="3">
        <v>3.3948463000000002</v>
      </c>
      <c r="BH1366" s="3">
        <v>3.3924858000000002</v>
      </c>
      <c r="BI1366" s="3">
        <v>3.3906472000000001</v>
      </c>
      <c r="BJ1366" s="3">
        <v>3.3893181000000001</v>
      </c>
      <c r="BK1366" s="3">
        <v>3.3884861000000002</v>
      </c>
      <c r="BL1366" s="3">
        <v>3.3881389999999998</v>
      </c>
      <c r="BM1366" s="3">
        <v>3.3955354</v>
      </c>
      <c r="BN1366" s="3">
        <v>3.4172053</v>
      </c>
    </row>
    <row r="1367" spans="1:66" x14ac:dyDescent="0.35">
      <c r="A1367" s="5">
        <f t="shared" ref="A1367:A1389" si="21">+A1362+7</f>
        <v>45369</v>
      </c>
      <c r="B1367" t="s">
        <v>2800</v>
      </c>
      <c r="C1367" s="2">
        <v>5.25</v>
      </c>
      <c r="D1367" s="2">
        <v>5.1886000000000001</v>
      </c>
      <c r="E1367" s="3">
        <v>5.1908235999999999</v>
      </c>
      <c r="F1367" s="3">
        <v>5.1626208</v>
      </c>
      <c r="G1367" s="3">
        <v>5.1146880000000001</v>
      </c>
      <c r="H1367" s="3">
        <v>5.0468899</v>
      </c>
      <c r="I1367" s="3">
        <v>4.9671791000000001</v>
      </c>
      <c r="J1367" s="3">
        <v>4.8819184</v>
      </c>
      <c r="K1367" s="3">
        <v>4.7955544999999997</v>
      </c>
      <c r="L1367" s="3">
        <v>4.7115527999999998</v>
      </c>
      <c r="M1367" s="3">
        <v>4.6324510999999999</v>
      </c>
      <c r="N1367" s="3">
        <v>4.5596211999999996</v>
      </c>
      <c r="O1367" s="3">
        <v>4.4932490999999999</v>
      </c>
      <c r="P1367" s="3">
        <v>4.4326102000000001</v>
      </c>
      <c r="Q1367" s="3">
        <v>4.3756903999999999</v>
      </c>
      <c r="R1367" s="3">
        <v>4.3217891000000002</v>
      </c>
      <c r="S1367" s="3">
        <v>4.2706628000000002</v>
      </c>
      <c r="T1367" s="3">
        <v>4.2220678999999999</v>
      </c>
      <c r="U1367" s="3">
        <v>4.1757609000000002</v>
      </c>
      <c r="V1367" s="3">
        <v>4.1314982000000002</v>
      </c>
      <c r="W1367" s="3">
        <v>4.0890636000000002</v>
      </c>
      <c r="X1367" s="3">
        <v>4.0483669999999998</v>
      </c>
      <c r="Y1367" s="3">
        <v>4.0093548999999999</v>
      </c>
      <c r="Z1367" s="3">
        <v>3.9719742</v>
      </c>
      <c r="AA1367" s="3">
        <v>3.9361712</v>
      </c>
      <c r="AB1367" s="3">
        <v>3.9018926</v>
      </c>
      <c r="AC1367" s="3">
        <v>3.8690864</v>
      </c>
      <c r="AD1367" s="3">
        <v>3.8377064000000001</v>
      </c>
      <c r="AE1367" s="3">
        <v>3.8077076000000001</v>
      </c>
      <c r="AF1367" s="3">
        <v>3.7790452000000001</v>
      </c>
      <c r="AG1367" s="3">
        <v>3.7516742999999999</v>
      </c>
      <c r="AH1367" s="3">
        <v>3.7255500000000001</v>
      </c>
      <c r="AI1367" s="3">
        <v>3.7006275</v>
      </c>
      <c r="AJ1367" s="3">
        <v>3.6768618000000002</v>
      </c>
      <c r="AK1367" s="3">
        <v>3.6542081</v>
      </c>
      <c r="AL1367" s="3">
        <v>3.6326215999999998</v>
      </c>
      <c r="AM1367" s="3">
        <v>3.6120573</v>
      </c>
      <c r="AN1367" s="3">
        <v>3.5924703</v>
      </c>
      <c r="AO1367" s="3">
        <v>3.5738219999999998</v>
      </c>
      <c r="AP1367" s="3">
        <v>3.5560979000000001</v>
      </c>
      <c r="AQ1367" s="3">
        <v>3.5392899</v>
      </c>
      <c r="AR1367" s="3">
        <v>3.5233897999999999</v>
      </c>
      <c r="AS1367" s="3">
        <v>3.5083894</v>
      </c>
      <c r="AT1367" s="3">
        <v>3.4942804000000001</v>
      </c>
      <c r="AU1367" s="3">
        <v>3.4810547999999999</v>
      </c>
      <c r="AV1367" s="3">
        <v>3.4687041999999999</v>
      </c>
      <c r="AW1367" s="3">
        <v>3.4572204000000002</v>
      </c>
      <c r="AX1367" s="3">
        <v>3.4465954000000001</v>
      </c>
      <c r="AY1367" s="3">
        <v>3.4368208</v>
      </c>
      <c r="AZ1367" s="3">
        <v>3.4278884000000001</v>
      </c>
      <c r="BA1367" s="3">
        <v>3.4197886</v>
      </c>
      <c r="BB1367" s="3">
        <v>3.4125033999999999</v>
      </c>
      <c r="BC1367" s="3">
        <v>3.4060120999999999</v>
      </c>
      <c r="BD1367" s="3">
        <v>3.4002938999999999</v>
      </c>
      <c r="BE1367" s="3">
        <v>3.3953283999999999</v>
      </c>
      <c r="BF1367" s="3">
        <v>3.3910946000000002</v>
      </c>
      <c r="BG1367" s="3">
        <v>3.387572</v>
      </c>
      <c r="BH1367" s="3">
        <v>3.3847398000000002</v>
      </c>
      <c r="BI1367" s="3">
        <v>3.3825774000000002</v>
      </c>
      <c r="BJ1367" s="3">
        <v>3.3810639999999998</v>
      </c>
      <c r="BK1367" s="3">
        <v>3.380179</v>
      </c>
      <c r="BL1367" s="3">
        <v>3.3799017</v>
      </c>
      <c r="BM1367" s="3">
        <v>3.3897542999999999</v>
      </c>
      <c r="BN1367" s="3">
        <v>3.4157432000000001</v>
      </c>
    </row>
    <row r="1368" spans="1:66" x14ac:dyDescent="0.35">
      <c r="A1368" s="5">
        <f t="shared" si="21"/>
        <v>45370</v>
      </c>
      <c r="B1368" t="s">
        <v>2801</v>
      </c>
      <c r="C1368" s="2">
        <v>5.25</v>
      </c>
      <c r="D1368" s="2">
        <v>5.1894</v>
      </c>
      <c r="E1368" s="3">
        <v>5.1856121999999996</v>
      </c>
      <c r="F1368" s="3">
        <v>5.1544996999999997</v>
      </c>
      <c r="G1368" s="3">
        <v>5.1034141000000002</v>
      </c>
      <c r="H1368" s="3">
        <v>5.0325027999999996</v>
      </c>
      <c r="I1368" s="3">
        <v>4.9494216</v>
      </c>
      <c r="J1368" s="3">
        <v>4.8601637000000002</v>
      </c>
      <c r="K1368" s="3">
        <v>4.7685994000000003</v>
      </c>
      <c r="L1368" s="3">
        <v>4.6778852999999998</v>
      </c>
      <c r="M1368" s="3">
        <v>4.5909320999999998</v>
      </c>
      <c r="N1368" s="3">
        <v>4.5099219000000002</v>
      </c>
      <c r="O1368" s="3">
        <v>4.4358294999999996</v>
      </c>
      <c r="P1368" s="3">
        <v>4.3687421000000004</v>
      </c>
      <c r="Q1368" s="3">
        <v>4.3071780999999998</v>
      </c>
      <c r="R1368" s="3">
        <v>4.2502138</v>
      </c>
      <c r="S1368" s="3">
        <v>4.1972047000000003</v>
      </c>
      <c r="T1368" s="3">
        <v>4.1475061999999996</v>
      </c>
      <c r="U1368" s="3">
        <v>4.1004738999999999</v>
      </c>
      <c r="V1368" s="3">
        <v>4.0554632000000002</v>
      </c>
      <c r="W1368" s="3">
        <v>4.0119325000000003</v>
      </c>
      <c r="X1368" s="3">
        <v>3.9698172</v>
      </c>
      <c r="Y1368" s="3">
        <v>3.9291912999999998</v>
      </c>
      <c r="Z1368" s="3">
        <v>3.8901284999999999</v>
      </c>
      <c r="AA1368" s="3">
        <v>3.8527026000000002</v>
      </c>
      <c r="AB1368" s="3">
        <v>3.8169873999999999</v>
      </c>
      <c r="AC1368" s="3">
        <v>3.7830366</v>
      </c>
      <c r="AD1368" s="3">
        <v>3.7508235999999999</v>
      </c>
      <c r="AE1368" s="3">
        <v>3.7203015000000001</v>
      </c>
      <c r="AF1368" s="3">
        <v>3.6914234000000001</v>
      </c>
      <c r="AG1368" s="3">
        <v>3.6641425999999999</v>
      </c>
      <c r="AH1368" s="3">
        <v>3.6384123000000002</v>
      </c>
      <c r="AI1368" s="3">
        <v>3.6141855000000001</v>
      </c>
      <c r="AJ1368" s="3">
        <v>3.5914155000000001</v>
      </c>
      <c r="AK1368" s="3">
        <v>3.5700555</v>
      </c>
      <c r="AL1368" s="3">
        <v>3.5500585999999998</v>
      </c>
      <c r="AM1368" s="3">
        <v>3.5313780000000001</v>
      </c>
      <c r="AN1368" s="3">
        <v>3.5139668999999998</v>
      </c>
      <c r="AO1368" s="3">
        <v>3.4977792000000001</v>
      </c>
      <c r="AP1368" s="3">
        <v>3.4827718000000001</v>
      </c>
      <c r="AQ1368" s="3">
        <v>3.4689024000000002</v>
      </c>
      <c r="AR1368" s="3">
        <v>3.4561286</v>
      </c>
      <c r="AS1368" s="3">
        <v>3.4444081</v>
      </c>
      <c r="AT1368" s="3">
        <v>3.4336985000000002</v>
      </c>
      <c r="AU1368" s="3">
        <v>3.4239575000000002</v>
      </c>
      <c r="AV1368" s="3">
        <v>3.4151427000000001</v>
      </c>
      <c r="AW1368" s="3">
        <v>3.4072117999999998</v>
      </c>
      <c r="AX1368" s="3">
        <v>3.4001223999999999</v>
      </c>
      <c r="AY1368" s="3">
        <v>3.3938321999999999</v>
      </c>
      <c r="AZ1368" s="3">
        <v>3.3882987999999998</v>
      </c>
      <c r="BA1368" s="3">
        <v>3.3834827000000001</v>
      </c>
      <c r="BB1368" s="3">
        <v>3.3793578000000002</v>
      </c>
      <c r="BC1368" s="3">
        <v>3.3759020999999998</v>
      </c>
      <c r="BD1368" s="3">
        <v>3.3730937000000001</v>
      </c>
      <c r="BE1368" s="3">
        <v>3.3709104999999999</v>
      </c>
      <c r="BF1368" s="3">
        <v>3.3693306999999999</v>
      </c>
      <c r="BG1368" s="3">
        <v>3.3683322000000002</v>
      </c>
      <c r="BH1368" s="3">
        <v>3.3678932000000001</v>
      </c>
      <c r="BI1368" s="3">
        <v>3.3679915</v>
      </c>
      <c r="BJ1368" s="3">
        <v>3.3686053</v>
      </c>
      <c r="BK1368" s="3">
        <v>3.3697126000000002</v>
      </c>
      <c r="BL1368" s="3">
        <v>3.3712914999999999</v>
      </c>
      <c r="BM1368" s="3">
        <v>3.3895993999999998</v>
      </c>
      <c r="BN1368" s="3">
        <v>3.4203342000000001</v>
      </c>
    </row>
    <row r="1369" spans="1:66" x14ac:dyDescent="0.35">
      <c r="A1369" s="5">
        <f t="shared" si="21"/>
        <v>45371</v>
      </c>
      <c r="B1369" t="s">
        <v>2802</v>
      </c>
      <c r="C1369" s="2">
        <v>5.25</v>
      </c>
      <c r="D1369" s="2">
        <v>5.1891999999999996</v>
      </c>
      <c r="E1369" s="3">
        <v>5.1861427999999998</v>
      </c>
      <c r="F1369" s="3">
        <v>5.1530597</v>
      </c>
      <c r="G1369" s="3">
        <v>5.0954702000000003</v>
      </c>
      <c r="H1369" s="3">
        <v>5.0164476999999996</v>
      </c>
      <c r="I1369" s="3">
        <v>4.9262214999999996</v>
      </c>
      <c r="J1369" s="3">
        <v>4.8320185999999996</v>
      </c>
      <c r="K1369" s="3">
        <v>4.7382862000000001</v>
      </c>
      <c r="L1369" s="3">
        <v>4.6484559000000001</v>
      </c>
      <c r="M1369" s="3">
        <v>4.5649575999999996</v>
      </c>
      <c r="N1369" s="3">
        <v>4.4889387000000003</v>
      </c>
      <c r="O1369" s="3">
        <v>4.4203476000000004</v>
      </c>
      <c r="P1369" s="3">
        <v>4.3582746999999999</v>
      </c>
      <c r="Q1369" s="3">
        <v>4.3006365999999998</v>
      </c>
      <c r="R1369" s="3">
        <v>4.2464643999999998</v>
      </c>
      <c r="S1369" s="3">
        <v>4.1951840000000002</v>
      </c>
      <c r="T1369" s="3">
        <v>4.1462212999999997</v>
      </c>
      <c r="U1369" s="3">
        <v>4.0990023999999998</v>
      </c>
      <c r="V1369" s="3">
        <v>4.0529532000000001</v>
      </c>
      <c r="W1369" s="3">
        <v>4.0075968</v>
      </c>
      <c r="X1369" s="3">
        <v>3.9630065000000001</v>
      </c>
      <c r="Y1369" s="3">
        <v>3.9194491999999999</v>
      </c>
      <c r="Z1369" s="3">
        <v>3.8771917</v>
      </c>
      <c r="AA1369" s="3">
        <v>3.8365011</v>
      </c>
      <c r="AB1369" s="3">
        <v>3.7976443999999998</v>
      </c>
      <c r="AC1369" s="3">
        <v>3.7608343999999998</v>
      </c>
      <c r="AD1369" s="3">
        <v>3.7260678999999999</v>
      </c>
      <c r="AE1369" s="3">
        <v>3.6932874</v>
      </c>
      <c r="AF1369" s="3">
        <v>3.6624355</v>
      </c>
      <c r="AG1369" s="3">
        <v>3.6334547000000001</v>
      </c>
      <c r="AH1369" s="3">
        <v>3.6062875999999999</v>
      </c>
      <c r="AI1369" s="3">
        <v>3.5808768</v>
      </c>
      <c r="AJ1369" s="3">
        <v>3.5571647999999998</v>
      </c>
      <c r="AK1369" s="3">
        <v>3.5350942000000001</v>
      </c>
      <c r="AL1369" s="3">
        <v>3.5146076000000002</v>
      </c>
      <c r="AM1369" s="3">
        <v>3.4956475999999999</v>
      </c>
      <c r="AN1369" s="3">
        <v>3.4781567</v>
      </c>
      <c r="AO1369" s="3">
        <v>3.4620763999999999</v>
      </c>
      <c r="AP1369" s="3">
        <v>3.447343</v>
      </c>
      <c r="AQ1369" s="3">
        <v>3.4338910999999999</v>
      </c>
      <c r="AR1369" s="3">
        <v>3.4216554000000001</v>
      </c>
      <c r="AS1369" s="3">
        <v>3.4105704000000001</v>
      </c>
      <c r="AT1369" s="3">
        <v>3.4005709999999998</v>
      </c>
      <c r="AU1369" s="3">
        <v>3.3915917000000002</v>
      </c>
      <c r="AV1369" s="3">
        <v>3.3835671999999999</v>
      </c>
      <c r="AW1369" s="3">
        <v>3.3764319999999999</v>
      </c>
      <c r="AX1369" s="3">
        <v>3.3701210000000001</v>
      </c>
      <c r="AY1369" s="3">
        <v>3.3645687</v>
      </c>
      <c r="AZ1369" s="3">
        <v>3.3597098000000001</v>
      </c>
      <c r="BA1369" s="3">
        <v>3.3554857999999999</v>
      </c>
      <c r="BB1369" s="3">
        <v>3.3518686999999998</v>
      </c>
      <c r="BC1369" s="3">
        <v>3.3488387999999998</v>
      </c>
      <c r="BD1369" s="3">
        <v>3.3463763000000002</v>
      </c>
      <c r="BE1369" s="3">
        <v>3.3444617000000001</v>
      </c>
      <c r="BF1369" s="3">
        <v>3.3430751999999999</v>
      </c>
      <c r="BG1369" s="3">
        <v>3.3421972000000002</v>
      </c>
      <c r="BH1369" s="3">
        <v>3.3418079000000001</v>
      </c>
      <c r="BI1369" s="3">
        <v>3.3418877</v>
      </c>
      <c r="BJ1369" s="3">
        <v>3.3424170000000002</v>
      </c>
      <c r="BK1369" s="3">
        <v>3.3433760000000001</v>
      </c>
      <c r="BL1369" s="3">
        <v>3.3447450999999999</v>
      </c>
      <c r="BM1369" s="3">
        <v>3.3607122</v>
      </c>
      <c r="BN1369" s="3">
        <v>3.3879600000000001</v>
      </c>
    </row>
    <row r="1370" spans="1:66" x14ac:dyDescent="0.35">
      <c r="A1370" s="5">
        <f t="shared" si="21"/>
        <v>45372</v>
      </c>
      <c r="B1370" t="s">
        <v>2803</v>
      </c>
      <c r="C1370" s="2">
        <v>5.25</v>
      </c>
      <c r="D1370" s="2">
        <v>5.1894</v>
      </c>
      <c r="E1370" s="3">
        <v>5.1819683000000003</v>
      </c>
      <c r="F1370" s="3">
        <v>5.1280466999999996</v>
      </c>
      <c r="G1370" s="3">
        <v>5.0527375000000001</v>
      </c>
      <c r="H1370" s="3">
        <v>4.960528</v>
      </c>
      <c r="I1370" s="3">
        <v>4.8614145999999998</v>
      </c>
      <c r="J1370" s="3">
        <v>4.7608512000000003</v>
      </c>
      <c r="K1370" s="3">
        <v>4.6612742000000003</v>
      </c>
      <c r="L1370" s="3">
        <v>4.5645699999999998</v>
      </c>
      <c r="M1370" s="3">
        <v>4.4723674000000004</v>
      </c>
      <c r="N1370" s="3">
        <v>4.3862436999999996</v>
      </c>
      <c r="O1370" s="3">
        <v>4.3069856</v>
      </c>
      <c r="P1370" s="3">
        <v>4.2349113000000003</v>
      </c>
      <c r="Q1370" s="3">
        <v>4.1698639999999996</v>
      </c>
      <c r="R1370" s="3">
        <v>4.1110660000000001</v>
      </c>
      <c r="S1370" s="3">
        <v>4.0576081999999998</v>
      </c>
      <c r="T1370" s="3">
        <v>4.0085816000000003</v>
      </c>
      <c r="U1370" s="3">
        <v>3.9630773000000001</v>
      </c>
      <c r="V1370" s="3">
        <v>3.9201861999999998</v>
      </c>
      <c r="W1370" s="3">
        <v>3.8791226000000001</v>
      </c>
      <c r="X1370" s="3">
        <v>3.8397315000000001</v>
      </c>
      <c r="Y1370" s="3">
        <v>3.8020599000000002</v>
      </c>
      <c r="Z1370" s="3">
        <v>3.7661544999999998</v>
      </c>
      <c r="AA1370" s="3">
        <v>3.7320622999999999</v>
      </c>
      <c r="AB1370" s="3">
        <v>3.69983</v>
      </c>
      <c r="AC1370" s="3">
        <v>3.6694892000000001</v>
      </c>
      <c r="AD1370" s="3">
        <v>3.6409962</v>
      </c>
      <c r="AE1370" s="3">
        <v>3.6142843999999998</v>
      </c>
      <c r="AF1370" s="3">
        <v>3.5892873000000001</v>
      </c>
      <c r="AG1370" s="3">
        <v>3.5659382000000002</v>
      </c>
      <c r="AH1370" s="3">
        <v>3.5441707999999998</v>
      </c>
      <c r="AI1370" s="3">
        <v>3.5239183000000001</v>
      </c>
      <c r="AJ1370" s="3">
        <v>3.5051142999999998</v>
      </c>
      <c r="AK1370" s="3">
        <v>3.4876923</v>
      </c>
      <c r="AL1370" s="3">
        <v>3.4715855000000002</v>
      </c>
      <c r="AM1370" s="3">
        <v>3.4567275999999998</v>
      </c>
      <c r="AN1370" s="3">
        <v>3.4430518999999999</v>
      </c>
      <c r="AO1370" s="3">
        <v>3.4304942999999999</v>
      </c>
      <c r="AP1370" s="3">
        <v>3.4190006999999998</v>
      </c>
      <c r="AQ1370" s="3">
        <v>3.4085201000000001</v>
      </c>
      <c r="AR1370" s="3">
        <v>3.3990014</v>
      </c>
      <c r="AS1370" s="3">
        <v>3.3903935000000001</v>
      </c>
      <c r="AT1370" s="3">
        <v>3.3826453000000001</v>
      </c>
      <c r="AU1370" s="3">
        <v>3.3757055999999999</v>
      </c>
      <c r="AV1370" s="3">
        <v>3.3695233999999998</v>
      </c>
      <c r="AW1370" s="3">
        <v>3.3640474999999999</v>
      </c>
      <c r="AX1370" s="3">
        <v>3.3592270000000002</v>
      </c>
      <c r="AY1370" s="3">
        <v>3.3550105000000001</v>
      </c>
      <c r="AZ1370" s="3">
        <v>3.3513472000000002</v>
      </c>
      <c r="BA1370" s="3">
        <v>3.3481920999999999</v>
      </c>
      <c r="BB1370" s="3">
        <v>3.3455284000000001</v>
      </c>
      <c r="BC1370" s="3">
        <v>3.3433468999999998</v>
      </c>
      <c r="BD1370" s="3">
        <v>3.3416383999999999</v>
      </c>
      <c r="BE1370" s="3">
        <v>3.3403936999999999</v>
      </c>
      <c r="BF1370" s="3">
        <v>3.3396035999999998</v>
      </c>
      <c r="BG1370" s="3">
        <v>3.3392590000000002</v>
      </c>
      <c r="BH1370" s="3">
        <v>3.3393505999999999</v>
      </c>
      <c r="BI1370" s="3">
        <v>3.3398693000000002</v>
      </c>
      <c r="BJ1370" s="3">
        <v>3.3408058</v>
      </c>
      <c r="BK1370" s="3">
        <v>3.3421509999999999</v>
      </c>
      <c r="BL1370" s="3">
        <v>3.3438957</v>
      </c>
      <c r="BM1370" s="3">
        <v>3.3621493999999998</v>
      </c>
      <c r="BN1370" s="3">
        <v>3.3919290000000002</v>
      </c>
    </row>
    <row r="1371" spans="1:66" x14ac:dyDescent="0.35">
      <c r="A1371" s="5">
        <f t="shared" si="21"/>
        <v>45373</v>
      </c>
      <c r="B1371" t="s">
        <v>2804</v>
      </c>
      <c r="C1371" s="2">
        <v>5.25</v>
      </c>
      <c r="D1371" s="2">
        <v>5.1905999999999999</v>
      </c>
      <c r="E1371" s="3">
        <v>5.1805712000000002</v>
      </c>
      <c r="F1371" s="3">
        <v>5.1182898000000003</v>
      </c>
      <c r="G1371" s="3">
        <v>5.0372060000000003</v>
      </c>
      <c r="H1371" s="3">
        <v>4.9406043000000004</v>
      </c>
      <c r="I1371" s="3">
        <v>4.8376755999999999</v>
      </c>
      <c r="J1371" s="3">
        <v>4.7334883000000003</v>
      </c>
      <c r="K1371" s="3">
        <v>4.6303638999999999</v>
      </c>
      <c r="L1371" s="3">
        <v>4.5301131999999997</v>
      </c>
      <c r="M1371" s="3">
        <v>4.4343045999999999</v>
      </c>
      <c r="N1371" s="3">
        <v>4.3442696999999999</v>
      </c>
      <c r="O1371" s="3">
        <v>4.2607217000000004</v>
      </c>
      <c r="P1371" s="3">
        <v>4.1836630000000001</v>
      </c>
      <c r="Q1371" s="3">
        <v>4.1127266999999996</v>
      </c>
      <c r="R1371" s="3">
        <v>4.0474598000000004</v>
      </c>
      <c r="S1371" s="3">
        <v>3.9874071999999998</v>
      </c>
      <c r="T1371" s="3">
        <v>3.9321139999999999</v>
      </c>
      <c r="U1371" s="3">
        <v>3.8811252999999999</v>
      </c>
      <c r="V1371" s="3">
        <v>3.8339859999999999</v>
      </c>
      <c r="W1371" s="3">
        <v>3.7902733999999998</v>
      </c>
      <c r="X1371" s="3">
        <v>3.7497128000000002</v>
      </c>
      <c r="Y1371" s="3">
        <v>3.7120728999999999</v>
      </c>
      <c r="Z1371" s="3">
        <v>3.6771223000000002</v>
      </c>
      <c r="AA1371" s="3">
        <v>3.6446295000000002</v>
      </c>
      <c r="AB1371" s="3">
        <v>3.6143630999999998</v>
      </c>
      <c r="AC1371" s="3">
        <v>3.5861122999999999</v>
      </c>
      <c r="AD1371" s="3">
        <v>3.5597572999999998</v>
      </c>
      <c r="AE1371" s="3">
        <v>3.5352035000000002</v>
      </c>
      <c r="AF1371" s="3">
        <v>3.5123562000000002</v>
      </c>
      <c r="AG1371" s="3">
        <v>3.4911205999999999</v>
      </c>
      <c r="AH1371" s="3">
        <v>3.4714022</v>
      </c>
      <c r="AI1371" s="3">
        <v>3.4531063</v>
      </c>
      <c r="AJ1371" s="3">
        <v>3.4361381999999998</v>
      </c>
      <c r="AK1371" s="3">
        <v>3.4204031000000001</v>
      </c>
      <c r="AL1371" s="3">
        <v>3.4058066</v>
      </c>
      <c r="AM1371" s="3">
        <v>3.3922538000000002</v>
      </c>
      <c r="AN1371" s="3">
        <v>3.3796501000000001</v>
      </c>
      <c r="AO1371" s="3">
        <v>3.3679125000000001</v>
      </c>
      <c r="AP1371" s="3">
        <v>3.3570044999999999</v>
      </c>
      <c r="AQ1371" s="3">
        <v>3.3469015</v>
      </c>
      <c r="AR1371" s="3">
        <v>3.3375786000000001</v>
      </c>
      <c r="AS1371" s="3">
        <v>3.3290110999999998</v>
      </c>
      <c r="AT1371" s="3">
        <v>3.3211742000000002</v>
      </c>
      <c r="AU1371" s="3">
        <v>3.3140431000000001</v>
      </c>
      <c r="AV1371" s="3">
        <v>3.3075931999999999</v>
      </c>
      <c r="AW1371" s="3">
        <v>3.3017995999999998</v>
      </c>
      <c r="AX1371" s="3">
        <v>3.2966375000000001</v>
      </c>
      <c r="AY1371" s="3">
        <v>3.2920823000000001</v>
      </c>
      <c r="AZ1371" s="3">
        <v>3.2881090999999998</v>
      </c>
      <c r="BA1371" s="3">
        <v>3.2846951</v>
      </c>
      <c r="BB1371" s="3">
        <v>3.2818263999999999</v>
      </c>
      <c r="BC1371" s="3">
        <v>3.2794911</v>
      </c>
      <c r="BD1371" s="3">
        <v>3.2776776999999999</v>
      </c>
      <c r="BE1371" s="3">
        <v>3.2763745000000002</v>
      </c>
      <c r="BF1371" s="3">
        <v>3.2755697000000001</v>
      </c>
      <c r="BG1371" s="3">
        <v>3.2752517999999999</v>
      </c>
      <c r="BH1371" s="3">
        <v>3.2754089999999998</v>
      </c>
      <c r="BI1371" s="3">
        <v>3.2760297999999999</v>
      </c>
      <c r="BJ1371" s="3">
        <v>3.2771023000000001</v>
      </c>
      <c r="BK1371" s="3">
        <v>3.2786149999999998</v>
      </c>
      <c r="BL1371" s="3">
        <v>3.2805561999999999</v>
      </c>
      <c r="BM1371" s="3">
        <v>3.3005087</v>
      </c>
      <c r="BN1371" s="3">
        <v>3.3327081999999999</v>
      </c>
    </row>
    <row r="1372" spans="1:66" x14ac:dyDescent="0.35">
      <c r="A1372" s="5">
        <f t="shared" si="21"/>
        <v>45376</v>
      </c>
      <c r="B1372" t="s">
        <v>2805</v>
      </c>
      <c r="C1372" s="2">
        <v>5.25</v>
      </c>
      <c r="D1372" s="2">
        <v>5.1898</v>
      </c>
      <c r="E1372" s="3">
        <v>5.1833470999999998</v>
      </c>
      <c r="F1372" s="3">
        <v>5.1274128000000001</v>
      </c>
      <c r="G1372" s="3">
        <v>5.0521022999999996</v>
      </c>
      <c r="H1372" s="3">
        <v>4.9603653000000003</v>
      </c>
      <c r="I1372" s="3">
        <v>4.8621632000000004</v>
      </c>
      <c r="J1372" s="3">
        <v>4.7628551000000003</v>
      </c>
      <c r="K1372" s="3">
        <v>4.6644921999999998</v>
      </c>
      <c r="L1372" s="3">
        <v>4.5688373000000002</v>
      </c>
      <c r="M1372" s="3">
        <v>4.4777661999999996</v>
      </c>
      <c r="N1372" s="3">
        <v>4.3929359999999997</v>
      </c>
      <c r="O1372" s="3">
        <v>4.3151083999999997</v>
      </c>
      <c r="P1372" s="3">
        <v>4.2444288999999999</v>
      </c>
      <c r="Q1372" s="3">
        <v>4.1804885000000001</v>
      </c>
      <c r="R1372" s="3">
        <v>4.1224585999999999</v>
      </c>
      <c r="S1372" s="3">
        <v>4.0694363999999998</v>
      </c>
      <c r="T1372" s="3">
        <v>4.0205187999999996</v>
      </c>
      <c r="U1372" s="3">
        <v>3.9748030000000001</v>
      </c>
      <c r="V1372" s="3">
        <v>3.9313861999999999</v>
      </c>
      <c r="W1372" s="3">
        <v>3.88951</v>
      </c>
      <c r="X1372" s="3">
        <v>3.8490885000000001</v>
      </c>
      <c r="Y1372" s="3">
        <v>3.8102301000000001</v>
      </c>
      <c r="Z1372" s="3">
        <v>3.7730432999999999</v>
      </c>
      <c r="AA1372" s="3">
        <v>3.7376366000000001</v>
      </c>
      <c r="AB1372" s="3">
        <v>3.7041184999999999</v>
      </c>
      <c r="AC1372" s="3">
        <v>3.6725661000000001</v>
      </c>
      <c r="AD1372" s="3">
        <v>3.6429307</v>
      </c>
      <c r="AE1372" s="3">
        <v>3.6151323999999998</v>
      </c>
      <c r="AF1372" s="3">
        <v>3.5890911000000001</v>
      </c>
      <c r="AG1372" s="3">
        <v>3.5647266000000002</v>
      </c>
      <c r="AH1372" s="3">
        <v>3.5419591000000001</v>
      </c>
      <c r="AI1372" s="3">
        <v>3.5207084000000002</v>
      </c>
      <c r="AJ1372" s="3">
        <v>3.5008944</v>
      </c>
      <c r="AK1372" s="3">
        <v>3.4824372000000001</v>
      </c>
      <c r="AL1372" s="3">
        <v>3.4652566999999999</v>
      </c>
      <c r="AM1372" s="3">
        <v>3.4492728000000001</v>
      </c>
      <c r="AN1372" s="3">
        <v>3.4344055</v>
      </c>
      <c r="AO1372" s="3">
        <v>3.4205822000000001</v>
      </c>
      <c r="AP1372" s="3">
        <v>3.4077600000000001</v>
      </c>
      <c r="AQ1372" s="3">
        <v>3.3959033999999999</v>
      </c>
      <c r="AR1372" s="3">
        <v>3.3849771</v>
      </c>
      <c r="AS1372" s="3">
        <v>3.3749454000000001</v>
      </c>
      <c r="AT1372" s="3">
        <v>3.3657731000000002</v>
      </c>
      <c r="AU1372" s="3">
        <v>3.3574245999999999</v>
      </c>
      <c r="AV1372" s="3">
        <v>3.3498644999999998</v>
      </c>
      <c r="AW1372" s="3">
        <v>3.3430574000000002</v>
      </c>
      <c r="AX1372" s="3">
        <v>3.3369677000000002</v>
      </c>
      <c r="AY1372" s="3">
        <v>3.3315602000000002</v>
      </c>
      <c r="AZ1372" s="3">
        <v>3.3267992</v>
      </c>
      <c r="BA1372" s="3">
        <v>3.3226524</v>
      </c>
      <c r="BB1372" s="3">
        <v>3.3191044000000001</v>
      </c>
      <c r="BC1372" s="3">
        <v>3.3161450000000001</v>
      </c>
      <c r="BD1372" s="3">
        <v>3.3137642999999999</v>
      </c>
      <c r="BE1372" s="3">
        <v>3.3119524</v>
      </c>
      <c r="BF1372" s="3">
        <v>3.3106992000000002</v>
      </c>
      <c r="BG1372" s="3">
        <v>3.3099948000000001</v>
      </c>
      <c r="BH1372" s="3">
        <v>3.3098291999999998</v>
      </c>
      <c r="BI1372" s="3">
        <v>3.3101924999999999</v>
      </c>
      <c r="BJ1372" s="3">
        <v>3.3110746</v>
      </c>
      <c r="BK1372" s="3">
        <v>3.3124655999999999</v>
      </c>
      <c r="BL1372" s="3">
        <v>3.3143555</v>
      </c>
      <c r="BM1372" s="3">
        <v>3.3352501000000001</v>
      </c>
      <c r="BN1372" s="3">
        <v>3.3693628000000002</v>
      </c>
    </row>
    <row r="1373" spans="1:66" x14ac:dyDescent="0.35">
      <c r="A1373" s="5">
        <f t="shared" si="21"/>
        <v>45377</v>
      </c>
      <c r="B1373" t="s">
        <v>2806</v>
      </c>
      <c r="C1373" s="2">
        <v>5.25</v>
      </c>
      <c r="D1373" s="2">
        <v>5.1896000000000004</v>
      </c>
      <c r="E1373" s="3">
        <v>5.1827956999999998</v>
      </c>
      <c r="F1373" s="3">
        <v>5.1256915999999997</v>
      </c>
      <c r="G1373" s="3">
        <v>5.0485734000000004</v>
      </c>
      <c r="H1373" s="3">
        <v>4.9552148999999996</v>
      </c>
      <c r="I1373" s="3">
        <v>4.8562804000000002</v>
      </c>
      <c r="J1373" s="3">
        <v>4.7573954000000001</v>
      </c>
      <c r="K1373" s="3">
        <v>4.6609664999999998</v>
      </c>
      <c r="L1373" s="3">
        <v>4.5689513000000002</v>
      </c>
      <c r="M1373" s="3">
        <v>4.4830931999999999</v>
      </c>
      <c r="N1373" s="3">
        <v>4.4044480000000004</v>
      </c>
      <c r="O1373" s="3">
        <v>4.3329633000000003</v>
      </c>
      <c r="P1373" s="3">
        <v>4.2681424000000003</v>
      </c>
      <c r="Q1373" s="3">
        <v>4.2084415000000002</v>
      </c>
      <c r="R1373" s="3">
        <v>4.1529748</v>
      </c>
      <c r="S1373" s="3">
        <v>4.1011286</v>
      </c>
      <c r="T1373" s="3">
        <v>4.0522894000000003</v>
      </c>
      <c r="U1373" s="3">
        <v>4.0058433999999998</v>
      </c>
      <c r="V1373" s="3">
        <v>3.9611771999999998</v>
      </c>
      <c r="W1373" s="3">
        <v>3.9177729999999999</v>
      </c>
      <c r="X1373" s="3">
        <v>3.8755579999999998</v>
      </c>
      <c r="Y1373" s="3">
        <v>3.8345886999999999</v>
      </c>
      <c r="Z1373" s="3">
        <v>3.7949210999999998</v>
      </c>
      <c r="AA1373" s="3">
        <v>3.7566115</v>
      </c>
      <c r="AB1373" s="3">
        <v>3.7197162000000001</v>
      </c>
      <c r="AC1373" s="3">
        <v>3.6842831</v>
      </c>
      <c r="AD1373" s="3">
        <v>3.6503271000000002</v>
      </c>
      <c r="AE1373" s="3">
        <v>3.6178545999999998</v>
      </c>
      <c r="AF1373" s="3">
        <v>3.5868723</v>
      </c>
      <c r="AG1373" s="3">
        <v>3.5573866000000001</v>
      </c>
      <c r="AH1373" s="3">
        <v>3.5294042000000001</v>
      </c>
      <c r="AI1373" s="3">
        <v>3.5029314</v>
      </c>
      <c r="AJ1373" s="3">
        <v>3.4779749999999998</v>
      </c>
      <c r="AK1373" s="3">
        <v>3.4545412999999998</v>
      </c>
      <c r="AL1373" s="3">
        <v>3.4326371</v>
      </c>
      <c r="AM1373" s="3">
        <v>3.4122686999999998</v>
      </c>
      <c r="AN1373" s="3">
        <v>3.3934427</v>
      </c>
      <c r="AO1373" s="3">
        <v>3.3761583000000002</v>
      </c>
      <c r="AP1373" s="3">
        <v>3.3603706999999998</v>
      </c>
      <c r="AQ1373" s="3">
        <v>3.3460188</v>
      </c>
      <c r="AR1373" s="3">
        <v>3.3330416999999999</v>
      </c>
      <c r="AS1373" s="3">
        <v>3.3213783000000001</v>
      </c>
      <c r="AT1373" s="3">
        <v>3.3109674</v>
      </c>
      <c r="AU1373" s="3">
        <v>3.3017481000000002</v>
      </c>
      <c r="AV1373" s="3">
        <v>3.2936594000000001</v>
      </c>
      <c r="AW1373" s="3">
        <v>3.2866401000000001</v>
      </c>
      <c r="AX1373" s="3">
        <v>3.2806293000000002</v>
      </c>
      <c r="AY1373" s="3">
        <v>3.2755659000000001</v>
      </c>
      <c r="AZ1373" s="3">
        <v>3.2713888</v>
      </c>
      <c r="BA1373" s="3">
        <v>3.2680400999999999</v>
      </c>
      <c r="BB1373" s="3">
        <v>3.2654774</v>
      </c>
      <c r="BC1373" s="3">
        <v>3.2636630000000002</v>
      </c>
      <c r="BD1373" s="3">
        <v>3.2625589000000002</v>
      </c>
      <c r="BE1373" s="3">
        <v>3.2621273999999998</v>
      </c>
      <c r="BF1373" s="3">
        <v>3.2623307000000001</v>
      </c>
      <c r="BG1373" s="3">
        <v>3.263131</v>
      </c>
      <c r="BH1373" s="3">
        <v>3.2644905999999998</v>
      </c>
      <c r="BI1373" s="3">
        <v>3.2663715999999998</v>
      </c>
      <c r="BJ1373" s="3">
        <v>3.2687362000000002</v>
      </c>
      <c r="BK1373" s="3">
        <v>3.2715467</v>
      </c>
      <c r="BL1373" s="3">
        <v>3.2747652999999999</v>
      </c>
      <c r="BM1373" s="3">
        <v>3.301304</v>
      </c>
      <c r="BN1373" s="3">
        <v>3.3377072999999999</v>
      </c>
    </row>
    <row r="1374" spans="1:66" x14ac:dyDescent="0.35">
      <c r="A1374" s="5">
        <f t="shared" si="21"/>
        <v>45378</v>
      </c>
      <c r="B1374" t="s">
        <v>2807</v>
      </c>
      <c r="C1374" s="2">
        <v>5.25</v>
      </c>
      <c r="D1374" s="2">
        <v>5.1898999999999997</v>
      </c>
      <c r="E1374" s="3">
        <v>5.1814296000000004</v>
      </c>
      <c r="F1374" s="3">
        <v>5.1231903000000001</v>
      </c>
      <c r="G1374" s="3">
        <v>5.0458183999999999</v>
      </c>
      <c r="H1374" s="3">
        <v>4.9524743999999998</v>
      </c>
      <c r="I1374" s="3">
        <v>4.8528428999999997</v>
      </c>
      <c r="J1374" s="3">
        <v>4.7529013000000004</v>
      </c>
      <c r="K1374" s="3">
        <v>4.6551650999999996</v>
      </c>
      <c r="L1374" s="3">
        <v>4.5615345999999999</v>
      </c>
      <c r="M1374" s="3">
        <v>4.4736998000000003</v>
      </c>
      <c r="N1374" s="3">
        <v>4.3925289999999997</v>
      </c>
      <c r="O1374" s="3">
        <v>4.3181355999999997</v>
      </c>
      <c r="P1374" s="3">
        <v>4.2499878000000004</v>
      </c>
      <c r="Q1374" s="3">
        <v>4.1865880999999998</v>
      </c>
      <c r="R1374" s="3">
        <v>4.1271484000000003</v>
      </c>
      <c r="S1374" s="3">
        <v>4.0711487000000002</v>
      </c>
      <c r="T1374" s="3">
        <v>4.0180689000000003</v>
      </c>
      <c r="U1374" s="3">
        <v>3.9673889999999998</v>
      </c>
      <c r="V1374" s="3">
        <v>3.9185891000000002</v>
      </c>
      <c r="W1374" s="3">
        <v>3.8712279999999999</v>
      </c>
      <c r="X1374" s="3">
        <v>3.8253111</v>
      </c>
      <c r="Y1374" s="3">
        <v>3.7810008000000002</v>
      </c>
      <c r="Z1374" s="3">
        <v>3.7384596000000001</v>
      </c>
      <c r="AA1374" s="3">
        <v>3.6978499999999999</v>
      </c>
      <c r="AB1374" s="3">
        <v>3.6593347999999999</v>
      </c>
      <c r="AC1374" s="3">
        <v>3.6230381</v>
      </c>
      <c r="AD1374" s="3">
        <v>3.5889308999999998</v>
      </c>
      <c r="AE1374" s="3">
        <v>3.5569462000000001</v>
      </c>
      <c r="AF1374" s="3">
        <v>3.5270166000000001</v>
      </c>
      <c r="AG1374" s="3">
        <v>3.4990749999999999</v>
      </c>
      <c r="AH1374" s="3">
        <v>3.4730539999999999</v>
      </c>
      <c r="AI1374" s="3">
        <v>3.4488865</v>
      </c>
      <c r="AJ1374" s="3">
        <v>3.4265053000000001</v>
      </c>
      <c r="AK1374" s="3">
        <v>3.4058430999999998</v>
      </c>
      <c r="AL1374" s="3">
        <v>3.3868328000000001</v>
      </c>
      <c r="AM1374" s="3">
        <v>3.3694069999999998</v>
      </c>
      <c r="AN1374" s="3">
        <v>3.3534985000000002</v>
      </c>
      <c r="AO1374" s="3">
        <v>3.3390398999999999</v>
      </c>
      <c r="AP1374" s="3">
        <v>3.3259615</v>
      </c>
      <c r="AQ1374" s="3">
        <v>3.3141935</v>
      </c>
      <c r="AR1374" s="3">
        <v>3.3036658000000001</v>
      </c>
      <c r="AS1374" s="3">
        <v>3.2943082000000001</v>
      </c>
      <c r="AT1374" s="3">
        <v>3.2860507000000001</v>
      </c>
      <c r="AU1374" s="3">
        <v>3.2788233999999998</v>
      </c>
      <c r="AV1374" s="3">
        <v>3.2725559999999998</v>
      </c>
      <c r="AW1374" s="3">
        <v>3.2671785999999998</v>
      </c>
      <c r="AX1374" s="3">
        <v>3.2626211000000001</v>
      </c>
      <c r="AY1374" s="3">
        <v>3.2588135</v>
      </c>
      <c r="AZ1374" s="3">
        <v>3.2556856999999999</v>
      </c>
      <c r="BA1374" s="3">
        <v>3.2531747000000002</v>
      </c>
      <c r="BB1374" s="3">
        <v>3.2512493999999998</v>
      </c>
      <c r="BC1374" s="3">
        <v>3.2498868999999999</v>
      </c>
      <c r="BD1374" s="3">
        <v>3.2490648000000002</v>
      </c>
      <c r="BE1374" s="3">
        <v>3.2487602999999998</v>
      </c>
      <c r="BF1374" s="3">
        <v>3.2489509000000001</v>
      </c>
      <c r="BG1374" s="3">
        <v>3.2496139999999998</v>
      </c>
      <c r="BH1374" s="3">
        <v>3.2507267999999998</v>
      </c>
      <c r="BI1374" s="3">
        <v>3.2522669</v>
      </c>
      <c r="BJ1374" s="3">
        <v>3.2542114999999998</v>
      </c>
      <c r="BK1374" s="3">
        <v>3.2565379999999999</v>
      </c>
      <c r="BL1374" s="3">
        <v>3.2592238999999998</v>
      </c>
      <c r="BM1374" s="3">
        <v>3.2820238000000002</v>
      </c>
      <c r="BN1374" s="3">
        <v>3.3145215000000001</v>
      </c>
    </row>
    <row r="1375" spans="1:66" x14ac:dyDescent="0.35">
      <c r="A1375" s="5">
        <f t="shared" si="21"/>
        <v>45379</v>
      </c>
      <c r="B1375" t="s">
        <v>2808</v>
      </c>
      <c r="C1375" s="2">
        <v>5.25</v>
      </c>
      <c r="D1375" s="2">
        <v>5.1910999999999996</v>
      </c>
      <c r="E1375" s="3">
        <v>5.1827949000000002</v>
      </c>
      <c r="F1375" s="3">
        <v>5.1285198000000003</v>
      </c>
      <c r="G1375" s="3">
        <v>5.0548387000000004</v>
      </c>
      <c r="H1375" s="3">
        <v>4.9650426999999997</v>
      </c>
      <c r="I1375" s="3">
        <v>4.8685887000000001</v>
      </c>
      <c r="J1375" s="3">
        <v>4.7708037000000001</v>
      </c>
      <c r="K1375" s="3">
        <v>4.6732193999999998</v>
      </c>
      <c r="L1375" s="3">
        <v>4.5769532999999996</v>
      </c>
      <c r="M1375" s="3">
        <v>4.4834965000000002</v>
      </c>
      <c r="N1375" s="3">
        <v>4.3944428000000002</v>
      </c>
      <c r="O1375" s="3">
        <v>4.3108747999999997</v>
      </c>
      <c r="P1375" s="3">
        <v>4.2335022000000002</v>
      </c>
      <c r="Q1375" s="3">
        <v>4.1628106999999996</v>
      </c>
      <c r="R1375" s="3">
        <v>4.0982380999999997</v>
      </c>
      <c r="S1375" s="3">
        <v>4.0389508999999997</v>
      </c>
      <c r="T1375" s="3">
        <v>3.9841156</v>
      </c>
      <c r="U1375" s="3">
        <v>3.9328987999999998</v>
      </c>
      <c r="V1375" s="3">
        <v>3.8844672</v>
      </c>
      <c r="W1375" s="3">
        <v>3.8381015999999999</v>
      </c>
      <c r="X1375" s="3">
        <v>3.7936679</v>
      </c>
      <c r="Y1375" s="3">
        <v>3.7512194000000001</v>
      </c>
      <c r="Z1375" s="3">
        <v>3.7108089999999998</v>
      </c>
      <c r="AA1375" s="3">
        <v>3.6724899</v>
      </c>
      <c r="AB1375" s="3">
        <v>3.6363153000000001</v>
      </c>
      <c r="AC1375" s="3">
        <v>3.6023209999999999</v>
      </c>
      <c r="AD1375" s="3">
        <v>3.5704589000000002</v>
      </c>
      <c r="AE1375" s="3">
        <v>3.5406553999999999</v>
      </c>
      <c r="AF1375" s="3">
        <v>3.5128368999999999</v>
      </c>
      <c r="AG1375" s="3">
        <v>3.4869297000000001</v>
      </c>
      <c r="AH1375" s="3">
        <v>3.4628603</v>
      </c>
      <c r="AI1375" s="3">
        <v>3.4405549</v>
      </c>
      <c r="AJ1375" s="3">
        <v>3.41994</v>
      </c>
      <c r="AK1375" s="3">
        <v>3.4009420000000001</v>
      </c>
      <c r="AL1375" s="3">
        <v>3.3834871</v>
      </c>
      <c r="AM1375" s="3">
        <v>3.3675017999999999</v>
      </c>
      <c r="AN1375" s="3">
        <v>3.3529125</v>
      </c>
      <c r="AO1375" s="3">
        <v>3.3396465000000002</v>
      </c>
      <c r="AP1375" s="3">
        <v>3.3276360999999999</v>
      </c>
      <c r="AQ1375" s="3">
        <v>3.3168153999999999</v>
      </c>
      <c r="AR1375" s="3">
        <v>3.307118</v>
      </c>
      <c r="AS1375" s="3">
        <v>3.2984779999999998</v>
      </c>
      <c r="AT1375" s="3">
        <v>3.2908290999999998</v>
      </c>
      <c r="AU1375" s="3">
        <v>3.2841051999999999</v>
      </c>
      <c r="AV1375" s="3">
        <v>3.2782401999999999</v>
      </c>
      <c r="AW1375" s="3">
        <v>3.2731680999999999</v>
      </c>
      <c r="AX1375" s="3">
        <v>3.2688225000000002</v>
      </c>
      <c r="AY1375" s="3">
        <v>3.2651374</v>
      </c>
      <c r="AZ1375" s="3">
        <v>3.2620467999999998</v>
      </c>
      <c r="BA1375" s="3">
        <v>3.2594922</v>
      </c>
      <c r="BB1375" s="3">
        <v>3.2574502999999999</v>
      </c>
      <c r="BC1375" s="3">
        <v>3.2559073000000001</v>
      </c>
      <c r="BD1375" s="3">
        <v>3.2548493000000001</v>
      </c>
      <c r="BE1375" s="3">
        <v>3.2542624</v>
      </c>
      <c r="BF1375" s="3">
        <v>3.2541327999999998</v>
      </c>
      <c r="BG1375" s="3">
        <v>3.2544466999999999</v>
      </c>
      <c r="BH1375" s="3">
        <v>3.2551901999999999</v>
      </c>
      <c r="BI1375" s="3">
        <v>3.2563496000000001</v>
      </c>
      <c r="BJ1375" s="3">
        <v>3.2579107999999999</v>
      </c>
      <c r="BK1375" s="3">
        <v>3.2598601</v>
      </c>
      <c r="BL1375" s="3">
        <v>3.2621837</v>
      </c>
      <c r="BM1375" s="3">
        <v>3.2833437999999999</v>
      </c>
      <c r="BN1375" s="3">
        <v>3.3153028999999998</v>
      </c>
    </row>
    <row r="1376" spans="1:66" x14ac:dyDescent="0.35">
      <c r="A1376" s="5">
        <f t="shared" si="21"/>
        <v>45380</v>
      </c>
      <c r="B1376" t="s">
        <v>2809</v>
      </c>
      <c r="C1376" s="2">
        <v>5.25</v>
      </c>
      <c r="D1376" s="2" t="e">
        <v>#N/A</v>
      </c>
      <c r="E1376" s="3" t="e">
        <v>#N/A</v>
      </c>
      <c r="F1376" s="3" t="e">
        <v>#N/A</v>
      </c>
      <c r="G1376" s="3" t="e">
        <v>#N/A</v>
      </c>
      <c r="H1376" s="3" t="e">
        <v>#N/A</v>
      </c>
      <c r="I1376" s="3" t="e">
        <v>#N/A</v>
      </c>
      <c r="J1376" s="3" t="e">
        <v>#N/A</v>
      </c>
      <c r="K1376" s="3" t="e">
        <v>#N/A</v>
      </c>
      <c r="L1376" s="3" t="e">
        <v>#N/A</v>
      </c>
      <c r="M1376" s="3" t="e">
        <v>#N/A</v>
      </c>
      <c r="N1376" s="3" t="e">
        <v>#N/A</v>
      </c>
      <c r="O1376" s="3" t="e">
        <v>#N/A</v>
      </c>
      <c r="P1376" s="3" t="e">
        <v>#N/A</v>
      </c>
      <c r="Q1376" s="3" t="e">
        <v>#N/A</v>
      </c>
      <c r="R1376" s="3" t="e">
        <v>#N/A</v>
      </c>
      <c r="S1376" s="3" t="e">
        <v>#N/A</v>
      </c>
      <c r="T1376" s="3" t="e">
        <v>#N/A</v>
      </c>
      <c r="U1376" s="3" t="e">
        <v>#N/A</v>
      </c>
      <c r="V1376" s="3" t="e">
        <v>#N/A</v>
      </c>
      <c r="W1376" s="3" t="e">
        <v>#N/A</v>
      </c>
      <c r="X1376" s="3" t="e">
        <v>#N/A</v>
      </c>
      <c r="Y1376" s="3" t="e">
        <v>#N/A</v>
      </c>
      <c r="Z1376" s="3" t="e">
        <v>#N/A</v>
      </c>
      <c r="AA1376" s="3" t="e">
        <v>#N/A</v>
      </c>
      <c r="AB1376" s="3" t="e">
        <v>#N/A</v>
      </c>
      <c r="AC1376" s="3" t="e">
        <v>#N/A</v>
      </c>
      <c r="AD1376" s="3" t="e">
        <v>#N/A</v>
      </c>
      <c r="AE1376" s="3" t="e">
        <v>#N/A</v>
      </c>
      <c r="AF1376" s="3" t="e">
        <v>#N/A</v>
      </c>
      <c r="AG1376" s="3" t="e">
        <v>#N/A</v>
      </c>
      <c r="AH1376" s="3" t="e">
        <v>#N/A</v>
      </c>
      <c r="AI1376" s="3" t="e">
        <v>#N/A</v>
      </c>
      <c r="AJ1376" s="3" t="e">
        <v>#N/A</v>
      </c>
      <c r="AK1376" s="3" t="e">
        <v>#N/A</v>
      </c>
      <c r="AL1376" s="3" t="e">
        <v>#N/A</v>
      </c>
      <c r="AM1376" s="3" t="e">
        <v>#N/A</v>
      </c>
      <c r="AN1376" s="3" t="e">
        <v>#N/A</v>
      </c>
      <c r="AO1376" s="3" t="e">
        <v>#N/A</v>
      </c>
      <c r="AP1376" s="3" t="e">
        <v>#N/A</v>
      </c>
      <c r="AQ1376" s="3" t="e">
        <v>#N/A</v>
      </c>
      <c r="AR1376" s="3" t="e">
        <v>#N/A</v>
      </c>
      <c r="AS1376" s="3" t="e">
        <v>#N/A</v>
      </c>
      <c r="AT1376" s="3" t="e">
        <v>#N/A</v>
      </c>
      <c r="AU1376" s="3" t="e">
        <v>#N/A</v>
      </c>
      <c r="AV1376" s="3" t="e">
        <v>#N/A</v>
      </c>
      <c r="AW1376" s="3" t="e">
        <v>#N/A</v>
      </c>
      <c r="AX1376" s="3" t="e">
        <v>#N/A</v>
      </c>
      <c r="AY1376" s="3" t="e">
        <v>#N/A</v>
      </c>
      <c r="AZ1376" s="3" t="e">
        <v>#N/A</v>
      </c>
      <c r="BA1376" s="3" t="e">
        <v>#N/A</v>
      </c>
      <c r="BB1376" s="3" t="e">
        <v>#N/A</v>
      </c>
      <c r="BC1376" s="3" t="e">
        <v>#N/A</v>
      </c>
      <c r="BD1376" s="3" t="e">
        <v>#N/A</v>
      </c>
      <c r="BE1376" s="3" t="e">
        <v>#N/A</v>
      </c>
      <c r="BF1376" s="3" t="e">
        <v>#N/A</v>
      </c>
      <c r="BG1376" s="3" t="e">
        <v>#N/A</v>
      </c>
      <c r="BH1376" s="3" t="e">
        <v>#N/A</v>
      </c>
      <c r="BI1376" s="3" t="e">
        <v>#N/A</v>
      </c>
      <c r="BJ1376" s="3" t="e">
        <v>#N/A</v>
      </c>
      <c r="BK1376" s="3" t="e">
        <v>#N/A</v>
      </c>
      <c r="BL1376" s="3" t="e">
        <v>#N/A</v>
      </c>
      <c r="BM1376" s="3" t="e">
        <v>#N/A</v>
      </c>
      <c r="BN1376" s="3" t="e">
        <v>#N/A</v>
      </c>
    </row>
    <row r="1377" spans="1:66" x14ac:dyDescent="0.35">
      <c r="A1377" s="5">
        <f t="shared" si="21"/>
        <v>45383</v>
      </c>
      <c r="B1377" t="s">
        <v>2810</v>
      </c>
      <c r="C1377" s="2">
        <v>5.25</v>
      </c>
      <c r="D1377" s="2" t="e">
        <v>#N/A</v>
      </c>
      <c r="E1377" s="3" t="e">
        <v>#N/A</v>
      </c>
      <c r="F1377" s="3" t="e">
        <v>#N/A</v>
      </c>
      <c r="G1377" s="3" t="e">
        <v>#N/A</v>
      </c>
      <c r="H1377" s="3" t="e">
        <v>#N/A</v>
      </c>
      <c r="I1377" s="3" t="e">
        <v>#N/A</v>
      </c>
      <c r="J1377" s="3" t="e">
        <v>#N/A</v>
      </c>
      <c r="K1377" s="3" t="e">
        <v>#N/A</v>
      </c>
      <c r="L1377" s="3" t="e">
        <v>#N/A</v>
      </c>
      <c r="M1377" s="3" t="e">
        <v>#N/A</v>
      </c>
      <c r="N1377" s="3" t="e">
        <v>#N/A</v>
      </c>
      <c r="O1377" s="3" t="e">
        <v>#N/A</v>
      </c>
      <c r="P1377" s="3" t="e">
        <v>#N/A</v>
      </c>
      <c r="Q1377" s="3" t="e">
        <v>#N/A</v>
      </c>
      <c r="R1377" s="3" t="e">
        <v>#N/A</v>
      </c>
      <c r="S1377" s="3" t="e">
        <v>#N/A</v>
      </c>
      <c r="T1377" s="3" t="e">
        <v>#N/A</v>
      </c>
      <c r="U1377" s="3" t="e">
        <v>#N/A</v>
      </c>
      <c r="V1377" s="3" t="e">
        <v>#N/A</v>
      </c>
      <c r="W1377" s="3" t="e">
        <v>#N/A</v>
      </c>
      <c r="X1377" s="3" t="e">
        <v>#N/A</v>
      </c>
      <c r="Y1377" s="3" t="e">
        <v>#N/A</v>
      </c>
      <c r="Z1377" s="3" t="e">
        <v>#N/A</v>
      </c>
      <c r="AA1377" s="3" t="e">
        <v>#N/A</v>
      </c>
      <c r="AB1377" s="3" t="e">
        <v>#N/A</v>
      </c>
      <c r="AC1377" s="3" t="e">
        <v>#N/A</v>
      </c>
      <c r="AD1377" s="3" t="e">
        <v>#N/A</v>
      </c>
      <c r="AE1377" s="3" t="e">
        <v>#N/A</v>
      </c>
      <c r="AF1377" s="3" t="e">
        <v>#N/A</v>
      </c>
      <c r="AG1377" s="3" t="e">
        <v>#N/A</v>
      </c>
      <c r="AH1377" s="3" t="e">
        <v>#N/A</v>
      </c>
      <c r="AI1377" s="3" t="e">
        <v>#N/A</v>
      </c>
      <c r="AJ1377" s="3" t="e">
        <v>#N/A</v>
      </c>
      <c r="AK1377" s="3" t="e">
        <v>#N/A</v>
      </c>
      <c r="AL1377" s="3" t="e">
        <v>#N/A</v>
      </c>
      <c r="AM1377" s="3" t="e">
        <v>#N/A</v>
      </c>
      <c r="AN1377" s="3" t="e">
        <v>#N/A</v>
      </c>
      <c r="AO1377" s="3" t="e">
        <v>#N/A</v>
      </c>
      <c r="AP1377" s="3" t="e">
        <v>#N/A</v>
      </c>
      <c r="AQ1377" s="3" t="e">
        <v>#N/A</v>
      </c>
      <c r="AR1377" s="3" t="e">
        <v>#N/A</v>
      </c>
      <c r="AS1377" s="3" t="e">
        <v>#N/A</v>
      </c>
      <c r="AT1377" s="3" t="e">
        <v>#N/A</v>
      </c>
      <c r="AU1377" s="3" t="e">
        <v>#N/A</v>
      </c>
      <c r="AV1377" s="3" t="e">
        <v>#N/A</v>
      </c>
      <c r="AW1377" s="3" t="e">
        <v>#N/A</v>
      </c>
      <c r="AX1377" s="3" t="e">
        <v>#N/A</v>
      </c>
      <c r="AY1377" s="3" t="e">
        <v>#N/A</v>
      </c>
      <c r="AZ1377" s="3" t="e">
        <v>#N/A</v>
      </c>
      <c r="BA1377" s="3" t="e">
        <v>#N/A</v>
      </c>
      <c r="BB1377" s="3" t="e">
        <v>#N/A</v>
      </c>
      <c r="BC1377" s="3" t="e">
        <v>#N/A</v>
      </c>
      <c r="BD1377" s="3" t="e">
        <v>#N/A</v>
      </c>
      <c r="BE1377" s="3" t="e">
        <v>#N/A</v>
      </c>
      <c r="BF1377" s="3" t="e">
        <v>#N/A</v>
      </c>
      <c r="BG1377" s="3" t="e">
        <v>#N/A</v>
      </c>
      <c r="BH1377" s="3" t="e">
        <v>#N/A</v>
      </c>
      <c r="BI1377" s="3" t="e">
        <v>#N/A</v>
      </c>
      <c r="BJ1377" s="3" t="e">
        <v>#N/A</v>
      </c>
      <c r="BK1377" s="3" t="e">
        <v>#N/A</v>
      </c>
      <c r="BL1377" s="3" t="e">
        <v>#N/A</v>
      </c>
      <c r="BM1377" s="3" t="e">
        <v>#N/A</v>
      </c>
      <c r="BN1377" s="3" t="e">
        <v>#N/A</v>
      </c>
    </row>
    <row r="1378" spans="1:66" x14ac:dyDescent="0.35">
      <c r="A1378" s="5">
        <f t="shared" si="21"/>
        <v>45384</v>
      </c>
      <c r="B1378" t="s">
        <v>2811</v>
      </c>
      <c r="C1378" s="2">
        <v>5.25</v>
      </c>
      <c r="D1378" s="2">
        <v>5.1955999999999998</v>
      </c>
      <c r="E1378" s="3">
        <v>5.1807489000000002</v>
      </c>
      <c r="F1378" s="3">
        <v>5.1199563000000001</v>
      </c>
      <c r="G1378" s="3">
        <v>5.0432068000000001</v>
      </c>
      <c r="H1378" s="3">
        <v>4.9538124000000003</v>
      </c>
      <c r="I1378" s="3">
        <v>4.8601742000000003</v>
      </c>
      <c r="J1378" s="3">
        <v>4.7672806999999997</v>
      </c>
      <c r="K1378" s="3">
        <v>4.6768675000000002</v>
      </c>
      <c r="L1378" s="3">
        <v>4.5904147000000002</v>
      </c>
      <c r="M1378" s="3">
        <v>4.5095264000000004</v>
      </c>
      <c r="N1378" s="3">
        <v>4.4349691</v>
      </c>
      <c r="O1378" s="3">
        <v>4.3666137999999997</v>
      </c>
      <c r="P1378" s="3">
        <v>4.3040203999999997</v>
      </c>
      <c r="Q1378" s="3">
        <v>4.2453968</v>
      </c>
      <c r="R1378" s="3">
        <v>4.1899965000000003</v>
      </c>
      <c r="S1378" s="3">
        <v>4.1374545999999999</v>
      </c>
      <c r="T1378" s="3">
        <v>4.0874059999999997</v>
      </c>
      <c r="U1378" s="3">
        <v>4.0394857999999996</v>
      </c>
      <c r="V1378" s="3">
        <v>3.9933290000000001</v>
      </c>
      <c r="W1378" s="3">
        <v>3.9486531999999999</v>
      </c>
      <c r="X1378" s="3">
        <v>3.9055230000000001</v>
      </c>
      <c r="Y1378" s="3">
        <v>3.8640941</v>
      </c>
      <c r="Z1378" s="3">
        <v>3.8245222999999999</v>
      </c>
      <c r="AA1378" s="3">
        <v>3.7869633999999999</v>
      </c>
      <c r="AB1378" s="3">
        <v>3.751573</v>
      </c>
      <c r="AC1378" s="3">
        <v>3.7184637</v>
      </c>
      <c r="AD1378" s="3">
        <v>3.6875748000000002</v>
      </c>
      <c r="AE1378" s="3">
        <v>3.6588023999999999</v>
      </c>
      <c r="AF1378" s="3">
        <v>3.6320424999999998</v>
      </c>
      <c r="AG1378" s="3">
        <v>3.6071911999999999</v>
      </c>
      <c r="AH1378" s="3">
        <v>3.5841447</v>
      </c>
      <c r="AI1378" s="3">
        <v>3.5627989000000002</v>
      </c>
      <c r="AJ1378" s="3">
        <v>3.54305</v>
      </c>
      <c r="AK1378" s="3">
        <v>3.524794</v>
      </c>
      <c r="AL1378" s="3">
        <v>3.5079269000000002</v>
      </c>
      <c r="AM1378" s="3">
        <v>3.4923449999999998</v>
      </c>
      <c r="AN1378" s="3">
        <v>3.4779442</v>
      </c>
      <c r="AO1378" s="3">
        <v>3.4646324000000002</v>
      </c>
      <c r="AP1378" s="3">
        <v>3.4523640000000002</v>
      </c>
      <c r="AQ1378" s="3">
        <v>3.4411054999999999</v>
      </c>
      <c r="AR1378" s="3">
        <v>3.4308230000000002</v>
      </c>
      <c r="AS1378" s="3">
        <v>3.4214829</v>
      </c>
      <c r="AT1378" s="3">
        <v>3.4130514999999999</v>
      </c>
      <c r="AU1378" s="3">
        <v>3.4054950000000002</v>
      </c>
      <c r="AV1378" s="3">
        <v>3.3987797999999998</v>
      </c>
      <c r="AW1378" s="3">
        <v>3.3928721999999998</v>
      </c>
      <c r="AX1378" s="3">
        <v>3.3877383000000001</v>
      </c>
      <c r="AY1378" s="3">
        <v>3.3833446</v>
      </c>
      <c r="AZ1378" s="3">
        <v>3.3796572999999999</v>
      </c>
      <c r="BA1378" s="3">
        <v>3.3766452</v>
      </c>
      <c r="BB1378" s="3">
        <v>3.3742885999999999</v>
      </c>
      <c r="BC1378" s="3">
        <v>3.3725717</v>
      </c>
      <c r="BD1378" s="3">
        <v>3.3714786000000001</v>
      </c>
      <c r="BE1378" s="3">
        <v>3.3709932999999999</v>
      </c>
      <c r="BF1378" s="3">
        <v>3.3710998999999999</v>
      </c>
      <c r="BG1378" s="3">
        <v>3.3717825000000001</v>
      </c>
      <c r="BH1378" s="3">
        <v>3.3730251999999998</v>
      </c>
      <c r="BI1378" s="3">
        <v>3.3748121000000002</v>
      </c>
      <c r="BJ1378" s="3">
        <v>3.3771271</v>
      </c>
      <c r="BK1378" s="3">
        <v>3.3799545000000002</v>
      </c>
      <c r="BL1378" s="3">
        <v>3.3832781999999999</v>
      </c>
      <c r="BM1378" s="3">
        <v>3.4124666000000001</v>
      </c>
      <c r="BN1378" s="3">
        <v>3.4537561000000001</v>
      </c>
    </row>
    <row r="1379" spans="1:66" x14ac:dyDescent="0.35">
      <c r="A1379" s="5">
        <f t="shared" si="21"/>
        <v>45385</v>
      </c>
      <c r="B1379" t="s">
        <v>2812</v>
      </c>
      <c r="C1379" s="2">
        <v>5.25</v>
      </c>
      <c r="D1379" s="2">
        <v>5.1951999999999998</v>
      </c>
      <c r="E1379" s="3">
        <v>5.1797674000000002</v>
      </c>
      <c r="F1379" s="3">
        <v>5.1131197999999998</v>
      </c>
      <c r="G1379" s="3">
        <v>5.0320872000000003</v>
      </c>
      <c r="H1379" s="3">
        <v>4.9409016000000001</v>
      </c>
      <c r="I1379" s="3">
        <v>4.8471025000000001</v>
      </c>
      <c r="J1379" s="3">
        <v>4.7546426999999998</v>
      </c>
      <c r="K1379" s="3">
        <v>4.6646348</v>
      </c>
      <c r="L1379" s="3">
        <v>4.5782068999999996</v>
      </c>
      <c r="M1379" s="3">
        <v>4.4967781999999996</v>
      </c>
      <c r="N1379" s="3">
        <v>4.4211358000000001</v>
      </c>
      <c r="O1379" s="3">
        <v>4.3513992000000004</v>
      </c>
      <c r="P1379" s="3">
        <v>4.2873410999999999</v>
      </c>
      <c r="Q1379" s="3">
        <v>4.2279173999999999</v>
      </c>
      <c r="R1379" s="3">
        <v>4.1723540000000003</v>
      </c>
      <c r="S1379" s="3">
        <v>4.1200009</v>
      </c>
      <c r="T1379" s="3">
        <v>4.0702081000000003</v>
      </c>
      <c r="U1379" s="3">
        <v>4.0223256000000003</v>
      </c>
      <c r="V1379" s="3">
        <v>3.9757031999999999</v>
      </c>
      <c r="W1379" s="3">
        <v>3.9298372000000001</v>
      </c>
      <c r="X1379" s="3">
        <v>3.8848389000000001</v>
      </c>
      <c r="Y1379" s="3">
        <v>3.8409808999999999</v>
      </c>
      <c r="Z1379" s="3">
        <v>3.7985359999999999</v>
      </c>
      <c r="AA1379" s="3">
        <v>3.7577766000000001</v>
      </c>
      <c r="AB1379" s="3">
        <v>3.7189757000000001</v>
      </c>
      <c r="AC1379" s="3">
        <v>3.6823695999999999</v>
      </c>
      <c r="AD1379" s="3">
        <v>3.6479794000000001</v>
      </c>
      <c r="AE1379" s="3">
        <v>3.6157465000000002</v>
      </c>
      <c r="AF1379" s="3">
        <v>3.5856124</v>
      </c>
      <c r="AG1379" s="3">
        <v>3.5575185</v>
      </c>
      <c r="AH1379" s="3">
        <v>3.531406</v>
      </c>
      <c r="AI1379" s="3">
        <v>3.5072165000000002</v>
      </c>
      <c r="AJ1379" s="3">
        <v>3.4848911999999999</v>
      </c>
      <c r="AK1379" s="3">
        <v>3.4643714999999999</v>
      </c>
      <c r="AL1379" s="3">
        <v>3.4455988999999998</v>
      </c>
      <c r="AM1379" s="3">
        <v>3.4285147</v>
      </c>
      <c r="AN1379" s="3">
        <v>3.4130603000000002</v>
      </c>
      <c r="AO1379" s="3">
        <v>3.3991739999999999</v>
      </c>
      <c r="AP1379" s="3">
        <v>3.3867786999999998</v>
      </c>
      <c r="AQ1379" s="3">
        <v>3.3757929999999998</v>
      </c>
      <c r="AR1379" s="3">
        <v>3.3661352999999998</v>
      </c>
      <c r="AS1379" s="3">
        <v>3.3577240000000002</v>
      </c>
      <c r="AT1379" s="3">
        <v>3.3504775000000002</v>
      </c>
      <c r="AU1379" s="3">
        <v>3.3443143000000002</v>
      </c>
      <c r="AV1379" s="3">
        <v>3.3391527999999999</v>
      </c>
      <c r="AW1379" s="3">
        <v>3.3349114000000002</v>
      </c>
      <c r="AX1379" s="3">
        <v>3.3315085999999998</v>
      </c>
      <c r="AY1379" s="3">
        <v>3.3288628999999998</v>
      </c>
      <c r="AZ1379" s="3">
        <v>3.3268925</v>
      </c>
      <c r="BA1379" s="3">
        <v>3.3255251000000001</v>
      </c>
      <c r="BB1379" s="3">
        <v>3.3247281000000002</v>
      </c>
      <c r="BC1379" s="3">
        <v>3.3244799</v>
      </c>
      <c r="BD1379" s="3">
        <v>3.3247591999999999</v>
      </c>
      <c r="BE1379" s="3">
        <v>3.3255442999999998</v>
      </c>
      <c r="BF1379" s="3">
        <v>3.3268138999999999</v>
      </c>
      <c r="BG1379" s="3">
        <v>3.3285463000000002</v>
      </c>
      <c r="BH1379" s="3">
        <v>3.3307202</v>
      </c>
      <c r="BI1379" s="3">
        <v>3.3333138999999998</v>
      </c>
      <c r="BJ1379" s="3">
        <v>3.3363060999999998</v>
      </c>
      <c r="BK1379" s="3">
        <v>3.3396751</v>
      </c>
      <c r="BL1379" s="3">
        <v>3.3433996000000001</v>
      </c>
      <c r="BM1379" s="3">
        <v>3.3723497999999998</v>
      </c>
      <c r="BN1379" s="3">
        <v>3.4107634999999998</v>
      </c>
    </row>
    <row r="1380" spans="1:66" x14ac:dyDescent="0.35">
      <c r="A1380" s="5">
        <f t="shared" si="21"/>
        <v>45386</v>
      </c>
      <c r="B1380" t="s">
        <v>2814</v>
      </c>
      <c r="C1380" s="2">
        <v>5.25</v>
      </c>
      <c r="D1380" s="2">
        <v>5.1948999999999996</v>
      </c>
      <c r="E1380" s="3">
        <v>5.1769496000000004</v>
      </c>
      <c r="F1380" s="3">
        <v>5.1016997000000002</v>
      </c>
      <c r="G1380" s="3">
        <v>5.0170889000000001</v>
      </c>
      <c r="H1380" s="3">
        <v>4.9251208000000002</v>
      </c>
      <c r="I1380" s="3">
        <v>4.8317243999999997</v>
      </c>
      <c r="J1380" s="3">
        <v>4.7403009999999997</v>
      </c>
      <c r="K1380" s="3">
        <v>4.6518337000000001</v>
      </c>
      <c r="L1380" s="3">
        <v>4.5674583999999996</v>
      </c>
      <c r="M1380" s="3">
        <v>4.4884180000000002</v>
      </c>
      <c r="N1380" s="3">
        <v>4.415362</v>
      </c>
      <c r="O1380" s="3">
        <v>4.3478637000000004</v>
      </c>
      <c r="P1380" s="3">
        <v>4.2852139999999999</v>
      </c>
      <c r="Q1380" s="3">
        <v>4.2255320000000003</v>
      </c>
      <c r="R1380" s="3">
        <v>4.1681249999999999</v>
      </c>
      <c r="S1380" s="3">
        <v>4.1126997000000003</v>
      </c>
      <c r="T1380" s="3">
        <v>4.0589624999999998</v>
      </c>
      <c r="U1380" s="3">
        <v>4.0066201000000001</v>
      </c>
      <c r="V1380" s="3">
        <v>3.9553791999999999</v>
      </c>
      <c r="W1380" s="3">
        <v>3.9050365</v>
      </c>
      <c r="X1380" s="3">
        <v>3.8558509999999999</v>
      </c>
      <c r="Y1380" s="3">
        <v>3.8082292999999998</v>
      </c>
      <c r="Z1380" s="3">
        <v>3.7625779000000001</v>
      </c>
      <c r="AA1380" s="3">
        <v>3.7193035000000001</v>
      </c>
      <c r="AB1380" s="3">
        <v>3.6788126999999999</v>
      </c>
      <c r="AC1380" s="3">
        <v>3.6414431</v>
      </c>
      <c r="AD1380" s="3">
        <v>3.6071605</v>
      </c>
      <c r="AE1380" s="3">
        <v>3.5758060999999999</v>
      </c>
      <c r="AF1380" s="3">
        <v>3.5472210999999998</v>
      </c>
      <c r="AG1380" s="3">
        <v>3.5212465000000002</v>
      </c>
      <c r="AH1380" s="3">
        <v>3.4977233999999999</v>
      </c>
      <c r="AI1380" s="3">
        <v>3.4764930000000001</v>
      </c>
      <c r="AJ1380" s="3">
        <v>3.4573963000000001</v>
      </c>
      <c r="AK1380" s="3">
        <v>3.4402745000000001</v>
      </c>
      <c r="AL1380" s="3">
        <v>3.4249687</v>
      </c>
      <c r="AM1380" s="3">
        <v>3.4113199999999999</v>
      </c>
      <c r="AN1380" s="3">
        <v>3.3991693999999999</v>
      </c>
      <c r="AO1380" s="3">
        <v>3.3883705000000002</v>
      </c>
      <c r="AP1380" s="3">
        <v>3.3788309000000001</v>
      </c>
      <c r="AQ1380" s="3">
        <v>3.3704735000000001</v>
      </c>
      <c r="AR1380" s="3">
        <v>3.3632209</v>
      </c>
      <c r="AS1380" s="3">
        <v>3.3569960999999999</v>
      </c>
      <c r="AT1380" s="3">
        <v>3.3517215999999999</v>
      </c>
      <c r="AU1380" s="3">
        <v>3.3473204000000001</v>
      </c>
      <c r="AV1380" s="3">
        <v>3.3437150999999998</v>
      </c>
      <c r="AW1380" s="3">
        <v>3.3408285000000002</v>
      </c>
      <c r="AX1380" s="3">
        <v>3.3385834999999999</v>
      </c>
      <c r="AY1380" s="3">
        <v>3.3369027</v>
      </c>
      <c r="AZ1380" s="3">
        <v>3.3357089000000002</v>
      </c>
      <c r="BA1380" s="3">
        <v>3.3349356000000001</v>
      </c>
      <c r="BB1380" s="3">
        <v>3.3345642999999998</v>
      </c>
      <c r="BC1380" s="3">
        <v>3.3345893000000002</v>
      </c>
      <c r="BD1380" s="3">
        <v>3.3350051000000001</v>
      </c>
      <c r="BE1380" s="3">
        <v>3.3358061999999999</v>
      </c>
      <c r="BF1380" s="3">
        <v>3.3369868999999999</v>
      </c>
      <c r="BG1380" s="3">
        <v>3.3385417999999998</v>
      </c>
      <c r="BH1380" s="3">
        <v>3.3404653999999998</v>
      </c>
      <c r="BI1380" s="3">
        <v>3.3427520999999998</v>
      </c>
      <c r="BJ1380" s="3">
        <v>3.3453962000000002</v>
      </c>
      <c r="BK1380" s="3">
        <v>3.3483923999999998</v>
      </c>
      <c r="BL1380" s="3">
        <v>3.3517351</v>
      </c>
      <c r="BM1380" s="3">
        <v>3.3785759</v>
      </c>
      <c r="BN1380" s="3">
        <v>3.4153988000000002</v>
      </c>
    </row>
    <row r="1381" spans="1:66" x14ac:dyDescent="0.35">
      <c r="A1381" s="5">
        <f t="shared" si="21"/>
        <v>45387</v>
      </c>
      <c r="B1381" t="s">
        <v>2815</v>
      </c>
      <c r="C1381" s="2">
        <v>5.25</v>
      </c>
      <c r="D1381" s="2">
        <v>5.1948999999999996</v>
      </c>
      <c r="E1381" s="3">
        <v>5.1743506999999997</v>
      </c>
      <c r="F1381" s="3">
        <v>5.0990627000000002</v>
      </c>
      <c r="G1381" s="3">
        <v>5.0156410999999999</v>
      </c>
      <c r="H1381" s="3">
        <v>4.9256210999999999</v>
      </c>
      <c r="I1381" s="3">
        <v>4.8342137000000003</v>
      </c>
      <c r="J1381" s="3">
        <v>4.7444207</v>
      </c>
      <c r="K1381" s="3">
        <v>4.6568398999999996</v>
      </c>
      <c r="L1381" s="3">
        <v>4.5722357999999996</v>
      </c>
      <c r="M1381" s="3">
        <v>4.4916264000000004</v>
      </c>
      <c r="N1381" s="3">
        <v>4.4156848999999996</v>
      </c>
      <c r="O1381" s="3">
        <v>4.3445416000000003</v>
      </c>
      <c r="P1381" s="3">
        <v>4.2781786000000004</v>
      </c>
      <c r="Q1381" s="3">
        <v>4.2157356000000004</v>
      </c>
      <c r="R1381" s="3">
        <v>4.1567635000000003</v>
      </c>
      <c r="S1381" s="3">
        <v>4.1010152</v>
      </c>
      <c r="T1381" s="3">
        <v>4.0482436000000002</v>
      </c>
      <c r="U1381" s="3">
        <v>3.9982017999999999</v>
      </c>
      <c r="V1381" s="3">
        <v>3.9506424999999998</v>
      </c>
      <c r="W1381" s="3">
        <v>3.9053599999999999</v>
      </c>
      <c r="X1381" s="3">
        <v>3.8623392000000001</v>
      </c>
      <c r="Y1381" s="3">
        <v>3.8216207</v>
      </c>
      <c r="Z1381" s="3">
        <v>3.7832449000000001</v>
      </c>
      <c r="AA1381" s="3">
        <v>3.7472522000000001</v>
      </c>
      <c r="AB1381" s="3">
        <v>3.7136828999999998</v>
      </c>
      <c r="AC1381" s="3">
        <v>3.6825559000000001</v>
      </c>
      <c r="AD1381" s="3">
        <v>3.6537841000000002</v>
      </c>
      <c r="AE1381" s="3">
        <v>3.6272481000000001</v>
      </c>
      <c r="AF1381" s="3">
        <v>3.6028288000000002</v>
      </c>
      <c r="AG1381" s="3">
        <v>3.5804068999999998</v>
      </c>
      <c r="AH1381" s="3">
        <v>3.5598632000000001</v>
      </c>
      <c r="AI1381" s="3">
        <v>3.5410781999999998</v>
      </c>
      <c r="AJ1381" s="3">
        <v>3.5239329000000001</v>
      </c>
      <c r="AK1381" s="3">
        <v>3.5083079000000001</v>
      </c>
      <c r="AL1381" s="3">
        <v>3.494084</v>
      </c>
      <c r="AM1381" s="3">
        <v>3.4811418000000001</v>
      </c>
      <c r="AN1381" s="3">
        <v>3.4693622</v>
      </c>
      <c r="AO1381" s="3">
        <v>3.4586378</v>
      </c>
      <c r="AP1381" s="3">
        <v>3.4489093</v>
      </c>
      <c r="AQ1381" s="3">
        <v>3.4401290000000002</v>
      </c>
      <c r="AR1381" s="3">
        <v>3.4322496</v>
      </c>
      <c r="AS1381" s="3">
        <v>3.4252235</v>
      </c>
      <c r="AT1381" s="3">
        <v>3.4190032000000001</v>
      </c>
      <c r="AU1381" s="3">
        <v>3.4135414000000002</v>
      </c>
      <c r="AV1381" s="3">
        <v>3.4087904</v>
      </c>
      <c r="AW1381" s="3">
        <v>3.4047029000000002</v>
      </c>
      <c r="AX1381" s="3">
        <v>3.4012313000000001</v>
      </c>
      <c r="AY1381" s="3">
        <v>3.3983281000000001</v>
      </c>
      <c r="AZ1381" s="3">
        <v>3.3959459000000001</v>
      </c>
      <c r="BA1381" s="3">
        <v>3.3940429999999999</v>
      </c>
      <c r="BB1381" s="3">
        <v>3.3926034999999999</v>
      </c>
      <c r="BC1381" s="3">
        <v>3.3916186000000001</v>
      </c>
      <c r="BD1381" s="3">
        <v>3.3910794000000002</v>
      </c>
      <c r="BE1381" s="3">
        <v>3.3909769999999999</v>
      </c>
      <c r="BF1381" s="3">
        <v>3.3913028000000001</v>
      </c>
      <c r="BG1381" s="3">
        <v>3.3920477</v>
      </c>
      <c r="BH1381" s="3">
        <v>3.3932031</v>
      </c>
      <c r="BI1381" s="3">
        <v>3.3947600000000002</v>
      </c>
      <c r="BJ1381" s="3">
        <v>3.3967095999999999</v>
      </c>
      <c r="BK1381" s="3">
        <v>3.3990431000000001</v>
      </c>
      <c r="BL1381" s="3">
        <v>3.4017517000000002</v>
      </c>
      <c r="BM1381" s="3">
        <v>3.4253239</v>
      </c>
      <c r="BN1381" s="3">
        <v>3.4598016999999999</v>
      </c>
    </row>
    <row r="1382" spans="1:66" x14ac:dyDescent="0.35">
      <c r="A1382" s="5">
        <f t="shared" si="21"/>
        <v>45390</v>
      </c>
      <c r="B1382" t="s">
        <v>2816</v>
      </c>
      <c r="C1382" s="2">
        <v>5.25</v>
      </c>
      <c r="D1382" s="2">
        <v>5.1948999999999996</v>
      </c>
      <c r="E1382" s="3">
        <v>5.1730521999999999</v>
      </c>
      <c r="F1382" s="3">
        <v>5.0963889</v>
      </c>
      <c r="G1382" s="3">
        <v>5.0139902999999997</v>
      </c>
      <c r="H1382" s="3">
        <v>4.927098</v>
      </c>
      <c r="I1382" s="3">
        <v>4.8391915000000001</v>
      </c>
      <c r="J1382" s="3">
        <v>4.7523230999999999</v>
      </c>
      <c r="K1382" s="3">
        <v>4.6673225</v>
      </c>
      <c r="L1382" s="3">
        <v>4.5856253000000002</v>
      </c>
      <c r="M1382" s="3">
        <v>4.5090045999999999</v>
      </c>
      <c r="N1382" s="3">
        <v>4.4382539999999997</v>
      </c>
      <c r="O1382" s="3">
        <v>4.3734107</v>
      </c>
      <c r="P1382" s="3">
        <v>4.3140391999999999</v>
      </c>
      <c r="Q1382" s="3">
        <v>4.2587919000000003</v>
      </c>
      <c r="R1382" s="3">
        <v>4.2069903000000002</v>
      </c>
      <c r="S1382" s="3">
        <v>4.1582037999999999</v>
      </c>
      <c r="T1382" s="3">
        <v>4.1120017000000004</v>
      </c>
      <c r="U1382" s="3">
        <v>4.0679534999999998</v>
      </c>
      <c r="V1382" s="3">
        <v>4.0256284999999998</v>
      </c>
      <c r="W1382" s="3">
        <v>3.9846794000000001</v>
      </c>
      <c r="X1382" s="3">
        <v>3.9451082</v>
      </c>
      <c r="Y1382" s="3">
        <v>3.9070087999999998</v>
      </c>
      <c r="Z1382" s="3">
        <v>3.8704752</v>
      </c>
      <c r="AA1382" s="3">
        <v>3.8356013</v>
      </c>
      <c r="AB1382" s="3">
        <v>3.8024811000000001</v>
      </c>
      <c r="AC1382" s="3">
        <v>3.7711815</v>
      </c>
      <c r="AD1382" s="3">
        <v>3.7416623000000002</v>
      </c>
      <c r="AE1382" s="3">
        <v>3.7138564999999999</v>
      </c>
      <c r="AF1382" s="3">
        <v>3.6876967999999999</v>
      </c>
      <c r="AG1382" s="3">
        <v>3.6631162000000002</v>
      </c>
      <c r="AH1382" s="3">
        <v>3.6400475999999999</v>
      </c>
      <c r="AI1382" s="3">
        <v>3.6184238</v>
      </c>
      <c r="AJ1382" s="3">
        <v>3.5981778000000002</v>
      </c>
      <c r="AK1382" s="3">
        <v>3.5792423000000002</v>
      </c>
      <c r="AL1382" s="3">
        <v>3.5615503999999998</v>
      </c>
      <c r="AM1382" s="3">
        <v>3.5450347999999998</v>
      </c>
      <c r="AN1382" s="3">
        <v>3.5296286000000001</v>
      </c>
      <c r="AO1382" s="3">
        <v>3.5152706</v>
      </c>
      <c r="AP1382" s="3">
        <v>3.5019244</v>
      </c>
      <c r="AQ1382" s="3">
        <v>3.4895597999999999</v>
      </c>
      <c r="AR1382" s="3">
        <v>3.4781464</v>
      </c>
      <c r="AS1382" s="3">
        <v>3.4676539000000002</v>
      </c>
      <c r="AT1382" s="3">
        <v>3.4580519999999999</v>
      </c>
      <c r="AU1382" s="3">
        <v>3.4493105000000002</v>
      </c>
      <c r="AV1382" s="3">
        <v>3.4413988</v>
      </c>
      <c r="AW1382" s="3">
        <v>3.4342869</v>
      </c>
      <c r="AX1382" s="3">
        <v>3.4279443000000001</v>
      </c>
      <c r="AY1382" s="3">
        <v>3.4223408000000002</v>
      </c>
      <c r="AZ1382" s="3">
        <v>3.417446</v>
      </c>
      <c r="BA1382" s="3">
        <v>3.4132316</v>
      </c>
      <c r="BB1382" s="3">
        <v>3.4096799</v>
      </c>
      <c r="BC1382" s="3">
        <v>3.4067769000000001</v>
      </c>
      <c r="BD1382" s="3">
        <v>3.4045082999999998</v>
      </c>
      <c r="BE1382" s="3">
        <v>3.4028602000000001</v>
      </c>
      <c r="BF1382" s="3">
        <v>3.4018183</v>
      </c>
      <c r="BG1382" s="3">
        <v>3.4013686999999999</v>
      </c>
      <c r="BH1382" s="3">
        <v>3.4014970999999998</v>
      </c>
      <c r="BI1382" s="3">
        <v>3.4021895</v>
      </c>
      <c r="BJ1382" s="3">
        <v>3.4034317999999999</v>
      </c>
      <c r="BK1382" s="3">
        <v>3.4052099</v>
      </c>
      <c r="BL1382" s="3">
        <v>3.4075096</v>
      </c>
      <c r="BM1382" s="3">
        <v>3.4312480000000001</v>
      </c>
      <c r="BN1382" s="3">
        <v>3.4688325</v>
      </c>
    </row>
    <row r="1383" spans="1:66" x14ac:dyDescent="0.35">
      <c r="A1383" s="5">
        <f t="shared" si="21"/>
        <v>45391</v>
      </c>
      <c r="B1383" t="s">
        <v>2817</v>
      </c>
      <c r="C1383" s="2">
        <v>5.25</v>
      </c>
      <c r="D1383" s="2">
        <v>5.1976000000000004</v>
      </c>
      <c r="E1383" s="3">
        <v>5.1735724999999997</v>
      </c>
      <c r="F1383" s="3">
        <v>5.0952865000000003</v>
      </c>
      <c r="G1383" s="3">
        <v>5.0105427000000002</v>
      </c>
      <c r="H1383" s="3">
        <v>4.9211556999999999</v>
      </c>
      <c r="I1383" s="3">
        <v>4.8305118</v>
      </c>
      <c r="J1383" s="3">
        <v>4.7405381000000002</v>
      </c>
      <c r="K1383" s="3">
        <v>4.6521591999999998</v>
      </c>
      <c r="L1383" s="3">
        <v>4.5669256000000003</v>
      </c>
      <c r="M1383" s="3">
        <v>4.4867711999999997</v>
      </c>
      <c r="N1383" s="3">
        <v>4.4127682999999998</v>
      </c>
      <c r="O1383" s="3">
        <v>4.3449947</v>
      </c>
      <c r="P1383" s="3">
        <v>4.2831505999999999</v>
      </c>
      <c r="Q1383" s="3">
        <v>4.2255348000000001</v>
      </c>
      <c r="R1383" s="3">
        <v>4.1713597</v>
      </c>
      <c r="S1383" s="3">
        <v>4.1201866000000003</v>
      </c>
      <c r="T1383" s="3">
        <v>4.0715769999999996</v>
      </c>
      <c r="U1383" s="3">
        <v>4.0250921999999996</v>
      </c>
      <c r="V1383" s="3">
        <v>3.9802938000000001</v>
      </c>
      <c r="W1383" s="3">
        <v>3.9368308999999999</v>
      </c>
      <c r="X1383" s="3">
        <v>3.8947213999999999</v>
      </c>
      <c r="Y1383" s="3">
        <v>3.8540801999999998</v>
      </c>
      <c r="Z1383" s="3">
        <v>3.8150219000000001</v>
      </c>
      <c r="AA1383" s="3">
        <v>3.7776614999999998</v>
      </c>
      <c r="AB1383" s="3">
        <v>3.7421137</v>
      </c>
      <c r="AC1383" s="3">
        <v>3.7084643000000002</v>
      </c>
      <c r="AD1383" s="3">
        <v>3.6766831999999998</v>
      </c>
      <c r="AE1383" s="3">
        <v>3.6467111000000001</v>
      </c>
      <c r="AF1383" s="3">
        <v>3.6184891000000001</v>
      </c>
      <c r="AG1383" s="3">
        <v>3.5919579000000001</v>
      </c>
      <c r="AH1383" s="3">
        <v>3.5670582999999998</v>
      </c>
      <c r="AI1383" s="3">
        <v>3.5437313000000001</v>
      </c>
      <c r="AJ1383" s="3">
        <v>3.5219176000000001</v>
      </c>
      <c r="AK1383" s="3">
        <v>3.5015581999999998</v>
      </c>
      <c r="AL1383" s="3">
        <v>3.4825938999999999</v>
      </c>
      <c r="AM1383" s="3">
        <v>3.4649656000000002</v>
      </c>
      <c r="AN1383" s="3">
        <v>3.4486140000000001</v>
      </c>
      <c r="AO1383" s="3">
        <v>3.4334831000000001</v>
      </c>
      <c r="AP1383" s="3">
        <v>3.4195289</v>
      </c>
      <c r="AQ1383" s="3">
        <v>3.4067104000000001</v>
      </c>
      <c r="AR1383" s="3">
        <v>3.3949867</v>
      </c>
      <c r="AS1383" s="3">
        <v>3.3843168000000001</v>
      </c>
      <c r="AT1383" s="3">
        <v>3.3746597999999999</v>
      </c>
      <c r="AU1383" s="3">
        <v>3.3659745999999999</v>
      </c>
      <c r="AV1383" s="3">
        <v>3.3582204</v>
      </c>
      <c r="AW1383" s="3">
        <v>3.3513560999999998</v>
      </c>
      <c r="AX1383" s="3">
        <v>3.3453409000000001</v>
      </c>
      <c r="AY1383" s="3">
        <v>3.3401337</v>
      </c>
      <c r="AZ1383" s="3">
        <v>3.3356935000000001</v>
      </c>
      <c r="BA1383" s="3">
        <v>3.331982</v>
      </c>
      <c r="BB1383" s="3">
        <v>3.3289729000000001</v>
      </c>
      <c r="BC1383" s="3">
        <v>3.3266437</v>
      </c>
      <c r="BD1383" s="3">
        <v>3.3249719999999998</v>
      </c>
      <c r="BE1383" s="3">
        <v>3.3239350999999999</v>
      </c>
      <c r="BF1383" s="3">
        <v>3.3235106999999999</v>
      </c>
      <c r="BG1383" s="3">
        <v>3.3236762</v>
      </c>
      <c r="BH1383" s="3">
        <v>3.3244091</v>
      </c>
      <c r="BI1383" s="3">
        <v>3.3256869999999998</v>
      </c>
      <c r="BJ1383" s="3">
        <v>3.3274873</v>
      </c>
      <c r="BK1383" s="3">
        <v>3.3297875000000001</v>
      </c>
      <c r="BL1383" s="3">
        <v>3.3325651000000001</v>
      </c>
      <c r="BM1383" s="3">
        <v>3.3580988999999999</v>
      </c>
      <c r="BN1383" s="3">
        <v>3.3957660000000001</v>
      </c>
    </row>
    <row r="1384" spans="1:66" x14ac:dyDescent="0.35">
      <c r="A1384" s="5">
        <f t="shared" si="21"/>
        <v>45392</v>
      </c>
      <c r="B1384" t="s">
        <v>2818</v>
      </c>
      <c r="C1384" s="2">
        <v>5.25</v>
      </c>
      <c r="D1384" s="2">
        <v>5.1978</v>
      </c>
      <c r="E1384" s="3">
        <v>5.1829637999999996</v>
      </c>
      <c r="F1384" s="3">
        <v>5.1267104000000003</v>
      </c>
      <c r="G1384" s="3">
        <v>5.0605244000000003</v>
      </c>
      <c r="H1384" s="3">
        <v>4.9882833</v>
      </c>
      <c r="I1384" s="3">
        <v>4.9138514000000004</v>
      </c>
      <c r="J1384" s="3">
        <v>4.8392415</v>
      </c>
      <c r="K1384" s="3">
        <v>4.7656669999999997</v>
      </c>
      <c r="L1384" s="3">
        <v>4.6950966999999997</v>
      </c>
      <c r="M1384" s="3">
        <v>4.6296869999999997</v>
      </c>
      <c r="N1384" s="3">
        <v>4.5703909999999999</v>
      </c>
      <c r="O1384" s="3">
        <v>4.5169310999999999</v>
      </c>
      <c r="P1384" s="3">
        <v>4.4683501999999997</v>
      </c>
      <c r="Q1384" s="3">
        <v>4.4221687000000003</v>
      </c>
      <c r="R1384" s="3">
        <v>4.3774854999999997</v>
      </c>
      <c r="S1384" s="3">
        <v>4.3339173000000004</v>
      </c>
      <c r="T1384" s="3">
        <v>4.2910807000000002</v>
      </c>
      <c r="U1384" s="3">
        <v>4.2485922</v>
      </c>
      <c r="V1384" s="3">
        <v>4.2060684999999998</v>
      </c>
      <c r="W1384" s="3">
        <v>4.1632448999999996</v>
      </c>
      <c r="X1384" s="3">
        <v>4.120355</v>
      </c>
      <c r="Y1384" s="3">
        <v>4.0777634000000003</v>
      </c>
      <c r="Z1384" s="3">
        <v>4.0358347999999999</v>
      </c>
      <c r="AA1384" s="3">
        <v>3.9949338999999999</v>
      </c>
      <c r="AB1384" s="3">
        <v>3.9554252000000001</v>
      </c>
      <c r="AC1384" s="3">
        <v>3.9176093000000001</v>
      </c>
      <c r="AD1384" s="3">
        <v>3.8815303000000001</v>
      </c>
      <c r="AE1384" s="3">
        <v>3.8471682</v>
      </c>
      <c r="AF1384" s="3">
        <v>3.8145028000000001</v>
      </c>
      <c r="AG1384" s="3">
        <v>3.7835143000000002</v>
      </c>
      <c r="AH1384" s="3">
        <v>3.7541826</v>
      </c>
      <c r="AI1384" s="3">
        <v>3.7264876</v>
      </c>
      <c r="AJ1384" s="3">
        <v>3.7004093</v>
      </c>
      <c r="AK1384" s="3">
        <v>3.6759278000000002</v>
      </c>
      <c r="AL1384" s="3">
        <v>3.6530228999999999</v>
      </c>
      <c r="AM1384" s="3">
        <v>3.6316747</v>
      </c>
      <c r="AN1384" s="3">
        <v>3.6118632000000002</v>
      </c>
      <c r="AO1384" s="3">
        <v>3.5935624000000002</v>
      </c>
      <c r="AP1384" s="3">
        <v>3.5767178999999998</v>
      </c>
      <c r="AQ1384" s="3">
        <v>3.5612664999999999</v>
      </c>
      <c r="AR1384" s="3">
        <v>3.547145</v>
      </c>
      <c r="AS1384" s="3">
        <v>3.5342902</v>
      </c>
      <c r="AT1384" s="3">
        <v>3.5226391000000001</v>
      </c>
      <c r="AU1384" s="3">
        <v>3.5121283000000001</v>
      </c>
      <c r="AV1384" s="3">
        <v>3.5026948</v>
      </c>
      <c r="AW1384" s="3">
        <v>3.4942752000000001</v>
      </c>
      <c r="AX1384" s="3">
        <v>3.4868066</v>
      </c>
      <c r="AY1384" s="3">
        <v>3.4802255999999998</v>
      </c>
      <c r="AZ1384" s="3">
        <v>3.4744690999999999</v>
      </c>
      <c r="BA1384" s="3">
        <v>3.4694794</v>
      </c>
      <c r="BB1384" s="3">
        <v>3.4652226000000002</v>
      </c>
      <c r="BC1384" s="3">
        <v>3.4616715</v>
      </c>
      <c r="BD1384" s="3">
        <v>3.4587987999999998</v>
      </c>
      <c r="BE1384" s="3">
        <v>3.4565773000000002</v>
      </c>
      <c r="BF1384" s="3">
        <v>3.4549797</v>
      </c>
      <c r="BG1384" s="3">
        <v>3.4539789999999999</v>
      </c>
      <c r="BH1384" s="3">
        <v>3.4535477000000001</v>
      </c>
      <c r="BI1384" s="3">
        <v>3.4536587000000001</v>
      </c>
      <c r="BJ1384" s="3">
        <v>3.4542847000000001</v>
      </c>
      <c r="BK1384" s="3">
        <v>3.4553984999999998</v>
      </c>
      <c r="BL1384" s="3">
        <v>3.4569728999999998</v>
      </c>
      <c r="BM1384" s="3">
        <v>3.4749519000000002</v>
      </c>
      <c r="BN1384" s="3">
        <v>3.5049891</v>
      </c>
    </row>
    <row r="1385" spans="1:66" x14ac:dyDescent="0.35">
      <c r="A1385" s="5">
        <f t="shared" si="21"/>
        <v>45393</v>
      </c>
      <c r="B1385" t="s">
        <v>2819</v>
      </c>
      <c r="C1385" s="2">
        <v>5.25</v>
      </c>
      <c r="D1385" s="2">
        <v>5.1980000000000004</v>
      </c>
      <c r="E1385" s="3">
        <v>5.1842682</v>
      </c>
      <c r="F1385" s="3">
        <v>5.1430866000000002</v>
      </c>
      <c r="G1385" s="3">
        <v>5.0913354000000002</v>
      </c>
      <c r="H1385" s="3">
        <v>5.0313445999999997</v>
      </c>
      <c r="I1385" s="3">
        <v>4.9668834999999998</v>
      </c>
      <c r="J1385" s="3">
        <v>4.9006882000000003</v>
      </c>
      <c r="K1385" s="3">
        <v>4.8343024999999997</v>
      </c>
      <c r="L1385" s="3">
        <v>4.7698293999999999</v>
      </c>
      <c r="M1385" s="3">
        <v>4.7096600999999998</v>
      </c>
      <c r="N1385" s="3">
        <v>4.6552126999999999</v>
      </c>
      <c r="O1385" s="3">
        <v>4.6062732999999998</v>
      </c>
      <c r="P1385" s="3">
        <v>4.5618679000000002</v>
      </c>
      <c r="Q1385" s="3">
        <v>4.5187786000000001</v>
      </c>
      <c r="R1385" s="3">
        <v>4.4759073000000003</v>
      </c>
      <c r="S1385" s="3">
        <v>4.4328706999999996</v>
      </c>
      <c r="T1385" s="3">
        <v>4.3892854999999997</v>
      </c>
      <c r="U1385" s="3">
        <v>4.3447684000000004</v>
      </c>
      <c r="V1385" s="3">
        <v>4.2989362</v>
      </c>
      <c r="W1385" s="3">
        <v>4.2515466000000002</v>
      </c>
      <c r="X1385" s="3">
        <v>4.2030788000000001</v>
      </c>
      <c r="Y1385" s="3">
        <v>4.1542425999999999</v>
      </c>
      <c r="Z1385" s="3">
        <v>4.1057477999999996</v>
      </c>
      <c r="AA1385" s="3">
        <v>4.0583042000000003</v>
      </c>
      <c r="AB1385" s="3">
        <v>4.0126219000000001</v>
      </c>
      <c r="AC1385" s="3">
        <v>3.9693054999999999</v>
      </c>
      <c r="AD1385" s="3">
        <v>3.9284479999999999</v>
      </c>
      <c r="AE1385" s="3">
        <v>3.8899864000000002</v>
      </c>
      <c r="AF1385" s="3">
        <v>3.8538576999999998</v>
      </c>
      <c r="AG1385" s="3">
        <v>3.8199988999999999</v>
      </c>
      <c r="AH1385" s="3">
        <v>3.7883469999999999</v>
      </c>
      <c r="AI1385" s="3">
        <v>3.7588390999999999</v>
      </c>
      <c r="AJ1385" s="3">
        <v>3.7314121999999998</v>
      </c>
      <c r="AK1385" s="3">
        <v>3.7060032999999999</v>
      </c>
      <c r="AL1385" s="3">
        <v>3.6825494000000001</v>
      </c>
      <c r="AM1385" s="3">
        <v>3.6609875999999999</v>
      </c>
      <c r="AN1385" s="3">
        <v>3.6412548</v>
      </c>
      <c r="AO1385" s="3">
        <v>3.6232831999999999</v>
      </c>
      <c r="AP1385" s="3">
        <v>3.6069827999999999</v>
      </c>
      <c r="AQ1385" s="3">
        <v>3.5922578000000001</v>
      </c>
      <c r="AR1385" s="3">
        <v>3.5790123999999999</v>
      </c>
      <c r="AS1385" s="3">
        <v>3.5671506000000002</v>
      </c>
      <c r="AT1385" s="3">
        <v>3.5565766000000001</v>
      </c>
      <c r="AU1385" s="3">
        <v>3.5471944</v>
      </c>
      <c r="AV1385" s="3">
        <v>3.5389083000000001</v>
      </c>
      <c r="AW1385" s="3">
        <v>3.5316223</v>
      </c>
      <c r="AX1385" s="3">
        <v>3.5252406000000001</v>
      </c>
      <c r="AY1385" s="3">
        <v>3.5196672000000002</v>
      </c>
      <c r="AZ1385" s="3">
        <v>3.5148063</v>
      </c>
      <c r="BA1385" s="3">
        <v>3.5105735</v>
      </c>
      <c r="BB1385" s="3">
        <v>3.5069347</v>
      </c>
      <c r="BC1385" s="3">
        <v>3.5038699000000002</v>
      </c>
      <c r="BD1385" s="3">
        <v>3.5013589999999999</v>
      </c>
      <c r="BE1385" s="3">
        <v>3.4993818999999999</v>
      </c>
      <c r="BF1385" s="3">
        <v>3.4979186000000002</v>
      </c>
      <c r="BG1385" s="3">
        <v>3.4969489</v>
      </c>
      <c r="BH1385" s="3">
        <v>3.4964528000000001</v>
      </c>
      <c r="BI1385" s="3">
        <v>3.4964103</v>
      </c>
      <c r="BJ1385" s="3">
        <v>3.4968010999999999</v>
      </c>
      <c r="BK1385" s="3">
        <v>3.4976053999999999</v>
      </c>
      <c r="BL1385" s="3">
        <v>3.4988028999999998</v>
      </c>
      <c r="BM1385" s="3">
        <v>3.5134585</v>
      </c>
      <c r="BN1385" s="3">
        <v>3.5392484</v>
      </c>
    </row>
    <row r="1386" spans="1:66" x14ac:dyDescent="0.35">
      <c r="A1386" s="5">
        <f t="shared" si="21"/>
        <v>45394</v>
      </c>
      <c r="B1386" t="s">
        <v>2820</v>
      </c>
      <c r="C1386" s="2">
        <v>5.25</v>
      </c>
      <c r="D1386" s="2">
        <v>5.1980000000000004</v>
      </c>
      <c r="E1386" s="3">
        <v>5.1777518999999996</v>
      </c>
      <c r="F1386" s="3">
        <v>5.1243654000000003</v>
      </c>
      <c r="G1386" s="3">
        <v>5.0619833999999999</v>
      </c>
      <c r="H1386" s="3">
        <v>4.9935299999999998</v>
      </c>
      <c r="I1386" s="3">
        <v>4.9224709999999998</v>
      </c>
      <c r="J1386" s="3">
        <v>4.8506935999999996</v>
      </c>
      <c r="K1386" s="3">
        <v>4.7792744000000003</v>
      </c>
      <c r="L1386" s="3">
        <v>4.7097297999999999</v>
      </c>
      <c r="M1386" s="3">
        <v>4.6435819</v>
      </c>
      <c r="N1386" s="3">
        <v>4.5815523000000002</v>
      </c>
      <c r="O1386" s="3">
        <v>4.5234462999999998</v>
      </c>
      <c r="P1386" s="3">
        <v>4.4687694000000002</v>
      </c>
      <c r="Q1386" s="3">
        <v>4.4162011000000003</v>
      </c>
      <c r="R1386" s="3">
        <v>4.3652521000000002</v>
      </c>
      <c r="S1386" s="3">
        <v>4.3157671000000004</v>
      </c>
      <c r="T1386" s="3">
        <v>4.2675906000000001</v>
      </c>
      <c r="U1386" s="3">
        <v>4.2205674000000002</v>
      </c>
      <c r="V1386" s="3">
        <v>4.1745419999999998</v>
      </c>
      <c r="W1386" s="3">
        <v>4.12941</v>
      </c>
      <c r="X1386" s="3">
        <v>4.0853023999999998</v>
      </c>
      <c r="Y1386" s="3">
        <v>4.0424186999999998</v>
      </c>
      <c r="Z1386" s="3">
        <v>4.0009582999999997</v>
      </c>
      <c r="AA1386" s="3">
        <v>3.9611206999999999</v>
      </c>
      <c r="AB1386" s="3">
        <v>3.9231053999999999</v>
      </c>
      <c r="AC1386" s="3">
        <v>3.8870718000000002</v>
      </c>
      <c r="AD1386" s="3">
        <v>3.8530023</v>
      </c>
      <c r="AE1386" s="3">
        <v>3.8208308999999998</v>
      </c>
      <c r="AF1386" s="3">
        <v>3.7904912999999998</v>
      </c>
      <c r="AG1386" s="3">
        <v>3.7619174000000002</v>
      </c>
      <c r="AH1386" s="3">
        <v>3.7350428999999998</v>
      </c>
      <c r="AI1386" s="3">
        <v>3.7098016</v>
      </c>
      <c r="AJ1386" s="3">
        <v>3.6861272999999999</v>
      </c>
      <c r="AK1386" s="3">
        <v>3.6639539999999999</v>
      </c>
      <c r="AL1386" s="3">
        <v>3.6432152000000002</v>
      </c>
      <c r="AM1386" s="3">
        <v>3.6238448999999999</v>
      </c>
      <c r="AN1386" s="3">
        <v>3.6057768000000001</v>
      </c>
      <c r="AO1386" s="3">
        <v>3.5889479999999998</v>
      </c>
      <c r="AP1386" s="3">
        <v>3.5733079000000001</v>
      </c>
      <c r="AQ1386" s="3">
        <v>3.5588093000000001</v>
      </c>
      <c r="AR1386" s="3">
        <v>3.5454051</v>
      </c>
      <c r="AS1386" s="3">
        <v>3.5330479000000001</v>
      </c>
      <c r="AT1386" s="3">
        <v>3.5216904000000002</v>
      </c>
      <c r="AU1386" s="3">
        <v>3.5112855000000001</v>
      </c>
      <c r="AV1386" s="3">
        <v>3.5017858999999998</v>
      </c>
      <c r="AW1386" s="3">
        <v>3.4931442000000001</v>
      </c>
      <c r="AX1386" s="3">
        <v>3.4853133000000001</v>
      </c>
      <c r="AY1386" s="3">
        <v>3.4782459999999999</v>
      </c>
      <c r="AZ1386" s="3">
        <v>3.4718949000000001</v>
      </c>
      <c r="BA1386" s="3">
        <v>3.4662172999999998</v>
      </c>
      <c r="BB1386" s="3">
        <v>3.4611909999999999</v>
      </c>
      <c r="BC1386" s="3">
        <v>3.4567988999999999</v>
      </c>
      <c r="BD1386" s="3">
        <v>3.4530242000000002</v>
      </c>
      <c r="BE1386" s="3">
        <v>3.4498502000000002</v>
      </c>
      <c r="BF1386" s="3">
        <v>3.4472599000000002</v>
      </c>
      <c r="BG1386" s="3">
        <v>3.4452364000000002</v>
      </c>
      <c r="BH1386" s="3">
        <v>3.4437630000000001</v>
      </c>
      <c r="BI1386" s="3">
        <v>3.4428228000000001</v>
      </c>
      <c r="BJ1386" s="3">
        <v>3.4423989000000002</v>
      </c>
      <c r="BK1386" s="3">
        <v>3.4424744999999999</v>
      </c>
      <c r="BL1386" s="3">
        <v>3.4430326999999998</v>
      </c>
      <c r="BM1386" s="3">
        <v>3.4556619</v>
      </c>
      <c r="BN1386" s="3">
        <v>3.4819572000000001</v>
      </c>
    </row>
    <row r="1387" spans="1:66" x14ac:dyDescent="0.35">
      <c r="A1387" s="5">
        <f t="shared" si="21"/>
        <v>45397</v>
      </c>
      <c r="B1387" t="s">
        <v>2821</v>
      </c>
      <c r="C1387" s="2">
        <v>5.25</v>
      </c>
      <c r="D1387" s="2">
        <v>5.1984000000000004</v>
      </c>
      <c r="E1387" s="3">
        <v>5.1768824999999996</v>
      </c>
      <c r="F1387" s="3">
        <v>5.1245399999999997</v>
      </c>
      <c r="G1387" s="3">
        <v>5.0626385000000003</v>
      </c>
      <c r="H1387" s="3">
        <v>4.9957348000000001</v>
      </c>
      <c r="I1387" s="3">
        <v>4.9274829999999996</v>
      </c>
      <c r="J1387" s="3">
        <v>4.8597545999999996</v>
      </c>
      <c r="K1387" s="3">
        <v>4.7941029999999998</v>
      </c>
      <c r="L1387" s="3">
        <v>4.7324453000000002</v>
      </c>
      <c r="M1387" s="3">
        <v>4.6765648999999998</v>
      </c>
      <c r="N1387" s="3">
        <v>4.6268466000000004</v>
      </c>
      <c r="O1387" s="3">
        <v>4.5824388999999996</v>
      </c>
      <c r="P1387" s="3">
        <v>4.5418212999999996</v>
      </c>
      <c r="Q1387" s="3">
        <v>4.5020417000000004</v>
      </c>
      <c r="R1387" s="3">
        <v>4.4622796999999998</v>
      </c>
      <c r="S1387" s="3">
        <v>4.4224011000000001</v>
      </c>
      <c r="T1387" s="3">
        <v>4.3822714999999999</v>
      </c>
      <c r="U1387" s="3">
        <v>4.3417566000000001</v>
      </c>
      <c r="V1387" s="3">
        <v>4.3007220000000004</v>
      </c>
      <c r="W1387" s="3">
        <v>4.2591182999999999</v>
      </c>
      <c r="X1387" s="3">
        <v>4.2172520999999996</v>
      </c>
      <c r="Y1387" s="3">
        <v>4.1755237999999997</v>
      </c>
      <c r="Z1387" s="3">
        <v>4.1343337</v>
      </c>
      <c r="AA1387" s="3">
        <v>4.0940820000000002</v>
      </c>
      <c r="AB1387" s="3">
        <v>4.0551690999999996</v>
      </c>
      <c r="AC1387" s="3">
        <v>4.0179233999999999</v>
      </c>
      <c r="AD1387" s="3">
        <v>3.9823854999999999</v>
      </c>
      <c r="AE1387" s="3">
        <v>3.9485245</v>
      </c>
      <c r="AF1387" s="3">
        <v>3.9163090999999999</v>
      </c>
      <c r="AG1387" s="3">
        <v>3.8857081999999998</v>
      </c>
      <c r="AH1387" s="3">
        <v>3.8566905999999999</v>
      </c>
      <c r="AI1387" s="3">
        <v>3.8292253000000001</v>
      </c>
      <c r="AJ1387" s="3">
        <v>3.8032811</v>
      </c>
      <c r="AK1387" s="3">
        <v>3.7788268</v>
      </c>
      <c r="AL1387" s="3">
        <v>3.7558313999999999</v>
      </c>
      <c r="AM1387" s="3">
        <v>3.7342635999999998</v>
      </c>
      <c r="AN1387" s="3">
        <v>3.7140922999999999</v>
      </c>
      <c r="AO1387" s="3">
        <v>3.6952842000000001</v>
      </c>
      <c r="AP1387" s="3">
        <v>3.6777964999999999</v>
      </c>
      <c r="AQ1387" s="3">
        <v>3.6615844000000002</v>
      </c>
      <c r="AR1387" s="3">
        <v>3.6466029999999998</v>
      </c>
      <c r="AS1387" s="3">
        <v>3.6328071999999998</v>
      </c>
      <c r="AT1387" s="3">
        <v>3.6201523</v>
      </c>
      <c r="AU1387" s="3">
        <v>3.6085932999999999</v>
      </c>
      <c r="AV1387" s="3">
        <v>3.5980853000000002</v>
      </c>
      <c r="AW1387" s="3">
        <v>3.5885832999999998</v>
      </c>
      <c r="AX1387" s="3">
        <v>3.5800424999999998</v>
      </c>
      <c r="AY1387" s="3">
        <v>3.5724179999999999</v>
      </c>
      <c r="AZ1387" s="3">
        <v>3.5656648</v>
      </c>
      <c r="BA1387" s="3">
        <v>3.5597401999999998</v>
      </c>
      <c r="BB1387" s="3">
        <v>3.5546148</v>
      </c>
      <c r="BC1387" s="3">
        <v>3.5502639999999999</v>
      </c>
      <c r="BD1387" s="3">
        <v>3.5466631999999998</v>
      </c>
      <c r="BE1387" s="3">
        <v>3.5437878999999999</v>
      </c>
      <c r="BF1387" s="3">
        <v>3.5416135</v>
      </c>
      <c r="BG1387" s="3">
        <v>3.5401155000000002</v>
      </c>
      <c r="BH1387" s="3">
        <v>3.5392693</v>
      </c>
      <c r="BI1387" s="3">
        <v>3.5390503</v>
      </c>
      <c r="BJ1387" s="3">
        <v>3.539434</v>
      </c>
      <c r="BK1387" s="3">
        <v>3.5403956999999999</v>
      </c>
      <c r="BL1387" s="3">
        <v>3.5419109999999998</v>
      </c>
      <c r="BM1387" s="3">
        <v>3.5613047999999998</v>
      </c>
      <c r="BN1387" s="3">
        <v>3.5947629000000001</v>
      </c>
    </row>
    <row r="1388" spans="1:66" x14ac:dyDescent="0.35">
      <c r="A1388" s="5">
        <f t="shared" si="21"/>
        <v>45398</v>
      </c>
      <c r="B1388" t="s">
        <v>2824</v>
      </c>
      <c r="C1388" s="2">
        <v>5.25</v>
      </c>
      <c r="D1388" s="2">
        <v>5.1984000000000004</v>
      </c>
      <c r="E1388" s="3">
        <v>5.1825747</v>
      </c>
      <c r="F1388" s="3">
        <v>5.1409117999999996</v>
      </c>
      <c r="G1388" s="3">
        <v>5.0900898999999997</v>
      </c>
      <c r="H1388" s="3">
        <v>5.0348519999999999</v>
      </c>
      <c r="I1388" s="3">
        <v>4.9785408999999996</v>
      </c>
      <c r="J1388" s="3">
        <v>4.9223758000000002</v>
      </c>
      <c r="K1388" s="3">
        <v>4.8672673</v>
      </c>
      <c r="L1388" s="3">
        <v>4.8146038999999998</v>
      </c>
      <c r="M1388" s="3">
        <v>4.7658646999999998</v>
      </c>
      <c r="N1388" s="3">
        <v>4.7216218000000003</v>
      </c>
      <c r="O1388" s="3">
        <v>4.6813830000000003</v>
      </c>
      <c r="P1388" s="3">
        <v>4.6441790999999997</v>
      </c>
      <c r="Q1388" s="3">
        <v>4.6078023000000004</v>
      </c>
      <c r="R1388" s="3">
        <v>4.5714876999999996</v>
      </c>
      <c r="S1388" s="3">
        <v>4.5349474000000001</v>
      </c>
      <c r="T1388" s="3">
        <v>4.4978935</v>
      </c>
      <c r="U1388" s="3">
        <v>4.4600381000000002</v>
      </c>
      <c r="V1388" s="3">
        <v>4.4210934999999996</v>
      </c>
      <c r="W1388" s="3">
        <v>4.3808911999999998</v>
      </c>
      <c r="X1388" s="3">
        <v>4.3397657000000001</v>
      </c>
      <c r="Y1388" s="3">
        <v>4.2981834000000001</v>
      </c>
      <c r="Z1388" s="3">
        <v>4.2566107000000004</v>
      </c>
      <c r="AA1388" s="3">
        <v>4.2155139000000004</v>
      </c>
      <c r="AB1388" s="3">
        <v>4.1753596000000002</v>
      </c>
      <c r="AC1388" s="3">
        <v>4.1365373999999999</v>
      </c>
      <c r="AD1388" s="3">
        <v>4.0991308999999996</v>
      </c>
      <c r="AE1388" s="3">
        <v>4.0631469999999998</v>
      </c>
      <c r="AF1388" s="3">
        <v>4.0285925000000002</v>
      </c>
      <c r="AG1388" s="3">
        <v>3.9954744999999998</v>
      </c>
      <c r="AH1388" s="3">
        <v>3.9637997999999999</v>
      </c>
      <c r="AI1388" s="3">
        <v>3.9335753000000002</v>
      </c>
      <c r="AJ1388" s="3">
        <v>3.9048079000000002</v>
      </c>
      <c r="AK1388" s="3">
        <v>3.8775045000000001</v>
      </c>
      <c r="AL1388" s="3">
        <v>3.8516721</v>
      </c>
      <c r="AM1388" s="3">
        <v>3.8273174000000001</v>
      </c>
      <c r="AN1388" s="3">
        <v>3.8044476</v>
      </c>
      <c r="AO1388" s="3">
        <v>3.7830599999999999</v>
      </c>
      <c r="AP1388" s="3">
        <v>3.7631149000000002</v>
      </c>
      <c r="AQ1388" s="3">
        <v>3.7445632</v>
      </c>
      <c r="AR1388" s="3">
        <v>3.7273556999999999</v>
      </c>
      <c r="AS1388" s="3">
        <v>3.7114433</v>
      </c>
      <c r="AT1388" s="3">
        <v>3.6967767999999999</v>
      </c>
      <c r="AU1388" s="3">
        <v>3.6833071999999998</v>
      </c>
      <c r="AV1388" s="3">
        <v>3.6709850999999998</v>
      </c>
      <c r="AW1388" s="3">
        <v>3.6597615999999999</v>
      </c>
      <c r="AX1388" s="3">
        <v>3.6495875</v>
      </c>
      <c r="AY1388" s="3">
        <v>3.6404135000000002</v>
      </c>
      <c r="AZ1388" s="3">
        <v>3.6321907000000002</v>
      </c>
      <c r="BA1388" s="3">
        <v>3.6248722</v>
      </c>
      <c r="BB1388" s="3">
        <v>3.6184240000000001</v>
      </c>
      <c r="BC1388" s="3">
        <v>3.6128163999999998</v>
      </c>
      <c r="BD1388" s="3">
        <v>3.6080198000000001</v>
      </c>
      <c r="BE1388" s="3">
        <v>3.6040043000000002</v>
      </c>
      <c r="BF1388" s="3">
        <v>3.6007403999999998</v>
      </c>
      <c r="BG1388" s="3">
        <v>3.5981983</v>
      </c>
      <c r="BH1388" s="3">
        <v>3.5963484000000001</v>
      </c>
      <c r="BI1388" s="3">
        <v>3.5951607999999999</v>
      </c>
      <c r="BJ1388" s="3">
        <v>3.5946060000000002</v>
      </c>
      <c r="BK1388" s="3">
        <v>3.5946541999999999</v>
      </c>
      <c r="BL1388" s="3">
        <v>3.5952757000000002</v>
      </c>
      <c r="BM1388" s="3">
        <v>3.6095937</v>
      </c>
      <c r="BN1388" s="3">
        <v>3.6383557999999998</v>
      </c>
    </row>
    <row r="1389" spans="1:66" x14ac:dyDescent="0.35">
      <c r="A1389" s="5">
        <f t="shared" si="21"/>
        <v>45399</v>
      </c>
      <c r="B1389" t="s">
        <v>2825</v>
      </c>
      <c r="C1389" s="2">
        <v>5.25</v>
      </c>
      <c r="D1389" s="2">
        <v>5.1984000000000004</v>
      </c>
      <c r="E1389" s="3">
        <v>5.1864648999999998</v>
      </c>
      <c r="F1389" s="3">
        <v>5.1406634999999996</v>
      </c>
      <c r="G1389" s="3">
        <v>5.0823780000000003</v>
      </c>
      <c r="H1389" s="3">
        <v>5.0182776000000002</v>
      </c>
      <c r="I1389" s="3">
        <v>4.9533389999999997</v>
      </c>
      <c r="J1389" s="3">
        <v>4.8893763999999997</v>
      </c>
      <c r="K1389" s="3">
        <v>4.8279116999999996</v>
      </c>
      <c r="L1389" s="3">
        <v>4.7707195999999996</v>
      </c>
      <c r="M1389" s="3">
        <v>4.7193813999999996</v>
      </c>
      <c r="N1389" s="3">
        <v>4.6742080000000001</v>
      </c>
      <c r="O1389" s="3">
        <v>4.6341650000000003</v>
      </c>
      <c r="P1389" s="3">
        <v>4.5975444999999997</v>
      </c>
      <c r="Q1389" s="3">
        <v>4.5610470000000003</v>
      </c>
      <c r="R1389" s="3">
        <v>4.5238100000000001</v>
      </c>
      <c r="S1389" s="3">
        <v>4.4857237999999997</v>
      </c>
      <c r="T1389" s="3">
        <v>4.4466786000000003</v>
      </c>
      <c r="U1389" s="3">
        <v>4.4065643999999997</v>
      </c>
      <c r="V1389" s="3">
        <v>4.3652715999999998</v>
      </c>
      <c r="W1389" s="3">
        <v>4.3227817000000002</v>
      </c>
      <c r="X1389" s="3">
        <v>4.2794606999999996</v>
      </c>
      <c r="Y1389" s="3">
        <v>4.2357750999999997</v>
      </c>
      <c r="Z1389" s="3">
        <v>4.1921917999999998</v>
      </c>
      <c r="AA1389" s="3">
        <v>4.1491775000000004</v>
      </c>
      <c r="AB1389" s="3">
        <v>4.1071989000000002</v>
      </c>
      <c r="AC1389" s="3">
        <v>4.0666478000000001</v>
      </c>
      <c r="AD1389" s="3">
        <v>4.0276154000000002</v>
      </c>
      <c r="AE1389" s="3">
        <v>3.9901181000000001</v>
      </c>
      <c r="AF1389" s="3">
        <v>3.9541723000000002</v>
      </c>
      <c r="AG1389" s="3">
        <v>3.9197940999999998</v>
      </c>
      <c r="AH1389" s="3">
        <v>3.887</v>
      </c>
      <c r="AI1389" s="3">
        <v>3.8558061000000001</v>
      </c>
      <c r="AJ1389" s="3">
        <v>3.8262288999999998</v>
      </c>
      <c r="AK1389" s="3">
        <v>3.7982846000000001</v>
      </c>
      <c r="AL1389" s="3">
        <v>3.7719895000000001</v>
      </c>
      <c r="AM1389" s="3">
        <v>3.7473599000000002</v>
      </c>
      <c r="AN1389" s="3">
        <v>3.7244122000000002</v>
      </c>
      <c r="AO1389" s="3">
        <v>3.7031516999999998</v>
      </c>
      <c r="AP1389" s="3">
        <v>3.6835306999999999</v>
      </c>
      <c r="AQ1389" s="3">
        <v>3.6654852999999998</v>
      </c>
      <c r="AR1389" s="3">
        <v>3.6489517</v>
      </c>
      <c r="AS1389" s="3">
        <v>3.6338659999999998</v>
      </c>
      <c r="AT1389" s="3">
        <v>3.6201642000000001</v>
      </c>
      <c r="AU1389" s="3">
        <v>3.6077824999999999</v>
      </c>
      <c r="AV1389" s="3">
        <v>3.596657</v>
      </c>
      <c r="AW1389" s="3">
        <v>3.5867238000000001</v>
      </c>
      <c r="AX1389" s="3">
        <v>3.5779190999999999</v>
      </c>
      <c r="AY1389" s="3">
        <v>3.5701789000000002</v>
      </c>
      <c r="AZ1389" s="3">
        <v>3.5634393000000002</v>
      </c>
      <c r="BA1389" s="3">
        <v>3.5576398</v>
      </c>
      <c r="BB1389" s="3">
        <v>3.5527354999999998</v>
      </c>
      <c r="BC1389" s="3">
        <v>3.5486865000000001</v>
      </c>
      <c r="BD1389" s="3">
        <v>3.5454528999999999</v>
      </c>
      <c r="BE1389" s="3">
        <v>3.5429948000000002</v>
      </c>
      <c r="BF1389" s="3">
        <v>3.5412723000000002</v>
      </c>
      <c r="BG1389" s="3">
        <v>3.5402453</v>
      </c>
      <c r="BH1389" s="3">
        <v>3.5398740000000002</v>
      </c>
      <c r="BI1389" s="3">
        <v>3.5401185000000002</v>
      </c>
      <c r="BJ1389" s="3">
        <v>3.5409386999999999</v>
      </c>
      <c r="BK1389" s="3">
        <v>3.5422948999999999</v>
      </c>
      <c r="BL1389" s="3">
        <v>3.5441470000000002</v>
      </c>
      <c r="BM1389" s="3">
        <v>3.5641156000000001</v>
      </c>
      <c r="BN1389" s="3">
        <v>3.5959834000000002</v>
      </c>
    </row>
    <row r="1390" spans="1:66" x14ac:dyDescent="0.35">
      <c r="C1390" s="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E28-E276-41B0-88DB-4C2BE81AC8B2}">
  <sheetPr codeName="Sheet7"/>
  <dimension ref="A1:C885"/>
  <sheetViews>
    <sheetView workbookViewId="0">
      <pane xSplit="2" ySplit="6" topLeftCell="C862" activePane="bottomRight" state="frozen"/>
      <selection pane="topRight" activeCell="B1" sqref="B1"/>
      <selection pane="bottomLeft" activeCell="A7" sqref="A7"/>
      <selection pane="bottomRight" activeCell="A884" sqref="A884:A885"/>
    </sheetView>
  </sheetViews>
  <sheetFormatPr defaultRowHeight="14.5" x14ac:dyDescent="0.35"/>
  <cols>
    <col min="1" max="1" width="10.7265625" bestFit="1" customWidth="1"/>
    <col min="3" max="3" width="16.26953125" customWidth="1"/>
  </cols>
  <sheetData>
    <row r="1" spans="1:3" x14ac:dyDescent="0.35">
      <c r="B1" s="1" t="s">
        <v>1487</v>
      </c>
      <c r="C1" s="9" t="s">
        <v>2304</v>
      </c>
    </row>
    <row r="2" spans="1:3" ht="43.5" x14ac:dyDescent="0.35">
      <c r="B2" t="s">
        <v>44</v>
      </c>
      <c r="C2" s="11" t="s">
        <v>46</v>
      </c>
    </row>
    <row r="3" spans="1:3" x14ac:dyDescent="0.35">
      <c r="B3" t="s">
        <v>43</v>
      </c>
      <c r="C3" t="s">
        <v>2741</v>
      </c>
    </row>
    <row r="4" spans="1:3" x14ac:dyDescent="0.35">
      <c r="B4" t="s">
        <v>42</v>
      </c>
      <c r="C4" t="s">
        <v>2830</v>
      </c>
    </row>
    <row r="5" spans="1:3" x14ac:dyDescent="0.35">
      <c r="B5" t="s">
        <v>41</v>
      </c>
      <c r="C5" t="s">
        <v>45</v>
      </c>
    </row>
    <row r="6" spans="1:3" x14ac:dyDescent="0.35">
      <c r="B6" t="s">
        <v>40</v>
      </c>
      <c r="C6" t="s">
        <v>2822</v>
      </c>
    </row>
    <row r="7" spans="1:3" x14ac:dyDescent="0.35">
      <c r="A7" s="5">
        <v>18629</v>
      </c>
      <c r="B7" t="s">
        <v>1488</v>
      </c>
      <c r="C7" s="2" t="e">
        <v>#N/A</v>
      </c>
    </row>
    <row r="8" spans="1:3" x14ac:dyDescent="0.35">
      <c r="A8" s="5">
        <v>18660</v>
      </c>
      <c r="B8" t="s">
        <v>1489</v>
      </c>
      <c r="C8" s="2" t="e">
        <v>#N/A</v>
      </c>
    </row>
    <row r="9" spans="1:3" x14ac:dyDescent="0.35">
      <c r="A9" s="5">
        <v>18688</v>
      </c>
      <c r="B9" t="s">
        <v>1490</v>
      </c>
      <c r="C9" s="2" t="e">
        <v>#N/A</v>
      </c>
    </row>
    <row r="10" spans="1:3" x14ac:dyDescent="0.35">
      <c r="A10" s="5">
        <v>18719</v>
      </c>
      <c r="B10" t="s">
        <v>1491</v>
      </c>
      <c r="C10" s="2" t="e">
        <v>#N/A</v>
      </c>
    </row>
    <row r="11" spans="1:3" x14ac:dyDescent="0.35">
      <c r="A11" s="5">
        <v>18749</v>
      </c>
      <c r="B11" t="s">
        <v>1492</v>
      </c>
      <c r="C11" s="2" t="e">
        <v>#N/A</v>
      </c>
    </row>
    <row r="12" spans="1:3" x14ac:dyDescent="0.35">
      <c r="A12" s="5">
        <v>18780</v>
      </c>
      <c r="B12" t="s">
        <v>1493</v>
      </c>
      <c r="C12" s="2" t="e">
        <v>#N/A</v>
      </c>
    </row>
    <row r="13" spans="1:3" x14ac:dyDescent="0.35">
      <c r="A13" s="5">
        <v>18810</v>
      </c>
      <c r="B13" t="s">
        <v>1494</v>
      </c>
      <c r="C13" s="2" t="e">
        <v>#N/A</v>
      </c>
    </row>
    <row r="14" spans="1:3" x14ac:dyDescent="0.35">
      <c r="A14" s="5">
        <v>18841</v>
      </c>
      <c r="B14" t="s">
        <v>1495</v>
      </c>
      <c r="C14" s="2" t="e">
        <v>#N/A</v>
      </c>
    </row>
    <row r="15" spans="1:3" x14ac:dyDescent="0.35">
      <c r="A15" s="5">
        <v>18872</v>
      </c>
      <c r="B15" t="s">
        <v>1496</v>
      </c>
      <c r="C15" s="2" t="e">
        <v>#N/A</v>
      </c>
    </row>
    <row r="16" spans="1:3" x14ac:dyDescent="0.35">
      <c r="A16" s="5">
        <v>18902</v>
      </c>
      <c r="B16" t="s">
        <v>1497</v>
      </c>
      <c r="C16" s="2" t="e">
        <v>#N/A</v>
      </c>
    </row>
    <row r="17" spans="1:3" x14ac:dyDescent="0.35">
      <c r="A17" s="5">
        <v>18933</v>
      </c>
      <c r="B17" t="s">
        <v>1498</v>
      </c>
      <c r="C17" s="2" t="e">
        <v>#N/A</v>
      </c>
    </row>
    <row r="18" spans="1:3" x14ac:dyDescent="0.35">
      <c r="A18" s="5">
        <v>18963</v>
      </c>
      <c r="B18" t="s">
        <v>1499</v>
      </c>
      <c r="C18" s="2" t="e">
        <v>#N/A</v>
      </c>
    </row>
    <row r="19" spans="1:3" x14ac:dyDescent="0.35">
      <c r="A19" s="5">
        <v>18994</v>
      </c>
      <c r="B19" t="s">
        <v>1500</v>
      </c>
      <c r="C19" s="2" t="e">
        <v>#N/A</v>
      </c>
    </row>
    <row r="20" spans="1:3" x14ac:dyDescent="0.35">
      <c r="A20" s="5">
        <v>19025</v>
      </c>
      <c r="B20" t="s">
        <v>1501</v>
      </c>
      <c r="C20" s="2" t="e">
        <v>#N/A</v>
      </c>
    </row>
    <row r="21" spans="1:3" x14ac:dyDescent="0.35">
      <c r="A21" s="5">
        <v>19054</v>
      </c>
      <c r="B21" t="s">
        <v>1502</v>
      </c>
      <c r="C21" s="2" t="e">
        <v>#N/A</v>
      </c>
    </row>
    <row r="22" spans="1:3" x14ac:dyDescent="0.35">
      <c r="A22" s="5">
        <v>19085</v>
      </c>
      <c r="B22" t="s">
        <v>1503</v>
      </c>
      <c r="C22" s="2" t="e">
        <v>#N/A</v>
      </c>
    </row>
    <row r="23" spans="1:3" x14ac:dyDescent="0.35">
      <c r="A23" s="5">
        <v>19115</v>
      </c>
      <c r="B23" t="s">
        <v>1504</v>
      </c>
      <c r="C23" s="2" t="e">
        <v>#N/A</v>
      </c>
    </row>
    <row r="24" spans="1:3" x14ac:dyDescent="0.35">
      <c r="A24" s="5">
        <v>19146</v>
      </c>
      <c r="B24" t="s">
        <v>1505</v>
      </c>
      <c r="C24" s="2" t="e">
        <v>#N/A</v>
      </c>
    </row>
    <row r="25" spans="1:3" x14ac:dyDescent="0.35">
      <c r="A25" s="5">
        <v>19176</v>
      </c>
      <c r="B25" t="s">
        <v>1506</v>
      </c>
      <c r="C25" s="2" t="e">
        <v>#N/A</v>
      </c>
    </row>
    <row r="26" spans="1:3" x14ac:dyDescent="0.35">
      <c r="A26" s="5">
        <v>19207</v>
      </c>
      <c r="B26" t="s">
        <v>1507</v>
      </c>
      <c r="C26" s="2" t="e">
        <v>#N/A</v>
      </c>
    </row>
    <row r="27" spans="1:3" x14ac:dyDescent="0.35">
      <c r="A27" s="5">
        <v>19238</v>
      </c>
      <c r="B27" t="s">
        <v>1508</v>
      </c>
      <c r="C27" s="2" t="e">
        <v>#N/A</v>
      </c>
    </row>
    <row r="28" spans="1:3" x14ac:dyDescent="0.35">
      <c r="A28" s="5">
        <v>19268</v>
      </c>
      <c r="B28" t="s">
        <v>1509</v>
      </c>
      <c r="C28" s="2" t="e">
        <v>#N/A</v>
      </c>
    </row>
    <row r="29" spans="1:3" x14ac:dyDescent="0.35">
      <c r="A29" s="5">
        <v>19299</v>
      </c>
      <c r="B29" t="s">
        <v>1510</v>
      </c>
      <c r="C29" s="2" t="e">
        <v>#N/A</v>
      </c>
    </row>
    <row r="30" spans="1:3" x14ac:dyDescent="0.35">
      <c r="A30" s="5">
        <v>19329</v>
      </c>
      <c r="B30" t="s">
        <v>1511</v>
      </c>
      <c r="C30" s="2" t="e">
        <v>#N/A</v>
      </c>
    </row>
    <row r="31" spans="1:3" x14ac:dyDescent="0.35">
      <c r="A31" s="5">
        <v>19360</v>
      </c>
      <c r="B31" t="s">
        <v>1512</v>
      </c>
      <c r="C31" s="2">
        <v>4</v>
      </c>
    </row>
    <row r="32" spans="1:3" x14ac:dyDescent="0.35">
      <c r="A32" s="5">
        <v>19391</v>
      </c>
      <c r="B32" t="s">
        <v>1513</v>
      </c>
      <c r="C32" s="2">
        <v>4</v>
      </c>
    </row>
    <row r="33" spans="1:3" x14ac:dyDescent="0.35">
      <c r="A33" s="5">
        <v>19419</v>
      </c>
      <c r="B33" t="s">
        <v>1514</v>
      </c>
      <c r="C33" s="2">
        <v>4</v>
      </c>
    </row>
    <row r="34" spans="1:3" x14ac:dyDescent="0.35">
      <c r="A34" s="5">
        <v>19450</v>
      </c>
      <c r="B34" t="s">
        <v>1515</v>
      </c>
      <c r="C34" s="2">
        <v>4</v>
      </c>
    </row>
    <row r="35" spans="1:3" x14ac:dyDescent="0.35">
      <c r="A35" s="5">
        <v>19480</v>
      </c>
      <c r="B35" t="s">
        <v>1516</v>
      </c>
      <c r="C35" s="2">
        <v>4</v>
      </c>
    </row>
    <row r="36" spans="1:3" x14ac:dyDescent="0.35">
      <c r="A36" s="5">
        <v>19511</v>
      </c>
      <c r="B36" t="s">
        <v>1517</v>
      </c>
      <c r="C36" s="2">
        <v>4</v>
      </c>
    </row>
    <row r="37" spans="1:3" x14ac:dyDescent="0.35">
      <c r="A37" s="5">
        <v>19541</v>
      </c>
      <c r="B37" t="s">
        <v>1518</v>
      </c>
      <c r="C37" s="2">
        <v>4</v>
      </c>
    </row>
    <row r="38" spans="1:3" x14ac:dyDescent="0.35">
      <c r="A38" s="5">
        <v>19572</v>
      </c>
      <c r="B38" t="s">
        <v>1519</v>
      </c>
      <c r="C38" s="2">
        <v>4</v>
      </c>
    </row>
    <row r="39" spans="1:3" x14ac:dyDescent="0.35">
      <c r="A39" s="5">
        <v>19603</v>
      </c>
      <c r="B39" t="s">
        <v>1520</v>
      </c>
      <c r="C39" s="2">
        <v>3.5</v>
      </c>
    </row>
    <row r="40" spans="1:3" x14ac:dyDescent="0.35">
      <c r="A40" s="5">
        <v>19633</v>
      </c>
      <c r="B40" t="s">
        <v>1521</v>
      </c>
      <c r="C40" s="2">
        <v>3.5</v>
      </c>
    </row>
    <row r="41" spans="1:3" x14ac:dyDescent="0.35">
      <c r="A41" s="5">
        <v>19664</v>
      </c>
      <c r="B41" t="s">
        <v>1522</v>
      </c>
      <c r="C41" s="2">
        <v>3.5</v>
      </c>
    </row>
    <row r="42" spans="1:3" x14ac:dyDescent="0.35">
      <c r="A42" s="5">
        <v>19694</v>
      </c>
      <c r="B42" t="s">
        <v>1523</v>
      </c>
      <c r="C42" s="2">
        <v>3.5</v>
      </c>
    </row>
    <row r="43" spans="1:3" x14ac:dyDescent="0.35">
      <c r="A43" s="5">
        <v>19725</v>
      </c>
      <c r="B43" t="s">
        <v>1524</v>
      </c>
      <c r="C43" s="2">
        <v>3.5</v>
      </c>
    </row>
    <row r="44" spans="1:3" x14ac:dyDescent="0.35">
      <c r="A44" s="5">
        <v>19756</v>
      </c>
      <c r="B44" t="s">
        <v>1525</v>
      </c>
      <c r="C44" s="2">
        <v>3.5</v>
      </c>
    </row>
    <row r="45" spans="1:3" x14ac:dyDescent="0.35">
      <c r="A45" s="5">
        <v>19784</v>
      </c>
      <c r="B45" t="s">
        <v>1526</v>
      </c>
      <c r="C45" s="2">
        <v>3.5</v>
      </c>
    </row>
    <row r="46" spans="1:3" x14ac:dyDescent="0.35">
      <c r="A46" s="5">
        <v>19815</v>
      </c>
      <c r="B46" t="s">
        <v>1527</v>
      </c>
      <c r="C46" s="2">
        <v>3.5</v>
      </c>
    </row>
    <row r="47" spans="1:3" x14ac:dyDescent="0.35">
      <c r="A47" s="5">
        <v>19845</v>
      </c>
      <c r="B47" t="s">
        <v>1528</v>
      </c>
      <c r="C47" s="2">
        <v>3</v>
      </c>
    </row>
    <row r="48" spans="1:3" x14ac:dyDescent="0.35">
      <c r="A48" s="5">
        <v>19876</v>
      </c>
      <c r="B48" t="s">
        <v>1529</v>
      </c>
      <c r="C48" s="2">
        <v>3</v>
      </c>
    </row>
    <row r="49" spans="1:3" x14ac:dyDescent="0.35">
      <c r="A49" s="5">
        <v>19906</v>
      </c>
      <c r="B49" t="s">
        <v>1530</v>
      </c>
      <c r="C49" s="2">
        <v>3</v>
      </c>
    </row>
    <row r="50" spans="1:3" x14ac:dyDescent="0.35">
      <c r="A50" s="5">
        <v>19937</v>
      </c>
      <c r="B50" t="s">
        <v>1531</v>
      </c>
      <c r="C50" s="2">
        <v>3</v>
      </c>
    </row>
    <row r="51" spans="1:3" x14ac:dyDescent="0.35">
      <c r="A51" s="5">
        <v>19968</v>
      </c>
      <c r="B51" t="s">
        <v>1532</v>
      </c>
      <c r="C51" s="2">
        <v>3</v>
      </c>
    </row>
    <row r="52" spans="1:3" x14ac:dyDescent="0.35">
      <c r="A52" s="5">
        <v>19998</v>
      </c>
      <c r="B52" t="s">
        <v>1533</v>
      </c>
      <c r="C52" s="2">
        <v>3</v>
      </c>
    </row>
    <row r="53" spans="1:3" x14ac:dyDescent="0.35">
      <c r="A53" s="5">
        <v>20029</v>
      </c>
      <c r="B53" t="s">
        <v>1534</v>
      </c>
      <c r="C53" s="2">
        <v>3</v>
      </c>
    </row>
    <row r="54" spans="1:3" x14ac:dyDescent="0.35">
      <c r="A54" s="5">
        <v>20059</v>
      </c>
      <c r="B54" t="s">
        <v>1535</v>
      </c>
      <c r="C54" s="2">
        <v>3</v>
      </c>
    </row>
    <row r="55" spans="1:3" x14ac:dyDescent="0.35">
      <c r="A55" s="5">
        <v>20090</v>
      </c>
      <c r="B55" t="s">
        <v>1536</v>
      </c>
      <c r="C55" s="2">
        <v>3.5</v>
      </c>
    </row>
    <row r="56" spans="1:3" x14ac:dyDescent="0.35">
      <c r="A56" s="5">
        <v>20121</v>
      </c>
      <c r="B56" t="s">
        <v>1537</v>
      </c>
      <c r="C56" s="2">
        <v>4.5</v>
      </c>
    </row>
    <row r="57" spans="1:3" x14ac:dyDescent="0.35">
      <c r="A57" s="5">
        <v>20149</v>
      </c>
      <c r="B57" t="s">
        <v>1538</v>
      </c>
      <c r="C57" s="2">
        <v>4.5</v>
      </c>
    </row>
    <row r="58" spans="1:3" x14ac:dyDescent="0.35">
      <c r="A58" s="5">
        <v>20180</v>
      </c>
      <c r="B58" t="s">
        <v>1539</v>
      </c>
      <c r="C58" s="2">
        <v>4.5</v>
      </c>
    </row>
    <row r="59" spans="1:3" x14ac:dyDescent="0.35">
      <c r="A59" s="5">
        <v>20210</v>
      </c>
      <c r="B59" t="s">
        <v>1540</v>
      </c>
      <c r="C59" s="2">
        <v>4.5</v>
      </c>
    </row>
    <row r="60" spans="1:3" x14ac:dyDescent="0.35">
      <c r="A60" s="5">
        <v>20241</v>
      </c>
      <c r="B60" t="s">
        <v>1541</v>
      </c>
      <c r="C60" s="2">
        <v>4.5</v>
      </c>
    </row>
    <row r="61" spans="1:3" x14ac:dyDescent="0.35">
      <c r="A61" s="5">
        <v>20271</v>
      </c>
      <c r="B61" t="s">
        <v>1542</v>
      </c>
      <c r="C61" s="2">
        <v>4.5</v>
      </c>
    </row>
    <row r="62" spans="1:3" x14ac:dyDescent="0.35">
      <c r="A62" s="5">
        <v>20302</v>
      </c>
      <c r="B62" t="s">
        <v>1543</v>
      </c>
      <c r="C62" s="2">
        <v>4.5</v>
      </c>
    </row>
    <row r="63" spans="1:3" x14ac:dyDescent="0.35">
      <c r="A63" s="5">
        <v>20333</v>
      </c>
      <c r="B63" t="s">
        <v>1544</v>
      </c>
      <c r="C63" s="2">
        <v>4.5</v>
      </c>
    </row>
    <row r="64" spans="1:3" x14ac:dyDescent="0.35">
      <c r="A64" s="5">
        <v>20363</v>
      </c>
      <c r="B64" t="s">
        <v>1545</v>
      </c>
      <c r="C64" s="2">
        <v>4.5</v>
      </c>
    </row>
    <row r="65" spans="1:3" x14ac:dyDescent="0.35">
      <c r="A65" s="5">
        <v>20394</v>
      </c>
      <c r="B65" t="s">
        <v>1546</v>
      </c>
      <c r="C65" s="2">
        <v>4.5</v>
      </c>
    </row>
    <row r="66" spans="1:3" x14ac:dyDescent="0.35">
      <c r="A66" s="5">
        <v>20424</v>
      </c>
      <c r="B66" t="s">
        <v>1547</v>
      </c>
      <c r="C66" s="2">
        <v>4.5</v>
      </c>
    </row>
    <row r="67" spans="1:3" x14ac:dyDescent="0.35">
      <c r="A67" s="5">
        <v>20455</v>
      </c>
      <c r="B67" t="s">
        <v>1548</v>
      </c>
      <c r="C67" s="2">
        <v>4.5</v>
      </c>
    </row>
    <row r="68" spans="1:3" x14ac:dyDescent="0.35">
      <c r="A68" s="5">
        <v>20486</v>
      </c>
      <c r="B68" t="s">
        <v>1549</v>
      </c>
      <c r="C68" s="2">
        <v>5.5</v>
      </c>
    </row>
    <row r="69" spans="1:3" x14ac:dyDescent="0.35">
      <c r="A69" s="5">
        <v>20515</v>
      </c>
      <c r="B69" t="s">
        <v>1550</v>
      </c>
      <c r="C69" s="2">
        <v>5.5</v>
      </c>
    </row>
    <row r="70" spans="1:3" x14ac:dyDescent="0.35">
      <c r="A70" s="5">
        <v>20546</v>
      </c>
      <c r="B70" t="s">
        <v>1551</v>
      </c>
      <c r="C70" s="2">
        <v>5.5</v>
      </c>
    </row>
    <row r="71" spans="1:3" x14ac:dyDescent="0.35">
      <c r="A71" s="5">
        <v>20576</v>
      </c>
      <c r="B71" t="s">
        <v>1552</v>
      </c>
      <c r="C71" s="2">
        <v>5.5</v>
      </c>
    </row>
    <row r="72" spans="1:3" x14ac:dyDescent="0.35">
      <c r="A72" s="5">
        <v>20607</v>
      </c>
      <c r="B72" t="s">
        <v>1553</v>
      </c>
      <c r="C72" s="2">
        <v>5.5</v>
      </c>
    </row>
    <row r="73" spans="1:3" x14ac:dyDescent="0.35">
      <c r="A73" s="5">
        <v>20637</v>
      </c>
      <c r="B73" t="s">
        <v>1554</v>
      </c>
      <c r="C73" s="2">
        <v>5.5</v>
      </c>
    </row>
    <row r="74" spans="1:3" x14ac:dyDescent="0.35">
      <c r="A74" s="5">
        <v>20668</v>
      </c>
      <c r="B74" t="s">
        <v>1555</v>
      </c>
      <c r="C74" s="2">
        <v>5.5</v>
      </c>
    </row>
    <row r="75" spans="1:3" x14ac:dyDescent="0.35">
      <c r="A75" s="5">
        <v>20699</v>
      </c>
      <c r="B75" t="s">
        <v>1556</v>
      </c>
      <c r="C75" s="2">
        <v>5.5</v>
      </c>
    </row>
    <row r="76" spans="1:3" x14ac:dyDescent="0.35">
      <c r="A76" s="5">
        <v>20729</v>
      </c>
      <c r="B76" t="s">
        <v>1557</v>
      </c>
      <c r="C76" s="2">
        <v>5.5</v>
      </c>
    </row>
    <row r="77" spans="1:3" x14ac:dyDescent="0.35">
      <c r="A77" s="5">
        <v>20760</v>
      </c>
      <c r="B77" t="s">
        <v>1558</v>
      </c>
      <c r="C77" s="2">
        <v>5.5</v>
      </c>
    </row>
    <row r="78" spans="1:3" x14ac:dyDescent="0.35">
      <c r="A78" s="5">
        <v>20790</v>
      </c>
      <c r="B78" t="s">
        <v>1559</v>
      </c>
      <c r="C78" s="2">
        <v>5.5</v>
      </c>
    </row>
    <row r="79" spans="1:3" x14ac:dyDescent="0.35">
      <c r="A79" s="5">
        <v>20821</v>
      </c>
      <c r="B79" t="s">
        <v>1560</v>
      </c>
      <c r="C79" s="2">
        <v>5.5</v>
      </c>
    </row>
    <row r="80" spans="1:3" x14ac:dyDescent="0.35">
      <c r="A80" s="5">
        <v>20852</v>
      </c>
      <c r="B80" t="s">
        <v>1561</v>
      </c>
      <c r="C80" s="2">
        <v>5</v>
      </c>
    </row>
    <row r="81" spans="1:3" x14ac:dyDescent="0.35">
      <c r="A81" s="5">
        <v>20880</v>
      </c>
      <c r="B81" t="s">
        <v>1562</v>
      </c>
      <c r="C81" s="2">
        <v>5</v>
      </c>
    </row>
    <row r="82" spans="1:3" x14ac:dyDescent="0.35">
      <c r="A82" s="5">
        <v>20911</v>
      </c>
      <c r="B82" t="s">
        <v>1563</v>
      </c>
      <c r="C82" s="2">
        <v>5</v>
      </c>
    </row>
    <row r="83" spans="1:3" x14ac:dyDescent="0.35">
      <c r="A83" s="5">
        <v>20941</v>
      </c>
      <c r="B83" t="s">
        <v>1564</v>
      </c>
      <c r="C83" s="2">
        <v>5</v>
      </c>
    </row>
    <row r="84" spans="1:3" x14ac:dyDescent="0.35">
      <c r="A84" s="5">
        <v>20972</v>
      </c>
      <c r="B84" t="s">
        <v>1565</v>
      </c>
      <c r="C84" s="2">
        <v>5</v>
      </c>
    </row>
    <row r="85" spans="1:3" x14ac:dyDescent="0.35">
      <c r="A85" s="5">
        <v>21002</v>
      </c>
      <c r="B85" t="s">
        <v>1566</v>
      </c>
      <c r="C85" s="2">
        <v>5</v>
      </c>
    </row>
    <row r="86" spans="1:3" x14ac:dyDescent="0.35">
      <c r="A86" s="5">
        <v>21033</v>
      </c>
      <c r="B86" t="s">
        <v>1567</v>
      </c>
      <c r="C86" s="2">
        <v>5</v>
      </c>
    </row>
    <row r="87" spans="1:3" x14ac:dyDescent="0.35">
      <c r="A87" s="5">
        <v>21064</v>
      </c>
      <c r="B87" t="s">
        <v>1568</v>
      </c>
      <c r="C87" s="2">
        <v>7</v>
      </c>
    </row>
    <row r="88" spans="1:3" x14ac:dyDescent="0.35">
      <c r="A88" s="5">
        <v>21094</v>
      </c>
      <c r="B88" t="s">
        <v>1569</v>
      </c>
      <c r="C88" s="2">
        <v>7</v>
      </c>
    </row>
    <row r="89" spans="1:3" x14ac:dyDescent="0.35">
      <c r="A89" s="5">
        <v>21125</v>
      </c>
      <c r="B89" t="s">
        <v>1570</v>
      </c>
      <c r="C89" s="2">
        <v>7</v>
      </c>
    </row>
    <row r="90" spans="1:3" x14ac:dyDescent="0.35">
      <c r="A90" s="5">
        <v>21155</v>
      </c>
      <c r="B90" t="s">
        <v>1571</v>
      </c>
      <c r="C90" s="2">
        <v>7</v>
      </c>
    </row>
    <row r="91" spans="1:3" x14ac:dyDescent="0.35">
      <c r="A91" s="5">
        <v>21186</v>
      </c>
      <c r="B91" t="s">
        <v>1572</v>
      </c>
      <c r="C91" s="2">
        <v>7</v>
      </c>
    </row>
    <row r="92" spans="1:3" x14ac:dyDescent="0.35">
      <c r="A92" s="5">
        <v>21217</v>
      </c>
      <c r="B92" t="s">
        <v>1573</v>
      </c>
      <c r="C92" s="2">
        <v>7</v>
      </c>
    </row>
    <row r="93" spans="1:3" x14ac:dyDescent="0.35">
      <c r="A93" s="5">
        <v>21245</v>
      </c>
      <c r="B93" t="s">
        <v>1574</v>
      </c>
      <c r="C93" s="2">
        <v>6</v>
      </c>
    </row>
    <row r="94" spans="1:3" x14ac:dyDescent="0.35">
      <c r="A94" s="5">
        <v>21276</v>
      </c>
      <c r="B94" t="s">
        <v>1575</v>
      </c>
      <c r="C94" s="2">
        <v>6</v>
      </c>
    </row>
    <row r="95" spans="1:3" x14ac:dyDescent="0.35">
      <c r="A95" s="5">
        <v>21306</v>
      </c>
      <c r="B95" t="s">
        <v>1576</v>
      </c>
      <c r="C95" s="2">
        <v>5.5</v>
      </c>
    </row>
    <row r="96" spans="1:3" x14ac:dyDescent="0.35">
      <c r="A96" s="5">
        <v>21337</v>
      </c>
      <c r="B96" t="s">
        <v>1577</v>
      </c>
      <c r="C96" s="2">
        <v>5</v>
      </c>
    </row>
    <row r="97" spans="1:3" x14ac:dyDescent="0.35">
      <c r="A97" s="5">
        <v>21367</v>
      </c>
      <c r="B97" t="s">
        <v>1578</v>
      </c>
      <c r="C97" s="2">
        <v>5</v>
      </c>
    </row>
    <row r="98" spans="1:3" x14ac:dyDescent="0.35">
      <c r="A98" s="5">
        <v>21398</v>
      </c>
      <c r="B98" t="s">
        <v>1579</v>
      </c>
      <c r="C98" s="2">
        <v>4.5</v>
      </c>
    </row>
    <row r="99" spans="1:3" x14ac:dyDescent="0.35">
      <c r="A99" s="5">
        <v>21429</v>
      </c>
      <c r="B99" t="s">
        <v>1580</v>
      </c>
      <c r="C99" s="2">
        <v>4.5</v>
      </c>
    </row>
    <row r="100" spans="1:3" x14ac:dyDescent="0.35">
      <c r="A100" s="5">
        <v>21459</v>
      </c>
      <c r="B100" t="s">
        <v>1581</v>
      </c>
      <c r="C100" s="2">
        <v>4.5</v>
      </c>
    </row>
    <row r="101" spans="1:3" x14ac:dyDescent="0.35">
      <c r="A101" s="5">
        <v>21490</v>
      </c>
      <c r="B101" t="s">
        <v>1582</v>
      </c>
      <c r="C101" s="2">
        <v>4</v>
      </c>
    </row>
    <row r="102" spans="1:3" x14ac:dyDescent="0.35">
      <c r="A102" s="5">
        <v>21520</v>
      </c>
      <c r="B102" t="s">
        <v>1583</v>
      </c>
      <c r="C102" s="2">
        <v>4</v>
      </c>
    </row>
    <row r="103" spans="1:3" x14ac:dyDescent="0.35">
      <c r="A103" s="5">
        <v>21551</v>
      </c>
      <c r="B103" t="s">
        <v>1584</v>
      </c>
      <c r="C103" s="2">
        <v>4</v>
      </c>
    </row>
    <row r="104" spans="1:3" x14ac:dyDescent="0.35">
      <c r="A104" s="5">
        <v>21582</v>
      </c>
      <c r="B104" t="s">
        <v>1585</v>
      </c>
      <c r="C104" s="2">
        <v>4</v>
      </c>
    </row>
    <row r="105" spans="1:3" x14ac:dyDescent="0.35">
      <c r="A105" s="5">
        <v>21610</v>
      </c>
      <c r="B105" t="s">
        <v>1586</v>
      </c>
      <c r="C105" s="2">
        <v>4</v>
      </c>
    </row>
    <row r="106" spans="1:3" x14ac:dyDescent="0.35">
      <c r="A106" s="5">
        <v>21641</v>
      </c>
      <c r="B106" t="s">
        <v>1587</v>
      </c>
      <c r="C106" s="2">
        <v>4</v>
      </c>
    </row>
    <row r="107" spans="1:3" x14ac:dyDescent="0.35">
      <c r="A107" s="5">
        <v>21671</v>
      </c>
      <c r="B107" t="s">
        <v>1588</v>
      </c>
      <c r="C107" s="2">
        <v>4</v>
      </c>
    </row>
    <row r="108" spans="1:3" x14ac:dyDescent="0.35">
      <c r="A108" s="5">
        <v>21702</v>
      </c>
      <c r="B108" t="s">
        <v>1589</v>
      </c>
      <c r="C108" s="2">
        <v>4</v>
      </c>
    </row>
    <row r="109" spans="1:3" x14ac:dyDescent="0.35">
      <c r="A109" s="5">
        <v>21732</v>
      </c>
      <c r="B109" t="s">
        <v>1590</v>
      </c>
      <c r="C109" s="2">
        <v>4</v>
      </c>
    </row>
    <row r="110" spans="1:3" x14ac:dyDescent="0.35">
      <c r="A110" s="5">
        <v>21763</v>
      </c>
      <c r="B110" t="s">
        <v>1591</v>
      </c>
      <c r="C110" s="2">
        <v>4</v>
      </c>
    </row>
    <row r="111" spans="1:3" x14ac:dyDescent="0.35">
      <c r="A111" s="5">
        <v>21794</v>
      </c>
      <c r="B111" t="s">
        <v>1592</v>
      </c>
      <c r="C111" s="2">
        <v>4</v>
      </c>
    </row>
    <row r="112" spans="1:3" x14ac:dyDescent="0.35">
      <c r="A112" s="5">
        <v>21824</v>
      </c>
      <c r="B112" t="s">
        <v>1593</v>
      </c>
      <c r="C112" s="2">
        <v>4</v>
      </c>
    </row>
    <row r="113" spans="1:3" x14ac:dyDescent="0.35">
      <c r="A113" s="5">
        <v>21855</v>
      </c>
      <c r="B113" t="s">
        <v>1594</v>
      </c>
      <c r="C113" s="2">
        <v>4</v>
      </c>
    </row>
    <row r="114" spans="1:3" x14ac:dyDescent="0.35">
      <c r="A114" s="5">
        <v>21885</v>
      </c>
      <c r="B114" t="s">
        <v>1595</v>
      </c>
      <c r="C114" s="2">
        <v>4</v>
      </c>
    </row>
    <row r="115" spans="1:3" x14ac:dyDescent="0.35">
      <c r="A115" s="5">
        <v>21916</v>
      </c>
      <c r="B115" t="s">
        <v>1596</v>
      </c>
      <c r="C115" s="2">
        <v>5</v>
      </c>
    </row>
    <row r="116" spans="1:3" x14ac:dyDescent="0.35">
      <c r="A116" s="5">
        <v>21947</v>
      </c>
      <c r="B116" t="s">
        <v>1597</v>
      </c>
      <c r="C116" s="2">
        <v>5</v>
      </c>
    </row>
    <row r="117" spans="1:3" x14ac:dyDescent="0.35">
      <c r="A117" s="5">
        <v>21976</v>
      </c>
      <c r="B117" t="s">
        <v>1598</v>
      </c>
      <c r="C117" s="2">
        <v>5</v>
      </c>
    </row>
    <row r="118" spans="1:3" x14ac:dyDescent="0.35">
      <c r="A118" s="5">
        <v>22007</v>
      </c>
      <c r="B118" t="s">
        <v>1599</v>
      </c>
      <c r="C118" s="2">
        <v>5</v>
      </c>
    </row>
    <row r="119" spans="1:3" x14ac:dyDescent="0.35">
      <c r="A119" s="5">
        <v>22037</v>
      </c>
      <c r="B119" t="s">
        <v>1600</v>
      </c>
      <c r="C119" s="2">
        <v>5</v>
      </c>
    </row>
    <row r="120" spans="1:3" x14ac:dyDescent="0.35">
      <c r="A120" s="5">
        <v>22068</v>
      </c>
      <c r="B120" t="s">
        <v>1601</v>
      </c>
      <c r="C120" s="2">
        <v>6</v>
      </c>
    </row>
    <row r="121" spans="1:3" x14ac:dyDescent="0.35">
      <c r="A121" s="5">
        <v>22098</v>
      </c>
      <c r="B121" t="s">
        <v>1602</v>
      </c>
      <c r="C121" s="2">
        <v>6</v>
      </c>
    </row>
    <row r="122" spans="1:3" x14ac:dyDescent="0.35">
      <c r="A122" s="5">
        <v>22129</v>
      </c>
      <c r="B122" t="s">
        <v>1603</v>
      </c>
      <c r="C122" s="2">
        <v>6</v>
      </c>
    </row>
    <row r="123" spans="1:3" x14ac:dyDescent="0.35">
      <c r="A123" s="5">
        <v>22160</v>
      </c>
      <c r="B123" t="s">
        <v>1604</v>
      </c>
      <c r="C123" s="2">
        <v>6</v>
      </c>
    </row>
    <row r="124" spans="1:3" x14ac:dyDescent="0.35">
      <c r="A124" s="5">
        <v>22190</v>
      </c>
      <c r="B124" t="s">
        <v>1605</v>
      </c>
      <c r="C124" s="2">
        <v>5.5</v>
      </c>
    </row>
    <row r="125" spans="1:3" x14ac:dyDescent="0.35">
      <c r="A125" s="5">
        <v>22221</v>
      </c>
      <c r="B125" t="s">
        <v>1606</v>
      </c>
      <c r="C125" s="2">
        <v>5.5</v>
      </c>
    </row>
    <row r="126" spans="1:3" x14ac:dyDescent="0.35">
      <c r="A126" s="5">
        <v>22251</v>
      </c>
      <c r="B126" t="s">
        <v>1607</v>
      </c>
      <c r="C126" s="2">
        <v>5</v>
      </c>
    </row>
    <row r="127" spans="1:3" x14ac:dyDescent="0.35">
      <c r="A127" s="5">
        <v>22282</v>
      </c>
      <c r="B127" t="s">
        <v>1608</v>
      </c>
      <c r="C127" s="2">
        <v>5</v>
      </c>
    </row>
    <row r="128" spans="1:3" x14ac:dyDescent="0.35">
      <c r="A128" s="5">
        <v>22313</v>
      </c>
      <c r="B128" t="s">
        <v>1609</v>
      </c>
      <c r="C128" s="2">
        <v>5</v>
      </c>
    </row>
    <row r="129" spans="1:3" x14ac:dyDescent="0.35">
      <c r="A129" s="5">
        <v>22341</v>
      </c>
      <c r="B129" t="s">
        <v>1610</v>
      </c>
      <c r="C129" s="2">
        <v>5</v>
      </c>
    </row>
    <row r="130" spans="1:3" x14ac:dyDescent="0.35">
      <c r="A130" s="5">
        <v>22372</v>
      </c>
      <c r="B130" t="s">
        <v>1611</v>
      </c>
      <c r="C130" s="2">
        <v>5</v>
      </c>
    </row>
    <row r="131" spans="1:3" x14ac:dyDescent="0.35">
      <c r="A131" s="5">
        <v>22402</v>
      </c>
      <c r="B131" t="s">
        <v>1612</v>
      </c>
      <c r="C131" s="2">
        <v>5</v>
      </c>
    </row>
    <row r="132" spans="1:3" x14ac:dyDescent="0.35">
      <c r="A132" s="5">
        <v>22433</v>
      </c>
      <c r="B132" t="s">
        <v>1613</v>
      </c>
      <c r="C132" s="2">
        <v>5</v>
      </c>
    </row>
    <row r="133" spans="1:3" x14ac:dyDescent="0.35">
      <c r="A133" s="5">
        <v>22463</v>
      </c>
      <c r="B133" t="s">
        <v>1614</v>
      </c>
      <c r="C133" s="2">
        <v>7</v>
      </c>
    </row>
    <row r="134" spans="1:3" x14ac:dyDescent="0.35">
      <c r="A134" s="5">
        <v>22494</v>
      </c>
      <c r="B134" t="s">
        <v>1615</v>
      </c>
      <c r="C134" s="2">
        <v>7</v>
      </c>
    </row>
    <row r="135" spans="1:3" x14ac:dyDescent="0.35">
      <c r="A135" s="5">
        <v>22525</v>
      </c>
      <c r="B135" t="s">
        <v>1616</v>
      </c>
      <c r="C135" s="2">
        <v>7</v>
      </c>
    </row>
    <row r="136" spans="1:3" x14ac:dyDescent="0.35">
      <c r="A136" s="5">
        <v>22555</v>
      </c>
      <c r="B136" t="s">
        <v>1617</v>
      </c>
      <c r="C136" s="2">
        <v>6.5</v>
      </c>
    </row>
    <row r="137" spans="1:3" x14ac:dyDescent="0.35">
      <c r="A137" s="5">
        <v>22586</v>
      </c>
      <c r="B137" t="s">
        <v>1618</v>
      </c>
      <c r="C137" s="2">
        <v>6</v>
      </c>
    </row>
    <row r="138" spans="1:3" x14ac:dyDescent="0.35">
      <c r="A138" s="5">
        <v>22616</v>
      </c>
      <c r="B138" t="s">
        <v>1619</v>
      </c>
      <c r="C138" s="2">
        <v>6</v>
      </c>
    </row>
    <row r="139" spans="1:3" x14ac:dyDescent="0.35">
      <c r="A139" s="5">
        <v>22647</v>
      </c>
      <c r="B139" t="s">
        <v>1620</v>
      </c>
      <c r="C139" s="2">
        <v>6</v>
      </c>
    </row>
    <row r="140" spans="1:3" x14ac:dyDescent="0.35">
      <c r="A140" s="5">
        <v>22678</v>
      </c>
      <c r="B140" t="s">
        <v>1621</v>
      </c>
      <c r="C140" s="2">
        <v>6</v>
      </c>
    </row>
    <row r="141" spans="1:3" x14ac:dyDescent="0.35">
      <c r="A141" s="5">
        <v>22706</v>
      </c>
      <c r="B141" t="s">
        <v>1622</v>
      </c>
      <c r="C141" s="2">
        <v>5</v>
      </c>
    </row>
    <row r="142" spans="1:3" x14ac:dyDescent="0.35">
      <c r="A142" s="5">
        <v>22737</v>
      </c>
      <c r="B142" t="s">
        <v>1623</v>
      </c>
      <c r="C142" s="2">
        <v>4.5</v>
      </c>
    </row>
    <row r="143" spans="1:3" x14ac:dyDescent="0.35">
      <c r="A143" s="5">
        <v>22767</v>
      </c>
      <c r="B143" t="s">
        <v>1624</v>
      </c>
      <c r="C143" s="2">
        <v>4.5</v>
      </c>
    </row>
    <row r="144" spans="1:3" x14ac:dyDescent="0.35">
      <c r="A144" s="5">
        <v>22798</v>
      </c>
      <c r="B144" t="s">
        <v>1625</v>
      </c>
      <c r="C144" s="2">
        <v>4.5</v>
      </c>
    </row>
    <row r="145" spans="1:3" x14ac:dyDescent="0.35">
      <c r="A145" s="5">
        <v>22828</v>
      </c>
      <c r="B145" t="s">
        <v>1626</v>
      </c>
      <c r="C145" s="2">
        <v>4.5</v>
      </c>
    </row>
    <row r="146" spans="1:3" x14ac:dyDescent="0.35">
      <c r="A146" s="5">
        <v>22859</v>
      </c>
      <c r="B146" t="s">
        <v>1627</v>
      </c>
      <c r="C146" s="2">
        <v>4.5</v>
      </c>
    </row>
    <row r="147" spans="1:3" x14ac:dyDescent="0.35">
      <c r="A147" s="5">
        <v>22890</v>
      </c>
      <c r="B147" t="s">
        <v>1628</v>
      </c>
      <c r="C147" s="2">
        <v>4.5</v>
      </c>
    </row>
    <row r="148" spans="1:3" x14ac:dyDescent="0.35">
      <c r="A148" s="5">
        <v>22920</v>
      </c>
      <c r="B148" t="s">
        <v>1629</v>
      </c>
      <c r="C148" s="2">
        <v>4.5</v>
      </c>
    </row>
    <row r="149" spans="1:3" x14ac:dyDescent="0.35">
      <c r="A149" s="5">
        <v>22951</v>
      </c>
      <c r="B149" t="s">
        <v>1630</v>
      </c>
      <c r="C149" s="2">
        <v>4.5</v>
      </c>
    </row>
    <row r="150" spans="1:3" x14ac:dyDescent="0.35">
      <c r="A150" s="5">
        <v>22981</v>
      </c>
      <c r="B150" t="s">
        <v>1631</v>
      </c>
      <c r="C150" s="2">
        <v>4.5</v>
      </c>
    </row>
    <row r="151" spans="1:3" x14ac:dyDescent="0.35">
      <c r="A151" s="5">
        <v>23012</v>
      </c>
      <c r="B151" t="s">
        <v>1632</v>
      </c>
      <c r="C151" s="2">
        <v>4</v>
      </c>
    </row>
    <row r="152" spans="1:3" x14ac:dyDescent="0.35">
      <c r="A152" s="5">
        <v>23043</v>
      </c>
      <c r="B152" t="s">
        <v>1633</v>
      </c>
      <c r="C152" s="2">
        <v>4</v>
      </c>
    </row>
    <row r="153" spans="1:3" x14ac:dyDescent="0.35">
      <c r="A153" s="5">
        <v>23071</v>
      </c>
      <c r="B153" t="s">
        <v>1634</v>
      </c>
      <c r="C153" s="2">
        <v>4</v>
      </c>
    </row>
    <row r="154" spans="1:3" x14ac:dyDescent="0.35">
      <c r="A154" s="5">
        <v>23102</v>
      </c>
      <c r="B154" t="s">
        <v>1635</v>
      </c>
      <c r="C154" s="2">
        <v>4</v>
      </c>
    </row>
    <row r="155" spans="1:3" x14ac:dyDescent="0.35">
      <c r="A155" s="5">
        <v>23132</v>
      </c>
      <c r="B155" t="s">
        <v>1636</v>
      </c>
      <c r="C155" s="2">
        <v>4</v>
      </c>
    </row>
    <row r="156" spans="1:3" x14ac:dyDescent="0.35">
      <c r="A156" s="5">
        <v>23163</v>
      </c>
      <c r="B156" t="s">
        <v>1637</v>
      </c>
      <c r="C156" s="2">
        <v>4</v>
      </c>
    </row>
    <row r="157" spans="1:3" x14ac:dyDescent="0.35">
      <c r="A157" s="5">
        <v>23193</v>
      </c>
      <c r="B157" t="s">
        <v>1638</v>
      </c>
      <c r="C157" s="2">
        <v>4</v>
      </c>
    </row>
    <row r="158" spans="1:3" x14ac:dyDescent="0.35">
      <c r="A158" s="5">
        <v>23224</v>
      </c>
      <c r="B158" t="s">
        <v>1639</v>
      </c>
      <c r="C158" s="2">
        <v>4</v>
      </c>
    </row>
    <row r="159" spans="1:3" x14ac:dyDescent="0.35">
      <c r="A159" s="5">
        <v>23255</v>
      </c>
      <c r="B159" t="s">
        <v>1640</v>
      </c>
      <c r="C159" s="2">
        <v>4</v>
      </c>
    </row>
    <row r="160" spans="1:3" x14ac:dyDescent="0.35">
      <c r="A160" s="5">
        <v>23285</v>
      </c>
      <c r="B160" t="s">
        <v>1641</v>
      </c>
      <c r="C160" s="2">
        <v>4</v>
      </c>
    </row>
    <row r="161" spans="1:3" x14ac:dyDescent="0.35">
      <c r="A161" s="5">
        <v>23316</v>
      </c>
      <c r="B161" t="s">
        <v>1642</v>
      </c>
      <c r="C161" s="2">
        <v>4</v>
      </c>
    </row>
    <row r="162" spans="1:3" x14ac:dyDescent="0.35">
      <c r="A162" s="5">
        <v>23346</v>
      </c>
      <c r="B162" t="s">
        <v>1643</v>
      </c>
      <c r="C162" s="2">
        <v>4</v>
      </c>
    </row>
    <row r="163" spans="1:3" x14ac:dyDescent="0.35">
      <c r="A163" s="5">
        <v>23377</v>
      </c>
      <c r="B163" t="s">
        <v>1644</v>
      </c>
      <c r="C163" s="2">
        <v>4</v>
      </c>
    </row>
    <row r="164" spans="1:3" x14ac:dyDescent="0.35">
      <c r="A164" s="5">
        <v>23408</v>
      </c>
      <c r="B164" t="s">
        <v>1645</v>
      </c>
      <c r="C164" s="2">
        <v>5</v>
      </c>
    </row>
    <row r="165" spans="1:3" x14ac:dyDescent="0.35">
      <c r="A165" s="5">
        <v>23437</v>
      </c>
      <c r="B165" t="s">
        <v>1646</v>
      </c>
      <c r="C165" s="2">
        <v>5</v>
      </c>
    </row>
    <row r="166" spans="1:3" x14ac:dyDescent="0.35">
      <c r="A166" s="5">
        <v>23468</v>
      </c>
      <c r="B166" t="s">
        <v>1647</v>
      </c>
      <c r="C166" s="2">
        <v>5</v>
      </c>
    </row>
    <row r="167" spans="1:3" x14ac:dyDescent="0.35">
      <c r="A167" s="5">
        <v>23498</v>
      </c>
      <c r="B167" t="s">
        <v>1648</v>
      </c>
      <c r="C167" s="2">
        <v>5</v>
      </c>
    </row>
    <row r="168" spans="1:3" x14ac:dyDescent="0.35">
      <c r="A168" s="5">
        <v>23529</v>
      </c>
      <c r="B168" t="s">
        <v>1649</v>
      </c>
      <c r="C168" s="2">
        <v>5</v>
      </c>
    </row>
    <row r="169" spans="1:3" x14ac:dyDescent="0.35">
      <c r="A169" s="5">
        <v>23559</v>
      </c>
      <c r="B169" t="s">
        <v>1650</v>
      </c>
      <c r="C169" s="2">
        <v>5</v>
      </c>
    </row>
    <row r="170" spans="1:3" x14ac:dyDescent="0.35">
      <c r="A170" s="5">
        <v>23590</v>
      </c>
      <c r="B170" t="s">
        <v>1651</v>
      </c>
      <c r="C170" s="2">
        <v>5</v>
      </c>
    </row>
    <row r="171" spans="1:3" x14ac:dyDescent="0.35">
      <c r="A171" s="5">
        <v>23621</v>
      </c>
      <c r="B171" t="s">
        <v>1652</v>
      </c>
      <c r="C171" s="2">
        <v>5</v>
      </c>
    </row>
    <row r="172" spans="1:3" x14ac:dyDescent="0.35">
      <c r="A172" s="5">
        <v>23651</v>
      </c>
      <c r="B172" t="s">
        <v>1653</v>
      </c>
      <c r="C172" s="2">
        <v>5</v>
      </c>
    </row>
    <row r="173" spans="1:3" x14ac:dyDescent="0.35">
      <c r="A173" s="5">
        <v>23682</v>
      </c>
      <c r="B173" t="s">
        <v>1654</v>
      </c>
      <c r="C173" s="2">
        <v>7</v>
      </c>
    </row>
    <row r="174" spans="1:3" x14ac:dyDescent="0.35">
      <c r="A174" s="5">
        <v>23712</v>
      </c>
      <c r="B174" t="s">
        <v>1655</v>
      </c>
      <c r="C174" s="2">
        <v>7</v>
      </c>
    </row>
    <row r="175" spans="1:3" x14ac:dyDescent="0.35">
      <c r="A175" s="5">
        <v>23743</v>
      </c>
      <c r="B175" t="s">
        <v>1656</v>
      </c>
      <c r="C175" s="2">
        <v>7</v>
      </c>
    </row>
    <row r="176" spans="1:3" x14ac:dyDescent="0.35">
      <c r="A176" s="5">
        <v>23774</v>
      </c>
      <c r="B176" t="s">
        <v>1657</v>
      </c>
      <c r="C176" s="2">
        <v>7</v>
      </c>
    </row>
    <row r="177" spans="1:3" x14ac:dyDescent="0.35">
      <c r="A177" s="5">
        <v>23802</v>
      </c>
      <c r="B177" t="s">
        <v>1658</v>
      </c>
      <c r="C177" s="2">
        <v>7</v>
      </c>
    </row>
    <row r="178" spans="1:3" x14ac:dyDescent="0.35">
      <c r="A178" s="5">
        <v>23833</v>
      </c>
      <c r="B178" t="s">
        <v>1659</v>
      </c>
      <c r="C178" s="2">
        <v>7</v>
      </c>
    </row>
    <row r="179" spans="1:3" x14ac:dyDescent="0.35">
      <c r="A179" s="5">
        <v>23863</v>
      </c>
      <c r="B179" t="s">
        <v>1660</v>
      </c>
      <c r="C179" s="2">
        <v>7</v>
      </c>
    </row>
    <row r="180" spans="1:3" x14ac:dyDescent="0.35">
      <c r="A180" s="5">
        <v>23894</v>
      </c>
      <c r="B180" t="s">
        <v>1661</v>
      </c>
      <c r="C180" s="2">
        <v>6</v>
      </c>
    </row>
    <row r="181" spans="1:3" x14ac:dyDescent="0.35">
      <c r="A181" s="5">
        <v>23924</v>
      </c>
      <c r="B181" t="s">
        <v>1662</v>
      </c>
      <c r="C181" s="2">
        <v>6</v>
      </c>
    </row>
    <row r="182" spans="1:3" x14ac:dyDescent="0.35">
      <c r="A182" s="5">
        <v>23955</v>
      </c>
      <c r="B182" t="s">
        <v>1663</v>
      </c>
      <c r="C182" s="2">
        <v>6</v>
      </c>
    </row>
    <row r="183" spans="1:3" x14ac:dyDescent="0.35">
      <c r="A183" s="5">
        <v>23986</v>
      </c>
      <c r="B183" t="s">
        <v>1664</v>
      </c>
      <c r="C183" s="2">
        <v>6</v>
      </c>
    </row>
    <row r="184" spans="1:3" x14ac:dyDescent="0.35">
      <c r="A184" s="5">
        <v>24016</v>
      </c>
      <c r="B184" t="s">
        <v>1665</v>
      </c>
      <c r="C184" s="2">
        <v>6</v>
      </c>
    </row>
    <row r="185" spans="1:3" x14ac:dyDescent="0.35">
      <c r="A185" s="5">
        <v>24047</v>
      </c>
      <c r="B185" t="s">
        <v>1666</v>
      </c>
      <c r="C185" s="2">
        <v>6</v>
      </c>
    </row>
    <row r="186" spans="1:3" x14ac:dyDescent="0.35">
      <c r="A186" s="5">
        <v>24077</v>
      </c>
      <c r="B186" t="s">
        <v>1667</v>
      </c>
      <c r="C186" s="2">
        <v>6</v>
      </c>
    </row>
    <row r="187" spans="1:3" x14ac:dyDescent="0.35">
      <c r="A187" s="5">
        <v>24108</v>
      </c>
      <c r="B187" t="s">
        <v>1668</v>
      </c>
      <c r="C187" s="2">
        <v>6</v>
      </c>
    </row>
    <row r="188" spans="1:3" x14ac:dyDescent="0.35">
      <c r="A188" s="5">
        <v>24139</v>
      </c>
      <c r="B188" t="s">
        <v>1669</v>
      </c>
      <c r="C188" s="2">
        <v>6</v>
      </c>
    </row>
    <row r="189" spans="1:3" x14ac:dyDescent="0.35">
      <c r="A189" s="5">
        <v>24167</v>
      </c>
      <c r="B189" t="s">
        <v>1670</v>
      </c>
      <c r="C189" s="2">
        <v>6</v>
      </c>
    </row>
    <row r="190" spans="1:3" x14ac:dyDescent="0.35">
      <c r="A190" s="5">
        <v>24198</v>
      </c>
      <c r="B190" t="s">
        <v>1671</v>
      </c>
      <c r="C190" s="2">
        <v>6</v>
      </c>
    </row>
    <row r="191" spans="1:3" x14ac:dyDescent="0.35">
      <c r="A191" s="5">
        <v>24228</v>
      </c>
      <c r="B191" t="s">
        <v>1672</v>
      </c>
      <c r="C191" s="2">
        <v>6</v>
      </c>
    </row>
    <row r="192" spans="1:3" x14ac:dyDescent="0.35">
      <c r="A192" s="5">
        <v>24259</v>
      </c>
      <c r="B192" t="s">
        <v>1673</v>
      </c>
      <c r="C192" s="2">
        <v>6</v>
      </c>
    </row>
    <row r="193" spans="1:3" x14ac:dyDescent="0.35">
      <c r="A193" s="5">
        <v>24289</v>
      </c>
      <c r="B193" t="s">
        <v>1674</v>
      </c>
      <c r="C193" s="2">
        <v>7</v>
      </c>
    </row>
    <row r="194" spans="1:3" x14ac:dyDescent="0.35">
      <c r="A194" s="5">
        <v>24320</v>
      </c>
      <c r="B194" t="s">
        <v>1675</v>
      </c>
      <c r="C194" s="2">
        <v>7</v>
      </c>
    </row>
    <row r="195" spans="1:3" x14ac:dyDescent="0.35">
      <c r="A195" s="5">
        <v>24351</v>
      </c>
      <c r="B195" t="s">
        <v>1676</v>
      </c>
      <c r="C195" s="2">
        <v>7</v>
      </c>
    </row>
    <row r="196" spans="1:3" x14ac:dyDescent="0.35">
      <c r="A196" s="5">
        <v>24381</v>
      </c>
      <c r="B196" t="s">
        <v>1677</v>
      </c>
      <c r="C196" s="2">
        <v>7</v>
      </c>
    </row>
    <row r="197" spans="1:3" x14ac:dyDescent="0.35">
      <c r="A197" s="5">
        <v>24412</v>
      </c>
      <c r="B197" t="s">
        <v>1678</v>
      </c>
      <c r="C197" s="2">
        <v>7</v>
      </c>
    </row>
    <row r="198" spans="1:3" x14ac:dyDescent="0.35">
      <c r="A198" s="5">
        <v>24442</v>
      </c>
      <c r="B198" t="s">
        <v>1679</v>
      </c>
      <c r="C198" s="2">
        <v>7</v>
      </c>
    </row>
    <row r="199" spans="1:3" x14ac:dyDescent="0.35">
      <c r="A199" s="5">
        <v>24473</v>
      </c>
      <c r="B199" t="s">
        <v>1680</v>
      </c>
      <c r="C199" s="2">
        <v>6.5</v>
      </c>
    </row>
    <row r="200" spans="1:3" x14ac:dyDescent="0.35">
      <c r="A200" s="5">
        <v>24504</v>
      </c>
      <c r="B200" t="s">
        <v>1681</v>
      </c>
      <c r="C200" s="2">
        <v>6.5</v>
      </c>
    </row>
    <row r="201" spans="1:3" x14ac:dyDescent="0.35">
      <c r="A201" s="5">
        <v>24532</v>
      </c>
      <c r="B201" t="s">
        <v>1682</v>
      </c>
      <c r="C201" s="2">
        <v>6</v>
      </c>
    </row>
    <row r="202" spans="1:3" x14ac:dyDescent="0.35">
      <c r="A202" s="5">
        <v>24563</v>
      </c>
      <c r="B202" t="s">
        <v>1683</v>
      </c>
      <c r="C202" s="2">
        <v>6</v>
      </c>
    </row>
    <row r="203" spans="1:3" x14ac:dyDescent="0.35">
      <c r="A203" s="5">
        <v>24593</v>
      </c>
      <c r="B203" t="s">
        <v>1684</v>
      </c>
      <c r="C203" s="2">
        <v>5.5</v>
      </c>
    </row>
    <row r="204" spans="1:3" x14ac:dyDescent="0.35">
      <c r="A204" s="5">
        <v>24624</v>
      </c>
      <c r="B204" t="s">
        <v>1685</v>
      </c>
      <c r="C204" s="2">
        <v>5.5</v>
      </c>
    </row>
    <row r="205" spans="1:3" x14ac:dyDescent="0.35">
      <c r="A205" s="5">
        <v>24654</v>
      </c>
      <c r="B205" t="s">
        <v>1686</v>
      </c>
      <c r="C205" s="2">
        <v>5.5</v>
      </c>
    </row>
    <row r="206" spans="1:3" x14ac:dyDescent="0.35">
      <c r="A206" s="5">
        <v>24685</v>
      </c>
      <c r="B206" t="s">
        <v>1687</v>
      </c>
      <c r="C206" s="2">
        <v>5.5</v>
      </c>
    </row>
    <row r="207" spans="1:3" x14ac:dyDescent="0.35">
      <c r="A207" s="5">
        <v>24716</v>
      </c>
      <c r="B207" t="s">
        <v>1688</v>
      </c>
      <c r="C207" s="2">
        <v>5.5</v>
      </c>
    </row>
    <row r="208" spans="1:3" x14ac:dyDescent="0.35">
      <c r="A208" s="5">
        <v>24746</v>
      </c>
      <c r="B208" t="s">
        <v>1689</v>
      </c>
      <c r="C208" s="2">
        <v>6</v>
      </c>
    </row>
    <row r="209" spans="1:3" x14ac:dyDescent="0.35">
      <c r="A209" s="5">
        <v>24777</v>
      </c>
      <c r="B209" t="s">
        <v>1690</v>
      </c>
      <c r="C209" s="2">
        <v>8</v>
      </c>
    </row>
    <row r="210" spans="1:3" x14ac:dyDescent="0.35">
      <c r="A210" s="5">
        <v>24807</v>
      </c>
      <c r="B210" t="s">
        <v>1691</v>
      </c>
      <c r="C210" s="2">
        <v>8</v>
      </c>
    </row>
    <row r="211" spans="1:3" x14ac:dyDescent="0.35">
      <c r="A211" s="5">
        <v>24838</v>
      </c>
      <c r="B211" t="s">
        <v>1692</v>
      </c>
      <c r="C211" s="2">
        <v>8</v>
      </c>
    </row>
    <row r="212" spans="1:3" x14ac:dyDescent="0.35">
      <c r="A212" s="5">
        <v>24869</v>
      </c>
      <c r="B212" t="s">
        <v>1693</v>
      </c>
      <c r="C212" s="2">
        <v>8</v>
      </c>
    </row>
    <row r="213" spans="1:3" x14ac:dyDescent="0.35">
      <c r="A213" s="5">
        <v>24898</v>
      </c>
      <c r="B213" t="s">
        <v>1694</v>
      </c>
      <c r="C213" s="2">
        <v>7.5</v>
      </c>
    </row>
    <row r="214" spans="1:3" x14ac:dyDescent="0.35">
      <c r="A214" s="5">
        <v>24929</v>
      </c>
      <c r="B214" t="s">
        <v>1695</v>
      </c>
      <c r="C214" s="2">
        <v>7.5</v>
      </c>
    </row>
    <row r="215" spans="1:3" x14ac:dyDescent="0.35">
      <c r="A215" s="5">
        <v>24959</v>
      </c>
      <c r="B215" t="s">
        <v>1696</v>
      </c>
      <c r="C215" s="2">
        <v>7.5</v>
      </c>
    </row>
    <row r="216" spans="1:3" x14ac:dyDescent="0.35">
      <c r="A216" s="5">
        <v>24990</v>
      </c>
      <c r="B216" t="s">
        <v>1697</v>
      </c>
      <c r="C216" s="2">
        <v>7.5</v>
      </c>
    </row>
    <row r="217" spans="1:3" x14ac:dyDescent="0.35">
      <c r="A217" s="5">
        <v>25020</v>
      </c>
      <c r="B217" t="s">
        <v>1698</v>
      </c>
      <c r="C217" s="2">
        <v>7.5</v>
      </c>
    </row>
    <row r="218" spans="1:3" x14ac:dyDescent="0.35">
      <c r="A218" s="5">
        <v>25051</v>
      </c>
      <c r="B218" t="s">
        <v>1699</v>
      </c>
      <c r="C218" s="2">
        <v>7.5</v>
      </c>
    </row>
    <row r="219" spans="1:3" x14ac:dyDescent="0.35">
      <c r="A219" s="5">
        <v>25082</v>
      </c>
      <c r="B219" t="s">
        <v>1700</v>
      </c>
      <c r="C219" s="2">
        <v>7</v>
      </c>
    </row>
    <row r="220" spans="1:3" x14ac:dyDescent="0.35">
      <c r="A220" s="5">
        <v>25112</v>
      </c>
      <c r="B220" t="s">
        <v>1701</v>
      </c>
      <c r="C220" s="2">
        <v>7</v>
      </c>
    </row>
    <row r="221" spans="1:3" x14ac:dyDescent="0.35">
      <c r="A221" s="5">
        <v>25143</v>
      </c>
      <c r="B221" t="s">
        <v>1702</v>
      </c>
      <c r="C221" s="2">
        <v>7</v>
      </c>
    </row>
    <row r="222" spans="1:3" x14ac:dyDescent="0.35">
      <c r="A222" s="5">
        <v>25173</v>
      </c>
      <c r="B222" t="s">
        <v>1703</v>
      </c>
      <c r="C222" s="2">
        <v>7</v>
      </c>
    </row>
    <row r="223" spans="1:3" x14ac:dyDescent="0.35">
      <c r="A223" s="5">
        <v>25204</v>
      </c>
      <c r="B223" t="s">
        <v>1704</v>
      </c>
      <c r="C223" s="2">
        <v>7</v>
      </c>
    </row>
    <row r="224" spans="1:3" x14ac:dyDescent="0.35">
      <c r="A224" s="5">
        <v>25235</v>
      </c>
      <c r="B224" t="s">
        <v>1705</v>
      </c>
      <c r="C224" s="2">
        <v>8</v>
      </c>
    </row>
    <row r="225" spans="1:3" x14ac:dyDescent="0.35">
      <c r="A225" s="5">
        <v>25263</v>
      </c>
      <c r="B225" t="s">
        <v>1706</v>
      </c>
      <c r="C225" s="2">
        <v>8</v>
      </c>
    </row>
    <row r="226" spans="1:3" x14ac:dyDescent="0.35">
      <c r="A226" s="5">
        <v>25294</v>
      </c>
      <c r="B226" t="s">
        <v>1707</v>
      </c>
      <c r="C226" s="2">
        <v>8</v>
      </c>
    </row>
    <row r="227" spans="1:3" x14ac:dyDescent="0.35">
      <c r="A227" s="5">
        <v>25324</v>
      </c>
      <c r="B227" t="s">
        <v>1708</v>
      </c>
      <c r="C227" s="2">
        <v>8</v>
      </c>
    </row>
    <row r="228" spans="1:3" x14ac:dyDescent="0.35">
      <c r="A228" s="5">
        <v>25355</v>
      </c>
      <c r="B228" t="s">
        <v>1709</v>
      </c>
      <c r="C228" s="2">
        <v>8</v>
      </c>
    </row>
    <row r="229" spans="1:3" x14ac:dyDescent="0.35">
      <c r="A229" s="5">
        <v>25385</v>
      </c>
      <c r="B229" t="s">
        <v>1710</v>
      </c>
      <c r="C229" s="2">
        <v>8</v>
      </c>
    </row>
    <row r="230" spans="1:3" x14ac:dyDescent="0.35">
      <c r="A230" s="5">
        <v>25416</v>
      </c>
      <c r="B230" t="s">
        <v>1711</v>
      </c>
      <c r="C230" s="2">
        <v>8</v>
      </c>
    </row>
    <row r="231" spans="1:3" x14ac:dyDescent="0.35">
      <c r="A231" s="5">
        <v>25447</v>
      </c>
      <c r="B231" t="s">
        <v>1712</v>
      </c>
      <c r="C231" s="2">
        <v>8</v>
      </c>
    </row>
    <row r="232" spans="1:3" x14ac:dyDescent="0.35">
      <c r="A232" s="5">
        <v>25477</v>
      </c>
      <c r="B232" t="s">
        <v>1713</v>
      </c>
      <c r="C232" s="2">
        <v>8</v>
      </c>
    </row>
    <row r="233" spans="1:3" x14ac:dyDescent="0.35">
      <c r="A233" s="5">
        <v>25508</v>
      </c>
      <c r="B233" t="s">
        <v>1714</v>
      </c>
      <c r="C233" s="2">
        <v>8</v>
      </c>
    </row>
    <row r="234" spans="1:3" x14ac:dyDescent="0.35">
      <c r="A234" s="5">
        <v>25538</v>
      </c>
      <c r="B234" t="s">
        <v>1715</v>
      </c>
      <c r="C234" s="2">
        <v>8</v>
      </c>
    </row>
    <row r="235" spans="1:3" x14ac:dyDescent="0.35">
      <c r="A235" s="5">
        <v>25569</v>
      </c>
      <c r="B235" t="s">
        <v>1716</v>
      </c>
      <c r="C235" s="2">
        <v>8</v>
      </c>
    </row>
    <row r="236" spans="1:3" x14ac:dyDescent="0.35">
      <c r="A236" s="5">
        <v>25600</v>
      </c>
      <c r="B236" t="s">
        <v>1717</v>
      </c>
      <c r="C236" s="2">
        <v>8</v>
      </c>
    </row>
    <row r="237" spans="1:3" x14ac:dyDescent="0.35">
      <c r="A237" s="5">
        <v>25628</v>
      </c>
      <c r="B237" t="s">
        <v>1718</v>
      </c>
      <c r="C237" s="2">
        <v>7.5</v>
      </c>
    </row>
    <row r="238" spans="1:3" x14ac:dyDescent="0.35">
      <c r="A238" s="5">
        <v>25659</v>
      </c>
      <c r="B238" t="s">
        <v>1719</v>
      </c>
      <c r="C238" s="2">
        <v>7</v>
      </c>
    </row>
    <row r="239" spans="1:3" x14ac:dyDescent="0.35">
      <c r="A239" s="5">
        <v>25689</v>
      </c>
      <c r="B239" t="s">
        <v>1720</v>
      </c>
      <c r="C239" s="2">
        <v>7</v>
      </c>
    </row>
    <row r="240" spans="1:3" x14ac:dyDescent="0.35">
      <c r="A240" s="5">
        <v>25720</v>
      </c>
      <c r="B240" t="s">
        <v>1721</v>
      </c>
      <c r="C240" s="2">
        <v>7</v>
      </c>
    </row>
    <row r="241" spans="1:3" x14ac:dyDescent="0.35">
      <c r="A241" s="5">
        <v>25750</v>
      </c>
      <c r="B241" t="s">
        <v>1722</v>
      </c>
      <c r="C241" s="2">
        <v>7</v>
      </c>
    </row>
    <row r="242" spans="1:3" x14ac:dyDescent="0.35">
      <c r="A242" s="5">
        <v>25781</v>
      </c>
      <c r="B242" t="s">
        <v>1723</v>
      </c>
      <c r="C242" s="2">
        <v>7</v>
      </c>
    </row>
    <row r="243" spans="1:3" x14ac:dyDescent="0.35">
      <c r="A243" s="5">
        <v>25812</v>
      </c>
      <c r="B243" t="s">
        <v>1724</v>
      </c>
      <c r="C243" s="2">
        <v>7</v>
      </c>
    </row>
    <row r="244" spans="1:3" x14ac:dyDescent="0.35">
      <c r="A244" s="5">
        <v>25842</v>
      </c>
      <c r="B244" t="s">
        <v>1725</v>
      </c>
      <c r="C244" s="2">
        <v>7</v>
      </c>
    </row>
    <row r="245" spans="1:3" x14ac:dyDescent="0.35">
      <c r="A245" s="5">
        <v>25873</v>
      </c>
      <c r="B245" t="s">
        <v>1726</v>
      </c>
      <c r="C245" s="2">
        <v>7</v>
      </c>
    </row>
    <row r="246" spans="1:3" x14ac:dyDescent="0.35">
      <c r="A246" s="5">
        <v>25903</v>
      </c>
      <c r="B246" t="s">
        <v>1727</v>
      </c>
      <c r="C246" s="2">
        <v>7</v>
      </c>
    </row>
    <row r="247" spans="1:3" x14ac:dyDescent="0.35">
      <c r="A247" s="5">
        <v>25934</v>
      </c>
      <c r="B247" t="s">
        <v>1728</v>
      </c>
      <c r="C247" s="2">
        <v>7</v>
      </c>
    </row>
    <row r="248" spans="1:3" x14ac:dyDescent="0.35">
      <c r="A248" s="5">
        <v>25965</v>
      </c>
      <c r="B248" t="s">
        <v>1729</v>
      </c>
      <c r="C248" s="2">
        <v>7</v>
      </c>
    </row>
    <row r="249" spans="1:3" x14ac:dyDescent="0.35">
      <c r="A249" s="5">
        <v>25993</v>
      </c>
      <c r="B249" t="s">
        <v>1730</v>
      </c>
      <c r="C249" s="2">
        <v>7</v>
      </c>
    </row>
    <row r="250" spans="1:3" x14ac:dyDescent="0.35">
      <c r="A250" s="5">
        <v>26024</v>
      </c>
      <c r="B250" t="s">
        <v>1731</v>
      </c>
      <c r="C250" s="2">
        <v>6</v>
      </c>
    </row>
    <row r="251" spans="1:3" x14ac:dyDescent="0.35">
      <c r="A251" s="5">
        <v>26054</v>
      </c>
      <c r="B251" t="s">
        <v>1732</v>
      </c>
      <c r="C251" s="2">
        <v>6</v>
      </c>
    </row>
    <row r="252" spans="1:3" x14ac:dyDescent="0.35">
      <c r="A252" s="5">
        <v>26085</v>
      </c>
      <c r="B252" t="s">
        <v>1733</v>
      </c>
      <c r="C252" s="2">
        <v>6</v>
      </c>
    </row>
    <row r="253" spans="1:3" x14ac:dyDescent="0.35">
      <c r="A253" s="5">
        <v>26115</v>
      </c>
      <c r="B253" t="s">
        <v>1734</v>
      </c>
      <c r="C253" s="2">
        <v>6</v>
      </c>
    </row>
    <row r="254" spans="1:3" x14ac:dyDescent="0.35">
      <c r="A254" s="5">
        <v>26146</v>
      </c>
      <c r="B254" t="s">
        <v>1735</v>
      </c>
      <c r="C254" s="2">
        <v>6</v>
      </c>
    </row>
    <row r="255" spans="1:3" x14ac:dyDescent="0.35">
      <c r="A255" s="5">
        <v>26177</v>
      </c>
      <c r="B255" t="s">
        <v>1736</v>
      </c>
      <c r="C255" s="2">
        <v>5</v>
      </c>
    </row>
    <row r="256" spans="1:3" x14ac:dyDescent="0.35">
      <c r="A256" s="5">
        <v>26207</v>
      </c>
      <c r="B256" t="s">
        <v>1737</v>
      </c>
      <c r="C256" s="2">
        <v>5</v>
      </c>
    </row>
    <row r="257" spans="1:3" x14ac:dyDescent="0.35">
      <c r="A257" s="5">
        <v>26238</v>
      </c>
      <c r="B257" t="s">
        <v>1738</v>
      </c>
      <c r="C257" s="2">
        <v>5</v>
      </c>
    </row>
    <row r="258" spans="1:3" x14ac:dyDescent="0.35">
      <c r="A258" s="5">
        <v>26268</v>
      </c>
      <c r="B258" t="s">
        <v>1739</v>
      </c>
      <c r="C258" s="2">
        <v>5</v>
      </c>
    </row>
    <row r="259" spans="1:3" x14ac:dyDescent="0.35">
      <c r="A259" s="5">
        <v>26299</v>
      </c>
      <c r="B259" t="s">
        <v>1740</v>
      </c>
      <c r="C259" s="2">
        <v>5</v>
      </c>
    </row>
    <row r="260" spans="1:3" x14ac:dyDescent="0.35">
      <c r="A260" s="5">
        <v>26330</v>
      </c>
      <c r="B260" t="s">
        <v>1741</v>
      </c>
      <c r="C260" s="2">
        <v>5</v>
      </c>
    </row>
    <row r="261" spans="1:3" x14ac:dyDescent="0.35">
      <c r="A261" s="5">
        <v>26359</v>
      </c>
      <c r="B261" t="s">
        <v>1742</v>
      </c>
      <c r="C261" s="2">
        <v>5</v>
      </c>
    </row>
    <row r="262" spans="1:3" x14ac:dyDescent="0.35">
      <c r="A262" s="5">
        <v>26390</v>
      </c>
      <c r="B262" t="s">
        <v>1743</v>
      </c>
      <c r="C262" s="2">
        <v>5</v>
      </c>
    </row>
    <row r="263" spans="1:3" x14ac:dyDescent="0.35">
      <c r="A263" s="5">
        <v>26420</v>
      </c>
      <c r="B263" t="s">
        <v>1744</v>
      </c>
      <c r="C263" s="2">
        <v>5</v>
      </c>
    </row>
    <row r="264" spans="1:3" x14ac:dyDescent="0.35">
      <c r="A264" s="5">
        <v>26451</v>
      </c>
      <c r="B264" t="s">
        <v>1745</v>
      </c>
      <c r="C264" s="2">
        <v>6</v>
      </c>
    </row>
    <row r="265" spans="1:3" x14ac:dyDescent="0.35">
      <c r="A265" s="5">
        <v>26481</v>
      </c>
      <c r="B265" t="s">
        <v>1746</v>
      </c>
      <c r="C265" s="2">
        <v>6</v>
      </c>
    </row>
    <row r="266" spans="1:3" x14ac:dyDescent="0.35">
      <c r="A266" s="5">
        <v>26512</v>
      </c>
      <c r="B266" t="s">
        <v>1747</v>
      </c>
      <c r="C266" s="2">
        <v>6</v>
      </c>
    </row>
    <row r="267" spans="1:3" x14ac:dyDescent="0.35">
      <c r="A267" s="5">
        <v>26543</v>
      </c>
      <c r="B267" t="s">
        <v>1748</v>
      </c>
      <c r="C267" s="2">
        <v>6</v>
      </c>
    </row>
    <row r="268" spans="1:3" x14ac:dyDescent="0.35">
      <c r="A268" s="5">
        <v>26573</v>
      </c>
      <c r="B268" t="s">
        <v>1749</v>
      </c>
      <c r="C268" s="2">
        <v>7.5</v>
      </c>
    </row>
    <row r="269" spans="1:3" x14ac:dyDescent="0.35">
      <c r="A269" s="5">
        <v>26604</v>
      </c>
      <c r="B269" t="s">
        <v>1750</v>
      </c>
      <c r="C269" s="2">
        <v>7.5</v>
      </c>
    </row>
    <row r="270" spans="1:3" x14ac:dyDescent="0.35">
      <c r="A270" s="5">
        <v>26634</v>
      </c>
      <c r="B270" t="s">
        <v>1751</v>
      </c>
      <c r="C270" s="2">
        <v>9</v>
      </c>
    </row>
    <row r="271" spans="1:3" x14ac:dyDescent="0.35">
      <c r="A271" s="5">
        <v>26665</v>
      </c>
      <c r="B271" t="s">
        <v>1752</v>
      </c>
      <c r="C271" s="2">
        <v>8.75</v>
      </c>
    </row>
    <row r="272" spans="1:3" x14ac:dyDescent="0.35">
      <c r="A272" s="5">
        <v>26696</v>
      </c>
      <c r="B272" t="s">
        <v>1753</v>
      </c>
      <c r="C272" s="2">
        <v>8.75</v>
      </c>
    </row>
    <row r="273" spans="1:3" x14ac:dyDescent="0.35">
      <c r="A273" s="5">
        <v>26724</v>
      </c>
      <c r="B273" t="s">
        <v>1754</v>
      </c>
      <c r="C273" s="2">
        <v>8.5</v>
      </c>
    </row>
    <row r="274" spans="1:3" x14ac:dyDescent="0.35">
      <c r="A274" s="5">
        <v>26755</v>
      </c>
      <c r="B274" t="s">
        <v>1755</v>
      </c>
      <c r="C274" s="2">
        <v>8.25</v>
      </c>
    </row>
    <row r="275" spans="1:3" x14ac:dyDescent="0.35">
      <c r="A275" s="5">
        <v>26785</v>
      </c>
      <c r="B275" t="s">
        <v>1756</v>
      </c>
      <c r="C275" s="2">
        <v>7.75</v>
      </c>
    </row>
    <row r="276" spans="1:3" x14ac:dyDescent="0.35">
      <c r="A276" s="5">
        <v>26816</v>
      </c>
      <c r="B276" t="s">
        <v>1757</v>
      </c>
      <c r="C276" s="2">
        <v>7.5</v>
      </c>
    </row>
    <row r="277" spans="1:3" x14ac:dyDescent="0.35">
      <c r="A277" s="5">
        <v>26846</v>
      </c>
      <c r="B277" t="s">
        <v>1758</v>
      </c>
      <c r="C277" s="2">
        <v>11.5</v>
      </c>
    </row>
    <row r="278" spans="1:3" x14ac:dyDescent="0.35">
      <c r="A278" s="5">
        <v>26877</v>
      </c>
      <c r="B278" t="s">
        <v>1759</v>
      </c>
      <c r="C278" s="2">
        <v>11.5</v>
      </c>
    </row>
    <row r="279" spans="1:3" x14ac:dyDescent="0.35">
      <c r="A279" s="5">
        <v>26908</v>
      </c>
      <c r="B279" t="s">
        <v>1760</v>
      </c>
      <c r="C279" s="2">
        <v>11.5</v>
      </c>
    </row>
    <row r="280" spans="1:3" x14ac:dyDescent="0.35">
      <c r="A280" s="5">
        <v>26938</v>
      </c>
      <c r="B280" t="s">
        <v>1761</v>
      </c>
      <c r="C280" s="2">
        <v>11.25</v>
      </c>
    </row>
    <row r="281" spans="1:3" x14ac:dyDescent="0.35">
      <c r="A281" s="5">
        <v>26969</v>
      </c>
      <c r="B281" t="s">
        <v>1762</v>
      </c>
      <c r="C281" s="2">
        <v>13</v>
      </c>
    </row>
    <row r="282" spans="1:3" x14ac:dyDescent="0.35">
      <c r="A282" s="5">
        <v>26999</v>
      </c>
      <c r="B282" t="s">
        <v>1763</v>
      </c>
      <c r="C282" s="2">
        <v>13</v>
      </c>
    </row>
    <row r="283" spans="1:3" x14ac:dyDescent="0.35">
      <c r="A283" s="5">
        <v>27030</v>
      </c>
      <c r="B283" t="s">
        <v>1764</v>
      </c>
      <c r="C283" s="2">
        <v>12.75</v>
      </c>
    </row>
    <row r="284" spans="1:3" x14ac:dyDescent="0.35">
      <c r="A284" s="5">
        <v>27061</v>
      </c>
      <c r="B284" t="s">
        <v>1765</v>
      </c>
      <c r="C284" s="2">
        <v>12.5</v>
      </c>
    </row>
    <row r="285" spans="1:3" x14ac:dyDescent="0.35">
      <c r="A285" s="5">
        <v>27089</v>
      </c>
      <c r="B285" t="s">
        <v>1766</v>
      </c>
      <c r="C285" s="2">
        <v>12.5</v>
      </c>
    </row>
    <row r="286" spans="1:3" x14ac:dyDescent="0.35">
      <c r="A286" s="5">
        <v>27120</v>
      </c>
      <c r="B286" t="s">
        <v>1767</v>
      </c>
      <c r="C286" s="2">
        <v>12</v>
      </c>
    </row>
    <row r="287" spans="1:3" x14ac:dyDescent="0.35">
      <c r="A287" s="5">
        <v>27150</v>
      </c>
      <c r="B287" t="s">
        <v>1768</v>
      </c>
      <c r="C287" s="2">
        <v>11.75</v>
      </c>
    </row>
    <row r="288" spans="1:3" x14ac:dyDescent="0.35">
      <c r="A288" s="5">
        <v>27181</v>
      </c>
      <c r="B288" t="s">
        <v>1769</v>
      </c>
      <c r="C288" s="2">
        <v>11.75</v>
      </c>
    </row>
    <row r="289" spans="1:3" x14ac:dyDescent="0.35">
      <c r="A289" s="5">
        <v>27211</v>
      </c>
      <c r="B289" t="s">
        <v>1770</v>
      </c>
      <c r="C289" s="2">
        <v>11.75</v>
      </c>
    </row>
    <row r="290" spans="1:3" x14ac:dyDescent="0.35">
      <c r="A290" s="5">
        <v>27242</v>
      </c>
      <c r="B290" t="s">
        <v>1771</v>
      </c>
      <c r="C290" s="2">
        <v>11.75</v>
      </c>
    </row>
    <row r="291" spans="1:3" x14ac:dyDescent="0.35">
      <c r="A291" s="5">
        <v>27273</v>
      </c>
      <c r="B291" t="s">
        <v>1772</v>
      </c>
      <c r="C291" s="2">
        <v>11.5</v>
      </c>
    </row>
    <row r="292" spans="1:3" x14ac:dyDescent="0.35">
      <c r="A292" s="5">
        <v>27303</v>
      </c>
      <c r="B292" t="s">
        <v>1773</v>
      </c>
      <c r="C292" s="2">
        <v>11.5</v>
      </c>
    </row>
    <row r="293" spans="1:3" x14ac:dyDescent="0.35">
      <c r="A293" s="5">
        <v>27334</v>
      </c>
      <c r="B293" t="s">
        <v>1774</v>
      </c>
      <c r="C293" s="2">
        <v>11.5</v>
      </c>
    </row>
    <row r="294" spans="1:3" x14ac:dyDescent="0.35">
      <c r="A294" s="5">
        <v>27364</v>
      </c>
      <c r="B294" t="s">
        <v>1775</v>
      </c>
      <c r="C294" s="2">
        <v>11.5</v>
      </c>
    </row>
    <row r="295" spans="1:3" x14ac:dyDescent="0.35">
      <c r="A295" s="5">
        <v>27395</v>
      </c>
      <c r="B295" t="s">
        <v>1776</v>
      </c>
      <c r="C295" s="2">
        <v>11</v>
      </c>
    </row>
    <row r="296" spans="1:3" x14ac:dyDescent="0.35">
      <c r="A296" s="5">
        <v>27426</v>
      </c>
      <c r="B296" t="s">
        <v>1777</v>
      </c>
      <c r="C296" s="2">
        <v>10.5</v>
      </c>
    </row>
    <row r="297" spans="1:3" x14ac:dyDescent="0.35">
      <c r="A297" s="5">
        <v>27454</v>
      </c>
      <c r="B297" t="s">
        <v>1778</v>
      </c>
      <c r="C297" s="2">
        <v>10</v>
      </c>
    </row>
    <row r="298" spans="1:3" x14ac:dyDescent="0.35">
      <c r="A298" s="5">
        <v>27485</v>
      </c>
      <c r="B298" t="s">
        <v>1779</v>
      </c>
      <c r="C298" s="2">
        <v>9.75</v>
      </c>
    </row>
    <row r="299" spans="1:3" x14ac:dyDescent="0.35">
      <c r="A299" s="5">
        <v>27515</v>
      </c>
      <c r="B299" t="s">
        <v>1780</v>
      </c>
      <c r="C299" s="2">
        <v>10</v>
      </c>
    </row>
    <row r="300" spans="1:3" x14ac:dyDescent="0.35">
      <c r="A300" s="5">
        <v>27546</v>
      </c>
      <c r="B300" t="s">
        <v>1781</v>
      </c>
      <c r="C300" s="2">
        <v>10</v>
      </c>
    </row>
    <row r="301" spans="1:3" x14ac:dyDescent="0.35">
      <c r="A301" s="5">
        <v>27576</v>
      </c>
      <c r="B301" t="s">
        <v>1782</v>
      </c>
      <c r="C301" s="2">
        <v>11</v>
      </c>
    </row>
    <row r="302" spans="1:3" x14ac:dyDescent="0.35">
      <c r="A302" s="5">
        <v>27607</v>
      </c>
      <c r="B302" t="s">
        <v>1783</v>
      </c>
      <c r="C302" s="2">
        <v>11</v>
      </c>
    </row>
    <row r="303" spans="1:3" x14ac:dyDescent="0.35">
      <c r="A303" s="5">
        <v>27638</v>
      </c>
      <c r="B303" t="s">
        <v>1784</v>
      </c>
      <c r="C303" s="2">
        <v>11</v>
      </c>
    </row>
    <row r="304" spans="1:3" x14ac:dyDescent="0.35">
      <c r="A304" s="5">
        <v>27668</v>
      </c>
      <c r="B304" t="s">
        <v>1785</v>
      </c>
      <c r="C304" s="2">
        <v>12</v>
      </c>
    </row>
    <row r="305" spans="1:3" x14ac:dyDescent="0.35">
      <c r="A305" s="5">
        <v>27699</v>
      </c>
      <c r="B305" t="s">
        <v>1786</v>
      </c>
      <c r="C305" s="2">
        <v>11.75</v>
      </c>
    </row>
    <row r="306" spans="1:3" x14ac:dyDescent="0.35">
      <c r="A306" s="5">
        <v>27729</v>
      </c>
      <c r="B306" t="s">
        <v>1787</v>
      </c>
      <c r="C306" s="2">
        <v>11.25</v>
      </c>
    </row>
    <row r="307" spans="1:3" x14ac:dyDescent="0.35">
      <c r="A307" s="5">
        <v>27760</v>
      </c>
      <c r="B307" t="s">
        <v>1788</v>
      </c>
      <c r="C307" s="2">
        <v>10.5</v>
      </c>
    </row>
    <row r="308" spans="1:3" x14ac:dyDescent="0.35">
      <c r="A308" s="5">
        <v>27791</v>
      </c>
      <c r="B308" t="s">
        <v>1789</v>
      </c>
      <c r="C308" s="2">
        <v>9.5</v>
      </c>
    </row>
    <row r="309" spans="1:3" x14ac:dyDescent="0.35">
      <c r="A309" s="5">
        <v>27820</v>
      </c>
      <c r="B309" t="s">
        <v>1790</v>
      </c>
      <c r="C309" s="2">
        <v>9</v>
      </c>
    </row>
    <row r="310" spans="1:3" x14ac:dyDescent="0.35">
      <c r="A310" s="5">
        <v>27851</v>
      </c>
      <c r="B310" t="s">
        <v>1791</v>
      </c>
      <c r="C310" s="2">
        <v>10.5</v>
      </c>
    </row>
    <row r="311" spans="1:3" x14ac:dyDescent="0.35">
      <c r="A311" s="5">
        <v>27881</v>
      </c>
      <c r="B311" t="s">
        <v>1792</v>
      </c>
      <c r="C311" s="2">
        <v>11.5</v>
      </c>
    </row>
    <row r="312" spans="1:3" x14ac:dyDescent="0.35">
      <c r="A312" s="5">
        <v>27912</v>
      </c>
      <c r="B312" t="s">
        <v>1793</v>
      </c>
      <c r="C312" s="2">
        <v>11.5</v>
      </c>
    </row>
    <row r="313" spans="1:3" x14ac:dyDescent="0.35">
      <c r="A313" s="5">
        <v>27942</v>
      </c>
      <c r="B313" t="s">
        <v>1794</v>
      </c>
      <c r="C313" s="2">
        <v>11.5</v>
      </c>
    </row>
    <row r="314" spans="1:3" x14ac:dyDescent="0.35">
      <c r="A314" s="5">
        <v>27973</v>
      </c>
      <c r="B314" t="s">
        <v>1795</v>
      </c>
      <c r="C314" s="2">
        <v>11.5</v>
      </c>
    </row>
    <row r="315" spans="1:3" x14ac:dyDescent="0.35">
      <c r="A315" s="5">
        <v>28004</v>
      </c>
      <c r="B315" t="s">
        <v>1796</v>
      </c>
      <c r="C315" s="2">
        <v>13</v>
      </c>
    </row>
    <row r="316" spans="1:3" x14ac:dyDescent="0.35">
      <c r="A316" s="5">
        <v>28034</v>
      </c>
      <c r="B316" t="s">
        <v>1797</v>
      </c>
      <c r="C316" s="2">
        <v>15</v>
      </c>
    </row>
    <row r="317" spans="1:3" x14ac:dyDescent="0.35">
      <c r="A317" s="5">
        <v>28065</v>
      </c>
      <c r="B317" t="s">
        <v>1798</v>
      </c>
      <c r="C317" s="2">
        <v>14.75</v>
      </c>
    </row>
    <row r="318" spans="1:3" x14ac:dyDescent="0.35">
      <c r="A318" s="5">
        <v>28095</v>
      </c>
      <c r="B318" t="s">
        <v>1799</v>
      </c>
      <c r="C318" s="2">
        <v>14.25</v>
      </c>
    </row>
    <row r="319" spans="1:3" x14ac:dyDescent="0.35">
      <c r="A319" s="5">
        <v>28126</v>
      </c>
      <c r="B319" t="s">
        <v>1800</v>
      </c>
      <c r="C319" s="2">
        <v>12.25</v>
      </c>
    </row>
    <row r="320" spans="1:3" x14ac:dyDescent="0.35">
      <c r="A320" s="5">
        <v>28157</v>
      </c>
      <c r="B320" t="s">
        <v>1801</v>
      </c>
      <c r="C320" s="2">
        <v>12</v>
      </c>
    </row>
    <row r="321" spans="1:3" x14ac:dyDescent="0.35">
      <c r="A321" s="5">
        <v>28185</v>
      </c>
      <c r="B321" t="s">
        <v>1802</v>
      </c>
      <c r="C321" s="2">
        <v>9.5</v>
      </c>
    </row>
    <row r="322" spans="1:3" x14ac:dyDescent="0.35">
      <c r="A322" s="5">
        <v>28216</v>
      </c>
      <c r="B322" t="s">
        <v>1803</v>
      </c>
      <c r="C322" s="2">
        <v>8.75</v>
      </c>
    </row>
    <row r="323" spans="1:3" x14ac:dyDescent="0.35">
      <c r="A323" s="5">
        <v>28246</v>
      </c>
      <c r="B323" t="s">
        <v>1804</v>
      </c>
      <c r="C323" s="2">
        <v>8</v>
      </c>
    </row>
    <row r="324" spans="1:3" x14ac:dyDescent="0.35">
      <c r="A324" s="5">
        <v>28277</v>
      </c>
      <c r="B324" t="s">
        <v>1805</v>
      </c>
      <c r="C324" s="2">
        <v>8</v>
      </c>
    </row>
    <row r="325" spans="1:3" x14ac:dyDescent="0.35">
      <c r="A325" s="5">
        <v>28307</v>
      </c>
      <c r="B325" t="s">
        <v>1806</v>
      </c>
      <c r="C325" s="2">
        <v>8</v>
      </c>
    </row>
    <row r="326" spans="1:3" x14ac:dyDescent="0.35">
      <c r="A326" s="5">
        <v>28338</v>
      </c>
      <c r="B326" t="s">
        <v>1807</v>
      </c>
      <c r="C326" s="2">
        <v>7</v>
      </c>
    </row>
    <row r="327" spans="1:3" x14ac:dyDescent="0.35">
      <c r="A327" s="5">
        <v>28369</v>
      </c>
      <c r="B327" t="s">
        <v>1808</v>
      </c>
      <c r="C327" s="2">
        <v>6</v>
      </c>
    </row>
    <row r="328" spans="1:3" x14ac:dyDescent="0.35">
      <c r="A328" s="5">
        <v>28399</v>
      </c>
      <c r="B328" t="s">
        <v>1809</v>
      </c>
      <c r="C328" s="2">
        <v>5</v>
      </c>
    </row>
    <row r="329" spans="1:3" x14ac:dyDescent="0.35">
      <c r="A329" s="5">
        <v>28430</v>
      </c>
      <c r="B329" t="s">
        <v>1810</v>
      </c>
      <c r="C329" s="2">
        <v>7</v>
      </c>
    </row>
    <row r="330" spans="1:3" x14ac:dyDescent="0.35">
      <c r="A330" s="5">
        <v>28460</v>
      </c>
      <c r="B330" t="s">
        <v>1811</v>
      </c>
      <c r="C330" s="2">
        <v>7</v>
      </c>
    </row>
    <row r="331" spans="1:3" x14ac:dyDescent="0.35">
      <c r="A331" s="5">
        <v>28491</v>
      </c>
      <c r="B331" t="s">
        <v>1812</v>
      </c>
      <c r="C331" s="2">
        <v>6.5</v>
      </c>
    </row>
    <row r="332" spans="1:3" x14ac:dyDescent="0.35">
      <c r="A332" s="5">
        <v>28522</v>
      </c>
      <c r="B332" t="s">
        <v>1813</v>
      </c>
      <c r="C332" s="2">
        <v>6.5</v>
      </c>
    </row>
    <row r="333" spans="1:3" x14ac:dyDescent="0.35">
      <c r="A333" s="5">
        <v>28550</v>
      </c>
      <c r="B333" t="s">
        <v>1814</v>
      </c>
      <c r="C333" s="2">
        <v>6.5</v>
      </c>
    </row>
    <row r="334" spans="1:3" x14ac:dyDescent="0.35">
      <c r="A334" s="5">
        <v>28581</v>
      </c>
      <c r="B334" t="s">
        <v>1815</v>
      </c>
      <c r="C334" s="2">
        <v>7.5</v>
      </c>
    </row>
    <row r="335" spans="1:3" x14ac:dyDescent="0.35">
      <c r="A335" s="5">
        <v>28611</v>
      </c>
      <c r="B335" t="s">
        <v>1816</v>
      </c>
      <c r="C335" s="2">
        <v>9</v>
      </c>
    </row>
    <row r="336" spans="1:3" x14ac:dyDescent="0.35">
      <c r="A336" s="5">
        <v>28642</v>
      </c>
      <c r="B336" t="s">
        <v>1817</v>
      </c>
      <c r="C336" s="2">
        <v>10</v>
      </c>
    </row>
    <row r="337" spans="1:3" x14ac:dyDescent="0.35">
      <c r="A337" s="5">
        <v>28672</v>
      </c>
      <c r="B337" t="s">
        <v>1818</v>
      </c>
      <c r="C337" s="2">
        <v>10</v>
      </c>
    </row>
    <row r="338" spans="1:3" x14ac:dyDescent="0.35">
      <c r="A338" s="5">
        <v>28703</v>
      </c>
      <c r="B338" t="s">
        <v>1819</v>
      </c>
      <c r="C338" s="2">
        <v>10</v>
      </c>
    </row>
    <row r="339" spans="1:3" x14ac:dyDescent="0.35">
      <c r="A339" s="5">
        <v>28734</v>
      </c>
      <c r="B339" t="s">
        <v>1820</v>
      </c>
      <c r="C339" s="2">
        <v>10</v>
      </c>
    </row>
    <row r="340" spans="1:3" x14ac:dyDescent="0.35">
      <c r="A340" s="5">
        <v>28764</v>
      </c>
      <c r="B340" t="s">
        <v>1821</v>
      </c>
      <c r="C340" s="2">
        <v>10</v>
      </c>
    </row>
    <row r="341" spans="1:3" x14ac:dyDescent="0.35">
      <c r="A341" s="5">
        <v>28795</v>
      </c>
      <c r="B341" t="s">
        <v>1822</v>
      </c>
      <c r="C341" s="2">
        <v>12.5</v>
      </c>
    </row>
    <row r="342" spans="1:3" x14ac:dyDescent="0.35">
      <c r="A342" s="5">
        <v>28825</v>
      </c>
      <c r="B342" t="s">
        <v>1823</v>
      </c>
      <c r="C342" s="2">
        <v>12.5</v>
      </c>
    </row>
    <row r="343" spans="1:3" x14ac:dyDescent="0.35">
      <c r="A343" s="5">
        <v>28856</v>
      </c>
      <c r="B343" t="s">
        <v>1824</v>
      </c>
      <c r="C343" s="2">
        <v>12.5</v>
      </c>
    </row>
    <row r="344" spans="1:3" x14ac:dyDescent="0.35">
      <c r="A344" s="5">
        <v>28887</v>
      </c>
      <c r="B344" t="s">
        <v>1825</v>
      </c>
      <c r="C344" s="2">
        <v>14</v>
      </c>
    </row>
    <row r="345" spans="1:3" x14ac:dyDescent="0.35">
      <c r="A345" s="5">
        <v>28915</v>
      </c>
      <c r="B345" t="s">
        <v>1826</v>
      </c>
      <c r="C345" s="2">
        <v>13</v>
      </c>
    </row>
    <row r="346" spans="1:3" x14ac:dyDescent="0.35">
      <c r="A346" s="5">
        <v>28946</v>
      </c>
      <c r="B346" t="s">
        <v>1827</v>
      </c>
      <c r="C346" s="2">
        <v>12</v>
      </c>
    </row>
    <row r="347" spans="1:3" x14ac:dyDescent="0.35">
      <c r="A347" s="5">
        <v>28976</v>
      </c>
      <c r="B347" t="s">
        <v>1828</v>
      </c>
      <c r="C347" s="2">
        <v>12</v>
      </c>
    </row>
    <row r="348" spans="1:3" x14ac:dyDescent="0.35">
      <c r="A348" s="5">
        <v>29007</v>
      </c>
      <c r="B348" t="s">
        <v>1829</v>
      </c>
      <c r="C348" s="2">
        <v>14</v>
      </c>
    </row>
    <row r="349" spans="1:3" x14ac:dyDescent="0.35">
      <c r="A349" s="5">
        <v>29037</v>
      </c>
      <c r="B349" t="s">
        <v>1830</v>
      </c>
      <c r="C349" s="2">
        <v>14</v>
      </c>
    </row>
    <row r="350" spans="1:3" x14ac:dyDescent="0.35">
      <c r="A350" s="5">
        <v>29068</v>
      </c>
      <c r="B350" t="s">
        <v>1831</v>
      </c>
      <c r="C350" s="2">
        <v>14</v>
      </c>
    </row>
    <row r="351" spans="1:3" x14ac:dyDescent="0.35">
      <c r="A351" s="5">
        <v>29099</v>
      </c>
      <c r="B351" t="s">
        <v>1832</v>
      </c>
      <c r="C351" s="2">
        <v>14</v>
      </c>
    </row>
    <row r="352" spans="1:3" x14ac:dyDescent="0.35">
      <c r="A352" s="5">
        <v>29129</v>
      </c>
      <c r="B352" t="s">
        <v>1833</v>
      </c>
      <c r="C352" s="2">
        <v>14</v>
      </c>
    </row>
    <row r="353" spans="1:3" x14ac:dyDescent="0.35">
      <c r="A353" s="5">
        <v>29160</v>
      </c>
      <c r="B353" t="s">
        <v>1834</v>
      </c>
      <c r="C353" s="2">
        <v>17</v>
      </c>
    </row>
    <row r="354" spans="1:3" x14ac:dyDescent="0.35">
      <c r="A354" s="5">
        <v>29190</v>
      </c>
      <c r="B354" t="s">
        <v>1835</v>
      </c>
      <c r="C354" s="2">
        <v>17</v>
      </c>
    </row>
    <row r="355" spans="1:3" x14ac:dyDescent="0.35">
      <c r="A355" s="5">
        <v>29221</v>
      </c>
      <c r="B355" t="s">
        <v>1836</v>
      </c>
      <c r="C355" s="2">
        <v>17</v>
      </c>
    </row>
    <row r="356" spans="1:3" x14ac:dyDescent="0.35">
      <c r="A356" s="5">
        <v>29252</v>
      </c>
      <c r="B356" t="s">
        <v>1837</v>
      </c>
      <c r="C356" s="2">
        <v>17</v>
      </c>
    </row>
    <row r="357" spans="1:3" x14ac:dyDescent="0.35">
      <c r="A357" s="5">
        <v>29281</v>
      </c>
      <c r="B357" t="s">
        <v>1838</v>
      </c>
      <c r="C357" s="2">
        <v>17</v>
      </c>
    </row>
    <row r="358" spans="1:3" x14ac:dyDescent="0.35">
      <c r="A358" s="5">
        <v>29312</v>
      </c>
      <c r="B358" t="s">
        <v>1839</v>
      </c>
      <c r="C358" s="2">
        <v>17</v>
      </c>
    </row>
    <row r="359" spans="1:3" x14ac:dyDescent="0.35">
      <c r="A359" s="5">
        <v>29342</v>
      </c>
      <c r="B359" t="s">
        <v>1840</v>
      </c>
      <c r="C359" s="2">
        <v>17</v>
      </c>
    </row>
    <row r="360" spans="1:3" x14ac:dyDescent="0.35">
      <c r="A360" s="5">
        <v>29373</v>
      </c>
      <c r="B360" t="s">
        <v>1841</v>
      </c>
      <c r="C360" s="2">
        <v>17</v>
      </c>
    </row>
    <row r="361" spans="1:3" x14ac:dyDescent="0.35">
      <c r="A361" s="5">
        <v>29403</v>
      </c>
      <c r="B361" t="s">
        <v>1842</v>
      </c>
      <c r="C361" s="2">
        <v>16</v>
      </c>
    </row>
    <row r="362" spans="1:3" x14ac:dyDescent="0.35">
      <c r="A362" s="5">
        <v>29434</v>
      </c>
      <c r="B362" t="s">
        <v>1843</v>
      </c>
      <c r="C362" s="2">
        <v>16</v>
      </c>
    </row>
    <row r="363" spans="1:3" x14ac:dyDescent="0.35">
      <c r="A363" s="5">
        <v>29465</v>
      </c>
      <c r="B363" t="s">
        <v>1844</v>
      </c>
      <c r="C363" s="2">
        <v>16</v>
      </c>
    </row>
    <row r="364" spans="1:3" x14ac:dyDescent="0.35">
      <c r="A364" s="5">
        <v>29495</v>
      </c>
      <c r="B364" t="s">
        <v>1845</v>
      </c>
      <c r="C364" s="2">
        <v>16</v>
      </c>
    </row>
    <row r="365" spans="1:3" x14ac:dyDescent="0.35">
      <c r="A365" s="5">
        <v>29526</v>
      </c>
      <c r="B365" t="s">
        <v>1846</v>
      </c>
      <c r="C365" s="2">
        <v>14</v>
      </c>
    </row>
    <row r="366" spans="1:3" x14ac:dyDescent="0.35">
      <c r="A366" s="5">
        <v>29556</v>
      </c>
      <c r="B366" t="s">
        <v>1847</v>
      </c>
      <c r="C366" s="2">
        <v>14</v>
      </c>
    </row>
    <row r="367" spans="1:3" x14ac:dyDescent="0.35">
      <c r="A367" s="5">
        <v>29587</v>
      </c>
      <c r="B367" t="s">
        <v>1848</v>
      </c>
      <c r="C367" s="2">
        <v>14</v>
      </c>
    </row>
    <row r="368" spans="1:3" x14ac:dyDescent="0.35">
      <c r="A368" s="5">
        <v>29618</v>
      </c>
      <c r="B368" t="s">
        <v>1849</v>
      </c>
      <c r="C368" s="2">
        <v>14</v>
      </c>
    </row>
    <row r="369" spans="1:3" x14ac:dyDescent="0.35">
      <c r="A369" s="5">
        <v>29646</v>
      </c>
      <c r="B369" t="s">
        <v>1850</v>
      </c>
      <c r="C369" s="2">
        <v>12</v>
      </c>
    </row>
    <row r="370" spans="1:3" x14ac:dyDescent="0.35">
      <c r="A370" s="5">
        <v>29677</v>
      </c>
      <c r="B370" t="s">
        <v>1851</v>
      </c>
      <c r="C370" s="2">
        <v>12</v>
      </c>
    </row>
    <row r="371" spans="1:3" x14ac:dyDescent="0.35">
      <c r="A371" s="5">
        <v>29707</v>
      </c>
      <c r="B371" t="s">
        <v>1852</v>
      </c>
      <c r="C371" s="2">
        <v>12</v>
      </c>
    </row>
    <row r="372" spans="1:3" x14ac:dyDescent="0.35">
      <c r="A372" s="5">
        <v>29738</v>
      </c>
      <c r="B372" t="s">
        <v>1853</v>
      </c>
      <c r="C372" s="2">
        <v>12</v>
      </c>
    </row>
    <row r="373" spans="1:3" x14ac:dyDescent="0.35">
      <c r="A373" s="5">
        <v>29768</v>
      </c>
      <c r="B373" t="s">
        <v>1854</v>
      </c>
      <c r="C373" s="2">
        <v>12</v>
      </c>
    </row>
    <row r="374" spans="1:3" x14ac:dyDescent="0.35">
      <c r="A374" s="5">
        <v>29799</v>
      </c>
      <c r="B374" t="s">
        <v>1855</v>
      </c>
      <c r="C374" s="2">
        <v>12.6875</v>
      </c>
    </row>
    <row r="375" spans="1:3" x14ac:dyDescent="0.35">
      <c r="A375" s="5">
        <v>29830</v>
      </c>
      <c r="B375" t="s">
        <v>1856</v>
      </c>
      <c r="C375" s="2">
        <v>14</v>
      </c>
    </row>
    <row r="376" spans="1:3" x14ac:dyDescent="0.35">
      <c r="A376" s="5">
        <v>29860</v>
      </c>
      <c r="B376" t="s">
        <v>1857</v>
      </c>
      <c r="C376" s="2">
        <v>15.125</v>
      </c>
    </row>
    <row r="377" spans="1:3" x14ac:dyDescent="0.35">
      <c r="A377" s="5">
        <v>29891</v>
      </c>
      <c r="B377" t="s">
        <v>1858</v>
      </c>
      <c r="C377" s="2">
        <v>14.5625</v>
      </c>
    </row>
    <row r="378" spans="1:3" x14ac:dyDescent="0.35">
      <c r="A378" s="5">
        <v>29921</v>
      </c>
      <c r="B378" t="s">
        <v>1859</v>
      </c>
      <c r="C378" s="2">
        <v>14.375</v>
      </c>
    </row>
    <row r="379" spans="1:3" x14ac:dyDescent="0.35">
      <c r="A379" s="5">
        <v>29952</v>
      </c>
      <c r="B379" t="s">
        <v>1860</v>
      </c>
      <c r="C379" s="2">
        <v>13.875</v>
      </c>
    </row>
    <row r="380" spans="1:3" x14ac:dyDescent="0.35">
      <c r="A380" s="5">
        <v>29983</v>
      </c>
      <c r="B380" t="s">
        <v>1861</v>
      </c>
      <c r="C380" s="2">
        <v>13.625</v>
      </c>
    </row>
    <row r="381" spans="1:3" x14ac:dyDescent="0.35">
      <c r="A381" s="5">
        <v>30011</v>
      </c>
      <c r="B381" t="s">
        <v>1862</v>
      </c>
      <c r="C381" s="2">
        <v>13.25</v>
      </c>
    </row>
    <row r="382" spans="1:3" x14ac:dyDescent="0.35">
      <c r="A382" s="5">
        <v>30042</v>
      </c>
      <c r="B382" t="s">
        <v>1863</v>
      </c>
      <c r="C382" s="2">
        <v>13.125</v>
      </c>
    </row>
    <row r="383" spans="1:3" x14ac:dyDescent="0.35">
      <c r="A383" s="5">
        <v>30072</v>
      </c>
      <c r="B383" t="s">
        <v>1864</v>
      </c>
      <c r="C383" s="2">
        <v>13.125</v>
      </c>
    </row>
    <row r="384" spans="1:3" x14ac:dyDescent="0.35">
      <c r="A384" s="5">
        <v>30103</v>
      </c>
      <c r="B384" t="s">
        <v>1865</v>
      </c>
      <c r="C384" s="2">
        <v>12.625</v>
      </c>
    </row>
    <row r="385" spans="1:3" x14ac:dyDescent="0.35">
      <c r="A385" s="5">
        <v>30133</v>
      </c>
      <c r="B385" t="s">
        <v>1866</v>
      </c>
      <c r="C385" s="2">
        <v>11.625</v>
      </c>
    </row>
    <row r="386" spans="1:3" x14ac:dyDescent="0.35">
      <c r="A386" s="5">
        <v>30164</v>
      </c>
      <c r="B386" t="s">
        <v>1867</v>
      </c>
      <c r="C386" s="2">
        <v>10.625</v>
      </c>
    </row>
    <row r="387" spans="1:3" x14ac:dyDescent="0.35">
      <c r="A387" s="5">
        <v>30195</v>
      </c>
      <c r="B387" t="s">
        <v>1868</v>
      </c>
      <c r="C387" s="2">
        <v>10.125</v>
      </c>
    </row>
    <row r="388" spans="1:3" x14ac:dyDescent="0.35">
      <c r="A388" s="5">
        <v>30225</v>
      </c>
      <c r="B388" t="s">
        <v>1869</v>
      </c>
      <c r="C388" s="2">
        <v>9.625</v>
      </c>
    </row>
    <row r="389" spans="1:3" x14ac:dyDescent="0.35">
      <c r="A389" s="5">
        <v>30256</v>
      </c>
      <c r="B389" t="s">
        <v>1870</v>
      </c>
      <c r="C389" s="2">
        <v>10</v>
      </c>
    </row>
    <row r="390" spans="1:3" x14ac:dyDescent="0.35">
      <c r="A390" s="5">
        <v>30286</v>
      </c>
      <c r="B390" t="s">
        <v>1871</v>
      </c>
      <c r="C390" s="2">
        <v>10</v>
      </c>
    </row>
    <row r="391" spans="1:3" x14ac:dyDescent="0.35">
      <c r="A391" s="5">
        <v>30317</v>
      </c>
      <c r="B391" t="s">
        <v>1872</v>
      </c>
      <c r="C391" s="2">
        <v>11</v>
      </c>
    </row>
    <row r="392" spans="1:3" x14ac:dyDescent="0.35">
      <c r="A392" s="5">
        <v>30348</v>
      </c>
      <c r="B392" t="s">
        <v>1873</v>
      </c>
      <c r="C392" s="2">
        <v>11</v>
      </c>
    </row>
    <row r="393" spans="1:3" x14ac:dyDescent="0.35">
      <c r="A393" s="5">
        <v>30376</v>
      </c>
      <c r="B393" t="s">
        <v>1874</v>
      </c>
      <c r="C393" s="2">
        <v>10.5625</v>
      </c>
    </row>
    <row r="394" spans="1:3" x14ac:dyDescent="0.35">
      <c r="A394" s="5">
        <v>30407</v>
      </c>
      <c r="B394" t="s">
        <v>1875</v>
      </c>
      <c r="C394" s="2">
        <v>10.0625</v>
      </c>
    </row>
    <row r="395" spans="1:3" x14ac:dyDescent="0.35">
      <c r="A395" s="5">
        <v>30437</v>
      </c>
      <c r="B395" t="s">
        <v>1876</v>
      </c>
      <c r="C395" s="2">
        <v>10.0625</v>
      </c>
    </row>
    <row r="396" spans="1:3" x14ac:dyDescent="0.35">
      <c r="A396" s="5">
        <v>30468</v>
      </c>
      <c r="B396" t="s">
        <v>1877</v>
      </c>
      <c r="C396" s="2">
        <v>9.5625</v>
      </c>
    </row>
    <row r="397" spans="1:3" x14ac:dyDescent="0.35">
      <c r="A397" s="5">
        <v>30498</v>
      </c>
      <c r="B397" t="s">
        <v>1878</v>
      </c>
      <c r="C397" s="2">
        <v>9.5625</v>
      </c>
    </row>
    <row r="398" spans="1:3" x14ac:dyDescent="0.35">
      <c r="A398" s="5">
        <v>30529</v>
      </c>
      <c r="B398" t="s">
        <v>1879</v>
      </c>
      <c r="C398" s="2">
        <v>9.5625</v>
      </c>
    </row>
    <row r="399" spans="1:3" x14ac:dyDescent="0.35">
      <c r="A399" s="5">
        <v>30560</v>
      </c>
      <c r="B399" t="s">
        <v>1880</v>
      </c>
      <c r="C399" s="2">
        <v>9.5625</v>
      </c>
    </row>
    <row r="400" spans="1:3" x14ac:dyDescent="0.35">
      <c r="A400" s="5">
        <v>30590</v>
      </c>
      <c r="B400" t="s">
        <v>1881</v>
      </c>
      <c r="C400" s="2">
        <v>9.0625</v>
      </c>
    </row>
    <row r="401" spans="1:3" x14ac:dyDescent="0.35">
      <c r="A401" s="5">
        <v>30621</v>
      </c>
      <c r="B401" t="s">
        <v>1882</v>
      </c>
      <c r="C401" s="2">
        <v>9.0625</v>
      </c>
    </row>
    <row r="402" spans="1:3" x14ac:dyDescent="0.35">
      <c r="A402" s="5">
        <v>30651</v>
      </c>
      <c r="B402" t="s">
        <v>1883</v>
      </c>
      <c r="C402" s="2">
        <v>9.0625</v>
      </c>
    </row>
    <row r="403" spans="1:3" x14ac:dyDescent="0.35">
      <c r="A403" s="5">
        <v>30682</v>
      </c>
      <c r="B403" t="s">
        <v>1884</v>
      </c>
      <c r="C403" s="2">
        <v>9.0625</v>
      </c>
    </row>
    <row r="404" spans="1:3" x14ac:dyDescent="0.35">
      <c r="A404" s="5">
        <v>30713</v>
      </c>
      <c r="B404" t="s">
        <v>1885</v>
      </c>
      <c r="C404" s="2">
        <v>9.0625</v>
      </c>
    </row>
    <row r="405" spans="1:3" x14ac:dyDescent="0.35">
      <c r="A405" s="5">
        <v>30742</v>
      </c>
      <c r="B405" t="s">
        <v>1886</v>
      </c>
      <c r="C405" s="2">
        <v>8.5625</v>
      </c>
    </row>
    <row r="406" spans="1:3" x14ac:dyDescent="0.35">
      <c r="A406" s="5">
        <v>30773</v>
      </c>
      <c r="B406" t="s">
        <v>1887</v>
      </c>
      <c r="C406" s="2">
        <v>8.5625</v>
      </c>
    </row>
    <row r="407" spans="1:3" x14ac:dyDescent="0.35">
      <c r="A407" s="5">
        <v>30803</v>
      </c>
      <c r="B407" t="s">
        <v>1888</v>
      </c>
      <c r="C407" s="2">
        <v>9.0625</v>
      </c>
    </row>
    <row r="408" spans="1:3" x14ac:dyDescent="0.35">
      <c r="A408" s="5">
        <v>30834</v>
      </c>
      <c r="B408" t="s">
        <v>1889</v>
      </c>
      <c r="C408" s="2">
        <v>8.875</v>
      </c>
    </row>
    <row r="409" spans="1:3" x14ac:dyDescent="0.35">
      <c r="A409" s="5">
        <v>30864</v>
      </c>
      <c r="B409" t="s">
        <v>1890</v>
      </c>
      <c r="C409" s="2">
        <v>12</v>
      </c>
    </row>
    <row r="410" spans="1:3" x14ac:dyDescent="0.35">
      <c r="A410" s="5">
        <v>30895</v>
      </c>
      <c r="B410" t="s">
        <v>1891</v>
      </c>
      <c r="C410" s="2">
        <v>10.5</v>
      </c>
    </row>
    <row r="411" spans="1:3" x14ac:dyDescent="0.35">
      <c r="A411" s="5">
        <v>30926</v>
      </c>
      <c r="B411" t="s">
        <v>1892</v>
      </c>
      <c r="C411" s="2">
        <v>10.5</v>
      </c>
    </row>
    <row r="412" spans="1:3" x14ac:dyDescent="0.35">
      <c r="A412" s="5">
        <v>30956</v>
      </c>
      <c r="B412" t="s">
        <v>1893</v>
      </c>
      <c r="C412" s="2">
        <v>10.5</v>
      </c>
    </row>
    <row r="413" spans="1:3" x14ac:dyDescent="0.35">
      <c r="A413" s="5">
        <v>30987</v>
      </c>
      <c r="B413" t="s">
        <v>1894</v>
      </c>
      <c r="C413" s="2">
        <v>9.5</v>
      </c>
    </row>
    <row r="414" spans="1:3" x14ac:dyDescent="0.35">
      <c r="A414" s="5">
        <v>31017</v>
      </c>
      <c r="B414" t="s">
        <v>1895</v>
      </c>
      <c r="C414" s="2">
        <v>9.5</v>
      </c>
    </row>
    <row r="415" spans="1:3" x14ac:dyDescent="0.35">
      <c r="A415" s="5">
        <v>31048</v>
      </c>
      <c r="B415" t="s">
        <v>1896</v>
      </c>
      <c r="C415" s="2">
        <v>13.875</v>
      </c>
    </row>
    <row r="416" spans="1:3" x14ac:dyDescent="0.35">
      <c r="A416" s="5">
        <v>31079</v>
      </c>
      <c r="B416" t="s">
        <v>1897</v>
      </c>
      <c r="C416" s="2">
        <v>13.875</v>
      </c>
    </row>
    <row r="417" spans="1:3" x14ac:dyDescent="0.35">
      <c r="A417" s="5">
        <v>31107</v>
      </c>
      <c r="B417" t="s">
        <v>1898</v>
      </c>
      <c r="C417" s="2">
        <v>12.875</v>
      </c>
    </row>
    <row r="418" spans="1:3" x14ac:dyDescent="0.35">
      <c r="A418" s="5">
        <v>31138</v>
      </c>
      <c r="B418" t="s">
        <v>1899</v>
      </c>
      <c r="C418" s="2">
        <v>12.375</v>
      </c>
    </row>
    <row r="419" spans="1:3" x14ac:dyDescent="0.35">
      <c r="A419" s="5">
        <v>31168</v>
      </c>
      <c r="B419" t="s">
        <v>1900</v>
      </c>
      <c r="C419" s="2">
        <v>12.375</v>
      </c>
    </row>
    <row r="420" spans="1:3" x14ac:dyDescent="0.35">
      <c r="A420" s="5">
        <v>31199</v>
      </c>
      <c r="B420" t="s">
        <v>1901</v>
      </c>
      <c r="C420" s="2">
        <v>12.375</v>
      </c>
    </row>
    <row r="421" spans="1:3" x14ac:dyDescent="0.35">
      <c r="A421" s="5">
        <v>31229</v>
      </c>
      <c r="B421" t="s">
        <v>1902</v>
      </c>
      <c r="C421" s="2">
        <v>11.375</v>
      </c>
    </row>
    <row r="422" spans="1:3" x14ac:dyDescent="0.35">
      <c r="A422" s="5">
        <v>31260</v>
      </c>
      <c r="B422" t="s">
        <v>1903</v>
      </c>
      <c r="C422" s="2">
        <v>11.375</v>
      </c>
    </row>
    <row r="423" spans="1:3" x14ac:dyDescent="0.35">
      <c r="A423" s="5">
        <v>31291</v>
      </c>
      <c r="B423" t="s">
        <v>1904</v>
      </c>
      <c r="C423" s="2">
        <v>11.375</v>
      </c>
    </row>
    <row r="424" spans="1:3" x14ac:dyDescent="0.35">
      <c r="A424" s="5">
        <v>31321</v>
      </c>
      <c r="B424" t="s">
        <v>1905</v>
      </c>
      <c r="C424" s="2">
        <v>11.375</v>
      </c>
    </row>
    <row r="425" spans="1:3" x14ac:dyDescent="0.35">
      <c r="A425" s="5">
        <v>31352</v>
      </c>
      <c r="B425" t="s">
        <v>1906</v>
      </c>
      <c r="C425" s="2">
        <v>11.375</v>
      </c>
    </row>
    <row r="426" spans="1:3" x14ac:dyDescent="0.35">
      <c r="A426" s="5">
        <v>31382</v>
      </c>
      <c r="B426" t="s">
        <v>1907</v>
      </c>
      <c r="C426" s="2">
        <v>11.375</v>
      </c>
    </row>
    <row r="427" spans="1:3" x14ac:dyDescent="0.35">
      <c r="A427" s="5">
        <v>31413</v>
      </c>
      <c r="B427" t="s">
        <v>1908</v>
      </c>
      <c r="C427" s="2">
        <v>12.375</v>
      </c>
    </row>
    <row r="428" spans="1:3" x14ac:dyDescent="0.35">
      <c r="A428" s="5">
        <v>31444</v>
      </c>
      <c r="B428" t="s">
        <v>1909</v>
      </c>
      <c r="C428" s="2">
        <v>12.375</v>
      </c>
    </row>
    <row r="429" spans="1:3" x14ac:dyDescent="0.35">
      <c r="A429" s="5">
        <v>31472</v>
      </c>
      <c r="B429" t="s">
        <v>1910</v>
      </c>
      <c r="C429" s="2">
        <v>11.375</v>
      </c>
    </row>
    <row r="430" spans="1:3" x14ac:dyDescent="0.35">
      <c r="A430" s="5">
        <v>31503</v>
      </c>
      <c r="B430" t="s">
        <v>1911</v>
      </c>
      <c r="C430" s="2">
        <v>10.375</v>
      </c>
    </row>
    <row r="431" spans="1:3" x14ac:dyDescent="0.35">
      <c r="A431" s="5">
        <v>31533</v>
      </c>
      <c r="B431" t="s">
        <v>1912</v>
      </c>
      <c r="C431" s="2">
        <v>9.875</v>
      </c>
    </row>
    <row r="432" spans="1:3" x14ac:dyDescent="0.35">
      <c r="A432" s="5">
        <v>31564</v>
      </c>
      <c r="B432" t="s">
        <v>1913</v>
      </c>
      <c r="C432" s="2">
        <v>9.875</v>
      </c>
    </row>
    <row r="433" spans="1:3" x14ac:dyDescent="0.35">
      <c r="A433" s="5">
        <v>31594</v>
      </c>
      <c r="B433" t="s">
        <v>1914</v>
      </c>
      <c r="C433" s="2">
        <v>9.875</v>
      </c>
    </row>
    <row r="434" spans="1:3" x14ac:dyDescent="0.35">
      <c r="A434" s="5">
        <v>31625</v>
      </c>
      <c r="B434" t="s">
        <v>1915</v>
      </c>
      <c r="C434" s="2">
        <v>9.875</v>
      </c>
    </row>
    <row r="435" spans="1:3" x14ac:dyDescent="0.35">
      <c r="A435" s="5">
        <v>31656</v>
      </c>
      <c r="B435" t="s">
        <v>1916</v>
      </c>
      <c r="C435" s="2">
        <v>9.875</v>
      </c>
    </row>
    <row r="436" spans="1:3" x14ac:dyDescent="0.35">
      <c r="A436" s="5">
        <v>31686</v>
      </c>
      <c r="B436" t="s">
        <v>1917</v>
      </c>
      <c r="C436" s="2">
        <v>10.875</v>
      </c>
    </row>
    <row r="437" spans="1:3" x14ac:dyDescent="0.35">
      <c r="A437" s="5">
        <v>31717</v>
      </c>
      <c r="B437" t="s">
        <v>1918</v>
      </c>
      <c r="C437" s="2">
        <v>10.875</v>
      </c>
    </row>
    <row r="438" spans="1:3" x14ac:dyDescent="0.35">
      <c r="A438" s="5">
        <v>31747</v>
      </c>
      <c r="B438" t="s">
        <v>1919</v>
      </c>
      <c r="C438" s="2">
        <v>10.875</v>
      </c>
    </row>
    <row r="439" spans="1:3" x14ac:dyDescent="0.35">
      <c r="A439" s="5">
        <v>31778</v>
      </c>
      <c r="B439" t="s">
        <v>1920</v>
      </c>
      <c r="C439" s="2">
        <v>10.875</v>
      </c>
    </row>
    <row r="440" spans="1:3" x14ac:dyDescent="0.35">
      <c r="A440" s="5">
        <v>31809</v>
      </c>
      <c r="B440" t="s">
        <v>1921</v>
      </c>
      <c r="C440" s="2">
        <v>10.875</v>
      </c>
    </row>
    <row r="441" spans="1:3" x14ac:dyDescent="0.35">
      <c r="A441" s="5">
        <v>31837</v>
      </c>
      <c r="B441" t="s">
        <v>1922</v>
      </c>
      <c r="C441" s="2">
        <v>9.875</v>
      </c>
    </row>
    <row r="442" spans="1:3" x14ac:dyDescent="0.35">
      <c r="A442" s="5">
        <v>31868</v>
      </c>
      <c r="B442" t="s">
        <v>1923</v>
      </c>
      <c r="C442" s="2">
        <v>9.375</v>
      </c>
    </row>
    <row r="443" spans="1:3" x14ac:dyDescent="0.35">
      <c r="A443" s="5">
        <v>31898</v>
      </c>
      <c r="B443" t="s">
        <v>1924</v>
      </c>
      <c r="C443" s="2">
        <v>8.875</v>
      </c>
    </row>
    <row r="444" spans="1:3" x14ac:dyDescent="0.35">
      <c r="A444" s="5">
        <v>31929</v>
      </c>
      <c r="B444" t="s">
        <v>1925</v>
      </c>
      <c r="C444" s="2">
        <v>8.875</v>
      </c>
    </row>
    <row r="445" spans="1:3" x14ac:dyDescent="0.35">
      <c r="A445" s="5">
        <v>31959</v>
      </c>
      <c r="B445" t="s">
        <v>1926</v>
      </c>
      <c r="C445" s="2">
        <v>8.875</v>
      </c>
    </row>
    <row r="446" spans="1:3" x14ac:dyDescent="0.35">
      <c r="A446" s="5">
        <v>31990</v>
      </c>
      <c r="B446" t="s">
        <v>1927</v>
      </c>
      <c r="C446" s="2">
        <v>9.875</v>
      </c>
    </row>
    <row r="447" spans="1:3" x14ac:dyDescent="0.35">
      <c r="A447" s="5">
        <v>32021</v>
      </c>
      <c r="B447" t="s">
        <v>1928</v>
      </c>
      <c r="C447" s="2">
        <v>9.875</v>
      </c>
    </row>
    <row r="448" spans="1:3" x14ac:dyDescent="0.35">
      <c r="A448" s="5">
        <v>32051</v>
      </c>
      <c r="B448" t="s">
        <v>1929</v>
      </c>
      <c r="C448" s="2">
        <v>9.375</v>
      </c>
    </row>
    <row r="449" spans="1:3" x14ac:dyDescent="0.35">
      <c r="A449" s="5">
        <v>32082</v>
      </c>
      <c r="B449" t="s">
        <v>1930</v>
      </c>
      <c r="C449" s="2">
        <v>8.875</v>
      </c>
    </row>
    <row r="450" spans="1:3" x14ac:dyDescent="0.35">
      <c r="A450" s="5">
        <v>32112</v>
      </c>
      <c r="B450" t="s">
        <v>1931</v>
      </c>
      <c r="C450" s="2">
        <v>8.375</v>
      </c>
    </row>
    <row r="451" spans="1:3" x14ac:dyDescent="0.35">
      <c r="A451" s="5">
        <v>32143</v>
      </c>
      <c r="B451" t="s">
        <v>1932</v>
      </c>
      <c r="C451" s="2">
        <v>8.375</v>
      </c>
    </row>
    <row r="452" spans="1:3" x14ac:dyDescent="0.35">
      <c r="A452" s="5">
        <v>32174</v>
      </c>
      <c r="B452" t="s">
        <v>1933</v>
      </c>
      <c r="C452" s="2">
        <v>8.875</v>
      </c>
    </row>
    <row r="453" spans="1:3" x14ac:dyDescent="0.35">
      <c r="A453" s="5">
        <v>32203</v>
      </c>
      <c r="B453" t="s">
        <v>1934</v>
      </c>
      <c r="C453" s="2">
        <v>8.375</v>
      </c>
    </row>
    <row r="454" spans="1:3" x14ac:dyDescent="0.35">
      <c r="A454" s="5">
        <v>32234</v>
      </c>
      <c r="B454" t="s">
        <v>1935</v>
      </c>
      <c r="C454" s="2">
        <v>7.875</v>
      </c>
    </row>
    <row r="455" spans="1:3" x14ac:dyDescent="0.35">
      <c r="A455" s="5">
        <v>32264</v>
      </c>
      <c r="B455" t="s">
        <v>1936</v>
      </c>
      <c r="C455" s="2">
        <v>7.375</v>
      </c>
    </row>
    <row r="456" spans="1:3" x14ac:dyDescent="0.35">
      <c r="A456" s="5">
        <v>32295</v>
      </c>
      <c r="B456" t="s">
        <v>1937</v>
      </c>
      <c r="C456" s="2">
        <v>8.875</v>
      </c>
    </row>
    <row r="457" spans="1:3" x14ac:dyDescent="0.35">
      <c r="A457" s="5">
        <v>32325</v>
      </c>
      <c r="B457" t="s">
        <v>1938</v>
      </c>
      <c r="C457" s="2">
        <v>10.375</v>
      </c>
    </row>
    <row r="458" spans="1:3" x14ac:dyDescent="0.35">
      <c r="A458" s="5">
        <v>32356</v>
      </c>
      <c r="B458" t="s">
        <v>1939</v>
      </c>
      <c r="C458" s="2">
        <v>11.875</v>
      </c>
    </row>
    <row r="459" spans="1:3" x14ac:dyDescent="0.35">
      <c r="A459" s="5">
        <v>32387</v>
      </c>
      <c r="B459" t="s">
        <v>1940</v>
      </c>
      <c r="C459" s="2">
        <v>11.875</v>
      </c>
    </row>
    <row r="460" spans="1:3" x14ac:dyDescent="0.35">
      <c r="A460" s="5">
        <v>32417</v>
      </c>
      <c r="B460" t="s">
        <v>1941</v>
      </c>
      <c r="C460" s="2">
        <v>11.875</v>
      </c>
    </row>
    <row r="461" spans="1:3" x14ac:dyDescent="0.35">
      <c r="A461" s="5">
        <v>32448</v>
      </c>
      <c r="B461" t="s">
        <v>1942</v>
      </c>
      <c r="C461" s="2">
        <v>12.875</v>
      </c>
    </row>
    <row r="462" spans="1:3" x14ac:dyDescent="0.35">
      <c r="A462" s="5">
        <v>32478</v>
      </c>
      <c r="B462" t="s">
        <v>1943</v>
      </c>
      <c r="C462" s="2">
        <v>12.875</v>
      </c>
    </row>
    <row r="463" spans="1:3" x14ac:dyDescent="0.35">
      <c r="A463" s="5">
        <v>32509</v>
      </c>
      <c r="B463" t="s">
        <v>1944</v>
      </c>
      <c r="C463" s="2">
        <v>12.875</v>
      </c>
    </row>
    <row r="464" spans="1:3" x14ac:dyDescent="0.35">
      <c r="A464" s="5">
        <v>32540</v>
      </c>
      <c r="B464" t="s">
        <v>1945</v>
      </c>
      <c r="C464" s="2">
        <v>12.875</v>
      </c>
    </row>
    <row r="465" spans="1:3" x14ac:dyDescent="0.35">
      <c r="A465" s="5">
        <v>32568</v>
      </c>
      <c r="B465" t="s">
        <v>1946</v>
      </c>
      <c r="C465" s="2">
        <v>12.875</v>
      </c>
    </row>
    <row r="466" spans="1:3" x14ac:dyDescent="0.35">
      <c r="A466" s="5">
        <v>32599</v>
      </c>
      <c r="B466" t="s">
        <v>1947</v>
      </c>
      <c r="C466" s="2">
        <v>12.875</v>
      </c>
    </row>
    <row r="467" spans="1:3" x14ac:dyDescent="0.35">
      <c r="A467" s="5">
        <v>32629</v>
      </c>
      <c r="B467" t="s">
        <v>1948</v>
      </c>
      <c r="C467" s="2">
        <v>13.75</v>
      </c>
    </row>
    <row r="468" spans="1:3" x14ac:dyDescent="0.35">
      <c r="A468" s="5">
        <v>32660</v>
      </c>
      <c r="B468" t="s">
        <v>1949</v>
      </c>
      <c r="C468" s="2">
        <v>13.75</v>
      </c>
    </row>
    <row r="469" spans="1:3" x14ac:dyDescent="0.35">
      <c r="A469" s="5">
        <v>32690</v>
      </c>
      <c r="B469" t="s">
        <v>1950</v>
      </c>
      <c r="C469" s="2">
        <v>13.75</v>
      </c>
    </row>
    <row r="470" spans="1:3" x14ac:dyDescent="0.35">
      <c r="A470" s="5">
        <v>32721</v>
      </c>
      <c r="B470" t="s">
        <v>1951</v>
      </c>
      <c r="C470" s="2">
        <v>13.8438</v>
      </c>
    </row>
    <row r="471" spans="1:3" x14ac:dyDescent="0.35">
      <c r="A471" s="5">
        <v>32752</v>
      </c>
      <c r="B471" t="s">
        <v>1952</v>
      </c>
      <c r="C471" s="2">
        <v>13.75</v>
      </c>
    </row>
    <row r="472" spans="1:3" x14ac:dyDescent="0.35">
      <c r="A472" s="5">
        <v>32782</v>
      </c>
      <c r="B472" t="s">
        <v>1953</v>
      </c>
      <c r="C472" s="2">
        <v>14.875</v>
      </c>
    </row>
    <row r="473" spans="1:3" x14ac:dyDescent="0.35">
      <c r="A473" s="5">
        <v>32813</v>
      </c>
      <c r="B473" t="s">
        <v>1954</v>
      </c>
      <c r="C473" s="2">
        <v>14.875</v>
      </c>
    </row>
    <row r="474" spans="1:3" x14ac:dyDescent="0.35">
      <c r="A474" s="5">
        <v>32843</v>
      </c>
      <c r="B474" t="s">
        <v>1955</v>
      </c>
      <c r="C474" s="2">
        <v>14.875</v>
      </c>
    </row>
    <row r="475" spans="1:3" x14ac:dyDescent="0.35">
      <c r="A475" s="5">
        <v>32874</v>
      </c>
      <c r="B475" t="s">
        <v>1956</v>
      </c>
      <c r="C475" s="2">
        <v>14.875</v>
      </c>
    </row>
    <row r="476" spans="1:3" x14ac:dyDescent="0.35">
      <c r="A476" s="5">
        <v>32905</v>
      </c>
      <c r="B476" t="s">
        <v>1957</v>
      </c>
      <c r="C476" s="2">
        <v>14.875</v>
      </c>
    </row>
    <row r="477" spans="1:3" x14ac:dyDescent="0.35">
      <c r="A477" s="5">
        <v>32933</v>
      </c>
      <c r="B477" t="s">
        <v>1958</v>
      </c>
      <c r="C477" s="2">
        <v>14.875</v>
      </c>
    </row>
    <row r="478" spans="1:3" x14ac:dyDescent="0.35">
      <c r="A478" s="5">
        <v>32964</v>
      </c>
      <c r="B478" t="s">
        <v>1959</v>
      </c>
      <c r="C478" s="2">
        <v>14.875</v>
      </c>
    </row>
    <row r="479" spans="1:3" x14ac:dyDescent="0.35">
      <c r="A479" s="5">
        <v>32994</v>
      </c>
      <c r="B479" t="s">
        <v>1960</v>
      </c>
      <c r="C479" s="2">
        <v>14.875</v>
      </c>
    </row>
    <row r="480" spans="1:3" x14ac:dyDescent="0.35">
      <c r="A480" s="5">
        <v>33025</v>
      </c>
      <c r="B480" t="s">
        <v>1961</v>
      </c>
      <c r="C480" s="2">
        <v>14.875</v>
      </c>
    </row>
    <row r="481" spans="1:3" x14ac:dyDescent="0.35">
      <c r="A481" s="5">
        <v>33055</v>
      </c>
      <c r="B481" t="s">
        <v>1962</v>
      </c>
      <c r="C481" s="2">
        <v>14.875</v>
      </c>
    </row>
    <row r="482" spans="1:3" x14ac:dyDescent="0.35">
      <c r="A482" s="5">
        <v>33086</v>
      </c>
      <c r="B482" t="s">
        <v>1963</v>
      </c>
      <c r="C482" s="2">
        <v>14.875</v>
      </c>
    </row>
    <row r="483" spans="1:3" x14ac:dyDescent="0.35">
      <c r="A483" s="5">
        <v>33117</v>
      </c>
      <c r="B483" t="s">
        <v>1964</v>
      </c>
      <c r="C483" s="2">
        <v>14.875</v>
      </c>
    </row>
    <row r="484" spans="1:3" x14ac:dyDescent="0.35">
      <c r="A484" s="5">
        <v>33147</v>
      </c>
      <c r="B484" t="s">
        <v>1965</v>
      </c>
      <c r="C484" s="2">
        <v>13.875</v>
      </c>
    </row>
    <row r="485" spans="1:3" x14ac:dyDescent="0.35">
      <c r="A485" s="5">
        <v>33178</v>
      </c>
      <c r="B485" t="s">
        <v>1966</v>
      </c>
      <c r="C485" s="2">
        <v>13.875</v>
      </c>
    </row>
    <row r="486" spans="1:3" x14ac:dyDescent="0.35">
      <c r="A486" s="5">
        <v>33208</v>
      </c>
      <c r="B486" t="s">
        <v>1967</v>
      </c>
      <c r="C486" s="2">
        <v>13.875</v>
      </c>
    </row>
    <row r="487" spans="1:3" x14ac:dyDescent="0.35">
      <c r="A487" s="5">
        <v>33239</v>
      </c>
      <c r="B487" t="s">
        <v>1968</v>
      </c>
      <c r="C487" s="2">
        <v>13.875</v>
      </c>
    </row>
    <row r="488" spans="1:3" x14ac:dyDescent="0.35">
      <c r="A488" s="5">
        <v>33270</v>
      </c>
      <c r="B488" t="s">
        <v>1969</v>
      </c>
      <c r="C488" s="2">
        <v>12.875</v>
      </c>
    </row>
    <row r="489" spans="1:3" x14ac:dyDescent="0.35">
      <c r="A489" s="5">
        <v>33298</v>
      </c>
      <c r="B489" t="s">
        <v>1970</v>
      </c>
      <c r="C489" s="2">
        <v>12.375</v>
      </c>
    </row>
    <row r="490" spans="1:3" x14ac:dyDescent="0.35">
      <c r="A490" s="5">
        <v>33329</v>
      </c>
      <c r="B490" t="s">
        <v>1971</v>
      </c>
      <c r="C490" s="2">
        <v>11.875</v>
      </c>
    </row>
    <row r="491" spans="1:3" x14ac:dyDescent="0.35">
      <c r="A491" s="5">
        <v>33359</v>
      </c>
      <c r="B491" t="s">
        <v>1972</v>
      </c>
      <c r="C491" s="2">
        <v>11.375</v>
      </c>
    </row>
    <row r="492" spans="1:3" x14ac:dyDescent="0.35">
      <c r="A492" s="5">
        <v>33390</v>
      </c>
      <c r="B492" t="s">
        <v>1973</v>
      </c>
      <c r="C492" s="2">
        <v>11.375</v>
      </c>
    </row>
    <row r="493" spans="1:3" x14ac:dyDescent="0.35">
      <c r="A493" s="5">
        <v>33420</v>
      </c>
      <c r="B493" t="s">
        <v>1974</v>
      </c>
      <c r="C493" s="2">
        <v>10.875</v>
      </c>
    </row>
    <row r="494" spans="1:3" x14ac:dyDescent="0.35">
      <c r="A494" s="5">
        <v>33451</v>
      </c>
      <c r="B494" t="s">
        <v>1975</v>
      </c>
      <c r="C494" s="2">
        <v>10.875</v>
      </c>
    </row>
    <row r="495" spans="1:3" x14ac:dyDescent="0.35">
      <c r="A495" s="5">
        <v>33482</v>
      </c>
      <c r="B495" t="s">
        <v>1976</v>
      </c>
      <c r="C495" s="2">
        <v>10.375</v>
      </c>
    </row>
    <row r="496" spans="1:3" x14ac:dyDescent="0.35">
      <c r="A496" s="5">
        <v>33512</v>
      </c>
      <c r="B496" t="s">
        <v>1977</v>
      </c>
      <c r="C496" s="2">
        <v>10.375</v>
      </c>
    </row>
    <row r="497" spans="1:3" x14ac:dyDescent="0.35">
      <c r="A497" s="5">
        <v>33543</v>
      </c>
      <c r="B497" t="s">
        <v>1978</v>
      </c>
      <c r="C497" s="2">
        <v>10.375</v>
      </c>
    </row>
    <row r="498" spans="1:3" x14ac:dyDescent="0.35">
      <c r="A498" s="5">
        <v>33573</v>
      </c>
      <c r="B498" t="s">
        <v>1979</v>
      </c>
      <c r="C498" s="2">
        <v>10.375</v>
      </c>
    </row>
    <row r="499" spans="1:3" x14ac:dyDescent="0.35">
      <c r="A499" s="5">
        <v>33604</v>
      </c>
      <c r="B499" t="s">
        <v>1980</v>
      </c>
      <c r="C499" s="2">
        <v>10.375</v>
      </c>
    </row>
    <row r="500" spans="1:3" x14ac:dyDescent="0.35">
      <c r="A500" s="5">
        <v>33635</v>
      </c>
      <c r="B500" t="s">
        <v>1981</v>
      </c>
      <c r="C500" s="2">
        <v>10.375</v>
      </c>
    </row>
    <row r="501" spans="1:3" x14ac:dyDescent="0.35">
      <c r="A501" s="5">
        <v>33664</v>
      </c>
      <c r="B501" t="s">
        <v>1982</v>
      </c>
      <c r="C501" s="2">
        <v>10.375</v>
      </c>
    </row>
    <row r="502" spans="1:3" x14ac:dyDescent="0.35">
      <c r="A502" s="5">
        <v>33695</v>
      </c>
      <c r="B502" t="s">
        <v>1983</v>
      </c>
      <c r="C502" s="2">
        <v>10.375</v>
      </c>
    </row>
    <row r="503" spans="1:3" x14ac:dyDescent="0.35">
      <c r="A503" s="5">
        <v>33725</v>
      </c>
      <c r="B503" t="s">
        <v>1984</v>
      </c>
      <c r="C503" s="2">
        <v>9.875</v>
      </c>
    </row>
    <row r="504" spans="1:3" x14ac:dyDescent="0.35">
      <c r="A504" s="5">
        <v>33756</v>
      </c>
      <c r="B504" t="s">
        <v>1985</v>
      </c>
      <c r="C504" s="2">
        <v>9.875</v>
      </c>
    </row>
    <row r="505" spans="1:3" x14ac:dyDescent="0.35">
      <c r="A505" s="5">
        <v>33786</v>
      </c>
      <c r="B505" t="s">
        <v>1986</v>
      </c>
      <c r="C505" s="2">
        <v>9.875</v>
      </c>
    </row>
    <row r="506" spans="1:3" x14ac:dyDescent="0.35">
      <c r="A506" s="5">
        <v>33817</v>
      </c>
      <c r="B506" t="s">
        <v>1987</v>
      </c>
      <c r="C506" s="2">
        <v>9.875</v>
      </c>
    </row>
    <row r="507" spans="1:3" x14ac:dyDescent="0.35">
      <c r="A507" s="5">
        <v>33848</v>
      </c>
      <c r="B507" t="s">
        <v>1988</v>
      </c>
      <c r="C507" s="2">
        <v>8.875</v>
      </c>
    </row>
    <row r="508" spans="1:3" x14ac:dyDescent="0.35">
      <c r="A508" s="5">
        <v>33878</v>
      </c>
      <c r="B508" t="s">
        <v>1989</v>
      </c>
      <c r="C508" s="2">
        <v>7.875</v>
      </c>
    </row>
    <row r="509" spans="1:3" x14ac:dyDescent="0.35">
      <c r="A509" s="5">
        <v>33909</v>
      </c>
      <c r="B509" t="s">
        <v>1990</v>
      </c>
      <c r="C509" s="2">
        <v>6.875</v>
      </c>
    </row>
    <row r="510" spans="1:3" x14ac:dyDescent="0.35">
      <c r="A510" s="5">
        <v>33939</v>
      </c>
      <c r="B510" t="s">
        <v>1991</v>
      </c>
      <c r="C510" s="2">
        <v>6.875</v>
      </c>
    </row>
    <row r="511" spans="1:3" x14ac:dyDescent="0.35">
      <c r="A511" s="5">
        <v>33970</v>
      </c>
      <c r="B511" t="s">
        <v>1992</v>
      </c>
      <c r="C511" s="2">
        <v>5.875</v>
      </c>
    </row>
    <row r="512" spans="1:3" x14ac:dyDescent="0.35">
      <c r="A512" s="5">
        <v>34001</v>
      </c>
      <c r="B512" t="s">
        <v>1993</v>
      </c>
      <c r="C512" s="2">
        <v>5.875</v>
      </c>
    </row>
    <row r="513" spans="1:3" x14ac:dyDescent="0.35">
      <c r="A513" s="5">
        <v>34029</v>
      </c>
      <c r="B513" t="s">
        <v>1994</v>
      </c>
      <c r="C513" s="2">
        <v>5.875</v>
      </c>
    </row>
    <row r="514" spans="1:3" x14ac:dyDescent="0.35">
      <c r="A514" s="5">
        <v>34060</v>
      </c>
      <c r="B514" t="s">
        <v>1995</v>
      </c>
      <c r="C514" s="2">
        <v>5.875</v>
      </c>
    </row>
    <row r="515" spans="1:3" x14ac:dyDescent="0.35">
      <c r="A515" s="5">
        <v>34090</v>
      </c>
      <c r="B515" t="s">
        <v>1996</v>
      </c>
      <c r="C515" s="2">
        <v>5.875</v>
      </c>
    </row>
    <row r="516" spans="1:3" x14ac:dyDescent="0.35">
      <c r="A516" s="5">
        <v>34121</v>
      </c>
      <c r="B516" t="s">
        <v>1997</v>
      </c>
      <c r="C516" s="2">
        <v>5.875</v>
      </c>
    </row>
    <row r="517" spans="1:3" x14ac:dyDescent="0.35">
      <c r="A517" s="5">
        <v>34151</v>
      </c>
      <c r="B517" t="s">
        <v>1998</v>
      </c>
      <c r="C517" s="2">
        <v>5.875</v>
      </c>
    </row>
    <row r="518" spans="1:3" x14ac:dyDescent="0.35">
      <c r="A518" s="5">
        <v>34182</v>
      </c>
      <c r="B518" t="s">
        <v>1999</v>
      </c>
      <c r="C518" s="2">
        <v>5.875</v>
      </c>
    </row>
    <row r="519" spans="1:3" x14ac:dyDescent="0.35">
      <c r="A519" s="5">
        <v>34213</v>
      </c>
      <c r="B519" t="s">
        <v>2000</v>
      </c>
      <c r="C519" s="2">
        <v>5.875</v>
      </c>
    </row>
    <row r="520" spans="1:3" x14ac:dyDescent="0.35">
      <c r="A520" s="5">
        <v>34243</v>
      </c>
      <c r="B520" t="s">
        <v>2001</v>
      </c>
      <c r="C520" s="2">
        <v>5.875</v>
      </c>
    </row>
    <row r="521" spans="1:3" x14ac:dyDescent="0.35">
      <c r="A521" s="5">
        <v>34274</v>
      </c>
      <c r="B521" t="s">
        <v>2002</v>
      </c>
      <c r="C521" s="2">
        <v>5.375</v>
      </c>
    </row>
    <row r="522" spans="1:3" x14ac:dyDescent="0.35">
      <c r="A522" s="5">
        <v>34304</v>
      </c>
      <c r="B522" t="s">
        <v>2003</v>
      </c>
      <c r="C522" s="2">
        <v>5.375</v>
      </c>
    </row>
    <row r="523" spans="1:3" x14ac:dyDescent="0.35">
      <c r="A523" s="5">
        <v>34335</v>
      </c>
      <c r="B523" t="s">
        <v>2004</v>
      </c>
      <c r="C523" s="2">
        <v>5.375</v>
      </c>
    </row>
    <row r="524" spans="1:3" x14ac:dyDescent="0.35">
      <c r="A524" s="5">
        <v>34366</v>
      </c>
      <c r="B524" t="s">
        <v>2005</v>
      </c>
      <c r="C524" s="2">
        <v>5.125</v>
      </c>
    </row>
    <row r="525" spans="1:3" x14ac:dyDescent="0.35">
      <c r="A525" s="5">
        <v>34394</v>
      </c>
      <c r="B525" t="s">
        <v>2006</v>
      </c>
      <c r="C525" s="2">
        <v>5.125</v>
      </c>
    </row>
    <row r="526" spans="1:3" x14ac:dyDescent="0.35">
      <c r="A526" s="5">
        <v>34425</v>
      </c>
      <c r="B526" t="s">
        <v>2007</v>
      </c>
      <c r="C526" s="2">
        <v>5.125</v>
      </c>
    </row>
    <row r="527" spans="1:3" x14ac:dyDescent="0.35">
      <c r="A527" s="5">
        <v>34455</v>
      </c>
      <c r="B527" t="s">
        <v>2008</v>
      </c>
      <c r="C527" s="2">
        <v>5.125</v>
      </c>
    </row>
    <row r="528" spans="1:3" x14ac:dyDescent="0.35">
      <c r="A528" s="5">
        <v>34486</v>
      </c>
      <c r="B528" t="s">
        <v>2009</v>
      </c>
      <c r="C528" s="2">
        <v>5.125</v>
      </c>
    </row>
    <row r="529" spans="1:3" x14ac:dyDescent="0.35">
      <c r="A529" s="5">
        <v>34516</v>
      </c>
      <c r="B529" t="s">
        <v>2010</v>
      </c>
      <c r="C529" s="2">
        <v>5.125</v>
      </c>
    </row>
    <row r="530" spans="1:3" x14ac:dyDescent="0.35">
      <c r="A530" s="5">
        <v>34547</v>
      </c>
      <c r="B530" t="s">
        <v>2011</v>
      </c>
      <c r="C530" s="2">
        <v>5.125</v>
      </c>
    </row>
    <row r="531" spans="1:3" x14ac:dyDescent="0.35">
      <c r="A531" s="5">
        <v>34578</v>
      </c>
      <c r="B531" t="s">
        <v>2012</v>
      </c>
      <c r="C531" s="2">
        <v>5.625</v>
      </c>
    </row>
    <row r="532" spans="1:3" x14ac:dyDescent="0.35">
      <c r="A532" s="5">
        <v>34608</v>
      </c>
      <c r="B532" t="s">
        <v>2013</v>
      </c>
      <c r="C532" s="2">
        <v>5.625</v>
      </c>
    </row>
    <row r="533" spans="1:3" x14ac:dyDescent="0.35">
      <c r="A533" s="5">
        <v>34639</v>
      </c>
      <c r="B533" t="s">
        <v>2014</v>
      </c>
      <c r="C533" s="2">
        <v>5.625</v>
      </c>
    </row>
    <row r="534" spans="1:3" x14ac:dyDescent="0.35">
      <c r="A534" s="5">
        <v>34669</v>
      </c>
      <c r="B534" t="s">
        <v>2015</v>
      </c>
      <c r="C534" s="2">
        <v>6.125</v>
      </c>
    </row>
    <row r="535" spans="1:3" x14ac:dyDescent="0.35">
      <c r="A535" s="5">
        <v>34700</v>
      </c>
      <c r="B535" t="s">
        <v>2016</v>
      </c>
      <c r="C535" s="2">
        <v>6.125</v>
      </c>
    </row>
    <row r="536" spans="1:3" x14ac:dyDescent="0.35">
      <c r="A536" s="5">
        <v>34731</v>
      </c>
      <c r="B536" t="s">
        <v>2017</v>
      </c>
      <c r="C536" s="2">
        <v>6.625</v>
      </c>
    </row>
    <row r="537" spans="1:3" x14ac:dyDescent="0.35">
      <c r="A537" s="5">
        <v>34759</v>
      </c>
      <c r="B537" t="s">
        <v>2018</v>
      </c>
      <c r="C537" s="2">
        <v>6.625</v>
      </c>
    </row>
    <row r="538" spans="1:3" x14ac:dyDescent="0.35">
      <c r="A538" s="5">
        <v>34790</v>
      </c>
      <c r="B538" t="s">
        <v>2019</v>
      </c>
      <c r="C538" s="2">
        <v>6.625</v>
      </c>
    </row>
    <row r="539" spans="1:3" x14ac:dyDescent="0.35">
      <c r="A539" s="5">
        <v>34820</v>
      </c>
      <c r="B539" t="s">
        <v>2020</v>
      </c>
      <c r="C539" s="2">
        <v>6.625</v>
      </c>
    </row>
    <row r="540" spans="1:3" x14ac:dyDescent="0.35">
      <c r="A540" s="5">
        <v>34851</v>
      </c>
      <c r="B540" t="s">
        <v>2021</v>
      </c>
      <c r="C540" s="2">
        <v>6.625</v>
      </c>
    </row>
    <row r="541" spans="1:3" x14ac:dyDescent="0.35">
      <c r="A541" s="5">
        <v>34881</v>
      </c>
      <c r="B541" t="s">
        <v>2022</v>
      </c>
      <c r="C541" s="2">
        <v>6.625</v>
      </c>
    </row>
    <row r="542" spans="1:3" x14ac:dyDescent="0.35">
      <c r="A542" s="5">
        <v>34912</v>
      </c>
      <c r="B542" t="s">
        <v>2023</v>
      </c>
      <c r="C542" s="2">
        <v>6.625</v>
      </c>
    </row>
    <row r="543" spans="1:3" x14ac:dyDescent="0.35">
      <c r="A543" s="5">
        <v>34943</v>
      </c>
      <c r="B543" t="s">
        <v>2024</v>
      </c>
      <c r="C543" s="2">
        <v>6.625</v>
      </c>
    </row>
    <row r="544" spans="1:3" x14ac:dyDescent="0.35">
      <c r="A544" s="5">
        <v>34973</v>
      </c>
      <c r="B544" t="s">
        <v>2025</v>
      </c>
      <c r="C544" s="2">
        <v>6.625</v>
      </c>
    </row>
    <row r="545" spans="1:3" x14ac:dyDescent="0.35">
      <c r="A545" s="5">
        <v>35004</v>
      </c>
      <c r="B545" t="s">
        <v>2026</v>
      </c>
      <c r="C545" s="2">
        <v>6.625</v>
      </c>
    </row>
    <row r="546" spans="1:3" x14ac:dyDescent="0.35">
      <c r="A546" s="5">
        <v>35034</v>
      </c>
      <c r="B546" t="s">
        <v>2027</v>
      </c>
      <c r="C546" s="2">
        <v>6.375</v>
      </c>
    </row>
    <row r="547" spans="1:3" x14ac:dyDescent="0.35">
      <c r="A547" s="5">
        <v>35065</v>
      </c>
      <c r="B547" t="s">
        <v>2028</v>
      </c>
      <c r="C547" s="2">
        <v>6.125</v>
      </c>
    </row>
    <row r="548" spans="1:3" x14ac:dyDescent="0.35">
      <c r="A548" s="5">
        <v>35096</v>
      </c>
      <c r="B548" t="s">
        <v>2029</v>
      </c>
      <c r="C548" s="2">
        <v>6.125</v>
      </c>
    </row>
    <row r="549" spans="1:3" x14ac:dyDescent="0.35">
      <c r="A549" s="5">
        <v>35125</v>
      </c>
      <c r="B549" t="s">
        <v>2030</v>
      </c>
      <c r="C549" s="2">
        <v>5.9375</v>
      </c>
    </row>
    <row r="550" spans="1:3" x14ac:dyDescent="0.35">
      <c r="A550" s="5">
        <v>35156</v>
      </c>
      <c r="B550" t="s">
        <v>2031</v>
      </c>
      <c r="C550" s="2">
        <v>5.9375</v>
      </c>
    </row>
    <row r="551" spans="1:3" x14ac:dyDescent="0.35">
      <c r="A551" s="5">
        <v>35186</v>
      </c>
      <c r="B551" t="s">
        <v>2032</v>
      </c>
      <c r="C551" s="2">
        <v>5.9375</v>
      </c>
    </row>
    <row r="552" spans="1:3" x14ac:dyDescent="0.35">
      <c r="A552" s="5">
        <v>35217</v>
      </c>
      <c r="B552" t="s">
        <v>2033</v>
      </c>
      <c r="C552" s="2">
        <v>5.6875</v>
      </c>
    </row>
    <row r="553" spans="1:3" x14ac:dyDescent="0.35">
      <c r="A553" s="5">
        <v>35247</v>
      </c>
      <c r="B553" t="s">
        <v>2034</v>
      </c>
      <c r="C553" s="2">
        <v>5.6875</v>
      </c>
    </row>
    <row r="554" spans="1:3" x14ac:dyDescent="0.35">
      <c r="A554" s="5">
        <v>35278</v>
      </c>
      <c r="B554" t="s">
        <v>2035</v>
      </c>
      <c r="C554" s="2">
        <v>5.6875</v>
      </c>
    </row>
    <row r="555" spans="1:3" x14ac:dyDescent="0.35">
      <c r="A555" s="5">
        <v>35309</v>
      </c>
      <c r="B555" t="s">
        <v>2036</v>
      </c>
      <c r="C555" s="2">
        <v>5.6875</v>
      </c>
    </row>
    <row r="556" spans="1:3" x14ac:dyDescent="0.35">
      <c r="A556" s="5">
        <v>35339</v>
      </c>
      <c r="B556" t="s">
        <v>2037</v>
      </c>
      <c r="C556" s="2">
        <v>5.9375</v>
      </c>
    </row>
    <row r="557" spans="1:3" x14ac:dyDescent="0.35">
      <c r="A557" s="5">
        <v>35370</v>
      </c>
      <c r="B557" t="s">
        <v>2038</v>
      </c>
      <c r="C557" s="2">
        <v>5.9375</v>
      </c>
    </row>
    <row r="558" spans="1:3" x14ac:dyDescent="0.35">
      <c r="A558" s="5">
        <v>35400</v>
      </c>
      <c r="B558" t="s">
        <v>2039</v>
      </c>
      <c r="C558" s="2">
        <v>5.9375</v>
      </c>
    </row>
    <row r="559" spans="1:3" x14ac:dyDescent="0.35">
      <c r="A559" s="5">
        <v>35431</v>
      </c>
      <c r="B559" t="s">
        <v>1189</v>
      </c>
      <c r="C559" s="2">
        <v>5.9375</v>
      </c>
    </row>
    <row r="560" spans="1:3" x14ac:dyDescent="0.35">
      <c r="A560" s="5">
        <v>35462</v>
      </c>
      <c r="B560" t="s">
        <v>1190</v>
      </c>
      <c r="C560" s="2">
        <v>5.9375</v>
      </c>
    </row>
    <row r="561" spans="1:3" x14ac:dyDescent="0.35">
      <c r="A561" s="5">
        <v>35490</v>
      </c>
      <c r="B561" t="s">
        <v>1191</v>
      </c>
      <c r="C561" s="2">
        <v>5.9375</v>
      </c>
    </row>
    <row r="562" spans="1:3" x14ac:dyDescent="0.35">
      <c r="A562" s="5">
        <v>35521</v>
      </c>
      <c r="B562" t="s">
        <v>1192</v>
      </c>
      <c r="C562" s="2">
        <v>5.9375</v>
      </c>
    </row>
    <row r="563" spans="1:3" x14ac:dyDescent="0.35">
      <c r="A563" s="5">
        <v>35551</v>
      </c>
      <c r="B563" t="s">
        <v>1193</v>
      </c>
      <c r="C563" s="2">
        <v>6.25</v>
      </c>
    </row>
    <row r="564" spans="1:3" x14ac:dyDescent="0.35">
      <c r="A564" s="5">
        <v>35582</v>
      </c>
      <c r="B564" t="s">
        <v>1194</v>
      </c>
      <c r="C564" s="2">
        <v>6.5</v>
      </c>
    </row>
    <row r="565" spans="1:3" x14ac:dyDescent="0.35">
      <c r="A565" s="5">
        <v>35612</v>
      </c>
      <c r="B565" t="s">
        <v>1195</v>
      </c>
      <c r="C565" s="2">
        <v>6.75</v>
      </c>
    </row>
    <row r="566" spans="1:3" x14ac:dyDescent="0.35">
      <c r="A566" s="5">
        <v>35643</v>
      </c>
      <c r="B566" t="s">
        <v>1196</v>
      </c>
      <c r="C566" s="2">
        <v>7</v>
      </c>
    </row>
    <row r="567" spans="1:3" x14ac:dyDescent="0.35">
      <c r="A567" s="5">
        <v>35674</v>
      </c>
      <c r="B567" t="s">
        <v>1197</v>
      </c>
      <c r="C567" s="2">
        <v>7</v>
      </c>
    </row>
    <row r="568" spans="1:3" x14ac:dyDescent="0.35">
      <c r="A568" s="5">
        <v>35704</v>
      </c>
      <c r="B568" t="s">
        <v>1198</v>
      </c>
      <c r="C568" s="2">
        <v>7</v>
      </c>
    </row>
    <row r="569" spans="1:3" x14ac:dyDescent="0.35">
      <c r="A569" s="5">
        <v>35735</v>
      </c>
      <c r="B569" t="s">
        <v>1199</v>
      </c>
      <c r="C569" s="2">
        <v>7.25</v>
      </c>
    </row>
    <row r="570" spans="1:3" x14ac:dyDescent="0.35">
      <c r="A570" s="5">
        <v>35765</v>
      </c>
      <c r="B570" t="s">
        <v>1200</v>
      </c>
      <c r="C570" s="2">
        <v>7.25</v>
      </c>
    </row>
    <row r="571" spans="1:3" x14ac:dyDescent="0.35">
      <c r="A571" s="5">
        <v>35796</v>
      </c>
      <c r="B571" t="s">
        <v>1201</v>
      </c>
      <c r="C571" s="2">
        <v>7.25</v>
      </c>
    </row>
    <row r="572" spans="1:3" x14ac:dyDescent="0.35">
      <c r="A572" s="5">
        <v>35827</v>
      </c>
      <c r="B572" t="s">
        <v>1202</v>
      </c>
      <c r="C572" s="2">
        <v>7.25</v>
      </c>
    </row>
    <row r="573" spans="1:3" x14ac:dyDescent="0.35">
      <c r="A573" s="5">
        <v>35855</v>
      </c>
      <c r="B573" t="s">
        <v>1203</v>
      </c>
      <c r="C573" s="2">
        <v>7.25</v>
      </c>
    </row>
    <row r="574" spans="1:3" x14ac:dyDescent="0.35">
      <c r="A574" s="5">
        <v>35886</v>
      </c>
      <c r="B574" t="s">
        <v>1204</v>
      </c>
      <c r="C574" s="2">
        <v>7.25</v>
      </c>
    </row>
    <row r="575" spans="1:3" x14ac:dyDescent="0.35">
      <c r="A575" s="5">
        <v>35916</v>
      </c>
      <c r="B575" t="s">
        <v>1205</v>
      </c>
      <c r="C575" s="2">
        <v>7.25</v>
      </c>
    </row>
    <row r="576" spans="1:3" x14ac:dyDescent="0.35">
      <c r="A576" s="5">
        <v>35947</v>
      </c>
      <c r="B576" t="s">
        <v>1206</v>
      </c>
      <c r="C576" s="2">
        <v>7.5</v>
      </c>
    </row>
    <row r="577" spans="1:3" x14ac:dyDescent="0.35">
      <c r="A577" s="5">
        <v>35977</v>
      </c>
      <c r="B577" t="s">
        <v>1207</v>
      </c>
      <c r="C577" s="2">
        <v>7.5</v>
      </c>
    </row>
    <row r="578" spans="1:3" x14ac:dyDescent="0.35">
      <c r="A578" s="5">
        <v>36008</v>
      </c>
      <c r="B578" t="s">
        <v>1208</v>
      </c>
      <c r="C578" s="2">
        <v>7.5</v>
      </c>
    </row>
    <row r="579" spans="1:3" x14ac:dyDescent="0.35">
      <c r="A579" s="5">
        <v>36039</v>
      </c>
      <c r="B579" t="s">
        <v>1209</v>
      </c>
      <c r="C579" s="2">
        <v>7.5</v>
      </c>
    </row>
    <row r="580" spans="1:3" x14ac:dyDescent="0.35">
      <c r="A580" s="5">
        <v>36069</v>
      </c>
      <c r="B580" t="s">
        <v>1210</v>
      </c>
      <c r="C580" s="2">
        <v>7.25</v>
      </c>
    </row>
    <row r="581" spans="1:3" x14ac:dyDescent="0.35">
      <c r="A581" s="5">
        <v>36100</v>
      </c>
      <c r="B581" t="s">
        <v>1211</v>
      </c>
      <c r="C581" s="2">
        <v>6.75</v>
      </c>
    </row>
    <row r="582" spans="1:3" x14ac:dyDescent="0.35">
      <c r="A582" s="5">
        <v>36130</v>
      </c>
      <c r="B582" t="s">
        <v>1212</v>
      </c>
      <c r="C582" s="2">
        <v>6.25</v>
      </c>
    </row>
    <row r="583" spans="1:3" x14ac:dyDescent="0.35">
      <c r="A583" s="5">
        <v>36161</v>
      </c>
      <c r="B583" t="s">
        <v>1213</v>
      </c>
      <c r="C583" s="2">
        <v>6</v>
      </c>
    </row>
    <row r="584" spans="1:3" x14ac:dyDescent="0.35">
      <c r="A584" s="5">
        <v>36192</v>
      </c>
      <c r="B584" t="s">
        <v>1214</v>
      </c>
      <c r="C584" s="2">
        <v>5.5</v>
      </c>
    </row>
    <row r="585" spans="1:3" x14ac:dyDescent="0.35">
      <c r="A585" s="5">
        <v>36220</v>
      </c>
      <c r="B585" t="s">
        <v>1215</v>
      </c>
      <c r="C585" s="2">
        <v>5.5</v>
      </c>
    </row>
    <row r="586" spans="1:3" x14ac:dyDescent="0.35">
      <c r="A586" s="5">
        <v>36251</v>
      </c>
      <c r="B586" t="s">
        <v>1216</v>
      </c>
      <c r="C586" s="2">
        <v>5.25</v>
      </c>
    </row>
    <row r="587" spans="1:3" x14ac:dyDescent="0.35">
      <c r="A587" s="5">
        <v>36281</v>
      </c>
      <c r="B587" t="s">
        <v>1217</v>
      </c>
      <c r="C587" s="2">
        <v>5.25</v>
      </c>
    </row>
    <row r="588" spans="1:3" x14ac:dyDescent="0.35">
      <c r="A588" s="5">
        <v>36312</v>
      </c>
      <c r="B588" t="s">
        <v>1218</v>
      </c>
      <c r="C588" s="2">
        <v>5</v>
      </c>
    </row>
    <row r="589" spans="1:3" x14ac:dyDescent="0.35">
      <c r="A589" s="5">
        <v>36342</v>
      </c>
      <c r="B589" t="s">
        <v>1219</v>
      </c>
      <c r="C589" s="2">
        <v>5</v>
      </c>
    </row>
    <row r="590" spans="1:3" x14ac:dyDescent="0.35">
      <c r="A590" s="5">
        <v>36373</v>
      </c>
      <c r="B590" t="s">
        <v>1220</v>
      </c>
      <c r="C590" s="2">
        <v>5</v>
      </c>
    </row>
    <row r="591" spans="1:3" x14ac:dyDescent="0.35">
      <c r="A591" s="5">
        <v>36404</v>
      </c>
      <c r="B591" t="s">
        <v>1221</v>
      </c>
      <c r="C591" s="2">
        <v>5.25</v>
      </c>
    </row>
    <row r="592" spans="1:3" x14ac:dyDescent="0.35">
      <c r="A592" s="5">
        <v>36434</v>
      </c>
      <c r="B592" t="s">
        <v>1222</v>
      </c>
      <c r="C592" s="2">
        <v>5.25</v>
      </c>
    </row>
    <row r="593" spans="1:3" x14ac:dyDescent="0.35">
      <c r="A593" s="5">
        <v>36465</v>
      </c>
      <c r="B593" t="s">
        <v>1223</v>
      </c>
      <c r="C593" s="2">
        <v>5.5</v>
      </c>
    </row>
    <row r="594" spans="1:3" x14ac:dyDescent="0.35">
      <c r="A594" s="5">
        <v>36495</v>
      </c>
      <c r="B594" t="s">
        <v>1224</v>
      </c>
      <c r="C594" s="2">
        <v>5.5</v>
      </c>
    </row>
    <row r="595" spans="1:3" x14ac:dyDescent="0.35">
      <c r="A595" s="5">
        <v>36526</v>
      </c>
      <c r="B595" t="s">
        <v>1225</v>
      </c>
      <c r="C595" s="2">
        <v>5.75</v>
      </c>
    </row>
    <row r="596" spans="1:3" x14ac:dyDescent="0.35">
      <c r="A596" s="5">
        <v>36557</v>
      </c>
      <c r="B596" t="s">
        <v>1226</v>
      </c>
      <c r="C596" s="2">
        <v>6</v>
      </c>
    </row>
    <row r="597" spans="1:3" x14ac:dyDescent="0.35">
      <c r="A597" s="5">
        <v>36586</v>
      </c>
      <c r="B597" t="s">
        <v>1227</v>
      </c>
      <c r="C597" s="2">
        <v>6</v>
      </c>
    </row>
    <row r="598" spans="1:3" x14ac:dyDescent="0.35">
      <c r="A598" s="5">
        <v>36617</v>
      </c>
      <c r="B598" t="s">
        <v>1228</v>
      </c>
      <c r="C598" s="2">
        <v>6</v>
      </c>
    </row>
    <row r="599" spans="1:3" x14ac:dyDescent="0.35">
      <c r="A599" s="5">
        <v>36647</v>
      </c>
      <c r="B599" t="s">
        <v>1229</v>
      </c>
      <c r="C599" s="2">
        <v>6</v>
      </c>
    </row>
    <row r="600" spans="1:3" x14ac:dyDescent="0.35">
      <c r="A600" s="5">
        <v>36678</v>
      </c>
      <c r="B600" t="s">
        <v>1230</v>
      </c>
      <c r="C600" s="2">
        <v>6</v>
      </c>
    </row>
    <row r="601" spans="1:3" x14ac:dyDescent="0.35">
      <c r="A601" s="5">
        <v>36708</v>
      </c>
      <c r="B601" t="s">
        <v>1231</v>
      </c>
      <c r="C601" s="2">
        <v>6</v>
      </c>
    </row>
    <row r="602" spans="1:3" x14ac:dyDescent="0.35">
      <c r="A602" s="5">
        <v>36739</v>
      </c>
      <c r="B602" t="s">
        <v>1232</v>
      </c>
      <c r="C602" s="2">
        <v>6</v>
      </c>
    </row>
    <row r="603" spans="1:3" x14ac:dyDescent="0.35">
      <c r="A603" s="5">
        <v>36770</v>
      </c>
      <c r="B603" t="s">
        <v>1233</v>
      </c>
      <c r="C603" s="2">
        <v>6</v>
      </c>
    </row>
    <row r="604" spans="1:3" x14ac:dyDescent="0.35">
      <c r="A604" s="5">
        <v>36800</v>
      </c>
      <c r="B604" t="s">
        <v>1234</v>
      </c>
      <c r="C604" s="2">
        <v>6</v>
      </c>
    </row>
    <row r="605" spans="1:3" x14ac:dyDescent="0.35">
      <c r="A605" s="5">
        <v>36831</v>
      </c>
      <c r="B605" t="s">
        <v>1235</v>
      </c>
      <c r="C605" s="2">
        <v>6</v>
      </c>
    </row>
    <row r="606" spans="1:3" x14ac:dyDescent="0.35">
      <c r="A606" s="5">
        <v>36861</v>
      </c>
      <c r="B606" t="s">
        <v>1236</v>
      </c>
      <c r="C606" s="2">
        <v>6</v>
      </c>
    </row>
    <row r="607" spans="1:3" x14ac:dyDescent="0.35">
      <c r="A607" s="5">
        <v>36892</v>
      </c>
      <c r="B607" t="s">
        <v>1237</v>
      </c>
      <c r="C607" s="2">
        <v>6</v>
      </c>
    </row>
    <row r="608" spans="1:3" x14ac:dyDescent="0.35">
      <c r="A608" s="5">
        <v>36923</v>
      </c>
      <c r="B608" t="s">
        <v>1238</v>
      </c>
      <c r="C608" s="2">
        <v>5.75</v>
      </c>
    </row>
    <row r="609" spans="1:3" x14ac:dyDescent="0.35">
      <c r="A609" s="5">
        <v>36951</v>
      </c>
      <c r="B609" t="s">
        <v>1239</v>
      </c>
      <c r="C609" s="2">
        <v>5.75</v>
      </c>
    </row>
    <row r="610" spans="1:3" x14ac:dyDescent="0.35">
      <c r="A610" s="5">
        <v>36982</v>
      </c>
      <c r="B610" t="s">
        <v>1240</v>
      </c>
      <c r="C610" s="2">
        <v>5.5</v>
      </c>
    </row>
    <row r="611" spans="1:3" x14ac:dyDescent="0.35">
      <c r="A611" s="5">
        <v>37012</v>
      </c>
      <c r="B611" t="s">
        <v>1241</v>
      </c>
      <c r="C611" s="2">
        <v>5.25</v>
      </c>
    </row>
    <row r="612" spans="1:3" x14ac:dyDescent="0.35">
      <c r="A612" s="5">
        <v>37043</v>
      </c>
      <c r="B612" t="s">
        <v>1242</v>
      </c>
      <c r="C612" s="2">
        <v>5.25</v>
      </c>
    </row>
    <row r="613" spans="1:3" x14ac:dyDescent="0.35">
      <c r="A613" s="5">
        <v>37073</v>
      </c>
      <c r="B613" t="s">
        <v>1243</v>
      </c>
      <c r="C613" s="2">
        <v>5.25</v>
      </c>
    </row>
    <row r="614" spans="1:3" x14ac:dyDescent="0.35">
      <c r="A614" s="5">
        <v>37104</v>
      </c>
      <c r="B614" t="s">
        <v>1244</v>
      </c>
      <c r="C614" s="2">
        <v>5</v>
      </c>
    </row>
    <row r="615" spans="1:3" x14ac:dyDescent="0.35">
      <c r="A615" s="5">
        <v>37135</v>
      </c>
      <c r="B615" t="s">
        <v>1245</v>
      </c>
      <c r="C615" s="2">
        <v>4.75</v>
      </c>
    </row>
    <row r="616" spans="1:3" x14ac:dyDescent="0.35">
      <c r="A616" s="5">
        <v>37165</v>
      </c>
      <c r="B616" t="s">
        <v>1246</v>
      </c>
      <c r="C616" s="2">
        <v>4.5</v>
      </c>
    </row>
    <row r="617" spans="1:3" x14ac:dyDescent="0.35">
      <c r="A617" s="5">
        <v>37196</v>
      </c>
      <c r="B617" t="s">
        <v>1247</v>
      </c>
      <c r="C617" s="2">
        <v>4</v>
      </c>
    </row>
    <row r="618" spans="1:3" x14ac:dyDescent="0.35">
      <c r="A618" s="5">
        <v>37226</v>
      </c>
      <c r="B618" t="s">
        <v>1248</v>
      </c>
      <c r="C618" s="2">
        <v>4</v>
      </c>
    </row>
    <row r="619" spans="1:3" x14ac:dyDescent="0.35">
      <c r="A619" s="5">
        <v>37257</v>
      </c>
      <c r="B619" t="s">
        <v>1249</v>
      </c>
      <c r="C619" s="2">
        <v>4</v>
      </c>
    </row>
    <row r="620" spans="1:3" x14ac:dyDescent="0.35">
      <c r="A620" s="5">
        <v>37288</v>
      </c>
      <c r="B620" t="s">
        <v>1250</v>
      </c>
      <c r="C620" s="2">
        <v>4</v>
      </c>
    </row>
    <row r="621" spans="1:3" x14ac:dyDescent="0.35">
      <c r="A621" s="5">
        <v>37316</v>
      </c>
      <c r="B621" t="s">
        <v>1251</v>
      </c>
      <c r="C621" s="2">
        <v>4</v>
      </c>
    </row>
    <row r="622" spans="1:3" x14ac:dyDescent="0.35">
      <c r="A622" s="5">
        <v>37347</v>
      </c>
      <c r="B622" t="s">
        <v>1252</v>
      </c>
      <c r="C622" s="2">
        <v>4</v>
      </c>
    </row>
    <row r="623" spans="1:3" x14ac:dyDescent="0.35">
      <c r="A623" s="5">
        <v>37377</v>
      </c>
      <c r="B623" t="s">
        <v>1253</v>
      </c>
      <c r="C623" s="2">
        <v>4</v>
      </c>
    </row>
    <row r="624" spans="1:3" x14ac:dyDescent="0.35">
      <c r="A624" s="5">
        <v>37408</v>
      </c>
      <c r="B624" t="s">
        <v>1254</v>
      </c>
      <c r="C624" s="2">
        <v>4</v>
      </c>
    </row>
    <row r="625" spans="1:3" x14ac:dyDescent="0.35">
      <c r="A625" s="5">
        <v>37438</v>
      </c>
      <c r="B625" t="s">
        <v>1255</v>
      </c>
      <c r="C625" s="2">
        <v>4</v>
      </c>
    </row>
    <row r="626" spans="1:3" x14ac:dyDescent="0.35">
      <c r="A626" s="5">
        <v>37469</v>
      </c>
      <c r="B626" t="s">
        <v>1256</v>
      </c>
      <c r="C626" s="2">
        <v>4</v>
      </c>
    </row>
    <row r="627" spans="1:3" x14ac:dyDescent="0.35">
      <c r="A627" s="5">
        <v>37500</v>
      </c>
      <c r="B627" t="s">
        <v>1257</v>
      </c>
      <c r="C627" s="2">
        <v>4</v>
      </c>
    </row>
    <row r="628" spans="1:3" x14ac:dyDescent="0.35">
      <c r="A628" s="5">
        <v>37530</v>
      </c>
      <c r="B628" t="s">
        <v>1258</v>
      </c>
      <c r="C628" s="2">
        <v>4</v>
      </c>
    </row>
    <row r="629" spans="1:3" x14ac:dyDescent="0.35">
      <c r="A629" s="5">
        <v>37561</v>
      </c>
      <c r="B629" t="s">
        <v>1259</v>
      </c>
      <c r="C629" s="2">
        <v>4</v>
      </c>
    </row>
    <row r="630" spans="1:3" x14ac:dyDescent="0.35">
      <c r="A630" s="5">
        <v>37591</v>
      </c>
      <c r="B630" t="s">
        <v>1260</v>
      </c>
      <c r="C630" s="2">
        <v>4</v>
      </c>
    </row>
    <row r="631" spans="1:3" x14ac:dyDescent="0.35">
      <c r="A631" s="5">
        <v>37622</v>
      </c>
      <c r="B631" t="s">
        <v>1261</v>
      </c>
      <c r="C631" s="2">
        <v>4</v>
      </c>
    </row>
    <row r="632" spans="1:3" x14ac:dyDescent="0.35">
      <c r="A632" s="5">
        <v>37653</v>
      </c>
      <c r="B632" t="s">
        <v>1262</v>
      </c>
      <c r="C632" s="2">
        <v>3.75</v>
      </c>
    </row>
    <row r="633" spans="1:3" x14ac:dyDescent="0.35">
      <c r="A633" s="5">
        <v>37681</v>
      </c>
      <c r="B633" t="s">
        <v>1263</v>
      </c>
      <c r="C633" s="2">
        <v>3.75</v>
      </c>
    </row>
    <row r="634" spans="1:3" x14ac:dyDescent="0.35">
      <c r="A634" s="5">
        <v>37712</v>
      </c>
      <c r="B634" t="s">
        <v>1264</v>
      </c>
      <c r="C634" s="2">
        <v>3.75</v>
      </c>
    </row>
    <row r="635" spans="1:3" x14ac:dyDescent="0.35">
      <c r="A635" s="5">
        <v>37742</v>
      </c>
      <c r="B635" t="s">
        <v>1265</v>
      </c>
      <c r="C635" s="2">
        <v>3.75</v>
      </c>
    </row>
    <row r="636" spans="1:3" x14ac:dyDescent="0.35">
      <c r="A636" s="5">
        <v>37773</v>
      </c>
      <c r="B636" t="s">
        <v>1266</v>
      </c>
      <c r="C636" s="2">
        <v>3.75</v>
      </c>
    </row>
    <row r="637" spans="1:3" x14ac:dyDescent="0.35">
      <c r="A637" s="5">
        <v>37803</v>
      </c>
      <c r="B637" t="s">
        <v>1267</v>
      </c>
      <c r="C637" s="2">
        <v>3.5</v>
      </c>
    </row>
    <row r="638" spans="1:3" x14ac:dyDescent="0.35">
      <c r="A638" s="5">
        <v>37834</v>
      </c>
      <c r="B638" t="s">
        <v>1268</v>
      </c>
      <c r="C638" s="2">
        <v>3.5</v>
      </c>
    </row>
    <row r="639" spans="1:3" x14ac:dyDescent="0.35">
      <c r="A639" s="5">
        <v>37865</v>
      </c>
      <c r="B639" t="s">
        <v>1269</v>
      </c>
      <c r="C639" s="2">
        <v>3.5</v>
      </c>
    </row>
    <row r="640" spans="1:3" x14ac:dyDescent="0.35">
      <c r="A640" s="5">
        <v>37895</v>
      </c>
      <c r="B640" t="s">
        <v>1270</v>
      </c>
      <c r="C640" s="2">
        <v>3.5</v>
      </c>
    </row>
    <row r="641" spans="1:3" x14ac:dyDescent="0.35">
      <c r="A641" s="5">
        <v>37926</v>
      </c>
      <c r="B641" t="s">
        <v>1271</v>
      </c>
      <c r="C641" s="2">
        <v>3.75</v>
      </c>
    </row>
    <row r="642" spans="1:3" x14ac:dyDescent="0.35">
      <c r="A642" s="5">
        <v>37956</v>
      </c>
      <c r="B642" t="s">
        <v>1272</v>
      </c>
      <c r="C642" s="2">
        <v>3.75</v>
      </c>
    </row>
    <row r="643" spans="1:3" x14ac:dyDescent="0.35">
      <c r="A643" s="5">
        <v>37987</v>
      </c>
      <c r="B643" t="s">
        <v>1273</v>
      </c>
      <c r="C643" s="2">
        <v>3.75</v>
      </c>
    </row>
    <row r="644" spans="1:3" x14ac:dyDescent="0.35">
      <c r="A644" s="5">
        <v>38018</v>
      </c>
      <c r="B644" t="s">
        <v>1274</v>
      </c>
      <c r="C644" s="2">
        <v>4</v>
      </c>
    </row>
    <row r="645" spans="1:3" x14ac:dyDescent="0.35">
      <c r="A645" s="5">
        <v>38047</v>
      </c>
      <c r="B645" t="s">
        <v>1275</v>
      </c>
      <c r="C645" s="2">
        <v>4</v>
      </c>
    </row>
    <row r="646" spans="1:3" x14ac:dyDescent="0.35">
      <c r="A646" s="5">
        <v>38078</v>
      </c>
      <c r="B646" t="s">
        <v>1276</v>
      </c>
      <c r="C646" s="2">
        <v>4</v>
      </c>
    </row>
    <row r="647" spans="1:3" x14ac:dyDescent="0.35">
      <c r="A647" s="5">
        <v>38108</v>
      </c>
      <c r="B647" t="s">
        <v>1277</v>
      </c>
      <c r="C647" s="2">
        <v>4.25</v>
      </c>
    </row>
    <row r="648" spans="1:3" x14ac:dyDescent="0.35">
      <c r="A648" s="5">
        <v>38139</v>
      </c>
      <c r="B648" t="s">
        <v>1278</v>
      </c>
      <c r="C648" s="2">
        <v>4.5</v>
      </c>
    </row>
    <row r="649" spans="1:3" x14ac:dyDescent="0.35">
      <c r="A649" s="5">
        <v>38169</v>
      </c>
      <c r="B649" t="s">
        <v>1279</v>
      </c>
      <c r="C649" s="2">
        <v>4.5</v>
      </c>
    </row>
    <row r="650" spans="1:3" x14ac:dyDescent="0.35">
      <c r="A650" s="5">
        <v>38200</v>
      </c>
      <c r="B650" t="s">
        <v>1280</v>
      </c>
      <c r="C650" s="2">
        <v>4.75</v>
      </c>
    </row>
    <row r="651" spans="1:3" x14ac:dyDescent="0.35">
      <c r="A651" s="5">
        <v>38231</v>
      </c>
      <c r="B651" t="s">
        <v>1281</v>
      </c>
      <c r="C651" s="2">
        <v>4.75</v>
      </c>
    </row>
    <row r="652" spans="1:3" x14ac:dyDescent="0.35">
      <c r="A652" s="5">
        <v>38261</v>
      </c>
      <c r="B652" t="s">
        <v>1282</v>
      </c>
      <c r="C652" s="2">
        <v>4.75</v>
      </c>
    </row>
    <row r="653" spans="1:3" x14ac:dyDescent="0.35">
      <c r="A653" s="5">
        <v>38292</v>
      </c>
      <c r="B653" t="s">
        <v>1283</v>
      </c>
      <c r="C653" s="2">
        <v>4.75</v>
      </c>
    </row>
    <row r="654" spans="1:3" x14ac:dyDescent="0.35">
      <c r="A654" s="5">
        <v>38322</v>
      </c>
      <c r="B654" t="s">
        <v>1284</v>
      </c>
      <c r="C654" s="2">
        <v>4.75</v>
      </c>
    </row>
    <row r="655" spans="1:3" x14ac:dyDescent="0.35">
      <c r="A655" s="5">
        <v>38353</v>
      </c>
      <c r="B655" t="s">
        <v>1285</v>
      </c>
      <c r="C655" s="2">
        <v>4.75</v>
      </c>
    </row>
    <row r="656" spans="1:3" x14ac:dyDescent="0.35">
      <c r="A656" s="5">
        <v>38384</v>
      </c>
      <c r="B656" t="s">
        <v>1286</v>
      </c>
      <c r="C656" s="2">
        <v>4.75</v>
      </c>
    </row>
    <row r="657" spans="1:3" x14ac:dyDescent="0.35">
      <c r="A657" s="5">
        <v>38412</v>
      </c>
      <c r="B657" t="s">
        <v>1287</v>
      </c>
      <c r="C657" s="2">
        <v>4.75</v>
      </c>
    </row>
    <row r="658" spans="1:3" x14ac:dyDescent="0.35">
      <c r="A658" s="5">
        <v>38443</v>
      </c>
      <c r="B658" t="s">
        <v>1288</v>
      </c>
      <c r="C658" s="2">
        <v>4.75</v>
      </c>
    </row>
    <row r="659" spans="1:3" x14ac:dyDescent="0.35">
      <c r="A659" s="5">
        <v>38473</v>
      </c>
      <c r="B659" t="s">
        <v>1289</v>
      </c>
      <c r="C659" s="2">
        <v>4.75</v>
      </c>
    </row>
    <row r="660" spans="1:3" x14ac:dyDescent="0.35">
      <c r="A660" s="5">
        <v>38504</v>
      </c>
      <c r="B660" t="s">
        <v>1290</v>
      </c>
      <c r="C660" s="2">
        <v>4.75</v>
      </c>
    </row>
    <row r="661" spans="1:3" x14ac:dyDescent="0.35">
      <c r="A661" s="5">
        <v>38534</v>
      </c>
      <c r="B661" t="s">
        <v>1291</v>
      </c>
      <c r="C661" s="2">
        <v>4.75</v>
      </c>
    </row>
    <row r="662" spans="1:3" x14ac:dyDescent="0.35">
      <c r="A662" s="5">
        <v>38565</v>
      </c>
      <c r="B662" t="s">
        <v>1292</v>
      </c>
      <c r="C662" s="2">
        <v>4.5</v>
      </c>
    </row>
    <row r="663" spans="1:3" x14ac:dyDescent="0.35">
      <c r="A663" s="5">
        <v>38596</v>
      </c>
      <c r="B663" t="s">
        <v>1293</v>
      </c>
      <c r="C663" s="2">
        <v>4.5</v>
      </c>
    </row>
    <row r="664" spans="1:3" x14ac:dyDescent="0.35">
      <c r="A664" s="5">
        <v>38626</v>
      </c>
      <c r="B664" t="s">
        <v>1294</v>
      </c>
      <c r="C664" s="2">
        <v>4.5</v>
      </c>
    </row>
    <row r="665" spans="1:3" x14ac:dyDescent="0.35">
      <c r="A665" s="5">
        <v>38657</v>
      </c>
      <c r="B665" t="s">
        <v>1295</v>
      </c>
      <c r="C665" s="2">
        <v>4.5</v>
      </c>
    </row>
    <row r="666" spans="1:3" x14ac:dyDescent="0.35">
      <c r="A666" s="5">
        <v>38687</v>
      </c>
      <c r="B666" t="s">
        <v>1296</v>
      </c>
      <c r="C666" s="2">
        <v>4.5</v>
      </c>
    </row>
    <row r="667" spans="1:3" x14ac:dyDescent="0.35">
      <c r="A667" s="5">
        <v>38718</v>
      </c>
      <c r="B667" t="s">
        <v>1297</v>
      </c>
      <c r="C667" s="2">
        <v>4.5</v>
      </c>
    </row>
    <row r="668" spans="1:3" x14ac:dyDescent="0.35">
      <c r="A668" s="5">
        <v>38749</v>
      </c>
      <c r="B668" t="s">
        <v>1298</v>
      </c>
      <c r="C668" s="2">
        <v>4.5</v>
      </c>
    </row>
    <row r="669" spans="1:3" x14ac:dyDescent="0.35">
      <c r="A669" s="5">
        <v>38777</v>
      </c>
      <c r="B669" t="s">
        <v>1299</v>
      </c>
      <c r="C669" s="2">
        <v>4.5</v>
      </c>
    </row>
    <row r="670" spans="1:3" x14ac:dyDescent="0.35">
      <c r="A670" s="5">
        <v>38808</v>
      </c>
      <c r="B670" t="s">
        <v>1300</v>
      </c>
      <c r="C670" s="2">
        <v>4.5</v>
      </c>
    </row>
    <row r="671" spans="1:3" x14ac:dyDescent="0.35">
      <c r="A671" s="5">
        <v>38838</v>
      </c>
      <c r="B671" t="s">
        <v>1301</v>
      </c>
      <c r="C671" s="2">
        <v>4.5</v>
      </c>
    </row>
    <row r="672" spans="1:3" x14ac:dyDescent="0.35">
      <c r="A672" s="5">
        <v>38869</v>
      </c>
      <c r="B672" t="s">
        <v>1302</v>
      </c>
      <c r="C672" s="2">
        <v>4.5</v>
      </c>
    </row>
    <row r="673" spans="1:3" x14ac:dyDescent="0.35">
      <c r="A673" s="5">
        <v>38899</v>
      </c>
      <c r="B673" t="s">
        <v>1303</v>
      </c>
      <c r="C673" s="2">
        <v>4.5</v>
      </c>
    </row>
    <row r="674" spans="1:3" x14ac:dyDescent="0.35">
      <c r="A674" s="5">
        <v>38930</v>
      </c>
      <c r="B674" t="s">
        <v>1304</v>
      </c>
      <c r="C674" s="2">
        <v>4.75</v>
      </c>
    </row>
    <row r="675" spans="1:3" x14ac:dyDescent="0.35">
      <c r="A675" s="5">
        <v>38961</v>
      </c>
      <c r="B675" t="s">
        <v>1305</v>
      </c>
      <c r="C675" s="2">
        <v>4.75</v>
      </c>
    </row>
    <row r="676" spans="1:3" x14ac:dyDescent="0.35">
      <c r="A676" s="5">
        <v>38991</v>
      </c>
      <c r="B676" t="s">
        <v>1306</v>
      </c>
      <c r="C676" s="2">
        <v>4.75</v>
      </c>
    </row>
    <row r="677" spans="1:3" x14ac:dyDescent="0.35">
      <c r="A677" s="5">
        <v>39022</v>
      </c>
      <c r="B677" t="s">
        <v>1307</v>
      </c>
      <c r="C677" s="2">
        <v>5</v>
      </c>
    </row>
    <row r="678" spans="1:3" x14ac:dyDescent="0.35">
      <c r="A678" s="5">
        <v>39052</v>
      </c>
      <c r="B678" t="s">
        <v>1308</v>
      </c>
      <c r="C678" s="2">
        <v>5</v>
      </c>
    </row>
    <row r="679" spans="1:3" x14ac:dyDescent="0.35">
      <c r="A679" s="5">
        <v>39083</v>
      </c>
      <c r="B679" t="s">
        <v>1309</v>
      </c>
      <c r="C679" s="2">
        <v>5.25</v>
      </c>
    </row>
    <row r="680" spans="1:3" x14ac:dyDescent="0.35">
      <c r="A680" s="5">
        <v>39114</v>
      </c>
      <c r="B680" t="s">
        <v>1310</v>
      </c>
      <c r="C680" s="2">
        <v>5.25</v>
      </c>
    </row>
    <row r="681" spans="1:3" x14ac:dyDescent="0.35">
      <c r="A681" s="5">
        <v>39142</v>
      </c>
      <c r="B681" t="s">
        <v>1311</v>
      </c>
      <c r="C681" s="2">
        <v>5.25</v>
      </c>
    </row>
    <row r="682" spans="1:3" x14ac:dyDescent="0.35">
      <c r="A682" s="5">
        <v>39173</v>
      </c>
      <c r="B682" t="s">
        <v>1312</v>
      </c>
      <c r="C682" s="2">
        <v>5.25</v>
      </c>
    </row>
    <row r="683" spans="1:3" x14ac:dyDescent="0.35">
      <c r="A683" s="5">
        <v>39203</v>
      </c>
      <c r="B683" t="s">
        <v>1313</v>
      </c>
      <c r="C683" s="2">
        <v>5.5</v>
      </c>
    </row>
    <row r="684" spans="1:3" x14ac:dyDescent="0.35">
      <c r="A684" s="5">
        <v>39234</v>
      </c>
      <c r="B684" t="s">
        <v>1314</v>
      </c>
      <c r="C684" s="2">
        <v>5.5</v>
      </c>
    </row>
    <row r="685" spans="1:3" x14ac:dyDescent="0.35">
      <c r="A685" s="5">
        <v>39264</v>
      </c>
      <c r="B685" t="s">
        <v>1315</v>
      </c>
      <c r="C685" s="2">
        <v>5.75</v>
      </c>
    </row>
    <row r="686" spans="1:3" x14ac:dyDescent="0.35">
      <c r="A686" s="5">
        <v>39295</v>
      </c>
      <c r="B686" t="s">
        <v>1316</v>
      </c>
      <c r="C686" s="2">
        <v>5.75</v>
      </c>
    </row>
    <row r="687" spans="1:3" x14ac:dyDescent="0.35">
      <c r="A687" s="5">
        <v>39326</v>
      </c>
      <c r="B687" t="s">
        <v>1317</v>
      </c>
      <c r="C687" s="2">
        <v>5.75</v>
      </c>
    </row>
    <row r="688" spans="1:3" x14ac:dyDescent="0.35">
      <c r="A688" s="5">
        <v>39356</v>
      </c>
      <c r="B688" t="s">
        <v>1318</v>
      </c>
      <c r="C688" s="2">
        <v>5.75</v>
      </c>
    </row>
    <row r="689" spans="1:3" x14ac:dyDescent="0.35">
      <c r="A689" s="5">
        <v>39387</v>
      </c>
      <c r="B689" t="s">
        <v>1319</v>
      </c>
      <c r="C689" s="2">
        <v>5.75</v>
      </c>
    </row>
    <row r="690" spans="1:3" x14ac:dyDescent="0.35">
      <c r="A690" s="5">
        <v>39417</v>
      </c>
      <c r="B690" t="s">
        <v>1320</v>
      </c>
      <c r="C690" s="2">
        <v>5.5</v>
      </c>
    </row>
    <row r="691" spans="1:3" x14ac:dyDescent="0.35">
      <c r="A691" s="5">
        <v>39448</v>
      </c>
      <c r="B691" t="s">
        <v>1321</v>
      </c>
      <c r="C691" s="2">
        <v>5.5</v>
      </c>
    </row>
    <row r="692" spans="1:3" x14ac:dyDescent="0.35">
      <c r="A692" s="5">
        <v>39479</v>
      </c>
      <c r="B692" t="s">
        <v>1322</v>
      </c>
      <c r="C692" s="2">
        <v>5.25</v>
      </c>
    </row>
    <row r="693" spans="1:3" x14ac:dyDescent="0.35">
      <c r="A693" s="5">
        <v>39508</v>
      </c>
      <c r="B693" t="s">
        <v>1323</v>
      </c>
      <c r="C693" s="2">
        <v>5.25</v>
      </c>
    </row>
    <row r="694" spans="1:3" x14ac:dyDescent="0.35">
      <c r="A694" s="5">
        <v>39539</v>
      </c>
      <c r="B694" t="s">
        <v>1324</v>
      </c>
      <c r="C694" s="2">
        <v>5</v>
      </c>
    </row>
    <row r="695" spans="1:3" x14ac:dyDescent="0.35">
      <c r="A695" s="5">
        <v>39569</v>
      </c>
      <c r="B695" t="s">
        <v>1325</v>
      </c>
      <c r="C695" s="2">
        <v>5</v>
      </c>
    </row>
    <row r="696" spans="1:3" x14ac:dyDescent="0.35">
      <c r="A696" s="5">
        <v>39600</v>
      </c>
      <c r="B696" t="s">
        <v>1326</v>
      </c>
      <c r="C696" s="2">
        <v>5</v>
      </c>
    </row>
    <row r="697" spans="1:3" x14ac:dyDescent="0.35">
      <c r="A697" s="5">
        <v>39630</v>
      </c>
      <c r="B697" t="s">
        <v>1327</v>
      </c>
      <c r="C697" s="2">
        <v>5</v>
      </c>
    </row>
    <row r="698" spans="1:3" x14ac:dyDescent="0.35">
      <c r="A698" s="5">
        <v>39661</v>
      </c>
      <c r="B698" t="s">
        <v>1328</v>
      </c>
      <c r="C698" s="2">
        <v>5</v>
      </c>
    </row>
    <row r="699" spans="1:3" x14ac:dyDescent="0.35">
      <c r="A699" s="5">
        <v>39692</v>
      </c>
      <c r="B699" t="s">
        <v>1329</v>
      </c>
      <c r="C699" s="2">
        <v>5</v>
      </c>
    </row>
    <row r="700" spans="1:3" x14ac:dyDescent="0.35">
      <c r="A700" s="5">
        <v>39722</v>
      </c>
      <c r="B700" t="s">
        <v>1330</v>
      </c>
      <c r="C700" s="2">
        <v>4.5</v>
      </c>
    </row>
    <row r="701" spans="1:3" x14ac:dyDescent="0.35">
      <c r="A701" s="5">
        <v>39753</v>
      </c>
      <c r="B701" t="s">
        <v>1331</v>
      </c>
      <c r="C701" s="2">
        <v>3</v>
      </c>
    </row>
    <row r="702" spans="1:3" x14ac:dyDescent="0.35">
      <c r="A702" s="5">
        <v>39783</v>
      </c>
      <c r="B702" t="s">
        <v>1332</v>
      </c>
      <c r="C702" s="2">
        <v>2</v>
      </c>
    </row>
    <row r="703" spans="1:3" x14ac:dyDescent="0.35">
      <c r="A703" s="5">
        <v>39814</v>
      </c>
      <c r="B703" t="s">
        <v>1333</v>
      </c>
      <c r="C703" s="2">
        <v>1.5</v>
      </c>
    </row>
    <row r="704" spans="1:3" x14ac:dyDescent="0.35">
      <c r="A704" s="5">
        <v>39845</v>
      </c>
      <c r="B704" t="s">
        <v>1334</v>
      </c>
      <c r="C704" s="2">
        <v>1</v>
      </c>
    </row>
    <row r="705" spans="1:3" x14ac:dyDescent="0.35">
      <c r="A705" s="5">
        <v>39873</v>
      </c>
      <c r="B705" t="s">
        <v>1335</v>
      </c>
      <c r="C705" s="2">
        <v>0.5</v>
      </c>
    </row>
    <row r="706" spans="1:3" x14ac:dyDescent="0.35">
      <c r="A706" s="5">
        <v>39904</v>
      </c>
      <c r="B706" t="s">
        <v>1336</v>
      </c>
      <c r="C706" s="2">
        <v>0.5</v>
      </c>
    </row>
    <row r="707" spans="1:3" x14ac:dyDescent="0.35">
      <c r="A707" s="5">
        <v>39934</v>
      </c>
      <c r="B707" t="s">
        <v>1337</v>
      </c>
      <c r="C707" s="2">
        <v>0.5</v>
      </c>
    </row>
    <row r="708" spans="1:3" x14ac:dyDescent="0.35">
      <c r="A708" s="5">
        <v>39965</v>
      </c>
      <c r="B708" t="s">
        <v>1338</v>
      </c>
      <c r="C708" s="2">
        <v>0.5</v>
      </c>
    </row>
    <row r="709" spans="1:3" x14ac:dyDescent="0.35">
      <c r="A709" s="5">
        <v>39995</v>
      </c>
      <c r="B709" t="s">
        <v>1339</v>
      </c>
      <c r="C709" s="2">
        <v>0.5</v>
      </c>
    </row>
    <row r="710" spans="1:3" x14ac:dyDescent="0.35">
      <c r="A710" s="5">
        <v>40026</v>
      </c>
      <c r="B710" t="s">
        <v>1340</v>
      </c>
      <c r="C710" s="2">
        <v>0.5</v>
      </c>
    </row>
    <row r="711" spans="1:3" x14ac:dyDescent="0.35">
      <c r="A711" s="5">
        <v>40057</v>
      </c>
      <c r="B711" t="s">
        <v>1341</v>
      </c>
      <c r="C711" s="2">
        <v>0.5</v>
      </c>
    </row>
    <row r="712" spans="1:3" x14ac:dyDescent="0.35">
      <c r="A712" s="5">
        <v>40087</v>
      </c>
      <c r="B712" t="s">
        <v>1342</v>
      </c>
      <c r="C712" s="2">
        <v>0.5</v>
      </c>
    </row>
    <row r="713" spans="1:3" x14ac:dyDescent="0.35">
      <c r="A713" s="5">
        <v>40118</v>
      </c>
      <c r="B713" t="s">
        <v>1343</v>
      </c>
      <c r="C713" s="2">
        <v>0.5</v>
      </c>
    </row>
    <row r="714" spans="1:3" x14ac:dyDescent="0.35">
      <c r="A714" s="5">
        <v>40148</v>
      </c>
      <c r="B714" t="s">
        <v>1344</v>
      </c>
      <c r="C714" s="2">
        <v>0.5</v>
      </c>
    </row>
    <row r="715" spans="1:3" x14ac:dyDescent="0.35">
      <c r="A715" s="5">
        <v>40179</v>
      </c>
      <c r="B715" t="s">
        <v>1345</v>
      </c>
      <c r="C715" s="2">
        <v>0.5</v>
      </c>
    </row>
    <row r="716" spans="1:3" x14ac:dyDescent="0.35">
      <c r="A716" s="5">
        <v>40210</v>
      </c>
      <c r="B716" t="s">
        <v>1346</v>
      </c>
      <c r="C716" s="2">
        <v>0.5</v>
      </c>
    </row>
    <row r="717" spans="1:3" x14ac:dyDescent="0.35">
      <c r="A717" s="5">
        <v>40238</v>
      </c>
      <c r="B717" t="s">
        <v>1347</v>
      </c>
      <c r="C717" s="2">
        <v>0.5</v>
      </c>
    </row>
    <row r="718" spans="1:3" x14ac:dyDescent="0.35">
      <c r="A718" s="5">
        <v>40269</v>
      </c>
      <c r="B718" t="s">
        <v>1348</v>
      </c>
      <c r="C718" s="2">
        <v>0.5</v>
      </c>
    </row>
    <row r="719" spans="1:3" x14ac:dyDescent="0.35">
      <c r="A719" s="5">
        <v>40299</v>
      </c>
      <c r="B719" t="s">
        <v>1349</v>
      </c>
      <c r="C719" s="2">
        <v>0.5</v>
      </c>
    </row>
    <row r="720" spans="1:3" x14ac:dyDescent="0.35">
      <c r="A720" s="5">
        <v>40330</v>
      </c>
      <c r="B720" t="s">
        <v>1350</v>
      </c>
      <c r="C720" s="2">
        <v>0.5</v>
      </c>
    </row>
    <row r="721" spans="1:3" x14ac:dyDescent="0.35">
      <c r="A721" s="5">
        <v>40360</v>
      </c>
      <c r="B721" t="s">
        <v>1351</v>
      </c>
      <c r="C721" s="2">
        <v>0.5</v>
      </c>
    </row>
    <row r="722" spans="1:3" x14ac:dyDescent="0.35">
      <c r="A722" s="5">
        <v>40391</v>
      </c>
      <c r="B722" t="s">
        <v>1352</v>
      </c>
      <c r="C722" s="2">
        <v>0.5</v>
      </c>
    </row>
    <row r="723" spans="1:3" x14ac:dyDescent="0.35">
      <c r="A723" s="5">
        <v>40422</v>
      </c>
      <c r="B723" t="s">
        <v>1353</v>
      </c>
      <c r="C723" s="2">
        <v>0.5</v>
      </c>
    </row>
    <row r="724" spans="1:3" x14ac:dyDescent="0.35">
      <c r="A724" s="5">
        <v>40452</v>
      </c>
      <c r="B724" t="s">
        <v>1354</v>
      </c>
      <c r="C724" s="2">
        <v>0.5</v>
      </c>
    </row>
    <row r="725" spans="1:3" x14ac:dyDescent="0.35">
      <c r="A725" s="5">
        <v>40483</v>
      </c>
      <c r="B725" t="s">
        <v>1355</v>
      </c>
      <c r="C725" s="2">
        <v>0.5</v>
      </c>
    </row>
    <row r="726" spans="1:3" x14ac:dyDescent="0.35">
      <c r="A726" s="5">
        <v>40513</v>
      </c>
      <c r="B726" t="s">
        <v>1356</v>
      </c>
      <c r="C726" s="2">
        <v>0.5</v>
      </c>
    </row>
    <row r="727" spans="1:3" x14ac:dyDescent="0.35">
      <c r="A727" s="5">
        <v>40544</v>
      </c>
      <c r="B727" t="s">
        <v>1357</v>
      </c>
      <c r="C727" s="2">
        <v>0.5</v>
      </c>
    </row>
    <row r="728" spans="1:3" x14ac:dyDescent="0.35">
      <c r="A728" s="5">
        <v>40575</v>
      </c>
      <c r="B728" t="s">
        <v>1358</v>
      </c>
      <c r="C728" s="2">
        <v>0.5</v>
      </c>
    </row>
    <row r="729" spans="1:3" x14ac:dyDescent="0.35">
      <c r="A729" s="5">
        <v>40603</v>
      </c>
      <c r="B729" t="s">
        <v>1359</v>
      </c>
      <c r="C729" s="2">
        <v>0.5</v>
      </c>
    </row>
    <row r="730" spans="1:3" x14ac:dyDescent="0.35">
      <c r="A730" s="5">
        <v>40634</v>
      </c>
      <c r="B730" t="s">
        <v>1360</v>
      </c>
      <c r="C730" s="2">
        <v>0.5</v>
      </c>
    </row>
    <row r="731" spans="1:3" x14ac:dyDescent="0.35">
      <c r="A731" s="5">
        <v>40664</v>
      </c>
      <c r="B731" t="s">
        <v>1361</v>
      </c>
      <c r="C731" s="2">
        <v>0.5</v>
      </c>
    </row>
    <row r="732" spans="1:3" x14ac:dyDescent="0.35">
      <c r="A732" s="5">
        <v>40695</v>
      </c>
      <c r="B732" t="s">
        <v>1362</v>
      </c>
      <c r="C732" s="2">
        <v>0.5</v>
      </c>
    </row>
    <row r="733" spans="1:3" x14ac:dyDescent="0.35">
      <c r="A733" s="5">
        <v>40725</v>
      </c>
      <c r="B733" t="s">
        <v>1363</v>
      </c>
      <c r="C733" s="2">
        <v>0.5</v>
      </c>
    </row>
    <row r="734" spans="1:3" x14ac:dyDescent="0.35">
      <c r="A734" s="5">
        <v>40756</v>
      </c>
      <c r="B734" t="s">
        <v>1364</v>
      </c>
      <c r="C734" s="2">
        <v>0.5</v>
      </c>
    </row>
    <row r="735" spans="1:3" x14ac:dyDescent="0.35">
      <c r="A735" s="5">
        <v>40787</v>
      </c>
      <c r="B735" t="s">
        <v>1365</v>
      </c>
      <c r="C735" s="2">
        <v>0.5</v>
      </c>
    </row>
    <row r="736" spans="1:3" x14ac:dyDescent="0.35">
      <c r="A736" s="5">
        <v>40817</v>
      </c>
      <c r="B736" t="s">
        <v>1366</v>
      </c>
      <c r="C736" s="2">
        <v>0.5</v>
      </c>
    </row>
    <row r="737" spans="1:3" x14ac:dyDescent="0.35">
      <c r="A737" s="5">
        <v>40848</v>
      </c>
      <c r="B737" t="s">
        <v>1367</v>
      </c>
      <c r="C737" s="2">
        <v>0.5</v>
      </c>
    </row>
    <row r="738" spans="1:3" x14ac:dyDescent="0.35">
      <c r="A738" s="5">
        <v>40878</v>
      </c>
      <c r="B738" t="s">
        <v>1368</v>
      </c>
      <c r="C738" s="2">
        <v>0.5</v>
      </c>
    </row>
    <row r="739" spans="1:3" x14ac:dyDescent="0.35">
      <c r="A739" s="5">
        <v>40909</v>
      </c>
      <c r="B739" t="s">
        <v>1369</v>
      </c>
      <c r="C739" s="2">
        <v>0.5</v>
      </c>
    </row>
    <row r="740" spans="1:3" x14ac:dyDescent="0.35">
      <c r="A740" s="5">
        <v>40940</v>
      </c>
      <c r="B740" t="s">
        <v>1370</v>
      </c>
      <c r="C740" s="2">
        <v>0.5</v>
      </c>
    </row>
    <row r="741" spans="1:3" x14ac:dyDescent="0.35">
      <c r="A741" s="5">
        <v>40969</v>
      </c>
      <c r="B741" t="s">
        <v>1371</v>
      </c>
      <c r="C741" s="2">
        <v>0.5</v>
      </c>
    </row>
    <row r="742" spans="1:3" x14ac:dyDescent="0.35">
      <c r="A742" s="5">
        <v>41000</v>
      </c>
      <c r="B742" t="s">
        <v>1372</v>
      </c>
      <c r="C742" s="2">
        <v>0.5</v>
      </c>
    </row>
    <row r="743" spans="1:3" x14ac:dyDescent="0.35">
      <c r="A743" s="5">
        <v>41030</v>
      </c>
      <c r="B743" t="s">
        <v>1373</v>
      </c>
      <c r="C743" s="2">
        <v>0.5</v>
      </c>
    </row>
    <row r="744" spans="1:3" x14ac:dyDescent="0.35">
      <c r="A744" s="5">
        <v>41061</v>
      </c>
      <c r="B744" t="s">
        <v>1374</v>
      </c>
      <c r="C744" s="2">
        <v>0.5</v>
      </c>
    </row>
    <row r="745" spans="1:3" x14ac:dyDescent="0.35">
      <c r="A745" s="5">
        <v>41091</v>
      </c>
      <c r="B745" t="s">
        <v>1375</v>
      </c>
      <c r="C745" s="2">
        <v>0.5</v>
      </c>
    </row>
    <row r="746" spans="1:3" x14ac:dyDescent="0.35">
      <c r="A746" s="5">
        <v>41122</v>
      </c>
      <c r="B746" t="s">
        <v>1376</v>
      </c>
      <c r="C746" s="2">
        <v>0.5</v>
      </c>
    </row>
    <row r="747" spans="1:3" x14ac:dyDescent="0.35">
      <c r="A747" s="5">
        <v>41153</v>
      </c>
      <c r="B747" t="s">
        <v>1377</v>
      </c>
      <c r="C747" s="2">
        <v>0.5</v>
      </c>
    </row>
    <row r="748" spans="1:3" x14ac:dyDescent="0.35">
      <c r="A748" s="5">
        <v>41183</v>
      </c>
      <c r="B748" t="s">
        <v>1378</v>
      </c>
      <c r="C748" s="2">
        <v>0.5</v>
      </c>
    </row>
    <row r="749" spans="1:3" x14ac:dyDescent="0.35">
      <c r="A749" s="5">
        <v>41214</v>
      </c>
      <c r="B749" t="s">
        <v>1379</v>
      </c>
      <c r="C749" s="2">
        <v>0.5</v>
      </c>
    </row>
    <row r="750" spans="1:3" x14ac:dyDescent="0.35">
      <c r="A750" s="5">
        <v>41244</v>
      </c>
      <c r="B750" t="s">
        <v>1380</v>
      </c>
      <c r="C750" s="2">
        <v>0.5</v>
      </c>
    </row>
    <row r="751" spans="1:3" x14ac:dyDescent="0.35">
      <c r="A751" s="5">
        <v>41275</v>
      </c>
      <c r="B751" t="s">
        <v>1381</v>
      </c>
      <c r="C751" s="2">
        <v>0.5</v>
      </c>
    </row>
    <row r="752" spans="1:3" x14ac:dyDescent="0.35">
      <c r="A752" s="5">
        <v>41306</v>
      </c>
      <c r="B752" t="s">
        <v>1382</v>
      </c>
      <c r="C752" s="2">
        <v>0.5</v>
      </c>
    </row>
    <row r="753" spans="1:3" x14ac:dyDescent="0.35">
      <c r="A753" s="5">
        <v>41334</v>
      </c>
      <c r="B753" t="s">
        <v>1383</v>
      </c>
      <c r="C753" s="2">
        <v>0.5</v>
      </c>
    </row>
    <row r="754" spans="1:3" x14ac:dyDescent="0.35">
      <c r="A754" s="5">
        <v>41365</v>
      </c>
      <c r="B754" t="s">
        <v>1384</v>
      </c>
      <c r="C754" s="2">
        <v>0.5</v>
      </c>
    </row>
    <row r="755" spans="1:3" x14ac:dyDescent="0.35">
      <c r="A755" s="5">
        <v>41395</v>
      </c>
      <c r="B755" t="s">
        <v>1385</v>
      </c>
      <c r="C755" s="2">
        <v>0.5</v>
      </c>
    </row>
    <row r="756" spans="1:3" x14ac:dyDescent="0.35">
      <c r="A756" s="5">
        <v>41426</v>
      </c>
      <c r="B756" t="s">
        <v>1386</v>
      </c>
      <c r="C756" s="2">
        <v>0.5</v>
      </c>
    </row>
    <row r="757" spans="1:3" x14ac:dyDescent="0.35">
      <c r="A757" s="5">
        <v>41456</v>
      </c>
      <c r="B757" t="s">
        <v>1387</v>
      </c>
      <c r="C757" s="2">
        <v>0.5</v>
      </c>
    </row>
    <row r="758" spans="1:3" x14ac:dyDescent="0.35">
      <c r="A758" s="5">
        <v>41487</v>
      </c>
      <c r="B758" t="s">
        <v>1388</v>
      </c>
      <c r="C758" s="2">
        <v>0.5</v>
      </c>
    </row>
    <row r="759" spans="1:3" x14ac:dyDescent="0.35">
      <c r="A759" s="5">
        <v>41518</v>
      </c>
      <c r="B759" t="s">
        <v>1389</v>
      </c>
      <c r="C759" s="2">
        <v>0.5</v>
      </c>
    </row>
    <row r="760" spans="1:3" x14ac:dyDescent="0.35">
      <c r="A760" s="5">
        <v>41548</v>
      </c>
      <c r="B760" t="s">
        <v>1390</v>
      </c>
      <c r="C760" s="2">
        <v>0.5</v>
      </c>
    </row>
    <row r="761" spans="1:3" x14ac:dyDescent="0.35">
      <c r="A761" s="5">
        <v>41579</v>
      </c>
      <c r="B761" t="s">
        <v>1391</v>
      </c>
      <c r="C761" s="2">
        <v>0.5</v>
      </c>
    </row>
    <row r="762" spans="1:3" x14ac:dyDescent="0.35">
      <c r="A762" s="5">
        <v>41609</v>
      </c>
      <c r="B762" t="s">
        <v>1392</v>
      </c>
      <c r="C762" s="2">
        <v>0.5</v>
      </c>
    </row>
    <row r="763" spans="1:3" x14ac:dyDescent="0.35">
      <c r="A763" s="5">
        <v>41640</v>
      </c>
      <c r="B763" t="s">
        <v>1393</v>
      </c>
      <c r="C763" s="2">
        <v>0.5</v>
      </c>
    </row>
    <row r="764" spans="1:3" x14ac:dyDescent="0.35">
      <c r="A764" s="5">
        <v>41671</v>
      </c>
      <c r="B764" t="s">
        <v>1394</v>
      </c>
      <c r="C764" s="2">
        <v>0.5</v>
      </c>
    </row>
    <row r="765" spans="1:3" x14ac:dyDescent="0.35">
      <c r="A765" s="5">
        <v>41699</v>
      </c>
      <c r="B765" t="s">
        <v>1395</v>
      </c>
      <c r="C765" s="2">
        <v>0.5</v>
      </c>
    </row>
    <row r="766" spans="1:3" x14ac:dyDescent="0.35">
      <c r="A766" s="5">
        <v>41730</v>
      </c>
      <c r="B766" t="s">
        <v>1396</v>
      </c>
      <c r="C766" s="2">
        <v>0.5</v>
      </c>
    </row>
    <row r="767" spans="1:3" x14ac:dyDescent="0.35">
      <c r="A767" s="5">
        <v>41760</v>
      </c>
      <c r="B767" t="s">
        <v>1397</v>
      </c>
      <c r="C767" s="2">
        <v>0.5</v>
      </c>
    </row>
    <row r="768" spans="1:3" x14ac:dyDescent="0.35">
      <c r="A768" s="5">
        <v>41791</v>
      </c>
      <c r="B768" t="s">
        <v>1398</v>
      </c>
      <c r="C768" s="2">
        <v>0.5</v>
      </c>
    </row>
    <row r="769" spans="1:3" x14ac:dyDescent="0.35">
      <c r="A769" s="5">
        <v>41821</v>
      </c>
      <c r="B769" t="s">
        <v>1399</v>
      </c>
      <c r="C769" s="2">
        <v>0.5</v>
      </c>
    </row>
    <row r="770" spans="1:3" x14ac:dyDescent="0.35">
      <c r="A770" s="5">
        <v>41852</v>
      </c>
      <c r="B770" t="s">
        <v>1400</v>
      </c>
      <c r="C770" s="2">
        <v>0.5</v>
      </c>
    </row>
    <row r="771" spans="1:3" x14ac:dyDescent="0.35">
      <c r="A771" s="5">
        <v>41883</v>
      </c>
      <c r="B771" t="s">
        <v>1401</v>
      </c>
      <c r="C771" s="2">
        <v>0.5</v>
      </c>
    </row>
    <row r="772" spans="1:3" x14ac:dyDescent="0.35">
      <c r="A772" s="5">
        <v>41913</v>
      </c>
      <c r="B772" t="s">
        <v>1402</v>
      </c>
      <c r="C772" s="2">
        <v>0.5</v>
      </c>
    </row>
    <row r="773" spans="1:3" x14ac:dyDescent="0.35">
      <c r="A773" s="5">
        <v>41944</v>
      </c>
      <c r="B773" t="s">
        <v>1403</v>
      </c>
      <c r="C773" s="2">
        <v>0.5</v>
      </c>
    </row>
    <row r="774" spans="1:3" x14ac:dyDescent="0.35">
      <c r="A774" s="5">
        <v>41974</v>
      </c>
      <c r="B774" t="s">
        <v>1404</v>
      </c>
      <c r="C774" s="2">
        <v>0.5</v>
      </c>
    </row>
    <row r="775" spans="1:3" x14ac:dyDescent="0.35">
      <c r="A775" s="5">
        <v>42005</v>
      </c>
      <c r="B775" t="s">
        <v>1405</v>
      </c>
      <c r="C775" s="2">
        <v>0.5</v>
      </c>
    </row>
    <row r="776" spans="1:3" x14ac:dyDescent="0.35">
      <c r="A776" s="5">
        <v>42036</v>
      </c>
      <c r="B776" t="s">
        <v>1406</v>
      </c>
      <c r="C776" s="2">
        <v>0.5</v>
      </c>
    </row>
    <row r="777" spans="1:3" x14ac:dyDescent="0.35">
      <c r="A777" s="5">
        <v>42064</v>
      </c>
      <c r="B777" t="s">
        <v>1407</v>
      </c>
      <c r="C777" s="2">
        <v>0.5</v>
      </c>
    </row>
    <row r="778" spans="1:3" x14ac:dyDescent="0.35">
      <c r="A778" s="5">
        <v>42095</v>
      </c>
      <c r="B778" t="s">
        <v>1408</v>
      </c>
      <c r="C778" s="2">
        <v>0.5</v>
      </c>
    </row>
    <row r="779" spans="1:3" x14ac:dyDescent="0.35">
      <c r="A779" s="5">
        <v>42125</v>
      </c>
      <c r="B779" t="s">
        <v>1409</v>
      </c>
      <c r="C779" s="2">
        <v>0.5</v>
      </c>
    </row>
    <row r="780" spans="1:3" x14ac:dyDescent="0.35">
      <c r="A780" s="5">
        <v>42156</v>
      </c>
      <c r="B780" t="s">
        <v>1410</v>
      </c>
      <c r="C780" s="2">
        <v>0.5</v>
      </c>
    </row>
    <row r="781" spans="1:3" x14ac:dyDescent="0.35">
      <c r="A781" s="5">
        <v>42186</v>
      </c>
      <c r="B781" t="s">
        <v>1411</v>
      </c>
      <c r="C781" s="2">
        <v>0.5</v>
      </c>
    </row>
    <row r="782" spans="1:3" x14ac:dyDescent="0.35">
      <c r="A782" s="5">
        <v>42217</v>
      </c>
      <c r="B782" t="s">
        <v>1412</v>
      </c>
      <c r="C782" s="2">
        <v>0.5</v>
      </c>
    </row>
    <row r="783" spans="1:3" x14ac:dyDescent="0.35">
      <c r="A783" s="5">
        <v>42248</v>
      </c>
      <c r="B783" t="s">
        <v>1413</v>
      </c>
      <c r="C783" s="2">
        <v>0.5</v>
      </c>
    </row>
    <row r="784" spans="1:3" x14ac:dyDescent="0.35">
      <c r="A784" s="5">
        <v>42278</v>
      </c>
      <c r="B784" t="s">
        <v>1414</v>
      </c>
      <c r="C784" s="2">
        <v>0.5</v>
      </c>
    </row>
    <row r="785" spans="1:3" x14ac:dyDescent="0.35">
      <c r="A785" s="5">
        <v>42309</v>
      </c>
      <c r="B785" t="s">
        <v>1415</v>
      </c>
      <c r="C785" s="2">
        <v>0.5</v>
      </c>
    </row>
    <row r="786" spans="1:3" x14ac:dyDescent="0.35">
      <c r="A786" s="5">
        <v>42339</v>
      </c>
      <c r="B786" t="s">
        <v>1416</v>
      </c>
      <c r="C786" s="2">
        <v>0.5</v>
      </c>
    </row>
    <row r="787" spans="1:3" x14ac:dyDescent="0.35">
      <c r="A787" s="5">
        <v>42370</v>
      </c>
      <c r="B787" t="s">
        <v>1417</v>
      </c>
      <c r="C787" s="2">
        <v>0.5</v>
      </c>
    </row>
    <row r="788" spans="1:3" x14ac:dyDescent="0.35">
      <c r="A788" s="5">
        <v>42401</v>
      </c>
      <c r="B788" t="s">
        <v>1418</v>
      </c>
      <c r="C788" s="2">
        <v>0.5</v>
      </c>
    </row>
    <row r="789" spans="1:3" x14ac:dyDescent="0.35">
      <c r="A789" s="5">
        <v>42430</v>
      </c>
      <c r="B789" t="s">
        <v>1419</v>
      </c>
      <c r="C789" s="2">
        <v>0.5</v>
      </c>
    </row>
    <row r="790" spans="1:3" x14ac:dyDescent="0.35">
      <c r="A790" s="5">
        <v>42461</v>
      </c>
      <c r="B790" t="s">
        <v>1420</v>
      </c>
      <c r="C790" s="2">
        <v>0.5</v>
      </c>
    </row>
    <row r="791" spans="1:3" x14ac:dyDescent="0.35">
      <c r="A791" s="5">
        <v>42491</v>
      </c>
      <c r="B791" t="s">
        <v>1421</v>
      </c>
      <c r="C791" s="2">
        <v>0.5</v>
      </c>
    </row>
    <row r="792" spans="1:3" x14ac:dyDescent="0.35">
      <c r="A792" s="5">
        <v>42522</v>
      </c>
      <c r="B792" t="s">
        <v>1422</v>
      </c>
      <c r="C792" s="2">
        <v>0.5</v>
      </c>
    </row>
    <row r="793" spans="1:3" x14ac:dyDescent="0.35">
      <c r="A793" s="5">
        <v>42552</v>
      </c>
      <c r="B793" t="s">
        <v>1423</v>
      </c>
      <c r="C793" s="2">
        <v>0.5</v>
      </c>
    </row>
    <row r="794" spans="1:3" x14ac:dyDescent="0.35">
      <c r="A794" s="5">
        <v>42583</v>
      </c>
      <c r="B794" t="s">
        <v>1424</v>
      </c>
      <c r="C794" s="2">
        <v>0.25</v>
      </c>
    </row>
    <row r="795" spans="1:3" x14ac:dyDescent="0.35">
      <c r="A795" s="5">
        <v>42614</v>
      </c>
      <c r="B795" t="s">
        <v>1425</v>
      </c>
      <c r="C795" s="2">
        <v>0.25</v>
      </c>
    </row>
    <row r="796" spans="1:3" x14ac:dyDescent="0.35">
      <c r="A796" s="5">
        <v>42644</v>
      </c>
      <c r="B796" t="s">
        <v>1426</v>
      </c>
      <c r="C796" s="2">
        <v>0.25</v>
      </c>
    </row>
    <row r="797" spans="1:3" x14ac:dyDescent="0.35">
      <c r="A797" s="5">
        <v>42675</v>
      </c>
      <c r="B797" t="s">
        <v>1427</v>
      </c>
      <c r="C797" s="2">
        <v>0.25</v>
      </c>
    </row>
    <row r="798" spans="1:3" x14ac:dyDescent="0.35">
      <c r="A798" s="5">
        <v>42705</v>
      </c>
      <c r="B798" t="s">
        <v>1428</v>
      </c>
      <c r="C798" s="2">
        <v>0.25</v>
      </c>
    </row>
    <row r="799" spans="1:3" x14ac:dyDescent="0.35">
      <c r="A799" s="5">
        <v>42736</v>
      </c>
      <c r="B799" t="s">
        <v>1429</v>
      </c>
      <c r="C799" s="2">
        <v>0.25</v>
      </c>
    </row>
    <row r="800" spans="1:3" x14ac:dyDescent="0.35">
      <c r="A800" s="5">
        <v>42767</v>
      </c>
      <c r="B800" t="s">
        <v>1430</v>
      </c>
      <c r="C800" s="2">
        <v>0.25</v>
      </c>
    </row>
    <row r="801" spans="1:3" x14ac:dyDescent="0.35">
      <c r="A801" s="5">
        <v>42795</v>
      </c>
      <c r="B801" t="s">
        <v>1431</v>
      </c>
      <c r="C801" s="2">
        <v>0.25</v>
      </c>
    </row>
    <row r="802" spans="1:3" x14ac:dyDescent="0.35">
      <c r="A802" s="5">
        <v>42826</v>
      </c>
      <c r="B802" t="s">
        <v>1432</v>
      </c>
      <c r="C802" s="2">
        <v>0.25</v>
      </c>
    </row>
    <row r="803" spans="1:3" x14ac:dyDescent="0.35">
      <c r="A803" s="5">
        <v>42856</v>
      </c>
      <c r="B803" t="s">
        <v>1433</v>
      </c>
      <c r="C803" s="2">
        <v>0.25</v>
      </c>
    </row>
    <row r="804" spans="1:3" x14ac:dyDescent="0.35">
      <c r="A804" s="5">
        <v>42887</v>
      </c>
      <c r="B804" t="s">
        <v>1434</v>
      </c>
      <c r="C804" s="2">
        <v>0.25</v>
      </c>
    </row>
    <row r="805" spans="1:3" x14ac:dyDescent="0.35">
      <c r="A805" s="5">
        <v>42917</v>
      </c>
      <c r="B805" t="s">
        <v>1435</v>
      </c>
      <c r="C805" s="2">
        <v>0.25</v>
      </c>
    </row>
    <row r="806" spans="1:3" x14ac:dyDescent="0.35">
      <c r="A806" s="5">
        <v>42948</v>
      </c>
      <c r="B806" t="s">
        <v>1436</v>
      </c>
      <c r="C806" s="2">
        <v>0.25</v>
      </c>
    </row>
    <row r="807" spans="1:3" x14ac:dyDescent="0.35">
      <c r="A807" s="5">
        <v>42979</v>
      </c>
      <c r="B807" t="s">
        <v>1437</v>
      </c>
      <c r="C807" s="2">
        <v>0.25</v>
      </c>
    </row>
    <row r="808" spans="1:3" x14ac:dyDescent="0.35">
      <c r="A808" s="5">
        <v>43009</v>
      </c>
      <c r="B808" t="s">
        <v>1438</v>
      </c>
      <c r="C808" s="2">
        <v>0.25</v>
      </c>
    </row>
    <row r="809" spans="1:3" x14ac:dyDescent="0.35">
      <c r="A809" s="5">
        <v>43040</v>
      </c>
      <c r="B809" t="s">
        <v>1439</v>
      </c>
      <c r="C809" s="2">
        <v>0.5</v>
      </c>
    </row>
    <row r="810" spans="1:3" x14ac:dyDescent="0.35">
      <c r="A810" s="5">
        <v>43070</v>
      </c>
      <c r="B810" t="s">
        <v>1440</v>
      </c>
      <c r="C810" s="2">
        <v>0.5</v>
      </c>
    </row>
    <row r="811" spans="1:3" x14ac:dyDescent="0.35">
      <c r="A811" s="5">
        <v>43101</v>
      </c>
      <c r="B811" t="s">
        <v>1441</v>
      </c>
      <c r="C811" s="2">
        <v>0.5</v>
      </c>
    </row>
    <row r="812" spans="1:3" x14ac:dyDescent="0.35">
      <c r="A812" s="5">
        <v>43132</v>
      </c>
      <c r="B812" t="s">
        <v>1442</v>
      </c>
      <c r="C812" s="2">
        <v>0.5</v>
      </c>
    </row>
    <row r="813" spans="1:3" x14ac:dyDescent="0.35">
      <c r="A813" s="5">
        <v>43160</v>
      </c>
      <c r="B813" t="s">
        <v>1443</v>
      </c>
      <c r="C813" s="2">
        <v>0.5</v>
      </c>
    </row>
    <row r="814" spans="1:3" x14ac:dyDescent="0.35">
      <c r="A814" s="5">
        <v>43191</v>
      </c>
      <c r="B814" t="s">
        <v>1444</v>
      </c>
      <c r="C814" s="2">
        <v>0.5</v>
      </c>
    </row>
    <row r="815" spans="1:3" x14ac:dyDescent="0.35">
      <c r="A815" s="5">
        <v>43221</v>
      </c>
      <c r="B815" t="s">
        <v>1445</v>
      </c>
      <c r="C815" s="2">
        <v>0.5</v>
      </c>
    </row>
    <row r="816" spans="1:3" x14ac:dyDescent="0.35">
      <c r="A816" s="5">
        <v>43252</v>
      </c>
      <c r="B816" t="s">
        <v>1446</v>
      </c>
      <c r="C816" s="2">
        <v>0.5</v>
      </c>
    </row>
    <row r="817" spans="1:3" x14ac:dyDescent="0.35">
      <c r="A817" s="5">
        <v>43282</v>
      </c>
      <c r="B817" t="s">
        <v>1447</v>
      </c>
      <c r="C817" s="2">
        <v>0.5</v>
      </c>
    </row>
    <row r="818" spans="1:3" x14ac:dyDescent="0.35">
      <c r="A818" s="5">
        <v>43313</v>
      </c>
      <c r="B818" t="s">
        <v>1448</v>
      </c>
      <c r="C818" s="2">
        <v>0.75</v>
      </c>
    </row>
    <row r="819" spans="1:3" x14ac:dyDescent="0.35">
      <c r="A819" s="5">
        <v>43344</v>
      </c>
      <c r="B819" t="s">
        <v>1449</v>
      </c>
      <c r="C819" s="2">
        <v>0.75</v>
      </c>
    </row>
    <row r="820" spans="1:3" x14ac:dyDescent="0.35">
      <c r="A820" s="5">
        <v>43374</v>
      </c>
      <c r="B820" t="s">
        <v>1450</v>
      </c>
      <c r="C820" s="2">
        <v>0.75</v>
      </c>
    </row>
    <row r="821" spans="1:3" x14ac:dyDescent="0.35">
      <c r="A821" s="5">
        <v>43405</v>
      </c>
      <c r="B821" t="s">
        <v>1451</v>
      </c>
      <c r="C821" s="2">
        <v>0.75</v>
      </c>
    </row>
    <row r="822" spans="1:3" x14ac:dyDescent="0.35">
      <c r="A822" s="5">
        <v>43435</v>
      </c>
      <c r="B822" t="s">
        <v>1452</v>
      </c>
      <c r="C822" s="2">
        <v>0.75</v>
      </c>
    </row>
    <row r="823" spans="1:3" x14ac:dyDescent="0.35">
      <c r="A823" s="5">
        <v>43466</v>
      </c>
      <c r="B823" t="s">
        <v>1453</v>
      </c>
      <c r="C823" s="2">
        <v>0.75</v>
      </c>
    </row>
    <row r="824" spans="1:3" x14ac:dyDescent="0.35">
      <c r="A824" s="5">
        <v>43497</v>
      </c>
      <c r="B824" t="s">
        <v>1454</v>
      </c>
      <c r="C824" s="2">
        <v>0.75</v>
      </c>
    </row>
    <row r="825" spans="1:3" x14ac:dyDescent="0.35">
      <c r="A825" s="5">
        <v>43525</v>
      </c>
      <c r="B825" t="s">
        <v>1455</v>
      </c>
      <c r="C825" s="2">
        <v>0.75</v>
      </c>
    </row>
    <row r="826" spans="1:3" x14ac:dyDescent="0.35">
      <c r="A826" s="5">
        <v>43556</v>
      </c>
      <c r="B826" t="s">
        <v>1456</v>
      </c>
      <c r="C826" s="2">
        <v>0.75</v>
      </c>
    </row>
    <row r="827" spans="1:3" x14ac:dyDescent="0.35">
      <c r="A827" s="5">
        <v>43586</v>
      </c>
      <c r="B827" t="s">
        <v>1457</v>
      </c>
      <c r="C827" s="2">
        <v>0.75</v>
      </c>
    </row>
    <row r="828" spans="1:3" x14ac:dyDescent="0.35">
      <c r="A828" s="5">
        <v>43617</v>
      </c>
      <c r="B828" t="s">
        <v>1458</v>
      </c>
      <c r="C828" s="2">
        <v>0.75</v>
      </c>
    </row>
    <row r="829" spans="1:3" x14ac:dyDescent="0.35">
      <c r="A829" s="5">
        <v>43647</v>
      </c>
      <c r="B829" t="s">
        <v>1459</v>
      </c>
      <c r="C829" s="2">
        <v>0.75</v>
      </c>
    </row>
    <row r="830" spans="1:3" x14ac:dyDescent="0.35">
      <c r="A830" s="5">
        <v>43678</v>
      </c>
      <c r="B830" t="s">
        <v>1460</v>
      </c>
      <c r="C830" s="2">
        <v>0.75</v>
      </c>
    </row>
    <row r="831" spans="1:3" x14ac:dyDescent="0.35">
      <c r="A831" s="5">
        <v>43709</v>
      </c>
      <c r="B831" t="s">
        <v>1461</v>
      </c>
      <c r="C831" s="2">
        <v>0.75</v>
      </c>
    </row>
    <row r="832" spans="1:3" x14ac:dyDescent="0.35">
      <c r="A832" s="5">
        <v>43739</v>
      </c>
      <c r="B832" t="s">
        <v>1462</v>
      </c>
      <c r="C832" s="2">
        <v>0.75</v>
      </c>
    </row>
    <row r="833" spans="1:3" x14ac:dyDescent="0.35">
      <c r="A833" s="5">
        <v>43770</v>
      </c>
      <c r="B833" t="s">
        <v>1463</v>
      </c>
      <c r="C833" s="2">
        <v>0.75</v>
      </c>
    </row>
    <row r="834" spans="1:3" x14ac:dyDescent="0.35">
      <c r="A834" s="5">
        <v>43800</v>
      </c>
      <c r="B834" t="s">
        <v>1464</v>
      </c>
      <c r="C834" s="2">
        <v>0.75</v>
      </c>
    </row>
    <row r="835" spans="1:3" x14ac:dyDescent="0.35">
      <c r="A835" s="5">
        <v>43831</v>
      </c>
      <c r="B835" t="s">
        <v>1465</v>
      </c>
      <c r="C835" s="2">
        <v>0.75</v>
      </c>
    </row>
    <row r="836" spans="1:3" x14ac:dyDescent="0.35">
      <c r="A836" s="5">
        <v>43862</v>
      </c>
      <c r="B836" t="s">
        <v>1466</v>
      </c>
      <c r="C836" s="2">
        <v>0.75</v>
      </c>
    </row>
    <row r="837" spans="1:3" x14ac:dyDescent="0.35">
      <c r="A837" s="5">
        <v>43891</v>
      </c>
      <c r="B837" t="s">
        <v>1467</v>
      </c>
      <c r="C837" s="2">
        <v>0.1</v>
      </c>
    </row>
    <row r="838" spans="1:3" x14ac:dyDescent="0.35">
      <c r="A838" s="5">
        <v>43922</v>
      </c>
      <c r="B838" t="s">
        <v>1468</v>
      </c>
      <c r="C838" s="2">
        <v>0.1</v>
      </c>
    </row>
    <row r="839" spans="1:3" x14ac:dyDescent="0.35">
      <c r="A839" s="5">
        <v>43952</v>
      </c>
      <c r="B839" t="s">
        <v>1469</v>
      </c>
      <c r="C839" s="2">
        <v>0.1</v>
      </c>
    </row>
    <row r="840" spans="1:3" x14ac:dyDescent="0.35">
      <c r="A840" s="5">
        <v>43983</v>
      </c>
      <c r="B840" t="s">
        <v>1470</v>
      </c>
      <c r="C840" s="2">
        <v>0.1</v>
      </c>
    </row>
    <row r="841" spans="1:3" x14ac:dyDescent="0.35">
      <c r="A841" s="5">
        <v>44013</v>
      </c>
      <c r="B841" t="s">
        <v>1471</v>
      </c>
      <c r="C841" s="2">
        <v>0.1</v>
      </c>
    </row>
    <row r="842" spans="1:3" x14ac:dyDescent="0.35">
      <c r="A842" s="5">
        <v>44044</v>
      </c>
      <c r="B842" t="s">
        <v>1472</v>
      </c>
      <c r="C842" s="2">
        <v>0.1</v>
      </c>
    </row>
    <row r="843" spans="1:3" x14ac:dyDescent="0.35">
      <c r="A843" s="5">
        <v>44075</v>
      </c>
      <c r="B843" t="s">
        <v>1473</v>
      </c>
      <c r="C843" s="2">
        <v>0.1</v>
      </c>
    </row>
    <row r="844" spans="1:3" x14ac:dyDescent="0.35">
      <c r="A844" s="5">
        <v>44105</v>
      </c>
      <c r="B844" t="s">
        <v>1474</v>
      </c>
      <c r="C844" s="2">
        <v>0.1</v>
      </c>
    </row>
    <row r="845" spans="1:3" x14ac:dyDescent="0.35">
      <c r="A845" s="5">
        <v>44136</v>
      </c>
      <c r="B845" t="s">
        <v>1475</v>
      </c>
      <c r="C845" s="2">
        <v>0.1</v>
      </c>
    </row>
    <row r="846" spans="1:3" x14ac:dyDescent="0.35">
      <c r="A846" s="5">
        <v>44166</v>
      </c>
      <c r="B846" t="s">
        <v>1476</v>
      </c>
      <c r="C846" s="2">
        <v>0.1</v>
      </c>
    </row>
    <row r="847" spans="1:3" x14ac:dyDescent="0.35">
      <c r="A847" s="5">
        <v>44197</v>
      </c>
      <c r="B847" t="s">
        <v>1477</v>
      </c>
      <c r="C847" s="2">
        <v>0.1</v>
      </c>
    </row>
    <row r="848" spans="1:3" x14ac:dyDescent="0.35">
      <c r="A848" s="5">
        <v>44228</v>
      </c>
      <c r="B848" t="s">
        <v>1478</v>
      </c>
      <c r="C848" s="2">
        <v>0.1</v>
      </c>
    </row>
    <row r="849" spans="1:3" x14ac:dyDescent="0.35">
      <c r="A849" s="5">
        <v>44256</v>
      </c>
      <c r="B849" t="s">
        <v>1479</v>
      </c>
      <c r="C849" s="2">
        <v>0.1</v>
      </c>
    </row>
    <row r="850" spans="1:3" x14ac:dyDescent="0.35">
      <c r="A850" s="5">
        <v>44287</v>
      </c>
      <c r="B850" t="s">
        <v>1480</v>
      </c>
      <c r="C850" s="2">
        <v>0.1</v>
      </c>
    </row>
    <row r="851" spans="1:3" x14ac:dyDescent="0.35">
      <c r="A851" s="5">
        <v>44317</v>
      </c>
      <c r="B851" t="s">
        <v>1481</v>
      </c>
      <c r="C851" s="2">
        <v>0.1</v>
      </c>
    </row>
    <row r="852" spans="1:3" x14ac:dyDescent="0.35">
      <c r="A852" s="5">
        <v>44348</v>
      </c>
      <c r="B852" t="s">
        <v>1482</v>
      </c>
      <c r="C852" s="2">
        <v>0.1</v>
      </c>
    </row>
    <row r="853" spans="1:3" x14ac:dyDescent="0.35">
      <c r="A853" s="5">
        <v>44378</v>
      </c>
      <c r="B853" t="s">
        <v>1483</v>
      </c>
      <c r="C853" s="2">
        <v>0.1</v>
      </c>
    </row>
    <row r="854" spans="1:3" x14ac:dyDescent="0.35">
      <c r="A854" s="5">
        <v>44409</v>
      </c>
      <c r="B854" t="s">
        <v>1484</v>
      </c>
      <c r="C854" s="2">
        <v>0.1</v>
      </c>
    </row>
    <row r="855" spans="1:3" x14ac:dyDescent="0.35">
      <c r="A855" s="5">
        <v>44440</v>
      </c>
      <c r="B855" t="s">
        <v>1485</v>
      </c>
      <c r="C855" s="2">
        <v>0.1</v>
      </c>
    </row>
    <row r="856" spans="1:3" x14ac:dyDescent="0.35">
      <c r="A856" s="5">
        <v>44470</v>
      </c>
      <c r="B856" t="s">
        <v>1486</v>
      </c>
      <c r="C856" s="2">
        <v>0.1</v>
      </c>
    </row>
    <row r="857" spans="1:3" x14ac:dyDescent="0.35">
      <c r="A857" s="5">
        <v>44501</v>
      </c>
      <c r="B857" t="s">
        <v>2096</v>
      </c>
      <c r="C857" s="2">
        <v>0.1</v>
      </c>
    </row>
    <row r="858" spans="1:3" x14ac:dyDescent="0.35">
      <c r="A858" s="5">
        <v>44531</v>
      </c>
      <c r="B858" t="s">
        <v>2128</v>
      </c>
      <c r="C858" s="2">
        <v>0.25</v>
      </c>
    </row>
    <row r="859" spans="1:3" x14ac:dyDescent="0.35">
      <c r="A859" s="5">
        <v>44562</v>
      </c>
      <c r="B859" t="s">
        <v>2143</v>
      </c>
      <c r="C859" s="2">
        <v>0.25</v>
      </c>
    </row>
    <row r="860" spans="1:3" x14ac:dyDescent="0.35">
      <c r="A860" s="5">
        <v>44593</v>
      </c>
      <c r="B860" t="s">
        <v>2162</v>
      </c>
      <c r="C860" s="2">
        <v>0.5</v>
      </c>
    </row>
    <row r="861" spans="1:3" x14ac:dyDescent="0.35">
      <c r="A861" s="5">
        <v>44621</v>
      </c>
      <c r="B861" t="s">
        <v>2185</v>
      </c>
      <c r="C861" s="2">
        <v>0.75</v>
      </c>
    </row>
    <row r="862" spans="1:3" x14ac:dyDescent="0.35">
      <c r="A862" s="5">
        <v>44652</v>
      </c>
      <c r="B862" t="s">
        <v>2208</v>
      </c>
      <c r="C862" s="2">
        <v>0.75</v>
      </c>
    </row>
    <row r="863" spans="1:3" x14ac:dyDescent="0.35">
      <c r="A863" s="5">
        <v>44682</v>
      </c>
      <c r="B863" t="s">
        <v>2231</v>
      </c>
      <c r="C863" s="2">
        <v>1</v>
      </c>
    </row>
    <row r="864" spans="1:3" x14ac:dyDescent="0.35">
      <c r="A864" s="5">
        <v>44713</v>
      </c>
      <c r="B864" t="s">
        <v>2266</v>
      </c>
      <c r="C864" s="2">
        <v>1.25</v>
      </c>
    </row>
    <row r="865" spans="1:3" x14ac:dyDescent="0.35">
      <c r="A865" s="5">
        <v>44743</v>
      </c>
      <c r="B865" t="s">
        <v>2276</v>
      </c>
      <c r="C865" s="2">
        <v>1.25</v>
      </c>
    </row>
    <row r="866" spans="1:3" x14ac:dyDescent="0.35">
      <c r="A866" s="5">
        <v>44774</v>
      </c>
      <c r="B866" t="s">
        <v>2303</v>
      </c>
      <c r="C866" s="2">
        <v>1.75</v>
      </c>
    </row>
    <row r="867" spans="1:3" x14ac:dyDescent="0.35">
      <c r="A867" s="5">
        <v>44805</v>
      </c>
      <c r="B867" t="s">
        <v>2380</v>
      </c>
      <c r="C867" s="2">
        <v>2.25</v>
      </c>
    </row>
    <row r="868" spans="1:3" x14ac:dyDescent="0.35">
      <c r="A868" s="5">
        <v>44835</v>
      </c>
      <c r="B868" t="s">
        <v>2402</v>
      </c>
      <c r="C868" s="2">
        <v>2.25</v>
      </c>
    </row>
    <row r="869" spans="1:3" x14ac:dyDescent="0.35">
      <c r="A869" s="5">
        <v>44866</v>
      </c>
      <c r="B869" t="s">
        <v>2426</v>
      </c>
      <c r="C869" s="2">
        <v>3</v>
      </c>
    </row>
    <row r="870" spans="1:3" x14ac:dyDescent="0.35">
      <c r="A870" s="5">
        <v>44896</v>
      </c>
      <c r="B870" t="s">
        <v>2456</v>
      </c>
      <c r="C870" s="2">
        <v>3.5</v>
      </c>
    </row>
    <row r="871" spans="1:3" x14ac:dyDescent="0.35">
      <c r="A871" s="5">
        <v>44927</v>
      </c>
      <c r="B871" t="s">
        <v>2472</v>
      </c>
      <c r="C871" s="2">
        <v>3.5</v>
      </c>
    </row>
    <row r="872" spans="1:3" x14ac:dyDescent="0.35">
      <c r="A872" s="5">
        <v>44958</v>
      </c>
      <c r="B872" t="s">
        <v>2495</v>
      </c>
      <c r="C872" s="2">
        <v>4</v>
      </c>
    </row>
    <row r="873" spans="1:3" x14ac:dyDescent="0.35">
      <c r="A873" s="5">
        <v>44986</v>
      </c>
      <c r="B873" t="s">
        <v>2513</v>
      </c>
      <c r="C873" s="2">
        <v>4.25</v>
      </c>
    </row>
    <row r="874" spans="1:3" x14ac:dyDescent="0.35">
      <c r="A874" s="5">
        <v>45017</v>
      </c>
      <c r="B874" t="s">
        <v>2543</v>
      </c>
      <c r="C874" s="2">
        <v>4.25</v>
      </c>
    </row>
    <row r="875" spans="1:3" x14ac:dyDescent="0.35">
      <c r="A875" s="5">
        <v>45047</v>
      </c>
      <c r="B875" t="s">
        <v>2569</v>
      </c>
      <c r="C875" s="2">
        <v>4.5</v>
      </c>
    </row>
    <row r="876" spans="1:3" x14ac:dyDescent="0.35">
      <c r="A876" s="5">
        <v>45078</v>
      </c>
      <c r="B876" t="s">
        <v>2590</v>
      </c>
      <c r="C876" s="2">
        <v>5</v>
      </c>
    </row>
    <row r="877" spans="1:3" x14ac:dyDescent="0.35">
      <c r="A877" s="5">
        <v>45108</v>
      </c>
      <c r="B877" t="s">
        <v>2612</v>
      </c>
      <c r="C877" s="2">
        <v>5</v>
      </c>
    </row>
    <row r="878" spans="1:3" x14ac:dyDescent="0.35">
      <c r="A878" s="5">
        <v>45139</v>
      </c>
      <c r="B878" t="s">
        <v>2638</v>
      </c>
      <c r="C878" s="2">
        <v>5.25</v>
      </c>
    </row>
    <row r="879" spans="1:3" x14ac:dyDescent="0.35">
      <c r="A879" s="5">
        <v>45170</v>
      </c>
      <c r="B879" t="s">
        <v>2667</v>
      </c>
      <c r="C879" s="2">
        <v>5.25</v>
      </c>
    </row>
    <row r="880" spans="1:3" x14ac:dyDescent="0.35">
      <c r="A880" s="5">
        <v>45200</v>
      </c>
      <c r="B880" t="s">
        <v>2685</v>
      </c>
      <c r="C880" s="2">
        <v>5.25</v>
      </c>
    </row>
    <row r="881" spans="1:3" x14ac:dyDescent="0.35">
      <c r="A881" s="5">
        <v>45231</v>
      </c>
      <c r="B881" t="s">
        <v>2711</v>
      </c>
      <c r="C881" s="2">
        <v>5.25</v>
      </c>
    </row>
    <row r="882" spans="1:3" x14ac:dyDescent="0.35">
      <c r="A882" s="5">
        <v>45261</v>
      </c>
      <c r="B882" t="s">
        <v>2735</v>
      </c>
      <c r="C882" s="2">
        <v>5.25</v>
      </c>
    </row>
    <row r="883" spans="1:3" x14ac:dyDescent="0.35">
      <c r="A883" s="5">
        <v>45292</v>
      </c>
      <c r="B883" t="s">
        <v>2762</v>
      </c>
      <c r="C883" s="2">
        <v>5.25</v>
      </c>
    </row>
    <row r="884" spans="1:3" x14ac:dyDescent="0.35">
      <c r="A884" s="5">
        <v>45323</v>
      </c>
      <c r="B884" t="s">
        <v>2794</v>
      </c>
      <c r="C884" s="2">
        <v>5.25</v>
      </c>
    </row>
    <row r="885" spans="1:3" x14ac:dyDescent="0.35">
      <c r="A885" s="5">
        <v>45352</v>
      </c>
      <c r="B885" t="s">
        <v>2813</v>
      </c>
      <c r="C885" s="2">
        <v>5.25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9095-0181-4DD2-99E0-91229F4FD87E}">
  <sheetPr codeName="Sheet8"/>
  <dimension ref="A1:D318"/>
  <sheetViews>
    <sheetView workbookViewId="0">
      <pane xSplit="3" ySplit="6" topLeftCell="D201" activePane="bottomRight" state="frozen"/>
      <selection pane="topRight" activeCell="C1" sqref="C1"/>
      <selection pane="bottomLeft" activeCell="A7" sqref="A7"/>
      <selection pane="bottomRight" activeCell="D213" sqref="D213"/>
    </sheetView>
  </sheetViews>
  <sheetFormatPr defaultColWidth="9.1796875" defaultRowHeight="14.5" x14ac:dyDescent="0.35"/>
  <cols>
    <col min="1" max="1" width="10.7265625" style="18" bestFit="1" customWidth="1"/>
    <col min="2" max="2" width="5" style="18" bestFit="1" customWidth="1"/>
    <col min="3" max="3" width="9.1796875" style="18"/>
    <col min="4" max="4" width="17.54296875" style="18" bestFit="1" customWidth="1"/>
    <col min="5" max="16384" width="9.1796875" style="18"/>
  </cols>
  <sheetData>
    <row r="1" spans="1:4" x14ac:dyDescent="0.35">
      <c r="D1" s="18" t="str">
        <f>GMW!C2</f>
        <v>APR017I</v>
      </c>
    </row>
    <row r="2" spans="1:4" x14ac:dyDescent="0.35">
      <c r="D2" s="18" t="s">
        <v>1188</v>
      </c>
    </row>
    <row r="3" spans="1:4" x14ac:dyDescent="0.35">
      <c r="D3" s="18" t="s">
        <v>873</v>
      </c>
    </row>
    <row r="4" spans="1:4" x14ac:dyDescent="0.35">
      <c r="D4" s="18" t="s">
        <v>872</v>
      </c>
    </row>
    <row r="5" spans="1:4" x14ac:dyDescent="0.35">
      <c r="D5" s="18" t="s">
        <v>1187</v>
      </c>
    </row>
    <row r="6" spans="1:4" x14ac:dyDescent="0.35">
      <c r="C6" s="18">
        <f>C318+5</f>
        <v>2289</v>
      </c>
      <c r="D6" s="19" t="str" cm="1">
        <f t="array" ref="D6">_xlfn.CONCAT(INDEX(GMW!$A$2:$LR$200,MATCH(1,(GMW!$LQ$2:$LQ$200=D$3)*(GMW!$LP$2:$LP$200=D$4),0),$C6-1966),"0",(INDEX(GMW!$A$2:$LR$200,MATCH(1,(GMW!$LQ$2:$LQ$200=D$3)*(GMW!$LP$2:$LP$200=D$4),0),$C6-1965)))</f>
        <v>202401</v>
      </c>
    </row>
    <row r="7" spans="1:4" x14ac:dyDescent="0.35">
      <c r="A7" s="20">
        <v>26665</v>
      </c>
      <c r="B7" s="18">
        <v>1973</v>
      </c>
      <c r="C7" s="18">
        <v>1973</v>
      </c>
      <c r="D7" s="18" cm="1">
        <f t="array" ref="D7">INDEX(GMW!$A$2:$LR$200,MATCH(1,(GMW!$LQ$2:$LQ$200=D$3)*(GMW!$LP$2:$LP$200=D$4),0),$C7-1966)</f>
        <v>8.5</v>
      </c>
    </row>
    <row r="8" spans="1:4" x14ac:dyDescent="0.35">
      <c r="A8" s="20">
        <v>26755</v>
      </c>
      <c r="C8" s="18">
        <f>+C7+1</f>
        <v>1974</v>
      </c>
      <c r="D8" s="18" cm="1">
        <f t="array" ref="D8">INDEX(GMW!$A$2:$LR$200,MATCH(1,(GMW!$LQ$2:$LQ$200=D$3)*(GMW!$LP$2:$LP$200=D$4),0),$C8-1966)</f>
        <v>7.5</v>
      </c>
    </row>
    <row r="9" spans="1:4" x14ac:dyDescent="0.35">
      <c r="A9" s="20">
        <v>26846</v>
      </c>
      <c r="C9" s="18">
        <f t="shared" ref="C9:C47" si="0">+C8+1</f>
        <v>1975</v>
      </c>
      <c r="D9" s="18" cm="1">
        <f t="array" ref="D9">INDEX(GMW!$A$2:$LR$200,MATCH(1,(GMW!$LQ$2:$LQ$200=D$3)*(GMW!$LP$2:$LP$200=D$4),0),$C9-1966)</f>
        <v>11.5</v>
      </c>
    </row>
    <row r="10" spans="1:4" x14ac:dyDescent="0.35">
      <c r="A10" s="20">
        <v>26938</v>
      </c>
      <c r="C10" s="18">
        <f t="shared" si="0"/>
        <v>1976</v>
      </c>
      <c r="D10" s="18" cm="1">
        <f t="array" ref="D10">INDEX(GMW!$A$2:$LR$200,MATCH(1,(GMW!$LQ$2:$LQ$200=D$3)*(GMW!$LP$2:$LP$200=D$4),0),$C10-1966)</f>
        <v>13</v>
      </c>
    </row>
    <row r="11" spans="1:4" x14ac:dyDescent="0.35">
      <c r="A11" s="20">
        <v>27030</v>
      </c>
      <c r="B11" s="18">
        <v>1974</v>
      </c>
      <c r="C11" s="18">
        <f t="shared" si="0"/>
        <v>1977</v>
      </c>
      <c r="D11" s="18" cm="1">
        <f t="array" ref="D11">INDEX(GMW!$A$2:$LR$200,MATCH(1,(GMW!$LQ$2:$LQ$200=D$3)*(GMW!$LP$2:$LP$200=D$4),0),$C11-1966)</f>
        <v>12.5</v>
      </c>
    </row>
    <row r="12" spans="1:4" x14ac:dyDescent="0.35">
      <c r="A12" s="20">
        <v>27120</v>
      </c>
      <c r="C12" s="18">
        <f t="shared" si="0"/>
        <v>1978</v>
      </c>
      <c r="D12" s="18" cm="1">
        <f t="array" ref="D12">INDEX(GMW!$A$2:$LR$200,MATCH(1,(GMW!$LQ$2:$LQ$200=D$3)*(GMW!$LP$2:$LP$200=D$4),0),$C12-1966)</f>
        <v>11.75</v>
      </c>
    </row>
    <row r="13" spans="1:4" x14ac:dyDescent="0.35">
      <c r="A13" s="20">
        <v>27211</v>
      </c>
      <c r="C13" s="18">
        <f t="shared" si="0"/>
        <v>1979</v>
      </c>
      <c r="D13" s="18" cm="1">
        <f t="array" ref="D13">INDEX(GMW!$A$2:$LR$200,MATCH(1,(GMW!$LQ$2:$LQ$200=D$3)*(GMW!$LP$2:$LP$200=D$4),0),$C13-1966)</f>
        <v>11.5</v>
      </c>
    </row>
    <row r="14" spans="1:4" x14ac:dyDescent="0.35">
      <c r="A14" s="20">
        <v>27303</v>
      </c>
      <c r="C14" s="18">
        <f t="shared" si="0"/>
        <v>1980</v>
      </c>
      <c r="D14" s="18" cm="1">
        <f t="array" ref="D14">INDEX(GMW!$A$2:$LR$200,MATCH(1,(GMW!$LQ$2:$LQ$200=D$3)*(GMW!$LP$2:$LP$200=D$4),0),$C14-1966)</f>
        <v>11.5</v>
      </c>
    </row>
    <row r="15" spans="1:4" x14ac:dyDescent="0.35">
      <c r="A15" s="20">
        <v>27395</v>
      </c>
      <c r="B15" s="18">
        <v>1975</v>
      </c>
      <c r="C15" s="18">
        <f t="shared" si="0"/>
        <v>1981</v>
      </c>
      <c r="D15" s="18" cm="1">
        <f t="array" ref="D15">INDEX(GMW!$A$2:$LR$200,MATCH(1,(GMW!$LQ$2:$LQ$200=D$3)*(GMW!$LP$2:$LP$200=D$4),0),$C15-1966)</f>
        <v>10</v>
      </c>
    </row>
    <row r="16" spans="1:4" x14ac:dyDescent="0.35">
      <c r="A16" s="20">
        <v>27485</v>
      </c>
      <c r="C16" s="18">
        <f t="shared" si="0"/>
        <v>1982</v>
      </c>
      <c r="D16" s="18" cm="1">
        <f t="array" ref="D16">INDEX(GMW!$A$2:$LR$200,MATCH(1,(GMW!$LQ$2:$LQ$200=D$3)*(GMW!$LP$2:$LP$200=D$4),0),$C16-1966)</f>
        <v>10</v>
      </c>
    </row>
    <row r="17" spans="1:4" x14ac:dyDescent="0.35">
      <c r="A17" s="20">
        <v>27576</v>
      </c>
      <c r="C17" s="18">
        <f t="shared" si="0"/>
        <v>1983</v>
      </c>
      <c r="D17" s="18" cm="1">
        <f t="array" ref="D17">INDEX(GMW!$A$2:$LR$200,MATCH(1,(GMW!$LQ$2:$LQ$200=D$3)*(GMW!$LP$2:$LP$200=D$4),0),$C17-1966)</f>
        <v>11</v>
      </c>
    </row>
    <row r="18" spans="1:4" x14ac:dyDescent="0.35">
      <c r="A18" s="20">
        <v>27668</v>
      </c>
      <c r="C18" s="18">
        <f t="shared" si="0"/>
        <v>1984</v>
      </c>
      <c r="D18" s="18" cm="1">
        <f t="array" ref="D18">INDEX(GMW!$A$2:$LR$200,MATCH(1,(GMW!$LQ$2:$LQ$200=D$3)*(GMW!$LP$2:$LP$200=D$4),0),$C18-1966)</f>
        <v>11.25</v>
      </c>
    </row>
    <row r="19" spans="1:4" x14ac:dyDescent="0.35">
      <c r="A19" s="20">
        <v>27760</v>
      </c>
      <c r="B19" s="18">
        <v>1976</v>
      </c>
      <c r="C19" s="18">
        <f t="shared" si="0"/>
        <v>1985</v>
      </c>
      <c r="D19" s="18" cm="1">
        <f t="array" ref="D19">INDEX(GMW!$A$2:$LR$200,MATCH(1,(GMW!$LQ$2:$LQ$200=D$3)*(GMW!$LP$2:$LP$200=D$4),0),$C19-1966)</f>
        <v>9</v>
      </c>
    </row>
    <row r="20" spans="1:4" x14ac:dyDescent="0.35">
      <c r="A20" s="20">
        <v>27851</v>
      </c>
      <c r="C20" s="18">
        <f t="shared" si="0"/>
        <v>1986</v>
      </c>
      <c r="D20" s="18" cm="1">
        <f t="array" ref="D20">INDEX(GMW!$A$2:$LR$200,MATCH(1,(GMW!$LQ$2:$LQ$200=D$3)*(GMW!$LP$2:$LP$200=D$4),0),$C20-1966)</f>
        <v>11.5</v>
      </c>
    </row>
    <row r="21" spans="1:4" x14ac:dyDescent="0.35">
      <c r="A21" s="20">
        <v>27942</v>
      </c>
      <c r="C21" s="18">
        <f t="shared" si="0"/>
        <v>1987</v>
      </c>
      <c r="D21" s="18" cm="1">
        <f t="array" ref="D21">INDEX(GMW!$A$2:$LR$200,MATCH(1,(GMW!$LQ$2:$LQ$200=D$3)*(GMW!$LP$2:$LP$200=D$4),0),$C21-1966)</f>
        <v>13</v>
      </c>
    </row>
    <row r="22" spans="1:4" x14ac:dyDescent="0.35">
      <c r="A22" s="20">
        <v>28034</v>
      </c>
      <c r="C22" s="18">
        <f t="shared" si="0"/>
        <v>1988</v>
      </c>
      <c r="D22" s="18" cm="1">
        <f t="array" ref="D22">INDEX(GMW!$A$2:$LR$200,MATCH(1,(GMW!$LQ$2:$LQ$200=D$3)*(GMW!$LP$2:$LP$200=D$4),0),$C22-1966)</f>
        <v>14.25</v>
      </c>
    </row>
    <row r="23" spans="1:4" x14ac:dyDescent="0.35">
      <c r="A23" s="20">
        <v>28126</v>
      </c>
      <c r="B23" s="18">
        <v>1977</v>
      </c>
      <c r="C23" s="18">
        <f t="shared" si="0"/>
        <v>1989</v>
      </c>
      <c r="D23" s="18" cm="1">
        <f t="array" ref="D23">INDEX(GMW!$A$2:$LR$200,MATCH(1,(GMW!$LQ$2:$LQ$200=D$3)*(GMW!$LP$2:$LP$200=D$4),0),$C23-1966)</f>
        <v>9.5</v>
      </c>
    </row>
    <row r="24" spans="1:4" x14ac:dyDescent="0.35">
      <c r="A24" s="20">
        <v>28216</v>
      </c>
      <c r="C24" s="18">
        <f t="shared" si="0"/>
        <v>1990</v>
      </c>
      <c r="D24" s="18" cm="1">
        <f t="array" ref="D24">INDEX(GMW!$A$2:$LR$200,MATCH(1,(GMW!$LQ$2:$LQ$200=D$3)*(GMW!$LP$2:$LP$200=D$4),0),$C24-1966)</f>
        <v>8</v>
      </c>
    </row>
    <row r="25" spans="1:4" x14ac:dyDescent="0.35">
      <c r="A25" s="20">
        <v>28307</v>
      </c>
      <c r="C25" s="18">
        <f t="shared" si="0"/>
        <v>1991</v>
      </c>
      <c r="D25" s="18" cm="1">
        <f t="array" ref="D25">INDEX(GMW!$A$2:$LR$200,MATCH(1,(GMW!$LQ$2:$LQ$200=D$3)*(GMW!$LP$2:$LP$200=D$4),0),$C25-1966)</f>
        <v>6</v>
      </c>
    </row>
    <row r="26" spans="1:4" x14ac:dyDescent="0.35">
      <c r="A26" s="20">
        <v>28399</v>
      </c>
      <c r="C26" s="18">
        <f t="shared" si="0"/>
        <v>1992</v>
      </c>
      <c r="D26" s="18" cm="1">
        <f t="array" ref="D26">INDEX(GMW!$A$2:$LR$200,MATCH(1,(GMW!$LQ$2:$LQ$200=D$3)*(GMW!$LP$2:$LP$200=D$4),0),$C26-1966)</f>
        <v>7</v>
      </c>
    </row>
    <row r="27" spans="1:4" x14ac:dyDescent="0.35">
      <c r="A27" s="20">
        <v>28491</v>
      </c>
      <c r="B27" s="18">
        <v>1978</v>
      </c>
      <c r="C27" s="18">
        <f t="shared" si="0"/>
        <v>1993</v>
      </c>
      <c r="D27" s="18" cm="1">
        <f t="array" ref="D27">INDEX(GMW!$A$2:$LR$200,MATCH(1,(GMW!$LQ$2:$LQ$200=D$3)*(GMW!$LP$2:$LP$200=D$4),0),$C27-1966)</f>
        <v>6.5</v>
      </c>
    </row>
    <row r="28" spans="1:4" x14ac:dyDescent="0.35">
      <c r="A28" s="20">
        <v>28581</v>
      </c>
      <c r="C28" s="18">
        <f t="shared" si="0"/>
        <v>1994</v>
      </c>
      <c r="D28" s="18" cm="1">
        <f t="array" ref="D28">INDEX(GMW!$A$2:$LR$200,MATCH(1,(GMW!$LQ$2:$LQ$200=D$3)*(GMW!$LP$2:$LP$200=D$4),0),$C28-1966)</f>
        <v>10</v>
      </c>
    </row>
    <row r="29" spans="1:4" x14ac:dyDescent="0.35">
      <c r="A29" s="20">
        <v>28672</v>
      </c>
      <c r="C29" s="18">
        <f t="shared" si="0"/>
        <v>1995</v>
      </c>
      <c r="D29" s="18" cm="1">
        <f t="array" ref="D29">INDEX(GMW!$A$2:$LR$200,MATCH(1,(GMW!$LQ$2:$LQ$200=D$3)*(GMW!$LP$2:$LP$200=D$4),0),$C29-1966)</f>
        <v>10</v>
      </c>
    </row>
    <row r="30" spans="1:4" x14ac:dyDescent="0.35">
      <c r="A30" s="20">
        <v>28764</v>
      </c>
      <c r="C30" s="18">
        <f t="shared" si="0"/>
        <v>1996</v>
      </c>
      <c r="D30" s="18" cm="1">
        <f t="array" ref="D30">INDEX(GMW!$A$2:$LR$200,MATCH(1,(GMW!$LQ$2:$LQ$200=D$3)*(GMW!$LP$2:$LP$200=D$4),0),$C30-1966)</f>
        <v>12.5</v>
      </c>
    </row>
    <row r="31" spans="1:4" x14ac:dyDescent="0.35">
      <c r="A31" s="20">
        <v>28856</v>
      </c>
      <c r="B31" s="18">
        <v>1979</v>
      </c>
      <c r="C31" s="18">
        <f t="shared" si="0"/>
        <v>1997</v>
      </c>
      <c r="D31" s="18" cm="1">
        <f t="array" ref="D31">INDEX(GMW!$A$2:$LR$200,MATCH(1,(GMW!$LQ$2:$LQ$200=D$3)*(GMW!$LP$2:$LP$200=D$4),0),$C31-1966)</f>
        <v>13</v>
      </c>
    </row>
    <row r="32" spans="1:4" x14ac:dyDescent="0.35">
      <c r="A32" s="20">
        <v>28946</v>
      </c>
      <c r="C32" s="18">
        <f t="shared" si="0"/>
        <v>1998</v>
      </c>
      <c r="D32" s="18" cm="1">
        <f t="array" ref="D32">INDEX(GMW!$A$2:$LR$200,MATCH(1,(GMW!$LQ$2:$LQ$200=D$3)*(GMW!$LP$2:$LP$200=D$4),0),$C32-1966)</f>
        <v>14</v>
      </c>
    </row>
    <row r="33" spans="1:4" x14ac:dyDescent="0.35">
      <c r="A33" s="20">
        <v>29037</v>
      </c>
      <c r="C33" s="18">
        <f t="shared" si="0"/>
        <v>1999</v>
      </c>
      <c r="D33" s="18" cm="1">
        <f t="array" ref="D33">INDEX(GMW!$A$2:$LR$200,MATCH(1,(GMW!$LQ$2:$LQ$200=D$3)*(GMW!$LP$2:$LP$200=D$4),0),$C33-1966)</f>
        <v>14</v>
      </c>
    </row>
    <row r="34" spans="1:4" x14ac:dyDescent="0.35">
      <c r="A34" s="20">
        <v>29129</v>
      </c>
      <c r="C34" s="18">
        <f t="shared" si="0"/>
        <v>2000</v>
      </c>
      <c r="D34" s="18" cm="1">
        <f t="array" ref="D34">INDEX(GMW!$A$2:$LR$200,MATCH(1,(GMW!$LQ$2:$LQ$200=D$3)*(GMW!$LP$2:$LP$200=D$4),0),$C34-1966)</f>
        <v>17</v>
      </c>
    </row>
    <row r="35" spans="1:4" x14ac:dyDescent="0.35">
      <c r="A35" s="20">
        <v>29221</v>
      </c>
      <c r="B35" s="18">
        <v>1980</v>
      </c>
      <c r="C35" s="18">
        <f t="shared" si="0"/>
        <v>2001</v>
      </c>
      <c r="D35" s="18" cm="1">
        <f t="array" ref="D35">INDEX(GMW!$A$2:$LR$200,MATCH(1,(GMW!$LQ$2:$LQ$200=D$3)*(GMW!$LP$2:$LP$200=D$4),0),$C35-1966)</f>
        <v>17</v>
      </c>
    </row>
    <row r="36" spans="1:4" x14ac:dyDescent="0.35">
      <c r="A36" s="20">
        <v>29312</v>
      </c>
      <c r="C36" s="18">
        <f t="shared" si="0"/>
        <v>2002</v>
      </c>
      <c r="D36" s="18" cm="1">
        <f t="array" ref="D36">INDEX(GMW!$A$2:$LR$200,MATCH(1,(GMW!$LQ$2:$LQ$200=D$3)*(GMW!$LP$2:$LP$200=D$4),0),$C36-1966)</f>
        <v>17</v>
      </c>
    </row>
    <row r="37" spans="1:4" x14ac:dyDescent="0.35">
      <c r="A37" s="20">
        <v>29403</v>
      </c>
      <c r="C37" s="18">
        <f t="shared" si="0"/>
        <v>2003</v>
      </c>
      <c r="D37" s="18" cm="1">
        <f t="array" ref="D37">INDEX(GMW!$A$2:$LR$200,MATCH(1,(GMW!$LQ$2:$LQ$200=D$3)*(GMW!$LP$2:$LP$200=D$4),0),$C37-1966)</f>
        <v>16</v>
      </c>
    </row>
    <row r="38" spans="1:4" x14ac:dyDescent="0.35">
      <c r="A38" s="20">
        <v>29495</v>
      </c>
      <c r="C38" s="18">
        <f t="shared" si="0"/>
        <v>2004</v>
      </c>
      <c r="D38" s="18" cm="1">
        <f t="array" ref="D38">INDEX(GMW!$A$2:$LR$200,MATCH(1,(GMW!$LQ$2:$LQ$200=D$3)*(GMW!$LP$2:$LP$200=D$4),0),$C38-1966)</f>
        <v>14</v>
      </c>
    </row>
    <row r="39" spans="1:4" x14ac:dyDescent="0.35">
      <c r="A39" s="20">
        <v>29587</v>
      </c>
      <c r="B39" s="18">
        <v>1981</v>
      </c>
      <c r="C39" s="18">
        <f t="shared" si="0"/>
        <v>2005</v>
      </c>
      <c r="D39" s="18" cm="1">
        <f t="array" ref="D39">INDEX(GMW!$A$2:$LR$200,MATCH(1,(GMW!$LQ$2:$LQ$200=D$3)*(GMW!$LP$2:$LP$200=D$4),0),$C39-1966)</f>
        <v>12</v>
      </c>
    </row>
    <row r="40" spans="1:4" x14ac:dyDescent="0.35">
      <c r="A40" s="20">
        <v>29677</v>
      </c>
      <c r="C40" s="18">
        <f t="shared" si="0"/>
        <v>2006</v>
      </c>
      <c r="D40" s="18" cm="1">
        <f t="array" ref="D40">INDEX(GMW!$A$2:$LR$200,MATCH(1,(GMW!$LQ$2:$LQ$200=D$3)*(GMW!$LP$2:$LP$200=D$4),0),$C40-1966)</f>
        <v>12</v>
      </c>
    </row>
    <row r="41" spans="1:4" x14ac:dyDescent="0.35">
      <c r="A41" s="20">
        <v>29768</v>
      </c>
      <c r="C41" s="18">
        <f t="shared" si="0"/>
        <v>2007</v>
      </c>
      <c r="D41" s="18" cm="1">
        <f t="array" ref="D41">INDEX(GMW!$A$2:$LR$200,MATCH(1,(GMW!$LQ$2:$LQ$200=D$3)*(GMW!$LP$2:$LP$200=D$4),0),$C41-1966)</f>
        <v>14</v>
      </c>
    </row>
    <row r="42" spans="1:4" x14ac:dyDescent="0.35">
      <c r="A42" s="20">
        <v>29860</v>
      </c>
      <c r="C42" s="18">
        <f t="shared" si="0"/>
        <v>2008</v>
      </c>
      <c r="D42" s="18" cm="1">
        <f t="array" ref="D42">INDEX(GMW!$A$2:$LR$200,MATCH(1,(GMW!$LQ$2:$LQ$200=D$3)*(GMW!$LP$2:$LP$200=D$4),0),$C42-1966)</f>
        <v>14.375</v>
      </c>
    </row>
    <row r="43" spans="1:4" x14ac:dyDescent="0.35">
      <c r="A43" s="20">
        <v>29952</v>
      </c>
      <c r="B43" s="18">
        <v>1982</v>
      </c>
      <c r="C43" s="18">
        <f t="shared" si="0"/>
        <v>2009</v>
      </c>
      <c r="D43" s="18" cm="1">
        <f t="array" ref="D43">INDEX(GMW!$A$2:$LR$200,MATCH(1,(GMW!$LQ$2:$LQ$200=D$3)*(GMW!$LP$2:$LP$200=D$4),0),$C43-1966)</f>
        <v>13.25</v>
      </c>
    </row>
    <row r="44" spans="1:4" x14ac:dyDescent="0.35">
      <c r="A44" s="20">
        <v>30042</v>
      </c>
      <c r="C44" s="18">
        <f t="shared" si="0"/>
        <v>2010</v>
      </c>
      <c r="D44" s="18" cm="1">
        <f t="array" ref="D44">INDEX(GMW!$A$2:$LR$200,MATCH(1,(GMW!$LQ$2:$LQ$200=D$3)*(GMW!$LP$2:$LP$200=D$4),0),$C44-1966)</f>
        <v>12.625</v>
      </c>
    </row>
    <row r="45" spans="1:4" x14ac:dyDescent="0.35">
      <c r="A45" s="20">
        <v>30133</v>
      </c>
      <c r="C45" s="18">
        <f t="shared" si="0"/>
        <v>2011</v>
      </c>
      <c r="D45" s="18" cm="1">
        <f t="array" ref="D45">INDEX(GMW!$A$2:$LR$200,MATCH(1,(GMW!$LQ$2:$LQ$200=D$3)*(GMW!$LP$2:$LP$200=D$4),0),$C45-1966)</f>
        <v>10.125</v>
      </c>
    </row>
    <row r="46" spans="1:4" x14ac:dyDescent="0.35">
      <c r="A46" s="20">
        <v>30225</v>
      </c>
      <c r="C46" s="18">
        <f t="shared" si="0"/>
        <v>2012</v>
      </c>
      <c r="D46" s="18" cm="1">
        <f t="array" ref="D46">INDEX(GMW!$A$2:$LR$200,MATCH(1,(GMW!$LQ$2:$LQ$200=D$3)*(GMW!$LP$2:$LP$200=D$4),0),$C46-1966)</f>
        <v>10</v>
      </c>
    </row>
    <row r="47" spans="1:4" x14ac:dyDescent="0.35">
      <c r="A47" s="20">
        <v>30317</v>
      </c>
      <c r="B47" s="18">
        <v>1983</v>
      </c>
      <c r="C47" s="18">
        <f t="shared" si="0"/>
        <v>2013</v>
      </c>
      <c r="D47" s="18" cm="1">
        <f t="array" ref="D47">INDEX(GMW!$A$2:$LR$200,MATCH(1,(GMW!$LQ$2:$LQ$200=D$3)*(GMW!$LP$2:$LP$200=D$4),0),$C47-1966)</f>
        <v>10.5625</v>
      </c>
    </row>
    <row r="48" spans="1:4" x14ac:dyDescent="0.35">
      <c r="A48" s="20">
        <v>30407</v>
      </c>
      <c r="C48" s="18">
        <f>+C47+1</f>
        <v>2014</v>
      </c>
      <c r="D48" s="18" cm="1">
        <f t="array" ref="D48">INDEX(GMW!$A$2:$LR$200,MATCH(1,(GMW!$LQ$2:$LQ$200=D$3)*(GMW!$LP$2:$LP$200=D$4),0),$C48-1966)</f>
        <v>9.5625</v>
      </c>
    </row>
    <row r="49" spans="1:4" x14ac:dyDescent="0.35">
      <c r="A49" s="20">
        <v>30498</v>
      </c>
      <c r="C49" s="18">
        <f t="shared" ref="C49:C112" si="1">+C48+1</f>
        <v>2015</v>
      </c>
      <c r="D49" s="18" cm="1">
        <f t="array" ref="D49">INDEX(GMW!$A$2:$LR$200,MATCH(1,(GMW!$LQ$2:$LQ$200=D$3)*(GMW!$LP$2:$LP$200=D$4),0),$C49-1966)</f>
        <v>9.5625</v>
      </c>
    </row>
    <row r="50" spans="1:4" x14ac:dyDescent="0.35">
      <c r="A50" s="20">
        <v>30590</v>
      </c>
      <c r="C50" s="18">
        <f t="shared" si="1"/>
        <v>2016</v>
      </c>
      <c r="D50" s="18" cm="1">
        <f t="array" ref="D50">INDEX(GMW!$A$2:$LR$200,MATCH(1,(GMW!$LQ$2:$LQ$200=D$3)*(GMW!$LP$2:$LP$200=D$4),0),$C50-1966)</f>
        <v>9.0625</v>
      </c>
    </row>
    <row r="51" spans="1:4" x14ac:dyDescent="0.35">
      <c r="A51" s="20">
        <v>30682</v>
      </c>
      <c r="B51" s="18">
        <v>1984</v>
      </c>
      <c r="C51" s="18">
        <f t="shared" si="1"/>
        <v>2017</v>
      </c>
      <c r="D51" s="18" cm="1">
        <f t="array" ref="D51">INDEX(GMW!$A$2:$LR$200,MATCH(1,(GMW!$LQ$2:$LQ$200=D$3)*(GMW!$LP$2:$LP$200=D$4),0),$C51-1966)</f>
        <v>8.5625</v>
      </c>
    </row>
    <row r="52" spans="1:4" x14ac:dyDescent="0.35">
      <c r="A52" s="20">
        <v>30773</v>
      </c>
      <c r="C52" s="18">
        <f t="shared" si="1"/>
        <v>2018</v>
      </c>
      <c r="D52" s="18" cm="1">
        <f t="array" ref="D52">INDEX(GMW!$A$2:$LR$200,MATCH(1,(GMW!$LQ$2:$LQ$200=D$3)*(GMW!$LP$2:$LP$200=D$4),0),$C52-1966)</f>
        <v>8.875</v>
      </c>
    </row>
    <row r="53" spans="1:4" x14ac:dyDescent="0.35">
      <c r="A53" s="20">
        <v>30864</v>
      </c>
      <c r="C53" s="18">
        <f t="shared" si="1"/>
        <v>2019</v>
      </c>
      <c r="D53" s="18" cm="1">
        <f t="array" ref="D53">INDEX(GMW!$A$2:$LR$200,MATCH(1,(GMW!$LQ$2:$LQ$200=D$3)*(GMW!$LP$2:$LP$200=D$4),0),$C53-1966)</f>
        <v>10.5</v>
      </c>
    </row>
    <row r="54" spans="1:4" x14ac:dyDescent="0.35">
      <c r="A54" s="20">
        <v>30956</v>
      </c>
      <c r="C54" s="18">
        <f t="shared" si="1"/>
        <v>2020</v>
      </c>
      <c r="D54" s="18" cm="1">
        <f t="array" ref="D54">INDEX(GMW!$A$2:$LR$200,MATCH(1,(GMW!$LQ$2:$LQ$200=D$3)*(GMW!$LP$2:$LP$200=D$4),0),$C54-1966)</f>
        <v>9.5</v>
      </c>
    </row>
    <row r="55" spans="1:4" x14ac:dyDescent="0.35">
      <c r="A55" s="20">
        <v>31048</v>
      </c>
      <c r="B55" s="18">
        <v>1985</v>
      </c>
      <c r="C55" s="18">
        <f t="shared" si="1"/>
        <v>2021</v>
      </c>
      <c r="D55" s="18" cm="1">
        <f t="array" ref="D55">INDEX(GMW!$A$2:$LR$200,MATCH(1,(GMW!$LQ$2:$LQ$200=D$3)*(GMW!$LP$2:$LP$200=D$4),0),$C55-1966)</f>
        <v>12.875</v>
      </c>
    </row>
    <row r="56" spans="1:4" x14ac:dyDescent="0.35">
      <c r="A56" s="20">
        <v>31138</v>
      </c>
      <c r="C56" s="18">
        <f t="shared" si="1"/>
        <v>2022</v>
      </c>
      <c r="D56" s="18" cm="1">
        <f t="array" ref="D56">INDEX(GMW!$A$2:$LR$200,MATCH(1,(GMW!$LQ$2:$LQ$200=D$3)*(GMW!$LP$2:$LP$200=D$4),0),$C56-1966)</f>
        <v>12.375</v>
      </c>
    </row>
    <row r="57" spans="1:4" x14ac:dyDescent="0.35">
      <c r="A57" s="20">
        <v>31229</v>
      </c>
      <c r="C57" s="18">
        <f t="shared" si="1"/>
        <v>2023</v>
      </c>
      <c r="D57" s="18" cm="1">
        <f t="array" ref="D57">INDEX(GMW!$A$2:$LR$200,MATCH(1,(GMW!$LQ$2:$LQ$200=D$3)*(GMW!$LP$2:$LP$200=D$4),0),$C57-1966)</f>
        <v>11.375</v>
      </c>
    </row>
    <row r="58" spans="1:4" x14ac:dyDescent="0.35">
      <c r="A58" s="20">
        <v>31321</v>
      </c>
      <c r="C58" s="18">
        <f t="shared" si="1"/>
        <v>2024</v>
      </c>
      <c r="D58" s="18" cm="1">
        <f t="array" ref="D58">INDEX(GMW!$A$2:$LR$200,MATCH(1,(GMW!$LQ$2:$LQ$200=D$3)*(GMW!$LP$2:$LP$200=D$4),0),$C58-1966)</f>
        <v>11.375</v>
      </c>
    </row>
    <row r="59" spans="1:4" x14ac:dyDescent="0.35">
      <c r="A59" s="20">
        <v>31413</v>
      </c>
      <c r="B59" s="18">
        <v>1986</v>
      </c>
      <c r="C59" s="18">
        <f t="shared" si="1"/>
        <v>2025</v>
      </c>
      <c r="D59" s="18" cm="1">
        <f t="array" ref="D59">INDEX(GMW!$A$2:$LR$200,MATCH(1,(GMW!$LQ$2:$LQ$200=D$3)*(GMW!$LP$2:$LP$200=D$4),0),$C59-1966)</f>
        <v>11.375</v>
      </c>
    </row>
    <row r="60" spans="1:4" x14ac:dyDescent="0.35">
      <c r="A60" s="20">
        <v>31503</v>
      </c>
      <c r="C60" s="18">
        <f t="shared" si="1"/>
        <v>2026</v>
      </c>
      <c r="D60" s="18" cm="1">
        <f t="array" ref="D60">INDEX(GMW!$A$2:$LR$200,MATCH(1,(GMW!$LQ$2:$LQ$200=D$3)*(GMW!$LP$2:$LP$200=D$4),0),$C60-1966)</f>
        <v>9.875</v>
      </c>
    </row>
    <row r="61" spans="1:4" x14ac:dyDescent="0.35">
      <c r="A61" s="20">
        <v>31594</v>
      </c>
      <c r="C61" s="18">
        <f t="shared" si="1"/>
        <v>2027</v>
      </c>
      <c r="D61" s="18" cm="1">
        <f t="array" ref="D61">INDEX(GMW!$A$2:$LR$200,MATCH(1,(GMW!$LQ$2:$LQ$200=D$3)*(GMW!$LP$2:$LP$200=D$4),0),$C61-1966)</f>
        <v>9.875</v>
      </c>
    </row>
    <row r="62" spans="1:4" x14ac:dyDescent="0.35">
      <c r="A62" s="20">
        <v>31686</v>
      </c>
      <c r="C62" s="18">
        <f t="shared" si="1"/>
        <v>2028</v>
      </c>
      <c r="D62" s="18" cm="1">
        <f t="array" ref="D62">INDEX(GMW!$A$2:$LR$200,MATCH(1,(GMW!$LQ$2:$LQ$200=D$3)*(GMW!$LP$2:$LP$200=D$4),0),$C62-1966)</f>
        <v>10.875</v>
      </c>
    </row>
    <row r="63" spans="1:4" x14ac:dyDescent="0.35">
      <c r="A63" s="20">
        <v>31778</v>
      </c>
      <c r="B63" s="18">
        <v>1987</v>
      </c>
      <c r="C63" s="18">
        <f t="shared" si="1"/>
        <v>2029</v>
      </c>
      <c r="D63" s="18" cm="1">
        <f t="array" ref="D63">INDEX(GMW!$A$2:$LR$200,MATCH(1,(GMW!$LQ$2:$LQ$200=D$3)*(GMW!$LP$2:$LP$200=D$4),0),$C63-1966)</f>
        <v>9.875</v>
      </c>
    </row>
    <row r="64" spans="1:4" x14ac:dyDescent="0.35">
      <c r="A64" s="20">
        <v>31868</v>
      </c>
      <c r="C64" s="18">
        <f t="shared" si="1"/>
        <v>2030</v>
      </c>
      <c r="D64" s="18" cm="1">
        <f t="array" ref="D64">INDEX(GMW!$A$2:$LR$200,MATCH(1,(GMW!$LQ$2:$LQ$200=D$3)*(GMW!$LP$2:$LP$200=D$4),0),$C64-1966)</f>
        <v>8.875</v>
      </c>
    </row>
    <row r="65" spans="1:4" x14ac:dyDescent="0.35">
      <c r="A65" s="20">
        <v>31959</v>
      </c>
      <c r="C65" s="18">
        <f t="shared" si="1"/>
        <v>2031</v>
      </c>
      <c r="D65" s="18" cm="1">
        <f t="array" ref="D65">INDEX(GMW!$A$2:$LR$200,MATCH(1,(GMW!$LQ$2:$LQ$200=D$3)*(GMW!$LP$2:$LP$200=D$4),0),$C65-1966)</f>
        <v>9.875</v>
      </c>
    </row>
    <row r="66" spans="1:4" x14ac:dyDescent="0.35">
      <c r="A66" s="20">
        <v>32051</v>
      </c>
      <c r="C66" s="18">
        <f t="shared" si="1"/>
        <v>2032</v>
      </c>
      <c r="D66" s="18" cm="1">
        <f t="array" ref="D66">INDEX(GMW!$A$2:$LR$200,MATCH(1,(GMW!$LQ$2:$LQ$200=D$3)*(GMW!$LP$2:$LP$200=D$4),0),$C66-1966)</f>
        <v>8.375</v>
      </c>
    </row>
    <row r="67" spans="1:4" x14ac:dyDescent="0.35">
      <c r="A67" s="20">
        <v>32143</v>
      </c>
      <c r="B67" s="18">
        <v>1988</v>
      </c>
      <c r="C67" s="18">
        <f t="shared" si="1"/>
        <v>2033</v>
      </c>
      <c r="D67" s="18" cm="1">
        <f t="array" ref="D67">INDEX(GMW!$A$2:$LR$200,MATCH(1,(GMW!$LQ$2:$LQ$200=D$3)*(GMW!$LP$2:$LP$200=D$4),0),$C67-1966)</f>
        <v>8.375</v>
      </c>
    </row>
    <row r="68" spans="1:4" x14ac:dyDescent="0.35">
      <c r="A68" s="20">
        <v>32234</v>
      </c>
      <c r="C68" s="18">
        <f t="shared" si="1"/>
        <v>2034</v>
      </c>
      <c r="D68" s="18" cm="1">
        <f t="array" ref="D68">INDEX(GMW!$A$2:$LR$200,MATCH(1,(GMW!$LQ$2:$LQ$200=D$3)*(GMW!$LP$2:$LP$200=D$4),0),$C68-1966)</f>
        <v>8.875</v>
      </c>
    </row>
    <row r="69" spans="1:4" x14ac:dyDescent="0.35">
      <c r="A69" s="20">
        <v>32325</v>
      </c>
      <c r="C69" s="18">
        <f t="shared" si="1"/>
        <v>2035</v>
      </c>
      <c r="D69" s="18" cm="1">
        <f t="array" ref="D69">INDEX(GMW!$A$2:$LR$200,MATCH(1,(GMW!$LQ$2:$LQ$200=D$3)*(GMW!$LP$2:$LP$200=D$4),0),$C69-1966)</f>
        <v>11.875</v>
      </c>
    </row>
    <row r="70" spans="1:4" x14ac:dyDescent="0.35">
      <c r="A70" s="20">
        <v>32417</v>
      </c>
      <c r="C70" s="18">
        <f t="shared" si="1"/>
        <v>2036</v>
      </c>
      <c r="D70" s="18" cm="1">
        <f t="array" ref="D70">INDEX(GMW!$A$2:$LR$200,MATCH(1,(GMW!$LQ$2:$LQ$200=D$3)*(GMW!$LP$2:$LP$200=D$4),0),$C70-1966)</f>
        <v>12.875</v>
      </c>
    </row>
    <row r="71" spans="1:4" x14ac:dyDescent="0.35">
      <c r="A71" s="20">
        <v>32509</v>
      </c>
      <c r="B71" s="18">
        <v>1989</v>
      </c>
      <c r="C71" s="18">
        <f t="shared" si="1"/>
        <v>2037</v>
      </c>
      <c r="D71" s="18" cm="1">
        <f t="array" ref="D71">INDEX(GMW!$A$2:$LR$200,MATCH(1,(GMW!$LQ$2:$LQ$200=D$3)*(GMW!$LP$2:$LP$200=D$4),0),$C71-1966)</f>
        <v>12.875</v>
      </c>
    </row>
    <row r="72" spans="1:4" x14ac:dyDescent="0.35">
      <c r="A72" s="20">
        <v>32599</v>
      </c>
      <c r="C72" s="18">
        <f t="shared" si="1"/>
        <v>2038</v>
      </c>
      <c r="D72" s="18" cm="1">
        <f t="array" ref="D72">INDEX(GMW!$A$2:$LR$200,MATCH(1,(GMW!$LQ$2:$LQ$200=D$3)*(GMW!$LP$2:$LP$200=D$4),0),$C72-1966)</f>
        <v>13.75</v>
      </c>
    </row>
    <row r="73" spans="1:4" x14ac:dyDescent="0.35">
      <c r="A73" s="20">
        <v>32690</v>
      </c>
      <c r="C73" s="18">
        <f t="shared" si="1"/>
        <v>2039</v>
      </c>
      <c r="D73" s="18" cm="1">
        <f t="array" ref="D73">INDEX(GMW!$A$2:$LR$200,MATCH(1,(GMW!$LQ$2:$LQ$200=D$3)*(GMW!$LP$2:$LP$200=D$4),0),$C73-1966)</f>
        <v>13.75</v>
      </c>
    </row>
    <row r="74" spans="1:4" x14ac:dyDescent="0.35">
      <c r="A74" s="20">
        <v>32782</v>
      </c>
      <c r="C74" s="18">
        <f t="shared" si="1"/>
        <v>2040</v>
      </c>
      <c r="D74" s="18" cm="1">
        <f t="array" ref="D74">INDEX(GMW!$A$2:$LR$200,MATCH(1,(GMW!$LQ$2:$LQ$200=D$3)*(GMW!$LP$2:$LP$200=D$4),0),$C74-1966)</f>
        <v>14.875</v>
      </c>
    </row>
    <row r="75" spans="1:4" x14ac:dyDescent="0.35">
      <c r="A75" s="20">
        <v>32874</v>
      </c>
      <c r="B75" s="18">
        <v>1990</v>
      </c>
      <c r="C75" s="18">
        <f t="shared" si="1"/>
        <v>2041</v>
      </c>
      <c r="D75" s="18" cm="1">
        <f t="array" ref="D75">INDEX(GMW!$A$2:$LR$200,MATCH(1,(GMW!$LQ$2:$LQ$200=D$3)*(GMW!$LP$2:$LP$200=D$4),0),$C75-1966)</f>
        <v>14.875</v>
      </c>
    </row>
    <row r="76" spans="1:4" x14ac:dyDescent="0.35">
      <c r="A76" s="20">
        <v>32964</v>
      </c>
      <c r="C76" s="18">
        <f t="shared" si="1"/>
        <v>2042</v>
      </c>
      <c r="D76" s="18" cm="1">
        <f t="array" ref="D76">INDEX(GMW!$A$2:$LR$200,MATCH(1,(GMW!$LQ$2:$LQ$200=D$3)*(GMW!$LP$2:$LP$200=D$4),0),$C76-1966)</f>
        <v>14.875</v>
      </c>
    </row>
    <row r="77" spans="1:4" x14ac:dyDescent="0.35">
      <c r="A77" s="20">
        <v>33055</v>
      </c>
      <c r="C77" s="18">
        <f t="shared" si="1"/>
        <v>2043</v>
      </c>
      <c r="D77" s="18" cm="1">
        <f t="array" ref="D77">INDEX(GMW!$A$2:$LR$200,MATCH(1,(GMW!$LQ$2:$LQ$200=D$3)*(GMW!$LP$2:$LP$200=D$4),0),$C77-1966)</f>
        <v>14.875</v>
      </c>
    </row>
    <row r="78" spans="1:4" x14ac:dyDescent="0.35">
      <c r="A78" s="20">
        <v>33147</v>
      </c>
      <c r="C78" s="18">
        <f t="shared" si="1"/>
        <v>2044</v>
      </c>
      <c r="D78" s="18" cm="1">
        <f t="array" ref="D78">INDEX(GMW!$A$2:$LR$200,MATCH(1,(GMW!$LQ$2:$LQ$200=D$3)*(GMW!$LP$2:$LP$200=D$4),0),$C78-1966)</f>
        <v>13.875</v>
      </c>
    </row>
    <row r="79" spans="1:4" x14ac:dyDescent="0.35">
      <c r="A79" s="20">
        <v>33239</v>
      </c>
      <c r="B79" s="18">
        <v>1991</v>
      </c>
      <c r="C79" s="18">
        <f t="shared" si="1"/>
        <v>2045</v>
      </c>
      <c r="D79" s="18" cm="1">
        <f t="array" ref="D79">INDEX(GMW!$A$2:$LR$200,MATCH(1,(GMW!$LQ$2:$LQ$200=D$3)*(GMW!$LP$2:$LP$200=D$4),0),$C79-1966)</f>
        <v>12.375</v>
      </c>
    </row>
    <row r="80" spans="1:4" x14ac:dyDescent="0.35">
      <c r="A80" s="20">
        <v>33329</v>
      </c>
      <c r="C80" s="18">
        <f t="shared" si="1"/>
        <v>2046</v>
      </c>
      <c r="D80" s="18" cm="1">
        <f t="array" ref="D80">INDEX(GMW!$A$2:$LR$200,MATCH(1,(GMW!$LQ$2:$LQ$200=D$3)*(GMW!$LP$2:$LP$200=D$4),0),$C80-1966)</f>
        <v>11.375</v>
      </c>
    </row>
    <row r="81" spans="1:4" x14ac:dyDescent="0.35">
      <c r="A81" s="20">
        <v>33420</v>
      </c>
      <c r="C81" s="18">
        <f t="shared" si="1"/>
        <v>2047</v>
      </c>
      <c r="D81" s="18" cm="1">
        <f t="array" ref="D81">INDEX(GMW!$A$2:$LR$200,MATCH(1,(GMW!$LQ$2:$LQ$200=D$3)*(GMW!$LP$2:$LP$200=D$4),0),$C81-1966)</f>
        <v>10.375</v>
      </c>
    </row>
    <row r="82" spans="1:4" x14ac:dyDescent="0.35">
      <c r="A82" s="20">
        <v>33512</v>
      </c>
      <c r="C82" s="18">
        <f t="shared" si="1"/>
        <v>2048</v>
      </c>
      <c r="D82" s="18" cm="1">
        <f t="array" ref="D82">INDEX(GMW!$A$2:$LR$200,MATCH(1,(GMW!$LQ$2:$LQ$200=D$3)*(GMW!$LP$2:$LP$200=D$4),0),$C82-1966)</f>
        <v>10.375</v>
      </c>
    </row>
    <row r="83" spans="1:4" x14ac:dyDescent="0.35">
      <c r="A83" s="20">
        <v>33604</v>
      </c>
      <c r="B83" s="18">
        <v>1992</v>
      </c>
      <c r="C83" s="18">
        <f t="shared" si="1"/>
        <v>2049</v>
      </c>
      <c r="D83" s="18" cm="1">
        <f t="array" ref="D83">INDEX(GMW!$A$2:$LR$200,MATCH(1,(GMW!$LQ$2:$LQ$200=D$3)*(GMW!$LP$2:$LP$200=D$4),0),$C83-1966)</f>
        <v>10.375</v>
      </c>
    </row>
    <row r="84" spans="1:4" x14ac:dyDescent="0.35">
      <c r="A84" s="20">
        <v>33695</v>
      </c>
      <c r="C84" s="18">
        <f t="shared" si="1"/>
        <v>2050</v>
      </c>
      <c r="D84" s="18" cm="1">
        <f t="array" ref="D84">INDEX(GMW!$A$2:$LR$200,MATCH(1,(GMW!$LQ$2:$LQ$200=D$3)*(GMW!$LP$2:$LP$200=D$4),0),$C84-1966)</f>
        <v>9.875</v>
      </c>
    </row>
    <row r="85" spans="1:4" x14ac:dyDescent="0.35">
      <c r="A85" s="20">
        <v>33786</v>
      </c>
      <c r="C85" s="18">
        <f t="shared" si="1"/>
        <v>2051</v>
      </c>
      <c r="D85" s="18" cm="1">
        <f t="array" ref="D85">INDEX(GMW!$A$2:$LR$200,MATCH(1,(GMW!$LQ$2:$LQ$200=D$3)*(GMW!$LP$2:$LP$200=D$4),0),$C85-1966)</f>
        <v>8.875</v>
      </c>
    </row>
    <row r="86" spans="1:4" x14ac:dyDescent="0.35">
      <c r="A86" s="20">
        <v>33878</v>
      </c>
      <c r="C86" s="18">
        <f t="shared" si="1"/>
        <v>2052</v>
      </c>
      <c r="D86" s="18" cm="1">
        <f t="array" ref="D86">INDEX(GMW!$A$2:$LR$200,MATCH(1,(GMW!$LQ$2:$LQ$200=D$3)*(GMW!$LP$2:$LP$200=D$4),0),$C86-1966)</f>
        <v>6.875</v>
      </c>
    </row>
    <row r="87" spans="1:4" x14ac:dyDescent="0.35">
      <c r="A87" s="20">
        <v>33970</v>
      </c>
      <c r="B87" s="18">
        <v>1993</v>
      </c>
      <c r="C87" s="18">
        <f t="shared" si="1"/>
        <v>2053</v>
      </c>
      <c r="D87" s="18" cm="1">
        <f t="array" ref="D87">INDEX(GMW!$A$2:$LR$200,MATCH(1,(GMW!$LQ$2:$LQ$200=D$3)*(GMW!$LP$2:$LP$200=D$4),0),$C87-1966)</f>
        <v>5.875</v>
      </c>
    </row>
    <row r="88" spans="1:4" x14ac:dyDescent="0.35">
      <c r="A88" s="20">
        <v>34060</v>
      </c>
      <c r="C88" s="18">
        <f t="shared" si="1"/>
        <v>2054</v>
      </c>
      <c r="D88" s="18" cm="1">
        <f t="array" ref="D88">INDEX(GMW!$A$2:$LR$200,MATCH(1,(GMW!$LQ$2:$LQ$200=D$3)*(GMW!$LP$2:$LP$200=D$4),0),$C88-1966)</f>
        <v>5.875</v>
      </c>
    </row>
    <row r="89" spans="1:4" x14ac:dyDescent="0.35">
      <c r="A89" s="20">
        <v>34151</v>
      </c>
      <c r="C89" s="18">
        <f t="shared" si="1"/>
        <v>2055</v>
      </c>
      <c r="D89" s="18" cm="1">
        <f t="array" ref="D89">INDEX(GMW!$A$2:$LR$200,MATCH(1,(GMW!$LQ$2:$LQ$200=D$3)*(GMW!$LP$2:$LP$200=D$4),0),$C89-1966)</f>
        <v>5.875</v>
      </c>
    </row>
    <row r="90" spans="1:4" x14ac:dyDescent="0.35">
      <c r="A90" s="20">
        <v>34243</v>
      </c>
      <c r="C90" s="18">
        <f t="shared" si="1"/>
        <v>2056</v>
      </c>
      <c r="D90" s="18" cm="1">
        <f t="array" ref="D90">INDEX(GMW!$A$2:$LR$200,MATCH(1,(GMW!$LQ$2:$LQ$200=D$3)*(GMW!$LP$2:$LP$200=D$4),0),$C90-1966)</f>
        <v>5.375</v>
      </c>
    </row>
    <row r="91" spans="1:4" x14ac:dyDescent="0.35">
      <c r="A91" s="20">
        <v>34335</v>
      </c>
      <c r="B91" s="18">
        <v>1994</v>
      </c>
      <c r="C91" s="18">
        <f t="shared" si="1"/>
        <v>2057</v>
      </c>
      <c r="D91" s="18" cm="1">
        <f t="array" ref="D91">INDEX(GMW!$A$2:$LR$200,MATCH(1,(GMW!$LQ$2:$LQ$200=D$3)*(GMW!$LP$2:$LP$200=D$4),0),$C91-1966)</f>
        <v>5.125</v>
      </c>
    </row>
    <row r="92" spans="1:4" x14ac:dyDescent="0.35">
      <c r="A92" s="20">
        <v>34425</v>
      </c>
      <c r="C92" s="18">
        <f t="shared" si="1"/>
        <v>2058</v>
      </c>
      <c r="D92" s="18" cm="1">
        <f t="array" ref="D92">INDEX(GMW!$A$2:$LR$200,MATCH(1,(GMW!$LQ$2:$LQ$200=D$3)*(GMW!$LP$2:$LP$200=D$4),0),$C92-1966)</f>
        <v>5.125</v>
      </c>
    </row>
    <row r="93" spans="1:4" x14ac:dyDescent="0.35">
      <c r="A93" s="20">
        <v>34516</v>
      </c>
      <c r="C93" s="18">
        <f t="shared" si="1"/>
        <v>2059</v>
      </c>
      <c r="D93" s="18" cm="1">
        <f t="array" ref="D93">INDEX(GMW!$A$2:$LR$200,MATCH(1,(GMW!$LQ$2:$LQ$200=D$3)*(GMW!$LP$2:$LP$200=D$4),0),$C93-1966)</f>
        <v>5.625</v>
      </c>
    </row>
    <row r="94" spans="1:4" x14ac:dyDescent="0.35">
      <c r="A94" s="20">
        <v>34608</v>
      </c>
      <c r="C94" s="18">
        <f t="shared" si="1"/>
        <v>2060</v>
      </c>
      <c r="D94" s="18" cm="1">
        <f t="array" ref="D94">INDEX(GMW!$A$2:$LR$200,MATCH(1,(GMW!$LQ$2:$LQ$200=D$3)*(GMW!$LP$2:$LP$200=D$4),0),$C94-1966)</f>
        <v>6.125</v>
      </c>
    </row>
    <row r="95" spans="1:4" x14ac:dyDescent="0.35">
      <c r="A95" s="20">
        <v>34700</v>
      </c>
      <c r="B95" s="18">
        <v>1995</v>
      </c>
      <c r="C95" s="18">
        <f t="shared" si="1"/>
        <v>2061</v>
      </c>
      <c r="D95" s="18" cm="1">
        <f t="array" ref="D95">INDEX(GMW!$A$2:$LR$200,MATCH(1,(GMW!$LQ$2:$LQ$200=D$3)*(GMW!$LP$2:$LP$200=D$4),0),$C95-1966)</f>
        <v>6.625</v>
      </c>
    </row>
    <row r="96" spans="1:4" x14ac:dyDescent="0.35">
      <c r="A96" s="20">
        <v>34790</v>
      </c>
      <c r="C96" s="18">
        <f t="shared" si="1"/>
        <v>2062</v>
      </c>
      <c r="D96" s="18" cm="1">
        <f t="array" ref="D96">INDEX(GMW!$A$2:$LR$200,MATCH(1,(GMW!$LQ$2:$LQ$200=D$3)*(GMW!$LP$2:$LP$200=D$4),0),$C96-1966)</f>
        <v>6.625</v>
      </c>
    </row>
    <row r="97" spans="1:4" x14ac:dyDescent="0.35">
      <c r="A97" s="20">
        <v>34881</v>
      </c>
      <c r="C97" s="18">
        <f t="shared" si="1"/>
        <v>2063</v>
      </c>
      <c r="D97" s="18" cm="1">
        <f t="array" ref="D97">INDEX(GMW!$A$2:$LR$200,MATCH(1,(GMW!$LQ$2:$LQ$200=D$3)*(GMW!$LP$2:$LP$200=D$4),0),$C97-1966)</f>
        <v>6.625</v>
      </c>
    </row>
    <row r="98" spans="1:4" x14ac:dyDescent="0.35">
      <c r="A98" s="20">
        <v>34973</v>
      </c>
      <c r="C98" s="18">
        <f t="shared" si="1"/>
        <v>2064</v>
      </c>
      <c r="D98" s="18" cm="1">
        <f t="array" ref="D98">INDEX(GMW!$A$2:$LR$200,MATCH(1,(GMW!$LQ$2:$LQ$200=D$3)*(GMW!$LP$2:$LP$200=D$4),0),$C98-1966)</f>
        <v>6.375</v>
      </c>
    </row>
    <row r="99" spans="1:4" x14ac:dyDescent="0.35">
      <c r="A99" s="20">
        <v>35065</v>
      </c>
      <c r="B99" s="18">
        <v>1996</v>
      </c>
      <c r="C99" s="18">
        <f t="shared" si="1"/>
        <v>2065</v>
      </c>
      <c r="D99" s="18" cm="1">
        <f t="array" ref="D99">INDEX(GMW!$A$2:$LR$200,MATCH(1,(GMW!$LQ$2:$LQ$200=D$3)*(GMW!$LP$2:$LP$200=D$4),0),$C99-1966)</f>
        <v>5.9375</v>
      </c>
    </row>
    <row r="100" spans="1:4" x14ac:dyDescent="0.35">
      <c r="A100" s="20">
        <v>35156</v>
      </c>
      <c r="C100" s="18">
        <f t="shared" si="1"/>
        <v>2066</v>
      </c>
      <c r="D100" s="18" cm="1">
        <f t="array" ref="D100">INDEX(GMW!$A$2:$LR$200,MATCH(1,(GMW!$LQ$2:$LQ$200=D$3)*(GMW!$LP$2:$LP$200=D$4),0),$C100-1966)</f>
        <v>5.6875</v>
      </c>
    </row>
    <row r="101" spans="1:4" x14ac:dyDescent="0.35">
      <c r="A101" s="20">
        <v>35247</v>
      </c>
      <c r="C101" s="18">
        <f t="shared" si="1"/>
        <v>2067</v>
      </c>
      <c r="D101" s="18" cm="1">
        <f t="array" ref="D101">INDEX(GMW!$A$2:$LR$200,MATCH(1,(GMW!$LQ$2:$LQ$200=D$3)*(GMW!$LP$2:$LP$200=D$4),0),$C101-1966)</f>
        <v>5.6875</v>
      </c>
    </row>
    <row r="102" spans="1:4" x14ac:dyDescent="0.35">
      <c r="A102" s="20">
        <v>35339</v>
      </c>
      <c r="C102" s="18">
        <f t="shared" si="1"/>
        <v>2068</v>
      </c>
      <c r="D102" s="18" cm="1">
        <f t="array" ref="D102">INDEX(GMW!$A$2:$LR$200,MATCH(1,(GMW!$LQ$2:$LQ$200=D$3)*(GMW!$LP$2:$LP$200=D$4),0),$C102-1966)</f>
        <v>5.9375</v>
      </c>
    </row>
    <row r="103" spans="1:4" x14ac:dyDescent="0.35">
      <c r="A103" s="20">
        <v>35431</v>
      </c>
      <c r="B103" s="18">
        <v>1997</v>
      </c>
      <c r="C103" s="18">
        <f t="shared" si="1"/>
        <v>2069</v>
      </c>
      <c r="D103" s="18" cm="1">
        <f t="array" ref="D103">INDEX(GMW!$A$2:$LR$200,MATCH(1,(GMW!$LQ$2:$LQ$200=D$3)*(GMW!$LP$2:$LP$200=D$4),0),$C103-1966)</f>
        <v>5.9375</v>
      </c>
    </row>
    <row r="104" spans="1:4" x14ac:dyDescent="0.35">
      <c r="A104" s="20">
        <v>35521</v>
      </c>
      <c r="C104" s="18">
        <f t="shared" si="1"/>
        <v>2070</v>
      </c>
      <c r="D104" s="18" cm="1">
        <f t="array" ref="D104">INDEX(GMW!$A$2:$LR$200,MATCH(1,(GMW!$LQ$2:$LQ$200=D$3)*(GMW!$LP$2:$LP$200=D$4),0),$C104-1966)</f>
        <v>6.5</v>
      </c>
    </row>
    <row r="105" spans="1:4" x14ac:dyDescent="0.35">
      <c r="A105" s="20">
        <v>35612</v>
      </c>
      <c r="C105" s="18">
        <f t="shared" si="1"/>
        <v>2071</v>
      </c>
      <c r="D105" s="18" cm="1">
        <f t="array" ref="D105">INDEX(GMW!$A$2:$LR$200,MATCH(1,(GMW!$LQ$2:$LQ$200=D$3)*(GMW!$LP$2:$LP$200=D$4),0),$C105-1966)</f>
        <v>7</v>
      </c>
    </row>
    <row r="106" spans="1:4" x14ac:dyDescent="0.35">
      <c r="A106" s="20">
        <v>35704</v>
      </c>
      <c r="C106" s="18">
        <f t="shared" si="1"/>
        <v>2072</v>
      </c>
      <c r="D106" s="18" cm="1">
        <f t="array" ref="D106">INDEX(GMW!$A$2:$LR$200,MATCH(1,(GMW!$LQ$2:$LQ$200=D$3)*(GMW!$LP$2:$LP$200=D$4),0),$C106-1966)</f>
        <v>7.25</v>
      </c>
    </row>
    <row r="107" spans="1:4" x14ac:dyDescent="0.35">
      <c r="A107" s="20">
        <v>35796</v>
      </c>
      <c r="B107" s="18">
        <v>1998</v>
      </c>
      <c r="C107" s="18">
        <f t="shared" si="1"/>
        <v>2073</v>
      </c>
      <c r="D107" s="18" cm="1">
        <f t="array" ref="D107">INDEX(GMW!$A$2:$LR$200,MATCH(1,(GMW!$LQ$2:$LQ$200=D$3)*(GMW!$LP$2:$LP$200=D$4),0),$C107-1966)</f>
        <v>7.25</v>
      </c>
    </row>
    <row r="108" spans="1:4" x14ac:dyDescent="0.35">
      <c r="A108" s="20">
        <v>35886</v>
      </c>
      <c r="C108" s="18">
        <f t="shared" si="1"/>
        <v>2074</v>
      </c>
      <c r="D108" s="18" cm="1">
        <f t="array" ref="D108">INDEX(GMW!$A$2:$LR$200,MATCH(1,(GMW!$LQ$2:$LQ$200=D$3)*(GMW!$LP$2:$LP$200=D$4),0),$C108-1966)</f>
        <v>7.5</v>
      </c>
    </row>
    <row r="109" spans="1:4" x14ac:dyDescent="0.35">
      <c r="A109" s="20">
        <v>35977</v>
      </c>
      <c r="C109" s="18">
        <f t="shared" si="1"/>
        <v>2075</v>
      </c>
      <c r="D109" s="18" cm="1">
        <f t="array" ref="D109">INDEX(GMW!$A$2:$LR$200,MATCH(1,(GMW!$LQ$2:$LQ$200=D$3)*(GMW!$LP$2:$LP$200=D$4),0),$C109-1966)</f>
        <v>7.5</v>
      </c>
    </row>
    <row r="110" spans="1:4" x14ac:dyDescent="0.35">
      <c r="A110" s="20">
        <v>36069</v>
      </c>
      <c r="C110" s="18">
        <f t="shared" si="1"/>
        <v>2076</v>
      </c>
      <c r="D110" s="18" cm="1">
        <f t="array" ref="D110">INDEX(GMW!$A$2:$LR$200,MATCH(1,(GMW!$LQ$2:$LQ$200=D$3)*(GMW!$LP$2:$LP$200=D$4),0),$C110-1966)</f>
        <v>6.25</v>
      </c>
    </row>
    <row r="111" spans="1:4" x14ac:dyDescent="0.35">
      <c r="A111" s="20">
        <v>36161</v>
      </c>
      <c r="B111" s="18">
        <v>1999</v>
      </c>
      <c r="C111" s="18">
        <f t="shared" si="1"/>
        <v>2077</v>
      </c>
      <c r="D111" s="18" cm="1">
        <f t="array" ref="D111">INDEX(GMW!$A$2:$LR$200,MATCH(1,(GMW!$LQ$2:$LQ$200=D$3)*(GMW!$LP$2:$LP$200=D$4),0),$C111-1966)</f>
        <v>5.5</v>
      </c>
    </row>
    <row r="112" spans="1:4" x14ac:dyDescent="0.35">
      <c r="A112" s="20">
        <v>36251</v>
      </c>
      <c r="C112" s="18">
        <f t="shared" si="1"/>
        <v>2078</v>
      </c>
      <c r="D112" s="18" cm="1">
        <f t="array" ref="D112">INDEX(GMW!$A$2:$LR$200,MATCH(1,(GMW!$LQ$2:$LQ$200=D$3)*(GMW!$LP$2:$LP$200=D$4),0),$C112-1966)</f>
        <v>5</v>
      </c>
    </row>
    <row r="113" spans="1:4" x14ac:dyDescent="0.35">
      <c r="A113" s="20">
        <v>36342</v>
      </c>
      <c r="C113" s="18">
        <f t="shared" ref="C113:C176" si="2">+C112+1</f>
        <v>2079</v>
      </c>
      <c r="D113" s="18" cm="1">
        <f t="array" ref="D113">INDEX(GMW!$A$2:$LR$200,MATCH(1,(GMW!$LQ$2:$LQ$200=D$3)*(GMW!$LP$2:$LP$200=D$4),0),$C113-1966)</f>
        <v>5.25</v>
      </c>
    </row>
    <row r="114" spans="1:4" x14ac:dyDescent="0.35">
      <c r="A114" s="20">
        <v>36434</v>
      </c>
      <c r="C114" s="18">
        <f t="shared" si="2"/>
        <v>2080</v>
      </c>
      <c r="D114" s="18" cm="1">
        <f t="array" ref="D114">INDEX(GMW!$A$2:$LR$200,MATCH(1,(GMW!$LQ$2:$LQ$200=D$3)*(GMW!$LP$2:$LP$200=D$4),0),$C114-1966)</f>
        <v>5.5</v>
      </c>
    </row>
    <row r="115" spans="1:4" x14ac:dyDescent="0.35">
      <c r="A115" s="20">
        <v>36526</v>
      </c>
      <c r="B115" s="18">
        <v>2000</v>
      </c>
      <c r="C115" s="18">
        <f t="shared" si="2"/>
        <v>2081</v>
      </c>
      <c r="D115" s="18" cm="1">
        <f t="array" ref="D115">INDEX(GMW!$A$2:$LR$200,MATCH(1,(GMW!$LQ$2:$LQ$200=D$3)*(GMW!$LP$2:$LP$200=D$4),0),$C115-1966)</f>
        <v>6</v>
      </c>
    </row>
    <row r="116" spans="1:4" x14ac:dyDescent="0.35">
      <c r="A116" s="20">
        <v>36617</v>
      </c>
      <c r="C116" s="18">
        <f t="shared" si="2"/>
        <v>2082</v>
      </c>
      <c r="D116" s="18" cm="1">
        <f t="array" ref="D116">INDEX(GMW!$A$2:$LR$200,MATCH(1,(GMW!$LQ$2:$LQ$200=D$3)*(GMW!$LP$2:$LP$200=D$4),0),$C116-1966)</f>
        <v>6</v>
      </c>
    </row>
    <row r="117" spans="1:4" x14ac:dyDescent="0.35">
      <c r="A117" s="20">
        <v>36708</v>
      </c>
      <c r="C117" s="18">
        <f t="shared" si="2"/>
        <v>2083</v>
      </c>
      <c r="D117" s="18" cm="1">
        <f t="array" ref="D117">INDEX(GMW!$A$2:$LR$200,MATCH(1,(GMW!$LQ$2:$LQ$200=D$3)*(GMW!$LP$2:$LP$200=D$4),0),$C117-1966)</f>
        <v>6</v>
      </c>
    </row>
    <row r="118" spans="1:4" x14ac:dyDescent="0.35">
      <c r="A118" s="20">
        <v>36800</v>
      </c>
      <c r="C118" s="18">
        <f t="shared" si="2"/>
        <v>2084</v>
      </c>
      <c r="D118" s="18" cm="1">
        <f t="array" ref="D118">INDEX(GMW!$A$2:$LR$200,MATCH(1,(GMW!$LQ$2:$LQ$200=D$3)*(GMW!$LP$2:$LP$200=D$4),0),$C118-1966)</f>
        <v>6</v>
      </c>
    </row>
    <row r="119" spans="1:4" x14ac:dyDescent="0.35">
      <c r="A119" s="20">
        <v>36892</v>
      </c>
      <c r="B119" s="18">
        <v>2001</v>
      </c>
      <c r="C119" s="18">
        <f t="shared" si="2"/>
        <v>2085</v>
      </c>
      <c r="D119" s="18" cm="1">
        <f t="array" ref="D119">INDEX(GMW!$A$2:$LR$200,MATCH(1,(GMW!$LQ$2:$LQ$200=D$3)*(GMW!$LP$2:$LP$200=D$4),0),$C119-1966)</f>
        <v>5.75</v>
      </c>
    </row>
    <row r="120" spans="1:4" x14ac:dyDescent="0.35">
      <c r="A120" s="20">
        <v>36982</v>
      </c>
      <c r="C120" s="18">
        <f t="shared" si="2"/>
        <v>2086</v>
      </c>
      <c r="D120" s="18" cm="1">
        <f t="array" ref="D120">INDEX(GMW!$A$2:$LR$200,MATCH(1,(GMW!$LQ$2:$LQ$200=D$3)*(GMW!$LP$2:$LP$200=D$4),0),$C120-1966)</f>
        <v>5.25</v>
      </c>
    </row>
    <row r="121" spans="1:4" x14ac:dyDescent="0.35">
      <c r="A121" s="20">
        <v>37073</v>
      </c>
      <c r="C121" s="18">
        <f t="shared" si="2"/>
        <v>2087</v>
      </c>
      <c r="D121" s="18" cm="1">
        <f t="array" ref="D121">INDEX(GMW!$A$2:$LR$200,MATCH(1,(GMW!$LQ$2:$LQ$200=D$3)*(GMW!$LP$2:$LP$200=D$4),0),$C121-1966)</f>
        <v>4.75</v>
      </c>
    </row>
    <row r="122" spans="1:4" x14ac:dyDescent="0.35">
      <c r="A122" s="20">
        <v>37165</v>
      </c>
      <c r="C122" s="18">
        <f t="shared" si="2"/>
        <v>2088</v>
      </c>
      <c r="D122" s="18" cm="1">
        <f t="array" ref="D122">INDEX(GMW!$A$2:$LR$200,MATCH(1,(GMW!$LQ$2:$LQ$200=D$3)*(GMW!$LP$2:$LP$200=D$4),0),$C122-1966)</f>
        <v>4</v>
      </c>
    </row>
    <row r="123" spans="1:4" x14ac:dyDescent="0.35">
      <c r="A123" s="20">
        <v>37257</v>
      </c>
      <c r="B123" s="18">
        <v>2002</v>
      </c>
      <c r="C123" s="18">
        <f t="shared" si="2"/>
        <v>2089</v>
      </c>
      <c r="D123" s="18" cm="1">
        <f t="array" ref="D123">INDEX(GMW!$A$2:$LR$200,MATCH(1,(GMW!$LQ$2:$LQ$200=D$3)*(GMW!$LP$2:$LP$200=D$4),0),$C123-1966)</f>
        <v>4</v>
      </c>
    </row>
    <row r="124" spans="1:4" x14ac:dyDescent="0.35">
      <c r="A124" s="20">
        <v>37347</v>
      </c>
      <c r="C124" s="18">
        <f t="shared" si="2"/>
        <v>2090</v>
      </c>
      <c r="D124" s="18" cm="1">
        <f t="array" ref="D124">INDEX(GMW!$A$2:$LR$200,MATCH(1,(GMW!$LQ$2:$LQ$200=D$3)*(GMW!$LP$2:$LP$200=D$4),0),$C124-1966)</f>
        <v>4</v>
      </c>
    </row>
    <row r="125" spans="1:4" x14ac:dyDescent="0.35">
      <c r="A125" s="20">
        <v>37438</v>
      </c>
      <c r="C125" s="18">
        <f t="shared" si="2"/>
        <v>2091</v>
      </c>
      <c r="D125" s="18" cm="1">
        <f t="array" ref="D125">INDEX(GMW!$A$2:$LR$200,MATCH(1,(GMW!$LQ$2:$LQ$200=D$3)*(GMW!$LP$2:$LP$200=D$4),0),$C125-1966)</f>
        <v>4</v>
      </c>
    </row>
    <row r="126" spans="1:4" x14ac:dyDescent="0.35">
      <c r="A126" s="20">
        <v>37530</v>
      </c>
      <c r="C126" s="18">
        <f t="shared" si="2"/>
        <v>2092</v>
      </c>
      <c r="D126" s="18" cm="1">
        <f t="array" ref="D126">INDEX(GMW!$A$2:$LR$200,MATCH(1,(GMW!$LQ$2:$LQ$200=D$3)*(GMW!$LP$2:$LP$200=D$4),0),$C126-1966)</f>
        <v>4</v>
      </c>
    </row>
    <row r="127" spans="1:4" x14ac:dyDescent="0.35">
      <c r="A127" s="20">
        <v>37622</v>
      </c>
      <c r="B127" s="18">
        <v>2003</v>
      </c>
      <c r="C127" s="18">
        <f t="shared" si="2"/>
        <v>2093</v>
      </c>
      <c r="D127" s="18" cm="1">
        <f t="array" ref="D127">INDEX(GMW!$A$2:$LR$200,MATCH(1,(GMW!$LQ$2:$LQ$200=D$3)*(GMW!$LP$2:$LP$200=D$4),0),$C127-1966)</f>
        <v>3.75</v>
      </c>
    </row>
    <row r="128" spans="1:4" x14ac:dyDescent="0.35">
      <c r="A128" s="20">
        <v>37712</v>
      </c>
      <c r="C128" s="18">
        <f t="shared" si="2"/>
        <v>2094</v>
      </c>
      <c r="D128" s="18" cm="1">
        <f t="array" ref="D128">INDEX(GMW!$A$2:$LR$200,MATCH(1,(GMW!$LQ$2:$LQ$200=D$3)*(GMW!$LP$2:$LP$200=D$4),0),$C128-1966)</f>
        <v>3.75</v>
      </c>
    </row>
    <row r="129" spans="1:4" x14ac:dyDescent="0.35">
      <c r="A129" s="20">
        <v>37803</v>
      </c>
      <c r="C129" s="18">
        <f t="shared" si="2"/>
        <v>2095</v>
      </c>
      <c r="D129" s="18" cm="1">
        <f t="array" ref="D129">INDEX(GMW!$A$2:$LR$200,MATCH(1,(GMW!$LQ$2:$LQ$200=D$3)*(GMW!$LP$2:$LP$200=D$4),0),$C129-1966)</f>
        <v>3.5</v>
      </c>
    </row>
    <row r="130" spans="1:4" x14ac:dyDescent="0.35">
      <c r="A130" s="20">
        <v>37895</v>
      </c>
      <c r="C130" s="18">
        <f t="shared" si="2"/>
        <v>2096</v>
      </c>
      <c r="D130" s="18" cm="1">
        <f t="array" ref="D130">INDEX(GMW!$A$2:$LR$200,MATCH(1,(GMW!$LQ$2:$LQ$200=D$3)*(GMW!$LP$2:$LP$200=D$4),0),$C130-1966)</f>
        <v>3.75</v>
      </c>
    </row>
    <row r="131" spans="1:4" x14ac:dyDescent="0.35">
      <c r="A131" s="20">
        <v>37987</v>
      </c>
      <c r="B131" s="18">
        <v>2004</v>
      </c>
      <c r="C131" s="18">
        <f t="shared" si="2"/>
        <v>2097</v>
      </c>
      <c r="D131" s="18" cm="1">
        <f t="array" ref="D131">INDEX(GMW!$A$2:$LR$200,MATCH(1,(GMW!$LQ$2:$LQ$200=D$3)*(GMW!$LP$2:$LP$200=D$4),0),$C131-1966)</f>
        <v>4</v>
      </c>
    </row>
    <row r="132" spans="1:4" x14ac:dyDescent="0.35">
      <c r="A132" s="20">
        <v>38078</v>
      </c>
      <c r="C132" s="18">
        <f t="shared" si="2"/>
        <v>2098</v>
      </c>
      <c r="D132" s="18" cm="1">
        <f t="array" ref="D132">INDEX(GMW!$A$2:$LR$200,MATCH(1,(GMW!$LQ$2:$LQ$200=D$3)*(GMW!$LP$2:$LP$200=D$4),0),$C132-1966)</f>
        <v>4.5</v>
      </c>
    </row>
    <row r="133" spans="1:4" x14ac:dyDescent="0.35">
      <c r="A133" s="20">
        <v>38169</v>
      </c>
      <c r="C133" s="18">
        <f t="shared" si="2"/>
        <v>2099</v>
      </c>
      <c r="D133" s="18" cm="1">
        <f t="array" ref="D133">INDEX(GMW!$A$2:$LR$200,MATCH(1,(GMW!$LQ$2:$LQ$200=D$3)*(GMW!$LP$2:$LP$200=D$4),0),$C133-1966)</f>
        <v>4.75</v>
      </c>
    </row>
    <row r="134" spans="1:4" x14ac:dyDescent="0.35">
      <c r="A134" s="20">
        <v>38261</v>
      </c>
      <c r="C134" s="18">
        <f t="shared" si="2"/>
        <v>2100</v>
      </c>
      <c r="D134" s="18" cm="1">
        <f t="array" ref="D134">INDEX(GMW!$A$2:$LR$200,MATCH(1,(GMW!$LQ$2:$LQ$200=D$3)*(GMW!$LP$2:$LP$200=D$4),0),$C134-1966)</f>
        <v>4.75</v>
      </c>
    </row>
    <row r="135" spans="1:4" x14ac:dyDescent="0.35">
      <c r="A135" s="20">
        <v>38353</v>
      </c>
      <c r="B135" s="18">
        <v>2005</v>
      </c>
      <c r="C135" s="18">
        <f t="shared" si="2"/>
        <v>2101</v>
      </c>
      <c r="D135" s="18" cm="1">
        <f t="array" ref="D135">INDEX(GMW!$A$2:$LR$200,MATCH(1,(GMW!$LQ$2:$LQ$200=D$3)*(GMW!$LP$2:$LP$200=D$4),0),$C135-1966)</f>
        <v>4.75</v>
      </c>
    </row>
    <row r="136" spans="1:4" x14ac:dyDescent="0.35">
      <c r="A136" s="20">
        <v>38443</v>
      </c>
      <c r="C136" s="18">
        <f t="shared" si="2"/>
        <v>2102</v>
      </c>
      <c r="D136" s="18" cm="1">
        <f t="array" ref="D136">INDEX(GMW!$A$2:$LR$200,MATCH(1,(GMW!$LQ$2:$LQ$200=D$3)*(GMW!$LP$2:$LP$200=D$4),0),$C136-1966)</f>
        <v>4.75</v>
      </c>
    </row>
    <row r="137" spans="1:4" x14ac:dyDescent="0.35">
      <c r="A137" s="20">
        <v>38534</v>
      </c>
      <c r="C137" s="18">
        <f t="shared" si="2"/>
        <v>2103</v>
      </c>
      <c r="D137" s="18" cm="1">
        <f t="array" ref="D137">INDEX(GMW!$A$2:$LR$200,MATCH(1,(GMW!$LQ$2:$LQ$200=D$3)*(GMW!$LP$2:$LP$200=D$4),0),$C137-1966)</f>
        <v>4.5</v>
      </c>
    </row>
    <row r="138" spans="1:4" x14ac:dyDescent="0.35">
      <c r="A138" s="20">
        <v>38626</v>
      </c>
      <c r="C138" s="18">
        <f t="shared" si="2"/>
        <v>2104</v>
      </c>
      <c r="D138" s="18" cm="1">
        <f t="array" ref="D138">INDEX(GMW!$A$2:$LR$200,MATCH(1,(GMW!$LQ$2:$LQ$200=D$3)*(GMW!$LP$2:$LP$200=D$4),0),$C138-1966)</f>
        <v>4.5</v>
      </c>
    </row>
    <row r="139" spans="1:4" x14ac:dyDescent="0.35">
      <c r="A139" s="20">
        <v>38718</v>
      </c>
      <c r="B139" s="18">
        <v>2006</v>
      </c>
      <c r="C139" s="18">
        <f t="shared" si="2"/>
        <v>2105</v>
      </c>
      <c r="D139" s="18" cm="1">
        <f t="array" ref="D139">INDEX(GMW!$A$2:$LR$200,MATCH(1,(GMW!$LQ$2:$LQ$200=D$3)*(GMW!$LP$2:$LP$200=D$4),0),$C139-1966)</f>
        <v>4.5</v>
      </c>
    </row>
    <row r="140" spans="1:4" x14ac:dyDescent="0.35">
      <c r="A140" s="20">
        <v>38808</v>
      </c>
      <c r="C140" s="18">
        <f t="shared" si="2"/>
        <v>2106</v>
      </c>
      <c r="D140" s="18" cm="1">
        <f t="array" ref="D140">INDEX(GMW!$A$2:$LR$200,MATCH(1,(GMW!$LQ$2:$LQ$200=D$3)*(GMW!$LP$2:$LP$200=D$4),0),$C140-1966)</f>
        <v>4.5</v>
      </c>
    </row>
    <row r="141" spans="1:4" x14ac:dyDescent="0.35">
      <c r="A141" s="20">
        <v>38899</v>
      </c>
      <c r="C141" s="18">
        <f t="shared" si="2"/>
        <v>2107</v>
      </c>
      <c r="D141" s="18" cm="1">
        <f t="array" ref="D141">INDEX(GMW!$A$2:$LR$200,MATCH(1,(GMW!$LQ$2:$LQ$200=D$3)*(GMW!$LP$2:$LP$200=D$4),0),$C141-1966)</f>
        <v>4.75</v>
      </c>
    </row>
    <row r="142" spans="1:4" x14ac:dyDescent="0.35">
      <c r="A142" s="20">
        <v>38991</v>
      </c>
      <c r="C142" s="18">
        <f t="shared" si="2"/>
        <v>2108</v>
      </c>
      <c r="D142" s="18" cm="1">
        <f t="array" ref="D142">INDEX(GMW!$A$2:$LR$200,MATCH(1,(GMW!$LQ$2:$LQ$200=D$3)*(GMW!$LP$2:$LP$200=D$4),0),$C142-1966)</f>
        <v>5</v>
      </c>
    </row>
    <row r="143" spans="1:4" x14ac:dyDescent="0.35">
      <c r="A143" s="20">
        <v>39083</v>
      </c>
      <c r="B143" s="18">
        <v>2007</v>
      </c>
      <c r="C143" s="18">
        <f t="shared" si="2"/>
        <v>2109</v>
      </c>
      <c r="D143" s="18" cm="1">
        <f t="array" ref="D143">INDEX(GMW!$A$2:$LR$200,MATCH(1,(GMW!$LQ$2:$LQ$200=D$3)*(GMW!$LP$2:$LP$200=D$4),0),$C143-1966)</f>
        <v>5.25</v>
      </c>
    </row>
    <row r="144" spans="1:4" x14ac:dyDescent="0.35">
      <c r="A144" s="20">
        <v>39173</v>
      </c>
      <c r="C144" s="18">
        <f t="shared" si="2"/>
        <v>2110</v>
      </c>
      <c r="D144" s="18" cm="1">
        <f t="array" ref="D144">INDEX(GMW!$A$2:$LR$200,MATCH(1,(GMW!$LQ$2:$LQ$200=D$3)*(GMW!$LP$2:$LP$200=D$4),0),$C144-1966)</f>
        <v>5.5</v>
      </c>
    </row>
    <row r="145" spans="1:4" x14ac:dyDescent="0.35">
      <c r="A145" s="20">
        <v>39264</v>
      </c>
      <c r="C145" s="18">
        <f t="shared" si="2"/>
        <v>2111</v>
      </c>
      <c r="D145" s="18" cm="1">
        <f t="array" ref="D145">INDEX(GMW!$A$2:$LR$200,MATCH(1,(GMW!$LQ$2:$LQ$200=D$3)*(GMW!$LP$2:$LP$200=D$4),0),$C145-1966)</f>
        <v>5.75</v>
      </c>
    </row>
    <row r="146" spans="1:4" x14ac:dyDescent="0.35">
      <c r="A146" s="20">
        <v>39356</v>
      </c>
      <c r="C146" s="18">
        <f t="shared" si="2"/>
        <v>2112</v>
      </c>
      <c r="D146" s="18" cm="1">
        <f t="array" ref="D146">INDEX(GMW!$A$2:$LR$200,MATCH(1,(GMW!$LQ$2:$LQ$200=D$3)*(GMW!$LP$2:$LP$200=D$4),0),$C146-1966)</f>
        <v>5.5</v>
      </c>
    </row>
    <row r="147" spans="1:4" x14ac:dyDescent="0.35">
      <c r="A147" s="20">
        <v>39448</v>
      </c>
      <c r="B147" s="18">
        <v>2008</v>
      </c>
      <c r="C147" s="18">
        <f t="shared" si="2"/>
        <v>2113</v>
      </c>
      <c r="D147" s="18" cm="1">
        <f t="array" ref="D147">INDEX(GMW!$A$2:$LR$200,MATCH(1,(GMW!$LQ$2:$LQ$200=D$3)*(GMW!$LP$2:$LP$200=D$4),0),$C147-1966)</f>
        <v>5.25</v>
      </c>
    </row>
    <row r="148" spans="1:4" x14ac:dyDescent="0.35">
      <c r="A148" s="20">
        <v>39539</v>
      </c>
      <c r="C148" s="18">
        <f t="shared" si="2"/>
        <v>2114</v>
      </c>
      <c r="D148" s="18" cm="1">
        <f t="array" ref="D148">INDEX(GMW!$A$2:$LR$200,MATCH(1,(GMW!$LQ$2:$LQ$200=D$3)*(GMW!$LP$2:$LP$200=D$4),0),$C148-1966)</f>
        <v>5</v>
      </c>
    </row>
    <row r="149" spans="1:4" x14ac:dyDescent="0.35">
      <c r="A149" s="20">
        <v>39630</v>
      </c>
      <c r="C149" s="18">
        <f t="shared" si="2"/>
        <v>2115</v>
      </c>
      <c r="D149" s="18" cm="1">
        <f t="array" ref="D149">INDEX(GMW!$A$2:$LR$200,MATCH(1,(GMW!$LQ$2:$LQ$200=D$3)*(GMW!$LP$2:$LP$200=D$4),0),$C149-1966)</f>
        <v>5</v>
      </c>
    </row>
    <row r="150" spans="1:4" x14ac:dyDescent="0.35">
      <c r="A150" s="20">
        <v>39722</v>
      </c>
      <c r="C150" s="18">
        <f t="shared" si="2"/>
        <v>2116</v>
      </c>
      <c r="D150" s="18" cm="1">
        <f t="array" ref="D150">INDEX(GMW!$A$2:$LR$200,MATCH(1,(GMW!$LQ$2:$LQ$200=D$3)*(GMW!$LP$2:$LP$200=D$4),0),$C150-1966)</f>
        <v>2</v>
      </c>
    </row>
    <row r="151" spans="1:4" x14ac:dyDescent="0.35">
      <c r="A151" s="20">
        <v>39814</v>
      </c>
      <c r="B151" s="18">
        <v>2009</v>
      </c>
      <c r="C151" s="18">
        <f t="shared" si="2"/>
        <v>2117</v>
      </c>
      <c r="D151" s="18" cm="1">
        <f t="array" ref="D151">INDEX(GMW!$A$2:$LR$200,MATCH(1,(GMW!$LQ$2:$LQ$200=D$3)*(GMW!$LP$2:$LP$200=D$4),0),$C151-1966)</f>
        <v>0.5</v>
      </c>
    </row>
    <row r="152" spans="1:4" x14ac:dyDescent="0.35">
      <c r="A152" s="20">
        <v>39904</v>
      </c>
      <c r="C152" s="18">
        <f t="shared" si="2"/>
        <v>2118</v>
      </c>
      <c r="D152" s="18" cm="1">
        <f t="array" ref="D152">INDEX(GMW!$A$2:$LR$200,MATCH(1,(GMW!$LQ$2:$LQ$200=D$3)*(GMW!$LP$2:$LP$200=D$4),0),$C152-1966)</f>
        <v>0.5</v>
      </c>
    </row>
    <row r="153" spans="1:4" x14ac:dyDescent="0.35">
      <c r="A153" s="20">
        <v>39995</v>
      </c>
      <c r="C153" s="18">
        <f t="shared" si="2"/>
        <v>2119</v>
      </c>
      <c r="D153" s="18" cm="1">
        <f t="array" ref="D153">INDEX(GMW!$A$2:$LR$200,MATCH(1,(GMW!$LQ$2:$LQ$200=D$3)*(GMW!$LP$2:$LP$200=D$4),0),$C153-1966)</f>
        <v>0.5</v>
      </c>
    </row>
    <row r="154" spans="1:4" x14ac:dyDescent="0.35">
      <c r="A154" s="20">
        <v>40087</v>
      </c>
      <c r="C154" s="18">
        <f t="shared" si="2"/>
        <v>2120</v>
      </c>
      <c r="D154" s="18" cm="1">
        <f t="array" ref="D154">INDEX(GMW!$A$2:$LR$200,MATCH(1,(GMW!$LQ$2:$LQ$200=D$3)*(GMW!$LP$2:$LP$200=D$4),0),$C154-1966)</f>
        <v>0.5</v>
      </c>
    </row>
    <row r="155" spans="1:4" x14ac:dyDescent="0.35">
      <c r="A155" s="20">
        <v>40179</v>
      </c>
      <c r="B155" s="18">
        <v>2010</v>
      </c>
      <c r="C155" s="18">
        <f t="shared" si="2"/>
        <v>2121</v>
      </c>
      <c r="D155" s="18" cm="1">
        <f t="array" ref="D155">INDEX(GMW!$A$2:$LR$200,MATCH(1,(GMW!$LQ$2:$LQ$200=D$3)*(GMW!$LP$2:$LP$200=D$4),0),$C155-1966)</f>
        <v>0.5</v>
      </c>
    </row>
    <row r="156" spans="1:4" x14ac:dyDescent="0.35">
      <c r="A156" s="20">
        <v>40269</v>
      </c>
      <c r="C156" s="18">
        <f t="shared" si="2"/>
        <v>2122</v>
      </c>
      <c r="D156" s="18" cm="1">
        <f t="array" ref="D156">INDEX(GMW!$A$2:$LR$200,MATCH(1,(GMW!$LQ$2:$LQ$200=D$3)*(GMW!$LP$2:$LP$200=D$4),0),$C156-1966)</f>
        <v>0.5</v>
      </c>
    </row>
    <row r="157" spans="1:4" x14ac:dyDescent="0.35">
      <c r="A157" s="20">
        <v>40360</v>
      </c>
      <c r="C157" s="18">
        <f t="shared" si="2"/>
        <v>2123</v>
      </c>
      <c r="D157" s="18" cm="1">
        <f t="array" ref="D157">INDEX(GMW!$A$2:$LR$200,MATCH(1,(GMW!$LQ$2:$LQ$200=D$3)*(GMW!$LP$2:$LP$200=D$4),0),$C157-1966)</f>
        <v>0.5</v>
      </c>
    </row>
    <row r="158" spans="1:4" x14ac:dyDescent="0.35">
      <c r="A158" s="20">
        <v>40452</v>
      </c>
      <c r="C158" s="18">
        <f t="shared" si="2"/>
        <v>2124</v>
      </c>
      <c r="D158" s="18" cm="1">
        <f t="array" ref="D158">INDEX(GMW!$A$2:$LR$200,MATCH(1,(GMW!$LQ$2:$LQ$200=D$3)*(GMW!$LP$2:$LP$200=D$4),0),$C158-1966)</f>
        <v>0.5</v>
      </c>
    </row>
    <row r="159" spans="1:4" x14ac:dyDescent="0.35">
      <c r="A159" s="20">
        <v>40544</v>
      </c>
      <c r="B159" s="18">
        <v>2011</v>
      </c>
      <c r="C159" s="18">
        <f t="shared" si="2"/>
        <v>2125</v>
      </c>
      <c r="D159" s="18" cm="1">
        <f t="array" ref="D159">INDEX(GMW!$A$2:$LR$200,MATCH(1,(GMW!$LQ$2:$LQ$200=D$3)*(GMW!$LP$2:$LP$200=D$4),0),$C159-1966)</f>
        <v>0.5</v>
      </c>
    </row>
    <row r="160" spans="1:4" x14ac:dyDescent="0.35">
      <c r="A160" s="20">
        <v>40634</v>
      </c>
      <c r="C160" s="18">
        <f t="shared" si="2"/>
        <v>2126</v>
      </c>
      <c r="D160" s="18" cm="1">
        <f t="array" ref="D160">INDEX(GMW!$A$2:$LR$200,MATCH(1,(GMW!$LQ$2:$LQ$200=D$3)*(GMW!$LP$2:$LP$200=D$4),0),$C160-1966)</f>
        <v>0.5</v>
      </c>
    </row>
    <row r="161" spans="1:4" x14ac:dyDescent="0.35">
      <c r="A161" s="20">
        <v>40725</v>
      </c>
      <c r="C161" s="18">
        <f t="shared" si="2"/>
        <v>2127</v>
      </c>
      <c r="D161" s="18" cm="1">
        <f t="array" ref="D161">INDEX(GMW!$A$2:$LR$200,MATCH(1,(GMW!$LQ$2:$LQ$200=D$3)*(GMW!$LP$2:$LP$200=D$4),0),$C161-1966)</f>
        <v>0.5</v>
      </c>
    </row>
    <row r="162" spans="1:4" x14ac:dyDescent="0.35">
      <c r="A162" s="20">
        <v>40817</v>
      </c>
      <c r="C162" s="18">
        <f t="shared" si="2"/>
        <v>2128</v>
      </c>
      <c r="D162" s="18" cm="1">
        <f t="array" ref="D162">INDEX(GMW!$A$2:$LR$200,MATCH(1,(GMW!$LQ$2:$LQ$200=D$3)*(GMW!$LP$2:$LP$200=D$4),0),$C162-1966)</f>
        <v>0.5</v>
      </c>
    </row>
    <row r="163" spans="1:4" x14ac:dyDescent="0.35">
      <c r="A163" s="20">
        <v>40909</v>
      </c>
      <c r="B163" s="18">
        <v>2012</v>
      </c>
      <c r="C163" s="18">
        <f t="shared" si="2"/>
        <v>2129</v>
      </c>
      <c r="D163" s="18" cm="1">
        <f t="array" ref="D163">INDEX(GMW!$A$2:$LR$200,MATCH(1,(GMW!$LQ$2:$LQ$200=D$3)*(GMW!$LP$2:$LP$200=D$4),0),$C163-1966)</f>
        <v>0.5</v>
      </c>
    </row>
    <row r="164" spans="1:4" x14ac:dyDescent="0.35">
      <c r="A164" s="20">
        <v>41000</v>
      </c>
      <c r="C164" s="18">
        <f t="shared" si="2"/>
        <v>2130</v>
      </c>
      <c r="D164" s="18" cm="1">
        <f t="array" ref="D164">INDEX(GMW!$A$2:$LR$200,MATCH(1,(GMW!$LQ$2:$LQ$200=D$3)*(GMW!$LP$2:$LP$200=D$4),0),$C164-1966)</f>
        <v>0.5</v>
      </c>
    </row>
    <row r="165" spans="1:4" x14ac:dyDescent="0.35">
      <c r="A165" s="20">
        <v>41091</v>
      </c>
      <c r="C165" s="18">
        <f t="shared" si="2"/>
        <v>2131</v>
      </c>
      <c r="D165" s="18" cm="1">
        <f t="array" ref="D165">INDEX(GMW!$A$2:$LR$200,MATCH(1,(GMW!$LQ$2:$LQ$200=D$3)*(GMW!$LP$2:$LP$200=D$4),0),$C165-1966)</f>
        <v>0.5</v>
      </c>
    </row>
    <row r="166" spans="1:4" x14ac:dyDescent="0.35">
      <c r="A166" s="20">
        <v>41183</v>
      </c>
      <c r="C166" s="18">
        <f t="shared" si="2"/>
        <v>2132</v>
      </c>
      <c r="D166" s="18" cm="1">
        <f t="array" ref="D166">INDEX(GMW!$A$2:$LR$200,MATCH(1,(GMW!$LQ$2:$LQ$200=D$3)*(GMW!$LP$2:$LP$200=D$4),0),$C166-1966)</f>
        <v>0.5</v>
      </c>
    </row>
    <row r="167" spans="1:4" x14ac:dyDescent="0.35">
      <c r="A167" s="20">
        <v>41275</v>
      </c>
      <c r="B167" s="18">
        <v>2013</v>
      </c>
      <c r="C167" s="18">
        <f t="shared" si="2"/>
        <v>2133</v>
      </c>
      <c r="D167" s="18" cm="1">
        <f t="array" ref="D167">INDEX(GMW!$A$2:$LR$200,MATCH(1,(GMW!$LQ$2:$LQ$200=D$3)*(GMW!$LP$2:$LP$200=D$4),0),$C167-1966)</f>
        <v>0.5</v>
      </c>
    </row>
    <row r="168" spans="1:4" x14ac:dyDescent="0.35">
      <c r="A168" s="20">
        <v>41365</v>
      </c>
      <c r="C168" s="18">
        <f t="shared" si="2"/>
        <v>2134</v>
      </c>
      <c r="D168" s="18" cm="1">
        <f t="array" ref="D168">INDEX(GMW!$A$2:$LR$200,MATCH(1,(GMW!$LQ$2:$LQ$200=D$3)*(GMW!$LP$2:$LP$200=D$4),0),$C168-1966)</f>
        <v>0.5</v>
      </c>
    </row>
    <row r="169" spans="1:4" x14ac:dyDescent="0.35">
      <c r="A169" s="20">
        <v>41456</v>
      </c>
      <c r="C169" s="18">
        <f t="shared" si="2"/>
        <v>2135</v>
      </c>
      <c r="D169" s="18" cm="1">
        <f t="array" ref="D169">INDEX(GMW!$A$2:$LR$200,MATCH(1,(GMW!$LQ$2:$LQ$200=D$3)*(GMW!$LP$2:$LP$200=D$4),0),$C169-1966)</f>
        <v>0.5</v>
      </c>
    </row>
    <row r="170" spans="1:4" x14ac:dyDescent="0.35">
      <c r="A170" s="20">
        <v>41548</v>
      </c>
      <c r="C170" s="18">
        <f t="shared" si="2"/>
        <v>2136</v>
      </c>
      <c r="D170" s="18" cm="1">
        <f t="array" ref="D170">INDEX(GMW!$A$2:$LR$200,MATCH(1,(GMW!$LQ$2:$LQ$200=D$3)*(GMW!$LP$2:$LP$200=D$4),0),$C170-1966)</f>
        <v>0.5</v>
      </c>
    </row>
    <row r="171" spans="1:4" x14ac:dyDescent="0.35">
      <c r="A171" s="20">
        <v>41640</v>
      </c>
      <c r="B171" s="18">
        <v>2014</v>
      </c>
      <c r="C171" s="18">
        <f t="shared" si="2"/>
        <v>2137</v>
      </c>
      <c r="D171" s="18" cm="1">
        <f t="array" ref="D171">INDEX(GMW!$A$2:$LR$200,MATCH(1,(GMW!$LQ$2:$LQ$200=D$3)*(GMW!$LP$2:$LP$200=D$4),0),$C171-1966)</f>
        <v>0.5</v>
      </c>
    </row>
    <row r="172" spans="1:4" x14ac:dyDescent="0.35">
      <c r="A172" s="20">
        <v>41730</v>
      </c>
      <c r="C172" s="18">
        <f t="shared" si="2"/>
        <v>2138</v>
      </c>
      <c r="D172" s="18" cm="1">
        <f t="array" ref="D172">INDEX(GMW!$A$2:$LR$200,MATCH(1,(GMW!$LQ$2:$LQ$200=D$3)*(GMW!$LP$2:$LP$200=D$4),0),$C172-1966)</f>
        <v>0.5</v>
      </c>
    </row>
    <row r="173" spans="1:4" x14ac:dyDescent="0.35">
      <c r="A173" s="20">
        <v>41821</v>
      </c>
      <c r="C173" s="18">
        <f t="shared" si="2"/>
        <v>2139</v>
      </c>
      <c r="D173" s="18" cm="1">
        <f t="array" ref="D173">INDEX(GMW!$A$2:$LR$200,MATCH(1,(GMW!$LQ$2:$LQ$200=D$3)*(GMW!$LP$2:$LP$200=D$4),0),$C173-1966)</f>
        <v>0.5</v>
      </c>
    </row>
    <row r="174" spans="1:4" x14ac:dyDescent="0.35">
      <c r="A174" s="20">
        <v>41913</v>
      </c>
      <c r="C174" s="18">
        <f t="shared" si="2"/>
        <v>2140</v>
      </c>
      <c r="D174" s="18" cm="1">
        <f t="array" ref="D174">INDEX(GMW!$A$2:$LR$200,MATCH(1,(GMW!$LQ$2:$LQ$200=D$3)*(GMW!$LP$2:$LP$200=D$4),0),$C174-1966)</f>
        <v>0.5</v>
      </c>
    </row>
    <row r="175" spans="1:4" x14ac:dyDescent="0.35">
      <c r="A175" s="20">
        <v>42005</v>
      </c>
      <c r="B175" s="18">
        <v>2015</v>
      </c>
      <c r="C175" s="18">
        <f t="shared" si="2"/>
        <v>2141</v>
      </c>
      <c r="D175" s="18" cm="1">
        <f t="array" ref="D175">INDEX(GMW!$A$2:$LR$200,MATCH(1,(GMW!$LQ$2:$LQ$200=D$3)*(GMW!$LP$2:$LP$200=D$4),0),$C175-1966)</f>
        <v>0.5</v>
      </c>
    </row>
    <row r="176" spans="1:4" x14ac:dyDescent="0.35">
      <c r="A176" s="20">
        <v>42095</v>
      </c>
      <c r="C176" s="18">
        <f t="shared" si="2"/>
        <v>2142</v>
      </c>
      <c r="D176" s="18" cm="1">
        <f t="array" ref="D176">INDEX(GMW!$A$2:$LR$200,MATCH(1,(GMW!$LQ$2:$LQ$200=D$3)*(GMW!$LP$2:$LP$200=D$4),0),$C176-1966)</f>
        <v>0.5</v>
      </c>
    </row>
    <row r="177" spans="1:4" x14ac:dyDescent="0.35">
      <c r="A177" s="20">
        <v>42186</v>
      </c>
      <c r="C177" s="18">
        <f t="shared" ref="C177:C240" si="3">+C176+1</f>
        <v>2143</v>
      </c>
      <c r="D177" s="18" cm="1">
        <f t="array" ref="D177">INDEX(GMW!$A$2:$LR$200,MATCH(1,(GMW!$LQ$2:$LQ$200=D$3)*(GMW!$LP$2:$LP$200=D$4),0),$C177-1966)</f>
        <v>0.5</v>
      </c>
    </row>
    <row r="178" spans="1:4" x14ac:dyDescent="0.35">
      <c r="A178" s="20">
        <v>42278</v>
      </c>
      <c r="C178" s="18">
        <f t="shared" si="3"/>
        <v>2144</v>
      </c>
      <c r="D178" s="18" cm="1">
        <f t="array" ref="D178">INDEX(GMW!$A$2:$LR$200,MATCH(1,(GMW!$LQ$2:$LQ$200=D$3)*(GMW!$LP$2:$LP$200=D$4),0),$C178-1966)</f>
        <v>0.5</v>
      </c>
    </row>
    <row r="179" spans="1:4" x14ac:dyDescent="0.35">
      <c r="A179" s="20">
        <v>42370</v>
      </c>
      <c r="B179" s="18">
        <v>2016</v>
      </c>
      <c r="C179" s="18">
        <f t="shared" si="3"/>
        <v>2145</v>
      </c>
      <c r="D179" s="18" cm="1">
        <f t="array" ref="D179">INDEX(GMW!$A$2:$LR$200,MATCH(1,(GMW!$LQ$2:$LQ$200=D$3)*(GMW!$LP$2:$LP$200=D$4),0),$C179-1966)</f>
        <v>0.5</v>
      </c>
    </row>
    <row r="180" spans="1:4" x14ac:dyDescent="0.35">
      <c r="A180" s="20">
        <v>42461</v>
      </c>
      <c r="C180" s="18">
        <f t="shared" si="3"/>
        <v>2146</v>
      </c>
      <c r="D180" s="18" cm="1">
        <f t="array" ref="D180">INDEX(GMW!$A$2:$LR$200,MATCH(1,(GMW!$LQ$2:$LQ$200=D$3)*(GMW!$LP$2:$LP$200=D$4),0),$C180-1966)</f>
        <v>0.5</v>
      </c>
    </row>
    <row r="181" spans="1:4" x14ac:dyDescent="0.35">
      <c r="A181" s="20">
        <v>42552</v>
      </c>
      <c r="C181" s="18">
        <f t="shared" si="3"/>
        <v>2147</v>
      </c>
      <c r="D181" s="18" cm="1">
        <f t="array" ref="D181">INDEX(GMW!$A$2:$LR$200,MATCH(1,(GMW!$LQ$2:$LQ$200=D$3)*(GMW!$LP$2:$LP$200=D$4),0),$C181-1966)</f>
        <v>0.25</v>
      </c>
    </row>
    <row r="182" spans="1:4" x14ac:dyDescent="0.35">
      <c r="A182" s="20">
        <v>42644</v>
      </c>
      <c r="C182" s="18">
        <f t="shared" si="3"/>
        <v>2148</v>
      </c>
      <c r="D182" s="18" cm="1">
        <f t="array" ref="D182">INDEX(GMW!$A$2:$LR$200,MATCH(1,(GMW!$LQ$2:$LQ$200=D$3)*(GMW!$LP$2:$LP$200=D$4),0),$C182-1966)</f>
        <v>0.25</v>
      </c>
    </row>
    <row r="183" spans="1:4" x14ac:dyDescent="0.35">
      <c r="A183" s="20">
        <v>42736</v>
      </c>
      <c r="B183" s="18">
        <v>2017</v>
      </c>
      <c r="C183" s="18">
        <f t="shared" si="3"/>
        <v>2149</v>
      </c>
      <c r="D183" s="18" cm="1">
        <f t="array" ref="D183">INDEX(GMW!$A$2:$LR$200,MATCH(1,(GMW!$LQ$2:$LQ$200=D$3)*(GMW!$LP$2:$LP$200=D$4),0),$C183-1966)</f>
        <v>0.25</v>
      </c>
    </row>
    <row r="184" spans="1:4" x14ac:dyDescent="0.35">
      <c r="A184" s="20">
        <v>42826</v>
      </c>
      <c r="C184" s="18">
        <f t="shared" si="3"/>
        <v>2150</v>
      </c>
      <c r="D184" s="18" cm="1">
        <f t="array" ref="D184">INDEX(GMW!$A$2:$LR$200,MATCH(1,(GMW!$LQ$2:$LQ$200=D$3)*(GMW!$LP$2:$LP$200=D$4),0),$C184-1966)</f>
        <v>0.25</v>
      </c>
    </row>
    <row r="185" spans="1:4" x14ac:dyDescent="0.35">
      <c r="A185" s="20">
        <v>42917</v>
      </c>
      <c r="C185" s="18">
        <f t="shared" si="3"/>
        <v>2151</v>
      </c>
      <c r="D185" s="18" cm="1">
        <f t="array" ref="D185">INDEX(GMW!$A$2:$LR$200,MATCH(1,(GMW!$LQ$2:$LQ$200=D$3)*(GMW!$LP$2:$LP$200=D$4),0),$C185-1966)</f>
        <v>0.25</v>
      </c>
    </row>
    <row r="186" spans="1:4" x14ac:dyDescent="0.35">
      <c r="A186" s="20">
        <v>43009</v>
      </c>
      <c r="C186" s="18">
        <f t="shared" si="3"/>
        <v>2152</v>
      </c>
      <c r="D186" s="18" cm="1">
        <f t="array" ref="D186">INDEX(GMW!$A$2:$LR$200,MATCH(1,(GMW!$LQ$2:$LQ$200=D$3)*(GMW!$LP$2:$LP$200=D$4),0),$C186-1966)</f>
        <v>0.5</v>
      </c>
    </row>
    <row r="187" spans="1:4" x14ac:dyDescent="0.35">
      <c r="A187" s="20">
        <v>43101</v>
      </c>
      <c r="B187" s="18">
        <v>2018</v>
      </c>
      <c r="C187" s="18">
        <f t="shared" si="3"/>
        <v>2153</v>
      </c>
      <c r="D187" s="18" cm="1">
        <f t="array" ref="D187">INDEX(GMW!$A$2:$LR$200,MATCH(1,(GMW!$LQ$2:$LQ$200=D$3)*(GMW!$LP$2:$LP$200=D$4),0),$C187-1966)</f>
        <v>0.5</v>
      </c>
    </row>
    <row r="188" spans="1:4" x14ac:dyDescent="0.35">
      <c r="A188" s="20">
        <v>43191</v>
      </c>
      <c r="C188" s="18">
        <f t="shared" si="3"/>
        <v>2154</v>
      </c>
      <c r="D188" s="18" cm="1">
        <f t="array" ref="D188">INDEX(GMW!$A$2:$LR$200,MATCH(1,(GMW!$LQ$2:$LQ$200=D$3)*(GMW!$LP$2:$LP$200=D$4),0),$C188-1966)</f>
        <v>0.5</v>
      </c>
    </row>
    <row r="189" spans="1:4" x14ac:dyDescent="0.35">
      <c r="A189" s="20">
        <v>43282</v>
      </c>
      <c r="C189" s="18">
        <f t="shared" si="3"/>
        <v>2155</v>
      </c>
      <c r="D189" s="18" cm="1">
        <f t="array" ref="D189">INDEX(GMW!$A$2:$LR$200,MATCH(1,(GMW!$LQ$2:$LQ$200=D$3)*(GMW!$LP$2:$LP$200=D$4),0),$C189-1966)</f>
        <v>0.75</v>
      </c>
    </row>
    <row r="190" spans="1:4" x14ac:dyDescent="0.35">
      <c r="A190" s="20">
        <v>43374</v>
      </c>
      <c r="C190" s="18">
        <f t="shared" si="3"/>
        <v>2156</v>
      </c>
      <c r="D190" s="18" cm="1">
        <f t="array" ref="D190">INDEX(GMW!$A$2:$LR$200,MATCH(1,(GMW!$LQ$2:$LQ$200=D$3)*(GMW!$LP$2:$LP$200=D$4),0),$C190-1966)</f>
        <v>0.75</v>
      </c>
    </row>
    <row r="191" spans="1:4" x14ac:dyDescent="0.35">
      <c r="A191" s="20">
        <v>43466</v>
      </c>
      <c r="B191" s="18">
        <v>2019</v>
      </c>
      <c r="C191" s="18">
        <f t="shared" si="3"/>
        <v>2157</v>
      </c>
      <c r="D191" s="18" cm="1">
        <f t="array" ref="D191">INDEX(GMW!$A$2:$LR$200,MATCH(1,(GMW!$LQ$2:$LQ$200=D$3)*(GMW!$LP$2:$LP$200=D$4),0),$C191-1966)</f>
        <v>0.75</v>
      </c>
    </row>
    <row r="192" spans="1:4" x14ac:dyDescent="0.35">
      <c r="A192" s="20">
        <v>43556</v>
      </c>
      <c r="C192" s="18">
        <f t="shared" si="3"/>
        <v>2158</v>
      </c>
      <c r="D192" s="18" cm="1">
        <f t="array" ref="D192">INDEX(GMW!$A$2:$LR$200,MATCH(1,(GMW!$LQ$2:$LQ$200=D$3)*(GMW!$LP$2:$LP$200=D$4),0),$C192-1966)</f>
        <v>0.75</v>
      </c>
    </row>
    <row r="193" spans="1:4" x14ac:dyDescent="0.35">
      <c r="A193" s="20">
        <v>43647</v>
      </c>
      <c r="C193" s="18">
        <f t="shared" si="3"/>
        <v>2159</v>
      </c>
      <c r="D193" s="18" cm="1">
        <f t="array" ref="D193">INDEX(GMW!$A$2:$LR$200,MATCH(1,(GMW!$LQ$2:$LQ$200=D$3)*(GMW!$LP$2:$LP$200=D$4),0),$C193-1966)</f>
        <v>0.75</v>
      </c>
    </row>
    <row r="194" spans="1:4" x14ac:dyDescent="0.35">
      <c r="A194" s="20">
        <v>43739</v>
      </c>
      <c r="C194" s="18">
        <f t="shared" si="3"/>
        <v>2160</v>
      </c>
      <c r="D194" s="18" cm="1">
        <f t="array" ref="D194">INDEX(GMW!$A$2:$LR$200,MATCH(1,(GMW!$LQ$2:$LQ$200=D$3)*(GMW!$LP$2:$LP$200=D$4),0),$C194-1966)</f>
        <v>0.75</v>
      </c>
    </row>
    <row r="195" spans="1:4" x14ac:dyDescent="0.35">
      <c r="A195" s="20">
        <v>43831</v>
      </c>
      <c r="B195" s="18">
        <v>2020</v>
      </c>
      <c r="C195" s="18">
        <f t="shared" si="3"/>
        <v>2161</v>
      </c>
      <c r="D195" s="18" cm="1">
        <f t="array" ref="D195">INDEX(GMW!$A$2:$LR$200,MATCH(1,(GMW!$LQ$2:$LQ$200=D$3)*(GMW!$LP$2:$LP$200=D$4),0),$C195-1966)</f>
        <v>0.1</v>
      </c>
    </row>
    <row r="196" spans="1:4" x14ac:dyDescent="0.35">
      <c r="A196" s="20">
        <v>43922</v>
      </c>
      <c r="C196" s="18">
        <f t="shared" si="3"/>
        <v>2162</v>
      </c>
      <c r="D196" s="18" cm="1">
        <f t="array" ref="D196">INDEX(GMW!$A$2:$LR$200,MATCH(1,(GMW!$LQ$2:$LQ$200=D$3)*(GMW!$LP$2:$LP$200=D$4),0),$C196-1966)</f>
        <v>0.1</v>
      </c>
    </row>
    <row r="197" spans="1:4" x14ac:dyDescent="0.35">
      <c r="A197" s="20">
        <v>44013</v>
      </c>
      <c r="C197" s="18">
        <f t="shared" si="3"/>
        <v>2163</v>
      </c>
      <c r="D197" s="18" cm="1">
        <f t="array" ref="D197">INDEX(GMW!$A$2:$LR$200,MATCH(1,(GMW!$LQ$2:$LQ$200=D$3)*(GMW!$LP$2:$LP$200=D$4),0),$C197-1966)</f>
        <v>0.1</v>
      </c>
    </row>
    <row r="198" spans="1:4" x14ac:dyDescent="0.35">
      <c r="A198" s="20">
        <v>44105</v>
      </c>
      <c r="C198" s="18">
        <f t="shared" si="3"/>
        <v>2164</v>
      </c>
      <c r="D198" s="18" cm="1">
        <f t="array" ref="D198">INDEX(GMW!$A$2:$LR$200,MATCH(1,(GMW!$LQ$2:$LQ$200=D$3)*(GMW!$LP$2:$LP$200=D$4),0),$C198-1966)</f>
        <v>0.1</v>
      </c>
    </row>
    <row r="199" spans="1:4" x14ac:dyDescent="0.35">
      <c r="A199" s="20">
        <v>44197</v>
      </c>
      <c r="B199" s="18">
        <v>2021</v>
      </c>
      <c r="C199" s="18">
        <f t="shared" si="3"/>
        <v>2165</v>
      </c>
      <c r="D199" s="18" cm="1">
        <f t="array" ref="D199">INDEX(GMW!$A$2:$LR$200,MATCH(1,(GMW!$LQ$2:$LQ$200=D$3)*(GMW!$LP$2:$LP$200=D$4),0),$C199-1966)</f>
        <v>0.1</v>
      </c>
    </row>
    <row r="200" spans="1:4" x14ac:dyDescent="0.35">
      <c r="A200" s="20">
        <v>44287</v>
      </c>
      <c r="C200" s="18">
        <f t="shared" si="3"/>
        <v>2166</v>
      </c>
      <c r="D200" s="18" cm="1">
        <f t="array" ref="D200">INDEX(GMW!$A$2:$LR$200,MATCH(1,(GMW!$LQ$2:$LQ$200=D$3)*(GMW!$LP$2:$LP$200=D$4),0),$C200-1966)</f>
        <v>0.1</v>
      </c>
    </row>
    <row r="201" spans="1:4" x14ac:dyDescent="0.35">
      <c r="A201" s="20">
        <v>44378</v>
      </c>
      <c r="C201" s="18">
        <f t="shared" si="3"/>
        <v>2167</v>
      </c>
      <c r="D201" s="18" cm="1">
        <f t="array" ref="D201">INDEX(GMW!$A$2:$LR$200,MATCH(1,(GMW!$LQ$2:$LQ$200=D$3)*(GMW!$LP$2:$LP$200=D$4),0),$C201-1966)</f>
        <v>0.1</v>
      </c>
    </row>
    <row r="202" spans="1:4" x14ac:dyDescent="0.35">
      <c r="A202" s="20">
        <v>44470</v>
      </c>
      <c r="C202" s="18">
        <f t="shared" si="3"/>
        <v>2168</v>
      </c>
      <c r="D202" s="18" cm="1">
        <f t="array" ref="D202">INDEX(GMW!$A$2:$LR$200,MATCH(1,(GMW!$LQ$2:$LQ$200=D$3)*(GMW!$LP$2:$LP$200=D$4),0),$C202-1966)</f>
        <v>0.25</v>
      </c>
    </row>
    <row r="203" spans="1:4" x14ac:dyDescent="0.35">
      <c r="A203" s="20">
        <v>44562</v>
      </c>
      <c r="B203" s="18">
        <v>2022</v>
      </c>
      <c r="C203" s="18">
        <f t="shared" si="3"/>
        <v>2169</v>
      </c>
      <c r="D203" s="18" cm="1">
        <f t="array" ref="D203">INDEX(GMW!$A$2:$LR$200,MATCH(1,(GMW!$LQ$2:$LQ$200=D$3)*(GMW!$LP$2:$LP$200=D$4),0),$C203-1966)</f>
        <v>0.75</v>
      </c>
    </row>
    <row r="204" spans="1:4" x14ac:dyDescent="0.35">
      <c r="A204" s="20">
        <v>44652</v>
      </c>
      <c r="C204" s="18">
        <f t="shared" si="3"/>
        <v>2170</v>
      </c>
      <c r="D204" s="18" cm="1">
        <f t="array" ref="D204">INDEX(GMW!$A$2:$LR$200,MATCH(1,(GMW!$LQ$2:$LQ$200=D$3)*(GMW!$LP$2:$LP$200=D$4),0),$C204-1966)</f>
        <v>1.25</v>
      </c>
    </row>
    <row r="205" spans="1:4" x14ac:dyDescent="0.35">
      <c r="A205" s="20">
        <v>44743</v>
      </c>
      <c r="C205" s="18">
        <f t="shared" si="3"/>
        <v>2171</v>
      </c>
      <c r="D205" s="18" cm="1">
        <f t="array" ref="D205">INDEX(GMW!$A$2:$LR$200,MATCH(1,(GMW!$LQ$2:$LQ$200=D$3)*(GMW!$LP$2:$LP$200=D$4),0),$C205-1966)</f>
        <v>2.25</v>
      </c>
    </row>
    <row r="206" spans="1:4" x14ac:dyDescent="0.35">
      <c r="A206" s="20">
        <v>44835</v>
      </c>
      <c r="C206" s="18">
        <f t="shared" si="3"/>
        <v>2172</v>
      </c>
      <c r="D206" s="18" cm="1">
        <f t="array" ref="D206">INDEX(GMW!$A$2:$LR$200,MATCH(1,(GMW!$LQ$2:$LQ$200=D$3)*(GMW!$LP$2:$LP$200=D$4),0),$C206-1966)</f>
        <v>3.5</v>
      </c>
    </row>
    <row r="207" spans="1:4" x14ac:dyDescent="0.35">
      <c r="A207" s="20">
        <v>44927</v>
      </c>
      <c r="B207" s="18">
        <v>2023</v>
      </c>
      <c r="C207" s="18">
        <f t="shared" si="3"/>
        <v>2173</v>
      </c>
      <c r="D207" s="18" cm="1">
        <f t="array" ref="D207">INDEX(GMW!$A$2:$LR$200,MATCH(1,(GMW!$LQ$2:$LQ$200=D$3)*(GMW!$LP$2:$LP$200=D$4),0),$C207-1966)</f>
        <v>4.25</v>
      </c>
    </row>
    <row r="208" spans="1:4" x14ac:dyDescent="0.35">
      <c r="A208" s="20">
        <v>45017</v>
      </c>
      <c r="C208" s="18">
        <f t="shared" si="3"/>
        <v>2174</v>
      </c>
      <c r="D208" s="18" cm="1">
        <f t="array" ref="D208">INDEX(GMW!$A$2:$LR$200,MATCH(1,(GMW!$LQ$2:$LQ$200=D$3)*(GMW!$LP$2:$LP$200=D$4),0),$C208-1966)</f>
        <v>5</v>
      </c>
    </row>
    <row r="209" spans="1:4" x14ac:dyDescent="0.35">
      <c r="A209" s="20">
        <v>45108</v>
      </c>
      <c r="C209" s="18">
        <f t="shared" si="3"/>
        <v>2175</v>
      </c>
      <c r="D209" s="18" cm="1">
        <f t="array" ref="D209">INDEX(GMW!$A$2:$LR$200,MATCH(1,(GMW!$LQ$2:$LQ$200=D$3)*(GMW!$LP$2:$LP$200=D$4),0),$C209-1966)</f>
        <v>5.25</v>
      </c>
    </row>
    <row r="210" spans="1:4" x14ac:dyDescent="0.35">
      <c r="A210" s="20">
        <v>45200</v>
      </c>
      <c r="C210" s="18">
        <f t="shared" si="3"/>
        <v>2176</v>
      </c>
      <c r="D210" s="18" cm="1">
        <f t="array" ref="D210">INDEX(GMW!$A$2:$LR$200,MATCH(1,(GMW!$LQ$2:$LQ$200=D$3)*(GMW!$LP$2:$LP$200=D$4),0),$C210-1966)</f>
        <v>5.25</v>
      </c>
    </row>
    <row r="211" spans="1:4" x14ac:dyDescent="0.35">
      <c r="A211" s="20">
        <v>45292</v>
      </c>
      <c r="B211" s="18">
        <v>2024</v>
      </c>
      <c r="C211" s="18">
        <f t="shared" si="3"/>
        <v>2177</v>
      </c>
      <c r="D211" s="18" cm="1">
        <f t="array" ref="D211">INDEX(GMW!$A$2:$LR$200,MATCH(1,(GMW!$LQ$2:$LQ$200=D$3)*(GMW!$LP$2:$LP$200=D$4),0),$C211-1966)</f>
        <v>5.25</v>
      </c>
    </row>
    <row r="212" spans="1:4" x14ac:dyDescent="0.35">
      <c r="A212" s="20">
        <v>45383</v>
      </c>
      <c r="C212" s="18">
        <f t="shared" si="3"/>
        <v>2178</v>
      </c>
      <c r="D212" s="18" cm="1">
        <f t="array" ref="D212">INDEX(GMW!$A$2:$LR$200,MATCH(1,(GMW!$LQ$2:$LQ$200=D$3)*(GMW!$LP$2:$LP$200=D$4),0),$C212-1966)</f>
        <v>5</v>
      </c>
    </row>
    <row r="213" spans="1:4" x14ac:dyDescent="0.35">
      <c r="A213" s="20">
        <v>45474</v>
      </c>
      <c r="C213" s="18">
        <f t="shared" si="3"/>
        <v>2179</v>
      </c>
      <c r="D213" s="18" cm="1">
        <f t="array" ref="D213">INDEX(GMW!$A$2:$LR$200,MATCH(1,(GMW!$LQ$2:$LQ$200=D$3)*(GMW!$LP$2:$LP$200=D$4),0),$C213-1966)</f>
        <v>4.75</v>
      </c>
    </row>
    <row r="214" spans="1:4" x14ac:dyDescent="0.35">
      <c r="A214" s="20">
        <v>45566</v>
      </c>
      <c r="C214" s="18">
        <f t="shared" si="3"/>
        <v>2180</v>
      </c>
      <c r="D214" s="18" cm="1">
        <f t="array" ref="D214">INDEX(GMW!$A$2:$LR$200,MATCH(1,(GMW!$LQ$2:$LQ$200=D$3)*(GMW!$LP$2:$LP$200=D$4),0),$C214-1966)</f>
        <v>4.5</v>
      </c>
    </row>
    <row r="215" spans="1:4" x14ac:dyDescent="0.35">
      <c r="A215" s="20">
        <v>45658</v>
      </c>
      <c r="B215" s="18">
        <v>2025</v>
      </c>
      <c r="C215" s="18">
        <f t="shared" si="3"/>
        <v>2181</v>
      </c>
      <c r="D215" s="18" cm="1">
        <f t="array" ref="D215">INDEX(GMW!$A$2:$LR$200,MATCH(1,(GMW!$LQ$2:$LQ$200=D$3)*(GMW!$LP$2:$LP$200=D$4),0),$C215-1966)</f>
        <v>4.25</v>
      </c>
    </row>
    <row r="216" spans="1:4" x14ac:dyDescent="0.35">
      <c r="A216" s="20">
        <v>45748</v>
      </c>
      <c r="C216" s="18">
        <f t="shared" si="3"/>
        <v>2182</v>
      </c>
      <c r="D216" s="18" cm="1">
        <f t="array" ref="D216">INDEX(GMW!$A$2:$LR$200,MATCH(1,(GMW!$LQ$2:$LQ$200=D$3)*(GMW!$LP$2:$LP$200=D$4),0),$C216-1966)</f>
        <v>4</v>
      </c>
    </row>
    <row r="217" spans="1:4" x14ac:dyDescent="0.35">
      <c r="A217" s="20">
        <v>45839</v>
      </c>
      <c r="C217" s="18">
        <f t="shared" si="3"/>
        <v>2183</v>
      </c>
      <c r="D217" s="18" cm="1">
        <f t="array" ref="D217">INDEX(GMW!$A$2:$LR$200,MATCH(1,(GMW!$LQ$2:$LQ$200=D$3)*(GMW!$LP$2:$LP$200=D$4),0),$C217-1966)</f>
        <v>3.75</v>
      </c>
    </row>
    <row r="218" spans="1:4" x14ac:dyDescent="0.35">
      <c r="A218" s="20">
        <v>45931</v>
      </c>
      <c r="C218" s="18">
        <f t="shared" si="3"/>
        <v>2184</v>
      </c>
      <c r="D218" s="18" cm="1">
        <f t="array" ref="D218">INDEX(GMW!$A$2:$LR$200,MATCH(1,(GMW!$LQ$2:$LQ$200=D$3)*(GMW!$LP$2:$LP$200=D$4),0),$C218-1966)</f>
        <v>3.5</v>
      </c>
    </row>
    <row r="219" spans="1:4" x14ac:dyDescent="0.35">
      <c r="A219" s="20">
        <v>46023</v>
      </c>
      <c r="B219" s="18">
        <v>2026</v>
      </c>
      <c r="C219" s="18">
        <f t="shared" si="3"/>
        <v>2185</v>
      </c>
      <c r="D219" s="18" cm="1">
        <f t="array" ref="D219">INDEX(GMW!$A$2:$LR$200,MATCH(1,(GMW!$LQ$2:$LQ$200=D$3)*(GMW!$LP$2:$LP$200=D$4),0),$C219-1966)</f>
        <v>3.25</v>
      </c>
    </row>
    <row r="220" spans="1:4" x14ac:dyDescent="0.35">
      <c r="A220" s="20">
        <v>46113</v>
      </c>
      <c r="C220" s="18">
        <f t="shared" si="3"/>
        <v>2186</v>
      </c>
      <c r="D220" s="18" cm="1">
        <f t="array" ref="D220">INDEX(GMW!$A$2:$LR$200,MATCH(1,(GMW!$LQ$2:$LQ$200=D$3)*(GMW!$LP$2:$LP$200=D$4),0),$C220-1966)</f>
        <v>3</v>
      </c>
    </row>
    <row r="221" spans="1:4" x14ac:dyDescent="0.35">
      <c r="A221" s="20">
        <v>46204</v>
      </c>
      <c r="C221" s="18">
        <f t="shared" si="3"/>
        <v>2187</v>
      </c>
      <c r="D221" s="18" cm="1">
        <f t="array" ref="D221">INDEX(GMW!$A$2:$LR$200,MATCH(1,(GMW!$LQ$2:$LQ$200=D$3)*(GMW!$LP$2:$LP$200=D$4),0),$C221-1966)</f>
        <v>2.75</v>
      </c>
    </row>
    <row r="222" spans="1:4" x14ac:dyDescent="0.35">
      <c r="A222" s="20">
        <v>46296</v>
      </c>
      <c r="C222" s="18">
        <f t="shared" si="3"/>
        <v>2188</v>
      </c>
      <c r="D222" s="18" cm="1">
        <f t="array" ref="D222">INDEX(GMW!$A$2:$LR$200,MATCH(1,(GMW!$LQ$2:$LQ$200=D$3)*(GMW!$LP$2:$LP$200=D$4),0),$C222-1966)</f>
        <v>2.5</v>
      </c>
    </row>
    <row r="223" spans="1:4" x14ac:dyDescent="0.35">
      <c r="A223" s="20">
        <v>46388</v>
      </c>
      <c r="B223" s="18">
        <v>2027</v>
      </c>
      <c r="C223" s="18">
        <f t="shared" si="3"/>
        <v>2189</v>
      </c>
      <c r="D223" s="18" cm="1">
        <f t="array" ref="D223">INDEX(GMW!$A$2:$LR$200,MATCH(1,(GMW!$LQ$2:$LQ$200=D$3)*(GMW!$LP$2:$LP$200=D$4),0),$C223-1966)</f>
        <v>2.25</v>
      </c>
    </row>
    <row r="224" spans="1:4" x14ac:dyDescent="0.35">
      <c r="A224" s="20">
        <v>46478</v>
      </c>
      <c r="C224" s="18">
        <f t="shared" si="3"/>
        <v>2190</v>
      </c>
      <c r="D224" s="18" cm="1">
        <f t="array" ref="D224">INDEX(GMW!$A$2:$LR$200,MATCH(1,(GMW!$LQ$2:$LQ$200=D$3)*(GMW!$LP$2:$LP$200=D$4),0),$C224-1966)</f>
        <v>2</v>
      </c>
    </row>
    <row r="225" spans="1:4" x14ac:dyDescent="0.35">
      <c r="A225" s="20">
        <v>46569</v>
      </c>
      <c r="C225" s="18">
        <f t="shared" si="3"/>
        <v>2191</v>
      </c>
      <c r="D225" s="18" cm="1">
        <f t="array" ref="D225">INDEX(GMW!$A$2:$LR$200,MATCH(1,(GMW!$LQ$2:$LQ$200=D$3)*(GMW!$LP$2:$LP$200=D$4),0),$C225-1966)</f>
        <v>2</v>
      </c>
    </row>
    <row r="226" spans="1:4" x14ac:dyDescent="0.35">
      <c r="A226" s="20">
        <v>46661</v>
      </c>
      <c r="C226" s="18">
        <f t="shared" si="3"/>
        <v>2192</v>
      </c>
      <c r="D226" s="18" cm="1">
        <f t="array" ref="D226">INDEX(GMW!$A$2:$LR$200,MATCH(1,(GMW!$LQ$2:$LQ$200=D$3)*(GMW!$LP$2:$LP$200=D$4),0),$C226-1966)</f>
        <v>2</v>
      </c>
    </row>
    <row r="227" spans="1:4" x14ac:dyDescent="0.35">
      <c r="A227" s="20">
        <v>46753</v>
      </c>
      <c r="B227" s="18">
        <v>2028</v>
      </c>
      <c r="C227" s="18">
        <f t="shared" si="3"/>
        <v>2193</v>
      </c>
      <c r="D227" s="18" cm="1">
        <f t="array" ref="D227">INDEX(GMW!$A$2:$LR$200,MATCH(1,(GMW!$LQ$2:$LQ$200=D$3)*(GMW!$LP$2:$LP$200=D$4),0),$C227-1966)</f>
        <v>2</v>
      </c>
    </row>
    <row r="228" spans="1:4" x14ac:dyDescent="0.35">
      <c r="A228" s="20">
        <v>46844</v>
      </c>
      <c r="C228" s="18">
        <f t="shared" si="3"/>
        <v>2194</v>
      </c>
      <c r="D228" s="18" cm="1">
        <f t="array" ref="D228">INDEX(GMW!$A$2:$LR$200,MATCH(1,(GMW!$LQ$2:$LQ$200=D$3)*(GMW!$LP$2:$LP$200=D$4),0),$C228-1966)</f>
        <v>2</v>
      </c>
    </row>
    <row r="229" spans="1:4" x14ac:dyDescent="0.35">
      <c r="A229" s="20">
        <v>46935</v>
      </c>
      <c r="C229" s="18">
        <f t="shared" si="3"/>
        <v>2195</v>
      </c>
      <c r="D229" s="18" cm="1">
        <f t="array" ref="D229">INDEX(GMW!$A$2:$LR$200,MATCH(1,(GMW!$LQ$2:$LQ$200=D$3)*(GMW!$LP$2:$LP$200=D$4),0),$C229-1966)</f>
        <v>2</v>
      </c>
    </row>
    <row r="230" spans="1:4" x14ac:dyDescent="0.35">
      <c r="A230" s="20">
        <v>47027</v>
      </c>
      <c r="C230" s="18">
        <f t="shared" si="3"/>
        <v>2196</v>
      </c>
      <c r="D230" s="18" cm="1">
        <f t="array" ref="D230">INDEX(GMW!$A$2:$LR$200,MATCH(1,(GMW!$LQ$2:$LQ$200=D$3)*(GMW!$LP$2:$LP$200=D$4),0),$C230-1966)</f>
        <v>2</v>
      </c>
    </row>
    <row r="231" spans="1:4" x14ac:dyDescent="0.35">
      <c r="A231" s="20">
        <v>47119</v>
      </c>
      <c r="B231" s="18">
        <v>2029</v>
      </c>
      <c r="C231" s="18">
        <f t="shared" si="3"/>
        <v>2197</v>
      </c>
      <c r="D231" s="18" cm="1">
        <f t="array" ref="D231">INDEX(GMW!$A$2:$LR$200,MATCH(1,(GMW!$LQ$2:$LQ$200=D$3)*(GMW!$LP$2:$LP$200=D$4),0),$C231-1966)</f>
        <v>2</v>
      </c>
    </row>
    <row r="232" spans="1:4" x14ac:dyDescent="0.35">
      <c r="A232" s="20">
        <v>47209</v>
      </c>
      <c r="C232" s="18">
        <f t="shared" si="3"/>
        <v>2198</v>
      </c>
      <c r="D232" s="18" cm="1">
        <f t="array" ref="D232">INDEX(GMW!$A$2:$LR$200,MATCH(1,(GMW!$LQ$2:$LQ$200=D$3)*(GMW!$LP$2:$LP$200=D$4),0),$C232-1966)</f>
        <v>2</v>
      </c>
    </row>
    <row r="233" spans="1:4" x14ac:dyDescent="0.35">
      <c r="A233" s="20">
        <v>47300</v>
      </c>
      <c r="C233" s="18">
        <f t="shared" si="3"/>
        <v>2199</v>
      </c>
      <c r="D233" s="18" cm="1">
        <f t="array" ref="D233">INDEX(GMW!$A$2:$LR$200,MATCH(1,(GMW!$LQ$2:$LQ$200=D$3)*(GMW!$LP$2:$LP$200=D$4),0),$C233-1966)</f>
        <v>2</v>
      </c>
    </row>
    <row r="234" spans="1:4" x14ac:dyDescent="0.35">
      <c r="A234" s="20">
        <v>47392</v>
      </c>
      <c r="C234" s="18">
        <f t="shared" si="3"/>
        <v>2200</v>
      </c>
      <c r="D234" s="18" cm="1">
        <f t="array" ref="D234">INDEX(GMW!$A$2:$LR$200,MATCH(1,(GMW!$LQ$2:$LQ$200=D$3)*(GMW!$LP$2:$LP$200=D$4),0),$C234-1966)</f>
        <v>2</v>
      </c>
    </row>
    <row r="235" spans="1:4" x14ac:dyDescent="0.35">
      <c r="A235" s="20">
        <v>47484</v>
      </c>
      <c r="B235" s="18">
        <v>2030</v>
      </c>
      <c r="C235" s="18">
        <f t="shared" si="3"/>
        <v>2201</v>
      </c>
      <c r="D235" s="18" cm="1">
        <f t="array" ref="D235">INDEX(GMW!$A$2:$LR$200,MATCH(1,(GMW!$LQ$2:$LQ$200=D$3)*(GMW!$LP$2:$LP$200=D$4),0),$C235-1966)</f>
        <v>2</v>
      </c>
    </row>
    <row r="236" spans="1:4" x14ac:dyDescent="0.35">
      <c r="A236" s="20">
        <v>47574</v>
      </c>
      <c r="C236" s="18">
        <f t="shared" si="3"/>
        <v>2202</v>
      </c>
      <c r="D236" s="18" cm="1">
        <f t="array" ref="D236">INDEX(GMW!$A$2:$LR$200,MATCH(1,(GMW!$LQ$2:$LQ$200=D$3)*(GMW!$LP$2:$LP$200=D$4),0),$C236-1966)</f>
        <v>2</v>
      </c>
    </row>
    <row r="237" spans="1:4" x14ac:dyDescent="0.35">
      <c r="A237" s="20">
        <v>47665</v>
      </c>
      <c r="C237" s="18">
        <f t="shared" si="3"/>
        <v>2203</v>
      </c>
      <c r="D237" s="18" cm="1">
        <f t="array" ref="D237">INDEX(GMW!$A$2:$LR$200,MATCH(1,(GMW!$LQ$2:$LQ$200=D$3)*(GMW!$LP$2:$LP$200=D$4),0),$C237-1966)</f>
        <v>2</v>
      </c>
    </row>
    <row r="238" spans="1:4" x14ac:dyDescent="0.35">
      <c r="A238" s="20">
        <v>47757</v>
      </c>
      <c r="C238" s="18">
        <f t="shared" si="3"/>
        <v>2204</v>
      </c>
      <c r="D238" s="18" cm="1">
        <f t="array" ref="D238">INDEX(GMW!$A$2:$LR$200,MATCH(1,(GMW!$LQ$2:$LQ$200=D$3)*(GMW!$LP$2:$LP$200=D$4),0),$C238-1966)</f>
        <v>2</v>
      </c>
    </row>
    <row r="239" spans="1:4" x14ac:dyDescent="0.35">
      <c r="A239" s="20">
        <v>47849</v>
      </c>
      <c r="B239" s="18">
        <v>2031</v>
      </c>
      <c r="C239" s="18">
        <f t="shared" si="3"/>
        <v>2205</v>
      </c>
      <c r="D239" s="18" cm="1">
        <f t="array" ref="D239">INDEX(GMW!$A$2:$LR$200,MATCH(1,(GMW!$LQ$2:$LQ$200=D$3)*(GMW!$LP$2:$LP$200=D$4),0),$C239-1966)</f>
        <v>2</v>
      </c>
    </row>
    <row r="240" spans="1:4" x14ac:dyDescent="0.35">
      <c r="A240" s="20">
        <v>47939</v>
      </c>
      <c r="C240" s="18">
        <f t="shared" si="3"/>
        <v>2206</v>
      </c>
      <c r="D240" s="18" cm="1">
        <f t="array" ref="D240">INDEX(GMW!$A$2:$LR$200,MATCH(1,(GMW!$LQ$2:$LQ$200=D$3)*(GMW!$LP$2:$LP$200=D$4),0),$C240-1966)</f>
        <v>2</v>
      </c>
    </row>
    <row r="241" spans="1:4" x14ac:dyDescent="0.35">
      <c r="A241" s="20">
        <v>48030</v>
      </c>
      <c r="C241" s="18">
        <f t="shared" ref="C241:C304" si="4">+C240+1</f>
        <v>2207</v>
      </c>
      <c r="D241" s="18" cm="1">
        <f t="array" ref="D241">INDEX(GMW!$A$2:$LR$200,MATCH(1,(GMW!$LQ$2:$LQ$200=D$3)*(GMW!$LP$2:$LP$200=D$4),0),$C241-1966)</f>
        <v>2</v>
      </c>
    </row>
    <row r="242" spans="1:4" x14ac:dyDescent="0.35">
      <c r="A242" s="20">
        <v>48122</v>
      </c>
      <c r="C242" s="18">
        <f t="shared" si="4"/>
        <v>2208</v>
      </c>
      <c r="D242" s="18" cm="1">
        <f t="array" ref="D242">INDEX(GMW!$A$2:$LR$200,MATCH(1,(GMW!$LQ$2:$LQ$200=D$3)*(GMW!$LP$2:$LP$200=D$4),0),$C242-1966)</f>
        <v>2</v>
      </c>
    </row>
    <row r="243" spans="1:4" x14ac:dyDescent="0.35">
      <c r="A243" s="20">
        <v>48214</v>
      </c>
      <c r="B243" s="18">
        <v>2032</v>
      </c>
      <c r="C243" s="18">
        <f t="shared" si="4"/>
        <v>2209</v>
      </c>
      <c r="D243" s="18" cm="1">
        <f t="array" ref="D243">INDEX(GMW!$A$2:$LR$200,MATCH(1,(GMW!$LQ$2:$LQ$200=D$3)*(GMW!$LP$2:$LP$200=D$4),0),$C243-1966)</f>
        <v>2</v>
      </c>
    </row>
    <row r="244" spans="1:4" x14ac:dyDescent="0.35">
      <c r="A244" s="20">
        <v>48305</v>
      </c>
      <c r="C244" s="18">
        <f t="shared" si="4"/>
        <v>2210</v>
      </c>
      <c r="D244" s="18" cm="1">
        <f t="array" ref="D244">INDEX(GMW!$A$2:$LR$200,MATCH(1,(GMW!$LQ$2:$LQ$200=D$3)*(GMW!$LP$2:$LP$200=D$4),0),$C244-1966)</f>
        <v>2</v>
      </c>
    </row>
    <row r="245" spans="1:4" x14ac:dyDescent="0.35">
      <c r="A245" s="20">
        <v>48396</v>
      </c>
      <c r="C245" s="18">
        <f t="shared" si="4"/>
        <v>2211</v>
      </c>
      <c r="D245" s="18" cm="1">
        <f t="array" ref="D245">INDEX(GMW!$A$2:$LR$200,MATCH(1,(GMW!$LQ$2:$LQ$200=D$3)*(GMW!$LP$2:$LP$200=D$4),0),$C245-1966)</f>
        <v>2</v>
      </c>
    </row>
    <row r="246" spans="1:4" x14ac:dyDescent="0.35">
      <c r="A246" s="20">
        <v>48488</v>
      </c>
      <c r="C246" s="18">
        <f t="shared" si="4"/>
        <v>2212</v>
      </c>
      <c r="D246" s="18" cm="1">
        <f t="array" ref="D246">INDEX(GMW!$A$2:$LR$200,MATCH(1,(GMW!$LQ$2:$LQ$200=D$3)*(GMW!$LP$2:$LP$200=D$4),0),$C246-1966)</f>
        <v>2</v>
      </c>
    </row>
    <row r="247" spans="1:4" x14ac:dyDescent="0.35">
      <c r="A247" s="20">
        <v>48580</v>
      </c>
      <c r="B247" s="18">
        <v>2033</v>
      </c>
      <c r="C247" s="18">
        <f t="shared" si="4"/>
        <v>2213</v>
      </c>
      <c r="D247" s="18" cm="1">
        <f t="array" ref="D247">INDEX(GMW!$A$2:$LR$200,MATCH(1,(GMW!$LQ$2:$LQ$200=D$3)*(GMW!$LP$2:$LP$200=D$4),0),$C247-1966)</f>
        <v>2</v>
      </c>
    </row>
    <row r="248" spans="1:4" x14ac:dyDescent="0.35">
      <c r="A248" s="20">
        <v>48670</v>
      </c>
      <c r="C248" s="18">
        <f t="shared" si="4"/>
        <v>2214</v>
      </c>
      <c r="D248" s="18" cm="1">
        <f t="array" ref="D248">INDEX(GMW!$A$2:$LR$200,MATCH(1,(GMW!$LQ$2:$LQ$200=D$3)*(GMW!$LP$2:$LP$200=D$4),0),$C248-1966)</f>
        <v>2</v>
      </c>
    </row>
    <row r="249" spans="1:4" x14ac:dyDescent="0.35">
      <c r="A249" s="20">
        <v>48761</v>
      </c>
      <c r="C249" s="18">
        <f t="shared" si="4"/>
        <v>2215</v>
      </c>
      <c r="D249" s="18" cm="1">
        <f t="array" ref="D249">INDEX(GMW!$A$2:$LR$200,MATCH(1,(GMW!$LQ$2:$LQ$200=D$3)*(GMW!$LP$2:$LP$200=D$4),0),$C249-1966)</f>
        <v>2</v>
      </c>
    </row>
    <row r="250" spans="1:4" x14ac:dyDescent="0.35">
      <c r="A250" s="20">
        <v>48853</v>
      </c>
      <c r="C250" s="18">
        <f t="shared" si="4"/>
        <v>2216</v>
      </c>
      <c r="D250" s="18" cm="1">
        <f t="array" ref="D250">INDEX(GMW!$A$2:$LR$200,MATCH(1,(GMW!$LQ$2:$LQ$200=D$3)*(GMW!$LP$2:$LP$200=D$4),0),$C250-1966)</f>
        <v>2</v>
      </c>
    </row>
    <row r="251" spans="1:4" x14ac:dyDescent="0.35">
      <c r="A251" s="20">
        <v>48945</v>
      </c>
      <c r="B251" s="18">
        <v>2034</v>
      </c>
      <c r="C251" s="18">
        <f t="shared" si="4"/>
        <v>2217</v>
      </c>
      <c r="D251" s="18" cm="1">
        <f t="array" ref="D251">INDEX(GMW!$A$2:$LR$200,MATCH(1,(GMW!$LQ$2:$LQ$200=D$3)*(GMW!$LP$2:$LP$200=D$4),0),$C251-1966)</f>
        <v>2</v>
      </c>
    </row>
    <row r="252" spans="1:4" x14ac:dyDescent="0.35">
      <c r="A252" s="20">
        <v>49035</v>
      </c>
      <c r="C252" s="18">
        <f t="shared" si="4"/>
        <v>2218</v>
      </c>
      <c r="D252" s="18" cm="1">
        <f t="array" ref="D252">INDEX(GMW!$A$2:$LR$200,MATCH(1,(GMW!$LQ$2:$LQ$200=D$3)*(GMW!$LP$2:$LP$200=D$4),0),$C252-1966)</f>
        <v>2</v>
      </c>
    </row>
    <row r="253" spans="1:4" x14ac:dyDescent="0.35">
      <c r="A253" s="20">
        <v>49126</v>
      </c>
      <c r="C253" s="18">
        <f t="shared" si="4"/>
        <v>2219</v>
      </c>
      <c r="D253" s="18" cm="1">
        <f t="array" ref="D253">INDEX(GMW!$A$2:$LR$200,MATCH(1,(GMW!$LQ$2:$LQ$200=D$3)*(GMW!$LP$2:$LP$200=D$4),0),$C253-1966)</f>
        <v>2</v>
      </c>
    </row>
    <row r="254" spans="1:4" x14ac:dyDescent="0.35">
      <c r="A254" s="20">
        <v>49218</v>
      </c>
      <c r="C254" s="18">
        <f t="shared" si="4"/>
        <v>2220</v>
      </c>
      <c r="D254" s="18" cm="1">
        <f t="array" ref="D254">INDEX(GMW!$A$2:$LR$200,MATCH(1,(GMW!$LQ$2:$LQ$200=D$3)*(GMW!$LP$2:$LP$200=D$4),0),$C254-1966)</f>
        <v>2</v>
      </c>
    </row>
    <row r="255" spans="1:4" x14ac:dyDescent="0.35">
      <c r="A255" s="20">
        <v>49310</v>
      </c>
      <c r="B255" s="18">
        <v>2035</v>
      </c>
      <c r="C255" s="18">
        <f t="shared" si="4"/>
        <v>2221</v>
      </c>
      <c r="D255" s="18" cm="1">
        <f t="array" ref="D255">INDEX(GMW!$A$2:$LR$200,MATCH(1,(GMW!$LQ$2:$LQ$200=D$3)*(GMW!$LP$2:$LP$200=D$4),0),$C255-1966)</f>
        <v>2</v>
      </c>
    </row>
    <row r="256" spans="1:4" x14ac:dyDescent="0.35">
      <c r="A256" s="20">
        <v>49400</v>
      </c>
      <c r="C256" s="18">
        <f t="shared" si="4"/>
        <v>2222</v>
      </c>
      <c r="D256" s="18" cm="1">
        <f t="array" ref="D256">INDEX(GMW!$A$2:$LR$200,MATCH(1,(GMW!$LQ$2:$LQ$200=D$3)*(GMW!$LP$2:$LP$200=D$4),0),$C256-1966)</f>
        <v>2</v>
      </c>
    </row>
    <row r="257" spans="1:4" x14ac:dyDescent="0.35">
      <c r="A257" s="20">
        <v>49491</v>
      </c>
      <c r="C257" s="18">
        <f t="shared" si="4"/>
        <v>2223</v>
      </c>
      <c r="D257" s="18" cm="1">
        <f t="array" ref="D257">INDEX(GMW!$A$2:$LR$200,MATCH(1,(GMW!$LQ$2:$LQ$200=D$3)*(GMW!$LP$2:$LP$200=D$4),0),$C257-1966)</f>
        <v>2</v>
      </c>
    </row>
    <row r="258" spans="1:4" x14ac:dyDescent="0.35">
      <c r="A258" s="20">
        <v>49583</v>
      </c>
      <c r="C258" s="18">
        <f t="shared" si="4"/>
        <v>2224</v>
      </c>
      <c r="D258" s="18" cm="1">
        <f t="array" ref="D258">INDEX(GMW!$A$2:$LR$200,MATCH(1,(GMW!$LQ$2:$LQ$200=D$3)*(GMW!$LP$2:$LP$200=D$4),0),$C258-1966)</f>
        <v>2</v>
      </c>
    </row>
    <row r="259" spans="1:4" x14ac:dyDescent="0.35">
      <c r="A259" s="20">
        <v>49675</v>
      </c>
      <c r="B259" s="18">
        <v>2036</v>
      </c>
      <c r="C259" s="18">
        <f t="shared" si="4"/>
        <v>2225</v>
      </c>
      <c r="D259" s="18" cm="1">
        <f t="array" ref="D259">INDEX(GMW!$A$2:$LR$200,MATCH(1,(GMW!$LQ$2:$LQ$200=D$3)*(GMW!$LP$2:$LP$200=D$4),0),$C259-1966)</f>
        <v>2</v>
      </c>
    </row>
    <row r="260" spans="1:4" x14ac:dyDescent="0.35">
      <c r="A260" s="20">
        <v>49766</v>
      </c>
      <c r="C260" s="18">
        <f t="shared" si="4"/>
        <v>2226</v>
      </c>
      <c r="D260" s="18" cm="1">
        <f t="array" ref="D260">INDEX(GMW!$A$2:$LR$200,MATCH(1,(GMW!$LQ$2:$LQ$200=D$3)*(GMW!$LP$2:$LP$200=D$4),0),$C260-1966)</f>
        <v>2</v>
      </c>
    </row>
    <row r="261" spans="1:4" x14ac:dyDescent="0.35">
      <c r="A261" s="20">
        <v>49857</v>
      </c>
      <c r="C261" s="18">
        <f t="shared" si="4"/>
        <v>2227</v>
      </c>
      <c r="D261" s="18" cm="1">
        <f t="array" ref="D261">INDEX(GMW!$A$2:$LR$200,MATCH(1,(GMW!$LQ$2:$LQ$200=D$3)*(GMW!$LP$2:$LP$200=D$4),0),$C261-1966)</f>
        <v>2</v>
      </c>
    </row>
    <row r="262" spans="1:4" x14ac:dyDescent="0.35">
      <c r="A262" s="20">
        <v>49949</v>
      </c>
      <c r="C262" s="18">
        <f t="shared" si="4"/>
        <v>2228</v>
      </c>
      <c r="D262" s="18" cm="1">
        <f t="array" ref="D262">INDEX(GMW!$A$2:$LR$200,MATCH(1,(GMW!$LQ$2:$LQ$200=D$3)*(GMW!$LP$2:$LP$200=D$4),0),$C262-1966)</f>
        <v>2</v>
      </c>
    </row>
    <row r="263" spans="1:4" x14ac:dyDescent="0.35">
      <c r="A263" s="20">
        <v>50041</v>
      </c>
      <c r="B263" s="18">
        <v>2037</v>
      </c>
      <c r="C263" s="18">
        <f t="shared" si="4"/>
        <v>2229</v>
      </c>
      <c r="D263" s="18" cm="1">
        <f t="array" ref="D263">INDEX(GMW!$A$2:$LR$200,MATCH(1,(GMW!$LQ$2:$LQ$200=D$3)*(GMW!$LP$2:$LP$200=D$4),0),$C263-1966)</f>
        <v>2</v>
      </c>
    </row>
    <row r="264" spans="1:4" x14ac:dyDescent="0.35">
      <c r="A264" s="20">
        <v>50131</v>
      </c>
      <c r="C264" s="18">
        <f t="shared" si="4"/>
        <v>2230</v>
      </c>
      <c r="D264" s="18" cm="1">
        <f t="array" ref="D264">INDEX(GMW!$A$2:$LR$200,MATCH(1,(GMW!$LQ$2:$LQ$200=D$3)*(GMW!$LP$2:$LP$200=D$4),0),$C264-1966)</f>
        <v>2</v>
      </c>
    </row>
    <row r="265" spans="1:4" x14ac:dyDescent="0.35">
      <c r="A265" s="20">
        <v>50222</v>
      </c>
      <c r="C265" s="18">
        <f t="shared" si="4"/>
        <v>2231</v>
      </c>
      <c r="D265" s="18" cm="1">
        <f t="array" ref="D265">INDEX(GMW!$A$2:$LR$200,MATCH(1,(GMW!$LQ$2:$LQ$200=D$3)*(GMW!$LP$2:$LP$200=D$4),0),$C265-1966)</f>
        <v>2</v>
      </c>
    </row>
    <row r="266" spans="1:4" x14ac:dyDescent="0.35">
      <c r="A266" s="20">
        <v>50314</v>
      </c>
      <c r="C266" s="18">
        <f t="shared" si="4"/>
        <v>2232</v>
      </c>
      <c r="D266" s="18" cm="1">
        <f t="array" ref="D266">INDEX(GMW!$A$2:$LR$200,MATCH(1,(GMW!$LQ$2:$LQ$200=D$3)*(GMW!$LP$2:$LP$200=D$4),0),$C266-1966)</f>
        <v>2</v>
      </c>
    </row>
    <row r="267" spans="1:4" x14ac:dyDescent="0.35">
      <c r="A267" s="20">
        <v>50406</v>
      </c>
      <c r="B267" s="18">
        <v>2038</v>
      </c>
      <c r="C267" s="18">
        <f t="shared" si="4"/>
        <v>2233</v>
      </c>
      <c r="D267" s="18" cm="1">
        <f t="array" ref="D267">INDEX(GMW!$A$2:$LR$200,MATCH(1,(GMW!$LQ$2:$LQ$200=D$3)*(GMW!$LP$2:$LP$200=D$4),0),$C267-1966)</f>
        <v>2</v>
      </c>
    </row>
    <row r="268" spans="1:4" x14ac:dyDescent="0.35">
      <c r="A268" s="20">
        <v>50496</v>
      </c>
      <c r="C268" s="18">
        <f t="shared" si="4"/>
        <v>2234</v>
      </c>
      <c r="D268" s="18" cm="1">
        <f t="array" ref="D268">INDEX(GMW!$A$2:$LR$200,MATCH(1,(GMW!$LQ$2:$LQ$200=D$3)*(GMW!$LP$2:$LP$200=D$4),0),$C268-1966)</f>
        <v>2</v>
      </c>
    </row>
    <row r="269" spans="1:4" x14ac:dyDescent="0.35">
      <c r="A269" s="20">
        <v>50587</v>
      </c>
      <c r="C269" s="18">
        <f t="shared" si="4"/>
        <v>2235</v>
      </c>
      <c r="D269" s="18" cm="1">
        <f t="array" ref="D269">INDEX(GMW!$A$2:$LR$200,MATCH(1,(GMW!$LQ$2:$LQ$200=D$3)*(GMW!$LP$2:$LP$200=D$4),0),$C269-1966)</f>
        <v>2</v>
      </c>
    </row>
    <row r="270" spans="1:4" x14ac:dyDescent="0.35">
      <c r="A270" s="20">
        <v>50679</v>
      </c>
      <c r="C270" s="18">
        <f t="shared" si="4"/>
        <v>2236</v>
      </c>
      <c r="D270" s="18" cm="1">
        <f t="array" ref="D270">INDEX(GMW!$A$2:$LR$200,MATCH(1,(GMW!$LQ$2:$LQ$200=D$3)*(GMW!$LP$2:$LP$200=D$4),0),$C270-1966)</f>
        <v>2</v>
      </c>
    </row>
    <row r="271" spans="1:4" x14ac:dyDescent="0.35">
      <c r="A271" s="20">
        <v>50771</v>
      </c>
      <c r="B271" s="18">
        <v>2039</v>
      </c>
      <c r="C271" s="18">
        <f t="shared" si="4"/>
        <v>2237</v>
      </c>
      <c r="D271" s="18" cm="1">
        <f t="array" ref="D271">INDEX(GMW!$A$2:$LR$200,MATCH(1,(GMW!$LQ$2:$LQ$200=D$3)*(GMW!$LP$2:$LP$200=D$4),0),$C271-1966)</f>
        <v>2</v>
      </c>
    </row>
    <row r="272" spans="1:4" x14ac:dyDescent="0.35">
      <c r="A272" s="20">
        <v>50861</v>
      </c>
      <c r="C272" s="18">
        <f t="shared" si="4"/>
        <v>2238</v>
      </c>
      <c r="D272" s="18" cm="1">
        <f t="array" ref="D272">INDEX(GMW!$A$2:$LR$200,MATCH(1,(GMW!$LQ$2:$LQ$200=D$3)*(GMW!$LP$2:$LP$200=D$4),0),$C272-1966)</f>
        <v>2</v>
      </c>
    </row>
    <row r="273" spans="1:4" x14ac:dyDescent="0.35">
      <c r="A273" s="20">
        <v>50952</v>
      </c>
      <c r="C273" s="18">
        <f t="shared" si="4"/>
        <v>2239</v>
      </c>
      <c r="D273" s="18" cm="1">
        <f t="array" ref="D273">INDEX(GMW!$A$2:$LR$200,MATCH(1,(GMW!$LQ$2:$LQ$200=D$3)*(GMW!$LP$2:$LP$200=D$4),0),$C273-1966)</f>
        <v>2</v>
      </c>
    </row>
    <row r="274" spans="1:4" x14ac:dyDescent="0.35">
      <c r="A274" s="20">
        <v>51044</v>
      </c>
      <c r="C274" s="18">
        <f t="shared" si="4"/>
        <v>2240</v>
      </c>
      <c r="D274" s="18" cm="1">
        <f t="array" ref="D274">INDEX(GMW!$A$2:$LR$200,MATCH(1,(GMW!$LQ$2:$LQ$200=D$3)*(GMW!$LP$2:$LP$200=D$4),0),$C274-1966)</f>
        <v>2</v>
      </c>
    </row>
    <row r="275" spans="1:4" x14ac:dyDescent="0.35">
      <c r="A275" s="20">
        <v>51136</v>
      </c>
      <c r="B275" s="18">
        <v>2040</v>
      </c>
      <c r="C275" s="18">
        <f t="shared" si="4"/>
        <v>2241</v>
      </c>
      <c r="D275" s="18" cm="1">
        <f t="array" ref="D275">INDEX(GMW!$A$2:$LR$200,MATCH(1,(GMW!$LQ$2:$LQ$200=D$3)*(GMW!$LP$2:$LP$200=D$4),0),$C275-1966)</f>
        <v>2</v>
      </c>
    </row>
    <row r="276" spans="1:4" x14ac:dyDescent="0.35">
      <c r="A276" s="20">
        <v>51227</v>
      </c>
      <c r="C276" s="18">
        <f t="shared" si="4"/>
        <v>2242</v>
      </c>
      <c r="D276" s="18" cm="1">
        <f t="array" ref="D276">INDEX(GMW!$A$2:$LR$200,MATCH(1,(GMW!$LQ$2:$LQ$200=D$3)*(GMW!$LP$2:$LP$200=D$4),0),$C276-1966)</f>
        <v>2</v>
      </c>
    </row>
    <row r="277" spans="1:4" x14ac:dyDescent="0.35">
      <c r="A277" s="20">
        <v>51318</v>
      </c>
      <c r="C277" s="18">
        <f t="shared" si="4"/>
        <v>2243</v>
      </c>
      <c r="D277" s="18" cm="1">
        <f t="array" ref="D277">INDEX(GMW!$A$2:$LR$200,MATCH(1,(GMW!$LQ$2:$LQ$200=D$3)*(GMW!$LP$2:$LP$200=D$4),0),$C277-1966)</f>
        <v>2</v>
      </c>
    </row>
    <row r="278" spans="1:4" x14ac:dyDescent="0.35">
      <c r="A278" s="20">
        <v>51410</v>
      </c>
      <c r="C278" s="18">
        <f t="shared" si="4"/>
        <v>2244</v>
      </c>
      <c r="D278" s="18" cm="1">
        <f t="array" ref="D278">INDEX(GMW!$A$2:$LR$200,MATCH(1,(GMW!$LQ$2:$LQ$200=D$3)*(GMW!$LP$2:$LP$200=D$4),0),$C278-1966)</f>
        <v>2</v>
      </c>
    </row>
    <row r="279" spans="1:4" x14ac:dyDescent="0.35">
      <c r="A279" s="20">
        <v>51502</v>
      </c>
      <c r="B279" s="18">
        <v>2041</v>
      </c>
      <c r="C279" s="18">
        <f t="shared" si="4"/>
        <v>2245</v>
      </c>
      <c r="D279" s="18" cm="1">
        <f t="array" ref="D279">INDEX(GMW!$A$2:$LR$200,MATCH(1,(GMW!$LQ$2:$LQ$200=D$3)*(GMW!$LP$2:$LP$200=D$4),0),$C279-1966)</f>
        <v>2</v>
      </c>
    </row>
    <row r="280" spans="1:4" x14ac:dyDescent="0.35">
      <c r="A280" s="20">
        <v>51592</v>
      </c>
      <c r="C280" s="18">
        <f t="shared" si="4"/>
        <v>2246</v>
      </c>
      <c r="D280" s="18" cm="1">
        <f t="array" ref="D280">INDEX(GMW!$A$2:$LR$200,MATCH(1,(GMW!$LQ$2:$LQ$200=D$3)*(GMW!$LP$2:$LP$200=D$4),0),$C280-1966)</f>
        <v>2</v>
      </c>
    </row>
    <row r="281" spans="1:4" x14ac:dyDescent="0.35">
      <c r="A281" s="20">
        <v>51683</v>
      </c>
      <c r="C281" s="18">
        <f t="shared" si="4"/>
        <v>2247</v>
      </c>
      <c r="D281" s="18" cm="1">
        <f t="array" ref="D281">INDEX(GMW!$A$2:$LR$200,MATCH(1,(GMW!$LQ$2:$LQ$200=D$3)*(GMW!$LP$2:$LP$200=D$4),0),$C281-1966)</f>
        <v>2</v>
      </c>
    </row>
    <row r="282" spans="1:4" x14ac:dyDescent="0.35">
      <c r="A282" s="20">
        <v>51775</v>
      </c>
      <c r="C282" s="18">
        <f t="shared" si="4"/>
        <v>2248</v>
      </c>
      <c r="D282" s="18" cm="1">
        <f t="array" ref="D282">INDEX(GMW!$A$2:$LR$200,MATCH(1,(GMW!$LQ$2:$LQ$200=D$3)*(GMW!$LP$2:$LP$200=D$4),0),$C282-1966)</f>
        <v>2</v>
      </c>
    </row>
    <row r="283" spans="1:4" x14ac:dyDescent="0.35">
      <c r="A283" s="20">
        <v>51867</v>
      </c>
      <c r="B283" s="18">
        <v>2042</v>
      </c>
      <c r="C283" s="18">
        <f t="shared" si="4"/>
        <v>2249</v>
      </c>
      <c r="D283" s="18" cm="1">
        <f t="array" ref="D283">INDEX(GMW!$A$2:$LR$200,MATCH(1,(GMW!$LQ$2:$LQ$200=D$3)*(GMW!$LP$2:$LP$200=D$4),0),$C283-1966)</f>
        <v>2</v>
      </c>
    </row>
    <row r="284" spans="1:4" x14ac:dyDescent="0.35">
      <c r="A284" s="20">
        <v>51957</v>
      </c>
      <c r="C284" s="18">
        <f t="shared" si="4"/>
        <v>2250</v>
      </c>
      <c r="D284" s="18" cm="1">
        <f t="array" ref="D284">INDEX(GMW!$A$2:$LR$200,MATCH(1,(GMW!$LQ$2:$LQ$200=D$3)*(GMW!$LP$2:$LP$200=D$4),0),$C284-1966)</f>
        <v>2</v>
      </c>
    </row>
    <row r="285" spans="1:4" x14ac:dyDescent="0.35">
      <c r="A285" s="20">
        <v>52048</v>
      </c>
      <c r="C285" s="18">
        <f t="shared" si="4"/>
        <v>2251</v>
      </c>
      <c r="D285" s="18" cm="1">
        <f t="array" ref="D285">INDEX(GMW!$A$2:$LR$200,MATCH(1,(GMW!$LQ$2:$LQ$200=D$3)*(GMW!$LP$2:$LP$200=D$4),0),$C285-1966)</f>
        <v>2</v>
      </c>
    </row>
    <row r="286" spans="1:4" x14ac:dyDescent="0.35">
      <c r="A286" s="20">
        <v>52140</v>
      </c>
      <c r="C286" s="18">
        <f t="shared" si="4"/>
        <v>2252</v>
      </c>
      <c r="D286" s="18" cm="1">
        <f t="array" ref="D286">INDEX(GMW!$A$2:$LR$200,MATCH(1,(GMW!$LQ$2:$LQ$200=D$3)*(GMW!$LP$2:$LP$200=D$4),0),$C286-1966)</f>
        <v>2</v>
      </c>
    </row>
    <row r="287" spans="1:4" x14ac:dyDescent="0.35">
      <c r="A287" s="20">
        <v>52232</v>
      </c>
      <c r="B287" s="18">
        <v>2043</v>
      </c>
      <c r="C287" s="18">
        <f t="shared" si="4"/>
        <v>2253</v>
      </c>
      <c r="D287" s="18" cm="1">
        <f t="array" ref="D287">INDEX(GMW!$A$2:$LR$200,MATCH(1,(GMW!$LQ$2:$LQ$200=D$3)*(GMW!$LP$2:$LP$200=D$4),0),$C287-1966)</f>
        <v>2</v>
      </c>
    </row>
    <row r="288" spans="1:4" x14ac:dyDescent="0.35">
      <c r="A288" s="20">
        <v>52322</v>
      </c>
      <c r="C288" s="18">
        <f t="shared" si="4"/>
        <v>2254</v>
      </c>
      <c r="D288" s="18" cm="1">
        <f t="array" ref="D288">INDEX(GMW!$A$2:$LR$200,MATCH(1,(GMW!$LQ$2:$LQ$200=D$3)*(GMW!$LP$2:$LP$200=D$4),0),$C288-1966)</f>
        <v>2</v>
      </c>
    </row>
    <row r="289" spans="1:4" x14ac:dyDescent="0.35">
      <c r="A289" s="20">
        <v>52413</v>
      </c>
      <c r="C289" s="18">
        <f t="shared" si="4"/>
        <v>2255</v>
      </c>
      <c r="D289" s="18" cm="1">
        <f t="array" ref="D289">INDEX(GMW!$A$2:$LR$200,MATCH(1,(GMW!$LQ$2:$LQ$200=D$3)*(GMW!$LP$2:$LP$200=D$4),0),$C289-1966)</f>
        <v>2</v>
      </c>
    </row>
    <row r="290" spans="1:4" x14ac:dyDescent="0.35">
      <c r="A290" s="20">
        <v>52505</v>
      </c>
      <c r="C290" s="18">
        <f t="shared" si="4"/>
        <v>2256</v>
      </c>
      <c r="D290" s="18" cm="1">
        <f t="array" ref="D290">INDEX(GMW!$A$2:$LR$200,MATCH(1,(GMW!$LQ$2:$LQ$200=D$3)*(GMW!$LP$2:$LP$200=D$4),0),$C290-1966)</f>
        <v>2</v>
      </c>
    </row>
    <row r="291" spans="1:4" x14ac:dyDescent="0.35">
      <c r="A291" s="20">
        <v>52597</v>
      </c>
      <c r="B291" s="18">
        <v>2044</v>
      </c>
      <c r="C291" s="18">
        <f t="shared" si="4"/>
        <v>2257</v>
      </c>
      <c r="D291" s="18" cm="1">
        <f t="array" ref="D291">INDEX(GMW!$A$2:$LR$200,MATCH(1,(GMW!$LQ$2:$LQ$200=D$3)*(GMW!$LP$2:$LP$200=D$4),0),$C291-1966)</f>
        <v>2</v>
      </c>
    </row>
    <row r="292" spans="1:4" x14ac:dyDescent="0.35">
      <c r="A292" s="20">
        <v>52688</v>
      </c>
      <c r="C292" s="18">
        <f t="shared" si="4"/>
        <v>2258</v>
      </c>
      <c r="D292" s="18" cm="1">
        <f t="array" ref="D292">INDEX(GMW!$A$2:$LR$200,MATCH(1,(GMW!$LQ$2:$LQ$200=D$3)*(GMW!$LP$2:$LP$200=D$4),0),$C292-1966)</f>
        <v>2</v>
      </c>
    </row>
    <row r="293" spans="1:4" x14ac:dyDescent="0.35">
      <c r="A293" s="20">
        <v>52779</v>
      </c>
      <c r="C293" s="18">
        <f t="shared" si="4"/>
        <v>2259</v>
      </c>
      <c r="D293" s="18" cm="1">
        <f t="array" ref="D293">INDEX(GMW!$A$2:$LR$200,MATCH(1,(GMW!$LQ$2:$LQ$200=D$3)*(GMW!$LP$2:$LP$200=D$4),0),$C293-1966)</f>
        <v>2</v>
      </c>
    </row>
    <row r="294" spans="1:4" x14ac:dyDescent="0.35">
      <c r="A294" s="20">
        <v>52871</v>
      </c>
      <c r="C294" s="18">
        <f t="shared" si="4"/>
        <v>2260</v>
      </c>
      <c r="D294" s="18" cm="1">
        <f t="array" ref="D294">INDEX(GMW!$A$2:$LR$200,MATCH(1,(GMW!$LQ$2:$LQ$200=D$3)*(GMW!$LP$2:$LP$200=D$4),0),$C294-1966)</f>
        <v>2</v>
      </c>
    </row>
    <row r="295" spans="1:4" x14ac:dyDescent="0.35">
      <c r="A295" s="20">
        <v>52963</v>
      </c>
      <c r="B295" s="18">
        <v>2045</v>
      </c>
      <c r="C295" s="18">
        <f t="shared" si="4"/>
        <v>2261</v>
      </c>
      <c r="D295" s="18" cm="1">
        <f t="array" ref="D295">INDEX(GMW!$A$2:$LR$200,MATCH(1,(GMW!$LQ$2:$LQ$200=D$3)*(GMW!$LP$2:$LP$200=D$4),0),$C295-1966)</f>
        <v>2</v>
      </c>
    </row>
    <row r="296" spans="1:4" x14ac:dyDescent="0.35">
      <c r="A296" s="20">
        <v>53053</v>
      </c>
      <c r="C296" s="18">
        <f t="shared" si="4"/>
        <v>2262</v>
      </c>
      <c r="D296" s="18" cm="1">
        <f t="array" ref="D296">INDEX(GMW!$A$2:$LR$200,MATCH(1,(GMW!$LQ$2:$LQ$200=D$3)*(GMW!$LP$2:$LP$200=D$4),0),$C296-1966)</f>
        <v>2</v>
      </c>
    </row>
    <row r="297" spans="1:4" x14ac:dyDescent="0.35">
      <c r="A297" s="20">
        <v>53144</v>
      </c>
      <c r="C297" s="18">
        <f t="shared" si="4"/>
        <v>2263</v>
      </c>
      <c r="D297" s="18" cm="1">
        <f t="array" ref="D297">INDEX(GMW!$A$2:$LR$200,MATCH(1,(GMW!$LQ$2:$LQ$200=D$3)*(GMW!$LP$2:$LP$200=D$4),0),$C297-1966)</f>
        <v>2</v>
      </c>
    </row>
    <row r="298" spans="1:4" x14ac:dyDescent="0.35">
      <c r="A298" s="20">
        <v>53236</v>
      </c>
      <c r="C298" s="18">
        <f t="shared" si="4"/>
        <v>2264</v>
      </c>
      <c r="D298" s="18" cm="1">
        <f t="array" ref="D298">INDEX(GMW!$A$2:$LR$200,MATCH(1,(GMW!$LQ$2:$LQ$200=D$3)*(GMW!$LP$2:$LP$200=D$4),0),$C298-1966)</f>
        <v>2</v>
      </c>
    </row>
    <row r="299" spans="1:4" x14ac:dyDescent="0.35">
      <c r="A299" s="20">
        <v>53328</v>
      </c>
      <c r="B299" s="18">
        <v>2046</v>
      </c>
      <c r="C299" s="18">
        <f t="shared" si="4"/>
        <v>2265</v>
      </c>
      <c r="D299" s="18" cm="1">
        <f t="array" ref="D299">INDEX(GMW!$A$2:$LR$200,MATCH(1,(GMW!$LQ$2:$LQ$200=D$3)*(GMW!$LP$2:$LP$200=D$4),0),$C299-1966)</f>
        <v>2</v>
      </c>
    </row>
    <row r="300" spans="1:4" x14ac:dyDescent="0.35">
      <c r="A300" s="20">
        <v>53418</v>
      </c>
      <c r="C300" s="18">
        <f t="shared" si="4"/>
        <v>2266</v>
      </c>
      <c r="D300" s="18" cm="1">
        <f t="array" ref="D300">INDEX(GMW!$A$2:$LR$200,MATCH(1,(GMW!$LQ$2:$LQ$200=D$3)*(GMW!$LP$2:$LP$200=D$4),0),$C300-1966)</f>
        <v>2</v>
      </c>
    </row>
    <row r="301" spans="1:4" x14ac:dyDescent="0.35">
      <c r="A301" s="20">
        <v>53509</v>
      </c>
      <c r="C301" s="18">
        <f t="shared" si="4"/>
        <v>2267</v>
      </c>
      <c r="D301" s="18" cm="1">
        <f t="array" ref="D301">INDEX(GMW!$A$2:$LR$200,MATCH(1,(GMW!$LQ$2:$LQ$200=D$3)*(GMW!$LP$2:$LP$200=D$4),0),$C301-1966)</f>
        <v>2</v>
      </c>
    </row>
    <row r="302" spans="1:4" x14ac:dyDescent="0.35">
      <c r="A302" s="20">
        <v>53601</v>
      </c>
      <c r="C302" s="18">
        <f t="shared" si="4"/>
        <v>2268</v>
      </c>
      <c r="D302" s="18" cm="1">
        <f t="array" ref="D302">INDEX(GMW!$A$2:$LR$200,MATCH(1,(GMW!$LQ$2:$LQ$200=D$3)*(GMW!$LP$2:$LP$200=D$4),0),$C302-1966)</f>
        <v>2</v>
      </c>
    </row>
    <row r="303" spans="1:4" x14ac:dyDescent="0.35">
      <c r="A303" s="20">
        <v>53693</v>
      </c>
      <c r="B303" s="18">
        <v>2047</v>
      </c>
      <c r="C303" s="18">
        <f t="shared" si="4"/>
        <v>2269</v>
      </c>
      <c r="D303" s="18" cm="1">
        <f t="array" ref="D303">INDEX(GMW!$A$2:$LR$200,MATCH(1,(GMW!$LQ$2:$LQ$200=D$3)*(GMW!$LP$2:$LP$200=D$4),0),$C303-1966)</f>
        <v>2</v>
      </c>
    </row>
    <row r="304" spans="1:4" x14ac:dyDescent="0.35">
      <c r="A304" s="20">
        <v>53783</v>
      </c>
      <c r="C304" s="18">
        <f t="shared" si="4"/>
        <v>2270</v>
      </c>
      <c r="D304" s="18" cm="1">
        <f t="array" ref="D304">INDEX(GMW!$A$2:$LR$200,MATCH(1,(GMW!$LQ$2:$LQ$200=D$3)*(GMW!$LP$2:$LP$200=D$4),0),$C304-1966)</f>
        <v>2</v>
      </c>
    </row>
    <row r="305" spans="1:4" x14ac:dyDescent="0.35">
      <c r="A305" s="20">
        <v>53874</v>
      </c>
      <c r="C305" s="18">
        <f t="shared" ref="C305:C318" si="5">+C304+1</f>
        <v>2271</v>
      </c>
      <c r="D305" s="18" cm="1">
        <f t="array" ref="D305">INDEX(GMW!$A$2:$LR$200,MATCH(1,(GMW!$LQ$2:$LQ$200=D$3)*(GMW!$LP$2:$LP$200=D$4),0),$C305-1966)</f>
        <v>2</v>
      </c>
    </row>
    <row r="306" spans="1:4" x14ac:dyDescent="0.35">
      <c r="A306" s="20">
        <v>53966</v>
      </c>
      <c r="C306" s="18">
        <f t="shared" si="5"/>
        <v>2272</v>
      </c>
      <c r="D306" s="18" cm="1">
        <f t="array" ref="D306">INDEX(GMW!$A$2:$LR$200,MATCH(1,(GMW!$LQ$2:$LQ$200=D$3)*(GMW!$LP$2:$LP$200=D$4),0),$C306-1966)</f>
        <v>2</v>
      </c>
    </row>
    <row r="307" spans="1:4" x14ac:dyDescent="0.35">
      <c r="A307" s="20">
        <v>54058</v>
      </c>
      <c r="B307" s="18">
        <v>2048</v>
      </c>
      <c r="C307" s="18">
        <f t="shared" si="5"/>
        <v>2273</v>
      </c>
      <c r="D307" s="18" cm="1">
        <f t="array" ref="D307">INDEX(GMW!$A$2:$LR$200,MATCH(1,(GMW!$LQ$2:$LQ$200=D$3)*(GMW!$LP$2:$LP$200=D$4),0),$C307-1966)</f>
        <v>2</v>
      </c>
    </row>
    <row r="308" spans="1:4" x14ac:dyDescent="0.35">
      <c r="A308" s="20">
        <v>54149</v>
      </c>
      <c r="C308" s="18">
        <f t="shared" si="5"/>
        <v>2274</v>
      </c>
      <c r="D308" s="18" cm="1">
        <f t="array" ref="D308">INDEX(GMW!$A$2:$LR$200,MATCH(1,(GMW!$LQ$2:$LQ$200=D$3)*(GMW!$LP$2:$LP$200=D$4),0),$C308-1966)</f>
        <v>2</v>
      </c>
    </row>
    <row r="309" spans="1:4" x14ac:dyDescent="0.35">
      <c r="A309" s="20">
        <v>54240</v>
      </c>
      <c r="C309" s="18">
        <f t="shared" si="5"/>
        <v>2275</v>
      </c>
      <c r="D309" s="18" cm="1">
        <f t="array" ref="D309">INDEX(GMW!$A$2:$LR$200,MATCH(1,(GMW!$LQ$2:$LQ$200=D$3)*(GMW!$LP$2:$LP$200=D$4),0),$C309-1966)</f>
        <v>2</v>
      </c>
    </row>
    <row r="310" spans="1:4" x14ac:dyDescent="0.35">
      <c r="A310" s="20">
        <v>54332</v>
      </c>
      <c r="C310" s="18">
        <f t="shared" si="5"/>
        <v>2276</v>
      </c>
      <c r="D310" s="18" cm="1">
        <f t="array" ref="D310">INDEX(GMW!$A$2:$LR$200,MATCH(1,(GMW!$LQ$2:$LQ$200=D$3)*(GMW!$LP$2:$LP$200=D$4),0),$C310-1966)</f>
        <v>2</v>
      </c>
    </row>
    <row r="311" spans="1:4" x14ac:dyDescent="0.35">
      <c r="A311" s="20">
        <v>54424</v>
      </c>
      <c r="B311" s="18">
        <v>2049</v>
      </c>
      <c r="C311" s="18">
        <f t="shared" si="5"/>
        <v>2277</v>
      </c>
      <c r="D311" s="18" cm="1">
        <f t="array" ref="D311">INDEX(GMW!$A$2:$LR$200,MATCH(1,(GMW!$LQ$2:$LQ$200=D$3)*(GMW!$LP$2:$LP$200=D$4),0),$C311-1966)</f>
        <v>2</v>
      </c>
    </row>
    <row r="312" spans="1:4" x14ac:dyDescent="0.35">
      <c r="A312" s="20">
        <v>54514</v>
      </c>
      <c r="C312" s="18">
        <f t="shared" si="5"/>
        <v>2278</v>
      </c>
      <c r="D312" s="18" cm="1">
        <f t="array" ref="D312">INDEX(GMW!$A$2:$LR$200,MATCH(1,(GMW!$LQ$2:$LQ$200=D$3)*(GMW!$LP$2:$LP$200=D$4),0),$C312-1966)</f>
        <v>2</v>
      </c>
    </row>
    <row r="313" spans="1:4" x14ac:dyDescent="0.35">
      <c r="A313" s="20">
        <v>54605</v>
      </c>
      <c r="C313" s="18">
        <f t="shared" si="5"/>
        <v>2279</v>
      </c>
      <c r="D313" s="18" cm="1">
        <f t="array" ref="D313">INDEX(GMW!$A$2:$LR$200,MATCH(1,(GMW!$LQ$2:$LQ$200=D$3)*(GMW!$LP$2:$LP$200=D$4),0),$C313-1966)</f>
        <v>2</v>
      </c>
    </row>
    <row r="314" spans="1:4" x14ac:dyDescent="0.35">
      <c r="A314" s="20">
        <v>54697</v>
      </c>
      <c r="C314" s="18">
        <f t="shared" si="5"/>
        <v>2280</v>
      </c>
      <c r="D314" s="18" cm="1">
        <f t="array" ref="D314">INDEX(GMW!$A$2:$LR$200,MATCH(1,(GMW!$LQ$2:$LQ$200=D$3)*(GMW!$LP$2:$LP$200=D$4),0),$C314-1966)</f>
        <v>2</v>
      </c>
    </row>
    <row r="315" spans="1:4" x14ac:dyDescent="0.35">
      <c r="A315" s="20">
        <v>54789</v>
      </c>
      <c r="B315" s="18">
        <v>2050</v>
      </c>
      <c r="C315" s="18">
        <f t="shared" si="5"/>
        <v>2281</v>
      </c>
      <c r="D315" s="18" cm="1">
        <f t="array" ref="D315">INDEX(GMW!$A$2:$LR$200,MATCH(1,(GMW!$LQ$2:$LQ$200=D$3)*(GMW!$LP$2:$LP$200=D$4),0),$C315-1966)</f>
        <v>2</v>
      </c>
    </row>
    <row r="316" spans="1:4" x14ac:dyDescent="0.35">
      <c r="A316" s="20">
        <v>54879</v>
      </c>
      <c r="C316" s="18">
        <f t="shared" si="5"/>
        <v>2282</v>
      </c>
      <c r="D316" s="18" cm="1">
        <f t="array" ref="D316">INDEX(GMW!$A$2:$LR$200,MATCH(1,(GMW!$LQ$2:$LQ$200=D$3)*(GMW!$LP$2:$LP$200=D$4),0),$C316-1966)</f>
        <v>2</v>
      </c>
    </row>
    <row r="317" spans="1:4" x14ac:dyDescent="0.35">
      <c r="A317" s="20">
        <v>54970</v>
      </c>
      <c r="C317" s="18">
        <f t="shared" si="5"/>
        <v>2283</v>
      </c>
      <c r="D317" s="18" cm="1">
        <f t="array" ref="D317">INDEX(GMW!$A$2:$LR$200,MATCH(1,(GMW!$LQ$2:$LQ$200=D$3)*(GMW!$LP$2:$LP$200=D$4),0),$C317-1966)</f>
        <v>2</v>
      </c>
    </row>
    <row r="318" spans="1:4" x14ac:dyDescent="0.35">
      <c r="A318" s="20">
        <v>55062</v>
      </c>
      <c r="C318" s="18">
        <f t="shared" si="5"/>
        <v>2284</v>
      </c>
      <c r="D318" s="18" cm="1">
        <f t="array" ref="D318">INDEX(GMW!$A$2:$LR$200,MATCH(1,(GMW!$LQ$2:$LQ$200=D$3)*(GMW!$LP$2:$LP$200=D$4),0),$C318-1966)</f>
        <v>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9AE4-8C71-4F33-BE51-F76619D15B8B}">
  <sheetPr codeName="Sheet9"/>
  <dimension ref="A1:LR24"/>
  <sheetViews>
    <sheetView workbookViewId="0">
      <pane xSplit="6" ySplit="1" topLeftCell="HG2" activePane="bottomRight" state="frozen"/>
      <selection pane="topRight" activeCell="G1" sqref="G1"/>
      <selection pane="bottomLeft" activeCell="A2" sqref="A2"/>
      <selection pane="bottomRight" activeCell="A26" sqref="A26"/>
    </sheetView>
  </sheetViews>
  <sheetFormatPr defaultColWidth="9.1796875" defaultRowHeight="14.5" x14ac:dyDescent="0.35"/>
  <cols>
    <col min="1" max="1" width="15.7265625" style="12" customWidth="1"/>
    <col min="2" max="3" width="20.7265625" style="12" customWidth="1"/>
    <col min="4" max="5" width="10.7265625" style="12" customWidth="1"/>
    <col min="6" max="6" width="15.7265625" style="12" customWidth="1"/>
    <col min="7" max="319" width="10.7265625" style="12" customWidth="1"/>
    <col min="320" max="320" width="20.7265625" style="12" customWidth="1"/>
    <col min="321" max="322" width="15.7265625" style="12" customWidth="1"/>
    <col min="323" max="324" width="20.7265625" style="12" customWidth="1"/>
    <col min="325" max="325" width="18.7265625" style="12" customWidth="1"/>
    <col min="326" max="327" width="22.7265625" style="12" customWidth="1"/>
    <col min="328" max="328" width="13.7265625" style="12" customWidth="1"/>
    <col min="329" max="329" width="14.7265625" style="12" customWidth="1"/>
    <col min="330" max="330" width="10.7265625" style="12" customWidth="1"/>
    <col min="331" max="16384" width="9.1796875" style="12"/>
  </cols>
  <sheetData>
    <row r="1" spans="1:330" ht="29" x14ac:dyDescent="0.35">
      <c r="A1" s="14" t="s">
        <v>845</v>
      </c>
      <c r="B1" s="14" t="s">
        <v>846</v>
      </c>
      <c r="C1" s="14" t="s">
        <v>847</v>
      </c>
      <c r="D1" s="14" t="s">
        <v>848</v>
      </c>
      <c r="E1" s="14" t="s">
        <v>849</v>
      </c>
      <c r="F1" s="14" t="s">
        <v>850</v>
      </c>
      <c r="G1" s="14" t="s">
        <v>875</v>
      </c>
      <c r="H1" s="14" t="s">
        <v>876</v>
      </c>
      <c r="I1" s="14" t="s">
        <v>877</v>
      </c>
      <c r="J1" s="14" t="s">
        <v>878</v>
      </c>
      <c r="K1" s="14" t="s">
        <v>879</v>
      </c>
      <c r="L1" s="14" t="s">
        <v>880</v>
      </c>
      <c r="M1" s="14" t="s">
        <v>881</v>
      </c>
      <c r="N1" s="14" t="s">
        <v>882</v>
      </c>
      <c r="O1" s="14" t="s">
        <v>883</v>
      </c>
      <c r="P1" s="14" t="s">
        <v>884</v>
      </c>
      <c r="Q1" s="14" t="s">
        <v>885</v>
      </c>
      <c r="R1" s="14" t="s">
        <v>886</v>
      </c>
      <c r="S1" s="14" t="s">
        <v>887</v>
      </c>
      <c r="T1" s="14" t="s">
        <v>888</v>
      </c>
      <c r="U1" s="14" t="s">
        <v>889</v>
      </c>
      <c r="V1" s="14" t="s">
        <v>890</v>
      </c>
      <c r="W1" s="14" t="s">
        <v>891</v>
      </c>
      <c r="X1" s="14" t="s">
        <v>892</v>
      </c>
      <c r="Y1" s="14" t="s">
        <v>893</v>
      </c>
      <c r="Z1" s="14" t="s">
        <v>894</v>
      </c>
      <c r="AA1" s="14" t="s">
        <v>895</v>
      </c>
      <c r="AB1" s="14" t="s">
        <v>896</v>
      </c>
      <c r="AC1" s="14" t="s">
        <v>897</v>
      </c>
      <c r="AD1" s="14" t="s">
        <v>898</v>
      </c>
      <c r="AE1" s="14" t="s">
        <v>899</v>
      </c>
      <c r="AF1" s="14" t="s">
        <v>900</v>
      </c>
      <c r="AG1" s="14" t="s">
        <v>901</v>
      </c>
      <c r="AH1" s="14" t="s">
        <v>902</v>
      </c>
      <c r="AI1" s="14" t="s">
        <v>903</v>
      </c>
      <c r="AJ1" s="14" t="s">
        <v>904</v>
      </c>
      <c r="AK1" s="14" t="s">
        <v>905</v>
      </c>
      <c r="AL1" s="14" t="s">
        <v>906</v>
      </c>
      <c r="AM1" s="14" t="s">
        <v>907</v>
      </c>
      <c r="AN1" s="14" t="s">
        <v>908</v>
      </c>
      <c r="AO1" s="14" t="s">
        <v>909</v>
      </c>
      <c r="AP1" s="14" t="s">
        <v>910</v>
      </c>
      <c r="AQ1" s="14" t="s">
        <v>911</v>
      </c>
      <c r="AR1" s="14" t="s">
        <v>912</v>
      </c>
      <c r="AS1" s="14" t="s">
        <v>913</v>
      </c>
      <c r="AT1" s="14" t="s">
        <v>914</v>
      </c>
      <c r="AU1" s="14" t="s">
        <v>915</v>
      </c>
      <c r="AV1" s="14" t="s">
        <v>916</v>
      </c>
      <c r="AW1" s="14" t="s">
        <v>917</v>
      </c>
      <c r="AX1" s="14" t="s">
        <v>918</v>
      </c>
      <c r="AY1" s="14" t="s">
        <v>919</v>
      </c>
      <c r="AZ1" s="14" t="s">
        <v>920</v>
      </c>
      <c r="BA1" s="14" t="s">
        <v>921</v>
      </c>
      <c r="BB1" s="14" t="s">
        <v>922</v>
      </c>
      <c r="BC1" s="14" t="s">
        <v>923</v>
      </c>
      <c r="BD1" s="14" t="s">
        <v>924</v>
      </c>
      <c r="BE1" s="14" t="s">
        <v>925</v>
      </c>
      <c r="BF1" s="14" t="s">
        <v>926</v>
      </c>
      <c r="BG1" s="14" t="s">
        <v>927</v>
      </c>
      <c r="BH1" s="14" t="s">
        <v>928</v>
      </c>
      <c r="BI1" s="14" t="s">
        <v>929</v>
      </c>
      <c r="BJ1" s="14" t="s">
        <v>930</v>
      </c>
      <c r="BK1" s="14" t="s">
        <v>931</v>
      </c>
      <c r="BL1" s="14" t="s">
        <v>932</v>
      </c>
      <c r="BM1" s="14" t="s">
        <v>933</v>
      </c>
      <c r="BN1" s="14" t="s">
        <v>934</v>
      </c>
      <c r="BO1" s="14" t="s">
        <v>935</v>
      </c>
      <c r="BP1" s="14" t="s">
        <v>936</v>
      </c>
      <c r="BQ1" s="14" t="s">
        <v>937</v>
      </c>
      <c r="BR1" s="14" t="s">
        <v>938</v>
      </c>
      <c r="BS1" s="14" t="s">
        <v>939</v>
      </c>
      <c r="BT1" s="14" t="s">
        <v>940</v>
      </c>
      <c r="BU1" s="14" t="s">
        <v>941</v>
      </c>
      <c r="BV1" s="14" t="s">
        <v>942</v>
      </c>
      <c r="BW1" s="14" t="s">
        <v>943</v>
      </c>
      <c r="BX1" s="14" t="s">
        <v>944</v>
      </c>
      <c r="BY1" s="14" t="s">
        <v>945</v>
      </c>
      <c r="BZ1" s="14" t="s">
        <v>946</v>
      </c>
      <c r="CA1" s="14" t="s">
        <v>947</v>
      </c>
      <c r="CB1" s="14" t="s">
        <v>948</v>
      </c>
      <c r="CC1" s="14" t="s">
        <v>949</v>
      </c>
      <c r="CD1" s="14" t="s">
        <v>950</v>
      </c>
      <c r="CE1" s="14" t="s">
        <v>951</v>
      </c>
      <c r="CF1" s="14" t="s">
        <v>952</v>
      </c>
      <c r="CG1" s="14" t="s">
        <v>953</v>
      </c>
      <c r="CH1" s="14" t="s">
        <v>954</v>
      </c>
      <c r="CI1" s="14" t="s">
        <v>955</v>
      </c>
      <c r="CJ1" s="14" t="s">
        <v>956</v>
      </c>
      <c r="CK1" s="14" t="s">
        <v>957</v>
      </c>
      <c r="CL1" s="14" t="s">
        <v>958</v>
      </c>
      <c r="CM1" s="14" t="s">
        <v>959</v>
      </c>
      <c r="CN1" s="14" t="s">
        <v>960</v>
      </c>
      <c r="CO1" s="14" t="s">
        <v>961</v>
      </c>
      <c r="CP1" s="14" t="s">
        <v>962</v>
      </c>
      <c r="CQ1" s="14" t="s">
        <v>963</v>
      </c>
      <c r="CR1" s="14" t="s">
        <v>964</v>
      </c>
      <c r="CS1" s="14" t="s">
        <v>965</v>
      </c>
      <c r="CT1" s="14" t="s">
        <v>966</v>
      </c>
      <c r="CU1" s="14" t="s">
        <v>967</v>
      </c>
      <c r="CV1" s="14" t="s">
        <v>968</v>
      </c>
      <c r="CW1" s="14" t="s">
        <v>969</v>
      </c>
      <c r="CX1" s="14" t="s">
        <v>970</v>
      </c>
      <c r="CY1" s="14" t="s">
        <v>971</v>
      </c>
      <c r="CZ1" s="14" t="s">
        <v>972</v>
      </c>
      <c r="DA1" s="14" t="s">
        <v>973</v>
      </c>
      <c r="DB1" s="14" t="s">
        <v>974</v>
      </c>
      <c r="DC1" s="14" t="s">
        <v>975</v>
      </c>
      <c r="DD1" s="14" t="s">
        <v>976</v>
      </c>
      <c r="DE1" s="14" t="s">
        <v>977</v>
      </c>
      <c r="DF1" s="14" t="s">
        <v>978</v>
      </c>
      <c r="DG1" s="14" t="s">
        <v>979</v>
      </c>
      <c r="DH1" s="14" t="s">
        <v>980</v>
      </c>
      <c r="DI1" s="14" t="s">
        <v>981</v>
      </c>
      <c r="DJ1" s="14" t="s">
        <v>982</v>
      </c>
      <c r="DK1" s="14" t="s">
        <v>983</v>
      </c>
      <c r="DL1" s="14" t="s">
        <v>984</v>
      </c>
      <c r="DM1" s="14" t="s">
        <v>985</v>
      </c>
      <c r="DN1" s="14" t="s">
        <v>986</v>
      </c>
      <c r="DO1" s="14" t="s">
        <v>987</v>
      </c>
      <c r="DP1" s="14" t="s">
        <v>988</v>
      </c>
      <c r="DQ1" s="14" t="s">
        <v>989</v>
      </c>
      <c r="DR1" s="14" t="s">
        <v>990</v>
      </c>
      <c r="DS1" s="14" t="s">
        <v>991</v>
      </c>
      <c r="DT1" s="14" t="s">
        <v>992</v>
      </c>
      <c r="DU1" s="14" t="s">
        <v>993</v>
      </c>
      <c r="DV1" s="14" t="s">
        <v>994</v>
      </c>
      <c r="DW1" s="14" t="s">
        <v>995</v>
      </c>
      <c r="DX1" s="14" t="s">
        <v>996</v>
      </c>
      <c r="DY1" s="14" t="s">
        <v>997</v>
      </c>
      <c r="DZ1" s="14" t="s">
        <v>998</v>
      </c>
      <c r="EA1" s="14" t="s">
        <v>999</v>
      </c>
      <c r="EB1" s="14" t="s">
        <v>1000</v>
      </c>
      <c r="EC1" s="14" t="s">
        <v>1001</v>
      </c>
      <c r="ED1" s="14" t="s">
        <v>1002</v>
      </c>
      <c r="EE1" s="14" t="s">
        <v>1003</v>
      </c>
      <c r="EF1" s="14" t="s">
        <v>1004</v>
      </c>
      <c r="EG1" s="14" t="s">
        <v>1005</v>
      </c>
      <c r="EH1" s="14" t="s">
        <v>1006</v>
      </c>
      <c r="EI1" s="14" t="s">
        <v>1007</v>
      </c>
      <c r="EJ1" s="14" t="s">
        <v>1008</v>
      </c>
      <c r="EK1" s="14" t="s">
        <v>1009</v>
      </c>
      <c r="EL1" s="14" t="s">
        <v>1010</v>
      </c>
      <c r="EM1" s="14" t="s">
        <v>1011</v>
      </c>
      <c r="EN1" s="14" t="s">
        <v>1012</v>
      </c>
      <c r="EO1" s="14" t="s">
        <v>1013</v>
      </c>
      <c r="EP1" s="14" t="s">
        <v>1014</v>
      </c>
      <c r="EQ1" s="14" t="s">
        <v>1015</v>
      </c>
      <c r="ER1" s="14" t="s">
        <v>1016</v>
      </c>
      <c r="ES1" s="14" t="s">
        <v>1017</v>
      </c>
      <c r="ET1" s="14" t="s">
        <v>1018</v>
      </c>
      <c r="EU1" s="14" t="s">
        <v>1019</v>
      </c>
      <c r="EV1" s="14" t="s">
        <v>1020</v>
      </c>
      <c r="EW1" s="14" t="s">
        <v>1021</v>
      </c>
      <c r="EX1" s="14" t="s">
        <v>1022</v>
      </c>
      <c r="EY1" s="14" t="s">
        <v>1023</v>
      </c>
      <c r="EZ1" s="14" t="s">
        <v>1024</v>
      </c>
      <c r="FA1" s="14" t="s">
        <v>1025</v>
      </c>
      <c r="FB1" s="14" t="s">
        <v>1026</v>
      </c>
      <c r="FC1" s="14" t="s">
        <v>1027</v>
      </c>
      <c r="FD1" s="14" t="s">
        <v>1028</v>
      </c>
      <c r="FE1" s="14" t="s">
        <v>1029</v>
      </c>
      <c r="FF1" s="14" t="s">
        <v>1030</v>
      </c>
      <c r="FG1" s="14" t="s">
        <v>1031</v>
      </c>
      <c r="FH1" s="14" t="s">
        <v>1032</v>
      </c>
      <c r="FI1" s="14" t="s">
        <v>1033</v>
      </c>
      <c r="FJ1" s="14" t="s">
        <v>1034</v>
      </c>
      <c r="FK1" s="14" t="s">
        <v>1035</v>
      </c>
      <c r="FL1" s="14" t="s">
        <v>1036</v>
      </c>
      <c r="FM1" s="14" t="s">
        <v>1037</v>
      </c>
      <c r="FN1" s="14" t="s">
        <v>1038</v>
      </c>
      <c r="FO1" s="14" t="s">
        <v>1039</v>
      </c>
      <c r="FP1" s="14" t="s">
        <v>1040</v>
      </c>
      <c r="FQ1" s="14" t="s">
        <v>1041</v>
      </c>
      <c r="FR1" s="14" t="s">
        <v>1042</v>
      </c>
      <c r="FS1" s="14" t="s">
        <v>1043</v>
      </c>
      <c r="FT1" s="14" t="s">
        <v>1044</v>
      </c>
      <c r="FU1" s="14" t="s">
        <v>1045</v>
      </c>
      <c r="FV1" s="14" t="s">
        <v>1046</v>
      </c>
      <c r="FW1" s="14" t="s">
        <v>1047</v>
      </c>
      <c r="FX1" s="14" t="s">
        <v>1048</v>
      </c>
      <c r="FY1" s="14" t="s">
        <v>1049</v>
      </c>
      <c r="FZ1" s="14" t="s">
        <v>1050</v>
      </c>
      <c r="GA1" s="14" t="s">
        <v>1051</v>
      </c>
      <c r="GB1" s="14" t="s">
        <v>1052</v>
      </c>
      <c r="GC1" s="14" t="s">
        <v>1053</v>
      </c>
      <c r="GD1" s="14" t="s">
        <v>1054</v>
      </c>
      <c r="GE1" s="14" t="s">
        <v>1055</v>
      </c>
      <c r="GF1" s="14" t="s">
        <v>1056</v>
      </c>
      <c r="GG1" s="14" t="s">
        <v>1057</v>
      </c>
      <c r="GH1" s="14" t="s">
        <v>1058</v>
      </c>
      <c r="GI1" s="14" t="s">
        <v>1059</v>
      </c>
      <c r="GJ1" s="14" t="s">
        <v>1060</v>
      </c>
      <c r="GK1" s="14" t="s">
        <v>1061</v>
      </c>
      <c r="GL1" s="14" t="s">
        <v>1062</v>
      </c>
      <c r="GM1" s="14" t="s">
        <v>1063</v>
      </c>
      <c r="GN1" s="14" t="s">
        <v>1064</v>
      </c>
      <c r="GO1" s="14" t="s">
        <v>1065</v>
      </c>
      <c r="GP1" s="14" t="s">
        <v>1066</v>
      </c>
      <c r="GQ1" s="14" t="s">
        <v>1067</v>
      </c>
      <c r="GR1" s="14" t="s">
        <v>1068</v>
      </c>
      <c r="GS1" s="14" t="s">
        <v>1069</v>
      </c>
      <c r="GT1" s="14" t="s">
        <v>1070</v>
      </c>
      <c r="GU1" s="14" t="s">
        <v>1071</v>
      </c>
      <c r="GV1" s="14" t="s">
        <v>1072</v>
      </c>
      <c r="GW1" s="14" t="s">
        <v>1073</v>
      </c>
      <c r="GX1" s="14" t="s">
        <v>1074</v>
      </c>
      <c r="GY1" s="14" t="s">
        <v>1075</v>
      </c>
      <c r="GZ1" s="14" t="s">
        <v>1076</v>
      </c>
      <c r="HA1" s="14" t="s">
        <v>1077</v>
      </c>
      <c r="HB1" s="14" t="s">
        <v>1078</v>
      </c>
      <c r="HC1" s="14" t="s">
        <v>1079</v>
      </c>
      <c r="HD1" s="14" t="s">
        <v>1080</v>
      </c>
      <c r="HE1" s="14" t="s">
        <v>1081</v>
      </c>
      <c r="HF1" s="14" t="s">
        <v>1082</v>
      </c>
      <c r="HG1" s="14" t="s">
        <v>1083</v>
      </c>
      <c r="HH1" s="14" t="s">
        <v>1084</v>
      </c>
      <c r="HI1" s="14" t="s">
        <v>1085</v>
      </c>
      <c r="HJ1" s="14" t="s">
        <v>1086</v>
      </c>
      <c r="HK1" s="14" t="s">
        <v>1087</v>
      </c>
      <c r="HL1" s="14" t="s">
        <v>1088</v>
      </c>
      <c r="HM1" s="14" t="s">
        <v>1089</v>
      </c>
      <c r="HN1" s="14" t="s">
        <v>1090</v>
      </c>
      <c r="HO1" s="14" t="s">
        <v>1091</v>
      </c>
      <c r="HP1" s="14" t="s">
        <v>1092</v>
      </c>
      <c r="HQ1" s="14" t="s">
        <v>1093</v>
      </c>
      <c r="HR1" s="14" t="s">
        <v>1094</v>
      </c>
      <c r="HS1" s="14" t="s">
        <v>1095</v>
      </c>
      <c r="HT1" s="14" t="s">
        <v>1096</v>
      </c>
      <c r="HU1" s="14" t="s">
        <v>1097</v>
      </c>
      <c r="HV1" s="14" t="s">
        <v>1098</v>
      </c>
      <c r="HW1" s="14" t="s">
        <v>1099</v>
      </c>
      <c r="HX1" s="14" t="s">
        <v>1100</v>
      </c>
      <c r="HY1" s="14" t="s">
        <v>1101</v>
      </c>
      <c r="HZ1" s="14" t="s">
        <v>1102</v>
      </c>
      <c r="IA1" s="14" t="s">
        <v>1103</v>
      </c>
      <c r="IB1" s="14" t="s">
        <v>1104</v>
      </c>
      <c r="IC1" s="14" t="s">
        <v>1105</v>
      </c>
      <c r="ID1" s="14" t="s">
        <v>1106</v>
      </c>
      <c r="IE1" s="14" t="s">
        <v>1107</v>
      </c>
      <c r="IF1" s="14" t="s">
        <v>1108</v>
      </c>
      <c r="IG1" s="14" t="s">
        <v>1109</v>
      </c>
      <c r="IH1" s="14" t="s">
        <v>1110</v>
      </c>
      <c r="II1" s="14" t="s">
        <v>1111</v>
      </c>
      <c r="IJ1" s="14" t="s">
        <v>1112</v>
      </c>
      <c r="IK1" s="14" t="s">
        <v>1113</v>
      </c>
      <c r="IL1" s="14" t="s">
        <v>1114</v>
      </c>
      <c r="IM1" s="14" t="s">
        <v>1115</v>
      </c>
      <c r="IN1" s="14" t="s">
        <v>1116</v>
      </c>
      <c r="IO1" s="14" t="s">
        <v>1117</v>
      </c>
      <c r="IP1" s="14" t="s">
        <v>1118</v>
      </c>
      <c r="IQ1" s="14" t="s">
        <v>1119</v>
      </c>
      <c r="IR1" s="14" t="s">
        <v>1120</v>
      </c>
      <c r="IS1" s="14" t="s">
        <v>1121</v>
      </c>
      <c r="IT1" s="14" t="s">
        <v>1122</v>
      </c>
      <c r="IU1" s="14" t="s">
        <v>1123</v>
      </c>
      <c r="IV1" s="14" t="s">
        <v>1124</v>
      </c>
      <c r="IW1" s="14" t="s">
        <v>1125</v>
      </c>
      <c r="IX1" s="14" t="s">
        <v>1126</v>
      </c>
      <c r="IY1" s="14" t="s">
        <v>1127</v>
      </c>
      <c r="IZ1" s="14" t="s">
        <v>1128</v>
      </c>
      <c r="JA1" s="14" t="s">
        <v>1129</v>
      </c>
      <c r="JB1" s="14" t="s">
        <v>1130</v>
      </c>
      <c r="JC1" s="14" t="s">
        <v>1131</v>
      </c>
      <c r="JD1" s="14" t="s">
        <v>1132</v>
      </c>
      <c r="JE1" s="14" t="s">
        <v>1133</v>
      </c>
      <c r="JF1" s="14" t="s">
        <v>1134</v>
      </c>
      <c r="JG1" s="14" t="s">
        <v>1135</v>
      </c>
      <c r="JH1" s="14" t="s">
        <v>1136</v>
      </c>
      <c r="JI1" s="14" t="s">
        <v>1137</v>
      </c>
      <c r="JJ1" s="14" t="s">
        <v>1138</v>
      </c>
      <c r="JK1" s="14" t="s">
        <v>1139</v>
      </c>
      <c r="JL1" s="14" t="s">
        <v>1140</v>
      </c>
      <c r="JM1" s="14" t="s">
        <v>1141</v>
      </c>
      <c r="JN1" s="14" t="s">
        <v>1142</v>
      </c>
      <c r="JO1" s="14" t="s">
        <v>1143</v>
      </c>
      <c r="JP1" s="14" t="s">
        <v>1144</v>
      </c>
      <c r="JQ1" s="14" t="s">
        <v>1145</v>
      </c>
      <c r="JR1" s="14" t="s">
        <v>1146</v>
      </c>
      <c r="JS1" s="14" t="s">
        <v>1147</v>
      </c>
      <c r="JT1" s="14" t="s">
        <v>1148</v>
      </c>
      <c r="JU1" s="14" t="s">
        <v>1149</v>
      </c>
      <c r="JV1" s="14" t="s">
        <v>1150</v>
      </c>
      <c r="JW1" s="14" t="s">
        <v>1151</v>
      </c>
      <c r="JX1" s="14" t="s">
        <v>1152</v>
      </c>
      <c r="JY1" s="14" t="s">
        <v>1153</v>
      </c>
      <c r="JZ1" s="14" t="s">
        <v>1154</v>
      </c>
      <c r="KA1" s="14" t="s">
        <v>1155</v>
      </c>
      <c r="KB1" s="14" t="s">
        <v>1156</v>
      </c>
      <c r="KC1" s="14" t="s">
        <v>1157</v>
      </c>
      <c r="KD1" s="14" t="s">
        <v>1158</v>
      </c>
      <c r="KE1" s="14" t="s">
        <v>1159</v>
      </c>
      <c r="KF1" s="14" t="s">
        <v>1160</v>
      </c>
      <c r="KG1" s="14" t="s">
        <v>1161</v>
      </c>
      <c r="KH1" s="14" t="s">
        <v>1162</v>
      </c>
      <c r="KI1" s="14" t="s">
        <v>1163</v>
      </c>
      <c r="KJ1" s="14" t="s">
        <v>1164</v>
      </c>
      <c r="KK1" s="14" t="s">
        <v>1165</v>
      </c>
      <c r="KL1" s="14" t="s">
        <v>1166</v>
      </c>
      <c r="KM1" s="14" t="s">
        <v>1167</v>
      </c>
      <c r="KN1" s="14" t="s">
        <v>1168</v>
      </c>
      <c r="KO1" s="14" t="s">
        <v>1169</v>
      </c>
      <c r="KP1" s="14" t="s">
        <v>1170</v>
      </c>
      <c r="KQ1" s="14" t="s">
        <v>1171</v>
      </c>
      <c r="KR1" s="14" t="s">
        <v>1172</v>
      </c>
      <c r="KS1" s="14" t="s">
        <v>1173</v>
      </c>
      <c r="KT1" s="14" t="s">
        <v>1174</v>
      </c>
      <c r="KU1" s="14" t="s">
        <v>1175</v>
      </c>
      <c r="KV1" s="14" t="s">
        <v>1176</v>
      </c>
      <c r="KW1" s="14" t="s">
        <v>1177</v>
      </c>
      <c r="KX1" s="14" t="s">
        <v>1178</v>
      </c>
      <c r="KY1" s="14" t="s">
        <v>1179</v>
      </c>
      <c r="KZ1" s="14" t="s">
        <v>1180</v>
      </c>
      <c r="LA1" s="14" t="s">
        <v>1181</v>
      </c>
      <c r="LB1" s="14" t="s">
        <v>1182</v>
      </c>
      <c r="LC1" s="14" t="s">
        <v>1183</v>
      </c>
      <c r="LD1" s="14" t="s">
        <v>1184</v>
      </c>
      <c r="LE1" s="14" t="s">
        <v>1185</v>
      </c>
      <c r="LF1" s="14" t="s">
        <v>1186</v>
      </c>
      <c r="LG1" s="14" t="s">
        <v>851</v>
      </c>
      <c r="LH1" s="14" t="s">
        <v>852</v>
      </c>
      <c r="LI1" s="14" t="s">
        <v>853</v>
      </c>
      <c r="LJ1" s="14" t="s">
        <v>854</v>
      </c>
      <c r="LK1" s="14" t="s">
        <v>855</v>
      </c>
      <c r="LL1" s="14" t="s">
        <v>856</v>
      </c>
      <c r="LM1" s="14" t="s">
        <v>857</v>
      </c>
      <c r="LN1" s="14" t="s">
        <v>858</v>
      </c>
      <c r="LO1" s="14" t="s">
        <v>859</v>
      </c>
      <c r="LP1" s="14" t="s">
        <v>860</v>
      </c>
      <c r="LQ1" s="14" t="s">
        <v>861</v>
      </c>
      <c r="LR1" s="14" t="s">
        <v>862</v>
      </c>
    </row>
    <row r="2" spans="1:330" x14ac:dyDescent="0.35">
      <c r="A2" s="13" t="s">
        <v>863</v>
      </c>
      <c r="B2" s="13" t="s">
        <v>864</v>
      </c>
      <c r="C2" s="15" t="s">
        <v>2826</v>
      </c>
      <c r="D2" s="13" t="s">
        <v>865</v>
      </c>
      <c r="E2" s="13" t="s">
        <v>866</v>
      </c>
      <c r="F2" s="13" t="s">
        <v>867</v>
      </c>
      <c r="G2" s="16">
        <v>8.5</v>
      </c>
      <c r="H2" s="16">
        <v>7.5</v>
      </c>
      <c r="I2" s="16">
        <v>11.5</v>
      </c>
      <c r="J2" s="16">
        <v>13</v>
      </c>
      <c r="K2" s="16">
        <v>12.5</v>
      </c>
      <c r="L2" s="16">
        <v>11.75</v>
      </c>
      <c r="M2" s="16">
        <v>11.5</v>
      </c>
      <c r="N2" s="16">
        <v>11.5</v>
      </c>
      <c r="O2" s="16">
        <v>10</v>
      </c>
      <c r="P2" s="16">
        <v>10</v>
      </c>
      <c r="Q2" s="16">
        <v>11</v>
      </c>
      <c r="R2" s="16">
        <v>11.25</v>
      </c>
      <c r="S2" s="16">
        <v>9</v>
      </c>
      <c r="T2" s="16">
        <v>11.5</v>
      </c>
      <c r="U2" s="16">
        <v>13</v>
      </c>
      <c r="V2" s="16">
        <v>14.25</v>
      </c>
      <c r="W2" s="16">
        <v>9.5</v>
      </c>
      <c r="X2" s="16">
        <v>8</v>
      </c>
      <c r="Y2" s="16">
        <v>6</v>
      </c>
      <c r="Z2" s="16">
        <v>7</v>
      </c>
      <c r="AA2" s="16">
        <v>6.5</v>
      </c>
      <c r="AB2" s="16">
        <v>10</v>
      </c>
      <c r="AC2" s="16">
        <v>10</v>
      </c>
      <c r="AD2" s="16">
        <v>12.5</v>
      </c>
      <c r="AE2" s="16">
        <v>13</v>
      </c>
      <c r="AF2" s="16">
        <v>14</v>
      </c>
      <c r="AG2" s="16">
        <v>14</v>
      </c>
      <c r="AH2" s="16">
        <v>17</v>
      </c>
      <c r="AI2" s="16">
        <v>17</v>
      </c>
      <c r="AJ2" s="16">
        <v>17</v>
      </c>
      <c r="AK2" s="16">
        <v>16</v>
      </c>
      <c r="AL2" s="16">
        <v>14</v>
      </c>
      <c r="AM2" s="16">
        <v>12</v>
      </c>
      <c r="AN2" s="16">
        <v>12</v>
      </c>
      <c r="AO2" s="16">
        <v>14</v>
      </c>
      <c r="AP2" s="16">
        <v>14.375</v>
      </c>
      <c r="AQ2" s="16">
        <v>13.25</v>
      </c>
      <c r="AR2" s="16">
        <v>12.625</v>
      </c>
      <c r="AS2" s="16">
        <v>10.125</v>
      </c>
      <c r="AT2" s="16">
        <v>10</v>
      </c>
      <c r="AU2" s="16">
        <v>10.5625</v>
      </c>
      <c r="AV2" s="16">
        <v>9.5625</v>
      </c>
      <c r="AW2" s="16">
        <v>9.5625</v>
      </c>
      <c r="AX2" s="16">
        <v>9.0625</v>
      </c>
      <c r="AY2" s="16">
        <v>8.5625</v>
      </c>
      <c r="AZ2" s="16">
        <v>8.875</v>
      </c>
      <c r="BA2" s="16">
        <v>10.5</v>
      </c>
      <c r="BB2" s="16">
        <v>9.5</v>
      </c>
      <c r="BC2" s="16">
        <v>12.875</v>
      </c>
      <c r="BD2" s="16">
        <v>12.375</v>
      </c>
      <c r="BE2" s="16">
        <v>11.375</v>
      </c>
      <c r="BF2" s="16">
        <v>11.375</v>
      </c>
      <c r="BG2" s="16">
        <v>11.375</v>
      </c>
      <c r="BH2" s="16">
        <v>9.875</v>
      </c>
      <c r="BI2" s="16">
        <v>9.875</v>
      </c>
      <c r="BJ2" s="16">
        <v>10.875</v>
      </c>
      <c r="BK2" s="16">
        <v>9.875</v>
      </c>
      <c r="BL2" s="16">
        <v>8.875</v>
      </c>
      <c r="BM2" s="16">
        <v>9.875</v>
      </c>
      <c r="BN2" s="16">
        <v>8.375</v>
      </c>
      <c r="BO2" s="16">
        <v>8.375</v>
      </c>
      <c r="BP2" s="16">
        <v>8.875</v>
      </c>
      <c r="BQ2" s="16">
        <v>11.875</v>
      </c>
      <c r="BR2" s="16">
        <v>12.875</v>
      </c>
      <c r="BS2" s="16">
        <v>12.875</v>
      </c>
      <c r="BT2" s="16">
        <v>13.75</v>
      </c>
      <c r="BU2" s="16">
        <v>13.75</v>
      </c>
      <c r="BV2" s="16">
        <v>14.875</v>
      </c>
      <c r="BW2" s="16">
        <v>14.875</v>
      </c>
      <c r="BX2" s="16">
        <v>14.875</v>
      </c>
      <c r="BY2" s="16">
        <v>14.875</v>
      </c>
      <c r="BZ2" s="16">
        <v>13.875</v>
      </c>
      <c r="CA2" s="16">
        <v>12.375</v>
      </c>
      <c r="CB2" s="16">
        <v>11.375</v>
      </c>
      <c r="CC2" s="16">
        <v>10.375</v>
      </c>
      <c r="CD2" s="16">
        <v>10.375</v>
      </c>
      <c r="CE2" s="16">
        <v>10.375</v>
      </c>
      <c r="CF2" s="16">
        <v>9.875</v>
      </c>
      <c r="CG2" s="16">
        <v>8.875</v>
      </c>
      <c r="CH2" s="16">
        <v>6.875</v>
      </c>
      <c r="CI2" s="16">
        <v>5.875</v>
      </c>
      <c r="CJ2" s="16">
        <v>5.875</v>
      </c>
      <c r="CK2" s="16">
        <v>5.875</v>
      </c>
      <c r="CL2" s="16">
        <v>5.375</v>
      </c>
      <c r="CM2" s="16">
        <v>5.125</v>
      </c>
      <c r="CN2" s="16">
        <v>5.125</v>
      </c>
      <c r="CO2" s="16">
        <v>5.625</v>
      </c>
      <c r="CP2" s="16">
        <v>6.125</v>
      </c>
      <c r="CQ2" s="16">
        <v>6.625</v>
      </c>
      <c r="CR2" s="16">
        <v>6.625</v>
      </c>
      <c r="CS2" s="16">
        <v>6.625</v>
      </c>
      <c r="CT2" s="16">
        <v>6.375</v>
      </c>
      <c r="CU2" s="16">
        <v>5.9375</v>
      </c>
      <c r="CV2" s="16">
        <v>5.6875</v>
      </c>
      <c r="CW2" s="16">
        <v>5.6875</v>
      </c>
      <c r="CX2" s="16">
        <v>5.9375</v>
      </c>
      <c r="CY2" s="16">
        <v>5.9375</v>
      </c>
      <c r="CZ2" s="16">
        <v>6.5</v>
      </c>
      <c r="DA2" s="16">
        <v>7</v>
      </c>
      <c r="DB2" s="16">
        <v>7.25</v>
      </c>
      <c r="DC2" s="16">
        <v>7.25</v>
      </c>
      <c r="DD2" s="16">
        <v>7.5</v>
      </c>
      <c r="DE2" s="16">
        <v>7.5</v>
      </c>
      <c r="DF2" s="16">
        <v>6.25</v>
      </c>
      <c r="DG2" s="16">
        <v>5.5</v>
      </c>
      <c r="DH2" s="16">
        <v>5</v>
      </c>
      <c r="DI2" s="16">
        <v>5.25</v>
      </c>
      <c r="DJ2" s="16">
        <v>5.5</v>
      </c>
      <c r="DK2" s="16">
        <v>6</v>
      </c>
      <c r="DL2" s="16">
        <v>6</v>
      </c>
      <c r="DM2" s="16">
        <v>6</v>
      </c>
      <c r="DN2" s="16">
        <v>6</v>
      </c>
      <c r="DO2" s="16">
        <v>5.75</v>
      </c>
      <c r="DP2" s="16">
        <v>5.25</v>
      </c>
      <c r="DQ2" s="16">
        <v>4.75</v>
      </c>
      <c r="DR2" s="16">
        <v>4</v>
      </c>
      <c r="DS2" s="16">
        <v>4</v>
      </c>
      <c r="DT2" s="16">
        <v>4</v>
      </c>
      <c r="DU2" s="16">
        <v>4</v>
      </c>
      <c r="DV2" s="16">
        <v>4</v>
      </c>
      <c r="DW2" s="16">
        <v>3.75</v>
      </c>
      <c r="DX2" s="16">
        <v>3.75</v>
      </c>
      <c r="DY2" s="16">
        <v>3.5</v>
      </c>
      <c r="DZ2" s="16">
        <v>3.75</v>
      </c>
      <c r="EA2" s="16">
        <v>4</v>
      </c>
      <c r="EB2" s="16">
        <v>4.5</v>
      </c>
      <c r="EC2" s="16">
        <v>4.75</v>
      </c>
      <c r="ED2" s="16">
        <v>4.75</v>
      </c>
      <c r="EE2" s="16">
        <v>4.75</v>
      </c>
      <c r="EF2" s="16">
        <v>4.75</v>
      </c>
      <c r="EG2" s="16">
        <v>4.5</v>
      </c>
      <c r="EH2" s="16">
        <v>4.5</v>
      </c>
      <c r="EI2" s="16">
        <v>4.5</v>
      </c>
      <c r="EJ2" s="16">
        <v>4.5</v>
      </c>
      <c r="EK2" s="16">
        <v>4.75</v>
      </c>
      <c r="EL2" s="16">
        <v>5</v>
      </c>
      <c r="EM2" s="16">
        <v>5.25</v>
      </c>
      <c r="EN2" s="16">
        <v>5.5</v>
      </c>
      <c r="EO2" s="16">
        <v>5.75</v>
      </c>
      <c r="EP2" s="16">
        <v>5.5</v>
      </c>
      <c r="EQ2" s="16">
        <v>5.25</v>
      </c>
      <c r="ER2" s="16">
        <v>5</v>
      </c>
      <c r="ES2" s="16">
        <v>5</v>
      </c>
      <c r="ET2" s="16">
        <v>2</v>
      </c>
      <c r="EU2" s="16">
        <v>0.5</v>
      </c>
      <c r="EV2" s="16">
        <v>0.5</v>
      </c>
      <c r="EW2" s="16">
        <v>0.5</v>
      </c>
      <c r="EX2" s="16">
        <v>0.5</v>
      </c>
      <c r="EY2" s="16">
        <v>0.5</v>
      </c>
      <c r="EZ2" s="16">
        <v>0.5</v>
      </c>
      <c r="FA2" s="16">
        <v>0.5</v>
      </c>
      <c r="FB2" s="16">
        <v>0.5</v>
      </c>
      <c r="FC2" s="16">
        <v>0.5</v>
      </c>
      <c r="FD2" s="16">
        <v>0.5</v>
      </c>
      <c r="FE2" s="16">
        <v>0.5</v>
      </c>
      <c r="FF2" s="16">
        <v>0.5</v>
      </c>
      <c r="FG2" s="16">
        <v>0.5</v>
      </c>
      <c r="FH2" s="16">
        <v>0.5</v>
      </c>
      <c r="FI2" s="16">
        <v>0.5</v>
      </c>
      <c r="FJ2" s="16">
        <v>0.5</v>
      </c>
      <c r="FK2" s="16">
        <v>0.5</v>
      </c>
      <c r="FL2" s="16">
        <v>0.5</v>
      </c>
      <c r="FM2" s="16">
        <v>0.5</v>
      </c>
      <c r="FN2" s="16">
        <v>0.5</v>
      </c>
      <c r="FO2" s="16">
        <v>0.5</v>
      </c>
      <c r="FP2" s="16">
        <v>0.5</v>
      </c>
      <c r="FQ2" s="16">
        <v>0.5</v>
      </c>
      <c r="FR2" s="16">
        <v>0.5</v>
      </c>
      <c r="FS2" s="16">
        <v>0.5</v>
      </c>
      <c r="FT2" s="16">
        <v>0.5</v>
      </c>
      <c r="FU2" s="16">
        <v>0.5</v>
      </c>
      <c r="FV2" s="16">
        <v>0.5</v>
      </c>
      <c r="FW2" s="16">
        <v>0.5</v>
      </c>
      <c r="FX2" s="16">
        <v>0.5</v>
      </c>
      <c r="FY2" s="16">
        <v>0.25</v>
      </c>
      <c r="FZ2" s="16">
        <v>0.25</v>
      </c>
      <c r="GA2" s="16">
        <v>0.25</v>
      </c>
      <c r="GB2" s="16">
        <v>0.25</v>
      </c>
      <c r="GC2" s="16">
        <v>0.25</v>
      </c>
      <c r="GD2" s="16">
        <v>0.5</v>
      </c>
      <c r="GE2" s="16">
        <v>0.5</v>
      </c>
      <c r="GF2" s="16">
        <v>0.5</v>
      </c>
      <c r="GG2" s="16">
        <v>0.75</v>
      </c>
      <c r="GH2" s="16">
        <v>0.75</v>
      </c>
      <c r="GI2" s="16">
        <v>0.75</v>
      </c>
      <c r="GJ2" s="16">
        <v>0.75</v>
      </c>
      <c r="GK2" s="16">
        <v>0.75</v>
      </c>
      <c r="GL2" s="16">
        <v>0.75</v>
      </c>
      <c r="GM2" s="16">
        <v>0.1</v>
      </c>
      <c r="GN2" s="16">
        <v>0.1</v>
      </c>
      <c r="GO2" s="16">
        <v>0.1</v>
      </c>
      <c r="GP2" s="16">
        <v>0.1</v>
      </c>
      <c r="GQ2" s="16">
        <v>0.1</v>
      </c>
      <c r="GR2" s="16">
        <v>0.1</v>
      </c>
      <c r="GS2" s="16">
        <v>0.1</v>
      </c>
      <c r="GT2" s="16">
        <v>0.25</v>
      </c>
      <c r="GU2" s="16">
        <v>0.75</v>
      </c>
      <c r="GV2" s="16">
        <v>1.25</v>
      </c>
      <c r="GW2" s="16">
        <v>2.25</v>
      </c>
      <c r="GX2" s="16">
        <v>3.5</v>
      </c>
      <c r="GY2" s="16">
        <v>4.25</v>
      </c>
      <c r="GZ2" s="16">
        <v>5</v>
      </c>
      <c r="HA2" s="16">
        <v>5.25</v>
      </c>
      <c r="HB2" s="16">
        <v>5.25</v>
      </c>
      <c r="HC2" s="16">
        <v>5.25</v>
      </c>
      <c r="HD2" s="17">
        <v>5</v>
      </c>
      <c r="HE2" s="17">
        <v>4.75</v>
      </c>
      <c r="HF2" s="17">
        <v>4.5</v>
      </c>
      <c r="HG2" s="17">
        <v>4.25</v>
      </c>
      <c r="HH2" s="17">
        <v>4</v>
      </c>
      <c r="HI2" s="17">
        <v>3.75</v>
      </c>
      <c r="HJ2" s="17">
        <v>3.5</v>
      </c>
      <c r="HK2" s="17">
        <v>3.25</v>
      </c>
      <c r="HL2" s="17">
        <v>3</v>
      </c>
      <c r="HM2" s="17">
        <v>2.75</v>
      </c>
      <c r="HN2" s="17">
        <v>2.5</v>
      </c>
      <c r="HO2" s="17">
        <v>2.25</v>
      </c>
      <c r="HP2" s="17">
        <v>2</v>
      </c>
      <c r="HQ2" s="17">
        <v>2</v>
      </c>
      <c r="HR2" s="17">
        <v>2</v>
      </c>
      <c r="HS2" s="17">
        <v>2</v>
      </c>
      <c r="HT2" s="17">
        <v>2</v>
      </c>
      <c r="HU2" s="17">
        <v>2</v>
      </c>
      <c r="HV2" s="17">
        <v>2</v>
      </c>
      <c r="HW2" s="17">
        <v>2</v>
      </c>
      <c r="HX2" s="17">
        <v>2</v>
      </c>
      <c r="HY2" s="17">
        <v>2</v>
      </c>
      <c r="HZ2" s="17">
        <v>2</v>
      </c>
      <c r="IA2" s="17">
        <v>2</v>
      </c>
      <c r="IB2" s="17">
        <v>2</v>
      </c>
      <c r="IC2" s="17">
        <v>2</v>
      </c>
      <c r="ID2" s="17">
        <v>2</v>
      </c>
      <c r="IE2" s="17">
        <v>2</v>
      </c>
      <c r="IF2" s="17">
        <v>2</v>
      </c>
      <c r="IG2" s="17">
        <v>2</v>
      </c>
      <c r="IH2" s="17">
        <v>2</v>
      </c>
      <c r="II2" s="17">
        <v>2</v>
      </c>
      <c r="IJ2" s="17">
        <v>2</v>
      </c>
      <c r="IK2" s="17">
        <v>2</v>
      </c>
      <c r="IL2" s="17">
        <v>2</v>
      </c>
      <c r="IM2" s="17">
        <v>2</v>
      </c>
      <c r="IN2" s="17">
        <v>2</v>
      </c>
      <c r="IO2" s="17">
        <v>2</v>
      </c>
      <c r="IP2" s="17">
        <v>2</v>
      </c>
      <c r="IQ2" s="17">
        <v>2</v>
      </c>
      <c r="IR2" s="17">
        <v>2</v>
      </c>
      <c r="IS2" s="17">
        <v>2</v>
      </c>
      <c r="IT2" s="17">
        <v>2</v>
      </c>
      <c r="IU2" s="17">
        <v>2</v>
      </c>
      <c r="IV2" s="17">
        <v>2</v>
      </c>
      <c r="IW2" s="17">
        <v>2</v>
      </c>
      <c r="IX2" s="17">
        <v>2</v>
      </c>
      <c r="IY2" s="17">
        <v>2</v>
      </c>
      <c r="IZ2" s="17">
        <v>2</v>
      </c>
      <c r="JA2" s="17">
        <v>2</v>
      </c>
      <c r="JB2" s="17">
        <v>2</v>
      </c>
      <c r="JC2" s="17">
        <v>2</v>
      </c>
      <c r="JD2" s="17">
        <v>2</v>
      </c>
      <c r="JE2" s="17">
        <v>2</v>
      </c>
      <c r="JF2" s="17">
        <v>2</v>
      </c>
      <c r="JG2" s="17">
        <v>2</v>
      </c>
      <c r="JH2" s="17">
        <v>2</v>
      </c>
      <c r="JI2" s="17">
        <v>2</v>
      </c>
      <c r="JJ2" s="17">
        <v>2</v>
      </c>
      <c r="JK2" s="17">
        <v>2</v>
      </c>
      <c r="JL2" s="17">
        <v>2</v>
      </c>
      <c r="JM2" s="17">
        <v>2</v>
      </c>
      <c r="JN2" s="17">
        <v>2</v>
      </c>
      <c r="JO2" s="17">
        <v>2</v>
      </c>
      <c r="JP2" s="17">
        <v>2</v>
      </c>
      <c r="JQ2" s="17">
        <v>2</v>
      </c>
      <c r="JR2" s="17">
        <v>2</v>
      </c>
      <c r="JS2" s="17">
        <v>2</v>
      </c>
      <c r="JT2" s="17">
        <v>2</v>
      </c>
      <c r="JU2" s="17">
        <v>2</v>
      </c>
      <c r="JV2" s="17">
        <v>2</v>
      </c>
      <c r="JW2" s="17">
        <v>2</v>
      </c>
      <c r="JX2" s="17">
        <v>2</v>
      </c>
      <c r="JY2" s="17">
        <v>2</v>
      </c>
      <c r="JZ2" s="17">
        <v>2</v>
      </c>
      <c r="KA2" s="17">
        <v>2</v>
      </c>
      <c r="KB2" s="17">
        <v>2</v>
      </c>
      <c r="KC2" s="17">
        <v>2</v>
      </c>
      <c r="KD2" s="17">
        <v>2</v>
      </c>
      <c r="KE2" s="17">
        <v>2</v>
      </c>
      <c r="KF2" s="17">
        <v>2</v>
      </c>
      <c r="KG2" s="17">
        <v>2</v>
      </c>
      <c r="KH2" s="17">
        <v>2</v>
      </c>
      <c r="KI2" s="17">
        <v>2</v>
      </c>
      <c r="KJ2" s="17">
        <v>2</v>
      </c>
      <c r="KK2" s="17">
        <v>2</v>
      </c>
      <c r="KL2" s="17">
        <v>2</v>
      </c>
      <c r="KM2" s="17">
        <v>2</v>
      </c>
      <c r="KN2" s="17">
        <v>2</v>
      </c>
      <c r="KO2" s="17">
        <v>2</v>
      </c>
      <c r="KP2" s="17">
        <v>2</v>
      </c>
      <c r="KQ2" s="17">
        <v>2</v>
      </c>
      <c r="KR2" s="17">
        <v>2</v>
      </c>
      <c r="KS2" s="17">
        <v>2</v>
      </c>
      <c r="KT2" s="17">
        <v>2</v>
      </c>
      <c r="KU2" s="17">
        <v>2</v>
      </c>
      <c r="KV2" s="17">
        <v>2</v>
      </c>
      <c r="KW2" s="17">
        <v>2</v>
      </c>
      <c r="KX2" s="17">
        <v>2</v>
      </c>
      <c r="KY2" s="17">
        <v>2</v>
      </c>
      <c r="KZ2" s="17">
        <v>2</v>
      </c>
      <c r="LA2" s="17">
        <v>2</v>
      </c>
      <c r="LB2" s="17">
        <v>2</v>
      </c>
      <c r="LC2" s="17">
        <v>2</v>
      </c>
      <c r="LD2" s="17">
        <v>2</v>
      </c>
      <c r="LE2" s="17">
        <v>2</v>
      </c>
      <c r="LF2" s="17">
        <v>2</v>
      </c>
      <c r="LG2" s="13" t="s">
        <v>868</v>
      </c>
      <c r="LH2" s="13" t="s">
        <v>869</v>
      </c>
      <c r="LI2" s="13" t="s">
        <v>866</v>
      </c>
      <c r="LJ2" s="13" t="s">
        <v>866</v>
      </c>
      <c r="LK2" s="13" t="s">
        <v>2827</v>
      </c>
      <c r="LL2" s="13" t="s">
        <v>2828</v>
      </c>
      <c r="LM2" s="13" t="s">
        <v>2829</v>
      </c>
      <c r="LN2" s="15" t="s">
        <v>870</v>
      </c>
      <c r="LO2" s="13" t="s">
        <v>871</v>
      </c>
      <c r="LP2" s="13" t="s">
        <v>872</v>
      </c>
      <c r="LQ2" s="13" t="s">
        <v>873</v>
      </c>
      <c r="LR2" s="13" t="s">
        <v>874</v>
      </c>
    </row>
    <row r="3" spans="1:330" x14ac:dyDescent="0.3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</row>
    <row r="4" spans="1:330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</row>
    <row r="5" spans="1:330" x14ac:dyDescent="0.3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</row>
    <row r="6" spans="1:330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</row>
    <row r="22" spans="1:330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</row>
    <row r="23" spans="1:330" x14ac:dyDescent="0.35">
      <c r="A23"/>
    </row>
    <row r="24" spans="1:330" x14ac:dyDescent="0.35">
      <c r="A24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Chart Data</vt:lpstr>
      <vt:lpstr>HAVERQ</vt:lpstr>
      <vt:lpstr>HAVERD</vt:lpstr>
      <vt:lpstr>HAVERM</vt:lpstr>
      <vt:lpstr>Data</vt:lpstr>
      <vt:lpstr>GMW</vt:lpstr>
      <vt:lpstr>Chart - Market (3) &amp; OE (M)</vt:lpstr>
      <vt:lpstr>Chart - Market (3) &amp; OE (M) 23-</vt:lpstr>
      <vt:lpstr>_DLX1.INC</vt:lpstr>
      <vt:lpstr>_DLX2.INC</vt:lpstr>
      <vt:lpstr>_DLX3.INC</vt:lpstr>
      <vt:lpstr>GMW!Annual_Data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cp:lastPrinted>2022-03-18T12:19:10Z</cp:lastPrinted>
  <dcterms:created xsi:type="dcterms:W3CDTF">2021-11-22T12:21:41Z</dcterms:created>
  <dcterms:modified xsi:type="dcterms:W3CDTF">2024-04-19T10:04:07Z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2023-07-25T08:48:24Z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193f430e-2a21-4285-af14-265885d6f506</vt:lpwstr>
  </property>
  <property fmtid="{D5CDD505-2E9C-101B-9397-08002B2CF9AE}" pid="8" name="MSIP_Label_3b83b38b-8e91-4f17-8371-95d3d41e26c0_ContentBits">
    <vt:lpwstr>0</vt:lpwstr>
  </property>
</Properties>
</file>