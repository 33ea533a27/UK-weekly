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B90755F7-B453-414F-9138-00F24C3CFAC1}" xr6:coauthVersionLast="47" xr6:coauthVersionMax="47" xr10:uidLastSave="{00000000-0000-0000-0000-000000000000}"/>
  <bookViews>
    <workbookView xWindow="-120" yWindow="-120" windowWidth="29040" windowHeight="15840" activeTab="3" xr2:uid="{4123649A-3C1C-4E0D-8238-EBB9B7736FB9}"/>
  </bookViews>
  <sheets>
    <sheet name="Chart1" sheetId="6" r:id="rId1"/>
    <sheet name="Chart1a" sheetId="3" r:id="rId2"/>
    <sheet name="Chart1b" sheetId="9" r:id="rId3"/>
    <sheet name="Chart2" sheetId="4" r:id="rId4"/>
    <sheet name="Chart Data" sheetId="2" r:id="rId5"/>
    <sheet name="HAVER" sheetId="1" r:id="rId6"/>
  </sheets>
  <definedNames>
    <definedName name="_DLX1.INC">HAVER!$A$1:$AK$6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1" i="2" l="1"/>
  <c r="G81" i="2"/>
  <c r="B79" i="2"/>
  <c r="J79" i="2"/>
  <c r="F79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3" i="2"/>
  <c r="G77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3" i="2"/>
  <c r="P69" i="2"/>
  <c r="Q69" i="2"/>
  <c r="P70" i="2"/>
  <c r="Q70" i="2"/>
  <c r="P71" i="2"/>
  <c r="Q71" i="2"/>
  <c r="P72" i="2"/>
  <c r="Q72" i="2"/>
  <c r="P73" i="2"/>
  <c r="Q73" i="2"/>
  <c r="P74" i="2"/>
  <c r="Q74" i="2"/>
  <c r="P75" i="2"/>
  <c r="Q75" i="2"/>
  <c r="P76" i="2"/>
  <c r="Q76" i="2"/>
  <c r="P77" i="2"/>
  <c r="Q77" i="2"/>
  <c r="P78" i="2"/>
  <c r="Q78" i="2"/>
  <c r="P79" i="2"/>
  <c r="Q79" i="2"/>
  <c r="P80" i="2"/>
  <c r="Q80" i="2"/>
  <c r="P81" i="2"/>
  <c r="Q81" i="2"/>
  <c r="P82" i="2"/>
  <c r="Q82" i="2"/>
  <c r="P83" i="2"/>
  <c r="Q83" i="2"/>
  <c r="P84" i="2"/>
  <c r="Q84" i="2"/>
  <c r="P85" i="2"/>
  <c r="Q85" i="2"/>
  <c r="P86" i="2"/>
  <c r="Q86" i="2"/>
  <c r="P87" i="2"/>
  <c r="Q87" i="2"/>
  <c r="P88" i="2"/>
  <c r="Q88" i="2"/>
  <c r="P89" i="2"/>
  <c r="Q89" i="2"/>
  <c r="N4" i="2"/>
  <c r="O4" i="2"/>
  <c r="N5" i="2"/>
  <c r="O5" i="2"/>
  <c r="N6" i="2"/>
  <c r="O6" i="2"/>
  <c r="N7" i="2"/>
  <c r="O7" i="2"/>
  <c r="N8" i="2"/>
  <c r="O8" i="2"/>
  <c r="N9" i="2"/>
  <c r="O9" i="2"/>
  <c r="N10" i="2"/>
  <c r="O10" i="2"/>
  <c r="N11" i="2"/>
  <c r="O11" i="2"/>
  <c r="N12" i="2"/>
  <c r="O12" i="2"/>
  <c r="N13" i="2"/>
  <c r="O13" i="2"/>
  <c r="N14" i="2"/>
  <c r="O14" i="2"/>
  <c r="N15" i="2"/>
  <c r="O15" i="2"/>
  <c r="N16" i="2"/>
  <c r="O16" i="2"/>
  <c r="N17" i="2"/>
  <c r="O17" i="2"/>
  <c r="N18" i="2"/>
  <c r="O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N32" i="2"/>
  <c r="O32" i="2"/>
  <c r="N33" i="2"/>
  <c r="O33" i="2"/>
  <c r="N34" i="2"/>
  <c r="O34" i="2"/>
  <c r="N35" i="2"/>
  <c r="O35" i="2"/>
  <c r="N36" i="2"/>
  <c r="O36" i="2"/>
  <c r="N37" i="2"/>
  <c r="O37" i="2"/>
  <c r="N38" i="2"/>
  <c r="O38" i="2"/>
  <c r="N39" i="2"/>
  <c r="O39" i="2"/>
  <c r="N40" i="2"/>
  <c r="O40" i="2"/>
  <c r="N41" i="2"/>
  <c r="O41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N60" i="2"/>
  <c r="O60" i="2"/>
  <c r="N61" i="2"/>
  <c r="O61" i="2"/>
  <c r="N62" i="2"/>
  <c r="O62" i="2"/>
  <c r="N63" i="2"/>
  <c r="O63" i="2"/>
  <c r="N64" i="2"/>
  <c r="O64" i="2"/>
  <c r="N65" i="2"/>
  <c r="O65" i="2"/>
  <c r="N66" i="2"/>
  <c r="O66" i="2"/>
  <c r="N67" i="2"/>
  <c r="O67" i="2"/>
  <c r="N68" i="2"/>
  <c r="O68" i="2"/>
  <c r="N69" i="2"/>
  <c r="O69" i="2"/>
  <c r="N70" i="2"/>
  <c r="O70" i="2"/>
  <c r="N71" i="2"/>
  <c r="O71" i="2"/>
  <c r="N72" i="2"/>
  <c r="O72" i="2"/>
  <c r="N73" i="2"/>
  <c r="O73" i="2"/>
  <c r="N74" i="2"/>
  <c r="O74" i="2"/>
  <c r="N75" i="2"/>
  <c r="O75" i="2"/>
  <c r="N76" i="2"/>
  <c r="O76" i="2"/>
  <c r="N77" i="2"/>
  <c r="O77" i="2"/>
  <c r="N78" i="2"/>
  <c r="O78" i="2"/>
  <c r="N79" i="2"/>
  <c r="O79" i="2"/>
  <c r="N80" i="2"/>
  <c r="O80" i="2"/>
  <c r="N81" i="2"/>
  <c r="O81" i="2"/>
  <c r="N82" i="2"/>
  <c r="O82" i="2"/>
  <c r="N83" i="2"/>
  <c r="O83" i="2"/>
  <c r="N84" i="2"/>
  <c r="O84" i="2"/>
  <c r="N85" i="2"/>
  <c r="O85" i="2"/>
  <c r="N86" i="2"/>
  <c r="O86" i="2"/>
  <c r="N87" i="2"/>
  <c r="O87" i="2"/>
  <c r="N88" i="2"/>
  <c r="O88" i="2"/>
  <c r="N89" i="2"/>
  <c r="O89" i="2"/>
  <c r="O3" i="2"/>
  <c r="N3" i="2"/>
  <c r="B4" i="2" l="1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B63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C3" i="2"/>
  <c r="B3" i="2"/>
</calcChain>
</file>

<file path=xl/sharedStrings.xml><?xml version="1.0" encoding="utf-8"?>
<sst xmlns="http://schemas.openxmlformats.org/spreadsheetml/2006/main" count="390" uniqueCount="346">
  <si>
    <t>UNVDWR@UK</t>
  </si>
  <si>
    <t>UNVDWE@UK</t>
  </si>
  <si>
    <t>USVTVX@UK</t>
  </si>
  <si>
    <t>UNTLMV@UK</t>
  </si>
  <si>
    <t>UNBV34@UK</t>
  </si>
  <si>
    <t>UNBV42@UK</t>
  </si>
  <si>
    <t>200001 !M</t>
  </si>
  <si>
    <t>200001</t>
  </si>
  <si>
    <t>.DTLM</t>
  </si>
  <si>
    <t>.LSOURCE</t>
  </si>
  <si>
    <t>.TN</t>
  </si>
  <si>
    <t>.T1</t>
  </si>
  <si>
    <t>.DESC</t>
  </si>
  <si>
    <t>Apr-02-2024 09:36</t>
  </si>
  <si>
    <t>Bank of England</t>
  </si>
  <si>
    <t>Feb-2024</t>
  </si>
  <si>
    <t>Apr-1993</t>
  </si>
  <si>
    <t>UK: Mortgage Loans Approved: All Lenders: House Purchase (SA, Number)</t>
  </si>
  <si>
    <t>Mar-07-2024 13:12</t>
  </si>
  <si>
    <t>Jan-1995</t>
  </si>
  <si>
    <t>UK: Mortgages: Standard Variable Rate: MFIS ex Central Bank (AVG, %)</t>
  </si>
  <si>
    <t>UK: Mortgages: Fixed Rates: MFIS ex Central Bank: 2-Year 75% LTV (AVG, %)</t>
  </si>
  <si>
    <t>UK: Mortgages: Fixed Rates: MFIS ex Central Bank: 5-Year 75% LTV (AVG, %)</t>
  </si>
  <si>
    <t>Apr-04-2024 09:31</t>
  </si>
  <si>
    <t>Mar-2024</t>
  </si>
  <si>
    <t>Aug-2017</t>
  </si>
  <si>
    <t>UK: BoE DMP: Realized Wage Growth Over the Past Year:  Single Month (%)</t>
  </si>
  <si>
    <t>UK: BoE DMP: Expected Wage Growth Over the Next Year: Single Month (%)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</si>
  <si>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</si>
  <si>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</si>
  <si>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</si>
  <si>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</si>
  <si>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</si>
  <si>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</si>
  <si>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</si>
  <si>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</si>
  <si>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</si>
  <si>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</si>
  <si>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</si>
  <si>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</si>
  <si>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</si>
  <si>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</si>
  <si>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</si>
  <si>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</si>
  <si>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</si>
  <si>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</si>
  <si>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</si>
  <si>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</si>
  <si>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</si>
  <si>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</si>
  <si>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</si>
  <si>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</si>
  <si>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</si>
  <si>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</si>
  <si>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</si>
  <si>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</si>
  <si>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</si>
  <si>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</si>
  <si>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</si>
  <si>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</si>
  <si>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</si>
  <si>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</si>
  <si>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</si>
  <si>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</si>
  <si>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</si>
  <si>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</si>
  <si>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</si>
  <si>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</si>
  <si>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</si>
  <si>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</si>
  <si>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</si>
  <si>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</si>
  <si>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</si>
  <si>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</si>
  <si>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</si>
  <si>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</si>
  <si>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</si>
  <si>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</si>
  <si>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</si>
  <si>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</si>
  <si>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</si>
  <si>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</si>
  <si>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</si>
  <si>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</si>
  <si>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</si>
  <si>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</si>
  <si>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</si>
  <si>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</si>
  <si>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</si>
  <si>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</si>
  <si>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</si>
  <si>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</si>
  <si>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</si>
  <si>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</si>
  <si>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</si>
  <si>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</si>
  <si>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</si>
  <si>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</si>
  <si>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</si>
  <si>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</si>
  <si>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</si>
  <si>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</si>
  <si>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</si>
  <si>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</si>
  <si>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</si>
  <si>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</si>
  <si>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</si>
  <si>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</si>
  <si>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</si>
  <si>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</si>
  <si>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</si>
  <si>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</si>
  <si>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</si>
  <si>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</si>
  <si>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</si>
  <si>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</si>
  <si>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</si>
  <si>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</si>
  <si>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</si>
  <si>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</si>
  <si>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</si>
  <si>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</si>
  <si>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</si>
  <si>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</si>
  <si>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</si>
  <si>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</si>
  <si>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</si>
  <si>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</si>
  <si>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</si>
  <si>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</si>
  <si>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</si>
  <si>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</si>
  <si>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</si>
  <si>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</si>
  <si>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</si>
  <si>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</si>
  <si>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</si>
  <si>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</si>
  <si>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</si>
  <si>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</si>
  <si>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</si>
  <si>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</si>
  <si>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</si>
  <si>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</si>
  <si>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</si>
  <si>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</si>
  <si>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</si>
  <si>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</si>
  <si>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</si>
  <si>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</si>
  <si>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</si>
  <si>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</si>
  <si>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</si>
  <si>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</si>
  <si>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</si>
  <si>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</si>
  <si>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</si>
  <si>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</si>
  <si>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</si>
  <si>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</si>
  <si>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</si>
  <si>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</si>
  <si>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</si>
  <si>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</si>
  <si>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</si>
  <si>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</si>
  <si>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</si>
  <si>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</si>
  <si>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</si>
  <si>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</si>
  <si>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</si>
  <si>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</si>
  <si>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</si>
  <si>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</si>
  <si>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</si>
  <si>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</si>
  <si>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</si>
  <si>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</si>
  <si>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</si>
  <si>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</si>
  <si>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</si>
  <si>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</si>
  <si>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</si>
  <si>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</si>
  <si>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</si>
  <si>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</si>
  <si>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</si>
  <si>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</si>
  <si>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</si>
  <si>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</si>
  <si>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</si>
  <si>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</si>
  <si>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</si>
  <si>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</si>
  <si>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</si>
  <si>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</si>
  <si>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</si>
  <si>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</si>
  <si>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</si>
  <si>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</si>
  <si>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</si>
  <si>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</si>
  <si>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</si>
  <si>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</si>
  <si>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</si>
  <si>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</si>
  <si>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</si>
  <si>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</si>
  <si>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</si>
  <si>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</si>
  <si>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</si>
  <si>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</si>
  <si>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</si>
  <si>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</si>
  <si>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</si>
  <si>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</si>
  <si>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</si>
  <si>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</si>
  <si>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</si>
  <si>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</si>
  <si>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</si>
  <si>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</si>
  <si>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</si>
  <si>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</si>
  <si>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</si>
  <si>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</si>
  <si>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</si>
  <si>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</si>
  <si>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</si>
  <si>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</si>
  <si>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</si>
  <si>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</si>
  <si>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</si>
  <si>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</si>
  <si>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</si>
  <si>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</si>
  <si>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</si>
  <si>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</si>
  <si>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</si>
  <si>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</si>
  <si>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</si>
  <si>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</si>
  <si>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</si>
  <si>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</si>
  <si>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</si>
  <si>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</si>
  <si>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</si>
  <si>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</si>
  <si>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</si>
  <si>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</si>
  <si>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</si>
  <si>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</si>
  <si>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</si>
  <si>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</si>
  <si>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</si>
  <si>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</si>
  <si>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</si>
  <si>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</si>
  <si>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</si>
  <si>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</si>
  <si>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</si>
  <si>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</si>
  <si>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</si>
  <si>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</si>
  <si>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</si>
  <si>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</si>
  <si>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</si>
  <si>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</si>
  <si>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</si>
  <si>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</si>
  <si>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</si>
  <si>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</si>
  <si>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</si>
  <si>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</si>
  <si>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</si>
  <si>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</si>
  <si>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</si>
  <si>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</si>
  <si>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</si>
  <si>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</si>
  <si>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</si>
  <si>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</si>
  <si>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</si>
  <si>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</si>
  <si>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</si>
  <si>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</si>
  <si>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</si>
  <si>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</si>
  <si>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</si>
  <si>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</si>
  <si>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</si>
  <si>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</si>
  <si>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</si>
  <si>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</si>
  <si>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</si>
  <si>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</si>
  <si>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</si>
  <si>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</si>
  <si>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</si>
  <si>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</si>
  <si>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</si>
  <si>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</si>
  <si>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</si>
  <si>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</si>
  <si>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</si>
  <si>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</si>
  <si>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</si>
  <si>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</si>
  <si>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</si>
  <si>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</si>
  <si>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</si>
  <si>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</si>
  <si>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</si>
  <si>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</si>
  <si>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</si>
  <si>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</si>
  <si>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</si>
  <si>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</si>
  <si>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Apr-02-2024 09:34</t>
  </si>
  <si>
    <t>Jan-2016</t>
  </si>
  <si>
    <t>UNZ6JM@UK</t>
  </si>
  <si>
    <t>UK: Banks Wtd Avg Int Rate: Indivs/Indiv Trusts: New Secured Loans (%)</t>
  </si>
  <si>
    <t>UNZ6K8@UK</t>
  </si>
  <si>
    <t>UNZ6KA@UK</t>
  </si>
  <si>
    <t>UK: Banks Wtd Avg Int Rate: Indivs/Indiv Trusts: Floating Rate Loans(%)</t>
  </si>
  <si>
    <t>UK: Banks Wtd Avg Int Rate: Indivs/Indiv Trusts: Fixed Rate Secured Loans (%)</t>
  </si>
  <si>
    <t>Mortgage approvals &amp; mortgage rates</t>
  </si>
  <si>
    <t>Mortgage approvals (LHS)</t>
  </si>
  <si>
    <t>Average mortgage rate* (RHS)</t>
  </si>
  <si>
    <t>UNVDPR1@UK</t>
  </si>
  <si>
    <t>UNVDPR3@UK</t>
  </si>
  <si>
    <t>UNVDPE1@UK</t>
  </si>
  <si>
    <t>UNVDPE3@UK</t>
  </si>
  <si>
    <t>Jan-2017</t>
  </si>
  <si>
    <t>UK: BoE DMP: Realized Price Growth Over the Past Year: Single Month (%)</t>
  </si>
  <si>
    <t>UK: BoE DMP: Realized Price Growth Over the Past Year: 3 Month Average (%)</t>
  </si>
  <si>
    <t>UK: BoE DMP: Expected Price Growth Over the Next Year: Single Month (%)</t>
  </si>
  <si>
    <t>UK: BoE DMP: Expected Price Growth Over the Next Year: 3 Month Average (%)</t>
  </si>
  <si>
    <t>DMP - prices &amp; wages</t>
  </si>
  <si>
    <t>Prices - past year</t>
  </si>
  <si>
    <t>Prices - next year</t>
  </si>
  <si>
    <t>Wages - past year</t>
  </si>
  <si>
    <t>Wages - next year</t>
  </si>
  <si>
    <t>2 year fixed rate, 75% LTV, lagged one month (RHS)</t>
  </si>
  <si>
    <t>5 year fixed rate, 75% LTV, lagged one month (RHS)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</si>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</sst>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0" borderId="0" xfId="0" quotePrefix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calcChain" Target="calcChain.xml"/><Relationship Id="rId4" Type="http://schemas.openxmlformats.org/officeDocument/2006/relationships/chartsheet" Target="chart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5965478341223756E-2"/>
          <c:y val="0.14714391023940784"/>
          <c:w val="0.85639146531404842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Data'!$F$2</c:f>
              <c:strCache>
                <c:ptCount val="1"/>
                <c:pt idx="0">
                  <c:v>Mortgage approvals (LHS)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Data'!$E$3:$E$77</c:f>
              <c:numCache>
                <c:formatCode>m/d/yyyy</c:formatCode>
                <c:ptCount val="75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</c:numCache>
            </c:numRef>
          </c:cat>
          <c:val>
            <c:numRef>
              <c:f>'Chart Data'!$F$3:$F$77</c:f>
              <c:numCache>
                <c:formatCode>0</c:formatCode>
                <c:ptCount val="75"/>
                <c:pt idx="0">
                  <c:v>65812</c:v>
                </c:pt>
                <c:pt idx="1">
                  <c:v>63030</c:v>
                </c:pt>
                <c:pt idx="2">
                  <c:v>63068</c:v>
                </c:pt>
                <c:pt idx="3">
                  <c:v>63277</c:v>
                </c:pt>
                <c:pt idx="4">
                  <c:v>64951</c:v>
                </c:pt>
                <c:pt idx="5">
                  <c:v>65778</c:v>
                </c:pt>
                <c:pt idx="6">
                  <c:v>64875</c:v>
                </c:pt>
                <c:pt idx="7">
                  <c:v>66803</c:v>
                </c:pt>
                <c:pt idx="8">
                  <c:v>66132</c:v>
                </c:pt>
                <c:pt idx="9">
                  <c:v>68298</c:v>
                </c:pt>
                <c:pt idx="10">
                  <c:v>65023</c:v>
                </c:pt>
                <c:pt idx="11">
                  <c:v>64398</c:v>
                </c:pt>
                <c:pt idx="12">
                  <c:v>65190</c:v>
                </c:pt>
                <c:pt idx="13">
                  <c:v>64221</c:v>
                </c:pt>
                <c:pt idx="14">
                  <c:v>62167</c:v>
                </c:pt>
                <c:pt idx="15">
                  <c:v>65674</c:v>
                </c:pt>
                <c:pt idx="16">
                  <c:v>65315</c:v>
                </c:pt>
                <c:pt idx="17">
                  <c:v>66436</c:v>
                </c:pt>
                <c:pt idx="18">
                  <c:v>67285</c:v>
                </c:pt>
                <c:pt idx="19">
                  <c:v>66193</c:v>
                </c:pt>
                <c:pt idx="20">
                  <c:v>66379</c:v>
                </c:pt>
                <c:pt idx="21">
                  <c:v>66581</c:v>
                </c:pt>
                <c:pt idx="22">
                  <c:v>66652</c:v>
                </c:pt>
                <c:pt idx="23">
                  <c:v>67528</c:v>
                </c:pt>
                <c:pt idx="24">
                  <c:v>69499</c:v>
                </c:pt>
                <c:pt idx="25">
                  <c:v>71770</c:v>
                </c:pt>
                <c:pt idx="26">
                  <c:v>56229</c:v>
                </c:pt>
                <c:pt idx="27">
                  <c:v>15878</c:v>
                </c:pt>
                <c:pt idx="28">
                  <c:v>9317</c:v>
                </c:pt>
                <c:pt idx="29">
                  <c:v>40109</c:v>
                </c:pt>
                <c:pt idx="30">
                  <c:v>66659</c:v>
                </c:pt>
                <c:pt idx="31">
                  <c:v>85509</c:v>
                </c:pt>
                <c:pt idx="32">
                  <c:v>92847</c:v>
                </c:pt>
                <c:pt idx="33">
                  <c:v>101380</c:v>
                </c:pt>
                <c:pt idx="34">
                  <c:v>108046</c:v>
                </c:pt>
                <c:pt idx="35">
                  <c:v>103344</c:v>
                </c:pt>
                <c:pt idx="36">
                  <c:v>97153</c:v>
                </c:pt>
                <c:pt idx="37">
                  <c:v>84755</c:v>
                </c:pt>
                <c:pt idx="38">
                  <c:v>80927</c:v>
                </c:pt>
                <c:pt idx="39">
                  <c:v>84896</c:v>
                </c:pt>
                <c:pt idx="40">
                  <c:v>85550</c:v>
                </c:pt>
                <c:pt idx="41">
                  <c:v>78419</c:v>
                </c:pt>
                <c:pt idx="42">
                  <c:v>72570</c:v>
                </c:pt>
                <c:pt idx="43">
                  <c:v>71391</c:v>
                </c:pt>
                <c:pt idx="44">
                  <c:v>70982</c:v>
                </c:pt>
                <c:pt idx="45">
                  <c:v>68798</c:v>
                </c:pt>
                <c:pt idx="46">
                  <c:v>69534</c:v>
                </c:pt>
                <c:pt idx="47">
                  <c:v>72678</c:v>
                </c:pt>
                <c:pt idx="48">
                  <c:v>74122</c:v>
                </c:pt>
                <c:pt idx="49">
                  <c:v>68601</c:v>
                </c:pt>
                <c:pt idx="50">
                  <c:v>68828</c:v>
                </c:pt>
                <c:pt idx="51">
                  <c:v>65473</c:v>
                </c:pt>
                <c:pt idx="52">
                  <c:v>65667</c:v>
                </c:pt>
                <c:pt idx="53">
                  <c:v>62075</c:v>
                </c:pt>
                <c:pt idx="54">
                  <c:v>62715</c:v>
                </c:pt>
                <c:pt idx="55">
                  <c:v>72598</c:v>
                </c:pt>
                <c:pt idx="56">
                  <c:v>65349</c:v>
                </c:pt>
                <c:pt idx="57">
                  <c:v>58507</c:v>
                </c:pt>
                <c:pt idx="58">
                  <c:v>46744</c:v>
                </c:pt>
                <c:pt idx="59">
                  <c:v>41410</c:v>
                </c:pt>
                <c:pt idx="60">
                  <c:v>39888</c:v>
                </c:pt>
                <c:pt idx="61">
                  <c:v>43207</c:v>
                </c:pt>
                <c:pt idx="62">
                  <c:v>51051</c:v>
                </c:pt>
                <c:pt idx="63">
                  <c:v>48544</c:v>
                </c:pt>
                <c:pt idx="64">
                  <c:v>50204</c:v>
                </c:pt>
                <c:pt idx="65">
                  <c:v>53570</c:v>
                </c:pt>
                <c:pt idx="66">
                  <c:v>49273</c:v>
                </c:pt>
                <c:pt idx="67">
                  <c:v>45702</c:v>
                </c:pt>
                <c:pt idx="68">
                  <c:v>44370</c:v>
                </c:pt>
                <c:pt idx="69">
                  <c:v>48819</c:v>
                </c:pt>
                <c:pt idx="70">
                  <c:v>50407</c:v>
                </c:pt>
                <c:pt idx="71">
                  <c:v>52265</c:v>
                </c:pt>
                <c:pt idx="72">
                  <c:v>56087</c:v>
                </c:pt>
                <c:pt idx="73">
                  <c:v>60383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F-4D3C-BEB8-97C68CE4F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lineChart>
        <c:grouping val="standard"/>
        <c:varyColors val="0"/>
        <c:ser>
          <c:idx val="1"/>
          <c:order val="1"/>
          <c:tx>
            <c:strRef>
              <c:f>'Chart Data'!$G$2</c:f>
              <c:strCache>
                <c:ptCount val="1"/>
                <c:pt idx="0">
                  <c:v>2 year fixed rate, 75% LTV, lagged one month (RHS)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Data'!$E$3:$E$77</c:f>
              <c:numCache>
                <c:formatCode>m/d/yyyy</c:formatCode>
                <c:ptCount val="75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</c:numCache>
            </c:numRef>
          </c:cat>
          <c:val>
            <c:numRef>
              <c:f>'Chart Data'!$G$3:$G$77</c:f>
              <c:numCache>
                <c:formatCode>0.00</c:formatCode>
                <c:ptCount val="75"/>
                <c:pt idx="0">
                  <c:v>1.57</c:v>
                </c:pt>
                <c:pt idx="1">
                  <c:v>1.54</c:v>
                </c:pt>
                <c:pt idx="2">
                  <c:v>1.49</c:v>
                </c:pt>
                <c:pt idx="3">
                  <c:v>1.53</c:v>
                </c:pt>
                <c:pt idx="4">
                  <c:v>1.72</c:v>
                </c:pt>
                <c:pt idx="5">
                  <c:v>1.74</c:v>
                </c:pt>
                <c:pt idx="6">
                  <c:v>1.74</c:v>
                </c:pt>
                <c:pt idx="7">
                  <c:v>1.75</c:v>
                </c:pt>
                <c:pt idx="8">
                  <c:v>1.75</c:v>
                </c:pt>
                <c:pt idx="9">
                  <c:v>1.71</c:v>
                </c:pt>
                <c:pt idx="10">
                  <c:v>1.8</c:v>
                </c:pt>
                <c:pt idx="11">
                  <c:v>1.75</c:v>
                </c:pt>
                <c:pt idx="12">
                  <c:v>1.73</c:v>
                </c:pt>
                <c:pt idx="13">
                  <c:v>1.72</c:v>
                </c:pt>
                <c:pt idx="14">
                  <c:v>1.7</c:v>
                </c:pt>
                <c:pt idx="15">
                  <c:v>1.7</c:v>
                </c:pt>
                <c:pt idx="16">
                  <c:v>1.66</c:v>
                </c:pt>
                <c:pt idx="17">
                  <c:v>1.65</c:v>
                </c:pt>
                <c:pt idx="18">
                  <c:v>1.64</c:v>
                </c:pt>
                <c:pt idx="19">
                  <c:v>1.61</c:v>
                </c:pt>
                <c:pt idx="20">
                  <c:v>1.59</c:v>
                </c:pt>
                <c:pt idx="21">
                  <c:v>1.55</c:v>
                </c:pt>
                <c:pt idx="22">
                  <c:v>1.47</c:v>
                </c:pt>
                <c:pt idx="23">
                  <c:v>1.41</c:v>
                </c:pt>
                <c:pt idx="24">
                  <c:v>1.42</c:v>
                </c:pt>
                <c:pt idx="25">
                  <c:v>1.41</c:v>
                </c:pt>
                <c:pt idx="26">
                  <c:v>1.4</c:v>
                </c:pt>
                <c:pt idx="27">
                  <c:v>1.4</c:v>
                </c:pt>
                <c:pt idx="28">
                  <c:v>1.38</c:v>
                </c:pt>
                <c:pt idx="29">
                  <c:v>1.42</c:v>
                </c:pt>
                <c:pt idx="30">
                  <c:v>1.41</c:v>
                </c:pt>
                <c:pt idx="31">
                  <c:v>1.45</c:v>
                </c:pt>
                <c:pt idx="32">
                  <c:v>1.6</c:v>
                </c:pt>
                <c:pt idx="33">
                  <c:v>1.75</c:v>
                </c:pt>
                <c:pt idx="34">
                  <c:v>1.94</c:v>
                </c:pt>
                <c:pt idx="35">
                  <c:v>1.92</c:v>
                </c:pt>
                <c:pt idx="36">
                  <c:v>1.86</c:v>
                </c:pt>
                <c:pt idx="37">
                  <c:v>1.75</c:v>
                </c:pt>
                <c:pt idx="38">
                  <c:v>1.61</c:v>
                </c:pt>
                <c:pt idx="39">
                  <c:v>1.56</c:v>
                </c:pt>
                <c:pt idx="40">
                  <c:v>1.49</c:v>
                </c:pt>
                <c:pt idx="41">
                  <c:v>1.47</c:v>
                </c:pt>
                <c:pt idx="42">
                  <c:v>1.39</c:v>
                </c:pt>
                <c:pt idx="43">
                  <c:v>1.29</c:v>
                </c:pt>
                <c:pt idx="44">
                  <c:v>1.23</c:v>
                </c:pt>
                <c:pt idx="45">
                  <c:v>1.2</c:v>
                </c:pt>
                <c:pt idx="46">
                  <c:v>1.29</c:v>
                </c:pt>
                <c:pt idx="47">
                  <c:v>1.53</c:v>
                </c:pt>
                <c:pt idx="48">
                  <c:v>1.57</c:v>
                </c:pt>
                <c:pt idx="49">
                  <c:v>1.64</c:v>
                </c:pt>
                <c:pt idx="50">
                  <c:v>1.78</c:v>
                </c:pt>
                <c:pt idx="51">
                  <c:v>2.14</c:v>
                </c:pt>
                <c:pt idx="52">
                  <c:v>2.35</c:v>
                </c:pt>
                <c:pt idx="53">
                  <c:v>2.63</c:v>
                </c:pt>
                <c:pt idx="54">
                  <c:v>2.87</c:v>
                </c:pt>
                <c:pt idx="55">
                  <c:v>3.48</c:v>
                </c:pt>
                <c:pt idx="56">
                  <c:v>3.6</c:v>
                </c:pt>
                <c:pt idx="57">
                  <c:v>4.17</c:v>
                </c:pt>
                <c:pt idx="58">
                  <c:v>5.99</c:v>
                </c:pt>
                <c:pt idx="59">
                  <c:v>5.98</c:v>
                </c:pt>
                <c:pt idx="60">
                  <c:v>5.43</c:v>
                </c:pt>
                <c:pt idx="61">
                  <c:v>5.14</c:v>
                </c:pt>
                <c:pt idx="62">
                  <c:v>4.79</c:v>
                </c:pt>
                <c:pt idx="63">
                  <c:v>4.74</c:v>
                </c:pt>
                <c:pt idx="64">
                  <c:v>4.5999999999999996</c:v>
                </c:pt>
                <c:pt idx="65">
                  <c:v>4.72</c:v>
                </c:pt>
                <c:pt idx="66">
                  <c:v>5.49</c:v>
                </c:pt>
                <c:pt idx="67">
                  <c:v>6.22</c:v>
                </c:pt>
                <c:pt idx="68">
                  <c:v>6.18</c:v>
                </c:pt>
                <c:pt idx="69">
                  <c:v>5.91</c:v>
                </c:pt>
                <c:pt idx="70">
                  <c:v>5.6</c:v>
                </c:pt>
                <c:pt idx="71">
                  <c:v>5.28</c:v>
                </c:pt>
                <c:pt idx="72">
                  <c:v>5.03</c:v>
                </c:pt>
                <c:pt idx="73">
                  <c:v>4.7300000000000004</c:v>
                </c:pt>
                <c:pt idx="74">
                  <c:v>4.7699999999999996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FF-4D3C-BEB8-97C68CE4F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036496"/>
        <c:axId val="1510040240"/>
      </c:lineChart>
      <c:dateAx>
        <c:axId val="263607040"/>
        <c:scaling>
          <c:orientation val="minMax"/>
          <c:min val="44197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  <c:max val="100000"/>
          <c:min val="300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dispUnits>
          <c:builtInUnit val="thousands"/>
        </c:dispUnits>
      </c:valAx>
      <c:valAx>
        <c:axId val="1510040240"/>
        <c:scaling>
          <c:orientation val="maxMin"/>
        </c:scaling>
        <c:delete val="0"/>
        <c:axPos val="r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510036496"/>
        <c:crosses val="max"/>
        <c:crossBetween val="midCat"/>
      </c:valAx>
      <c:dateAx>
        <c:axId val="151003649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510040240"/>
        <c:crosses val="max"/>
        <c:auto val="1"/>
        <c:lblOffset val="100"/>
        <c:baseTimeUnit val="month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31746370686715"/>
          <c:y val="0.11105502901246254"/>
          <c:w val="0.68381511633079761"/>
          <c:h val="0.1107846533031452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5965478341223756E-2"/>
          <c:y val="0.14714391023940784"/>
          <c:w val="0.85639146531404842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Mortgage approvals (LHS)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Data'!$A$3:$A$77</c:f>
              <c:numCache>
                <c:formatCode>m/d/yyyy</c:formatCode>
                <c:ptCount val="75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</c:numCache>
            </c:numRef>
          </c:cat>
          <c:val>
            <c:numRef>
              <c:f>'Chart Data'!$B$3:$B$77</c:f>
              <c:numCache>
                <c:formatCode>0</c:formatCode>
                <c:ptCount val="75"/>
                <c:pt idx="0">
                  <c:v>65812</c:v>
                </c:pt>
                <c:pt idx="1">
                  <c:v>63030</c:v>
                </c:pt>
                <c:pt idx="2">
                  <c:v>63068</c:v>
                </c:pt>
                <c:pt idx="3">
                  <c:v>63277</c:v>
                </c:pt>
                <c:pt idx="4">
                  <c:v>64951</c:v>
                </c:pt>
                <c:pt idx="5">
                  <c:v>65778</c:v>
                </c:pt>
                <c:pt idx="6">
                  <c:v>64875</c:v>
                </c:pt>
                <c:pt idx="7">
                  <c:v>66803</c:v>
                </c:pt>
                <c:pt idx="8">
                  <c:v>66132</c:v>
                </c:pt>
                <c:pt idx="9">
                  <c:v>68298</c:v>
                </c:pt>
                <c:pt idx="10">
                  <c:v>65023</c:v>
                </c:pt>
                <c:pt idx="11">
                  <c:v>64398</c:v>
                </c:pt>
                <c:pt idx="12">
                  <c:v>65190</c:v>
                </c:pt>
                <c:pt idx="13">
                  <c:v>64221</c:v>
                </c:pt>
                <c:pt idx="14">
                  <c:v>62167</c:v>
                </c:pt>
                <c:pt idx="15">
                  <c:v>65674</c:v>
                </c:pt>
                <c:pt idx="16">
                  <c:v>65315</c:v>
                </c:pt>
                <c:pt idx="17">
                  <c:v>66436</c:v>
                </c:pt>
                <c:pt idx="18">
                  <c:v>67285</c:v>
                </c:pt>
                <c:pt idx="19">
                  <c:v>66193</c:v>
                </c:pt>
                <c:pt idx="20">
                  <c:v>66379</c:v>
                </c:pt>
                <c:pt idx="21">
                  <c:v>66581</c:v>
                </c:pt>
                <c:pt idx="22">
                  <c:v>66652</c:v>
                </c:pt>
                <c:pt idx="23">
                  <c:v>67528</c:v>
                </c:pt>
                <c:pt idx="24">
                  <c:v>69499</c:v>
                </c:pt>
                <c:pt idx="25">
                  <c:v>71770</c:v>
                </c:pt>
                <c:pt idx="26">
                  <c:v>56229</c:v>
                </c:pt>
                <c:pt idx="27">
                  <c:v>15878</c:v>
                </c:pt>
                <c:pt idx="28">
                  <c:v>9317</c:v>
                </c:pt>
                <c:pt idx="29">
                  <c:v>40109</c:v>
                </c:pt>
                <c:pt idx="30">
                  <c:v>66659</c:v>
                </c:pt>
                <c:pt idx="31">
                  <c:v>85509</c:v>
                </c:pt>
                <c:pt idx="32">
                  <c:v>92847</c:v>
                </c:pt>
                <c:pt idx="33">
                  <c:v>101380</c:v>
                </c:pt>
                <c:pt idx="34">
                  <c:v>108046</c:v>
                </c:pt>
                <c:pt idx="35">
                  <c:v>103344</c:v>
                </c:pt>
                <c:pt idx="36">
                  <c:v>97153</c:v>
                </c:pt>
                <c:pt idx="37">
                  <c:v>84755</c:v>
                </c:pt>
                <c:pt idx="38">
                  <c:v>80927</c:v>
                </c:pt>
                <c:pt idx="39">
                  <c:v>84896</c:v>
                </c:pt>
                <c:pt idx="40">
                  <c:v>85550</c:v>
                </c:pt>
                <c:pt idx="41">
                  <c:v>78419</c:v>
                </c:pt>
                <c:pt idx="42">
                  <c:v>72570</c:v>
                </c:pt>
                <c:pt idx="43">
                  <c:v>71391</c:v>
                </c:pt>
                <c:pt idx="44">
                  <c:v>70982</c:v>
                </c:pt>
                <c:pt idx="45">
                  <c:v>68798</c:v>
                </c:pt>
                <c:pt idx="46">
                  <c:v>69534</c:v>
                </c:pt>
                <c:pt idx="47">
                  <c:v>72678</c:v>
                </c:pt>
                <c:pt idx="48">
                  <c:v>74122</c:v>
                </c:pt>
                <c:pt idx="49">
                  <c:v>68601</c:v>
                </c:pt>
                <c:pt idx="50">
                  <c:v>68828</c:v>
                </c:pt>
                <c:pt idx="51">
                  <c:v>65473</c:v>
                </c:pt>
                <c:pt idx="52">
                  <c:v>65667</c:v>
                </c:pt>
                <c:pt idx="53">
                  <c:v>62075</c:v>
                </c:pt>
                <c:pt idx="54">
                  <c:v>62715</c:v>
                </c:pt>
                <c:pt idx="55">
                  <c:v>72598</c:v>
                </c:pt>
                <c:pt idx="56">
                  <c:v>65349</c:v>
                </c:pt>
                <c:pt idx="57">
                  <c:v>58507</c:v>
                </c:pt>
                <c:pt idx="58">
                  <c:v>46744</c:v>
                </c:pt>
                <c:pt idx="59">
                  <c:v>41410</c:v>
                </c:pt>
                <c:pt idx="60">
                  <c:v>39888</c:v>
                </c:pt>
                <c:pt idx="61">
                  <c:v>43207</c:v>
                </c:pt>
                <c:pt idx="62">
                  <c:v>51051</c:v>
                </c:pt>
                <c:pt idx="63">
                  <c:v>48544</c:v>
                </c:pt>
                <c:pt idx="64">
                  <c:v>50204</c:v>
                </c:pt>
                <c:pt idx="65">
                  <c:v>53570</c:v>
                </c:pt>
                <c:pt idx="66">
                  <c:v>49273</c:v>
                </c:pt>
                <c:pt idx="67">
                  <c:v>45702</c:v>
                </c:pt>
                <c:pt idx="68">
                  <c:v>44370</c:v>
                </c:pt>
                <c:pt idx="69">
                  <c:v>48819</c:v>
                </c:pt>
                <c:pt idx="70">
                  <c:v>50407</c:v>
                </c:pt>
                <c:pt idx="71">
                  <c:v>52265</c:v>
                </c:pt>
                <c:pt idx="72">
                  <c:v>56087</c:v>
                </c:pt>
                <c:pt idx="73">
                  <c:v>60383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lineChart>
        <c:grouping val="standard"/>
        <c:varyColors val="0"/>
        <c:ser>
          <c:idx val="1"/>
          <c:order val="1"/>
          <c:tx>
            <c:strRef>
              <c:f>'Chart Data'!$C$2</c:f>
              <c:strCache>
                <c:ptCount val="1"/>
                <c:pt idx="0">
                  <c:v>Average mortgage rate* (RHS)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Data'!$A$3:$A$77</c:f>
              <c:numCache>
                <c:formatCode>m/d/yyyy</c:formatCode>
                <c:ptCount val="75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</c:numCache>
            </c:numRef>
          </c:cat>
          <c:val>
            <c:numRef>
              <c:f>'Chart Data'!$C$3:$C$77</c:f>
              <c:numCache>
                <c:formatCode>0.00</c:formatCode>
                <c:ptCount val="75"/>
                <c:pt idx="0">
                  <c:v>2.02</c:v>
                </c:pt>
                <c:pt idx="1">
                  <c:v>2.04</c:v>
                </c:pt>
                <c:pt idx="2">
                  <c:v>2.0499999999999998</c:v>
                </c:pt>
                <c:pt idx="3">
                  <c:v>2.08</c:v>
                </c:pt>
                <c:pt idx="4">
                  <c:v>2.1</c:v>
                </c:pt>
                <c:pt idx="5">
                  <c:v>2.11</c:v>
                </c:pt>
                <c:pt idx="6">
                  <c:v>2.09</c:v>
                </c:pt>
                <c:pt idx="7">
                  <c:v>2.11</c:v>
                </c:pt>
                <c:pt idx="8">
                  <c:v>2.1</c:v>
                </c:pt>
                <c:pt idx="9">
                  <c:v>2.12</c:v>
                </c:pt>
                <c:pt idx="10">
                  <c:v>2.13</c:v>
                </c:pt>
                <c:pt idx="11">
                  <c:v>2.14</c:v>
                </c:pt>
                <c:pt idx="12">
                  <c:v>2.09</c:v>
                </c:pt>
                <c:pt idx="13">
                  <c:v>2.09</c:v>
                </c:pt>
                <c:pt idx="14">
                  <c:v>2.1</c:v>
                </c:pt>
                <c:pt idx="15">
                  <c:v>2.08</c:v>
                </c:pt>
                <c:pt idx="16">
                  <c:v>2.08</c:v>
                </c:pt>
                <c:pt idx="17">
                  <c:v>2.02</c:v>
                </c:pt>
                <c:pt idx="18">
                  <c:v>2.0299999999999998</c:v>
                </c:pt>
                <c:pt idx="19">
                  <c:v>2.04</c:v>
                </c:pt>
                <c:pt idx="20">
                  <c:v>2</c:v>
                </c:pt>
                <c:pt idx="21">
                  <c:v>1.96</c:v>
                </c:pt>
                <c:pt idx="22">
                  <c:v>1.87</c:v>
                </c:pt>
                <c:pt idx="23">
                  <c:v>1.88</c:v>
                </c:pt>
                <c:pt idx="24">
                  <c:v>1.85</c:v>
                </c:pt>
                <c:pt idx="25">
                  <c:v>1.81</c:v>
                </c:pt>
                <c:pt idx="26">
                  <c:v>1.83</c:v>
                </c:pt>
                <c:pt idx="27">
                  <c:v>1.75</c:v>
                </c:pt>
                <c:pt idx="28">
                  <c:v>1.74</c:v>
                </c:pt>
                <c:pt idx="29">
                  <c:v>1.77</c:v>
                </c:pt>
                <c:pt idx="30">
                  <c:v>1.73</c:v>
                </c:pt>
                <c:pt idx="31">
                  <c:v>1.72</c:v>
                </c:pt>
                <c:pt idx="32">
                  <c:v>1.74</c:v>
                </c:pt>
                <c:pt idx="33">
                  <c:v>1.78</c:v>
                </c:pt>
                <c:pt idx="34">
                  <c:v>1.83</c:v>
                </c:pt>
                <c:pt idx="35">
                  <c:v>1.9</c:v>
                </c:pt>
                <c:pt idx="36">
                  <c:v>1.85</c:v>
                </c:pt>
                <c:pt idx="37">
                  <c:v>1.91</c:v>
                </c:pt>
                <c:pt idx="38">
                  <c:v>1.95</c:v>
                </c:pt>
                <c:pt idx="39">
                  <c:v>1.88</c:v>
                </c:pt>
                <c:pt idx="40">
                  <c:v>1.9</c:v>
                </c:pt>
                <c:pt idx="41">
                  <c:v>1.95</c:v>
                </c:pt>
                <c:pt idx="42">
                  <c:v>1.83</c:v>
                </c:pt>
                <c:pt idx="43">
                  <c:v>1.82</c:v>
                </c:pt>
                <c:pt idx="44">
                  <c:v>1.78</c:v>
                </c:pt>
                <c:pt idx="45">
                  <c:v>1.59</c:v>
                </c:pt>
                <c:pt idx="46">
                  <c:v>1.5</c:v>
                </c:pt>
                <c:pt idx="47">
                  <c:v>1.58</c:v>
                </c:pt>
                <c:pt idx="48">
                  <c:v>1.58</c:v>
                </c:pt>
                <c:pt idx="49">
                  <c:v>1.59</c:v>
                </c:pt>
                <c:pt idx="50">
                  <c:v>1.73</c:v>
                </c:pt>
                <c:pt idx="51">
                  <c:v>1.82</c:v>
                </c:pt>
                <c:pt idx="52">
                  <c:v>1.95</c:v>
                </c:pt>
                <c:pt idx="53">
                  <c:v>2.15</c:v>
                </c:pt>
                <c:pt idx="54">
                  <c:v>2.33</c:v>
                </c:pt>
                <c:pt idx="55">
                  <c:v>2.5499999999999998</c:v>
                </c:pt>
                <c:pt idx="56">
                  <c:v>2.84</c:v>
                </c:pt>
                <c:pt idx="57">
                  <c:v>3.09</c:v>
                </c:pt>
                <c:pt idx="58">
                  <c:v>3.35</c:v>
                </c:pt>
                <c:pt idx="59">
                  <c:v>3.67</c:v>
                </c:pt>
                <c:pt idx="60">
                  <c:v>3.88</c:v>
                </c:pt>
                <c:pt idx="61">
                  <c:v>4.24</c:v>
                </c:pt>
                <c:pt idx="62">
                  <c:v>4.41</c:v>
                </c:pt>
                <c:pt idx="63">
                  <c:v>4.46</c:v>
                </c:pt>
                <c:pt idx="64">
                  <c:v>4.5599999999999996</c:v>
                </c:pt>
                <c:pt idx="65">
                  <c:v>4.63</c:v>
                </c:pt>
                <c:pt idx="66">
                  <c:v>4.66</c:v>
                </c:pt>
                <c:pt idx="67">
                  <c:v>4.82</c:v>
                </c:pt>
                <c:pt idx="68">
                  <c:v>5.01</c:v>
                </c:pt>
                <c:pt idx="69">
                  <c:v>5.25</c:v>
                </c:pt>
                <c:pt idx="70">
                  <c:v>5.34</c:v>
                </c:pt>
                <c:pt idx="71">
                  <c:v>5.28</c:v>
                </c:pt>
                <c:pt idx="72">
                  <c:v>5.19</c:v>
                </c:pt>
                <c:pt idx="73">
                  <c:v>4.9000000000000004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036496"/>
        <c:axId val="1510040240"/>
      </c:lineChart>
      <c:dateAx>
        <c:axId val="263607040"/>
        <c:scaling>
          <c:orientation val="minMax"/>
          <c:min val="44197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  <c:max val="100000"/>
          <c:min val="300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dispUnits>
          <c:builtInUnit val="thousands"/>
        </c:dispUnits>
      </c:valAx>
      <c:valAx>
        <c:axId val="1510040240"/>
        <c:scaling>
          <c:orientation val="maxMin"/>
        </c:scaling>
        <c:delete val="0"/>
        <c:axPos val="r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510036496"/>
        <c:crosses val="max"/>
        <c:crossBetween val="midCat"/>
      </c:valAx>
      <c:dateAx>
        <c:axId val="151003649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510040240"/>
        <c:crosses val="max"/>
        <c:auto val="1"/>
        <c:lblOffset val="100"/>
        <c:baseTimeUnit val="month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3850420392366212"/>
          <c:y val="9.03100973764418E-2"/>
          <c:w val="0.52411640709982243"/>
          <c:h val="0.1107846533031452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5965478341223756E-2"/>
          <c:y val="0.14714391023940784"/>
          <c:w val="0.85639146531404842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Data'!$J$2</c:f>
              <c:strCache>
                <c:ptCount val="1"/>
                <c:pt idx="0">
                  <c:v>Mortgage approvals (LHS)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Data'!$I$3:$I$77</c:f>
              <c:numCache>
                <c:formatCode>m/d/yyyy</c:formatCode>
                <c:ptCount val="75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</c:numCache>
            </c:numRef>
          </c:cat>
          <c:val>
            <c:numRef>
              <c:f>'Chart Data'!$J$3:$J$77</c:f>
              <c:numCache>
                <c:formatCode>0</c:formatCode>
                <c:ptCount val="75"/>
                <c:pt idx="0">
                  <c:v>65812</c:v>
                </c:pt>
                <c:pt idx="1">
                  <c:v>63030</c:v>
                </c:pt>
                <c:pt idx="2">
                  <c:v>63068</c:v>
                </c:pt>
                <c:pt idx="3">
                  <c:v>63277</c:v>
                </c:pt>
                <c:pt idx="4">
                  <c:v>64951</c:v>
                </c:pt>
                <c:pt idx="5">
                  <c:v>65778</c:v>
                </c:pt>
                <c:pt idx="6">
                  <c:v>64875</c:v>
                </c:pt>
                <c:pt idx="7">
                  <c:v>66803</c:v>
                </c:pt>
                <c:pt idx="8">
                  <c:v>66132</c:v>
                </c:pt>
                <c:pt idx="9">
                  <c:v>68298</c:v>
                </c:pt>
                <c:pt idx="10">
                  <c:v>65023</c:v>
                </c:pt>
                <c:pt idx="11">
                  <c:v>64398</c:v>
                </c:pt>
                <c:pt idx="12">
                  <c:v>65190</c:v>
                </c:pt>
                <c:pt idx="13">
                  <c:v>64221</c:v>
                </c:pt>
                <c:pt idx="14">
                  <c:v>62167</c:v>
                </c:pt>
                <c:pt idx="15">
                  <c:v>65674</c:v>
                </c:pt>
                <c:pt idx="16">
                  <c:v>65315</c:v>
                </c:pt>
                <c:pt idx="17">
                  <c:v>66436</c:v>
                </c:pt>
                <c:pt idx="18">
                  <c:v>67285</c:v>
                </c:pt>
                <c:pt idx="19">
                  <c:v>66193</c:v>
                </c:pt>
                <c:pt idx="20">
                  <c:v>66379</c:v>
                </c:pt>
                <c:pt idx="21">
                  <c:v>66581</c:v>
                </c:pt>
                <c:pt idx="22">
                  <c:v>66652</c:v>
                </c:pt>
                <c:pt idx="23">
                  <c:v>67528</c:v>
                </c:pt>
                <c:pt idx="24">
                  <c:v>69499</c:v>
                </c:pt>
                <c:pt idx="25">
                  <c:v>71770</c:v>
                </c:pt>
                <c:pt idx="26">
                  <c:v>56229</c:v>
                </c:pt>
                <c:pt idx="27">
                  <c:v>15878</c:v>
                </c:pt>
                <c:pt idx="28">
                  <c:v>9317</c:v>
                </c:pt>
                <c:pt idx="29">
                  <c:v>40109</c:v>
                </c:pt>
                <c:pt idx="30">
                  <c:v>66659</c:v>
                </c:pt>
                <c:pt idx="31">
                  <c:v>85509</c:v>
                </c:pt>
                <c:pt idx="32">
                  <c:v>92847</c:v>
                </c:pt>
                <c:pt idx="33">
                  <c:v>101380</c:v>
                </c:pt>
                <c:pt idx="34">
                  <c:v>108046</c:v>
                </c:pt>
                <c:pt idx="35">
                  <c:v>103344</c:v>
                </c:pt>
                <c:pt idx="36">
                  <c:v>97153</c:v>
                </c:pt>
                <c:pt idx="37">
                  <c:v>84755</c:v>
                </c:pt>
                <c:pt idx="38">
                  <c:v>80927</c:v>
                </c:pt>
                <c:pt idx="39">
                  <c:v>84896</c:v>
                </c:pt>
                <c:pt idx="40">
                  <c:v>85550</c:v>
                </c:pt>
                <c:pt idx="41">
                  <c:v>78419</c:v>
                </c:pt>
                <c:pt idx="42">
                  <c:v>72570</c:v>
                </c:pt>
                <c:pt idx="43">
                  <c:v>71391</c:v>
                </c:pt>
                <c:pt idx="44">
                  <c:v>70982</c:v>
                </c:pt>
                <c:pt idx="45">
                  <c:v>68798</c:v>
                </c:pt>
                <c:pt idx="46">
                  <c:v>69534</c:v>
                </c:pt>
                <c:pt idx="47">
                  <c:v>72678</c:v>
                </c:pt>
                <c:pt idx="48">
                  <c:v>74122</c:v>
                </c:pt>
                <c:pt idx="49">
                  <c:v>68601</c:v>
                </c:pt>
                <c:pt idx="50">
                  <c:v>68828</c:v>
                </c:pt>
                <c:pt idx="51">
                  <c:v>65473</c:v>
                </c:pt>
                <c:pt idx="52">
                  <c:v>65667</c:v>
                </c:pt>
                <c:pt idx="53">
                  <c:v>62075</c:v>
                </c:pt>
                <c:pt idx="54">
                  <c:v>62715</c:v>
                </c:pt>
                <c:pt idx="55">
                  <c:v>72598</c:v>
                </c:pt>
                <c:pt idx="56">
                  <c:v>65349</c:v>
                </c:pt>
                <c:pt idx="57">
                  <c:v>58507</c:v>
                </c:pt>
                <c:pt idx="58">
                  <c:v>46744</c:v>
                </c:pt>
                <c:pt idx="59">
                  <c:v>41410</c:v>
                </c:pt>
                <c:pt idx="60">
                  <c:v>39888</c:v>
                </c:pt>
                <c:pt idx="61">
                  <c:v>43207</c:v>
                </c:pt>
                <c:pt idx="62">
                  <c:v>51051</c:v>
                </c:pt>
                <c:pt idx="63">
                  <c:v>48544</c:v>
                </c:pt>
                <c:pt idx="64">
                  <c:v>50204</c:v>
                </c:pt>
                <c:pt idx="65">
                  <c:v>53570</c:v>
                </c:pt>
                <c:pt idx="66">
                  <c:v>49273</c:v>
                </c:pt>
                <c:pt idx="67">
                  <c:v>45702</c:v>
                </c:pt>
                <c:pt idx="68">
                  <c:v>44370</c:v>
                </c:pt>
                <c:pt idx="69">
                  <c:v>48819</c:v>
                </c:pt>
                <c:pt idx="70">
                  <c:v>50407</c:v>
                </c:pt>
                <c:pt idx="71">
                  <c:v>52265</c:v>
                </c:pt>
                <c:pt idx="72">
                  <c:v>56087</c:v>
                </c:pt>
                <c:pt idx="73">
                  <c:v>60383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31-45BE-A478-5852EEA6E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607040"/>
        <c:axId val="263608576"/>
      </c:lineChart>
      <c:lineChart>
        <c:grouping val="standard"/>
        <c:varyColors val="0"/>
        <c:ser>
          <c:idx val="1"/>
          <c:order val="1"/>
          <c:tx>
            <c:strRef>
              <c:f>'Chart Data'!$K$2</c:f>
              <c:strCache>
                <c:ptCount val="1"/>
                <c:pt idx="0">
                  <c:v>5 year fixed rate, 75% LTV, lagged one month (RHS)</c:v>
                </c:pt>
              </c:strCache>
            </c:strRef>
          </c:tx>
          <c:spPr>
            <a:ln w="38100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'Chart Data'!$I$3:$I$77</c:f>
              <c:numCache>
                <c:formatCode>m/d/yyyy</c:formatCode>
                <c:ptCount val="75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  <c:pt idx="60">
                  <c:v>44927</c:v>
                </c:pt>
                <c:pt idx="61">
                  <c:v>44958</c:v>
                </c:pt>
                <c:pt idx="62">
                  <c:v>44986</c:v>
                </c:pt>
                <c:pt idx="63">
                  <c:v>45017</c:v>
                </c:pt>
                <c:pt idx="64">
                  <c:v>45047</c:v>
                </c:pt>
                <c:pt idx="65">
                  <c:v>45078</c:v>
                </c:pt>
                <c:pt idx="66">
                  <c:v>45108</c:v>
                </c:pt>
                <c:pt idx="67">
                  <c:v>45139</c:v>
                </c:pt>
                <c:pt idx="68">
                  <c:v>45170</c:v>
                </c:pt>
                <c:pt idx="69">
                  <c:v>45200</c:v>
                </c:pt>
                <c:pt idx="70">
                  <c:v>45231</c:v>
                </c:pt>
                <c:pt idx="71">
                  <c:v>45261</c:v>
                </c:pt>
                <c:pt idx="72">
                  <c:v>45292</c:v>
                </c:pt>
                <c:pt idx="73">
                  <c:v>45323</c:v>
                </c:pt>
                <c:pt idx="74">
                  <c:v>45352</c:v>
                </c:pt>
              </c:numCache>
            </c:numRef>
          </c:cat>
          <c:val>
            <c:numRef>
              <c:f>'Chart Data'!$K$3:$K$77</c:f>
              <c:numCache>
                <c:formatCode>0.00</c:formatCode>
                <c:ptCount val="75"/>
                <c:pt idx="0">
                  <c:v>2.0699999999999998</c:v>
                </c:pt>
                <c:pt idx="1">
                  <c:v>1.98</c:v>
                </c:pt>
                <c:pt idx="2">
                  <c:v>1.99</c:v>
                </c:pt>
                <c:pt idx="3">
                  <c:v>2.02</c:v>
                </c:pt>
                <c:pt idx="4">
                  <c:v>2.0099999999999998</c:v>
                </c:pt>
                <c:pt idx="5">
                  <c:v>2.06</c:v>
                </c:pt>
                <c:pt idx="6">
                  <c:v>2.0299999999999998</c:v>
                </c:pt>
                <c:pt idx="7">
                  <c:v>2.04</c:v>
                </c:pt>
                <c:pt idx="8">
                  <c:v>2.0299999999999998</c:v>
                </c:pt>
                <c:pt idx="9">
                  <c:v>2.0099999999999998</c:v>
                </c:pt>
                <c:pt idx="10">
                  <c:v>2.06</c:v>
                </c:pt>
                <c:pt idx="11">
                  <c:v>2.02</c:v>
                </c:pt>
                <c:pt idx="12">
                  <c:v>2.0099999999999998</c:v>
                </c:pt>
                <c:pt idx="13">
                  <c:v>2.0499999999999998</c:v>
                </c:pt>
                <c:pt idx="14">
                  <c:v>2.0499999999999998</c:v>
                </c:pt>
                <c:pt idx="15">
                  <c:v>2.0299999999999998</c:v>
                </c:pt>
                <c:pt idx="16">
                  <c:v>2</c:v>
                </c:pt>
                <c:pt idx="17">
                  <c:v>1.99</c:v>
                </c:pt>
                <c:pt idx="18">
                  <c:v>1.97</c:v>
                </c:pt>
                <c:pt idx="19">
                  <c:v>1.93</c:v>
                </c:pt>
                <c:pt idx="20">
                  <c:v>1.89</c:v>
                </c:pt>
                <c:pt idx="21">
                  <c:v>1.79</c:v>
                </c:pt>
                <c:pt idx="22">
                  <c:v>1.71</c:v>
                </c:pt>
                <c:pt idx="23">
                  <c:v>1.67</c:v>
                </c:pt>
                <c:pt idx="24">
                  <c:v>1.67</c:v>
                </c:pt>
                <c:pt idx="25">
                  <c:v>1.68</c:v>
                </c:pt>
                <c:pt idx="26">
                  <c:v>1.67</c:v>
                </c:pt>
                <c:pt idx="27">
                  <c:v>1.66</c:v>
                </c:pt>
                <c:pt idx="28">
                  <c:v>1.67</c:v>
                </c:pt>
                <c:pt idx="29">
                  <c:v>1.7</c:v>
                </c:pt>
                <c:pt idx="30">
                  <c:v>1.69</c:v>
                </c:pt>
                <c:pt idx="31">
                  <c:v>1.7</c:v>
                </c:pt>
                <c:pt idx="32">
                  <c:v>1.79</c:v>
                </c:pt>
                <c:pt idx="33">
                  <c:v>1.92</c:v>
                </c:pt>
                <c:pt idx="34">
                  <c:v>2.0499999999999998</c:v>
                </c:pt>
                <c:pt idx="35">
                  <c:v>2.0499999999999998</c:v>
                </c:pt>
                <c:pt idx="36">
                  <c:v>2</c:v>
                </c:pt>
                <c:pt idx="37">
                  <c:v>1.92</c:v>
                </c:pt>
                <c:pt idx="38">
                  <c:v>1.8</c:v>
                </c:pt>
                <c:pt idx="39">
                  <c:v>1.74</c:v>
                </c:pt>
                <c:pt idx="40">
                  <c:v>1.71</c:v>
                </c:pt>
                <c:pt idx="41">
                  <c:v>1.68</c:v>
                </c:pt>
                <c:pt idx="42">
                  <c:v>1.6</c:v>
                </c:pt>
                <c:pt idx="43">
                  <c:v>1.45</c:v>
                </c:pt>
                <c:pt idx="44">
                  <c:v>1.39</c:v>
                </c:pt>
                <c:pt idx="45">
                  <c:v>1.28</c:v>
                </c:pt>
                <c:pt idx="46">
                  <c:v>1.3</c:v>
                </c:pt>
                <c:pt idx="47">
                  <c:v>1.52</c:v>
                </c:pt>
                <c:pt idx="48">
                  <c:v>1.59</c:v>
                </c:pt>
                <c:pt idx="49">
                  <c:v>1.63</c:v>
                </c:pt>
                <c:pt idx="50">
                  <c:v>1.79</c:v>
                </c:pt>
                <c:pt idx="51">
                  <c:v>2.11</c:v>
                </c:pt>
                <c:pt idx="52">
                  <c:v>2.35</c:v>
                </c:pt>
                <c:pt idx="53">
                  <c:v>2.62</c:v>
                </c:pt>
                <c:pt idx="54">
                  <c:v>2.9</c:v>
                </c:pt>
                <c:pt idx="55">
                  <c:v>3.43</c:v>
                </c:pt>
                <c:pt idx="56">
                  <c:v>3.61</c:v>
                </c:pt>
                <c:pt idx="57">
                  <c:v>3.97</c:v>
                </c:pt>
                <c:pt idx="58">
                  <c:v>5.61</c:v>
                </c:pt>
                <c:pt idx="59">
                  <c:v>5.5</c:v>
                </c:pt>
                <c:pt idx="60">
                  <c:v>5.05</c:v>
                </c:pt>
                <c:pt idx="61">
                  <c:v>4.66</c:v>
                </c:pt>
                <c:pt idx="62">
                  <c:v>4.3600000000000003</c:v>
                </c:pt>
                <c:pt idx="63">
                  <c:v>4.26</c:v>
                </c:pt>
                <c:pt idx="64">
                  <c:v>4.16</c:v>
                </c:pt>
                <c:pt idx="65">
                  <c:v>4.28</c:v>
                </c:pt>
                <c:pt idx="66">
                  <c:v>4.95</c:v>
                </c:pt>
                <c:pt idx="67">
                  <c:v>5.71</c:v>
                </c:pt>
                <c:pt idx="68">
                  <c:v>5.53</c:v>
                </c:pt>
                <c:pt idx="69">
                  <c:v>5.24</c:v>
                </c:pt>
                <c:pt idx="70">
                  <c:v>5.0199999999999996</c:v>
                </c:pt>
                <c:pt idx="71">
                  <c:v>4.8899999999999997</c:v>
                </c:pt>
                <c:pt idx="72">
                  <c:v>4.68</c:v>
                </c:pt>
                <c:pt idx="73">
                  <c:v>4.4400000000000004</c:v>
                </c:pt>
                <c:pt idx="74">
                  <c:v>4.4000000000000004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31-45BE-A478-5852EEA6E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036496"/>
        <c:axId val="1510040240"/>
      </c:lineChart>
      <c:dateAx>
        <c:axId val="263607040"/>
        <c:scaling>
          <c:orientation val="minMax"/>
          <c:min val="44197"/>
        </c:scaling>
        <c:delete val="0"/>
        <c:axPos val="b"/>
        <c:numFmt formatCode="mmm\-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6"/>
        <c:majorTimeUnit val="months"/>
      </c:dateAx>
      <c:valAx>
        <c:axId val="263608576"/>
        <c:scaling>
          <c:orientation val="minMax"/>
          <c:max val="100000"/>
          <c:min val="30000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  <c:dispUnits>
          <c:builtInUnit val="thousands"/>
        </c:dispUnits>
      </c:valAx>
      <c:valAx>
        <c:axId val="1510040240"/>
        <c:scaling>
          <c:orientation val="maxMin"/>
          <c:max val="7"/>
        </c:scaling>
        <c:delete val="0"/>
        <c:axPos val="r"/>
        <c:numFmt formatCode="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510036496"/>
        <c:crosses val="max"/>
        <c:crossBetween val="midCat"/>
      </c:valAx>
      <c:dateAx>
        <c:axId val="151003649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510040240"/>
        <c:crosses val="max"/>
        <c:auto val="1"/>
        <c:lblOffset val="100"/>
        <c:baseTimeUnit val="months"/>
      </c:date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631746370686715"/>
          <c:y val="0.11105502901246254"/>
          <c:w val="0.68381511633079761"/>
          <c:h val="0.1107846533031452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2162591769700598E-2"/>
          <c:y val="0.14714391023940784"/>
          <c:w val="0.88727305941706303"/>
          <c:h val="0.71263986086983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Data'!$N$2</c:f>
              <c:strCache>
                <c:ptCount val="1"/>
                <c:pt idx="0">
                  <c:v>Prices - past year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Data'!$M$3:$M$92</c:f>
              <c:numCache>
                <c:formatCode>m/d/yyyy</c:formatCode>
                <c:ptCount val="9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</c:numCache>
            </c:numRef>
          </c:cat>
          <c:val>
            <c:numRef>
              <c:f>'Chart Data'!$N$3:$N$92</c:f>
              <c:numCache>
                <c:formatCode>0.0</c:formatCode>
                <c:ptCount val="90"/>
                <c:pt idx="0">
                  <c:v>#N/A</c:v>
                </c:pt>
                <c:pt idx="1">
                  <c:v>#N/A</c:v>
                </c:pt>
                <c:pt idx="2">
                  <c:v>2.5</c:v>
                </c:pt>
                <c:pt idx="3">
                  <c:v>2.7333333333333329</c:v>
                </c:pt>
                <c:pt idx="4">
                  <c:v>2.8666666666666667</c:v>
                </c:pt>
                <c:pt idx="5">
                  <c:v>3.1</c:v>
                </c:pt>
                <c:pt idx="6">
                  <c:v>2.9333333333333336</c:v>
                </c:pt>
                <c:pt idx="7">
                  <c:v>3.1666666666666665</c:v>
                </c:pt>
                <c:pt idx="8">
                  <c:v>3.1</c:v>
                </c:pt>
                <c:pt idx="9">
                  <c:v>2.8333333333333335</c:v>
                </c:pt>
                <c:pt idx="10">
                  <c:v>2.7333333333333329</c:v>
                </c:pt>
                <c:pt idx="11">
                  <c:v>2.8666666666666667</c:v>
                </c:pt>
                <c:pt idx="12">
                  <c:v>2.9333333333333331</c:v>
                </c:pt>
                <c:pt idx="13">
                  <c:v>2.9666666666666668</c:v>
                </c:pt>
                <c:pt idx="14">
                  <c:v>2.8666666666666667</c:v>
                </c:pt>
                <c:pt idx="15">
                  <c:v>2.9333333333333336</c:v>
                </c:pt>
                <c:pt idx="16">
                  <c:v>2.7666666666666671</c:v>
                </c:pt>
                <c:pt idx="17">
                  <c:v>2.8333333333333335</c:v>
                </c:pt>
                <c:pt idx="18">
                  <c:v>2.6666666666666665</c:v>
                </c:pt>
                <c:pt idx="19">
                  <c:v>2.6333333333333333</c:v>
                </c:pt>
                <c:pt idx="20">
                  <c:v>2.5</c:v>
                </c:pt>
                <c:pt idx="21">
                  <c:v>2.4333333333333331</c:v>
                </c:pt>
                <c:pt idx="22">
                  <c:v>2.5333333333333332</c:v>
                </c:pt>
                <c:pt idx="23">
                  <c:v>2.4666666666666668</c:v>
                </c:pt>
                <c:pt idx="24">
                  <c:v>2.5333333333333337</c:v>
                </c:pt>
                <c:pt idx="25">
                  <c:v>2.4</c:v>
                </c:pt>
                <c:pt idx="26">
                  <c:v>2.4666666666666668</c:v>
                </c:pt>
                <c:pt idx="27">
                  <c:v>2.5</c:v>
                </c:pt>
                <c:pt idx="28">
                  <c:v>2.3666666666666667</c:v>
                </c:pt>
                <c:pt idx="29">
                  <c:v>2.4666666666666668</c:v>
                </c:pt>
                <c:pt idx="30">
                  <c:v>2.2666666666666666</c:v>
                </c:pt>
                <c:pt idx="31">
                  <c:v>2.3000000000000003</c:v>
                </c:pt>
                <c:pt idx="32">
                  <c:v>2.1666666666666665</c:v>
                </c:pt>
                <c:pt idx="33">
                  <c:v>2.0666666666666664</c:v>
                </c:pt>
                <c:pt idx="34">
                  <c:v>2.0666666666666664</c:v>
                </c:pt>
                <c:pt idx="35">
                  <c:v>1.9666666666666668</c:v>
                </c:pt>
                <c:pt idx="36">
                  <c:v>2</c:v>
                </c:pt>
                <c:pt idx="37">
                  <c:v>1.9666666666666666</c:v>
                </c:pt>
                <c:pt idx="38">
                  <c:v>1.9000000000000001</c:v>
                </c:pt>
                <c:pt idx="39">
                  <c:v>1.8333333333333333</c:v>
                </c:pt>
                <c:pt idx="40">
                  <c:v>1.8333333333333333</c:v>
                </c:pt>
                <c:pt idx="41">
                  <c:v>1.6333333333333335</c:v>
                </c:pt>
                <c:pt idx="42">
                  <c:v>1.4333333333333333</c:v>
                </c:pt>
                <c:pt idx="43">
                  <c:v>1.2</c:v>
                </c:pt>
                <c:pt idx="44">
                  <c:v>1.2666666666666668</c:v>
                </c:pt>
                <c:pt idx="45">
                  <c:v>1.5666666666666667</c:v>
                </c:pt>
                <c:pt idx="46">
                  <c:v>1.7666666666666666</c:v>
                </c:pt>
                <c:pt idx="47">
                  <c:v>1.6000000000000003</c:v>
                </c:pt>
                <c:pt idx="48">
                  <c:v>1.4666666666666668</c:v>
                </c:pt>
                <c:pt idx="49">
                  <c:v>1.6000000000000003</c:v>
                </c:pt>
                <c:pt idx="50">
                  <c:v>1.8666666666666669</c:v>
                </c:pt>
                <c:pt idx="51">
                  <c:v>2.1999999999999997</c:v>
                </c:pt>
                <c:pt idx="52">
                  <c:v>2.4333333333333331</c:v>
                </c:pt>
                <c:pt idx="53">
                  <c:v>2.9</c:v>
                </c:pt>
                <c:pt idx="54">
                  <c:v>3.2333333333333329</c:v>
                </c:pt>
                <c:pt idx="55">
                  <c:v>3.4666666666666668</c:v>
                </c:pt>
                <c:pt idx="56">
                  <c:v>3.9333333333333336</c:v>
                </c:pt>
                <c:pt idx="57">
                  <c:v>4.4666666666666668</c:v>
                </c:pt>
                <c:pt idx="58">
                  <c:v>4.8999999999999995</c:v>
                </c:pt>
                <c:pt idx="59">
                  <c:v>5.2333333333333334</c:v>
                </c:pt>
                <c:pt idx="60">
                  <c:v>5.2333333333333334</c:v>
                </c:pt>
                <c:pt idx="61">
                  <c:v>5.3999999999999995</c:v>
                </c:pt>
                <c:pt idx="62">
                  <c:v>5.833333333333333</c:v>
                </c:pt>
                <c:pt idx="63">
                  <c:v>6.2</c:v>
                </c:pt>
                <c:pt idx="64">
                  <c:v>6.8666666666666671</c:v>
                </c:pt>
                <c:pt idx="65">
                  <c:v>7.0666666666666673</c:v>
                </c:pt>
                <c:pt idx="66">
                  <c:v>7.5666666666666664</c:v>
                </c:pt>
                <c:pt idx="67">
                  <c:v>7.666666666666667</c:v>
                </c:pt>
                <c:pt idx="68">
                  <c:v>7.666666666666667</c:v>
                </c:pt>
                <c:pt idx="69">
                  <c:v>7.6000000000000005</c:v>
                </c:pt>
                <c:pt idx="70">
                  <c:v>7.4666666666666659</c:v>
                </c:pt>
                <c:pt idx="71">
                  <c:v>7.833333333333333</c:v>
                </c:pt>
                <c:pt idx="72">
                  <c:v>7.8666666666666671</c:v>
                </c:pt>
                <c:pt idx="73">
                  <c:v>8.0666666666666664</c:v>
                </c:pt>
                <c:pt idx="74">
                  <c:v>7.833333333333333</c:v>
                </c:pt>
                <c:pt idx="75">
                  <c:v>7.666666666666667</c:v>
                </c:pt>
                <c:pt idx="76">
                  <c:v>7.5999999999999988</c:v>
                </c:pt>
                <c:pt idx="77">
                  <c:v>7.3</c:v>
                </c:pt>
                <c:pt idx="78">
                  <c:v>7.4333333333333336</c:v>
                </c:pt>
                <c:pt idx="79">
                  <c:v>7.3999999999999995</c:v>
                </c:pt>
                <c:pt idx="80">
                  <c:v>7.4000000000000012</c:v>
                </c:pt>
                <c:pt idx="81">
                  <c:v>7.0666666666666664</c:v>
                </c:pt>
                <c:pt idx="82">
                  <c:v>6.5666666666666664</c:v>
                </c:pt>
                <c:pt idx="83">
                  <c:v>5.9000000000000012</c:v>
                </c:pt>
                <c:pt idx="84">
                  <c:v>5.5666666666666664</c:v>
                </c:pt>
                <c:pt idx="85">
                  <c:v>5.3666666666666671</c:v>
                </c:pt>
                <c:pt idx="86">
                  <c:v>5.333333333333333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Data'!$O$2</c:f>
              <c:strCache>
                <c:ptCount val="1"/>
                <c:pt idx="0">
                  <c:v>Prices - next year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Data'!$M$3:$M$92</c:f>
              <c:numCache>
                <c:formatCode>m/d/yyyy</c:formatCode>
                <c:ptCount val="9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</c:numCache>
            </c:numRef>
          </c:cat>
          <c:val>
            <c:numRef>
              <c:f>'Chart Data'!$O$3:$O$92</c:f>
              <c:numCache>
                <c:formatCode>0.0</c:formatCode>
                <c:ptCount val="90"/>
                <c:pt idx="0">
                  <c:v>#N/A</c:v>
                </c:pt>
                <c:pt idx="1">
                  <c:v>#N/A</c:v>
                </c:pt>
                <c:pt idx="2">
                  <c:v>2.5666666666666669</c:v>
                </c:pt>
                <c:pt idx="3">
                  <c:v>2.6333333333333333</c:v>
                </c:pt>
                <c:pt idx="4">
                  <c:v>2.7333333333333329</c:v>
                </c:pt>
                <c:pt idx="5">
                  <c:v>2.9333333333333331</c:v>
                </c:pt>
                <c:pt idx="6">
                  <c:v>2.9666666666666668</c:v>
                </c:pt>
                <c:pt idx="7">
                  <c:v>3.0333333333333332</c:v>
                </c:pt>
                <c:pt idx="8">
                  <c:v>3.0333333333333332</c:v>
                </c:pt>
                <c:pt idx="9">
                  <c:v>3</c:v>
                </c:pt>
                <c:pt idx="10">
                  <c:v>2.8666666666666671</c:v>
                </c:pt>
                <c:pt idx="11">
                  <c:v>2.8000000000000003</c:v>
                </c:pt>
                <c:pt idx="12">
                  <c:v>2.8333333333333335</c:v>
                </c:pt>
                <c:pt idx="13">
                  <c:v>2.9333333333333336</c:v>
                </c:pt>
                <c:pt idx="14">
                  <c:v>2.9</c:v>
                </c:pt>
                <c:pt idx="15">
                  <c:v>2.9</c:v>
                </c:pt>
                <c:pt idx="16">
                  <c:v>2.8333333333333335</c:v>
                </c:pt>
                <c:pt idx="17">
                  <c:v>2.8333333333333335</c:v>
                </c:pt>
                <c:pt idx="18">
                  <c:v>2.7666666666666671</c:v>
                </c:pt>
                <c:pt idx="19">
                  <c:v>2.6999999999999997</c:v>
                </c:pt>
                <c:pt idx="20">
                  <c:v>2.6</c:v>
                </c:pt>
                <c:pt idx="21">
                  <c:v>2.5</c:v>
                </c:pt>
                <c:pt idx="22">
                  <c:v>2.4666666666666668</c:v>
                </c:pt>
                <c:pt idx="23">
                  <c:v>2.4333333333333336</c:v>
                </c:pt>
                <c:pt idx="24">
                  <c:v>2.4666666666666668</c:v>
                </c:pt>
                <c:pt idx="25">
                  <c:v>2.4333333333333336</c:v>
                </c:pt>
                <c:pt idx="26">
                  <c:v>2.4666666666666668</c:v>
                </c:pt>
                <c:pt idx="27">
                  <c:v>2.4666666666666668</c:v>
                </c:pt>
                <c:pt idx="28">
                  <c:v>2.4666666666666668</c:v>
                </c:pt>
                <c:pt idx="29">
                  <c:v>2.4666666666666668</c:v>
                </c:pt>
                <c:pt idx="30">
                  <c:v>2.4</c:v>
                </c:pt>
                <c:pt idx="31">
                  <c:v>2.3666666666666667</c:v>
                </c:pt>
                <c:pt idx="32">
                  <c:v>2.2666666666666666</c:v>
                </c:pt>
                <c:pt idx="33">
                  <c:v>2.1999999999999997</c:v>
                </c:pt>
                <c:pt idx="34">
                  <c:v>2.1333333333333333</c:v>
                </c:pt>
                <c:pt idx="35">
                  <c:v>2.0666666666666669</c:v>
                </c:pt>
                <c:pt idx="36">
                  <c:v>2.0333333333333332</c:v>
                </c:pt>
                <c:pt idx="37">
                  <c:v>1.9666666666666668</c:v>
                </c:pt>
                <c:pt idx="38">
                  <c:v>1.9333333333333333</c:v>
                </c:pt>
                <c:pt idx="39">
                  <c:v>1.8666666666666665</c:v>
                </c:pt>
                <c:pt idx="40">
                  <c:v>1.8333333333333333</c:v>
                </c:pt>
                <c:pt idx="41">
                  <c:v>1.7333333333333334</c:v>
                </c:pt>
                <c:pt idx="42">
                  <c:v>1.6000000000000003</c:v>
                </c:pt>
                <c:pt idx="43">
                  <c:v>1.4000000000000001</c:v>
                </c:pt>
                <c:pt idx="44">
                  <c:v>1.2999999999999998</c:v>
                </c:pt>
                <c:pt idx="45">
                  <c:v>1.3666666666666665</c:v>
                </c:pt>
                <c:pt idx="46">
                  <c:v>1.5666666666666667</c:v>
                </c:pt>
                <c:pt idx="47">
                  <c:v>1.6666666666666667</c:v>
                </c:pt>
                <c:pt idx="48">
                  <c:v>1.6333333333333335</c:v>
                </c:pt>
                <c:pt idx="49">
                  <c:v>1.5666666666666667</c:v>
                </c:pt>
                <c:pt idx="50">
                  <c:v>1.6666666666666667</c:v>
                </c:pt>
                <c:pt idx="51">
                  <c:v>1.9000000000000001</c:v>
                </c:pt>
                <c:pt idx="52">
                  <c:v>2.1666666666666665</c:v>
                </c:pt>
                <c:pt idx="53">
                  <c:v>2.5</c:v>
                </c:pt>
                <c:pt idx="54">
                  <c:v>2.8333333333333335</c:v>
                </c:pt>
                <c:pt idx="55">
                  <c:v>3.1666666666666665</c:v>
                </c:pt>
                <c:pt idx="56">
                  <c:v>3.5</c:v>
                </c:pt>
                <c:pt idx="57">
                  <c:v>3.9333333333333336</c:v>
                </c:pt>
                <c:pt idx="58">
                  <c:v>4.4333333333333336</c:v>
                </c:pt>
                <c:pt idx="59">
                  <c:v>4.8666666666666671</c:v>
                </c:pt>
                <c:pt idx="60">
                  <c:v>5.1000000000000005</c:v>
                </c:pt>
                <c:pt idx="61">
                  <c:v>5.2666666666666666</c:v>
                </c:pt>
                <c:pt idx="62">
                  <c:v>5.4666666666666677</c:v>
                </c:pt>
                <c:pt idx="63">
                  <c:v>5.8</c:v>
                </c:pt>
                <c:pt idx="64">
                  <c:v>6.3</c:v>
                </c:pt>
                <c:pt idx="65">
                  <c:v>6.7333333333333343</c:v>
                </c:pt>
                <c:pt idx="66">
                  <c:v>7.2</c:v>
                </c:pt>
                <c:pt idx="67">
                  <c:v>7.4666666666666659</c:v>
                </c:pt>
                <c:pt idx="68">
                  <c:v>7.666666666666667</c:v>
                </c:pt>
                <c:pt idx="69">
                  <c:v>7.666666666666667</c:v>
                </c:pt>
                <c:pt idx="70">
                  <c:v>7.6000000000000005</c:v>
                </c:pt>
                <c:pt idx="71">
                  <c:v>7.6333333333333329</c:v>
                </c:pt>
                <c:pt idx="72">
                  <c:v>7.7333333333333343</c:v>
                </c:pt>
                <c:pt idx="73">
                  <c:v>7.9333333333333327</c:v>
                </c:pt>
                <c:pt idx="74">
                  <c:v>7.9333333333333336</c:v>
                </c:pt>
                <c:pt idx="75">
                  <c:v>7.8666666666666663</c:v>
                </c:pt>
                <c:pt idx="76">
                  <c:v>7.7</c:v>
                </c:pt>
                <c:pt idx="77">
                  <c:v>7.5333333333333341</c:v>
                </c:pt>
                <c:pt idx="78">
                  <c:v>7.4333333333333327</c:v>
                </c:pt>
                <c:pt idx="79">
                  <c:v>7.3666666666666671</c:v>
                </c:pt>
                <c:pt idx="80">
                  <c:v>7.4000000000000012</c:v>
                </c:pt>
                <c:pt idx="81">
                  <c:v>7.3</c:v>
                </c:pt>
                <c:pt idx="82">
                  <c:v>7.0333333333333341</c:v>
                </c:pt>
                <c:pt idx="83">
                  <c:v>6.5333333333333341</c:v>
                </c:pt>
                <c:pt idx="84">
                  <c:v>6.0333333333333341</c:v>
                </c:pt>
                <c:pt idx="85">
                  <c:v>5.6333333333333329</c:v>
                </c:pt>
                <c:pt idx="86">
                  <c:v>5.4333333333333336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Data'!$P$2</c:f>
              <c:strCache>
                <c:ptCount val="1"/>
                <c:pt idx="0">
                  <c:v>Wages - past year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Data'!$M$3:$M$92</c:f>
              <c:numCache>
                <c:formatCode>m/d/yyyy</c:formatCode>
                <c:ptCount val="9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</c:numCache>
            </c:numRef>
          </c:cat>
          <c:val>
            <c:numRef>
              <c:f>'Chart Data'!$P$3:$P$92</c:f>
              <c:numCache>
                <c:formatCode>0.0</c:formatCode>
                <c:ptCount val="90"/>
                <c:pt idx="66">
                  <c:v>5.5666666666666664</c:v>
                </c:pt>
                <c:pt idx="67">
                  <c:v>5.8666666666666671</c:v>
                </c:pt>
                <c:pt idx="68">
                  <c:v>6.1333333333333329</c:v>
                </c:pt>
                <c:pt idx="69">
                  <c:v>6.333333333333333</c:v>
                </c:pt>
                <c:pt idx="70">
                  <c:v>6.2333333333333334</c:v>
                </c:pt>
                <c:pt idx="71">
                  <c:v>6.2666666666666657</c:v>
                </c:pt>
                <c:pt idx="72">
                  <c:v>6.333333333333333</c:v>
                </c:pt>
                <c:pt idx="73">
                  <c:v>6.5</c:v>
                </c:pt>
                <c:pt idx="74">
                  <c:v>6.4666666666666659</c:v>
                </c:pt>
                <c:pt idx="75">
                  <c:v>6.5666666666666664</c:v>
                </c:pt>
                <c:pt idx="76">
                  <c:v>6.6333333333333329</c:v>
                </c:pt>
                <c:pt idx="77">
                  <c:v>6.833333333333333</c:v>
                </c:pt>
                <c:pt idx="78">
                  <c:v>6.8666666666666663</c:v>
                </c:pt>
                <c:pt idx="79">
                  <c:v>6.9000000000000012</c:v>
                </c:pt>
                <c:pt idx="80">
                  <c:v>6.9000000000000012</c:v>
                </c:pt>
                <c:pt idx="81">
                  <c:v>6.9333333333333336</c:v>
                </c:pt>
                <c:pt idx="82">
                  <c:v>6.9666666666666659</c:v>
                </c:pt>
                <c:pt idx="83">
                  <c:v>6.9333333333333336</c:v>
                </c:pt>
                <c:pt idx="84">
                  <c:v>6.833333333333333</c:v>
                </c:pt>
                <c:pt idx="85">
                  <c:v>6.666666666666667</c:v>
                </c:pt>
                <c:pt idx="86">
                  <c:v>6.3666666666666671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ser>
          <c:idx val="3"/>
          <c:order val="3"/>
          <c:tx>
            <c:strRef>
              <c:f>'Chart Data'!$Q$2</c:f>
              <c:strCache>
                <c:ptCount val="1"/>
                <c:pt idx="0">
                  <c:v>Wages - next year</c:v>
                </c:pt>
              </c:strCache>
            </c:strRef>
          </c:tx>
          <c:spPr>
            <a:ln w="38100">
              <a:solidFill>
                <a:srgbClr val="7B7C77"/>
              </a:solidFill>
            </a:ln>
          </c:spPr>
          <c:marker>
            <c:symbol val="none"/>
          </c:marker>
          <c:cat>
            <c:numRef>
              <c:f>'Chart Data'!$M$3:$M$92</c:f>
              <c:numCache>
                <c:formatCode>m/d/yyyy</c:formatCode>
                <c:ptCount val="90"/>
                <c:pt idx="0">
                  <c:v>42736</c:v>
                </c:pt>
                <c:pt idx="1">
                  <c:v>42767</c:v>
                </c:pt>
                <c:pt idx="2">
                  <c:v>42795</c:v>
                </c:pt>
                <c:pt idx="3">
                  <c:v>42826</c:v>
                </c:pt>
                <c:pt idx="4">
                  <c:v>42856</c:v>
                </c:pt>
                <c:pt idx="5">
                  <c:v>42887</c:v>
                </c:pt>
                <c:pt idx="6">
                  <c:v>42917</c:v>
                </c:pt>
                <c:pt idx="7">
                  <c:v>42948</c:v>
                </c:pt>
                <c:pt idx="8">
                  <c:v>42979</c:v>
                </c:pt>
                <c:pt idx="9">
                  <c:v>43009</c:v>
                </c:pt>
                <c:pt idx="10">
                  <c:v>43040</c:v>
                </c:pt>
                <c:pt idx="11">
                  <c:v>43070</c:v>
                </c:pt>
                <c:pt idx="12">
                  <c:v>43101</c:v>
                </c:pt>
                <c:pt idx="13">
                  <c:v>43132</c:v>
                </c:pt>
                <c:pt idx="14">
                  <c:v>43160</c:v>
                </c:pt>
                <c:pt idx="15">
                  <c:v>43191</c:v>
                </c:pt>
                <c:pt idx="16">
                  <c:v>43221</c:v>
                </c:pt>
                <c:pt idx="17">
                  <c:v>43252</c:v>
                </c:pt>
                <c:pt idx="18">
                  <c:v>43282</c:v>
                </c:pt>
                <c:pt idx="19">
                  <c:v>43313</c:v>
                </c:pt>
                <c:pt idx="20">
                  <c:v>43344</c:v>
                </c:pt>
                <c:pt idx="21">
                  <c:v>43374</c:v>
                </c:pt>
                <c:pt idx="22">
                  <c:v>43405</c:v>
                </c:pt>
                <c:pt idx="23">
                  <c:v>43435</c:v>
                </c:pt>
                <c:pt idx="24">
                  <c:v>43466</c:v>
                </c:pt>
                <c:pt idx="25">
                  <c:v>43497</c:v>
                </c:pt>
                <c:pt idx="26">
                  <c:v>43525</c:v>
                </c:pt>
                <c:pt idx="27">
                  <c:v>43556</c:v>
                </c:pt>
                <c:pt idx="28">
                  <c:v>43586</c:v>
                </c:pt>
                <c:pt idx="29">
                  <c:v>43617</c:v>
                </c:pt>
                <c:pt idx="30">
                  <c:v>43647</c:v>
                </c:pt>
                <c:pt idx="31">
                  <c:v>43678</c:v>
                </c:pt>
                <c:pt idx="32">
                  <c:v>43709</c:v>
                </c:pt>
                <c:pt idx="33">
                  <c:v>43739</c:v>
                </c:pt>
                <c:pt idx="34">
                  <c:v>43770</c:v>
                </c:pt>
                <c:pt idx="35">
                  <c:v>43800</c:v>
                </c:pt>
                <c:pt idx="36">
                  <c:v>43831</c:v>
                </c:pt>
                <c:pt idx="37">
                  <c:v>43862</c:v>
                </c:pt>
                <c:pt idx="38">
                  <c:v>43891</c:v>
                </c:pt>
                <c:pt idx="39">
                  <c:v>43922</c:v>
                </c:pt>
                <c:pt idx="40">
                  <c:v>43952</c:v>
                </c:pt>
                <c:pt idx="41">
                  <c:v>43983</c:v>
                </c:pt>
                <c:pt idx="42">
                  <c:v>44013</c:v>
                </c:pt>
                <c:pt idx="43">
                  <c:v>44044</c:v>
                </c:pt>
                <c:pt idx="44">
                  <c:v>44075</c:v>
                </c:pt>
                <c:pt idx="45">
                  <c:v>44105</c:v>
                </c:pt>
                <c:pt idx="46">
                  <c:v>44136</c:v>
                </c:pt>
                <c:pt idx="47">
                  <c:v>44166</c:v>
                </c:pt>
                <c:pt idx="48">
                  <c:v>44197</c:v>
                </c:pt>
                <c:pt idx="49">
                  <c:v>44228</c:v>
                </c:pt>
                <c:pt idx="50">
                  <c:v>44256</c:v>
                </c:pt>
                <c:pt idx="51">
                  <c:v>44287</c:v>
                </c:pt>
                <c:pt idx="52">
                  <c:v>44317</c:v>
                </c:pt>
                <c:pt idx="53">
                  <c:v>44348</c:v>
                </c:pt>
                <c:pt idx="54">
                  <c:v>44378</c:v>
                </c:pt>
                <c:pt idx="55">
                  <c:v>44409</c:v>
                </c:pt>
                <c:pt idx="56">
                  <c:v>44440</c:v>
                </c:pt>
                <c:pt idx="57">
                  <c:v>44470</c:v>
                </c:pt>
                <c:pt idx="58">
                  <c:v>44501</c:v>
                </c:pt>
                <c:pt idx="59">
                  <c:v>44531</c:v>
                </c:pt>
                <c:pt idx="60">
                  <c:v>44562</c:v>
                </c:pt>
                <c:pt idx="61">
                  <c:v>44593</c:v>
                </c:pt>
                <c:pt idx="62">
                  <c:v>44621</c:v>
                </c:pt>
                <c:pt idx="63">
                  <c:v>44652</c:v>
                </c:pt>
                <c:pt idx="64">
                  <c:v>44682</c:v>
                </c:pt>
                <c:pt idx="65">
                  <c:v>44713</c:v>
                </c:pt>
                <c:pt idx="66">
                  <c:v>44743</c:v>
                </c:pt>
                <c:pt idx="67">
                  <c:v>44774</c:v>
                </c:pt>
                <c:pt idx="68">
                  <c:v>44805</c:v>
                </c:pt>
                <c:pt idx="69">
                  <c:v>44835</c:v>
                </c:pt>
                <c:pt idx="70">
                  <c:v>44866</c:v>
                </c:pt>
                <c:pt idx="71">
                  <c:v>44896</c:v>
                </c:pt>
                <c:pt idx="72">
                  <c:v>44927</c:v>
                </c:pt>
                <c:pt idx="73">
                  <c:v>44958</c:v>
                </c:pt>
                <c:pt idx="74">
                  <c:v>44986</c:v>
                </c:pt>
                <c:pt idx="75">
                  <c:v>45017</c:v>
                </c:pt>
                <c:pt idx="76">
                  <c:v>45047</c:v>
                </c:pt>
                <c:pt idx="77">
                  <c:v>45078</c:v>
                </c:pt>
                <c:pt idx="78">
                  <c:v>45108</c:v>
                </c:pt>
                <c:pt idx="79">
                  <c:v>45139</c:v>
                </c:pt>
                <c:pt idx="80">
                  <c:v>45170</c:v>
                </c:pt>
                <c:pt idx="81">
                  <c:v>45200</c:v>
                </c:pt>
                <c:pt idx="82">
                  <c:v>45231</c:v>
                </c:pt>
                <c:pt idx="83">
                  <c:v>45261</c:v>
                </c:pt>
                <c:pt idx="84">
                  <c:v>45292</c:v>
                </c:pt>
                <c:pt idx="85">
                  <c:v>45323</c:v>
                </c:pt>
                <c:pt idx="86">
                  <c:v>45352</c:v>
                </c:pt>
                <c:pt idx="87">
                  <c:v>45383</c:v>
                </c:pt>
                <c:pt idx="88">
                  <c:v>45413</c:v>
                </c:pt>
                <c:pt idx="89">
                  <c:v>45444</c:v>
                </c:pt>
              </c:numCache>
            </c:numRef>
          </c:cat>
          <c:val>
            <c:numRef>
              <c:f>'Chart Data'!$Q$3:$Q$92</c:f>
              <c:numCache>
                <c:formatCode>0.0</c:formatCode>
                <c:ptCount val="90"/>
                <c:pt idx="66">
                  <c:v>5.0333333333333323</c:v>
                </c:pt>
                <c:pt idx="67">
                  <c:v>5.2666666666666666</c:v>
                </c:pt>
                <c:pt idx="68">
                  <c:v>5.5333333333333341</c:v>
                </c:pt>
                <c:pt idx="69">
                  <c:v>5.7333333333333334</c:v>
                </c:pt>
                <c:pt idx="70">
                  <c:v>5.833333333333333</c:v>
                </c:pt>
                <c:pt idx="71">
                  <c:v>5.9666666666666659</c:v>
                </c:pt>
                <c:pt idx="72">
                  <c:v>5.9333333333333336</c:v>
                </c:pt>
                <c:pt idx="73">
                  <c:v>5.9333333333333336</c:v>
                </c:pt>
                <c:pt idx="74">
                  <c:v>5.7</c:v>
                </c:pt>
                <c:pt idx="75">
                  <c:v>5.5999999999999988</c:v>
                </c:pt>
                <c:pt idx="76">
                  <c:v>5.3999999999999995</c:v>
                </c:pt>
                <c:pt idx="77">
                  <c:v>5.3000000000000007</c:v>
                </c:pt>
                <c:pt idx="78">
                  <c:v>5.166666666666667</c:v>
                </c:pt>
                <c:pt idx="79">
                  <c:v>5.1000000000000005</c:v>
                </c:pt>
                <c:pt idx="80">
                  <c:v>5.0666666666666664</c:v>
                </c:pt>
                <c:pt idx="81">
                  <c:v>5.0999999999999996</c:v>
                </c:pt>
                <c:pt idx="82">
                  <c:v>5.1333333333333337</c:v>
                </c:pt>
                <c:pt idx="83">
                  <c:v>5.2</c:v>
                </c:pt>
                <c:pt idx="84">
                  <c:v>5.2</c:v>
                </c:pt>
                <c:pt idx="85">
                  <c:v>5.1333333333333337</c:v>
                </c:pt>
                <c:pt idx="86">
                  <c:v>4.8999999999999995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  <c:min val="43466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0"/>
        <c:lblOffset val="100"/>
        <c:baseTimeUnit val="months"/>
        <c:majorUnit val="12"/>
        <c:maj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9462507428763937"/>
          <c:y val="9.2203304906094713E-2"/>
          <c:w val="0.61503403886325969"/>
          <c:h val="0.1092853545856326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C96188-C986-4779-B29E-F609E5B01D27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A2FA44-A741-4421-BC5D-88D7AC417542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73F86C2-3CEE-45FE-B042-FDF14A1969DF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08E96AE-0DF4-4907-84AC-4E6B094C936C}">
  <sheetPr/>
  <sheetViews>
    <sheetView tabSelected="1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ED914D-BCD1-16D2-2C4E-97305A10B9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7F5E0D2-C794-444F-BEB7-9BF9CF705EF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Mortgage approvals &amp; interest rates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3B0A611-67BD-2DB2-16DF-ADAD0C1C252D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0.00452</cdr:x>
      <cdr:y>0.07265</cdr:y>
    </cdr:from>
    <cdr:to>
      <cdr:x>0.1096</cdr:x>
      <cdr:y>0.12361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D35B37E-F49D-E063-A2AE-F4CB8F437B42}"/>
            </a:ext>
          </a:extLst>
        </cdr:cNvPr>
        <cdr:cNvSpPr txBox="1"/>
      </cdr:nvSpPr>
      <cdr:spPr>
        <a:xfrm xmlns:a="http://schemas.openxmlformats.org/drawingml/2006/main">
          <a:off x="38100" y="488950"/>
          <a:ext cx="88582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000s</a:t>
          </a:r>
        </a:p>
      </cdr:txBody>
    </cdr:sp>
  </cdr:relSizeAnchor>
  <cdr:relSizeAnchor xmlns:cdr="http://schemas.openxmlformats.org/drawingml/2006/chartDrawing">
    <cdr:from>
      <cdr:x>0.78834</cdr:x>
      <cdr:y>0.07265</cdr:y>
    </cdr:from>
    <cdr:to>
      <cdr:x>1</cdr:x>
      <cdr:y>0.12361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32824F60-7A06-43C8-C0FE-8413AF58EEEF}"/>
            </a:ext>
          </a:extLst>
        </cdr:cNvPr>
        <cdr:cNvSpPr txBox="1"/>
      </cdr:nvSpPr>
      <cdr:spPr>
        <a:xfrm xmlns:a="http://schemas.openxmlformats.org/drawingml/2006/main">
          <a:off x="6645720" y="488950"/>
          <a:ext cx="17843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%, inverted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BBB7F7-8D9C-FC06-523D-E6228C643D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7F5E0D2-C794-444F-BEB7-9BF9CF705EF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Mortgage approvals &amp; interest rates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3B0A611-67BD-2DB2-16DF-ADAD0C1C252D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0.00452</cdr:x>
      <cdr:y>0.07265</cdr:y>
    </cdr:from>
    <cdr:to>
      <cdr:x>0.1096</cdr:x>
      <cdr:y>0.12361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D35B37E-F49D-E063-A2AE-F4CB8F437B42}"/>
            </a:ext>
          </a:extLst>
        </cdr:cNvPr>
        <cdr:cNvSpPr txBox="1"/>
      </cdr:nvSpPr>
      <cdr:spPr>
        <a:xfrm xmlns:a="http://schemas.openxmlformats.org/drawingml/2006/main">
          <a:off x="38100" y="488950"/>
          <a:ext cx="88582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000s</a:t>
          </a:r>
        </a:p>
      </cdr:txBody>
    </cdr:sp>
  </cdr:relSizeAnchor>
  <cdr:relSizeAnchor xmlns:cdr="http://schemas.openxmlformats.org/drawingml/2006/chartDrawing">
    <cdr:from>
      <cdr:x>0.78834</cdr:x>
      <cdr:y>0.07265</cdr:y>
    </cdr:from>
    <cdr:to>
      <cdr:x>1</cdr:x>
      <cdr:y>0.12361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32824F60-7A06-43C8-C0FE-8413AF58EEEF}"/>
            </a:ext>
          </a:extLst>
        </cdr:cNvPr>
        <cdr:cNvSpPr txBox="1"/>
      </cdr:nvSpPr>
      <cdr:spPr>
        <a:xfrm xmlns:a="http://schemas.openxmlformats.org/drawingml/2006/main">
          <a:off x="6645720" y="488950"/>
          <a:ext cx="17843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%, inverted</a:t>
          </a:r>
        </a:p>
      </cdr:txBody>
    </cdr:sp>
  </cdr:relSizeAnchor>
  <cdr:relSizeAnchor xmlns:cdr="http://schemas.openxmlformats.org/drawingml/2006/chartDrawing">
    <cdr:from>
      <cdr:x>0.09379</cdr:x>
      <cdr:y>0.78359</cdr:y>
    </cdr:from>
    <cdr:to>
      <cdr:x>0.56271</cdr:x>
      <cdr:y>0.84441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AF9E192F-FB67-975D-458C-6875608A98CC}"/>
            </a:ext>
          </a:extLst>
        </cdr:cNvPr>
        <cdr:cNvSpPr txBox="1"/>
      </cdr:nvSpPr>
      <cdr:spPr>
        <a:xfrm xmlns:a="http://schemas.openxmlformats.org/drawingml/2006/main">
          <a:off x="790575" y="5276850"/>
          <a:ext cx="3952875" cy="4095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* average rate on a new</a:t>
          </a:r>
          <a:r>
            <a:rPr lang="en-GB" sz="18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mortgage</a:t>
          </a:r>
          <a:endParaRPr lang="en-GB" sz="18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2C44B1-13E3-B6B6-1D7B-7E4508D34B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7F5E0D2-C794-444F-BEB7-9BF9CF705EF8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Mortgage approvals &amp; interest rates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B3B0A611-67BD-2DB2-16DF-ADAD0C1C252D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0.00452</cdr:x>
      <cdr:y>0.07265</cdr:y>
    </cdr:from>
    <cdr:to>
      <cdr:x>0.1096</cdr:x>
      <cdr:y>0.12361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AD35B37E-F49D-E063-A2AE-F4CB8F437B42}"/>
            </a:ext>
          </a:extLst>
        </cdr:cNvPr>
        <cdr:cNvSpPr txBox="1"/>
      </cdr:nvSpPr>
      <cdr:spPr>
        <a:xfrm xmlns:a="http://schemas.openxmlformats.org/drawingml/2006/main">
          <a:off x="38100" y="488950"/>
          <a:ext cx="88582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000s</a:t>
          </a:r>
        </a:p>
      </cdr:txBody>
    </cdr:sp>
  </cdr:relSizeAnchor>
  <cdr:relSizeAnchor xmlns:cdr="http://schemas.openxmlformats.org/drawingml/2006/chartDrawing">
    <cdr:from>
      <cdr:x>0.78834</cdr:x>
      <cdr:y>0.07265</cdr:y>
    </cdr:from>
    <cdr:to>
      <cdr:x>1</cdr:x>
      <cdr:y>0.12361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32824F60-7A06-43C8-C0FE-8413AF58EEEF}"/>
            </a:ext>
          </a:extLst>
        </cdr:cNvPr>
        <cdr:cNvSpPr txBox="1"/>
      </cdr:nvSpPr>
      <cdr:spPr>
        <a:xfrm xmlns:a="http://schemas.openxmlformats.org/drawingml/2006/main">
          <a:off x="6645720" y="488950"/>
          <a:ext cx="17843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%, inverted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30070" cy="672981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18DB8E-36B1-6E6A-E9BA-74BB6281593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E81C952-84D1-6EBB-2C8C-44FDCAADDAFA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BoE Decision Maker Panel - price and wage growth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016869F-3899-2EE8-6054-9CAF3E02F49A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0.00565</cdr:x>
      <cdr:y>0.07124</cdr:y>
    </cdr:from>
    <cdr:to>
      <cdr:x>0.22598</cdr:x>
      <cdr:y>0.12219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9487EA91-B00E-0956-D346-9FE88BA9737E}"/>
            </a:ext>
          </a:extLst>
        </cdr:cNvPr>
        <cdr:cNvSpPr txBox="1"/>
      </cdr:nvSpPr>
      <cdr:spPr>
        <a:xfrm xmlns:a="http://schemas.openxmlformats.org/drawingml/2006/main">
          <a:off x="47624" y="479425"/>
          <a:ext cx="185737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year, 3mma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5D99-69B3-426D-8B34-D02FBDCAE63B}">
  <dimension ref="A1:V92"/>
  <sheetViews>
    <sheetView workbookViewId="0">
      <pane ySplit="2" topLeftCell="A58" activePane="bottomLeft" state="frozen"/>
      <selection pane="bottomLeft" activeCell="Q89" sqref="Q89"/>
    </sheetView>
  </sheetViews>
  <sheetFormatPr defaultRowHeight="15" x14ac:dyDescent="0.25"/>
  <cols>
    <col min="1" max="1" width="10.7109375" bestFit="1" customWidth="1"/>
    <col min="4" max="4" width="2.7109375" customWidth="1"/>
    <col min="5" max="5" width="10.7109375" bestFit="1" customWidth="1"/>
    <col min="8" max="8" width="2.7109375" customWidth="1"/>
    <col min="9" max="9" width="10.7109375" bestFit="1" customWidth="1"/>
    <col min="12" max="12" width="2.7109375" customWidth="1"/>
    <col min="13" max="13" width="10.7109375" bestFit="1" customWidth="1"/>
  </cols>
  <sheetData>
    <row r="1" spans="1:17" x14ac:dyDescent="0.25">
      <c r="A1" s="7" t="s">
        <v>326</v>
      </c>
      <c r="E1" s="7" t="s">
        <v>326</v>
      </c>
      <c r="I1" s="7" t="s">
        <v>326</v>
      </c>
      <c r="M1" s="7" t="s">
        <v>338</v>
      </c>
    </row>
    <row r="2" spans="1:17" x14ac:dyDescent="0.25">
      <c r="B2" t="s">
        <v>327</v>
      </c>
      <c r="C2" t="s">
        <v>328</v>
      </c>
      <c r="F2" t="s">
        <v>327</v>
      </c>
      <c r="G2" t="s">
        <v>343</v>
      </c>
      <c r="J2" t="s">
        <v>327</v>
      </c>
      <c r="K2" t="s">
        <v>344</v>
      </c>
      <c r="N2" t="s">
        <v>339</v>
      </c>
      <c r="O2" t="s">
        <v>340</v>
      </c>
      <c r="P2" t="s">
        <v>341</v>
      </c>
      <c r="Q2" t="s">
        <v>342</v>
      </c>
    </row>
    <row r="3" spans="1:17" x14ac:dyDescent="0.25">
      <c r="A3" s="8">
        <v>43101</v>
      </c>
      <c r="B3" s="3">
        <f>HAVER!B223</f>
        <v>65812</v>
      </c>
      <c r="C3" s="4">
        <f>HAVER!C223</f>
        <v>2.02</v>
      </c>
      <c r="E3" s="8">
        <v>43101</v>
      </c>
      <c r="F3" s="3">
        <f>HAVER!B223</f>
        <v>65812</v>
      </c>
      <c r="G3" s="4">
        <f>HAVER!G222</f>
        <v>1.57</v>
      </c>
      <c r="I3" s="8">
        <v>43101</v>
      </c>
      <c r="J3" s="3">
        <f>HAVER!B223</f>
        <v>65812</v>
      </c>
      <c r="K3" s="4">
        <f>HAVER!H222</f>
        <v>2.0699999999999998</v>
      </c>
      <c r="M3" s="8">
        <v>42736</v>
      </c>
      <c r="N3" s="5" t="e">
        <f>AVERAGE(HAVER!I209:I211)</f>
        <v>#N/A</v>
      </c>
      <c r="O3" s="5" t="e">
        <f>AVERAGE(HAVER!J209:J211)</f>
        <v>#N/A</v>
      </c>
      <c r="P3" s="5"/>
      <c r="Q3" s="5"/>
    </row>
    <row r="4" spans="1:17" x14ac:dyDescent="0.25">
      <c r="A4" s="8">
        <v>43132</v>
      </c>
      <c r="B4" s="3">
        <f>HAVER!B224</f>
        <v>63030</v>
      </c>
      <c r="C4" s="4">
        <f>HAVER!C224</f>
        <v>2.04</v>
      </c>
      <c r="E4" s="8">
        <v>43132</v>
      </c>
      <c r="F4" s="3">
        <f>HAVER!B224</f>
        <v>63030</v>
      </c>
      <c r="G4" s="4">
        <f>HAVER!G223</f>
        <v>1.54</v>
      </c>
      <c r="I4" s="8">
        <v>43132</v>
      </c>
      <c r="J4" s="3">
        <f>HAVER!B224</f>
        <v>63030</v>
      </c>
      <c r="K4" s="4">
        <f>HAVER!H223</f>
        <v>1.98</v>
      </c>
      <c r="M4" s="8">
        <v>42767</v>
      </c>
      <c r="N4" s="5" t="e">
        <f>AVERAGE(HAVER!I210:I212)</f>
        <v>#N/A</v>
      </c>
      <c r="O4" s="5" t="e">
        <f>AVERAGE(HAVER!J210:J212)</f>
        <v>#N/A</v>
      </c>
      <c r="P4" s="5"/>
      <c r="Q4" s="5"/>
    </row>
    <row r="5" spans="1:17" x14ac:dyDescent="0.25">
      <c r="A5" s="8">
        <v>43160</v>
      </c>
      <c r="B5" s="3">
        <f>HAVER!B225</f>
        <v>63068</v>
      </c>
      <c r="C5" s="4">
        <f>HAVER!C225</f>
        <v>2.0499999999999998</v>
      </c>
      <c r="E5" s="8">
        <v>43160</v>
      </c>
      <c r="F5" s="3">
        <f>HAVER!B225</f>
        <v>63068</v>
      </c>
      <c r="G5" s="4">
        <f>HAVER!G224</f>
        <v>1.49</v>
      </c>
      <c r="I5" s="8">
        <v>43160</v>
      </c>
      <c r="J5" s="3">
        <f>HAVER!B225</f>
        <v>63068</v>
      </c>
      <c r="K5" s="4">
        <f>HAVER!H224</f>
        <v>1.99</v>
      </c>
      <c r="M5" s="8">
        <v>42795</v>
      </c>
      <c r="N5" s="5">
        <f>AVERAGE(HAVER!I211:I213)</f>
        <v>2.5</v>
      </c>
      <c r="O5" s="5">
        <f>AVERAGE(HAVER!J211:J213)</f>
        <v>2.5666666666666669</v>
      </c>
      <c r="P5" s="5"/>
      <c r="Q5" s="5"/>
    </row>
    <row r="6" spans="1:17" x14ac:dyDescent="0.25">
      <c r="A6" s="8">
        <v>43191</v>
      </c>
      <c r="B6" s="3">
        <f>HAVER!B226</f>
        <v>63277</v>
      </c>
      <c r="C6" s="4">
        <f>HAVER!C226</f>
        <v>2.08</v>
      </c>
      <c r="E6" s="8">
        <v>43191</v>
      </c>
      <c r="F6" s="3">
        <f>HAVER!B226</f>
        <v>63277</v>
      </c>
      <c r="G6" s="4">
        <f>HAVER!G225</f>
        <v>1.53</v>
      </c>
      <c r="I6" s="8">
        <v>43191</v>
      </c>
      <c r="J6" s="3">
        <f>HAVER!B226</f>
        <v>63277</v>
      </c>
      <c r="K6" s="4">
        <f>HAVER!H225</f>
        <v>2.02</v>
      </c>
      <c r="M6" s="8">
        <v>42826</v>
      </c>
      <c r="N6" s="5">
        <f>AVERAGE(HAVER!I212:I214)</f>
        <v>2.7333333333333329</v>
      </c>
      <c r="O6" s="5">
        <f>AVERAGE(HAVER!J212:J214)</f>
        <v>2.6333333333333333</v>
      </c>
      <c r="P6" s="5"/>
      <c r="Q6" s="5"/>
    </row>
    <row r="7" spans="1:17" x14ac:dyDescent="0.25">
      <c r="A7" s="8">
        <v>43221</v>
      </c>
      <c r="B7" s="3">
        <f>HAVER!B227</f>
        <v>64951</v>
      </c>
      <c r="C7" s="4">
        <f>HAVER!C227</f>
        <v>2.1</v>
      </c>
      <c r="E7" s="8">
        <v>43221</v>
      </c>
      <c r="F7" s="3">
        <f>HAVER!B227</f>
        <v>64951</v>
      </c>
      <c r="G7" s="4">
        <f>HAVER!G226</f>
        <v>1.72</v>
      </c>
      <c r="I7" s="8">
        <v>43221</v>
      </c>
      <c r="J7" s="3">
        <f>HAVER!B227</f>
        <v>64951</v>
      </c>
      <c r="K7" s="4">
        <f>HAVER!H226</f>
        <v>2.0099999999999998</v>
      </c>
      <c r="M7" s="8">
        <v>42856</v>
      </c>
      <c r="N7" s="5">
        <f>AVERAGE(HAVER!I213:I215)</f>
        <v>2.8666666666666667</v>
      </c>
      <c r="O7" s="5">
        <f>AVERAGE(HAVER!J213:J215)</f>
        <v>2.7333333333333329</v>
      </c>
      <c r="P7" s="5"/>
      <c r="Q7" s="5"/>
    </row>
    <row r="8" spans="1:17" x14ac:dyDescent="0.25">
      <c r="A8" s="8">
        <v>43252</v>
      </c>
      <c r="B8" s="3">
        <f>HAVER!B228</f>
        <v>65778</v>
      </c>
      <c r="C8" s="4">
        <f>HAVER!C228</f>
        <v>2.11</v>
      </c>
      <c r="E8" s="8">
        <v>43252</v>
      </c>
      <c r="F8" s="3">
        <f>HAVER!B228</f>
        <v>65778</v>
      </c>
      <c r="G8" s="4">
        <f>HAVER!G227</f>
        <v>1.74</v>
      </c>
      <c r="I8" s="8">
        <v>43252</v>
      </c>
      <c r="J8" s="3">
        <f>HAVER!B228</f>
        <v>65778</v>
      </c>
      <c r="K8" s="4">
        <f>HAVER!H227</f>
        <v>2.06</v>
      </c>
      <c r="M8" s="8">
        <v>42887</v>
      </c>
      <c r="N8" s="5">
        <f>AVERAGE(HAVER!I214:I216)</f>
        <v>3.1</v>
      </c>
      <c r="O8" s="5">
        <f>AVERAGE(HAVER!J214:J216)</f>
        <v>2.9333333333333331</v>
      </c>
      <c r="P8" s="5"/>
      <c r="Q8" s="5"/>
    </row>
    <row r="9" spans="1:17" x14ac:dyDescent="0.25">
      <c r="A9" s="8">
        <v>43282</v>
      </c>
      <c r="B9" s="3">
        <f>HAVER!B229</f>
        <v>64875</v>
      </c>
      <c r="C9" s="4">
        <f>HAVER!C229</f>
        <v>2.09</v>
      </c>
      <c r="E9" s="8">
        <v>43282</v>
      </c>
      <c r="F9" s="3">
        <f>HAVER!B229</f>
        <v>64875</v>
      </c>
      <c r="G9" s="4">
        <f>HAVER!G228</f>
        <v>1.74</v>
      </c>
      <c r="I9" s="8">
        <v>43282</v>
      </c>
      <c r="J9" s="3">
        <f>HAVER!B229</f>
        <v>64875</v>
      </c>
      <c r="K9" s="4">
        <f>HAVER!H228</f>
        <v>2.0299999999999998</v>
      </c>
      <c r="M9" s="8">
        <v>42917</v>
      </c>
      <c r="N9" s="5">
        <f>AVERAGE(HAVER!I215:I217)</f>
        <v>2.9333333333333336</v>
      </c>
      <c r="O9" s="5">
        <f>AVERAGE(HAVER!J215:J217)</f>
        <v>2.9666666666666668</v>
      </c>
      <c r="P9" s="5"/>
      <c r="Q9" s="5"/>
    </row>
    <row r="10" spans="1:17" x14ac:dyDescent="0.25">
      <c r="A10" s="8">
        <v>43313</v>
      </c>
      <c r="B10" s="3">
        <f>HAVER!B230</f>
        <v>66803</v>
      </c>
      <c r="C10" s="4">
        <f>HAVER!C230</f>
        <v>2.11</v>
      </c>
      <c r="E10" s="8">
        <v>43313</v>
      </c>
      <c r="F10" s="3">
        <f>HAVER!B230</f>
        <v>66803</v>
      </c>
      <c r="G10" s="4">
        <f>HAVER!G229</f>
        <v>1.75</v>
      </c>
      <c r="I10" s="8">
        <v>43313</v>
      </c>
      <c r="J10" s="3">
        <f>HAVER!B230</f>
        <v>66803</v>
      </c>
      <c r="K10" s="4">
        <f>HAVER!H229</f>
        <v>2.04</v>
      </c>
      <c r="M10" s="8">
        <v>42948</v>
      </c>
      <c r="N10" s="5">
        <f>AVERAGE(HAVER!I216:I218)</f>
        <v>3.1666666666666665</v>
      </c>
      <c r="O10" s="5">
        <f>AVERAGE(HAVER!J216:J218)</f>
        <v>3.0333333333333332</v>
      </c>
      <c r="P10" s="5"/>
      <c r="Q10" s="5"/>
    </row>
    <row r="11" spans="1:17" x14ac:dyDescent="0.25">
      <c r="A11" s="8">
        <v>43344</v>
      </c>
      <c r="B11" s="3">
        <f>HAVER!B231</f>
        <v>66132</v>
      </c>
      <c r="C11" s="4">
        <f>HAVER!C231</f>
        <v>2.1</v>
      </c>
      <c r="E11" s="8">
        <v>43344</v>
      </c>
      <c r="F11" s="3">
        <f>HAVER!B231</f>
        <v>66132</v>
      </c>
      <c r="G11" s="4">
        <f>HAVER!G230</f>
        <v>1.75</v>
      </c>
      <c r="I11" s="8">
        <v>43344</v>
      </c>
      <c r="J11" s="3">
        <f>HAVER!B231</f>
        <v>66132</v>
      </c>
      <c r="K11" s="4">
        <f>HAVER!H230</f>
        <v>2.0299999999999998</v>
      </c>
      <c r="M11" s="8">
        <v>42979</v>
      </c>
      <c r="N11" s="5">
        <f>AVERAGE(HAVER!I217:I219)</f>
        <v>3.1</v>
      </c>
      <c r="O11" s="5">
        <f>AVERAGE(HAVER!J217:J219)</f>
        <v>3.0333333333333332</v>
      </c>
      <c r="P11" s="5"/>
      <c r="Q11" s="5"/>
    </row>
    <row r="12" spans="1:17" x14ac:dyDescent="0.25">
      <c r="A12" s="8">
        <v>43374</v>
      </c>
      <c r="B12" s="3">
        <f>HAVER!B232</f>
        <v>68298</v>
      </c>
      <c r="C12" s="4">
        <f>HAVER!C232</f>
        <v>2.12</v>
      </c>
      <c r="E12" s="8">
        <v>43374</v>
      </c>
      <c r="F12" s="3">
        <f>HAVER!B232</f>
        <v>68298</v>
      </c>
      <c r="G12" s="4">
        <f>HAVER!G231</f>
        <v>1.71</v>
      </c>
      <c r="I12" s="8">
        <v>43374</v>
      </c>
      <c r="J12" s="3">
        <f>HAVER!B232</f>
        <v>68298</v>
      </c>
      <c r="K12" s="4">
        <f>HAVER!H231</f>
        <v>2.0099999999999998</v>
      </c>
      <c r="M12" s="8">
        <v>43009</v>
      </c>
      <c r="N12" s="5">
        <f>AVERAGE(HAVER!I218:I220)</f>
        <v>2.8333333333333335</v>
      </c>
      <c r="O12" s="5">
        <f>AVERAGE(HAVER!J218:J220)</f>
        <v>3</v>
      </c>
      <c r="P12" s="5"/>
      <c r="Q12" s="5"/>
    </row>
    <row r="13" spans="1:17" x14ac:dyDescent="0.25">
      <c r="A13" s="8">
        <v>43405</v>
      </c>
      <c r="B13" s="3">
        <f>HAVER!B233</f>
        <v>65023</v>
      </c>
      <c r="C13" s="4">
        <f>HAVER!C233</f>
        <v>2.13</v>
      </c>
      <c r="E13" s="8">
        <v>43405</v>
      </c>
      <c r="F13" s="3">
        <f>HAVER!B233</f>
        <v>65023</v>
      </c>
      <c r="G13" s="4">
        <f>HAVER!G232</f>
        <v>1.8</v>
      </c>
      <c r="I13" s="8">
        <v>43405</v>
      </c>
      <c r="J13" s="3">
        <f>HAVER!B233</f>
        <v>65023</v>
      </c>
      <c r="K13" s="4">
        <f>HAVER!H232</f>
        <v>2.06</v>
      </c>
      <c r="M13" s="8">
        <v>43040</v>
      </c>
      <c r="N13" s="5">
        <f>AVERAGE(HAVER!I219:I221)</f>
        <v>2.7333333333333329</v>
      </c>
      <c r="O13" s="5">
        <f>AVERAGE(HAVER!J219:J221)</f>
        <v>2.8666666666666671</v>
      </c>
      <c r="P13" s="5"/>
      <c r="Q13" s="5"/>
    </row>
    <row r="14" spans="1:17" x14ac:dyDescent="0.25">
      <c r="A14" s="8">
        <v>43435</v>
      </c>
      <c r="B14" s="3">
        <f>HAVER!B234</f>
        <v>64398</v>
      </c>
      <c r="C14" s="4">
        <f>HAVER!C234</f>
        <v>2.14</v>
      </c>
      <c r="E14" s="8">
        <v>43435</v>
      </c>
      <c r="F14" s="3">
        <f>HAVER!B234</f>
        <v>64398</v>
      </c>
      <c r="G14" s="4">
        <f>HAVER!G233</f>
        <v>1.75</v>
      </c>
      <c r="I14" s="8">
        <v>43435</v>
      </c>
      <c r="J14" s="3">
        <f>HAVER!B234</f>
        <v>64398</v>
      </c>
      <c r="K14" s="4">
        <f>HAVER!H233</f>
        <v>2.02</v>
      </c>
      <c r="M14" s="8">
        <v>43070</v>
      </c>
      <c r="N14" s="5">
        <f>AVERAGE(HAVER!I220:I222)</f>
        <v>2.8666666666666667</v>
      </c>
      <c r="O14" s="5">
        <f>AVERAGE(HAVER!J220:J222)</f>
        <v>2.8000000000000003</v>
      </c>
      <c r="P14" s="5"/>
      <c r="Q14" s="5"/>
    </row>
    <row r="15" spans="1:17" x14ac:dyDescent="0.25">
      <c r="A15" s="8">
        <v>43466</v>
      </c>
      <c r="B15" s="3">
        <f>HAVER!B235</f>
        <v>65190</v>
      </c>
      <c r="C15" s="4">
        <f>HAVER!C235</f>
        <v>2.09</v>
      </c>
      <c r="E15" s="8">
        <v>43466</v>
      </c>
      <c r="F15" s="3">
        <f>HAVER!B235</f>
        <v>65190</v>
      </c>
      <c r="G15" s="4">
        <f>HAVER!G234</f>
        <v>1.73</v>
      </c>
      <c r="I15" s="8">
        <v>43466</v>
      </c>
      <c r="J15" s="3">
        <f>HAVER!B235</f>
        <v>65190</v>
      </c>
      <c r="K15" s="4">
        <f>HAVER!H234</f>
        <v>2.0099999999999998</v>
      </c>
      <c r="M15" s="8">
        <v>43101</v>
      </c>
      <c r="N15" s="5">
        <f>AVERAGE(HAVER!I221:I223)</f>
        <v>2.9333333333333331</v>
      </c>
      <c r="O15" s="5">
        <f>AVERAGE(HAVER!J221:J223)</f>
        <v>2.8333333333333335</v>
      </c>
      <c r="P15" s="5"/>
      <c r="Q15" s="5"/>
    </row>
    <row r="16" spans="1:17" x14ac:dyDescent="0.25">
      <c r="A16" s="8">
        <v>43497</v>
      </c>
      <c r="B16" s="3">
        <f>HAVER!B236</f>
        <v>64221</v>
      </c>
      <c r="C16" s="4">
        <f>HAVER!C236</f>
        <v>2.09</v>
      </c>
      <c r="E16" s="8">
        <v>43497</v>
      </c>
      <c r="F16" s="3">
        <f>HAVER!B236</f>
        <v>64221</v>
      </c>
      <c r="G16" s="4">
        <f>HAVER!G235</f>
        <v>1.72</v>
      </c>
      <c r="I16" s="8">
        <v>43497</v>
      </c>
      <c r="J16" s="3">
        <f>HAVER!B236</f>
        <v>64221</v>
      </c>
      <c r="K16" s="4">
        <f>HAVER!H235</f>
        <v>2.0499999999999998</v>
      </c>
      <c r="M16" s="8">
        <v>43132</v>
      </c>
      <c r="N16" s="5">
        <f>AVERAGE(HAVER!I222:I224)</f>
        <v>2.9666666666666668</v>
      </c>
      <c r="O16" s="5">
        <f>AVERAGE(HAVER!J222:J224)</f>
        <v>2.9333333333333336</v>
      </c>
      <c r="P16" s="5"/>
      <c r="Q16" s="5"/>
    </row>
    <row r="17" spans="1:17" x14ac:dyDescent="0.25">
      <c r="A17" s="8">
        <v>43525</v>
      </c>
      <c r="B17" s="3">
        <f>HAVER!B237</f>
        <v>62167</v>
      </c>
      <c r="C17" s="4">
        <f>HAVER!C237</f>
        <v>2.1</v>
      </c>
      <c r="E17" s="8">
        <v>43525</v>
      </c>
      <c r="F17" s="3">
        <f>HAVER!B237</f>
        <v>62167</v>
      </c>
      <c r="G17" s="4">
        <f>HAVER!G236</f>
        <v>1.7</v>
      </c>
      <c r="I17" s="8">
        <v>43525</v>
      </c>
      <c r="J17" s="3">
        <f>HAVER!B237</f>
        <v>62167</v>
      </c>
      <c r="K17" s="4">
        <f>HAVER!H236</f>
        <v>2.0499999999999998</v>
      </c>
      <c r="M17" s="8">
        <v>43160</v>
      </c>
      <c r="N17" s="5">
        <f>AVERAGE(HAVER!I223:I225)</f>
        <v>2.8666666666666667</v>
      </c>
      <c r="O17" s="5">
        <f>AVERAGE(HAVER!J223:J225)</f>
        <v>2.9</v>
      </c>
      <c r="P17" s="5"/>
      <c r="Q17" s="5"/>
    </row>
    <row r="18" spans="1:17" x14ac:dyDescent="0.25">
      <c r="A18" s="8">
        <v>43556</v>
      </c>
      <c r="B18" s="3">
        <f>HAVER!B238</f>
        <v>65674</v>
      </c>
      <c r="C18" s="4">
        <f>HAVER!C238</f>
        <v>2.08</v>
      </c>
      <c r="E18" s="8">
        <v>43556</v>
      </c>
      <c r="F18" s="3">
        <f>HAVER!B238</f>
        <v>65674</v>
      </c>
      <c r="G18" s="4">
        <f>HAVER!G237</f>
        <v>1.7</v>
      </c>
      <c r="I18" s="8">
        <v>43556</v>
      </c>
      <c r="J18" s="3">
        <f>HAVER!B238</f>
        <v>65674</v>
      </c>
      <c r="K18" s="4">
        <f>HAVER!H237</f>
        <v>2.0299999999999998</v>
      </c>
      <c r="M18" s="8">
        <v>43191</v>
      </c>
      <c r="N18" s="5">
        <f>AVERAGE(HAVER!I224:I226)</f>
        <v>2.9333333333333336</v>
      </c>
      <c r="O18" s="5">
        <f>AVERAGE(HAVER!J224:J226)</f>
        <v>2.9</v>
      </c>
      <c r="P18" s="5"/>
      <c r="Q18" s="5"/>
    </row>
    <row r="19" spans="1:17" x14ac:dyDescent="0.25">
      <c r="A19" s="8">
        <v>43586</v>
      </c>
      <c r="B19" s="3">
        <f>HAVER!B239</f>
        <v>65315</v>
      </c>
      <c r="C19" s="4">
        <f>HAVER!C239</f>
        <v>2.08</v>
      </c>
      <c r="E19" s="8">
        <v>43586</v>
      </c>
      <c r="F19" s="3">
        <f>HAVER!B239</f>
        <v>65315</v>
      </c>
      <c r="G19" s="4">
        <f>HAVER!G238</f>
        <v>1.66</v>
      </c>
      <c r="I19" s="8">
        <v>43586</v>
      </c>
      <c r="J19" s="3">
        <f>HAVER!B239</f>
        <v>65315</v>
      </c>
      <c r="K19" s="4">
        <f>HAVER!H238</f>
        <v>2</v>
      </c>
      <c r="M19" s="8">
        <v>43221</v>
      </c>
      <c r="N19" s="5">
        <f>AVERAGE(HAVER!I225:I227)</f>
        <v>2.7666666666666671</v>
      </c>
      <c r="O19" s="5">
        <f>AVERAGE(HAVER!J225:J227)</f>
        <v>2.8333333333333335</v>
      </c>
      <c r="P19" s="5"/>
      <c r="Q19" s="5"/>
    </row>
    <row r="20" spans="1:17" x14ac:dyDescent="0.25">
      <c r="A20" s="8">
        <v>43617</v>
      </c>
      <c r="B20" s="3">
        <f>HAVER!B240</f>
        <v>66436</v>
      </c>
      <c r="C20" s="4">
        <f>HAVER!C240</f>
        <v>2.02</v>
      </c>
      <c r="E20" s="8">
        <v>43617</v>
      </c>
      <c r="F20" s="3">
        <f>HAVER!B240</f>
        <v>66436</v>
      </c>
      <c r="G20" s="4">
        <f>HAVER!G239</f>
        <v>1.65</v>
      </c>
      <c r="I20" s="8">
        <v>43617</v>
      </c>
      <c r="J20" s="3">
        <f>HAVER!B240</f>
        <v>66436</v>
      </c>
      <c r="K20" s="4">
        <f>HAVER!H239</f>
        <v>1.99</v>
      </c>
      <c r="M20" s="8">
        <v>43252</v>
      </c>
      <c r="N20" s="5">
        <f>AVERAGE(HAVER!I226:I228)</f>
        <v>2.8333333333333335</v>
      </c>
      <c r="O20" s="5">
        <f>AVERAGE(HAVER!J226:J228)</f>
        <v>2.8333333333333335</v>
      </c>
      <c r="P20" s="5"/>
      <c r="Q20" s="5"/>
    </row>
    <row r="21" spans="1:17" x14ac:dyDescent="0.25">
      <c r="A21" s="8">
        <v>43647</v>
      </c>
      <c r="B21" s="3">
        <f>HAVER!B241</f>
        <v>67285</v>
      </c>
      <c r="C21" s="4">
        <f>HAVER!C241</f>
        <v>2.0299999999999998</v>
      </c>
      <c r="E21" s="8">
        <v>43647</v>
      </c>
      <c r="F21" s="3">
        <f>HAVER!B241</f>
        <v>67285</v>
      </c>
      <c r="G21" s="4">
        <f>HAVER!G240</f>
        <v>1.64</v>
      </c>
      <c r="I21" s="8">
        <v>43647</v>
      </c>
      <c r="J21" s="3">
        <f>HAVER!B241</f>
        <v>67285</v>
      </c>
      <c r="K21" s="4">
        <f>HAVER!H240</f>
        <v>1.97</v>
      </c>
      <c r="M21" s="8">
        <v>43282</v>
      </c>
      <c r="N21" s="5">
        <f>AVERAGE(HAVER!I227:I229)</f>
        <v>2.6666666666666665</v>
      </c>
      <c r="O21" s="5">
        <f>AVERAGE(HAVER!J227:J229)</f>
        <v>2.7666666666666671</v>
      </c>
      <c r="P21" s="5"/>
      <c r="Q21" s="5"/>
    </row>
    <row r="22" spans="1:17" x14ac:dyDescent="0.25">
      <c r="A22" s="8">
        <v>43678</v>
      </c>
      <c r="B22" s="3">
        <f>HAVER!B242</f>
        <v>66193</v>
      </c>
      <c r="C22" s="4">
        <f>HAVER!C242</f>
        <v>2.04</v>
      </c>
      <c r="E22" s="8">
        <v>43678</v>
      </c>
      <c r="F22" s="3">
        <f>HAVER!B242</f>
        <v>66193</v>
      </c>
      <c r="G22" s="4">
        <f>HAVER!G241</f>
        <v>1.61</v>
      </c>
      <c r="I22" s="8">
        <v>43678</v>
      </c>
      <c r="J22" s="3">
        <f>HAVER!B242</f>
        <v>66193</v>
      </c>
      <c r="K22" s="4">
        <f>HAVER!H241</f>
        <v>1.93</v>
      </c>
      <c r="M22" s="8">
        <v>43313</v>
      </c>
      <c r="N22" s="5">
        <f>AVERAGE(HAVER!I228:I230)</f>
        <v>2.6333333333333333</v>
      </c>
      <c r="O22" s="5">
        <f>AVERAGE(HAVER!J228:J230)</f>
        <v>2.6999999999999997</v>
      </c>
      <c r="P22" s="5"/>
      <c r="Q22" s="5"/>
    </row>
    <row r="23" spans="1:17" x14ac:dyDescent="0.25">
      <c r="A23" s="8">
        <v>43709</v>
      </c>
      <c r="B23" s="3">
        <f>HAVER!B243</f>
        <v>66379</v>
      </c>
      <c r="C23" s="4">
        <f>HAVER!C243</f>
        <v>2</v>
      </c>
      <c r="E23" s="8">
        <v>43709</v>
      </c>
      <c r="F23" s="3">
        <f>HAVER!B243</f>
        <v>66379</v>
      </c>
      <c r="G23" s="4">
        <f>HAVER!G242</f>
        <v>1.59</v>
      </c>
      <c r="I23" s="8">
        <v>43709</v>
      </c>
      <c r="J23" s="3">
        <f>HAVER!B243</f>
        <v>66379</v>
      </c>
      <c r="K23" s="4">
        <f>HAVER!H242</f>
        <v>1.89</v>
      </c>
      <c r="M23" s="8">
        <v>43344</v>
      </c>
      <c r="N23" s="5">
        <f>AVERAGE(HAVER!I229:I231)</f>
        <v>2.5</v>
      </c>
      <c r="O23" s="5">
        <f>AVERAGE(HAVER!J229:J231)</f>
        <v>2.6</v>
      </c>
      <c r="P23" s="5"/>
      <c r="Q23" s="5"/>
    </row>
    <row r="24" spans="1:17" x14ac:dyDescent="0.25">
      <c r="A24" s="8">
        <v>43739</v>
      </c>
      <c r="B24" s="3">
        <f>HAVER!B244</f>
        <v>66581</v>
      </c>
      <c r="C24" s="4">
        <f>HAVER!C244</f>
        <v>1.96</v>
      </c>
      <c r="E24" s="8">
        <v>43739</v>
      </c>
      <c r="F24" s="3">
        <f>HAVER!B244</f>
        <v>66581</v>
      </c>
      <c r="G24" s="4">
        <f>HAVER!G243</f>
        <v>1.55</v>
      </c>
      <c r="I24" s="8">
        <v>43739</v>
      </c>
      <c r="J24" s="3">
        <f>HAVER!B244</f>
        <v>66581</v>
      </c>
      <c r="K24" s="4">
        <f>HAVER!H243</f>
        <v>1.79</v>
      </c>
      <c r="M24" s="8">
        <v>43374</v>
      </c>
      <c r="N24" s="5">
        <f>AVERAGE(HAVER!I230:I232)</f>
        <v>2.4333333333333331</v>
      </c>
      <c r="O24" s="5">
        <f>AVERAGE(HAVER!J230:J232)</f>
        <v>2.5</v>
      </c>
      <c r="P24" s="5"/>
      <c r="Q24" s="5"/>
    </row>
    <row r="25" spans="1:17" x14ac:dyDescent="0.25">
      <c r="A25" s="8">
        <v>43770</v>
      </c>
      <c r="B25" s="3">
        <f>HAVER!B245</f>
        <v>66652</v>
      </c>
      <c r="C25" s="4">
        <f>HAVER!C245</f>
        <v>1.87</v>
      </c>
      <c r="E25" s="8">
        <v>43770</v>
      </c>
      <c r="F25" s="3">
        <f>HAVER!B245</f>
        <v>66652</v>
      </c>
      <c r="G25" s="4">
        <f>HAVER!G244</f>
        <v>1.47</v>
      </c>
      <c r="I25" s="8">
        <v>43770</v>
      </c>
      <c r="J25" s="3">
        <f>HAVER!B245</f>
        <v>66652</v>
      </c>
      <c r="K25" s="4">
        <f>HAVER!H244</f>
        <v>1.71</v>
      </c>
      <c r="M25" s="8">
        <v>43405</v>
      </c>
      <c r="N25" s="5">
        <f>AVERAGE(HAVER!I231:I233)</f>
        <v>2.5333333333333332</v>
      </c>
      <c r="O25" s="5">
        <f>AVERAGE(HAVER!J231:J233)</f>
        <v>2.4666666666666668</v>
      </c>
      <c r="P25" s="5"/>
      <c r="Q25" s="5"/>
    </row>
    <row r="26" spans="1:17" x14ac:dyDescent="0.25">
      <c r="A26" s="8">
        <v>43800</v>
      </c>
      <c r="B26" s="3">
        <f>HAVER!B246</f>
        <v>67528</v>
      </c>
      <c r="C26" s="4">
        <f>HAVER!C246</f>
        <v>1.88</v>
      </c>
      <c r="E26" s="8">
        <v>43800</v>
      </c>
      <c r="F26" s="3">
        <f>HAVER!B246</f>
        <v>67528</v>
      </c>
      <c r="G26" s="4">
        <f>HAVER!G245</f>
        <v>1.41</v>
      </c>
      <c r="I26" s="8">
        <v>43800</v>
      </c>
      <c r="J26" s="3">
        <f>HAVER!B246</f>
        <v>67528</v>
      </c>
      <c r="K26" s="4">
        <f>HAVER!H245</f>
        <v>1.67</v>
      </c>
      <c r="M26" s="8">
        <v>43435</v>
      </c>
      <c r="N26" s="5">
        <f>AVERAGE(HAVER!I232:I234)</f>
        <v>2.4666666666666668</v>
      </c>
      <c r="O26" s="5">
        <f>AVERAGE(HAVER!J232:J234)</f>
        <v>2.4333333333333336</v>
      </c>
      <c r="P26" s="5"/>
      <c r="Q26" s="5"/>
    </row>
    <row r="27" spans="1:17" x14ac:dyDescent="0.25">
      <c r="A27" s="8">
        <v>43831</v>
      </c>
      <c r="B27" s="3">
        <f>HAVER!B247</f>
        <v>69499</v>
      </c>
      <c r="C27" s="4">
        <f>HAVER!C247</f>
        <v>1.85</v>
      </c>
      <c r="E27" s="8">
        <v>43831</v>
      </c>
      <c r="F27" s="3">
        <f>HAVER!B247</f>
        <v>69499</v>
      </c>
      <c r="G27" s="4">
        <f>HAVER!G246</f>
        <v>1.42</v>
      </c>
      <c r="I27" s="8">
        <v>43831</v>
      </c>
      <c r="J27" s="3">
        <f>HAVER!B247</f>
        <v>69499</v>
      </c>
      <c r="K27" s="4">
        <f>HAVER!H246</f>
        <v>1.67</v>
      </c>
      <c r="M27" s="8">
        <v>43466</v>
      </c>
      <c r="N27" s="5">
        <f>AVERAGE(HAVER!I233:I235)</f>
        <v>2.5333333333333337</v>
      </c>
      <c r="O27" s="5">
        <f>AVERAGE(HAVER!J233:J235)</f>
        <v>2.4666666666666668</v>
      </c>
      <c r="P27" s="5"/>
      <c r="Q27" s="5"/>
    </row>
    <row r="28" spans="1:17" x14ac:dyDescent="0.25">
      <c r="A28" s="8">
        <v>43862</v>
      </c>
      <c r="B28" s="3">
        <f>HAVER!B248</f>
        <v>71770</v>
      </c>
      <c r="C28" s="4">
        <f>HAVER!C248</f>
        <v>1.81</v>
      </c>
      <c r="E28" s="8">
        <v>43862</v>
      </c>
      <c r="F28" s="3">
        <f>HAVER!B248</f>
        <v>71770</v>
      </c>
      <c r="G28" s="4">
        <f>HAVER!G247</f>
        <v>1.41</v>
      </c>
      <c r="I28" s="8">
        <v>43862</v>
      </c>
      <c r="J28" s="3">
        <f>HAVER!B248</f>
        <v>71770</v>
      </c>
      <c r="K28" s="4">
        <f>HAVER!H247</f>
        <v>1.68</v>
      </c>
      <c r="M28" s="8">
        <v>43497</v>
      </c>
      <c r="N28" s="5">
        <f>AVERAGE(HAVER!I234:I236)</f>
        <v>2.4</v>
      </c>
      <c r="O28" s="5">
        <f>AVERAGE(HAVER!J234:J236)</f>
        <v>2.4333333333333336</v>
      </c>
      <c r="P28" s="5"/>
      <c r="Q28" s="5"/>
    </row>
    <row r="29" spans="1:17" x14ac:dyDescent="0.25">
      <c r="A29" s="8">
        <v>43891</v>
      </c>
      <c r="B29" s="3">
        <f>HAVER!B249</f>
        <v>56229</v>
      </c>
      <c r="C29" s="4">
        <f>HAVER!C249</f>
        <v>1.83</v>
      </c>
      <c r="E29" s="8">
        <v>43891</v>
      </c>
      <c r="F29" s="3">
        <f>HAVER!B249</f>
        <v>56229</v>
      </c>
      <c r="G29" s="4">
        <f>HAVER!G248</f>
        <v>1.4</v>
      </c>
      <c r="I29" s="8">
        <v>43891</v>
      </c>
      <c r="J29" s="3">
        <f>HAVER!B249</f>
        <v>56229</v>
      </c>
      <c r="K29" s="4">
        <f>HAVER!H248</f>
        <v>1.67</v>
      </c>
      <c r="M29" s="8">
        <v>43525</v>
      </c>
      <c r="N29" s="5">
        <f>AVERAGE(HAVER!I235:I237)</f>
        <v>2.4666666666666668</v>
      </c>
      <c r="O29" s="5">
        <f>AVERAGE(HAVER!J235:J237)</f>
        <v>2.4666666666666668</v>
      </c>
      <c r="P29" s="5"/>
      <c r="Q29" s="5"/>
    </row>
    <row r="30" spans="1:17" x14ac:dyDescent="0.25">
      <c r="A30" s="8">
        <v>43922</v>
      </c>
      <c r="B30" s="3">
        <f>HAVER!B250</f>
        <v>15878</v>
      </c>
      <c r="C30" s="4">
        <f>HAVER!C250</f>
        <v>1.75</v>
      </c>
      <c r="E30" s="8">
        <v>43922</v>
      </c>
      <c r="F30" s="3">
        <f>HAVER!B250</f>
        <v>15878</v>
      </c>
      <c r="G30" s="4">
        <f>HAVER!G249</f>
        <v>1.4</v>
      </c>
      <c r="I30" s="8">
        <v>43922</v>
      </c>
      <c r="J30" s="3">
        <f>HAVER!B250</f>
        <v>15878</v>
      </c>
      <c r="K30" s="4">
        <f>HAVER!H249</f>
        <v>1.66</v>
      </c>
      <c r="M30" s="8">
        <v>43556</v>
      </c>
      <c r="N30" s="5">
        <f>AVERAGE(HAVER!I236:I238)</f>
        <v>2.5</v>
      </c>
      <c r="O30" s="5">
        <f>AVERAGE(HAVER!J236:J238)</f>
        <v>2.4666666666666668</v>
      </c>
      <c r="P30" s="5"/>
      <c r="Q30" s="5"/>
    </row>
    <row r="31" spans="1:17" x14ac:dyDescent="0.25">
      <c r="A31" s="8">
        <v>43952</v>
      </c>
      <c r="B31" s="3">
        <f>HAVER!B251</f>
        <v>9317</v>
      </c>
      <c r="C31" s="4">
        <f>HAVER!C251</f>
        <v>1.74</v>
      </c>
      <c r="E31" s="8">
        <v>43952</v>
      </c>
      <c r="F31" s="3">
        <f>HAVER!B251</f>
        <v>9317</v>
      </c>
      <c r="G31" s="4">
        <f>HAVER!G250</f>
        <v>1.38</v>
      </c>
      <c r="I31" s="8">
        <v>43952</v>
      </c>
      <c r="J31" s="3">
        <f>HAVER!B251</f>
        <v>9317</v>
      </c>
      <c r="K31" s="4">
        <f>HAVER!H250</f>
        <v>1.67</v>
      </c>
      <c r="M31" s="8">
        <v>43586</v>
      </c>
      <c r="N31" s="5">
        <f>AVERAGE(HAVER!I237:I239)</f>
        <v>2.3666666666666667</v>
      </c>
      <c r="O31" s="5">
        <f>AVERAGE(HAVER!J237:J239)</f>
        <v>2.4666666666666668</v>
      </c>
      <c r="P31" s="5"/>
      <c r="Q31" s="5"/>
    </row>
    <row r="32" spans="1:17" x14ac:dyDescent="0.25">
      <c r="A32" s="8">
        <v>43983</v>
      </c>
      <c r="B32" s="3">
        <f>HAVER!B252</f>
        <v>40109</v>
      </c>
      <c r="C32" s="4">
        <f>HAVER!C252</f>
        <v>1.77</v>
      </c>
      <c r="E32" s="8">
        <v>43983</v>
      </c>
      <c r="F32" s="3">
        <f>HAVER!B252</f>
        <v>40109</v>
      </c>
      <c r="G32" s="4">
        <f>HAVER!G251</f>
        <v>1.42</v>
      </c>
      <c r="I32" s="8">
        <v>43983</v>
      </c>
      <c r="J32" s="3">
        <f>HAVER!B252</f>
        <v>40109</v>
      </c>
      <c r="K32" s="4">
        <f>HAVER!H251</f>
        <v>1.7</v>
      </c>
      <c r="M32" s="8">
        <v>43617</v>
      </c>
      <c r="N32" s="5">
        <f>AVERAGE(HAVER!I238:I240)</f>
        <v>2.4666666666666668</v>
      </c>
      <c r="O32" s="5">
        <f>AVERAGE(HAVER!J238:J240)</f>
        <v>2.4666666666666668</v>
      </c>
      <c r="P32" s="5"/>
      <c r="Q32" s="5"/>
    </row>
    <row r="33" spans="1:17" x14ac:dyDescent="0.25">
      <c r="A33" s="8">
        <v>44013</v>
      </c>
      <c r="B33" s="3">
        <f>HAVER!B253</f>
        <v>66659</v>
      </c>
      <c r="C33" s="4">
        <f>HAVER!C253</f>
        <v>1.73</v>
      </c>
      <c r="E33" s="8">
        <v>44013</v>
      </c>
      <c r="F33" s="3">
        <f>HAVER!B253</f>
        <v>66659</v>
      </c>
      <c r="G33" s="4">
        <f>HAVER!G252</f>
        <v>1.41</v>
      </c>
      <c r="I33" s="8">
        <v>44013</v>
      </c>
      <c r="J33" s="3">
        <f>HAVER!B253</f>
        <v>66659</v>
      </c>
      <c r="K33" s="4">
        <f>HAVER!H252</f>
        <v>1.69</v>
      </c>
      <c r="M33" s="8">
        <v>43647</v>
      </c>
      <c r="N33" s="5">
        <f>AVERAGE(HAVER!I239:I241)</f>
        <v>2.2666666666666666</v>
      </c>
      <c r="O33" s="5">
        <f>AVERAGE(HAVER!J239:J241)</f>
        <v>2.4</v>
      </c>
      <c r="P33" s="5"/>
      <c r="Q33" s="5"/>
    </row>
    <row r="34" spans="1:17" x14ac:dyDescent="0.25">
      <c r="A34" s="8">
        <v>44044</v>
      </c>
      <c r="B34" s="3">
        <f>HAVER!B254</f>
        <v>85509</v>
      </c>
      <c r="C34" s="4">
        <f>HAVER!C254</f>
        <v>1.72</v>
      </c>
      <c r="E34" s="8">
        <v>44044</v>
      </c>
      <c r="F34" s="3">
        <f>HAVER!B254</f>
        <v>85509</v>
      </c>
      <c r="G34" s="4">
        <f>HAVER!G253</f>
        <v>1.45</v>
      </c>
      <c r="I34" s="8">
        <v>44044</v>
      </c>
      <c r="J34" s="3">
        <f>HAVER!B254</f>
        <v>85509</v>
      </c>
      <c r="K34" s="4">
        <f>HAVER!H253</f>
        <v>1.7</v>
      </c>
      <c r="M34" s="8">
        <v>43678</v>
      </c>
      <c r="N34" s="5">
        <f>AVERAGE(HAVER!I240:I242)</f>
        <v>2.3000000000000003</v>
      </c>
      <c r="O34" s="5">
        <f>AVERAGE(HAVER!J240:J242)</f>
        <v>2.3666666666666667</v>
      </c>
      <c r="P34" s="5"/>
      <c r="Q34" s="5"/>
    </row>
    <row r="35" spans="1:17" x14ac:dyDescent="0.25">
      <c r="A35" s="8">
        <v>44075</v>
      </c>
      <c r="B35" s="3">
        <f>HAVER!B255</f>
        <v>92847</v>
      </c>
      <c r="C35" s="4">
        <f>HAVER!C255</f>
        <v>1.74</v>
      </c>
      <c r="E35" s="8">
        <v>44075</v>
      </c>
      <c r="F35" s="3">
        <f>HAVER!B255</f>
        <v>92847</v>
      </c>
      <c r="G35" s="4">
        <f>HAVER!G254</f>
        <v>1.6</v>
      </c>
      <c r="I35" s="8">
        <v>44075</v>
      </c>
      <c r="J35" s="3">
        <f>HAVER!B255</f>
        <v>92847</v>
      </c>
      <c r="K35" s="4">
        <f>HAVER!H254</f>
        <v>1.79</v>
      </c>
      <c r="M35" s="8">
        <v>43709</v>
      </c>
      <c r="N35" s="5">
        <f>AVERAGE(HAVER!I241:I243)</f>
        <v>2.1666666666666665</v>
      </c>
      <c r="O35" s="5">
        <f>AVERAGE(HAVER!J241:J243)</f>
        <v>2.2666666666666666</v>
      </c>
      <c r="P35" s="5"/>
      <c r="Q35" s="5"/>
    </row>
    <row r="36" spans="1:17" x14ac:dyDescent="0.25">
      <c r="A36" s="8">
        <v>44105</v>
      </c>
      <c r="B36" s="3">
        <f>HAVER!B256</f>
        <v>101380</v>
      </c>
      <c r="C36" s="4">
        <f>HAVER!C256</f>
        <v>1.78</v>
      </c>
      <c r="E36" s="8">
        <v>44105</v>
      </c>
      <c r="F36" s="3">
        <f>HAVER!B256</f>
        <v>101380</v>
      </c>
      <c r="G36" s="4">
        <f>HAVER!G255</f>
        <v>1.75</v>
      </c>
      <c r="I36" s="8">
        <v>44105</v>
      </c>
      <c r="J36" s="3">
        <f>HAVER!B256</f>
        <v>101380</v>
      </c>
      <c r="K36" s="4">
        <f>HAVER!H255</f>
        <v>1.92</v>
      </c>
      <c r="M36" s="8">
        <v>43739</v>
      </c>
      <c r="N36" s="5">
        <f>AVERAGE(HAVER!I242:I244)</f>
        <v>2.0666666666666664</v>
      </c>
      <c r="O36" s="5">
        <f>AVERAGE(HAVER!J242:J244)</f>
        <v>2.1999999999999997</v>
      </c>
      <c r="P36" s="5"/>
      <c r="Q36" s="5"/>
    </row>
    <row r="37" spans="1:17" x14ac:dyDescent="0.25">
      <c r="A37" s="8">
        <v>44136</v>
      </c>
      <c r="B37" s="3">
        <f>HAVER!B257</f>
        <v>108046</v>
      </c>
      <c r="C37" s="4">
        <f>HAVER!C257</f>
        <v>1.83</v>
      </c>
      <c r="E37" s="8">
        <v>44136</v>
      </c>
      <c r="F37" s="3">
        <f>HAVER!B257</f>
        <v>108046</v>
      </c>
      <c r="G37" s="4">
        <f>HAVER!G256</f>
        <v>1.94</v>
      </c>
      <c r="I37" s="8">
        <v>44136</v>
      </c>
      <c r="J37" s="3">
        <f>HAVER!B257</f>
        <v>108046</v>
      </c>
      <c r="K37" s="4">
        <f>HAVER!H256</f>
        <v>2.0499999999999998</v>
      </c>
      <c r="M37" s="8">
        <v>43770</v>
      </c>
      <c r="N37" s="5">
        <f>AVERAGE(HAVER!I243:I245)</f>
        <v>2.0666666666666664</v>
      </c>
      <c r="O37" s="5">
        <f>AVERAGE(HAVER!J243:J245)</f>
        <v>2.1333333333333333</v>
      </c>
      <c r="P37" s="5"/>
      <c r="Q37" s="5"/>
    </row>
    <row r="38" spans="1:17" x14ac:dyDescent="0.25">
      <c r="A38" s="8">
        <v>44166</v>
      </c>
      <c r="B38" s="3">
        <f>HAVER!B258</f>
        <v>103344</v>
      </c>
      <c r="C38" s="4">
        <f>HAVER!C258</f>
        <v>1.9</v>
      </c>
      <c r="E38" s="8">
        <v>44166</v>
      </c>
      <c r="F38" s="3">
        <f>HAVER!B258</f>
        <v>103344</v>
      </c>
      <c r="G38" s="4">
        <f>HAVER!G257</f>
        <v>1.92</v>
      </c>
      <c r="I38" s="8">
        <v>44166</v>
      </c>
      <c r="J38" s="3">
        <f>HAVER!B258</f>
        <v>103344</v>
      </c>
      <c r="K38" s="4">
        <f>HAVER!H257</f>
        <v>2.0499999999999998</v>
      </c>
      <c r="M38" s="8">
        <v>43800</v>
      </c>
      <c r="N38" s="5">
        <f>AVERAGE(HAVER!I244:I246)</f>
        <v>1.9666666666666668</v>
      </c>
      <c r="O38" s="5">
        <f>AVERAGE(HAVER!J244:J246)</f>
        <v>2.0666666666666669</v>
      </c>
      <c r="P38" s="5"/>
      <c r="Q38" s="5"/>
    </row>
    <row r="39" spans="1:17" x14ac:dyDescent="0.25">
      <c r="A39" s="8">
        <v>44197</v>
      </c>
      <c r="B39" s="3">
        <f>HAVER!B259</f>
        <v>97153</v>
      </c>
      <c r="C39" s="4">
        <f>HAVER!C259</f>
        <v>1.85</v>
      </c>
      <c r="E39" s="8">
        <v>44197</v>
      </c>
      <c r="F39" s="3">
        <f>HAVER!B259</f>
        <v>97153</v>
      </c>
      <c r="G39" s="4">
        <f>HAVER!G258</f>
        <v>1.86</v>
      </c>
      <c r="I39" s="8">
        <v>44197</v>
      </c>
      <c r="J39" s="3">
        <f>HAVER!B259</f>
        <v>97153</v>
      </c>
      <c r="K39" s="4">
        <f>HAVER!H258</f>
        <v>2</v>
      </c>
      <c r="M39" s="8">
        <v>43831</v>
      </c>
      <c r="N39" s="5">
        <f>AVERAGE(HAVER!I245:I247)</f>
        <v>2</v>
      </c>
      <c r="O39" s="5">
        <f>AVERAGE(HAVER!J245:J247)</f>
        <v>2.0333333333333332</v>
      </c>
      <c r="P39" s="5"/>
      <c r="Q39" s="5"/>
    </row>
    <row r="40" spans="1:17" x14ac:dyDescent="0.25">
      <c r="A40" s="8">
        <v>44228</v>
      </c>
      <c r="B40" s="3">
        <f>HAVER!B260</f>
        <v>84755</v>
      </c>
      <c r="C40" s="4">
        <f>HAVER!C260</f>
        <v>1.91</v>
      </c>
      <c r="E40" s="8">
        <v>44228</v>
      </c>
      <c r="F40" s="3">
        <f>HAVER!B260</f>
        <v>84755</v>
      </c>
      <c r="G40" s="4">
        <f>HAVER!G259</f>
        <v>1.75</v>
      </c>
      <c r="I40" s="8">
        <v>44228</v>
      </c>
      <c r="J40" s="3">
        <f>HAVER!B260</f>
        <v>84755</v>
      </c>
      <c r="K40" s="4">
        <f>HAVER!H259</f>
        <v>1.92</v>
      </c>
      <c r="M40" s="8">
        <v>43862</v>
      </c>
      <c r="N40" s="5">
        <f>AVERAGE(HAVER!I246:I248)</f>
        <v>1.9666666666666666</v>
      </c>
      <c r="O40" s="5">
        <f>AVERAGE(HAVER!J246:J248)</f>
        <v>1.9666666666666668</v>
      </c>
      <c r="P40" s="5"/>
      <c r="Q40" s="5"/>
    </row>
    <row r="41" spans="1:17" x14ac:dyDescent="0.25">
      <c r="A41" s="8">
        <v>44256</v>
      </c>
      <c r="B41" s="3">
        <f>HAVER!B261</f>
        <v>80927</v>
      </c>
      <c r="C41" s="4">
        <f>HAVER!C261</f>
        <v>1.95</v>
      </c>
      <c r="E41" s="8">
        <v>44256</v>
      </c>
      <c r="F41" s="3">
        <f>HAVER!B261</f>
        <v>80927</v>
      </c>
      <c r="G41" s="4">
        <f>HAVER!G260</f>
        <v>1.61</v>
      </c>
      <c r="I41" s="8">
        <v>44256</v>
      </c>
      <c r="J41" s="3">
        <f>HAVER!B261</f>
        <v>80927</v>
      </c>
      <c r="K41" s="4">
        <f>HAVER!H260</f>
        <v>1.8</v>
      </c>
      <c r="M41" s="8">
        <v>43891</v>
      </c>
      <c r="N41" s="5">
        <f>AVERAGE(HAVER!I247:I249)</f>
        <v>1.9000000000000001</v>
      </c>
      <c r="O41" s="5">
        <f>AVERAGE(HAVER!J247:J249)</f>
        <v>1.9333333333333333</v>
      </c>
      <c r="P41" s="5"/>
      <c r="Q41" s="5"/>
    </row>
    <row r="42" spans="1:17" x14ac:dyDescent="0.25">
      <c r="A42" s="8">
        <v>44287</v>
      </c>
      <c r="B42" s="3">
        <f>HAVER!B262</f>
        <v>84896</v>
      </c>
      <c r="C42" s="4">
        <f>HAVER!C262</f>
        <v>1.88</v>
      </c>
      <c r="E42" s="8">
        <v>44287</v>
      </c>
      <c r="F42" s="3">
        <f>HAVER!B262</f>
        <v>84896</v>
      </c>
      <c r="G42" s="4">
        <f>HAVER!G261</f>
        <v>1.56</v>
      </c>
      <c r="I42" s="8">
        <v>44287</v>
      </c>
      <c r="J42" s="3">
        <f>HAVER!B262</f>
        <v>84896</v>
      </c>
      <c r="K42" s="4">
        <f>HAVER!H261</f>
        <v>1.74</v>
      </c>
      <c r="M42" s="8">
        <v>43922</v>
      </c>
      <c r="N42" s="5">
        <f>AVERAGE(HAVER!I248:I250)</f>
        <v>1.8333333333333333</v>
      </c>
      <c r="O42" s="5">
        <f>AVERAGE(HAVER!J248:J250)</f>
        <v>1.8666666666666665</v>
      </c>
      <c r="P42" s="5"/>
      <c r="Q42" s="5"/>
    </row>
    <row r="43" spans="1:17" x14ac:dyDescent="0.25">
      <c r="A43" s="8">
        <v>44317</v>
      </c>
      <c r="B43" s="3">
        <f>HAVER!B263</f>
        <v>85550</v>
      </c>
      <c r="C43" s="4">
        <f>HAVER!C263</f>
        <v>1.9</v>
      </c>
      <c r="E43" s="8">
        <v>44317</v>
      </c>
      <c r="F43" s="3">
        <f>HAVER!B263</f>
        <v>85550</v>
      </c>
      <c r="G43" s="4">
        <f>HAVER!G262</f>
        <v>1.49</v>
      </c>
      <c r="I43" s="8">
        <v>44317</v>
      </c>
      <c r="J43" s="3">
        <f>HAVER!B263</f>
        <v>85550</v>
      </c>
      <c r="K43" s="4">
        <f>HAVER!H262</f>
        <v>1.71</v>
      </c>
      <c r="M43" s="8">
        <v>43952</v>
      </c>
      <c r="N43" s="5">
        <f>AVERAGE(HAVER!I249:I251)</f>
        <v>1.8333333333333333</v>
      </c>
      <c r="O43" s="5">
        <f>AVERAGE(HAVER!J249:J251)</f>
        <v>1.8333333333333333</v>
      </c>
      <c r="P43" s="5"/>
      <c r="Q43" s="5"/>
    </row>
    <row r="44" spans="1:17" x14ac:dyDescent="0.25">
      <c r="A44" s="8">
        <v>44348</v>
      </c>
      <c r="B44" s="3">
        <f>HAVER!B264</f>
        <v>78419</v>
      </c>
      <c r="C44" s="4">
        <f>HAVER!C264</f>
        <v>1.95</v>
      </c>
      <c r="E44" s="8">
        <v>44348</v>
      </c>
      <c r="F44" s="3">
        <f>HAVER!B264</f>
        <v>78419</v>
      </c>
      <c r="G44" s="4">
        <f>HAVER!G263</f>
        <v>1.47</v>
      </c>
      <c r="I44" s="8">
        <v>44348</v>
      </c>
      <c r="J44" s="3">
        <f>HAVER!B264</f>
        <v>78419</v>
      </c>
      <c r="K44" s="4">
        <f>HAVER!H263</f>
        <v>1.68</v>
      </c>
      <c r="M44" s="8">
        <v>43983</v>
      </c>
      <c r="N44" s="5">
        <f>AVERAGE(HAVER!I250:I252)</f>
        <v>1.6333333333333335</v>
      </c>
      <c r="O44" s="5">
        <f>AVERAGE(HAVER!J250:J252)</f>
        <v>1.7333333333333334</v>
      </c>
      <c r="P44" s="5"/>
      <c r="Q44" s="5"/>
    </row>
    <row r="45" spans="1:17" x14ac:dyDescent="0.25">
      <c r="A45" s="8">
        <v>44378</v>
      </c>
      <c r="B45" s="3">
        <f>HAVER!B265</f>
        <v>72570</v>
      </c>
      <c r="C45" s="4">
        <f>HAVER!C265</f>
        <v>1.83</v>
      </c>
      <c r="E45" s="8">
        <v>44378</v>
      </c>
      <c r="F45" s="3">
        <f>HAVER!B265</f>
        <v>72570</v>
      </c>
      <c r="G45" s="4">
        <f>HAVER!G264</f>
        <v>1.39</v>
      </c>
      <c r="I45" s="8">
        <v>44378</v>
      </c>
      <c r="J45" s="3">
        <f>HAVER!B265</f>
        <v>72570</v>
      </c>
      <c r="K45" s="4">
        <f>HAVER!H264</f>
        <v>1.6</v>
      </c>
      <c r="M45" s="8">
        <v>44013</v>
      </c>
      <c r="N45" s="5">
        <f>AVERAGE(HAVER!I251:I253)</f>
        <v>1.4333333333333333</v>
      </c>
      <c r="O45" s="5">
        <f>AVERAGE(HAVER!J251:J253)</f>
        <v>1.6000000000000003</v>
      </c>
      <c r="P45" s="5"/>
      <c r="Q45" s="5"/>
    </row>
    <row r="46" spans="1:17" x14ac:dyDescent="0.25">
      <c r="A46" s="8">
        <v>44409</v>
      </c>
      <c r="B46" s="3">
        <f>HAVER!B266</f>
        <v>71391</v>
      </c>
      <c r="C46" s="4">
        <f>HAVER!C266</f>
        <v>1.82</v>
      </c>
      <c r="E46" s="8">
        <v>44409</v>
      </c>
      <c r="F46" s="3">
        <f>HAVER!B266</f>
        <v>71391</v>
      </c>
      <c r="G46" s="4">
        <f>HAVER!G265</f>
        <v>1.29</v>
      </c>
      <c r="I46" s="8">
        <v>44409</v>
      </c>
      <c r="J46" s="3">
        <f>HAVER!B266</f>
        <v>71391</v>
      </c>
      <c r="K46" s="4">
        <f>HAVER!H265</f>
        <v>1.45</v>
      </c>
      <c r="M46" s="8">
        <v>44044</v>
      </c>
      <c r="N46" s="5">
        <f>AVERAGE(HAVER!I252:I254)</f>
        <v>1.2</v>
      </c>
      <c r="O46" s="5">
        <f>AVERAGE(HAVER!J252:J254)</f>
        <v>1.4000000000000001</v>
      </c>
      <c r="P46" s="5"/>
      <c r="Q46" s="5"/>
    </row>
    <row r="47" spans="1:17" x14ac:dyDescent="0.25">
      <c r="A47" s="8">
        <v>44440</v>
      </c>
      <c r="B47" s="3">
        <f>HAVER!B267</f>
        <v>70982</v>
      </c>
      <c r="C47" s="4">
        <f>HAVER!C267</f>
        <v>1.78</v>
      </c>
      <c r="E47" s="8">
        <v>44440</v>
      </c>
      <c r="F47" s="3">
        <f>HAVER!B267</f>
        <v>70982</v>
      </c>
      <c r="G47" s="4">
        <f>HAVER!G266</f>
        <v>1.23</v>
      </c>
      <c r="I47" s="8">
        <v>44440</v>
      </c>
      <c r="J47" s="3">
        <f>HAVER!B267</f>
        <v>70982</v>
      </c>
      <c r="K47" s="4">
        <f>HAVER!H266</f>
        <v>1.39</v>
      </c>
      <c r="M47" s="8">
        <v>44075</v>
      </c>
      <c r="N47" s="5">
        <f>AVERAGE(HAVER!I253:I255)</f>
        <v>1.2666666666666668</v>
      </c>
      <c r="O47" s="5">
        <f>AVERAGE(HAVER!J253:J255)</f>
        <v>1.2999999999999998</v>
      </c>
      <c r="P47" s="5"/>
      <c r="Q47" s="5"/>
    </row>
    <row r="48" spans="1:17" x14ac:dyDescent="0.25">
      <c r="A48" s="8">
        <v>44470</v>
      </c>
      <c r="B48" s="3">
        <f>HAVER!B268</f>
        <v>68798</v>
      </c>
      <c r="C48" s="4">
        <f>HAVER!C268</f>
        <v>1.59</v>
      </c>
      <c r="E48" s="8">
        <v>44470</v>
      </c>
      <c r="F48" s="3">
        <f>HAVER!B268</f>
        <v>68798</v>
      </c>
      <c r="G48" s="4">
        <f>HAVER!G267</f>
        <v>1.2</v>
      </c>
      <c r="I48" s="8">
        <v>44470</v>
      </c>
      <c r="J48" s="3">
        <f>HAVER!B268</f>
        <v>68798</v>
      </c>
      <c r="K48" s="4">
        <f>HAVER!H267</f>
        <v>1.28</v>
      </c>
      <c r="M48" s="8">
        <v>44105</v>
      </c>
      <c r="N48" s="5">
        <f>AVERAGE(HAVER!I254:I256)</f>
        <v>1.5666666666666667</v>
      </c>
      <c r="O48" s="5">
        <f>AVERAGE(HAVER!J254:J256)</f>
        <v>1.3666666666666665</v>
      </c>
      <c r="P48" s="5"/>
      <c r="Q48" s="5"/>
    </row>
    <row r="49" spans="1:17" x14ac:dyDescent="0.25">
      <c r="A49" s="8">
        <v>44501</v>
      </c>
      <c r="B49" s="3">
        <f>HAVER!B269</f>
        <v>69534</v>
      </c>
      <c r="C49" s="4">
        <f>HAVER!C269</f>
        <v>1.5</v>
      </c>
      <c r="E49" s="8">
        <v>44501</v>
      </c>
      <c r="F49" s="3">
        <f>HAVER!B269</f>
        <v>69534</v>
      </c>
      <c r="G49" s="4">
        <f>HAVER!G268</f>
        <v>1.29</v>
      </c>
      <c r="I49" s="8">
        <v>44501</v>
      </c>
      <c r="J49" s="3">
        <f>HAVER!B269</f>
        <v>69534</v>
      </c>
      <c r="K49" s="4">
        <f>HAVER!H268</f>
        <v>1.3</v>
      </c>
      <c r="M49" s="8">
        <v>44136</v>
      </c>
      <c r="N49" s="5">
        <f>AVERAGE(HAVER!I255:I257)</f>
        <v>1.7666666666666666</v>
      </c>
      <c r="O49" s="5">
        <f>AVERAGE(HAVER!J255:J257)</f>
        <v>1.5666666666666667</v>
      </c>
      <c r="P49" s="5"/>
      <c r="Q49" s="5"/>
    </row>
    <row r="50" spans="1:17" x14ac:dyDescent="0.25">
      <c r="A50" s="8">
        <v>44531</v>
      </c>
      <c r="B50" s="3">
        <f>HAVER!B270</f>
        <v>72678</v>
      </c>
      <c r="C50" s="4">
        <f>HAVER!C270</f>
        <v>1.58</v>
      </c>
      <c r="E50" s="8">
        <v>44531</v>
      </c>
      <c r="F50" s="3">
        <f>HAVER!B270</f>
        <v>72678</v>
      </c>
      <c r="G50" s="4">
        <f>HAVER!G269</f>
        <v>1.53</v>
      </c>
      <c r="I50" s="8">
        <v>44531</v>
      </c>
      <c r="J50" s="3">
        <f>HAVER!B270</f>
        <v>72678</v>
      </c>
      <c r="K50" s="4">
        <f>HAVER!H269</f>
        <v>1.52</v>
      </c>
      <c r="M50" s="8">
        <v>44166</v>
      </c>
      <c r="N50" s="5">
        <f>AVERAGE(HAVER!I256:I258)</f>
        <v>1.6000000000000003</v>
      </c>
      <c r="O50" s="5">
        <f>AVERAGE(HAVER!J256:J258)</f>
        <v>1.6666666666666667</v>
      </c>
      <c r="P50" s="5"/>
      <c r="Q50" s="5"/>
    </row>
    <row r="51" spans="1:17" x14ac:dyDescent="0.25">
      <c r="A51" s="8">
        <v>44562</v>
      </c>
      <c r="B51" s="3">
        <f>HAVER!B271</f>
        <v>74122</v>
      </c>
      <c r="C51" s="4">
        <f>HAVER!C271</f>
        <v>1.58</v>
      </c>
      <c r="E51" s="8">
        <v>44562</v>
      </c>
      <c r="F51" s="3">
        <f>HAVER!B271</f>
        <v>74122</v>
      </c>
      <c r="G51" s="4">
        <f>HAVER!G270</f>
        <v>1.57</v>
      </c>
      <c r="I51" s="8">
        <v>44562</v>
      </c>
      <c r="J51" s="3">
        <f>HAVER!B271</f>
        <v>74122</v>
      </c>
      <c r="K51" s="4">
        <f>HAVER!H270</f>
        <v>1.59</v>
      </c>
      <c r="M51" s="8">
        <v>44197</v>
      </c>
      <c r="N51" s="5">
        <f>AVERAGE(HAVER!I257:I259)</f>
        <v>1.4666666666666668</v>
      </c>
      <c r="O51" s="5">
        <f>AVERAGE(HAVER!J257:J259)</f>
        <v>1.6333333333333335</v>
      </c>
      <c r="P51" s="5"/>
      <c r="Q51" s="5"/>
    </row>
    <row r="52" spans="1:17" x14ac:dyDescent="0.25">
      <c r="A52" s="8">
        <v>44593</v>
      </c>
      <c r="B52" s="3">
        <f>HAVER!B272</f>
        <v>68601</v>
      </c>
      <c r="C52" s="4">
        <f>HAVER!C272</f>
        <v>1.59</v>
      </c>
      <c r="E52" s="8">
        <v>44593</v>
      </c>
      <c r="F52" s="3">
        <f>HAVER!B272</f>
        <v>68601</v>
      </c>
      <c r="G52" s="4">
        <f>HAVER!G271</f>
        <v>1.64</v>
      </c>
      <c r="I52" s="8">
        <v>44593</v>
      </c>
      <c r="J52" s="3">
        <f>HAVER!B272</f>
        <v>68601</v>
      </c>
      <c r="K52" s="4">
        <f>HAVER!H271</f>
        <v>1.63</v>
      </c>
      <c r="M52" s="8">
        <v>44228</v>
      </c>
      <c r="N52" s="5">
        <f>AVERAGE(HAVER!I258:I260)</f>
        <v>1.6000000000000003</v>
      </c>
      <c r="O52" s="5">
        <f>AVERAGE(HAVER!J258:J260)</f>
        <v>1.5666666666666667</v>
      </c>
      <c r="P52" s="5"/>
      <c r="Q52" s="5"/>
    </row>
    <row r="53" spans="1:17" x14ac:dyDescent="0.25">
      <c r="A53" s="8">
        <v>44621</v>
      </c>
      <c r="B53" s="3">
        <f>HAVER!B273</f>
        <v>68828</v>
      </c>
      <c r="C53" s="4">
        <f>HAVER!C273</f>
        <v>1.73</v>
      </c>
      <c r="E53" s="8">
        <v>44621</v>
      </c>
      <c r="F53" s="3">
        <f>HAVER!B273</f>
        <v>68828</v>
      </c>
      <c r="G53" s="4">
        <f>HAVER!G272</f>
        <v>1.78</v>
      </c>
      <c r="I53" s="8">
        <v>44621</v>
      </c>
      <c r="J53" s="3">
        <f>HAVER!B273</f>
        <v>68828</v>
      </c>
      <c r="K53" s="4">
        <f>HAVER!H272</f>
        <v>1.79</v>
      </c>
      <c r="M53" s="8">
        <v>44256</v>
      </c>
      <c r="N53" s="5">
        <f>AVERAGE(HAVER!I259:I261)</f>
        <v>1.8666666666666669</v>
      </c>
      <c r="O53" s="5">
        <f>AVERAGE(HAVER!J259:J261)</f>
        <v>1.6666666666666667</v>
      </c>
      <c r="P53" s="5"/>
      <c r="Q53" s="5"/>
    </row>
    <row r="54" spans="1:17" x14ac:dyDescent="0.25">
      <c r="A54" s="8">
        <v>44652</v>
      </c>
      <c r="B54" s="3">
        <f>HAVER!B274</f>
        <v>65473</v>
      </c>
      <c r="C54" s="4">
        <f>HAVER!C274</f>
        <v>1.82</v>
      </c>
      <c r="E54" s="8">
        <v>44652</v>
      </c>
      <c r="F54" s="3">
        <f>HAVER!B274</f>
        <v>65473</v>
      </c>
      <c r="G54" s="4">
        <f>HAVER!G273</f>
        <v>2.14</v>
      </c>
      <c r="I54" s="8">
        <v>44652</v>
      </c>
      <c r="J54" s="3">
        <f>HAVER!B274</f>
        <v>65473</v>
      </c>
      <c r="K54" s="4">
        <f>HAVER!H273</f>
        <v>2.11</v>
      </c>
      <c r="M54" s="8">
        <v>44287</v>
      </c>
      <c r="N54" s="5">
        <f>AVERAGE(HAVER!I260:I262)</f>
        <v>2.1999999999999997</v>
      </c>
      <c r="O54" s="5">
        <f>AVERAGE(HAVER!J260:J262)</f>
        <v>1.9000000000000001</v>
      </c>
      <c r="P54" s="5"/>
      <c r="Q54" s="5"/>
    </row>
    <row r="55" spans="1:17" x14ac:dyDescent="0.25">
      <c r="A55" s="8">
        <v>44682</v>
      </c>
      <c r="B55" s="3">
        <f>HAVER!B275</f>
        <v>65667</v>
      </c>
      <c r="C55" s="4">
        <f>HAVER!C275</f>
        <v>1.95</v>
      </c>
      <c r="E55" s="8">
        <v>44682</v>
      </c>
      <c r="F55" s="3">
        <f>HAVER!B275</f>
        <v>65667</v>
      </c>
      <c r="G55" s="4">
        <f>HAVER!G274</f>
        <v>2.35</v>
      </c>
      <c r="I55" s="8">
        <v>44682</v>
      </c>
      <c r="J55" s="3">
        <f>HAVER!B275</f>
        <v>65667</v>
      </c>
      <c r="K55" s="4">
        <f>HAVER!H274</f>
        <v>2.35</v>
      </c>
      <c r="M55" s="8">
        <v>44317</v>
      </c>
      <c r="N55" s="5">
        <f>AVERAGE(HAVER!I261:I263)</f>
        <v>2.4333333333333331</v>
      </c>
      <c r="O55" s="5">
        <f>AVERAGE(HAVER!J261:J263)</f>
        <v>2.1666666666666665</v>
      </c>
      <c r="P55" s="5"/>
      <c r="Q55" s="5"/>
    </row>
    <row r="56" spans="1:17" x14ac:dyDescent="0.25">
      <c r="A56" s="8">
        <v>44713</v>
      </c>
      <c r="B56" s="3">
        <f>HAVER!B276</f>
        <v>62075</v>
      </c>
      <c r="C56" s="4">
        <f>HAVER!C276</f>
        <v>2.15</v>
      </c>
      <c r="E56" s="8">
        <v>44713</v>
      </c>
      <c r="F56" s="3">
        <f>HAVER!B276</f>
        <v>62075</v>
      </c>
      <c r="G56" s="4">
        <f>HAVER!G275</f>
        <v>2.63</v>
      </c>
      <c r="I56" s="8">
        <v>44713</v>
      </c>
      <c r="J56" s="3">
        <f>HAVER!B276</f>
        <v>62075</v>
      </c>
      <c r="K56" s="4">
        <f>HAVER!H275</f>
        <v>2.62</v>
      </c>
      <c r="M56" s="8">
        <v>44348</v>
      </c>
      <c r="N56" s="5">
        <f>AVERAGE(HAVER!I262:I264)</f>
        <v>2.9</v>
      </c>
      <c r="O56" s="5">
        <f>AVERAGE(HAVER!J262:J264)</f>
        <v>2.5</v>
      </c>
      <c r="P56" s="5"/>
      <c r="Q56" s="5"/>
    </row>
    <row r="57" spans="1:17" x14ac:dyDescent="0.25">
      <c r="A57" s="8">
        <v>44743</v>
      </c>
      <c r="B57" s="3">
        <f>HAVER!B277</f>
        <v>62715</v>
      </c>
      <c r="C57" s="4">
        <f>HAVER!C277</f>
        <v>2.33</v>
      </c>
      <c r="E57" s="8">
        <v>44743</v>
      </c>
      <c r="F57" s="3">
        <f>HAVER!B277</f>
        <v>62715</v>
      </c>
      <c r="G57" s="4">
        <f>HAVER!G276</f>
        <v>2.87</v>
      </c>
      <c r="I57" s="8">
        <v>44743</v>
      </c>
      <c r="J57" s="3">
        <f>HAVER!B277</f>
        <v>62715</v>
      </c>
      <c r="K57" s="4">
        <f>HAVER!H276</f>
        <v>2.9</v>
      </c>
      <c r="M57" s="8">
        <v>44378</v>
      </c>
      <c r="N57" s="5">
        <f>AVERAGE(HAVER!I263:I265)</f>
        <v>3.2333333333333329</v>
      </c>
      <c r="O57" s="5">
        <f>AVERAGE(HAVER!J263:J265)</f>
        <v>2.8333333333333335</v>
      </c>
      <c r="P57" s="5"/>
      <c r="Q57" s="5"/>
    </row>
    <row r="58" spans="1:17" x14ac:dyDescent="0.25">
      <c r="A58" s="8">
        <v>44774</v>
      </c>
      <c r="B58" s="3">
        <f>HAVER!B278</f>
        <v>72598</v>
      </c>
      <c r="C58" s="4">
        <f>HAVER!C278</f>
        <v>2.5499999999999998</v>
      </c>
      <c r="E58" s="8">
        <v>44774</v>
      </c>
      <c r="F58" s="3">
        <f>HAVER!B278</f>
        <v>72598</v>
      </c>
      <c r="G58" s="4">
        <f>HAVER!G277</f>
        <v>3.48</v>
      </c>
      <c r="I58" s="8">
        <v>44774</v>
      </c>
      <c r="J58" s="3">
        <f>HAVER!B278</f>
        <v>72598</v>
      </c>
      <c r="K58" s="4">
        <f>HAVER!H277</f>
        <v>3.43</v>
      </c>
      <c r="M58" s="8">
        <v>44409</v>
      </c>
      <c r="N58" s="5">
        <f>AVERAGE(HAVER!I264:I266)</f>
        <v>3.4666666666666668</v>
      </c>
      <c r="O58" s="5">
        <f>AVERAGE(HAVER!J264:J266)</f>
        <v>3.1666666666666665</v>
      </c>
      <c r="P58" s="5"/>
      <c r="Q58" s="5"/>
    </row>
    <row r="59" spans="1:17" x14ac:dyDescent="0.25">
      <c r="A59" s="8">
        <v>44805</v>
      </c>
      <c r="B59" s="3">
        <f>HAVER!B279</f>
        <v>65349</v>
      </c>
      <c r="C59" s="4">
        <f>HAVER!C279</f>
        <v>2.84</v>
      </c>
      <c r="E59" s="8">
        <v>44805</v>
      </c>
      <c r="F59" s="3">
        <f>HAVER!B279</f>
        <v>65349</v>
      </c>
      <c r="G59" s="4">
        <f>HAVER!G278</f>
        <v>3.6</v>
      </c>
      <c r="I59" s="8">
        <v>44805</v>
      </c>
      <c r="J59" s="3">
        <f>HAVER!B279</f>
        <v>65349</v>
      </c>
      <c r="K59" s="4">
        <f>HAVER!H278</f>
        <v>3.61</v>
      </c>
      <c r="M59" s="8">
        <v>44440</v>
      </c>
      <c r="N59" s="5">
        <f>AVERAGE(HAVER!I265:I267)</f>
        <v>3.9333333333333336</v>
      </c>
      <c r="O59" s="5">
        <f>AVERAGE(HAVER!J265:J267)</f>
        <v>3.5</v>
      </c>
      <c r="P59" s="5"/>
      <c r="Q59" s="5"/>
    </row>
    <row r="60" spans="1:17" x14ac:dyDescent="0.25">
      <c r="A60" s="8">
        <v>44835</v>
      </c>
      <c r="B60" s="3">
        <f>HAVER!B280</f>
        <v>58507</v>
      </c>
      <c r="C60" s="4">
        <f>HAVER!C280</f>
        <v>3.09</v>
      </c>
      <c r="E60" s="8">
        <v>44835</v>
      </c>
      <c r="F60" s="3">
        <f>HAVER!B280</f>
        <v>58507</v>
      </c>
      <c r="G60" s="4">
        <f>HAVER!G279</f>
        <v>4.17</v>
      </c>
      <c r="I60" s="8">
        <v>44835</v>
      </c>
      <c r="J60" s="3">
        <f>HAVER!B280</f>
        <v>58507</v>
      </c>
      <c r="K60" s="4">
        <f>HAVER!H279</f>
        <v>3.97</v>
      </c>
      <c r="M60" s="8">
        <v>44470</v>
      </c>
      <c r="N60" s="5">
        <f>AVERAGE(HAVER!I266:I268)</f>
        <v>4.4666666666666668</v>
      </c>
      <c r="O60" s="5">
        <f>AVERAGE(HAVER!J266:J268)</f>
        <v>3.9333333333333336</v>
      </c>
      <c r="P60" s="5"/>
      <c r="Q60" s="5"/>
    </row>
    <row r="61" spans="1:17" x14ac:dyDescent="0.25">
      <c r="A61" s="8">
        <v>44866</v>
      </c>
      <c r="B61" s="3">
        <f>HAVER!B281</f>
        <v>46744</v>
      </c>
      <c r="C61" s="4">
        <f>HAVER!C281</f>
        <v>3.35</v>
      </c>
      <c r="E61" s="8">
        <v>44866</v>
      </c>
      <c r="F61" s="3">
        <f>HAVER!B281</f>
        <v>46744</v>
      </c>
      <c r="G61" s="4">
        <f>HAVER!G280</f>
        <v>5.99</v>
      </c>
      <c r="I61" s="8">
        <v>44866</v>
      </c>
      <c r="J61" s="3">
        <f>HAVER!B281</f>
        <v>46744</v>
      </c>
      <c r="K61" s="4">
        <f>HAVER!H280</f>
        <v>5.61</v>
      </c>
      <c r="M61" s="8">
        <v>44501</v>
      </c>
      <c r="N61" s="5">
        <f>AVERAGE(HAVER!I267:I269)</f>
        <v>4.8999999999999995</v>
      </c>
      <c r="O61" s="5">
        <f>AVERAGE(HAVER!J267:J269)</f>
        <v>4.4333333333333336</v>
      </c>
      <c r="P61" s="5"/>
      <c r="Q61" s="5"/>
    </row>
    <row r="62" spans="1:17" x14ac:dyDescent="0.25">
      <c r="A62" s="8">
        <v>44896</v>
      </c>
      <c r="B62" s="3">
        <f>HAVER!B282</f>
        <v>41410</v>
      </c>
      <c r="C62" s="4">
        <f>HAVER!C282</f>
        <v>3.67</v>
      </c>
      <c r="E62" s="8">
        <v>44896</v>
      </c>
      <c r="F62" s="3">
        <f>HAVER!B282</f>
        <v>41410</v>
      </c>
      <c r="G62" s="4">
        <f>HAVER!G281</f>
        <v>5.98</v>
      </c>
      <c r="I62" s="8">
        <v>44896</v>
      </c>
      <c r="J62" s="3">
        <f>HAVER!B282</f>
        <v>41410</v>
      </c>
      <c r="K62" s="4">
        <f>HAVER!H281</f>
        <v>5.5</v>
      </c>
      <c r="M62" s="8">
        <v>44531</v>
      </c>
      <c r="N62" s="5">
        <f>AVERAGE(HAVER!I268:I270)</f>
        <v>5.2333333333333334</v>
      </c>
      <c r="O62" s="5">
        <f>AVERAGE(HAVER!J268:J270)</f>
        <v>4.8666666666666671</v>
      </c>
      <c r="P62" s="5"/>
      <c r="Q62" s="5"/>
    </row>
    <row r="63" spans="1:17" x14ac:dyDescent="0.25">
      <c r="A63" s="8">
        <v>44927</v>
      </c>
      <c r="B63" s="3">
        <f>HAVER!B283</f>
        <v>39888</v>
      </c>
      <c r="C63" s="4">
        <f>HAVER!C283</f>
        <v>3.88</v>
      </c>
      <c r="E63" s="8">
        <v>44927</v>
      </c>
      <c r="F63" s="3">
        <f>HAVER!B283</f>
        <v>39888</v>
      </c>
      <c r="G63" s="4">
        <f>HAVER!G282</f>
        <v>5.43</v>
      </c>
      <c r="I63" s="8">
        <v>44927</v>
      </c>
      <c r="J63" s="3">
        <f>HAVER!B283</f>
        <v>39888</v>
      </c>
      <c r="K63" s="4">
        <f>HAVER!H282</f>
        <v>5.05</v>
      </c>
      <c r="M63" s="8">
        <v>44562</v>
      </c>
      <c r="N63" s="5">
        <f>AVERAGE(HAVER!I269:I271)</f>
        <v>5.2333333333333334</v>
      </c>
      <c r="O63" s="5">
        <f>AVERAGE(HAVER!J269:J271)</f>
        <v>5.1000000000000005</v>
      </c>
      <c r="P63" s="5"/>
      <c r="Q63" s="5"/>
    </row>
    <row r="64" spans="1:17" x14ac:dyDescent="0.25">
      <c r="A64" s="8">
        <v>44958</v>
      </c>
      <c r="B64" s="3">
        <f>HAVER!B284</f>
        <v>43207</v>
      </c>
      <c r="C64" s="4">
        <f>HAVER!C284</f>
        <v>4.24</v>
      </c>
      <c r="E64" s="8">
        <v>44958</v>
      </c>
      <c r="F64" s="3">
        <f>HAVER!B284</f>
        <v>43207</v>
      </c>
      <c r="G64" s="4">
        <f>HAVER!G283</f>
        <v>5.14</v>
      </c>
      <c r="I64" s="8">
        <v>44958</v>
      </c>
      <c r="J64" s="3">
        <f>HAVER!B284</f>
        <v>43207</v>
      </c>
      <c r="K64" s="4">
        <f>HAVER!H283</f>
        <v>4.66</v>
      </c>
      <c r="M64" s="8">
        <v>44593</v>
      </c>
      <c r="N64" s="5">
        <f>AVERAGE(HAVER!I270:I272)</f>
        <v>5.3999999999999995</v>
      </c>
      <c r="O64" s="5">
        <f>AVERAGE(HAVER!J270:J272)</f>
        <v>5.2666666666666666</v>
      </c>
      <c r="P64" s="5"/>
      <c r="Q64" s="5"/>
    </row>
    <row r="65" spans="1:22" x14ac:dyDescent="0.25">
      <c r="A65" s="8">
        <v>44986</v>
      </c>
      <c r="B65" s="3">
        <f>HAVER!B285</f>
        <v>51051</v>
      </c>
      <c r="C65" s="4">
        <f>HAVER!C285</f>
        <v>4.41</v>
      </c>
      <c r="E65" s="8">
        <v>44986</v>
      </c>
      <c r="F65" s="3">
        <f>HAVER!B285</f>
        <v>51051</v>
      </c>
      <c r="G65" s="4">
        <f>HAVER!G284</f>
        <v>4.79</v>
      </c>
      <c r="I65" s="8">
        <v>44986</v>
      </c>
      <c r="J65" s="3">
        <f>HAVER!B285</f>
        <v>51051</v>
      </c>
      <c r="K65" s="4">
        <f>HAVER!H284</f>
        <v>4.3600000000000003</v>
      </c>
      <c r="M65" s="8">
        <v>44621</v>
      </c>
      <c r="N65" s="5">
        <f>AVERAGE(HAVER!I271:I273)</f>
        <v>5.833333333333333</v>
      </c>
      <c r="O65" s="5">
        <f>AVERAGE(HAVER!J271:J273)</f>
        <v>5.4666666666666677</v>
      </c>
      <c r="P65" s="5"/>
      <c r="Q65" s="5"/>
    </row>
    <row r="66" spans="1:22" x14ac:dyDescent="0.25">
      <c r="A66" s="8">
        <v>45017</v>
      </c>
      <c r="B66" s="3">
        <f>HAVER!B286</f>
        <v>48544</v>
      </c>
      <c r="C66" s="4">
        <f>HAVER!C286</f>
        <v>4.46</v>
      </c>
      <c r="E66" s="8">
        <v>45017</v>
      </c>
      <c r="F66" s="3">
        <f>HAVER!B286</f>
        <v>48544</v>
      </c>
      <c r="G66" s="4">
        <f>HAVER!G285</f>
        <v>4.74</v>
      </c>
      <c r="I66" s="8">
        <v>45017</v>
      </c>
      <c r="J66" s="3">
        <f>HAVER!B286</f>
        <v>48544</v>
      </c>
      <c r="K66" s="4">
        <f>HAVER!H285</f>
        <v>4.26</v>
      </c>
      <c r="M66" s="8">
        <v>44652</v>
      </c>
      <c r="N66" s="5">
        <f>AVERAGE(HAVER!I272:I274)</f>
        <v>6.2</v>
      </c>
      <c r="O66" s="5">
        <f>AVERAGE(HAVER!J272:J274)</f>
        <v>5.8</v>
      </c>
      <c r="P66" s="5"/>
      <c r="Q66" s="5"/>
    </row>
    <row r="67" spans="1:22" x14ac:dyDescent="0.25">
      <c r="A67" s="8">
        <v>45047</v>
      </c>
      <c r="B67" s="3">
        <f>HAVER!B287</f>
        <v>50204</v>
      </c>
      <c r="C67" s="4">
        <f>HAVER!C287</f>
        <v>4.5599999999999996</v>
      </c>
      <c r="E67" s="8">
        <v>45047</v>
      </c>
      <c r="F67" s="3">
        <f>HAVER!B287</f>
        <v>50204</v>
      </c>
      <c r="G67" s="4">
        <f>HAVER!G286</f>
        <v>4.5999999999999996</v>
      </c>
      <c r="I67" s="8">
        <v>45047</v>
      </c>
      <c r="J67" s="3">
        <f>HAVER!B287</f>
        <v>50204</v>
      </c>
      <c r="K67" s="4">
        <f>HAVER!H286</f>
        <v>4.16</v>
      </c>
      <c r="M67" s="8">
        <v>44682</v>
      </c>
      <c r="N67" s="5">
        <f>AVERAGE(HAVER!I273:I275)</f>
        <v>6.8666666666666671</v>
      </c>
      <c r="O67" s="5">
        <f>AVERAGE(HAVER!J273:J275)</f>
        <v>6.3</v>
      </c>
      <c r="P67" s="5"/>
      <c r="Q67" s="5"/>
    </row>
    <row r="68" spans="1:22" x14ac:dyDescent="0.25">
      <c r="A68" s="8">
        <v>45078</v>
      </c>
      <c r="B68" s="3">
        <f>HAVER!B288</f>
        <v>53570</v>
      </c>
      <c r="C68" s="4">
        <f>HAVER!C288</f>
        <v>4.63</v>
      </c>
      <c r="E68" s="8">
        <v>45078</v>
      </c>
      <c r="F68" s="3">
        <f>HAVER!B288</f>
        <v>53570</v>
      </c>
      <c r="G68" s="4">
        <f>HAVER!G287</f>
        <v>4.72</v>
      </c>
      <c r="I68" s="8">
        <v>45078</v>
      </c>
      <c r="J68" s="3">
        <f>HAVER!B288</f>
        <v>53570</v>
      </c>
      <c r="K68" s="4">
        <f>HAVER!H287</f>
        <v>4.28</v>
      </c>
      <c r="M68" s="8">
        <v>44713</v>
      </c>
      <c r="N68" s="5">
        <f>AVERAGE(HAVER!I274:I276)</f>
        <v>7.0666666666666673</v>
      </c>
      <c r="O68" s="5">
        <f>AVERAGE(HAVER!J274:J276)</f>
        <v>6.7333333333333343</v>
      </c>
      <c r="P68" s="5"/>
      <c r="Q68" s="5"/>
    </row>
    <row r="69" spans="1:22" x14ac:dyDescent="0.25">
      <c r="A69" s="8">
        <v>45108</v>
      </c>
      <c r="B69" s="3">
        <f>HAVER!B289</f>
        <v>49273</v>
      </c>
      <c r="C69" s="4">
        <f>HAVER!C289</f>
        <v>4.66</v>
      </c>
      <c r="E69" s="8">
        <v>45108</v>
      </c>
      <c r="F69" s="3">
        <f>HAVER!B289</f>
        <v>49273</v>
      </c>
      <c r="G69" s="4">
        <f>HAVER!G288</f>
        <v>5.49</v>
      </c>
      <c r="I69" s="8">
        <v>45108</v>
      </c>
      <c r="J69" s="3">
        <f>HAVER!B289</f>
        <v>49273</v>
      </c>
      <c r="K69" s="4">
        <f>HAVER!H288</f>
        <v>4.95</v>
      </c>
      <c r="M69" s="8">
        <v>44743</v>
      </c>
      <c r="N69" s="5">
        <f>AVERAGE(HAVER!I275:I277)</f>
        <v>7.5666666666666664</v>
      </c>
      <c r="O69" s="5">
        <f>AVERAGE(HAVER!J275:J277)</f>
        <v>7.2</v>
      </c>
      <c r="P69" s="5">
        <f>AVERAGE(HAVER!M275:M277)</f>
        <v>5.5666666666666664</v>
      </c>
      <c r="Q69" s="5">
        <f>AVERAGE(HAVER!N275:N277)</f>
        <v>5.0333333333333323</v>
      </c>
    </row>
    <row r="70" spans="1:22" x14ac:dyDescent="0.25">
      <c r="A70" s="8">
        <v>45139</v>
      </c>
      <c r="B70" s="3">
        <f>HAVER!B290</f>
        <v>45702</v>
      </c>
      <c r="C70" s="4">
        <f>HAVER!C290</f>
        <v>4.82</v>
      </c>
      <c r="E70" s="8">
        <v>45139</v>
      </c>
      <c r="F70" s="3">
        <f>HAVER!B290</f>
        <v>45702</v>
      </c>
      <c r="G70" s="4">
        <f>HAVER!G289</f>
        <v>6.22</v>
      </c>
      <c r="I70" s="8">
        <v>45139</v>
      </c>
      <c r="J70" s="3">
        <f>HAVER!B290</f>
        <v>45702</v>
      </c>
      <c r="K70" s="4">
        <f>HAVER!H289</f>
        <v>5.71</v>
      </c>
      <c r="M70" s="8">
        <v>44774</v>
      </c>
      <c r="N70" s="5">
        <f>AVERAGE(HAVER!I276:I278)</f>
        <v>7.666666666666667</v>
      </c>
      <c r="O70" s="5">
        <f>AVERAGE(HAVER!J276:J278)</f>
        <v>7.4666666666666659</v>
      </c>
      <c r="P70" s="5">
        <f>AVERAGE(HAVER!M276:M278)</f>
        <v>5.8666666666666671</v>
      </c>
      <c r="Q70" s="5">
        <f>AVERAGE(HAVER!N276:N278)</f>
        <v>5.2666666666666666</v>
      </c>
      <c r="V70" s="3"/>
    </row>
    <row r="71" spans="1:22" x14ac:dyDescent="0.25">
      <c r="A71" s="8">
        <v>45170</v>
      </c>
      <c r="B71" s="3">
        <f>HAVER!B291</f>
        <v>44370</v>
      </c>
      <c r="C71" s="4">
        <f>HAVER!C291</f>
        <v>5.01</v>
      </c>
      <c r="E71" s="8">
        <v>45170</v>
      </c>
      <c r="F71" s="3">
        <f>HAVER!B291</f>
        <v>44370</v>
      </c>
      <c r="G71" s="4">
        <f>HAVER!G290</f>
        <v>6.18</v>
      </c>
      <c r="I71" s="8">
        <v>45170</v>
      </c>
      <c r="J71" s="3">
        <f>HAVER!B291</f>
        <v>44370</v>
      </c>
      <c r="K71" s="4">
        <f>HAVER!H290</f>
        <v>5.53</v>
      </c>
      <c r="M71" s="8">
        <v>44805</v>
      </c>
      <c r="N71" s="5">
        <f>AVERAGE(HAVER!I277:I279)</f>
        <v>7.666666666666667</v>
      </c>
      <c r="O71" s="5">
        <f>AVERAGE(HAVER!J277:J279)</f>
        <v>7.666666666666667</v>
      </c>
      <c r="P71" s="5">
        <f>AVERAGE(HAVER!M277:M279)</f>
        <v>6.1333333333333329</v>
      </c>
      <c r="Q71" s="5">
        <f>AVERAGE(HAVER!N277:N279)</f>
        <v>5.5333333333333341</v>
      </c>
      <c r="V71" s="3"/>
    </row>
    <row r="72" spans="1:22" x14ac:dyDescent="0.25">
      <c r="A72" s="8">
        <v>45200</v>
      </c>
      <c r="B72" s="3">
        <f>HAVER!B292</f>
        <v>48819</v>
      </c>
      <c r="C72" s="4">
        <f>HAVER!C292</f>
        <v>5.25</v>
      </c>
      <c r="E72" s="8">
        <v>45200</v>
      </c>
      <c r="F72" s="3">
        <f>HAVER!B292</f>
        <v>48819</v>
      </c>
      <c r="G72" s="4">
        <f>HAVER!G291</f>
        <v>5.91</v>
      </c>
      <c r="I72" s="8">
        <v>45200</v>
      </c>
      <c r="J72" s="3">
        <f>HAVER!B292</f>
        <v>48819</v>
      </c>
      <c r="K72" s="4">
        <f>HAVER!H291</f>
        <v>5.24</v>
      </c>
      <c r="M72" s="8">
        <v>44835</v>
      </c>
      <c r="N72" s="5">
        <f>AVERAGE(HAVER!I278:I280)</f>
        <v>7.6000000000000005</v>
      </c>
      <c r="O72" s="5">
        <f>AVERAGE(HAVER!J278:J280)</f>
        <v>7.666666666666667</v>
      </c>
      <c r="P72" s="5">
        <f>AVERAGE(HAVER!M278:M280)</f>
        <v>6.333333333333333</v>
      </c>
      <c r="Q72" s="5">
        <f>AVERAGE(HAVER!N278:N280)</f>
        <v>5.7333333333333334</v>
      </c>
      <c r="V72" s="3"/>
    </row>
    <row r="73" spans="1:22" x14ac:dyDescent="0.25">
      <c r="A73" s="8">
        <v>45231</v>
      </c>
      <c r="B73" s="3">
        <f>HAVER!B293</f>
        <v>50407</v>
      </c>
      <c r="C73" s="4">
        <f>HAVER!C293</f>
        <v>5.34</v>
      </c>
      <c r="E73" s="8">
        <v>45231</v>
      </c>
      <c r="F73" s="3">
        <f>HAVER!B293</f>
        <v>50407</v>
      </c>
      <c r="G73" s="4">
        <f>HAVER!G292</f>
        <v>5.6</v>
      </c>
      <c r="I73" s="8">
        <v>45231</v>
      </c>
      <c r="J73" s="3">
        <f>HAVER!B293</f>
        <v>50407</v>
      </c>
      <c r="K73" s="4">
        <f>HAVER!H292</f>
        <v>5.0199999999999996</v>
      </c>
      <c r="M73" s="8">
        <v>44866</v>
      </c>
      <c r="N73" s="5">
        <f>AVERAGE(HAVER!I279:I281)</f>
        <v>7.4666666666666659</v>
      </c>
      <c r="O73" s="5">
        <f>AVERAGE(HAVER!J279:J281)</f>
        <v>7.6000000000000005</v>
      </c>
      <c r="P73" s="5">
        <f>AVERAGE(HAVER!M279:M281)</f>
        <v>6.2333333333333334</v>
      </c>
      <c r="Q73" s="5">
        <f>AVERAGE(HAVER!N279:N281)</f>
        <v>5.833333333333333</v>
      </c>
      <c r="V73" s="3"/>
    </row>
    <row r="74" spans="1:22" x14ac:dyDescent="0.25">
      <c r="A74" s="8">
        <v>45261</v>
      </c>
      <c r="B74" s="3">
        <f>HAVER!B294</f>
        <v>52265</v>
      </c>
      <c r="C74" s="4">
        <f>HAVER!C294</f>
        <v>5.28</v>
      </c>
      <c r="E74" s="8">
        <v>45261</v>
      </c>
      <c r="F74" s="3">
        <f>HAVER!B294</f>
        <v>52265</v>
      </c>
      <c r="G74" s="4">
        <f>HAVER!G293</f>
        <v>5.28</v>
      </c>
      <c r="I74" s="8">
        <v>45261</v>
      </c>
      <c r="J74" s="3">
        <f>HAVER!B294</f>
        <v>52265</v>
      </c>
      <c r="K74" s="4">
        <f>HAVER!H293</f>
        <v>4.8899999999999997</v>
      </c>
      <c r="M74" s="8">
        <v>44896</v>
      </c>
      <c r="N74" s="5">
        <f>AVERAGE(HAVER!I280:I282)</f>
        <v>7.833333333333333</v>
      </c>
      <c r="O74" s="5">
        <f>AVERAGE(HAVER!J280:J282)</f>
        <v>7.6333333333333329</v>
      </c>
      <c r="P74" s="5">
        <f>AVERAGE(HAVER!M280:M282)</f>
        <v>6.2666666666666657</v>
      </c>
      <c r="Q74" s="5">
        <f>AVERAGE(HAVER!N280:N282)</f>
        <v>5.9666666666666659</v>
      </c>
      <c r="V74" s="3"/>
    </row>
    <row r="75" spans="1:22" x14ac:dyDescent="0.25">
      <c r="A75" s="8">
        <v>45292</v>
      </c>
      <c r="B75" s="3">
        <f>HAVER!B295</f>
        <v>56087</v>
      </c>
      <c r="C75" s="4">
        <f>HAVER!C295</f>
        <v>5.19</v>
      </c>
      <c r="E75" s="8">
        <v>45292</v>
      </c>
      <c r="F75" s="3">
        <f>HAVER!B295</f>
        <v>56087</v>
      </c>
      <c r="G75" s="4">
        <f>HAVER!G294</f>
        <v>5.03</v>
      </c>
      <c r="I75" s="8">
        <v>45292</v>
      </c>
      <c r="J75" s="3">
        <f>HAVER!B295</f>
        <v>56087</v>
      </c>
      <c r="K75" s="4">
        <f>HAVER!H294</f>
        <v>4.68</v>
      </c>
      <c r="M75" s="8">
        <v>44927</v>
      </c>
      <c r="N75" s="5">
        <f>AVERAGE(HAVER!I281:I283)</f>
        <v>7.8666666666666671</v>
      </c>
      <c r="O75" s="5">
        <f>AVERAGE(HAVER!J281:J283)</f>
        <v>7.7333333333333343</v>
      </c>
      <c r="P75" s="5">
        <f>AVERAGE(HAVER!M281:M283)</f>
        <v>6.333333333333333</v>
      </c>
      <c r="Q75" s="5">
        <f>AVERAGE(HAVER!N281:N283)</f>
        <v>5.9333333333333336</v>
      </c>
      <c r="V75" s="3"/>
    </row>
    <row r="76" spans="1:22" x14ac:dyDescent="0.25">
      <c r="A76" s="8">
        <v>45323</v>
      </c>
      <c r="B76" s="3">
        <f>HAVER!B296</f>
        <v>60383</v>
      </c>
      <c r="C76" s="4">
        <f>HAVER!C296</f>
        <v>4.9000000000000004</v>
      </c>
      <c r="E76" s="8">
        <v>45323</v>
      </c>
      <c r="F76" s="3">
        <f>HAVER!B296</f>
        <v>60383</v>
      </c>
      <c r="G76" s="4">
        <f>HAVER!G295</f>
        <v>4.7300000000000004</v>
      </c>
      <c r="I76" s="8">
        <v>45323</v>
      </c>
      <c r="J76" s="3">
        <f>HAVER!B296</f>
        <v>60383</v>
      </c>
      <c r="K76" s="4">
        <f>HAVER!H295</f>
        <v>4.4400000000000004</v>
      </c>
      <c r="M76" s="8">
        <v>44958</v>
      </c>
      <c r="N76" s="5">
        <f>AVERAGE(HAVER!I282:I284)</f>
        <v>8.0666666666666664</v>
      </c>
      <c r="O76" s="5">
        <f>AVERAGE(HAVER!J282:J284)</f>
        <v>7.9333333333333327</v>
      </c>
      <c r="P76" s="5">
        <f>AVERAGE(HAVER!M282:M284)</f>
        <v>6.5</v>
      </c>
      <c r="Q76" s="5">
        <f>AVERAGE(HAVER!N282:N284)</f>
        <v>5.9333333333333336</v>
      </c>
      <c r="V76" s="3"/>
    </row>
    <row r="77" spans="1:22" x14ac:dyDescent="0.25">
      <c r="A77" s="8">
        <v>45352</v>
      </c>
      <c r="B77" s="3"/>
      <c r="C77" s="4"/>
      <c r="E77" s="8">
        <v>45352</v>
      </c>
      <c r="F77" s="3"/>
      <c r="G77" s="4">
        <f>HAVER!G296</f>
        <v>4.7699999999999996</v>
      </c>
      <c r="I77" s="8">
        <v>45352</v>
      </c>
      <c r="J77" s="3"/>
      <c r="K77" s="4">
        <f>HAVER!H296</f>
        <v>4.4000000000000004</v>
      </c>
      <c r="M77" s="8">
        <v>44986</v>
      </c>
      <c r="N77" s="5">
        <f>AVERAGE(HAVER!I283:I285)</f>
        <v>7.833333333333333</v>
      </c>
      <c r="O77" s="5">
        <f>AVERAGE(HAVER!J283:J285)</f>
        <v>7.9333333333333336</v>
      </c>
      <c r="P77" s="5">
        <f>AVERAGE(HAVER!M283:M285)</f>
        <v>6.4666666666666659</v>
      </c>
      <c r="Q77" s="5">
        <f>AVERAGE(HAVER!N283:N285)</f>
        <v>5.7</v>
      </c>
    </row>
    <row r="78" spans="1:22" x14ac:dyDescent="0.25">
      <c r="A78" s="8"/>
      <c r="B78" s="3"/>
      <c r="C78" s="4"/>
      <c r="E78" s="8"/>
      <c r="F78" s="3"/>
      <c r="G78" s="4"/>
      <c r="I78" s="8"/>
      <c r="J78" s="3"/>
      <c r="K78" s="4"/>
      <c r="M78" s="8">
        <v>45017</v>
      </c>
      <c r="N78" s="5">
        <f>AVERAGE(HAVER!I284:I286)</f>
        <v>7.666666666666667</v>
      </c>
      <c r="O78" s="5">
        <f>AVERAGE(HAVER!J284:J286)</f>
        <v>7.8666666666666663</v>
      </c>
      <c r="P78" s="5">
        <f>AVERAGE(HAVER!M284:M286)</f>
        <v>6.5666666666666664</v>
      </c>
      <c r="Q78" s="5">
        <f>AVERAGE(HAVER!N284:N286)</f>
        <v>5.5999999999999988</v>
      </c>
    </row>
    <row r="79" spans="1:22" x14ac:dyDescent="0.25">
      <c r="A79" s="8"/>
      <c r="B79" s="4">
        <f>CORREL(B59:B76,C59:C76)</f>
        <v>-0.14295679698778582</v>
      </c>
      <c r="C79" s="4"/>
      <c r="E79" s="8" t="s">
        <v>345</v>
      </c>
      <c r="F79" s="4">
        <f>CORREL(F59:F76,G59:G76)</f>
        <v>-0.76358432056865821</v>
      </c>
      <c r="G79" s="4"/>
      <c r="H79" s="4"/>
      <c r="I79" s="4"/>
      <c r="J79" s="4">
        <f>CORREL(J59:J76,K59:K76)</f>
        <v>-0.72443579232614308</v>
      </c>
      <c r="K79" s="4"/>
      <c r="M79" s="8">
        <v>45047</v>
      </c>
      <c r="N79" s="5">
        <f>AVERAGE(HAVER!I285:I287)</f>
        <v>7.5999999999999988</v>
      </c>
      <c r="O79" s="5">
        <f>AVERAGE(HAVER!J285:J287)</f>
        <v>7.7</v>
      </c>
      <c r="P79" s="5">
        <f>AVERAGE(HAVER!M285:M287)</f>
        <v>6.6333333333333329</v>
      </c>
      <c r="Q79" s="5">
        <f>AVERAGE(HAVER!N285:N287)</f>
        <v>5.3999999999999995</v>
      </c>
    </row>
    <row r="80" spans="1:22" x14ac:dyDescent="0.25">
      <c r="M80" s="8">
        <v>45078</v>
      </c>
      <c r="N80" s="5">
        <f>AVERAGE(HAVER!I286:I288)</f>
        <v>7.3</v>
      </c>
      <c r="O80" s="5">
        <f>AVERAGE(HAVER!J286:J288)</f>
        <v>7.5333333333333341</v>
      </c>
      <c r="P80" s="5">
        <f>AVERAGE(HAVER!M286:M288)</f>
        <v>6.833333333333333</v>
      </c>
      <c r="Q80" s="5">
        <f>AVERAGE(HAVER!N286:N288)</f>
        <v>5.3000000000000007</v>
      </c>
    </row>
    <row r="81" spans="7:17" x14ac:dyDescent="0.25">
      <c r="G81" s="4">
        <f>G77-G70</f>
        <v>-1.4500000000000002</v>
      </c>
      <c r="K81" s="4">
        <f>K77-K70</f>
        <v>-1.3099999999999996</v>
      </c>
      <c r="M81" s="8">
        <v>45108</v>
      </c>
      <c r="N81" s="5">
        <f>AVERAGE(HAVER!I287:I289)</f>
        <v>7.4333333333333336</v>
      </c>
      <c r="O81" s="5">
        <f>AVERAGE(HAVER!J287:J289)</f>
        <v>7.4333333333333327</v>
      </c>
      <c r="P81" s="5">
        <f>AVERAGE(HAVER!M287:M289)</f>
        <v>6.8666666666666663</v>
      </c>
      <c r="Q81" s="5">
        <f>AVERAGE(HAVER!N287:N289)</f>
        <v>5.166666666666667</v>
      </c>
    </row>
    <row r="82" spans="7:17" x14ac:dyDescent="0.25">
      <c r="M82" s="8">
        <v>45139</v>
      </c>
      <c r="N82" s="5">
        <f>AVERAGE(HAVER!I288:I290)</f>
        <v>7.3999999999999995</v>
      </c>
      <c r="O82" s="5">
        <f>AVERAGE(HAVER!J288:J290)</f>
        <v>7.3666666666666671</v>
      </c>
      <c r="P82" s="5">
        <f>AVERAGE(HAVER!M288:M290)</f>
        <v>6.9000000000000012</v>
      </c>
      <c r="Q82" s="5">
        <f>AVERAGE(HAVER!N288:N290)</f>
        <v>5.1000000000000005</v>
      </c>
    </row>
    <row r="83" spans="7:17" x14ac:dyDescent="0.25">
      <c r="M83" s="8">
        <v>45170</v>
      </c>
      <c r="N83" s="5">
        <f>AVERAGE(HAVER!I289:I291)</f>
        <v>7.4000000000000012</v>
      </c>
      <c r="O83" s="5">
        <f>AVERAGE(HAVER!J289:J291)</f>
        <v>7.4000000000000012</v>
      </c>
      <c r="P83" s="5">
        <f>AVERAGE(HAVER!M289:M291)</f>
        <v>6.9000000000000012</v>
      </c>
      <c r="Q83" s="5">
        <f>AVERAGE(HAVER!N289:N291)</f>
        <v>5.0666666666666664</v>
      </c>
    </row>
    <row r="84" spans="7:17" x14ac:dyDescent="0.25">
      <c r="M84" s="8">
        <v>45200</v>
      </c>
      <c r="N84" s="5">
        <f>AVERAGE(HAVER!I290:I292)</f>
        <v>7.0666666666666664</v>
      </c>
      <c r="O84" s="5">
        <f>AVERAGE(HAVER!J290:J292)</f>
        <v>7.3</v>
      </c>
      <c r="P84" s="5">
        <f>AVERAGE(HAVER!M290:M292)</f>
        <v>6.9333333333333336</v>
      </c>
      <c r="Q84" s="5">
        <f>AVERAGE(HAVER!N290:N292)</f>
        <v>5.0999999999999996</v>
      </c>
    </row>
    <row r="85" spans="7:17" x14ac:dyDescent="0.25">
      <c r="M85" s="8">
        <v>45231</v>
      </c>
      <c r="N85" s="5">
        <f>AVERAGE(HAVER!I291:I293)</f>
        <v>6.5666666666666664</v>
      </c>
      <c r="O85" s="5">
        <f>AVERAGE(HAVER!J291:J293)</f>
        <v>7.0333333333333341</v>
      </c>
      <c r="P85" s="5">
        <f>AVERAGE(HAVER!M291:M293)</f>
        <v>6.9666666666666659</v>
      </c>
      <c r="Q85" s="5">
        <f>AVERAGE(HAVER!N291:N293)</f>
        <v>5.1333333333333337</v>
      </c>
    </row>
    <row r="86" spans="7:17" x14ac:dyDescent="0.25">
      <c r="M86" s="8">
        <v>45261</v>
      </c>
      <c r="N86" s="5">
        <f>AVERAGE(HAVER!I292:I294)</f>
        <v>5.9000000000000012</v>
      </c>
      <c r="O86" s="5">
        <f>AVERAGE(HAVER!J292:J294)</f>
        <v>6.5333333333333341</v>
      </c>
      <c r="P86" s="5">
        <f>AVERAGE(HAVER!M292:M294)</f>
        <v>6.9333333333333336</v>
      </c>
      <c r="Q86" s="5">
        <f>AVERAGE(HAVER!N292:N294)</f>
        <v>5.2</v>
      </c>
    </row>
    <row r="87" spans="7:17" x14ac:dyDescent="0.25">
      <c r="M87" s="8">
        <v>45292</v>
      </c>
      <c r="N87" s="5">
        <f>AVERAGE(HAVER!I293:I295)</f>
        <v>5.5666666666666664</v>
      </c>
      <c r="O87" s="5">
        <f>AVERAGE(HAVER!J293:J295)</f>
        <v>6.0333333333333341</v>
      </c>
      <c r="P87" s="5">
        <f>AVERAGE(HAVER!M293:M295)</f>
        <v>6.833333333333333</v>
      </c>
      <c r="Q87" s="5">
        <f>AVERAGE(HAVER!N293:N295)</f>
        <v>5.2</v>
      </c>
    </row>
    <row r="88" spans="7:17" x14ac:dyDescent="0.25">
      <c r="M88" s="8">
        <v>45323</v>
      </c>
      <c r="N88" s="5">
        <f>AVERAGE(HAVER!I294:I296)</f>
        <v>5.3666666666666671</v>
      </c>
      <c r="O88" s="5">
        <f>AVERAGE(HAVER!J294:J296)</f>
        <v>5.6333333333333329</v>
      </c>
      <c r="P88" s="5">
        <f>AVERAGE(HAVER!M294:M296)</f>
        <v>6.666666666666667</v>
      </c>
      <c r="Q88" s="5">
        <f>AVERAGE(HAVER!N294:N296)</f>
        <v>5.1333333333333337</v>
      </c>
    </row>
    <row r="89" spans="7:17" x14ac:dyDescent="0.25">
      <c r="M89" s="8">
        <v>45352</v>
      </c>
      <c r="N89" s="5">
        <f>AVERAGE(HAVER!I295:I297)</f>
        <v>5.333333333333333</v>
      </c>
      <c r="O89" s="5">
        <f>AVERAGE(HAVER!J295:J297)</f>
        <v>5.4333333333333336</v>
      </c>
      <c r="P89" s="5">
        <f>AVERAGE(HAVER!M295:M297)</f>
        <v>6.3666666666666671</v>
      </c>
      <c r="Q89" s="5">
        <f>AVERAGE(HAVER!N295:N297)</f>
        <v>4.8999999999999995</v>
      </c>
    </row>
    <row r="90" spans="7:17" x14ac:dyDescent="0.25">
      <c r="M90" s="8">
        <v>45383</v>
      </c>
    </row>
    <row r="91" spans="7:17" x14ac:dyDescent="0.25">
      <c r="M91" s="8">
        <v>45413</v>
      </c>
    </row>
    <row r="92" spans="7:17" x14ac:dyDescent="0.25">
      <c r="M92" s="8">
        <v>45444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1571-1401-4C26-8836-48668BEF9957}">
  <dimension ref="A1:N297"/>
  <sheetViews>
    <sheetView workbookViewId="0">
      <pane xSplit="1" ySplit="6" topLeftCell="B277" activePane="bottomRight" state="frozen"/>
      <selection pane="topRight" activeCell="B1" sqref="B1"/>
      <selection pane="bottomLeft" activeCell="A7" sqref="A7"/>
      <selection pane="bottomRight" activeCell="G2" sqref="G2"/>
    </sheetView>
  </sheetViews>
  <sheetFormatPr defaultRowHeight="15" x14ac:dyDescent="0.25"/>
  <cols>
    <col min="2" max="16" width="16.7109375" customWidth="1"/>
  </cols>
  <sheetData>
    <row r="1" spans="1:14" x14ac:dyDescent="0.25">
      <c r="A1" s="2" t="s">
        <v>6</v>
      </c>
      <c r="B1" t="s">
        <v>2</v>
      </c>
      <c r="C1" s="1" t="s">
        <v>320</v>
      </c>
      <c r="D1" s="1" t="s">
        <v>322</v>
      </c>
      <c r="E1" s="1" t="s">
        <v>323</v>
      </c>
      <c r="F1" t="s">
        <v>3</v>
      </c>
      <c r="G1" t="s">
        <v>4</v>
      </c>
      <c r="H1" t="s">
        <v>5</v>
      </c>
      <c r="I1" t="s">
        <v>329</v>
      </c>
      <c r="J1" t="s">
        <v>330</v>
      </c>
      <c r="K1" t="s">
        <v>331</v>
      </c>
      <c r="L1" t="s">
        <v>332</v>
      </c>
      <c r="M1" t="s">
        <v>0</v>
      </c>
      <c r="N1" t="s">
        <v>1</v>
      </c>
    </row>
    <row r="2" spans="1:14" s="6" customFormat="1" ht="90" x14ac:dyDescent="0.25">
      <c r="A2" s="6" t="s">
        <v>12</v>
      </c>
      <c r="B2" s="6" t="s">
        <v>17</v>
      </c>
      <c r="C2" s="6" t="s">
        <v>321</v>
      </c>
      <c r="D2" s="6" t="s">
        <v>324</v>
      </c>
      <c r="E2" s="6" t="s">
        <v>325</v>
      </c>
      <c r="F2" s="6" t="s">
        <v>20</v>
      </c>
      <c r="G2" s="6" t="s">
        <v>21</v>
      </c>
      <c r="H2" s="6" t="s">
        <v>22</v>
      </c>
      <c r="I2" s="6" t="s">
        <v>334</v>
      </c>
      <c r="J2" s="6" t="s">
        <v>335</v>
      </c>
      <c r="K2" s="6" t="s">
        <v>336</v>
      </c>
      <c r="L2" s="6" t="s">
        <v>337</v>
      </c>
      <c r="M2" s="6" t="s">
        <v>26</v>
      </c>
      <c r="N2" s="6" t="s">
        <v>27</v>
      </c>
    </row>
    <row r="3" spans="1:14" x14ac:dyDescent="0.25">
      <c r="A3" t="s">
        <v>11</v>
      </c>
      <c r="B3" t="s">
        <v>16</v>
      </c>
      <c r="C3" t="s">
        <v>319</v>
      </c>
      <c r="D3" t="s">
        <v>319</v>
      </c>
      <c r="E3" t="s">
        <v>319</v>
      </c>
      <c r="F3" t="s">
        <v>19</v>
      </c>
      <c r="G3" t="s">
        <v>19</v>
      </c>
      <c r="H3" t="s">
        <v>19</v>
      </c>
      <c r="I3" t="s">
        <v>333</v>
      </c>
      <c r="J3" t="s">
        <v>333</v>
      </c>
      <c r="K3" t="s">
        <v>333</v>
      </c>
      <c r="L3" t="s">
        <v>333</v>
      </c>
      <c r="M3" t="s">
        <v>25</v>
      </c>
      <c r="N3" t="s">
        <v>25</v>
      </c>
    </row>
    <row r="4" spans="1:14" x14ac:dyDescent="0.25">
      <c r="A4" t="s">
        <v>10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</row>
    <row r="5" spans="1:14" x14ac:dyDescent="0.25">
      <c r="A5" t="s">
        <v>9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  <c r="N5" t="s">
        <v>14</v>
      </c>
    </row>
    <row r="6" spans="1:14" x14ac:dyDescent="0.25">
      <c r="A6" t="s">
        <v>8</v>
      </c>
      <c r="B6" t="s">
        <v>13</v>
      </c>
      <c r="C6" t="s">
        <v>318</v>
      </c>
      <c r="D6" t="s">
        <v>318</v>
      </c>
      <c r="E6" t="s">
        <v>318</v>
      </c>
      <c r="F6" t="s">
        <v>18</v>
      </c>
      <c r="G6" t="s">
        <v>18</v>
      </c>
      <c r="H6" t="s">
        <v>18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</row>
    <row r="7" spans="1:14" x14ac:dyDescent="0.25">
      <c r="A7" t="s">
        <v>7</v>
      </c>
      <c r="B7" s="3">
        <v>82564</v>
      </c>
      <c r="C7" s="4" t="e">
        <v>#N/A</v>
      </c>
      <c r="D7" s="4" t="e">
        <v>#N/A</v>
      </c>
      <c r="E7" s="4" t="e">
        <v>#N/A</v>
      </c>
      <c r="F7" s="4">
        <v>7.13</v>
      </c>
      <c r="G7" s="4">
        <v>6.78</v>
      </c>
      <c r="H7" s="4">
        <v>7.09</v>
      </c>
      <c r="I7" s="5" t="e">
        <v>#N/A</v>
      </c>
      <c r="J7" s="5" t="e">
        <v>#N/A</v>
      </c>
      <c r="K7" s="5" t="e">
        <v>#N/A</v>
      </c>
      <c r="L7" s="5" t="e">
        <v>#N/A</v>
      </c>
      <c r="M7" s="5" t="e">
        <v>#N/A</v>
      </c>
      <c r="N7" s="5" t="e">
        <v>#N/A</v>
      </c>
    </row>
    <row r="8" spans="1:14" x14ac:dyDescent="0.25">
      <c r="A8" t="s">
        <v>28</v>
      </c>
      <c r="B8" s="3">
        <v>95885</v>
      </c>
      <c r="C8" s="4" t="e">
        <v>#N/A</v>
      </c>
      <c r="D8" s="4" t="e">
        <v>#N/A</v>
      </c>
      <c r="E8" s="4" t="e">
        <v>#N/A</v>
      </c>
      <c r="F8" s="4">
        <v>7.38</v>
      </c>
      <c r="G8" s="4">
        <v>6.79</v>
      </c>
      <c r="H8" s="4">
        <v>7.11</v>
      </c>
      <c r="I8" s="5" t="e">
        <v>#N/A</v>
      </c>
      <c r="J8" s="5" t="e">
        <v>#N/A</v>
      </c>
      <c r="K8" s="5" t="e">
        <v>#N/A</v>
      </c>
      <c r="L8" s="5" t="e">
        <v>#N/A</v>
      </c>
      <c r="M8" s="5" t="e">
        <v>#N/A</v>
      </c>
      <c r="N8" s="5" t="e">
        <v>#N/A</v>
      </c>
    </row>
    <row r="9" spans="1:14" x14ac:dyDescent="0.25">
      <c r="A9" t="s">
        <v>29</v>
      </c>
      <c r="B9" s="3">
        <v>96759</v>
      </c>
      <c r="C9" s="4" t="e">
        <v>#N/A</v>
      </c>
      <c r="D9" s="4" t="e">
        <v>#N/A</v>
      </c>
      <c r="E9" s="4" t="e">
        <v>#N/A</v>
      </c>
      <c r="F9" s="4">
        <v>7.62</v>
      </c>
      <c r="G9" s="4">
        <v>6.45</v>
      </c>
      <c r="H9" s="4">
        <v>6.94</v>
      </c>
      <c r="I9" s="5" t="e">
        <v>#N/A</v>
      </c>
      <c r="J9" s="5" t="e">
        <v>#N/A</v>
      </c>
      <c r="K9" s="5" t="e">
        <v>#N/A</v>
      </c>
      <c r="L9" s="5" t="e">
        <v>#N/A</v>
      </c>
      <c r="M9" s="5" t="e">
        <v>#N/A</v>
      </c>
      <c r="N9" s="5" t="e">
        <v>#N/A</v>
      </c>
    </row>
    <row r="10" spans="1:14" x14ac:dyDescent="0.25">
      <c r="A10" t="s">
        <v>30</v>
      </c>
      <c r="B10" s="3">
        <v>97567</v>
      </c>
      <c r="C10" s="4" t="e">
        <v>#N/A</v>
      </c>
      <c r="D10" s="4" t="e">
        <v>#N/A</v>
      </c>
      <c r="E10" s="4" t="e">
        <v>#N/A</v>
      </c>
      <c r="F10" s="4">
        <v>7.63</v>
      </c>
      <c r="G10" s="4">
        <v>6.31</v>
      </c>
      <c r="H10" s="4">
        <v>6.92</v>
      </c>
      <c r="I10" s="5" t="e">
        <v>#N/A</v>
      </c>
      <c r="J10" s="5" t="e">
        <v>#N/A</v>
      </c>
      <c r="K10" s="5" t="e">
        <v>#N/A</v>
      </c>
      <c r="L10" s="5" t="e">
        <v>#N/A</v>
      </c>
      <c r="M10" s="5" t="e">
        <v>#N/A</v>
      </c>
      <c r="N10" s="5" t="e">
        <v>#N/A</v>
      </c>
    </row>
    <row r="11" spans="1:14" x14ac:dyDescent="0.25">
      <c r="A11" t="s">
        <v>31</v>
      </c>
      <c r="B11" s="3">
        <v>94084</v>
      </c>
      <c r="C11" s="4" t="e">
        <v>#N/A</v>
      </c>
      <c r="D11" s="4" t="e">
        <v>#N/A</v>
      </c>
      <c r="E11" s="4" t="e">
        <v>#N/A</v>
      </c>
      <c r="F11" s="4">
        <v>7.64</v>
      </c>
      <c r="G11" s="4">
        <v>6.39</v>
      </c>
      <c r="H11" s="4">
        <v>6.9</v>
      </c>
      <c r="I11" s="5" t="e">
        <v>#N/A</v>
      </c>
      <c r="J11" s="5" t="e">
        <v>#N/A</v>
      </c>
      <c r="K11" s="5" t="e">
        <v>#N/A</v>
      </c>
      <c r="L11" s="5" t="e">
        <v>#N/A</v>
      </c>
      <c r="M11" s="5" t="e">
        <v>#N/A</v>
      </c>
      <c r="N11" s="5" t="e">
        <v>#N/A</v>
      </c>
    </row>
    <row r="12" spans="1:14" x14ac:dyDescent="0.25">
      <c r="A12" t="s">
        <v>32</v>
      </c>
      <c r="B12" s="3">
        <v>92642</v>
      </c>
      <c r="C12" s="4" t="e">
        <v>#N/A</v>
      </c>
      <c r="D12" s="4" t="e">
        <v>#N/A</v>
      </c>
      <c r="E12" s="4" t="e">
        <v>#N/A</v>
      </c>
      <c r="F12" s="4">
        <v>7.64</v>
      </c>
      <c r="G12" s="4">
        <v>6.46</v>
      </c>
      <c r="H12" s="4">
        <v>6.87</v>
      </c>
      <c r="I12" s="5" t="e">
        <v>#N/A</v>
      </c>
      <c r="J12" s="5" t="e">
        <v>#N/A</v>
      </c>
      <c r="K12" s="5" t="e">
        <v>#N/A</v>
      </c>
      <c r="L12" s="5" t="e">
        <v>#N/A</v>
      </c>
      <c r="M12" s="5" t="e">
        <v>#N/A</v>
      </c>
      <c r="N12" s="5" t="e">
        <v>#N/A</v>
      </c>
    </row>
    <row r="13" spans="1:14" x14ac:dyDescent="0.25">
      <c r="A13" t="s">
        <v>33</v>
      </c>
      <c r="B13" s="3">
        <v>89723</v>
      </c>
      <c r="C13" s="4" t="e">
        <v>#N/A</v>
      </c>
      <c r="D13" s="4" t="e">
        <v>#N/A</v>
      </c>
      <c r="E13" s="4" t="e">
        <v>#N/A</v>
      </c>
      <c r="F13" s="4">
        <v>7.64</v>
      </c>
      <c r="G13" s="4">
        <v>6.37</v>
      </c>
      <c r="H13" s="4">
        <v>6.81</v>
      </c>
      <c r="I13" s="5" t="e">
        <v>#N/A</v>
      </c>
      <c r="J13" s="5" t="e">
        <v>#N/A</v>
      </c>
      <c r="K13" s="5" t="e">
        <v>#N/A</v>
      </c>
      <c r="L13" s="5" t="e">
        <v>#N/A</v>
      </c>
      <c r="M13" s="5" t="e">
        <v>#N/A</v>
      </c>
      <c r="N13" s="5" t="e">
        <v>#N/A</v>
      </c>
    </row>
    <row r="14" spans="1:14" x14ac:dyDescent="0.25">
      <c r="A14" t="s">
        <v>34</v>
      </c>
      <c r="B14" s="3">
        <v>88465</v>
      </c>
      <c r="C14" s="4" t="e">
        <v>#N/A</v>
      </c>
      <c r="D14" s="4" t="e">
        <v>#N/A</v>
      </c>
      <c r="E14" s="4" t="e">
        <v>#N/A</v>
      </c>
      <c r="F14" s="4">
        <v>7.63</v>
      </c>
      <c r="G14" s="4">
        <v>6.35</v>
      </c>
      <c r="H14" s="4">
        <v>6.76</v>
      </c>
      <c r="I14" s="5" t="e">
        <v>#N/A</v>
      </c>
      <c r="J14" s="5" t="e">
        <v>#N/A</v>
      </c>
      <c r="K14" s="5" t="e">
        <v>#N/A</v>
      </c>
      <c r="L14" s="5" t="e">
        <v>#N/A</v>
      </c>
      <c r="M14" s="5" t="e">
        <v>#N/A</v>
      </c>
      <c r="N14" s="5" t="e">
        <v>#N/A</v>
      </c>
    </row>
    <row r="15" spans="1:14" x14ac:dyDescent="0.25">
      <c r="A15" t="s">
        <v>35</v>
      </c>
      <c r="B15" s="3">
        <v>93866</v>
      </c>
      <c r="C15" s="4" t="e">
        <v>#N/A</v>
      </c>
      <c r="D15" s="4" t="e">
        <v>#N/A</v>
      </c>
      <c r="E15" s="4" t="e">
        <v>#N/A</v>
      </c>
      <c r="F15" s="4">
        <v>7.59</v>
      </c>
      <c r="G15" s="4">
        <v>6.31</v>
      </c>
      <c r="H15" s="4">
        <v>6.7</v>
      </c>
      <c r="I15" s="5" t="e">
        <v>#N/A</v>
      </c>
      <c r="J15" s="5" t="e">
        <v>#N/A</v>
      </c>
      <c r="K15" s="5" t="e">
        <v>#N/A</v>
      </c>
      <c r="L15" s="5" t="e">
        <v>#N/A</v>
      </c>
      <c r="M15" s="5" t="e">
        <v>#N/A</v>
      </c>
      <c r="N15" s="5" t="e">
        <v>#N/A</v>
      </c>
    </row>
    <row r="16" spans="1:14" x14ac:dyDescent="0.25">
      <c r="A16" t="s">
        <v>36</v>
      </c>
      <c r="B16" s="3">
        <v>92226</v>
      </c>
      <c r="C16" s="4" t="e">
        <v>#N/A</v>
      </c>
      <c r="D16" s="4" t="e">
        <v>#N/A</v>
      </c>
      <c r="E16" s="4" t="e">
        <v>#N/A</v>
      </c>
      <c r="F16" s="4">
        <v>7.59</v>
      </c>
      <c r="G16" s="4">
        <v>6.05</v>
      </c>
      <c r="H16" s="4">
        <v>6.61</v>
      </c>
      <c r="I16" s="5" t="e">
        <v>#N/A</v>
      </c>
      <c r="J16" s="5" t="e">
        <v>#N/A</v>
      </c>
      <c r="K16" s="5" t="e">
        <v>#N/A</v>
      </c>
      <c r="L16" s="5" t="e">
        <v>#N/A</v>
      </c>
      <c r="M16" s="5" t="e">
        <v>#N/A</v>
      </c>
      <c r="N16" s="5" t="e">
        <v>#N/A</v>
      </c>
    </row>
    <row r="17" spans="1:14" x14ac:dyDescent="0.25">
      <c r="A17" t="s">
        <v>37</v>
      </c>
      <c r="B17" s="3">
        <v>95118</v>
      </c>
      <c r="C17" s="4" t="e">
        <v>#N/A</v>
      </c>
      <c r="D17" s="4" t="e">
        <v>#N/A</v>
      </c>
      <c r="E17" s="4" t="e">
        <v>#N/A</v>
      </c>
      <c r="F17" s="4">
        <v>7.59</v>
      </c>
      <c r="G17" s="4">
        <v>6.06</v>
      </c>
      <c r="H17" s="4">
        <v>6.58</v>
      </c>
      <c r="I17" s="5" t="e">
        <v>#N/A</v>
      </c>
      <c r="J17" s="5" t="e">
        <v>#N/A</v>
      </c>
      <c r="K17" s="5" t="e">
        <v>#N/A</v>
      </c>
      <c r="L17" s="5" t="e">
        <v>#N/A</v>
      </c>
      <c r="M17" s="5" t="e">
        <v>#N/A</v>
      </c>
      <c r="N17" s="5" t="e">
        <v>#N/A</v>
      </c>
    </row>
    <row r="18" spans="1:14" x14ac:dyDescent="0.25">
      <c r="A18" t="s">
        <v>38</v>
      </c>
      <c r="B18" s="3">
        <v>103225</v>
      </c>
      <c r="C18" s="4" t="e">
        <v>#N/A</v>
      </c>
      <c r="D18" s="4" t="e">
        <v>#N/A</v>
      </c>
      <c r="E18" s="4" t="e">
        <v>#N/A</v>
      </c>
      <c r="F18" s="4">
        <v>7.55</v>
      </c>
      <c r="G18" s="4">
        <v>6.03</v>
      </c>
      <c r="H18" s="4">
        <v>6.2</v>
      </c>
      <c r="I18" s="5" t="e">
        <v>#N/A</v>
      </c>
      <c r="J18" s="5" t="e">
        <v>#N/A</v>
      </c>
      <c r="K18" s="5" t="e">
        <v>#N/A</v>
      </c>
      <c r="L18" s="5" t="e">
        <v>#N/A</v>
      </c>
      <c r="M18" s="5" t="e">
        <v>#N/A</v>
      </c>
      <c r="N18" s="5" t="e">
        <v>#N/A</v>
      </c>
    </row>
    <row r="19" spans="1:14" x14ac:dyDescent="0.25">
      <c r="A19" t="s">
        <v>39</v>
      </c>
      <c r="B19" s="3">
        <v>98613</v>
      </c>
      <c r="C19" s="4" t="e">
        <v>#N/A</v>
      </c>
      <c r="D19" s="4" t="e">
        <v>#N/A</v>
      </c>
      <c r="E19" s="4" t="e">
        <v>#N/A</v>
      </c>
      <c r="F19" s="4">
        <v>7.56</v>
      </c>
      <c r="G19" s="4">
        <v>5.78</v>
      </c>
      <c r="H19" s="4">
        <v>6.14</v>
      </c>
      <c r="I19" s="5" t="e">
        <v>#N/A</v>
      </c>
      <c r="J19" s="5" t="e">
        <v>#N/A</v>
      </c>
      <c r="K19" s="5" t="e">
        <v>#N/A</v>
      </c>
      <c r="L19" s="5" t="e">
        <v>#N/A</v>
      </c>
      <c r="M19" s="5" t="e">
        <v>#N/A</v>
      </c>
      <c r="N19" s="5" t="e">
        <v>#N/A</v>
      </c>
    </row>
    <row r="20" spans="1:14" x14ac:dyDescent="0.25">
      <c r="A20" t="s">
        <v>40</v>
      </c>
      <c r="B20" s="3">
        <v>97859</v>
      </c>
      <c r="C20" s="4" t="e">
        <v>#N/A</v>
      </c>
      <c r="D20" s="4" t="e">
        <v>#N/A</v>
      </c>
      <c r="E20" s="4" t="e">
        <v>#N/A</v>
      </c>
      <c r="F20" s="4">
        <v>7.56</v>
      </c>
      <c r="G20" s="4">
        <v>5.7</v>
      </c>
      <c r="H20" s="4">
        <v>6</v>
      </c>
      <c r="I20" s="5" t="e">
        <v>#N/A</v>
      </c>
      <c r="J20" s="5" t="e">
        <v>#N/A</v>
      </c>
      <c r="K20" s="5" t="e">
        <v>#N/A</v>
      </c>
      <c r="L20" s="5" t="e">
        <v>#N/A</v>
      </c>
      <c r="M20" s="5" t="e">
        <v>#N/A</v>
      </c>
      <c r="N20" s="5" t="e">
        <v>#N/A</v>
      </c>
    </row>
    <row r="21" spans="1:14" x14ac:dyDescent="0.25">
      <c r="A21" t="s">
        <v>41</v>
      </c>
      <c r="B21" s="3">
        <v>102252</v>
      </c>
      <c r="C21" s="4" t="e">
        <v>#N/A</v>
      </c>
      <c r="D21" s="4" t="e">
        <v>#N/A</v>
      </c>
      <c r="E21" s="4" t="e">
        <v>#N/A</v>
      </c>
      <c r="F21" s="4">
        <v>7.27</v>
      </c>
      <c r="G21" s="4">
        <v>5.68</v>
      </c>
      <c r="H21" s="4">
        <v>5.91</v>
      </c>
      <c r="I21" s="5" t="e">
        <v>#N/A</v>
      </c>
      <c r="J21" s="5" t="e">
        <v>#N/A</v>
      </c>
      <c r="K21" s="5" t="e">
        <v>#N/A</v>
      </c>
      <c r="L21" s="5" t="e">
        <v>#N/A</v>
      </c>
      <c r="M21" s="5" t="e">
        <v>#N/A</v>
      </c>
      <c r="N21" s="5" t="e">
        <v>#N/A</v>
      </c>
    </row>
    <row r="22" spans="1:14" x14ac:dyDescent="0.25">
      <c r="A22" t="s">
        <v>42</v>
      </c>
      <c r="B22" s="3">
        <v>103020</v>
      </c>
      <c r="C22" s="4" t="e">
        <v>#N/A</v>
      </c>
      <c r="D22" s="4" t="e">
        <v>#N/A</v>
      </c>
      <c r="E22" s="4" t="e">
        <v>#N/A</v>
      </c>
      <c r="F22" s="4">
        <v>7.3</v>
      </c>
      <c r="G22" s="4">
        <v>5.63</v>
      </c>
      <c r="H22" s="4">
        <v>5.76</v>
      </c>
      <c r="I22" s="5" t="e">
        <v>#N/A</v>
      </c>
      <c r="J22" s="5" t="e">
        <v>#N/A</v>
      </c>
      <c r="K22" s="5" t="e">
        <v>#N/A</v>
      </c>
      <c r="L22" s="5" t="e">
        <v>#N/A</v>
      </c>
      <c r="M22" s="5" t="e">
        <v>#N/A</v>
      </c>
      <c r="N22" s="5" t="e">
        <v>#N/A</v>
      </c>
    </row>
    <row r="23" spans="1:14" x14ac:dyDescent="0.25">
      <c r="A23" t="s">
        <v>43</v>
      </c>
      <c r="B23" s="3">
        <v>107619</v>
      </c>
      <c r="C23" s="4" t="e">
        <v>#N/A</v>
      </c>
      <c r="D23" s="4" t="e">
        <v>#N/A</v>
      </c>
      <c r="E23" s="4" t="e">
        <v>#N/A</v>
      </c>
      <c r="F23" s="4">
        <v>7.03</v>
      </c>
      <c r="G23" s="4">
        <v>5.65</v>
      </c>
      <c r="H23" s="4">
        <v>5.78</v>
      </c>
      <c r="I23" s="5" t="e">
        <v>#N/A</v>
      </c>
      <c r="J23" s="5" t="e">
        <v>#N/A</v>
      </c>
      <c r="K23" s="5" t="e">
        <v>#N/A</v>
      </c>
      <c r="L23" s="5" t="e">
        <v>#N/A</v>
      </c>
      <c r="M23" s="5" t="e">
        <v>#N/A</v>
      </c>
      <c r="N23" s="5" t="e">
        <v>#N/A</v>
      </c>
    </row>
    <row r="24" spans="1:14" x14ac:dyDescent="0.25">
      <c r="A24" t="s">
        <v>44</v>
      </c>
      <c r="B24" s="3">
        <v>109523</v>
      </c>
      <c r="C24" s="4" t="e">
        <v>#N/A</v>
      </c>
      <c r="D24" s="4" t="e">
        <v>#N/A</v>
      </c>
      <c r="E24" s="4" t="e">
        <v>#N/A</v>
      </c>
      <c r="F24" s="4">
        <v>6.81</v>
      </c>
      <c r="G24" s="4">
        <v>5.72</v>
      </c>
      <c r="H24" s="4">
        <v>5.93</v>
      </c>
      <c r="I24" s="5" t="e">
        <v>#N/A</v>
      </c>
      <c r="J24" s="5" t="e">
        <v>#N/A</v>
      </c>
      <c r="K24" s="5" t="e">
        <v>#N/A</v>
      </c>
      <c r="L24" s="5" t="e">
        <v>#N/A</v>
      </c>
      <c r="M24" s="5" t="e">
        <v>#N/A</v>
      </c>
      <c r="N24" s="5" t="e">
        <v>#N/A</v>
      </c>
    </row>
    <row r="25" spans="1:14" x14ac:dyDescent="0.25">
      <c r="A25" t="s">
        <v>45</v>
      </c>
      <c r="B25" s="3">
        <v>113351</v>
      </c>
      <c r="C25" s="4" t="e">
        <v>#N/A</v>
      </c>
      <c r="D25" s="4" t="e">
        <v>#N/A</v>
      </c>
      <c r="E25" s="4" t="e">
        <v>#N/A</v>
      </c>
      <c r="F25" s="4">
        <v>6.81</v>
      </c>
      <c r="G25" s="4">
        <v>5.92</v>
      </c>
      <c r="H25" s="4">
        <v>6.07</v>
      </c>
      <c r="I25" s="5" t="e">
        <v>#N/A</v>
      </c>
      <c r="J25" s="5" t="e">
        <v>#N/A</v>
      </c>
      <c r="K25" s="5" t="e">
        <v>#N/A</v>
      </c>
      <c r="L25" s="5" t="e">
        <v>#N/A</v>
      </c>
      <c r="M25" s="5" t="e">
        <v>#N/A</v>
      </c>
      <c r="N25" s="5" t="e">
        <v>#N/A</v>
      </c>
    </row>
    <row r="26" spans="1:14" x14ac:dyDescent="0.25">
      <c r="A26" t="s">
        <v>46</v>
      </c>
      <c r="B26" s="3">
        <v>111275</v>
      </c>
      <c r="C26" s="4" t="e">
        <v>#N/A</v>
      </c>
      <c r="D26" s="4" t="e">
        <v>#N/A</v>
      </c>
      <c r="E26" s="4" t="e">
        <v>#N/A</v>
      </c>
      <c r="F26" s="4">
        <v>6.8</v>
      </c>
      <c r="G26" s="4">
        <v>5.58</v>
      </c>
      <c r="H26" s="4">
        <v>5.91</v>
      </c>
      <c r="I26" s="5" t="e">
        <v>#N/A</v>
      </c>
      <c r="J26" s="5" t="e">
        <v>#N/A</v>
      </c>
      <c r="K26" s="5" t="e">
        <v>#N/A</v>
      </c>
      <c r="L26" s="5" t="e">
        <v>#N/A</v>
      </c>
      <c r="M26" s="5" t="e">
        <v>#N/A</v>
      </c>
      <c r="N26" s="5" t="e">
        <v>#N/A</v>
      </c>
    </row>
    <row r="27" spans="1:14" x14ac:dyDescent="0.25">
      <c r="A27" t="s">
        <v>47</v>
      </c>
      <c r="B27" s="3">
        <v>103840</v>
      </c>
      <c r="C27" s="4" t="e">
        <v>#N/A</v>
      </c>
      <c r="D27" s="4" t="e">
        <v>#N/A</v>
      </c>
      <c r="E27" s="4" t="e">
        <v>#N/A</v>
      </c>
      <c r="F27" s="4">
        <v>6.54</v>
      </c>
      <c r="G27" s="4">
        <v>5.39</v>
      </c>
      <c r="H27" s="4">
        <v>5.77</v>
      </c>
      <c r="I27" s="5" t="e">
        <v>#N/A</v>
      </c>
      <c r="J27" s="5" t="e">
        <v>#N/A</v>
      </c>
      <c r="K27" s="5" t="e">
        <v>#N/A</v>
      </c>
      <c r="L27" s="5" t="e">
        <v>#N/A</v>
      </c>
      <c r="M27" s="5" t="e">
        <v>#N/A</v>
      </c>
      <c r="N27" s="5" t="e">
        <v>#N/A</v>
      </c>
    </row>
    <row r="28" spans="1:14" x14ac:dyDescent="0.25">
      <c r="A28" t="s">
        <v>48</v>
      </c>
      <c r="B28" s="3">
        <v>99337</v>
      </c>
      <c r="C28" s="4" t="e">
        <v>#N/A</v>
      </c>
      <c r="D28" s="4" t="e">
        <v>#N/A</v>
      </c>
      <c r="E28" s="4" t="e">
        <v>#N/A</v>
      </c>
      <c r="F28" s="4">
        <v>6.32</v>
      </c>
      <c r="G28" s="4">
        <v>5.0599999999999996</v>
      </c>
      <c r="H28" s="4">
        <v>5.61</v>
      </c>
      <c r="I28" s="5" t="e">
        <v>#N/A</v>
      </c>
      <c r="J28" s="5" t="e">
        <v>#N/A</v>
      </c>
      <c r="K28" s="5" t="e">
        <v>#N/A</v>
      </c>
      <c r="L28" s="5" t="e">
        <v>#N/A</v>
      </c>
      <c r="M28" s="5" t="e">
        <v>#N/A</v>
      </c>
      <c r="N28" s="5" t="e">
        <v>#N/A</v>
      </c>
    </row>
    <row r="29" spans="1:14" x14ac:dyDescent="0.25">
      <c r="A29" t="s">
        <v>49</v>
      </c>
      <c r="B29" s="3">
        <v>100845</v>
      </c>
      <c r="C29" s="4" t="e">
        <v>#N/A</v>
      </c>
      <c r="D29" s="4" t="e">
        <v>#N/A</v>
      </c>
      <c r="E29" s="4" t="e">
        <v>#N/A</v>
      </c>
      <c r="F29" s="4">
        <v>6.06</v>
      </c>
      <c r="G29" s="4">
        <v>4.84</v>
      </c>
      <c r="H29" s="4">
        <v>5.49</v>
      </c>
      <c r="I29" s="5" t="e">
        <v>#N/A</v>
      </c>
      <c r="J29" s="5" t="e">
        <v>#N/A</v>
      </c>
      <c r="K29" s="5" t="e">
        <v>#N/A</v>
      </c>
      <c r="L29" s="5" t="e">
        <v>#N/A</v>
      </c>
      <c r="M29" s="5" t="e">
        <v>#N/A</v>
      </c>
      <c r="N29" s="5" t="e">
        <v>#N/A</v>
      </c>
    </row>
    <row r="30" spans="1:14" x14ac:dyDescent="0.25">
      <c r="A30" t="s">
        <v>50</v>
      </c>
      <c r="B30" s="3">
        <v>108953</v>
      </c>
      <c r="C30" s="4" t="e">
        <v>#N/A</v>
      </c>
      <c r="D30" s="4" t="e">
        <v>#N/A</v>
      </c>
      <c r="E30" s="4" t="e">
        <v>#N/A</v>
      </c>
      <c r="F30" s="4">
        <v>5.67</v>
      </c>
      <c r="G30" s="4">
        <v>4.9800000000000004</v>
      </c>
      <c r="H30" s="4">
        <v>5.65</v>
      </c>
      <c r="I30" s="5" t="e">
        <v>#N/A</v>
      </c>
      <c r="J30" s="5" t="e">
        <v>#N/A</v>
      </c>
      <c r="K30" s="5" t="e">
        <v>#N/A</v>
      </c>
      <c r="L30" s="5" t="e">
        <v>#N/A</v>
      </c>
      <c r="M30" s="5" t="e">
        <v>#N/A</v>
      </c>
      <c r="N30" s="5" t="e">
        <v>#N/A</v>
      </c>
    </row>
    <row r="31" spans="1:14" x14ac:dyDescent="0.25">
      <c r="A31" t="s">
        <v>51</v>
      </c>
      <c r="B31" s="3">
        <v>120612</v>
      </c>
      <c r="C31" s="4" t="e">
        <v>#N/A</v>
      </c>
      <c r="D31" s="4" t="e">
        <v>#N/A</v>
      </c>
      <c r="E31" s="4" t="e">
        <v>#N/A</v>
      </c>
      <c r="F31" s="4">
        <v>5.66</v>
      </c>
      <c r="G31" s="4">
        <v>5.0599999999999996</v>
      </c>
      <c r="H31" s="4">
        <v>5.66</v>
      </c>
      <c r="I31" s="5" t="e">
        <v>#N/A</v>
      </c>
      <c r="J31" s="5" t="e">
        <v>#N/A</v>
      </c>
      <c r="K31" s="5" t="e">
        <v>#N/A</v>
      </c>
      <c r="L31" s="5" t="e">
        <v>#N/A</v>
      </c>
      <c r="M31" s="5" t="e">
        <v>#N/A</v>
      </c>
      <c r="N31" s="5" t="e">
        <v>#N/A</v>
      </c>
    </row>
    <row r="32" spans="1:14" x14ac:dyDescent="0.25">
      <c r="A32" t="s">
        <v>52</v>
      </c>
      <c r="B32" s="3">
        <v>124814</v>
      </c>
      <c r="C32" s="4" t="e">
        <v>#N/A</v>
      </c>
      <c r="D32" s="4" t="e">
        <v>#N/A</v>
      </c>
      <c r="E32" s="4" t="e">
        <v>#N/A</v>
      </c>
      <c r="F32" s="4">
        <v>5.66</v>
      </c>
      <c r="G32" s="4">
        <v>5.14</v>
      </c>
      <c r="H32" s="4">
        <v>5.69</v>
      </c>
      <c r="I32" s="5" t="e">
        <v>#N/A</v>
      </c>
      <c r="J32" s="5" t="e">
        <v>#N/A</v>
      </c>
      <c r="K32" s="5" t="e">
        <v>#N/A</v>
      </c>
      <c r="L32" s="5" t="e">
        <v>#N/A</v>
      </c>
      <c r="M32" s="5" t="e">
        <v>#N/A</v>
      </c>
      <c r="N32" s="5" t="e">
        <v>#N/A</v>
      </c>
    </row>
    <row r="33" spans="1:14" x14ac:dyDescent="0.25">
      <c r="A33" t="s">
        <v>53</v>
      </c>
      <c r="B33" s="3">
        <v>123657</v>
      </c>
      <c r="C33" s="4" t="e">
        <v>#N/A</v>
      </c>
      <c r="D33" s="4" t="e">
        <v>#N/A</v>
      </c>
      <c r="E33" s="4" t="e">
        <v>#N/A</v>
      </c>
      <c r="F33" s="4">
        <v>5.65</v>
      </c>
      <c r="G33" s="4">
        <v>5.22</v>
      </c>
      <c r="H33" s="4">
        <v>5.79</v>
      </c>
      <c r="I33" s="5" t="e">
        <v>#N/A</v>
      </c>
      <c r="J33" s="5" t="e">
        <v>#N/A</v>
      </c>
      <c r="K33" s="5" t="e">
        <v>#N/A</v>
      </c>
      <c r="L33" s="5" t="e">
        <v>#N/A</v>
      </c>
      <c r="M33" s="5" t="e">
        <v>#N/A</v>
      </c>
      <c r="N33" s="5" t="e">
        <v>#N/A</v>
      </c>
    </row>
    <row r="34" spans="1:14" x14ac:dyDescent="0.25">
      <c r="A34" t="s">
        <v>54</v>
      </c>
      <c r="B34" s="3">
        <v>120259</v>
      </c>
      <c r="C34" s="4" t="e">
        <v>#N/A</v>
      </c>
      <c r="D34" s="4" t="e">
        <v>#N/A</v>
      </c>
      <c r="E34" s="4" t="e">
        <v>#N/A</v>
      </c>
      <c r="F34" s="4">
        <v>5.65</v>
      </c>
      <c r="G34" s="4">
        <v>5.35</v>
      </c>
      <c r="H34" s="4">
        <v>5.86</v>
      </c>
      <c r="I34" s="5" t="e">
        <v>#N/A</v>
      </c>
      <c r="J34" s="5" t="e">
        <v>#N/A</v>
      </c>
      <c r="K34" s="5" t="e">
        <v>#N/A</v>
      </c>
      <c r="L34" s="5" t="e">
        <v>#N/A</v>
      </c>
      <c r="M34" s="5" t="e">
        <v>#N/A</v>
      </c>
      <c r="N34" s="5" t="e">
        <v>#N/A</v>
      </c>
    </row>
    <row r="35" spans="1:14" x14ac:dyDescent="0.25">
      <c r="A35" t="s">
        <v>55</v>
      </c>
      <c r="B35" s="3">
        <v>119343</v>
      </c>
      <c r="C35" s="4" t="e">
        <v>#N/A</v>
      </c>
      <c r="D35" s="4" t="e">
        <v>#N/A</v>
      </c>
      <c r="E35" s="4" t="e">
        <v>#N/A</v>
      </c>
      <c r="F35" s="4">
        <v>5.66</v>
      </c>
      <c r="G35" s="4">
        <v>5.43</v>
      </c>
      <c r="H35" s="4">
        <v>5.87</v>
      </c>
      <c r="I35" s="5" t="e">
        <v>#N/A</v>
      </c>
      <c r="J35" s="5" t="e">
        <v>#N/A</v>
      </c>
      <c r="K35" s="5" t="e">
        <v>#N/A</v>
      </c>
      <c r="L35" s="5" t="e">
        <v>#N/A</v>
      </c>
      <c r="M35" s="5" t="e">
        <v>#N/A</v>
      </c>
      <c r="N35" s="5" t="e">
        <v>#N/A</v>
      </c>
    </row>
    <row r="36" spans="1:14" x14ac:dyDescent="0.25">
      <c r="A36" t="s">
        <v>56</v>
      </c>
      <c r="B36" s="3">
        <v>117540</v>
      </c>
      <c r="C36" s="4" t="e">
        <v>#N/A</v>
      </c>
      <c r="D36" s="4" t="e">
        <v>#N/A</v>
      </c>
      <c r="E36" s="4" t="e">
        <v>#N/A</v>
      </c>
      <c r="F36" s="4">
        <v>5.66</v>
      </c>
      <c r="G36" s="4">
        <v>5.41</v>
      </c>
      <c r="H36" s="4">
        <v>5.81</v>
      </c>
      <c r="I36" s="5" t="e">
        <v>#N/A</v>
      </c>
      <c r="J36" s="5" t="e">
        <v>#N/A</v>
      </c>
      <c r="K36" s="5" t="e">
        <v>#N/A</v>
      </c>
      <c r="L36" s="5" t="e">
        <v>#N/A</v>
      </c>
      <c r="M36" s="5" t="e">
        <v>#N/A</v>
      </c>
      <c r="N36" s="5" t="e">
        <v>#N/A</v>
      </c>
    </row>
    <row r="37" spans="1:14" x14ac:dyDescent="0.25">
      <c r="A37" t="s">
        <v>57</v>
      </c>
      <c r="B37" s="3">
        <v>115337</v>
      </c>
      <c r="C37" s="4" t="e">
        <v>#N/A</v>
      </c>
      <c r="D37" s="4" t="e">
        <v>#N/A</v>
      </c>
      <c r="E37" s="4" t="e">
        <v>#N/A</v>
      </c>
      <c r="F37" s="4">
        <v>5.66</v>
      </c>
      <c r="G37" s="4">
        <v>5.3</v>
      </c>
      <c r="H37" s="4">
        <v>5.72</v>
      </c>
      <c r="I37" s="5" t="e">
        <v>#N/A</v>
      </c>
      <c r="J37" s="5" t="e">
        <v>#N/A</v>
      </c>
      <c r="K37" s="5" t="e">
        <v>#N/A</v>
      </c>
      <c r="L37" s="5" t="e">
        <v>#N/A</v>
      </c>
      <c r="M37" s="5" t="e">
        <v>#N/A</v>
      </c>
      <c r="N37" s="5" t="e">
        <v>#N/A</v>
      </c>
    </row>
    <row r="38" spans="1:14" x14ac:dyDescent="0.25">
      <c r="A38" t="s">
        <v>58</v>
      </c>
      <c r="B38" s="3">
        <v>111386</v>
      </c>
      <c r="C38" s="4" t="e">
        <v>#N/A</v>
      </c>
      <c r="D38" s="4" t="e">
        <v>#N/A</v>
      </c>
      <c r="E38" s="4" t="e">
        <v>#N/A</v>
      </c>
      <c r="F38" s="4">
        <v>5.66</v>
      </c>
      <c r="G38" s="4">
        <v>4.59</v>
      </c>
      <c r="H38" s="4">
        <v>5.27</v>
      </c>
      <c r="I38" s="5" t="e">
        <v>#N/A</v>
      </c>
      <c r="J38" s="5" t="e">
        <v>#N/A</v>
      </c>
      <c r="K38" s="5" t="e">
        <v>#N/A</v>
      </c>
      <c r="L38" s="5" t="e">
        <v>#N/A</v>
      </c>
      <c r="M38" s="5" t="e">
        <v>#N/A</v>
      </c>
      <c r="N38" s="5" t="e">
        <v>#N/A</v>
      </c>
    </row>
    <row r="39" spans="1:14" x14ac:dyDescent="0.25">
      <c r="A39" t="s">
        <v>59</v>
      </c>
      <c r="B39" s="3">
        <v>116444</v>
      </c>
      <c r="C39" s="4" t="e">
        <v>#N/A</v>
      </c>
      <c r="D39" s="4" t="e">
        <v>#N/A</v>
      </c>
      <c r="E39" s="4" t="e">
        <v>#N/A</v>
      </c>
      <c r="F39" s="4">
        <v>5.65</v>
      </c>
      <c r="G39" s="4">
        <v>4.5</v>
      </c>
      <c r="H39" s="4">
        <v>5.0599999999999996</v>
      </c>
      <c r="I39" s="5" t="e">
        <v>#N/A</v>
      </c>
      <c r="J39" s="5" t="e">
        <v>#N/A</v>
      </c>
      <c r="K39" s="5" t="e">
        <v>#N/A</v>
      </c>
      <c r="L39" s="5" t="e">
        <v>#N/A</v>
      </c>
      <c r="M39" s="5" t="e">
        <v>#N/A</v>
      </c>
      <c r="N39" s="5" t="e">
        <v>#N/A</v>
      </c>
    </row>
    <row r="40" spans="1:14" x14ac:dyDescent="0.25">
      <c r="A40" t="s">
        <v>60</v>
      </c>
      <c r="B40" s="3">
        <v>119988</v>
      </c>
      <c r="C40" s="4" t="e">
        <v>#N/A</v>
      </c>
      <c r="D40" s="4" t="e">
        <v>#N/A</v>
      </c>
      <c r="E40" s="4" t="e">
        <v>#N/A</v>
      </c>
      <c r="F40" s="4">
        <v>5.66</v>
      </c>
      <c r="G40" s="4">
        <v>4.43</v>
      </c>
      <c r="H40" s="4">
        <v>4.9800000000000004</v>
      </c>
      <c r="I40" s="5" t="e">
        <v>#N/A</v>
      </c>
      <c r="J40" s="5" t="e">
        <v>#N/A</v>
      </c>
      <c r="K40" s="5" t="e">
        <v>#N/A</v>
      </c>
      <c r="L40" s="5" t="e">
        <v>#N/A</v>
      </c>
      <c r="M40" s="5" t="e">
        <v>#N/A</v>
      </c>
      <c r="N40" s="5" t="e">
        <v>#N/A</v>
      </c>
    </row>
    <row r="41" spans="1:14" x14ac:dyDescent="0.25">
      <c r="A41" t="s">
        <v>61</v>
      </c>
      <c r="B41" s="3">
        <v>120000</v>
      </c>
      <c r="C41" s="4" t="e">
        <v>#N/A</v>
      </c>
      <c r="D41" s="4" t="e">
        <v>#N/A</v>
      </c>
      <c r="E41" s="4" t="e">
        <v>#N/A</v>
      </c>
      <c r="F41" s="4">
        <v>5.65</v>
      </c>
      <c r="G41" s="4">
        <v>4.45</v>
      </c>
      <c r="H41" s="4">
        <v>5.01</v>
      </c>
      <c r="I41" s="5" t="e">
        <v>#N/A</v>
      </c>
      <c r="J41" s="5" t="e">
        <v>#N/A</v>
      </c>
      <c r="K41" s="5" t="e">
        <v>#N/A</v>
      </c>
      <c r="L41" s="5" t="e">
        <v>#N/A</v>
      </c>
      <c r="M41" s="5" t="e">
        <v>#N/A</v>
      </c>
      <c r="N41" s="5" t="e">
        <v>#N/A</v>
      </c>
    </row>
    <row r="42" spans="1:14" x14ac:dyDescent="0.25">
      <c r="A42" t="s">
        <v>62</v>
      </c>
      <c r="B42" s="3">
        <v>112504</v>
      </c>
      <c r="C42" s="4" t="e">
        <v>#N/A</v>
      </c>
      <c r="D42" s="4" t="e">
        <v>#N/A</v>
      </c>
      <c r="E42" s="4" t="e">
        <v>#N/A</v>
      </c>
      <c r="F42" s="4">
        <v>5.64</v>
      </c>
      <c r="G42" s="4">
        <v>4.62</v>
      </c>
      <c r="H42" s="4">
        <v>5.0999999999999996</v>
      </c>
      <c r="I42" s="5" t="e">
        <v>#N/A</v>
      </c>
      <c r="J42" s="5" t="e">
        <v>#N/A</v>
      </c>
      <c r="K42" s="5" t="e">
        <v>#N/A</v>
      </c>
      <c r="L42" s="5" t="e">
        <v>#N/A</v>
      </c>
      <c r="M42" s="5" t="e">
        <v>#N/A</v>
      </c>
      <c r="N42" s="5" t="e">
        <v>#N/A</v>
      </c>
    </row>
    <row r="43" spans="1:14" x14ac:dyDescent="0.25">
      <c r="A43" t="s">
        <v>63</v>
      </c>
      <c r="B43" s="3">
        <v>107928</v>
      </c>
      <c r="C43" s="4" t="e">
        <v>#N/A</v>
      </c>
      <c r="D43" s="4" t="e">
        <v>#N/A</v>
      </c>
      <c r="E43" s="4" t="e">
        <v>#N/A</v>
      </c>
      <c r="F43" s="4">
        <v>5.64</v>
      </c>
      <c r="G43" s="4">
        <v>4.5</v>
      </c>
      <c r="H43" s="4">
        <v>4.99</v>
      </c>
      <c r="I43" s="5" t="e">
        <v>#N/A</v>
      </c>
      <c r="J43" s="5" t="e">
        <v>#N/A</v>
      </c>
      <c r="K43" s="5" t="e">
        <v>#N/A</v>
      </c>
      <c r="L43" s="5" t="e">
        <v>#N/A</v>
      </c>
      <c r="M43" s="5" t="e">
        <v>#N/A</v>
      </c>
      <c r="N43" s="5" t="e">
        <v>#N/A</v>
      </c>
    </row>
    <row r="44" spans="1:14" x14ac:dyDescent="0.25">
      <c r="A44" t="s">
        <v>64</v>
      </c>
      <c r="B44" s="3">
        <v>99840</v>
      </c>
      <c r="C44" s="4" t="e">
        <v>#N/A</v>
      </c>
      <c r="D44" s="4" t="e">
        <v>#N/A</v>
      </c>
      <c r="E44" s="4" t="e">
        <v>#N/A</v>
      </c>
      <c r="F44" s="4">
        <v>5.63</v>
      </c>
      <c r="G44" s="4">
        <v>4.1399999999999997</v>
      </c>
      <c r="H44" s="4">
        <v>4.74</v>
      </c>
      <c r="I44" s="5" t="e">
        <v>#N/A</v>
      </c>
      <c r="J44" s="5" t="e">
        <v>#N/A</v>
      </c>
      <c r="K44" s="5" t="e">
        <v>#N/A</v>
      </c>
      <c r="L44" s="5" t="e">
        <v>#N/A</v>
      </c>
      <c r="M44" s="5" t="e">
        <v>#N/A</v>
      </c>
      <c r="N44" s="5" t="e">
        <v>#N/A</v>
      </c>
    </row>
    <row r="45" spans="1:14" x14ac:dyDescent="0.25">
      <c r="A45" t="s">
        <v>65</v>
      </c>
      <c r="B45" s="3">
        <v>96701</v>
      </c>
      <c r="C45" s="4" t="e">
        <v>#N/A</v>
      </c>
      <c r="D45" s="4" t="e">
        <v>#N/A</v>
      </c>
      <c r="E45" s="4" t="e">
        <v>#N/A</v>
      </c>
      <c r="F45" s="4">
        <v>5.49</v>
      </c>
      <c r="G45" s="4">
        <v>4.0599999999999996</v>
      </c>
      <c r="H45" s="4">
        <v>4.76</v>
      </c>
      <c r="I45" s="5" t="e">
        <v>#N/A</v>
      </c>
      <c r="J45" s="5" t="e">
        <v>#N/A</v>
      </c>
      <c r="K45" s="5" t="e">
        <v>#N/A</v>
      </c>
      <c r="L45" s="5" t="e">
        <v>#N/A</v>
      </c>
      <c r="M45" s="5" t="e">
        <v>#N/A</v>
      </c>
      <c r="N45" s="5" t="e">
        <v>#N/A</v>
      </c>
    </row>
    <row r="46" spans="1:14" x14ac:dyDescent="0.25">
      <c r="A46" t="s">
        <v>66</v>
      </c>
      <c r="B46" s="3">
        <v>100961</v>
      </c>
      <c r="C46" s="4" t="e">
        <v>#N/A</v>
      </c>
      <c r="D46" s="4" t="e">
        <v>#N/A</v>
      </c>
      <c r="E46" s="4" t="e">
        <v>#N/A</v>
      </c>
      <c r="F46" s="4">
        <v>5.51</v>
      </c>
      <c r="G46" s="4">
        <v>4.0599999999999996</v>
      </c>
      <c r="H46" s="4">
        <v>4.75</v>
      </c>
      <c r="I46" s="5" t="e">
        <v>#N/A</v>
      </c>
      <c r="J46" s="5" t="e">
        <v>#N/A</v>
      </c>
      <c r="K46" s="5" t="e">
        <v>#N/A</v>
      </c>
      <c r="L46" s="5" t="e">
        <v>#N/A</v>
      </c>
      <c r="M46" s="5" t="e">
        <v>#N/A</v>
      </c>
      <c r="N46" s="5" t="e">
        <v>#N/A</v>
      </c>
    </row>
    <row r="47" spans="1:14" x14ac:dyDescent="0.25">
      <c r="A47" t="s">
        <v>67</v>
      </c>
      <c r="B47" s="3">
        <v>99870</v>
      </c>
      <c r="C47" s="4" t="e">
        <v>#N/A</v>
      </c>
      <c r="D47" s="4" t="e">
        <v>#N/A</v>
      </c>
      <c r="E47" s="4" t="e">
        <v>#N/A</v>
      </c>
      <c r="F47" s="4">
        <v>5.5</v>
      </c>
      <c r="G47" s="4">
        <v>3.91</v>
      </c>
      <c r="H47" s="4">
        <v>4.6399999999999997</v>
      </c>
      <c r="I47" s="5" t="e">
        <v>#N/A</v>
      </c>
      <c r="J47" s="5" t="e">
        <v>#N/A</v>
      </c>
      <c r="K47" s="5" t="e">
        <v>#N/A</v>
      </c>
      <c r="L47" s="5" t="e">
        <v>#N/A</v>
      </c>
      <c r="M47" s="5" t="e">
        <v>#N/A</v>
      </c>
      <c r="N47" s="5" t="e">
        <v>#N/A</v>
      </c>
    </row>
    <row r="48" spans="1:14" x14ac:dyDescent="0.25">
      <c r="A48" t="s">
        <v>68</v>
      </c>
      <c r="B48" s="3">
        <v>106117</v>
      </c>
      <c r="C48" s="4" t="e">
        <v>#N/A</v>
      </c>
      <c r="D48" s="4" t="e">
        <v>#N/A</v>
      </c>
      <c r="E48" s="4" t="e">
        <v>#N/A</v>
      </c>
      <c r="F48" s="4">
        <v>5.5</v>
      </c>
      <c r="G48" s="4">
        <v>3.85</v>
      </c>
      <c r="H48" s="4">
        <v>4.3600000000000003</v>
      </c>
      <c r="I48" s="5" t="e">
        <v>#N/A</v>
      </c>
      <c r="J48" s="5" t="e">
        <v>#N/A</v>
      </c>
      <c r="K48" s="5" t="e">
        <v>#N/A</v>
      </c>
      <c r="L48" s="5" t="e">
        <v>#N/A</v>
      </c>
      <c r="M48" s="5" t="e">
        <v>#N/A</v>
      </c>
      <c r="N48" s="5" t="e">
        <v>#N/A</v>
      </c>
    </row>
    <row r="49" spans="1:14" x14ac:dyDescent="0.25">
      <c r="A49" t="s">
        <v>69</v>
      </c>
      <c r="B49" s="3">
        <v>114500</v>
      </c>
      <c r="C49" s="4" t="e">
        <v>#N/A</v>
      </c>
      <c r="D49" s="4" t="e">
        <v>#N/A</v>
      </c>
      <c r="E49" s="4" t="e">
        <v>#N/A</v>
      </c>
      <c r="F49" s="4">
        <v>5.5</v>
      </c>
      <c r="G49" s="4">
        <v>3.87</v>
      </c>
      <c r="H49" s="4">
        <v>4.4800000000000004</v>
      </c>
      <c r="I49" s="5" t="e">
        <v>#N/A</v>
      </c>
      <c r="J49" s="5" t="e">
        <v>#N/A</v>
      </c>
      <c r="K49" s="5" t="e">
        <v>#N/A</v>
      </c>
      <c r="L49" s="5" t="e">
        <v>#N/A</v>
      </c>
      <c r="M49" s="5" t="e">
        <v>#N/A</v>
      </c>
      <c r="N49" s="5" t="e">
        <v>#N/A</v>
      </c>
    </row>
    <row r="50" spans="1:14" x14ac:dyDescent="0.25">
      <c r="A50" t="s">
        <v>70</v>
      </c>
      <c r="B50" s="3">
        <v>122839</v>
      </c>
      <c r="C50" s="4" t="e">
        <v>#N/A</v>
      </c>
      <c r="D50" s="4" t="e">
        <v>#N/A</v>
      </c>
      <c r="E50" s="4" t="e">
        <v>#N/A</v>
      </c>
      <c r="F50" s="4">
        <v>5.32</v>
      </c>
      <c r="G50" s="4">
        <v>4.32</v>
      </c>
      <c r="H50" s="4">
        <v>4.8099999999999996</v>
      </c>
      <c r="I50" s="5" t="e">
        <v>#N/A</v>
      </c>
      <c r="J50" s="5" t="e">
        <v>#N/A</v>
      </c>
      <c r="K50" s="5" t="e">
        <v>#N/A</v>
      </c>
      <c r="L50" s="5" t="e">
        <v>#N/A</v>
      </c>
      <c r="M50" s="5" t="e">
        <v>#N/A</v>
      </c>
      <c r="N50" s="5" t="e">
        <v>#N/A</v>
      </c>
    </row>
    <row r="51" spans="1:14" x14ac:dyDescent="0.25">
      <c r="A51" t="s">
        <v>71</v>
      </c>
      <c r="B51" s="3">
        <v>128918</v>
      </c>
      <c r="C51" s="4" t="e">
        <v>#N/A</v>
      </c>
      <c r="D51" s="4" t="e">
        <v>#N/A</v>
      </c>
      <c r="E51" s="4" t="e">
        <v>#N/A</v>
      </c>
      <c r="F51" s="4">
        <v>5.31</v>
      </c>
      <c r="G51" s="4">
        <v>4.5599999999999996</v>
      </c>
      <c r="H51" s="4">
        <v>5.05</v>
      </c>
      <c r="I51" s="5" t="e">
        <v>#N/A</v>
      </c>
      <c r="J51" s="5" t="e">
        <v>#N/A</v>
      </c>
      <c r="K51" s="5" t="e">
        <v>#N/A</v>
      </c>
      <c r="L51" s="5" t="e">
        <v>#N/A</v>
      </c>
      <c r="M51" s="5" t="e">
        <v>#N/A</v>
      </c>
      <c r="N51" s="5" t="e">
        <v>#N/A</v>
      </c>
    </row>
    <row r="52" spans="1:14" x14ac:dyDescent="0.25">
      <c r="A52" t="s">
        <v>72</v>
      </c>
      <c r="B52" s="3">
        <v>128764</v>
      </c>
      <c r="C52" s="4" t="e">
        <v>#N/A</v>
      </c>
      <c r="D52" s="4" t="e">
        <v>#N/A</v>
      </c>
      <c r="E52" s="4" t="e">
        <v>#N/A</v>
      </c>
      <c r="F52" s="4">
        <v>5.3</v>
      </c>
      <c r="G52" s="4">
        <v>4.9800000000000004</v>
      </c>
      <c r="H52" s="4">
        <v>5.41</v>
      </c>
      <c r="I52" s="5" t="e">
        <v>#N/A</v>
      </c>
      <c r="J52" s="5" t="e">
        <v>#N/A</v>
      </c>
      <c r="K52" s="5" t="e">
        <v>#N/A</v>
      </c>
      <c r="L52" s="5" t="e">
        <v>#N/A</v>
      </c>
      <c r="M52" s="5" t="e">
        <v>#N/A</v>
      </c>
      <c r="N52" s="5" t="e">
        <v>#N/A</v>
      </c>
    </row>
    <row r="53" spans="1:14" x14ac:dyDescent="0.25">
      <c r="A53" t="s">
        <v>73</v>
      </c>
      <c r="B53" s="3">
        <v>131841</v>
      </c>
      <c r="C53" s="4" t="e">
        <v>#N/A</v>
      </c>
      <c r="D53" s="4" t="e">
        <v>#N/A</v>
      </c>
      <c r="E53" s="4" t="e">
        <v>#N/A</v>
      </c>
      <c r="F53" s="4">
        <v>5.32</v>
      </c>
      <c r="G53" s="4">
        <v>5.0999999999999996</v>
      </c>
      <c r="H53" s="4">
        <v>5.54</v>
      </c>
      <c r="I53" s="5" t="e">
        <v>#N/A</v>
      </c>
      <c r="J53" s="5" t="e">
        <v>#N/A</v>
      </c>
      <c r="K53" s="5" t="e">
        <v>#N/A</v>
      </c>
      <c r="L53" s="5" t="e">
        <v>#N/A</v>
      </c>
      <c r="M53" s="5" t="e">
        <v>#N/A</v>
      </c>
      <c r="N53" s="5" t="e">
        <v>#N/A</v>
      </c>
    </row>
    <row r="54" spans="1:14" x14ac:dyDescent="0.25">
      <c r="A54" t="s">
        <v>74</v>
      </c>
      <c r="B54" s="3">
        <v>132707</v>
      </c>
      <c r="C54" s="4" t="e">
        <v>#N/A</v>
      </c>
      <c r="D54" s="4" t="e">
        <v>#N/A</v>
      </c>
      <c r="E54" s="4" t="e">
        <v>#N/A</v>
      </c>
      <c r="F54" s="4">
        <v>5.59</v>
      </c>
      <c r="G54" s="4">
        <v>5.05</v>
      </c>
      <c r="H54" s="4">
        <v>5.53</v>
      </c>
      <c r="I54" s="5" t="e">
        <v>#N/A</v>
      </c>
      <c r="J54" s="5" t="e">
        <v>#N/A</v>
      </c>
      <c r="K54" s="5" t="e">
        <v>#N/A</v>
      </c>
      <c r="L54" s="5" t="e">
        <v>#N/A</v>
      </c>
      <c r="M54" s="5" t="e">
        <v>#N/A</v>
      </c>
      <c r="N54" s="5" t="e">
        <v>#N/A</v>
      </c>
    </row>
    <row r="55" spans="1:14" x14ac:dyDescent="0.25">
      <c r="A55" t="s">
        <v>75</v>
      </c>
      <c r="B55" s="3">
        <v>127087</v>
      </c>
      <c r="C55" s="4" t="e">
        <v>#N/A</v>
      </c>
      <c r="D55" s="4" t="e">
        <v>#N/A</v>
      </c>
      <c r="E55" s="4" t="e">
        <v>#N/A</v>
      </c>
      <c r="F55" s="4">
        <v>5.59</v>
      </c>
      <c r="G55" s="4">
        <v>4.95</v>
      </c>
      <c r="H55" s="4">
        <v>5.43</v>
      </c>
      <c r="I55" s="5" t="e">
        <v>#N/A</v>
      </c>
      <c r="J55" s="5" t="e">
        <v>#N/A</v>
      </c>
      <c r="K55" s="5" t="e">
        <v>#N/A</v>
      </c>
      <c r="L55" s="5" t="e">
        <v>#N/A</v>
      </c>
      <c r="M55" s="5" t="e">
        <v>#N/A</v>
      </c>
      <c r="N55" s="5" t="e">
        <v>#N/A</v>
      </c>
    </row>
    <row r="56" spans="1:14" x14ac:dyDescent="0.25">
      <c r="A56" t="s">
        <v>76</v>
      </c>
      <c r="B56" s="3">
        <v>127599</v>
      </c>
      <c r="C56" s="4" t="e">
        <v>#N/A</v>
      </c>
      <c r="D56" s="4" t="e">
        <v>#N/A</v>
      </c>
      <c r="E56" s="4" t="e">
        <v>#N/A</v>
      </c>
      <c r="F56" s="4">
        <v>5.59</v>
      </c>
      <c r="G56" s="4">
        <v>4.8899999999999997</v>
      </c>
      <c r="H56" s="4">
        <v>5.38</v>
      </c>
      <c r="I56" s="5" t="e">
        <v>#N/A</v>
      </c>
      <c r="J56" s="5" t="e">
        <v>#N/A</v>
      </c>
      <c r="K56" s="5" t="e">
        <v>#N/A</v>
      </c>
      <c r="L56" s="5" t="e">
        <v>#N/A</v>
      </c>
      <c r="M56" s="5" t="e">
        <v>#N/A</v>
      </c>
      <c r="N56" s="5" t="e">
        <v>#N/A</v>
      </c>
    </row>
    <row r="57" spans="1:14" x14ac:dyDescent="0.25">
      <c r="A57" t="s">
        <v>77</v>
      </c>
      <c r="B57" s="3">
        <v>122940</v>
      </c>
      <c r="C57" s="4" t="e">
        <v>#N/A</v>
      </c>
      <c r="D57" s="4" t="e">
        <v>#N/A</v>
      </c>
      <c r="E57" s="4" t="e">
        <v>#N/A</v>
      </c>
      <c r="F57" s="4">
        <v>5.81</v>
      </c>
      <c r="G57" s="4">
        <v>4.9000000000000004</v>
      </c>
      <c r="H57" s="4">
        <v>5.39</v>
      </c>
      <c r="I57" s="5" t="e">
        <v>#N/A</v>
      </c>
      <c r="J57" s="5" t="e">
        <v>#N/A</v>
      </c>
      <c r="K57" s="5" t="e">
        <v>#N/A</v>
      </c>
      <c r="L57" s="5" t="e">
        <v>#N/A</v>
      </c>
      <c r="M57" s="5" t="e">
        <v>#N/A</v>
      </c>
      <c r="N57" s="5" t="e">
        <v>#N/A</v>
      </c>
    </row>
    <row r="58" spans="1:14" x14ac:dyDescent="0.25">
      <c r="A58" t="s">
        <v>78</v>
      </c>
      <c r="B58" s="3">
        <v>119842</v>
      </c>
      <c r="C58" s="4" t="e">
        <v>#N/A</v>
      </c>
      <c r="D58" s="4" t="e">
        <v>#N/A</v>
      </c>
      <c r="E58" s="4" t="e">
        <v>#N/A</v>
      </c>
      <c r="F58" s="4">
        <v>5.81</v>
      </c>
      <c r="G58" s="4">
        <v>5.1100000000000003</v>
      </c>
      <c r="H58" s="4">
        <v>5.52</v>
      </c>
      <c r="I58" s="5" t="e">
        <v>#N/A</v>
      </c>
      <c r="J58" s="5" t="e">
        <v>#N/A</v>
      </c>
      <c r="K58" s="5" t="e">
        <v>#N/A</v>
      </c>
      <c r="L58" s="5" t="e">
        <v>#N/A</v>
      </c>
      <c r="M58" s="5" t="e">
        <v>#N/A</v>
      </c>
      <c r="N58" s="5" t="e">
        <v>#N/A</v>
      </c>
    </row>
    <row r="59" spans="1:14" x14ac:dyDescent="0.25">
      <c r="A59" t="s">
        <v>79</v>
      </c>
      <c r="B59" s="3">
        <v>121568</v>
      </c>
      <c r="C59" s="4" t="e">
        <v>#N/A</v>
      </c>
      <c r="D59" s="4" t="e">
        <v>#N/A</v>
      </c>
      <c r="E59" s="4" t="e">
        <v>#N/A</v>
      </c>
      <c r="F59" s="4">
        <v>5.82</v>
      </c>
      <c r="G59" s="4">
        <v>5.18</v>
      </c>
      <c r="H59" s="4">
        <v>5.57</v>
      </c>
      <c r="I59" s="5" t="e">
        <v>#N/A</v>
      </c>
      <c r="J59" s="5" t="e">
        <v>#N/A</v>
      </c>
      <c r="K59" s="5" t="e">
        <v>#N/A</v>
      </c>
      <c r="L59" s="5" t="e">
        <v>#N/A</v>
      </c>
      <c r="M59" s="5" t="e">
        <v>#N/A</v>
      </c>
      <c r="N59" s="5" t="e">
        <v>#N/A</v>
      </c>
    </row>
    <row r="60" spans="1:14" x14ac:dyDescent="0.25">
      <c r="A60" t="s">
        <v>80</v>
      </c>
      <c r="B60" s="3">
        <v>111069</v>
      </c>
      <c r="C60" s="4" t="e">
        <v>#N/A</v>
      </c>
      <c r="D60" s="4" t="e">
        <v>#N/A</v>
      </c>
      <c r="E60" s="4" t="e">
        <v>#N/A</v>
      </c>
      <c r="F60" s="4">
        <v>6.08</v>
      </c>
      <c r="G60" s="4">
        <v>5.52</v>
      </c>
      <c r="H60" s="4">
        <v>5.87</v>
      </c>
      <c r="I60" s="5" t="e">
        <v>#N/A</v>
      </c>
      <c r="J60" s="5" t="e">
        <v>#N/A</v>
      </c>
      <c r="K60" s="5" t="e">
        <v>#N/A</v>
      </c>
      <c r="L60" s="5" t="e">
        <v>#N/A</v>
      </c>
      <c r="M60" s="5" t="e">
        <v>#N/A</v>
      </c>
      <c r="N60" s="5" t="e">
        <v>#N/A</v>
      </c>
    </row>
    <row r="61" spans="1:14" x14ac:dyDescent="0.25">
      <c r="A61" t="s">
        <v>81</v>
      </c>
      <c r="B61" s="3">
        <v>99432</v>
      </c>
      <c r="C61" s="4" t="e">
        <v>#N/A</v>
      </c>
      <c r="D61" s="4" t="e">
        <v>#N/A</v>
      </c>
      <c r="E61" s="4" t="e">
        <v>#N/A</v>
      </c>
      <c r="F61" s="4">
        <v>6.32</v>
      </c>
      <c r="G61" s="4">
        <v>5.53</v>
      </c>
      <c r="H61" s="4">
        <v>5.88</v>
      </c>
      <c r="I61" s="5" t="e">
        <v>#N/A</v>
      </c>
      <c r="J61" s="5" t="e">
        <v>#N/A</v>
      </c>
      <c r="K61" s="5" t="e">
        <v>#N/A</v>
      </c>
      <c r="L61" s="5" t="e">
        <v>#N/A</v>
      </c>
      <c r="M61" s="5" t="e">
        <v>#N/A</v>
      </c>
      <c r="N61" s="5" t="e">
        <v>#N/A</v>
      </c>
    </row>
    <row r="62" spans="1:14" x14ac:dyDescent="0.25">
      <c r="A62" t="s">
        <v>82</v>
      </c>
      <c r="B62" s="3">
        <v>92939</v>
      </c>
      <c r="C62" s="4" t="e">
        <v>#N/A</v>
      </c>
      <c r="D62" s="4" t="e">
        <v>#N/A</v>
      </c>
      <c r="E62" s="4" t="e">
        <v>#N/A</v>
      </c>
      <c r="F62" s="4">
        <v>6.32</v>
      </c>
      <c r="G62" s="4">
        <v>5.47</v>
      </c>
      <c r="H62" s="4">
        <v>5.84</v>
      </c>
      <c r="I62" s="5" t="e">
        <v>#N/A</v>
      </c>
      <c r="J62" s="5" t="e">
        <v>#N/A</v>
      </c>
      <c r="K62" s="5" t="e">
        <v>#N/A</v>
      </c>
      <c r="L62" s="5" t="e">
        <v>#N/A</v>
      </c>
      <c r="M62" s="5" t="e">
        <v>#N/A</v>
      </c>
      <c r="N62" s="5" t="e">
        <v>#N/A</v>
      </c>
    </row>
    <row r="63" spans="1:14" x14ac:dyDescent="0.25">
      <c r="A63" t="s">
        <v>83</v>
      </c>
      <c r="B63" s="3">
        <v>86491</v>
      </c>
      <c r="C63" s="4" t="e">
        <v>#N/A</v>
      </c>
      <c r="D63" s="4" t="e">
        <v>#N/A</v>
      </c>
      <c r="E63" s="4" t="e">
        <v>#N/A</v>
      </c>
      <c r="F63" s="4">
        <v>6.59</v>
      </c>
      <c r="G63" s="4">
        <v>5.33</v>
      </c>
      <c r="H63" s="4">
        <v>5.79</v>
      </c>
      <c r="I63" s="5" t="e">
        <v>#N/A</v>
      </c>
      <c r="J63" s="5" t="e">
        <v>#N/A</v>
      </c>
      <c r="K63" s="5" t="e">
        <v>#N/A</v>
      </c>
      <c r="L63" s="5" t="e">
        <v>#N/A</v>
      </c>
      <c r="M63" s="5" t="e">
        <v>#N/A</v>
      </c>
      <c r="N63" s="5" t="e">
        <v>#N/A</v>
      </c>
    </row>
    <row r="64" spans="1:14" x14ac:dyDescent="0.25">
      <c r="A64" t="s">
        <v>84</v>
      </c>
      <c r="B64" s="3">
        <v>86274</v>
      </c>
      <c r="C64" s="4" t="e">
        <v>#N/A</v>
      </c>
      <c r="D64" s="4" t="e">
        <v>#N/A</v>
      </c>
      <c r="E64" s="4" t="e">
        <v>#N/A</v>
      </c>
      <c r="F64" s="4">
        <v>6.61</v>
      </c>
      <c r="G64" s="4">
        <v>5.29</v>
      </c>
      <c r="H64" s="4">
        <v>5.68</v>
      </c>
      <c r="I64" s="5" t="e">
        <v>#N/A</v>
      </c>
      <c r="J64" s="5" t="e">
        <v>#N/A</v>
      </c>
      <c r="K64" s="5" t="e">
        <v>#N/A</v>
      </c>
      <c r="L64" s="5" t="e">
        <v>#N/A</v>
      </c>
      <c r="M64" s="5" t="e">
        <v>#N/A</v>
      </c>
      <c r="N64" s="5" t="e">
        <v>#N/A</v>
      </c>
    </row>
    <row r="65" spans="1:14" x14ac:dyDescent="0.25">
      <c r="A65" t="s">
        <v>85</v>
      </c>
      <c r="B65" s="3">
        <v>73583</v>
      </c>
      <c r="C65" s="4" t="e">
        <v>#N/A</v>
      </c>
      <c r="D65" s="4" t="e">
        <v>#N/A</v>
      </c>
      <c r="E65" s="4" t="e">
        <v>#N/A</v>
      </c>
      <c r="F65" s="4">
        <v>6.6</v>
      </c>
      <c r="G65" s="4">
        <v>5.0599999999999996</v>
      </c>
      <c r="H65" s="4">
        <v>5.49</v>
      </c>
      <c r="I65" s="5" t="e">
        <v>#N/A</v>
      </c>
      <c r="J65" s="5" t="e">
        <v>#N/A</v>
      </c>
      <c r="K65" s="5" t="e">
        <v>#N/A</v>
      </c>
      <c r="L65" s="5" t="e">
        <v>#N/A</v>
      </c>
      <c r="M65" s="5" t="e">
        <v>#N/A</v>
      </c>
      <c r="N65" s="5" t="e">
        <v>#N/A</v>
      </c>
    </row>
    <row r="66" spans="1:14" x14ac:dyDescent="0.25">
      <c r="A66" t="s">
        <v>86</v>
      </c>
      <c r="B66" s="3">
        <v>83444</v>
      </c>
      <c r="C66" s="4" t="e">
        <v>#N/A</v>
      </c>
      <c r="D66" s="4" t="e">
        <v>#N/A</v>
      </c>
      <c r="E66" s="4" t="e">
        <v>#N/A</v>
      </c>
      <c r="F66" s="4">
        <v>6.6</v>
      </c>
      <c r="G66" s="4">
        <v>5.07</v>
      </c>
      <c r="H66" s="4">
        <v>5.37</v>
      </c>
      <c r="I66" s="5" t="e">
        <v>#N/A</v>
      </c>
      <c r="J66" s="5" t="e">
        <v>#N/A</v>
      </c>
      <c r="K66" s="5" t="e">
        <v>#N/A</v>
      </c>
      <c r="L66" s="5" t="e">
        <v>#N/A</v>
      </c>
      <c r="M66" s="5" t="e">
        <v>#N/A</v>
      </c>
      <c r="N66" s="5" t="e">
        <v>#N/A</v>
      </c>
    </row>
    <row r="67" spans="1:14" x14ac:dyDescent="0.25">
      <c r="A67" t="s">
        <v>87</v>
      </c>
      <c r="B67" s="3">
        <v>81688</v>
      </c>
      <c r="C67" s="4" t="e">
        <v>#N/A</v>
      </c>
      <c r="D67" s="4" t="e">
        <v>#N/A</v>
      </c>
      <c r="E67" s="4" t="e">
        <v>#N/A</v>
      </c>
      <c r="F67" s="4">
        <v>6.61</v>
      </c>
      <c r="G67" s="4">
        <v>4.99</v>
      </c>
      <c r="H67" s="4">
        <v>5.2</v>
      </c>
      <c r="I67" s="5" t="e">
        <v>#N/A</v>
      </c>
      <c r="J67" s="5" t="e">
        <v>#N/A</v>
      </c>
      <c r="K67" s="5" t="e">
        <v>#N/A</v>
      </c>
      <c r="L67" s="5" t="e">
        <v>#N/A</v>
      </c>
      <c r="M67" s="5" t="e">
        <v>#N/A</v>
      </c>
      <c r="N67" s="5" t="e">
        <v>#N/A</v>
      </c>
    </row>
    <row r="68" spans="1:14" x14ac:dyDescent="0.25">
      <c r="A68" t="s">
        <v>88</v>
      </c>
      <c r="B68" s="3">
        <v>86259</v>
      </c>
      <c r="C68" s="4" t="e">
        <v>#N/A</v>
      </c>
      <c r="D68" s="4" t="e">
        <v>#N/A</v>
      </c>
      <c r="E68" s="4" t="e">
        <v>#N/A</v>
      </c>
      <c r="F68" s="4">
        <v>6.61</v>
      </c>
      <c r="G68" s="4">
        <v>5.07</v>
      </c>
      <c r="H68" s="4">
        <v>5.25</v>
      </c>
      <c r="I68" s="5" t="e">
        <v>#N/A</v>
      </c>
      <c r="J68" s="5" t="e">
        <v>#N/A</v>
      </c>
      <c r="K68" s="5" t="e">
        <v>#N/A</v>
      </c>
      <c r="L68" s="5" t="e">
        <v>#N/A</v>
      </c>
      <c r="M68" s="5" t="e">
        <v>#N/A</v>
      </c>
      <c r="N68" s="5" t="e">
        <v>#N/A</v>
      </c>
    </row>
    <row r="69" spans="1:14" x14ac:dyDescent="0.25">
      <c r="A69" t="s">
        <v>89</v>
      </c>
      <c r="B69" s="3">
        <v>91623</v>
      </c>
      <c r="C69" s="4" t="e">
        <v>#N/A</v>
      </c>
      <c r="D69" s="4" t="e">
        <v>#N/A</v>
      </c>
      <c r="E69" s="4" t="e">
        <v>#N/A</v>
      </c>
      <c r="F69" s="4">
        <v>6.61</v>
      </c>
      <c r="G69" s="4">
        <v>5.2</v>
      </c>
      <c r="H69" s="4">
        <v>5.28</v>
      </c>
      <c r="I69" s="5" t="e">
        <v>#N/A</v>
      </c>
      <c r="J69" s="5" t="e">
        <v>#N/A</v>
      </c>
      <c r="K69" s="5" t="e">
        <v>#N/A</v>
      </c>
      <c r="L69" s="5" t="e">
        <v>#N/A</v>
      </c>
      <c r="M69" s="5" t="e">
        <v>#N/A</v>
      </c>
      <c r="N69" s="5" t="e">
        <v>#N/A</v>
      </c>
    </row>
    <row r="70" spans="1:14" x14ac:dyDescent="0.25">
      <c r="A70" t="s">
        <v>90</v>
      </c>
      <c r="B70" s="3">
        <v>98248</v>
      </c>
      <c r="C70" s="4" t="e">
        <v>#N/A</v>
      </c>
      <c r="D70" s="4" t="e">
        <v>#N/A</v>
      </c>
      <c r="E70" s="4" t="e">
        <v>#N/A</v>
      </c>
      <c r="F70" s="4">
        <v>6.62</v>
      </c>
      <c r="G70" s="4">
        <v>5.16</v>
      </c>
      <c r="H70" s="4">
        <v>5.23</v>
      </c>
      <c r="I70" s="5" t="e">
        <v>#N/A</v>
      </c>
      <c r="J70" s="5" t="e">
        <v>#N/A</v>
      </c>
      <c r="K70" s="5" t="e">
        <v>#N/A</v>
      </c>
      <c r="L70" s="5" t="e">
        <v>#N/A</v>
      </c>
      <c r="M70" s="5" t="e">
        <v>#N/A</v>
      </c>
      <c r="N70" s="5" t="e">
        <v>#N/A</v>
      </c>
    </row>
    <row r="71" spans="1:14" x14ac:dyDescent="0.25">
      <c r="A71" t="s">
        <v>91</v>
      </c>
      <c r="B71" s="3">
        <v>94758</v>
      </c>
      <c r="C71" s="4" t="e">
        <v>#N/A</v>
      </c>
      <c r="D71" s="4" t="e">
        <v>#N/A</v>
      </c>
      <c r="E71" s="4" t="e">
        <v>#N/A</v>
      </c>
      <c r="F71" s="4">
        <v>6.62</v>
      </c>
      <c r="G71" s="4">
        <v>4.91</v>
      </c>
      <c r="H71" s="4">
        <v>5.05</v>
      </c>
      <c r="I71" s="5" t="e">
        <v>#N/A</v>
      </c>
      <c r="J71" s="5" t="e">
        <v>#N/A</v>
      </c>
      <c r="K71" s="5" t="e">
        <v>#N/A</v>
      </c>
      <c r="L71" s="5" t="e">
        <v>#N/A</v>
      </c>
      <c r="M71" s="5" t="e">
        <v>#N/A</v>
      </c>
      <c r="N71" s="5" t="e">
        <v>#N/A</v>
      </c>
    </row>
    <row r="72" spans="1:14" x14ac:dyDescent="0.25">
      <c r="A72" t="s">
        <v>92</v>
      </c>
      <c r="B72" s="3">
        <v>94610</v>
      </c>
      <c r="C72" s="4" t="e">
        <v>#N/A</v>
      </c>
      <c r="D72" s="4" t="e">
        <v>#N/A</v>
      </c>
      <c r="E72" s="4" t="e">
        <v>#N/A</v>
      </c>
      <c r="F72" s="4">
        <v>6.62</v>
      </c>
      <c r="G72" s="4">
        <v>4.7699999999999996</v>
      </c>
      <c r="H72" s="4">
        <v>4.92</v>
      </c>
      <c r="I72" s="5" t="e">
        <v>#N/A</v>
      </c>
      <c r="J72" s="5" t="e">
        <v>#N/A</v>
      </c>
      <c r="K72" s="5" t="e">
        <v>#N/A</v>
      </c>
      <c r="L72" s="5" t="e">
        <v>#N/A</v>
      </c>
      <c r="M72" s="5" t="e">
        <v>#N/A</v>
      </c>
      <c r="N72" s="5" t="e">
        <v>#N/A</v>
      </c>
    </row>
    <row r="73" spans="1:14" x14ac:dyDescent="0.25">
      <c r="A73" t="s">
        <v>93</v>
      </c>
      <c r="B73" s="3">
        <v>98571</v>
      </c>
      <c r="C73" s="4" t="e">
        <v>#N/A</v>
      </c>
      <c r="D73" s="4" t="e">
        <v>#N/A</v>
      </c>
      <c r="E73" s="4" t="e">
        <v>#N/A</v>
      </c>
      <c r="F73" s="4">
        <v>6.61</v>
      </c>
      <c r="G73" s="4">
        <v>4.59</v>
      </c>
      <c r="H73" s="4">
        <v>4.84</v>
      </c>
      <c r="I73" s="5" t="e">
        <v>#N/A</v>
      </c>
      <c r="J73" s="5" t="e">
        <v>#N/A</v>
      </c>
      <c r="K73" s="5" t="e">
        <v>#N/A</v>
      </c>
      <c r="L73" s="5" t="e">
        <v>#N/A</v>
      </c>
      <c r="M73" s="5" t="e">
        <v>#N/A</v>
      </c>
      <c r="N73" s="5" t="e">
        <v>#N/A</v>
      </c>
    </row>
    <row r="74" spans="1:14" x14ac:dyDescent="0.25">
      <c r="A74" t="s">
        <v>94</v>
      </c>
      <c r="B74" s="3">
        <v>102811</v>
      </c>
      <c r="C74" s="4" t="e">
        <v>#N/A</v>
      </c>
      <c r="D74" s="4" t="e">
        <v>#N/A</v>
      </c>
      <c r="E74" s="4" t="e">
        <v>#N/A</v>
      </c>
      <c r="F74" s="4">
        <v>6.58</v>
      </c>
      <c r="G74" s="4">
        <v>4.5599999999999996</v>
      </c>
      <c r="H74" s="4">
        <v>4.8499999999999996</v>
      </c>
      <c r="I74" s="5" t="e">
        <v>#N/A</v>
      </c>
      <c r="J74" s="5" t="e">
        <v>#N/A</v>
      </c>
      <c r="K74" s="5" t="e">
        <v>#N/A</v>
      </c>
      <c r="L74" s="5" t="e">
        <v>#N/A</v>
      </c>
      <c r="M74" s="5" t="e">
        <v>#N/A</v>
      </c>
      <c r="N74" s="5" t="e">
        <v>#N/A</v>
      </c>
    </row>
    <row r="75" spans="1:14" x14ac:dyDescent="0.25">
      <c r="A75" t="s">
        <v>95</v>
      </c>
      <c r="B75" s="3">
        <v>103949</v>
      </c>
      <c r="C75" s="4" t="e">
        <v>#N/A</v>
      </c>
      <c r="D75" s="4" t="e">
        <v>#N/A</v>
      </c>
      <c r="E75" s="4" t="e">
        <v>#N/A</v>
      </c>
      <c r="F75" s="4">
        <v>6.4</v>
      </c>
      <c r="G75" s="4">
        <v>4.5199999999999996</v>
      </c>
      <c r="H75" s="4">
        <v>4.82</v>
      </c>
      <c r="I75" s="5" t="e">
        <v>#N/A</v>
      </c>
      <c r="J75" s="5" t="e">
        <v>#N/A</v>
      </c>
      <c r="K75" s="5" t="e">
        <v>#N/A</v>
      </c>
      <c r="L75" s="5" t="e">
        <v>#N/A</v>
      </c>
      <c r="M75" s="5" t="e">
        <v>#N/A</v>
      </c>
      <c r="N75" s="5" t="e">
        <v>#N/A</v>
      </c>
    </row>
    <row r="76" spans="1:14" x14ac:dyDescent="0.25">
      <c r="A76" t="s">
        <v>96</v>
      </c>
      <c r="B76" s="3">
        <v>109648</v>
      </c>
      <c r="C76" s="4" t="e">
        <v>#N/A</v>
      </c>
      <c r="D76" s="4" t="e">
        <v>#N/A</v>
      </c>
      <c r="E76" s="4" t="e">
        <v>#N/A</v>
      </c>
      <c r="F76" s="4">
        <v>6.35</v>
      </c>
      <c r="G76" s="4">
        <v>4.54</v>
      </c>
      <c r="H76" s="4">
        <v>4.8499999999999996</v>
      </c>
      <c r="I76" s="5" t="e">
        <v>#N/A</v>
      </c>
      <c r="J76" s="5" t="e">
        <v>#N/A</v>
      </c>
      <c r="K76" s="5" t="e">
        <v>#N/A</v>
      </c>
      <c r="L76" s="5" t="e">
        <v>#N/A</v>
      </c>
      <c r="M76" s="5" t="e">
        <v>#N/A</v>
      </c>
      <c r="N76" s="5" t="e">
        <v>#N/A</v>
      </c>
    </row>
    <row r="77" spans="1:14" x14ac:dyDescent="0.25">
      <c r="A77" t="s">
        <v>97</v>
      </c>
      <c r="B77" s="3">
        <v>111923</v>
      </c>
      <c r="C77" s="4" t="e">
        <v>#N/A</v>
      </c>
      <c r="D77" s="4" t="e">
        <v>#N/A</v>
      </c>
      <c r="E77" s="4" t="e">
        <v>#N/A</v>
      </c>
      <c r="F77" s="4">
        <v>6.35</v>
      </c>
      <c r="G77" s="4">
        <v>4.74</v>
      </c>
      <c r="H77" s="4">
        <v>4.9800000000000004</v>
      </c>
      <c r="I77" s="5" t="e">
        <v>#N/A</v>
      </c>
      <c r="J77" s="5" t="e">
        <v>#N/A</v>
      </c>
      <c r="K77" s="5" t="e">
        <v>#N/A</v>
      </c>
      <c r="L77" s="5" t="e">
        <v>#N/A</v>
      </c>
      <c r="M77" s="5" t="e">
        <v>#N/A</v>
      </c>
      <c r="N77" s="5" t="e">
        <v>#N/A</v>
      </c>
    </row>
    <row r="78" spans="1:14" x14ac:dyDescent="0.25">
      <c r="A78" t="s">
        <v>98</v>
      </c>
      <c r="B78" s="3">
        <v>123348</v>
      </c>
      <c r="C78" s="4" t="e">
        <v>#N/A</v>
      </c>
      <c r="D78" s="4" t="e">
        <v>#N/A</v>
      </c>
      <c r="E78" s="4" t="e">
        <v>#N/A</v>
      </c>
      <c r="F78" s="4">
        <v>6.35</v>
      </c>
      <c r="G78" s="4">
        <v>4.74</v>
      </c>
      <c r="H78" s="4">
        <v>5</v>
      </c>
      <c r="I78" s="5" t="e">
        <v>#N/A</v>
      </c>
      <c r="J78" s="5" t="e">
        <v>#N/A</v>
      </c>
      <c r="K78" s="5" t="e">
        <v>#N/A</v>
      </c>
      <c r="L78" s="5" t="e">
        <v>#N/A</v>
      </c>
      <c r="M78" s="5" t="e">
        <v>#N/A</v>
      </c>
      <c r="N78" s="5" t="e">
        <v>#N/A</v>
      </c>
    </row>
    <row r="79" spans="1:14" x14ac:dyDescent="0.25">
      <c r="A79" t="s">
        <v>99</v>
      </c>
      <c r="B79" s="3">
        <v>119825</v>
      </c>
      <c r="C79" s="4" t="e">
        <v>#N/A</v>
      </c>
      <c r="D79" s="4" t="e">
        <v>#N/A</v>
      </c>
      <c r="E79" s="4" t="e">
        <v>#N/A</v>
      </c>
      <c r="F79" s="4">
        <v>6.36</v>
      </c>
      <c r="G79" s="4">
        <v>4.62</v>
      </c>
      <c r="H79" s="4">
        <v>4.92</v>
      </c>
      <c r="I79" s="5" t="e">
        <v>#N/A</v>
      </c>
      <c r="J79" s="5" t="e">
        <v>#N/A</v>
      </c>
      <c r="K79" s="5" t="e">
        <v>#N/A</v>
      </c>
      <c r="L79" s="5" t="e">
        <v>#N/A</v>
      </c>
      <c r="M79" s="5" t="e">
        <v>#N/A</v>
      </c>
      <c r="N79" s="5" t="e">
        <v>#N/A</v>
      </c>
    </row>
    <row r="80" spans="1:14" x14ac:dyDescent="0.25">
      <c r="A80" t="s">
        <v>100</v>
      </c>
      <c r="B80" s="3">
        <v>114041</v>
      </c>
      <c r="C80" s="4" t="e">
        <v>#N/A</v>
      </c>
      <c r="D80" s="4" t="e">
        <v>#N/A</v>
      </c>
      <c r="E80" s="4" t="e">
        <v>#N/A</v>
      </c>
      <c r="F80" s="4">
        <v>6.37</v>
      </c>
      <c r="G80" s="4">
        <v>4.71</v>
      </c>
      <c r="H80" s="4">
        <v>4.93</v>
      </c>
      <c r="I80" s="5" t="e">
        <v>#N/A</v>
      </c>
      <c r="J80" s="5" t="e">
        <v>#N/A</v>
      </c>
      <c r="K80" s="5" t="e">
        <v>#N/A</v>
      </c>
      <c r="L80" s="5" t="e">
        <v>#N/A</v>
      </c>
      <c r="M80" s="5" t="e">
        <v>#N/A</v>
      </c>
      <c r="N80" s="5" t="e">
        <v>#N/A</v>
      </c>
    </row>
    <row r="81" spans="1:14" x14ac:dyDescent="0.25">
      <c r="A81" t="s">
        <v>101</v>
      </c>
      <c r="B81" s="3">
        <v>117422</v>
      </c>
      <c r="C81" s="4" t="e">
        <v>#N/A</v>
      </c>
      <c r="D81" s="4" t="e">
        <v>#N/A</v>
      </c>
      <c r="E81" s="4" t="e">
        <v>#N/A</v>
      </c>
      <c r="F81" s="4">
        <v>6.41</v>
      </c>
      <c r="G81" s="4">
        <v>4.72</v>
      </c>
      <c r="H81" s="4">
        <v>4.9800000000000004</v>
      </c>
      <c r="I81" s="5" t="e">
        <v>#N/A</v>
      </c>
      <c r="J81" s="5" t="e">
        <v>#N/A</v>
      </c>
      <c r="K81" s="5" t="e">
        <v>#N/A</v>
      </c>
      <c r="L81" s="5" t="e">
        <v>#N/A</v>
      </c>
      <c r="M81" s="5" t="e">
        <v>#N/A</v>
      </c>
      <c r="N81" s="5" t="e">
        <v>#N/A</v>
      </c>
    </row>
    <row r="82" spans="1:14" x14ac:dyDescent="0.25">
      <c r="A82" t="s">
        <v>102</v>
      </c>
      <c r="B82" s="3">
        <v>110473</v>
      </c>
      <c r="C82" s="4" t="e">
        <v>#N/A</v>
      </c>
      <c r="D82" s="4" t="e">
        <v>#N/A</v>
      </c>
      <c r="E82" s="4" t="e">
        <v>#N/A</v>
      </c>
      <c r="F82" s="4">
        <v>6.41</v>
      </c>
      <c r="G82" s="4">
        <v>4.7699999999999996</v>
      </c>
      <c r="H82" s="4">
        <v>5.09</v>
      </c>
      <c r="I82" s="5" t="e">
        <v>#N/A</v>
      </c>
      <c r="J82" s="5" t="e">
        <v>#N/A</v>
      </c>
      <c r="K82" s="5" t="e">
        <v>#N/A</v>
      </c>
      <c r="L82" s="5" t="e">
        <v>#N/A</v>
      </c>
      <c r="M82" s="5" t="e">
        <v>#N/A</v>
      </c>
      <c r="N82" s="5" t="e">
        <v>#N/A</v>
      </c>
    </row>
    <row r="83" spans="1:14" x14ac:dyDescent="0.25">
      <c r="A83" t="s">
        <v>103</v>
      </c>
      <c r="B83" s="3">
        <v>115463</v>
      </c>
      <c r="C83" s="4" t="e">
        <v>#N/A</v>
      </c>
      <c r="D83" s="4" t="e">
        <v>#N/A</v>
      </c>
      <c r="E83" s="4" t="e">
        <v>#N/A</v>
      </c>
      <c r="F83" s="4">
        <v>6.4</v>
      </c>
      <c r="G83" s="4">
        <v>5</v>
      </c>
      <c r="H83" s="4">
        <v>5.36</v>
      </c>
      <c r="I83" s="5" t="e">
        <v>#N/A</v>
      </c>
      <c r="J83" s="5" t="e">
        <v>#N/A</v>
      </c>
      <c r="K83" s="5" t="e">
        <v>#N/A</v>
      </c>
      <c r="L83" s="5" t="e">
        <v>#N/A</v>
      </c>
      <c r="M83" s="5" t="e">
        <v>#N/A</v>
      </c>
      <c r="N83" s="5" t="e">
        <v>#N/A</v>
      </c>
    </row>
    <row r="84" spans="1:14" x14ac:dyDescent="0.25">
      <c r="A84" t="s">
        <v>104</v>
      </c>
      <c r="B84" s="3">
        <v>118557</v>
      </c>
      <c r="C84" s="4" t="e">
        <v>#N/A</v>
      </c>
      <c r="D84" s="4" t="e">
        <v>#N/A</v>
      </c>
      <c r="E84" s="4" t="e">
        <v>#N/A</v>
      </c>
      <c r="F84" s="4">
        <v>6.4</v>
      </c>
      <c r="G84" s="4">
        <v>5</v>
      </c>
      <c r="H84" s="4">
        <v>5.34</v>
      </c>
      <c r="I84" s="5" t="e">
        <v>#N/A</v>
      </c>
      <c r="J84" s="5" t="e">
        <v>#N/A</v>
      </c>
      <c r="K84" s="5" t="e">
        <v>#N/A</v>
      </c>
      <c r="L84" s="5" t="e">
        <v>#N/A</v>
      </c>
      <c r="M84" s="5" t="e">
        <v>#N/A</v>
      </c>
      <c r="N84" s="5" t="e">
        <v>#N/A</v>
      </c>
    </row>
    <row r="85" spans="1:14" x14ac:dyDescent="0.25">
      <c r="A85" t="s">
        <v>105</v>
      </c>
      <c r="B85" s="3">
        <v>117686</v>
      </c>
      <c r="C85" s="4" t="e">
        <v>#N/A</v>
      </c>
      <c r="D85" s="4" t="e">
        <v>#N/A</v>
      </c>
      <c r="E85" s="4" t="e">
        <v>#N/A</v>
      </c>
      <c r="F85" s="4">
        <v>6.4</v>
      </c>
      <c r="G85" s="4">
        <v>5.01</v>
      </c>
      <c r="H85" s="4">
        <v>5.31</v>
      </c>
      <c r="I85" s="5" t="e">
        <v>#N/A</v>
      </c>
      <c r="J85" s="5" t="e">
        <v>#N/A</v>
      </c>
      <c r="K85" s="5" t="e">
        <v>#N/A</v>
      </c>
      <c r="L85" s="5" t="e">
        <v>#N/A</v>
      </c>
      <c r="M85" s="5" t="e">
        <v>#N/A</v>
      </c>
      <c r="N85" s="5" t="e">
        <v>#N/A</v>
      </c>
    </row>
    <row r="86" spans="1:14" x14ac:dyDescent="0.25">
      <c r="A86" t="s">
        <v>106</v>
      </c>
      <c r="B86" s="3">
        <v>118616</v>
      </c>
      <c r="C86" s="4" t="e">
        <v>#N/A</v>
      </c>
      <c r="D86" s="4" t="e">
        <v>#N/A</v>
      </c>
      <c r="E86" s="4" t="e">
        <v>#N/A</v>
      </c>
      <c r="F86" s="4">
        <v>6.4</v>
      </c>
      <c r="G86" s="4">
        <v>5.0999999999999996</v>
      </c>
      <c r="H86" s="4">
        <v>5.4</v>
      </c>
      <c r="I86" s="5" t="e">
        <v>#N/A</v>
      </c>
      <c r="J86" s="5" t="e">
        <v>#N/A</v>
      </c>
      <c r="K86" s="5" t="e">
        <v>#N/A</v>
      </c>
      <c r="L86" s="5" t="e">
        <v>#N/A</v>
      </c>
      <c r="M86" s="5" t="e">
        <v>#N/A</v>
      </c>
      <c r="N86" s="5" t="e">
        <v>#N/A</v>
      </c>
    </row>
    <row r="87" spans="1:14" x14ac:dyDescent="0.25">
      <c r="A87" t="s">
        <v>107</v>
      </c>
      <c r="B87" s="3">
        <v>123161</v>
      </c>
      <c r="C87" s="4" t="e">
        <v>#N/A</v>
      </c>
      <c r="D87" s="4" t="e">
        <v>#N/A</v>
      </c>
      <c r="E87" s="4" t="e">
        <v>#N/A</v>
      </c>
      <c r="F87" s="4">
        <v>6.65</v>
      </c>
      <c r="G87" s="4">
        <v>5.0999999999999996</v>
      </c>
      <c r="H87" s="4">
        <v>5.39</v>
      </c>
      <c r="I87" s="5" t="e">
        <v>#N/A</v>
      </c>
      <c r="J87" s="5" t="e">
        <v>#N/A</v>
      </c>
      <c r="K87" s="5" t="e">
        <v>#N/A</v>
      </c>
      <c r="L87" s="5" t="e">
        <v>#N/A</v>
      </c>
      <c r="M87" s="5" t="e">
        <v>#N/A</v>
      </c>
      <c r="N87" s="5" t="e">
        <v>#N/A</v>
      </c>
    </row>
    <row r="88" spans="1:14" x14ac:dyDescent="0.25">
      <c r="A88" t="s">
        <v>108</v>
      </c>
      <c r="B88" s="3">
        <v>126235</v>
      </c>
      <c r="C88" s="4" t="e">
        <v>#N/A</v>
      </c>
      <c r="D88" s="4" t="e">
        <v>#N/A</v>
      </c>
      <c r="E88" s="4" t="e">
        <v>#N/A</v>
      </c>
      <c r="F88" s="4">
        <v>6.68</v>
      </c>
      <c r="G88" s="4">
        <v>4.99</v>
      </c>
      <c r="H88" s="4">
        <v>5.36</v>
      </c>
      <c r="I88" s="5" t="e">
        <v>#N/A</v>
      </c>
      <c r="J88" s="5" t="e">
        <v>#N/A</v>
      </c>
      <c r="K88" s="5" t="e">
        <v>#N/A</v>
      </c>
      <c r="L88" s="5" t="e">
        <v>#N/A</v>
      </c>
      <c r="M88" s="5" t="e">
        <v>#N/A</v>
      </c>
      <c r="N88" s="5" t="e">
        <v>#N/A</v>
      </c>
    </row>
    <row r="89" spans="1:14" x14ac:dyDescent="0.25">
      <c r="A89" t="s">
        <v>109</v>
      </c>
      <c r="B89" s="3">
        <v>126147</v>
      </c>
      <c r="C89" s="4" t="e">
        <v>#N/A</v>
      </c>
      <c r="D89" s="4" t="e">
        <v>#N/A</v>
      </c>
      <c r="E89" s="4" t="e">
        <v>#N/A</v>
      </c>
      <c r="F89" s="4">
        <v>6.7</v>
      </c>
      <c r="G89" s="4">
        <v>5.2</v>
      </c>
      <c r="H89" s="4">
        <v>5.48</v>
      </c>
      <c r="I89" s="5" t="e">
        <v>#N/A</v>
      </c>
      <c r="J89" s="5" t="e">
        <v>#N/A</v>
      </c>
      <c r="K89" s="5" t="e">
        <v>#N/A</v>
      </c>
      <c r="L89" s="5" t="e">
        <v>#N/A</v>
      </c>
      <c r="M89" s="5" t="e">
        <v>#N/A</v>
      </c>
      <c r="N89" s="5" t="e">
        <v>#N/A</v>
      </c>
    </row>
    <row r="90" spans="1:14" x14ac:dyDescent="0.25">
      <c r="A90" t="s">
        <v>110</v>
      </c>
      <c r="B90" s="3">
        <v>121200</v>
      </c>
      <c r="C90" s="4" t="e">
        <v>#N/A</v>
      </c>
      <c r="D90" s="4" t="e">
        <v>#N/A</v>
      </c>
      <c r="E90" s="4" t="e">
        <v>#N/A</v>
      </c>
      <c r="F90" s="4">
        <v>6.98</v>
      </c>
      <c r="G90" s="4">
        <v>5.15</v>
      </c>
      <c r="H90" s="4">
        <v>5.49</v>
      </c>
      <c r="I90" s="5" t="e">
        <v>#N/A</v>
      </c>
      <c r="J90" s="5" t="e">
        <v>#N/A</v>
      </c>
      <c r="K90" s="5" t="e">
        <v>#N/A</v>
      </c>
      <c r="L90" s="5" t="e">
        <v>#N/A</v>
      </c>
      <c r="M90" s="5" t="e">
        <v>#N/A</v>
      </c>
      <c r="N90" s="5" t="e">
        <v>#N/A</v>
      </c>
    </row>
    <row r="91" spans="1:14" x14ac:dyDescent="0.25">
      <c r="A91" t="s">
        <v>111</v>
      </c>
      <c r="B91" s="3">
        <v>118567</v>
      </c>
      <c r="C91" s="4" t="e">
        <v>#N/A</v>
      </c>
      <c r="D91" s="4" t="e">
        <v>#N/A</v>
      </c>
      <c r="E91" s="4" t="e">
        <v>#N/A</v>
      </c>
      <c r="F91" s="4">
        <v>7.01</v>
      </c>
      <c r="G91" s="4">
        <v>5.32</v>
      </c>
      <c r="H91" s="4">
        <v>5.61</v>
      </c>
      <c r="I91" s="5" t="e">
        <v>#N/A</v>
      </c>
      <c r="J91" s="5" t="e">
        <v>#N/A</v>
      </c>
      <c r="K91" s="5" t="e">
        <v>#N/A</v>
      </c>
      <c r="L91" s="5" t="e">
        <v>#N/A</v>
      </c>
      <c r="M91" s="5" t="e">
        <v>#N/A</v>
      </c>
      <c r="N91" s="5" t="e">
        <v>#N/A</v>
      </c>
    </row>
    <row r="92" spans="1:14" x14ac:dyDescent="0.25">
      <c r="A92" t="s">
        <v>112</v>
      </c>
      <c r="B92" s="3">
        <v>119036</v>
      </c>
      <c r="C92" s="4" t="e">
        <v>#N/A</v>
      </c>
      <c r="D92" s="4" t="e">
        <v>#N/A</v>
      </c>
      <c r="E92" s="4" t="e">
        <v>#N/A</v>
      </c>
      <c r="F92" s="4">
        <v>7.2</v>
      </c>
      <c r="G92" s="4">
        <v>5.46</v>
      </c>
      <c r="H92" s="4">
        <v>5.73</v>
      </c>
      <c r="I92" s="5" t="e">
        <v>#N/A</v>
      </c>
      <c r="J92" s="5" t="e">
        <v>#N/A</v>
      </c>
      <c r="K92" s="5" t="e">
        <v>#N/A</v>
      </c>
      <c r="L92" s="5" t="e">
        <v>#N/A</v>
      </c>
      <c r="M92" s="5" t="e">
        <v>#N/A</v>
      </c>
      <c r="N92" s="5" t="e">
        <v>#N/A</v>
      </c>
    </row>
    <row r="93" spans="1:14" x14ac:dyDescent="0.25">
      <c r="A93" t="s">
        <v>113</v>
      </c>
      <c r="B93" s="3">
        <v>114549</v>
      </c>
      <c r="C93" s="4" t="e">
        <v>#N/A</v>
      </c>
      <c r="D93" s="4" t="e">
        <v>#N/A</v>
      </c>
      <c r="E93" s="4" t="e">
        <v>#N/A</v>
      </c>
      <c r="F93" s="4">
        <v>7.19</v>
      </c>
      <c r="G93" s="4">
        <v>5.55</v>
      </c>
      <c r="H93" s="4">
        <v>5.73</v>
      </c>
      <c r="I93" s="5" t="e">
        <v>#N/A</v>
      </c>
      <c r="J93" s="5" t="e">
        <v>#N/A</v>
      </c>
      <c r="K93" s="5" t="e">
        <v>#N/A</v>
      </c>
      <c r="L93" s="5" t="e">
        <v>#N/A</v>
      </c>
      <c r="M93" s="5" t="e">
        <v>#N/A</v>
      </c>
      <c r="N93" s="5" t="e">
        <v>#N/A</v>
      </c>
    </row>
    <row r="94" spans="1:14" x14ac:dyDescent="0.25">
      <c r="A94" t="s">
        <v>114</v>
      </c>
      <c r="B94" s="3">
        <v>109011</v>
      </c>
      <c r="C94" s="4" t="e">
        <v>#N/A</v>
      </c>
      <c r="D94" s="4" t="e">
        <v>#N/A</v>
      </c>
      <c r="E94" s="4" t="e">
        <v>#N/A</v>
      </c>
      <c r="F94" s="4">
        <v>7.22</v>
      </c>
      <c r="G94" s="4">
        <v>5.62</v>
      </c>
      <c r="H94" s="4">
        <v>5.9</v>
      </c>
      <c r="I94" s="5" t="e">
        <v>#N/A</v>
      </c>
      <c r="J94" s="5" t="e">
        <v>#N/A</v>
      </c>
      <c r="K94" s="5" t="e">
        <v>#N/A</v>
      </c>
      <c r="L94" s="5" t="e">
        <v>#N/A</v>
      </c>
      <c r="M94" s="5" t="e">
        <v>#N/A</v>
      </c>
      <c r="N94" s="5" t="e">
        <v>#N/A</v>
      </c>
    </row>
    <row r="95" spans="1:14" x14ac:dyDescent="0.25">
      <c r="A95" t="s">
        <v>115</v>
      </c>
      <c r="B95" s="3">
        <v>114522</v>
      </c>
      <c r="C95" s="4" t="e">
        <v>#N/A</v>
      </c>
      <c r="D95" s="4" t="e">
        <v>#N/A</v>
      </c>
      <c r="E95" s="4" t="e">
        <v>#N/A</v>
      </c>
      <c r="F95" s="4">
        <v>7.23</v>
      </c>
      <c r="G95" s="4">
        <v>5.7</v>
      </c>
      <c r="H95" s="4">
        <v>5.82</v>
      </c>
      <c r="I95" s="5" t="e">
        <v>#N/A</v>
      </c>
      <c r="J95" s="5" t="e">
        <v>#N/A</v>
      </c>
      <c r="K95" s="5" t="e">
        <v>#N/A</v>
      </c>
      <c r="L95" s="5" t="e">
        <v>#N/A</v>
      </c>
      <c r="M95" s="5" t="e">
        <v>#N/A</v>
      </c>
      <c r="N95" s="5" t="e">
        <v>#N/A</v>
      </c>
    </row>
    <row r="96" spans="1:14" x14ac:dyDescent="0.25">
      <c r="A96" t="s">
        <v>116</v>
      </c>
      <c r="B96" s="3">
        <v>114156</v>
      </c>
      <c r="C96" s="4" t="e">
        <v>#N/A</v>
      </c>
      <c r="D96" s="4" t="e">
        <v>#N/A</v>
      </c>
      <c r="E96" s="4" t="e">
        <v>#N/A</v>
      </c>
      <c r="F96" s="4">
        <v>7.46</v>
      </c>
      <c r="G96" s="4">
        <v>5.98</v>
      </c>
      <c r="H96" s="4">
        <v>6.1</v>
      </c>
      <c r="I96" s="5" t="e">
        <v>#N/A</v>
      </c>
      <c r="J96" s="5" t="e">
        <v>#N/A</v>
      </c>
      <c r="K96" s="5" t="e">
        <v>#N/A</v>
      </c>
      <c r="L96" s="5" t="e">
        <v>#N/A</v>
      </c>
      <c r="M96" s="5" t="e">
        <v>#N/A</v>
      </c>
      <c r="N96" s="5" t="e">
        <v>#N/A</v>
      </c>
    </row>
    <row r="97" spans="1:14" x14ac:dyDescent="0.25">
      <c r="A97" t="s">
        <v>117</v>
      </c>
      <c r="B97" s="3">
        <v>112772</v>
      </c>
      <c r="C97" s="4" t="e">
        <v>#N/A</v>
      </c>
      <c r="D97" s="4" t="e">
        <v>#N/A</v>
      </c>
      <c r="E97" s="4" t="e">
        <v>#N/A</v>
      </c>
      <c r="F97" s="4">
        <v>7.44</v>
      </c>
      <c r="G97" s="4">
        <v>6.07</v>
      </c>
      <c r="H97" s="4">
        <v>6.33</v>
      </c>
      <c r="I97" s="5" t="e">
        <v>#N/A</v>
      </c>
      <c r="J97" s="5" t="e">
        <v>#N/A</v>
      </c>
      <c r="K97" s="5" t="e">
        <v>#N/A</v>
      </c>
      <c r="L97" s="5" t="e">
        <v>#N/A</v>
      </c>
      <c r="M97" s="5" t="e">
        <v>#N/A</v>
      </c>
      <c r="N97" s="5" t="e">
        <v>#N/A</v>
      </c>
    </row>
    <row r="98" spans="1:14" x14ac:dyDescent="0.25">
      <c r="A98" t="s">
        <v>118</v>
      </c>
      <c r="B98" s="3">
        <v>107728</v>
      </c>
      <c r="C98" s="4" t="e">
        <v>#N/A</v>
      </c>
      <c r="D98" s="4" t="e">
        <v>#N/A</v>
      </c>
      <c r="E98" s="4" t="e">
        <v>#N/A</v>
      </c>
      <c r="F98" s="4">
        <v>7.69</v>
      </c>
      <c r="G98" s="4">
        <v>6.11</v>
      </c>
      <c r="H98" s="4">
        <v>6.28</v>
      </c>
      <c r="I98" s="5" t="e">
        <v>#N/A</v>
      </c>
      <c r="J98" s="5" t="e">
        <v>#N/A</v>
      </c>
      <c r="K98" s="5" t="e">
        <v>#N/A</v>
      </c>
      <c r="L98" s="5" t="e">
        <v>#N/A</v>
      </c>
      <c r="M98" s="5" t="e">
        <v>#N/A</v>
      </c>
      <c r="N98" s="5" t="e">
        <v>#N/A</v>
      </c>
    </row>
    <row r="99" spans="1:14" x14ac:dyDescent="0.25">
      <c r="A99" t="s">
        <v>119</v>
      </c>
      <c r="B99" s="3">
        <v>99366</v>
      </c>
      <c r="C99" s="4" t="e">
        <v>#N/A</v>
      </c>
      <c r="D99" s="4" t="e">
        <v>#N/A</v>
      </c>
      <c r="E99" s="4" t="e">
        <v>#N/A</v>
      </c>
      <c r="F99" s="4">
        <v>7.74</v>
      </c>
      <c r="G99" s="4">
        <v>6.05</v>
      </c>
      <c r="H99" s="4">
        <v>6.19</v>
      </c>
      <c r="I99" s="5" t="e">
        <v>#N/A</v>
      </c>
      <c r="J99" s="5" t="e">
        <v>#N/A</v>
      </c>
      <c r="K99" s="5" t="e">
        <v>#N/A</v>
      </c>
      <c r="L99" s="5" t="e">
        <v>#N/A</v>
      </c>
      <c r="M99" s="5" t="e">
        <v>#N/A</v>
      </c>
      <c r="N99" s="5" t="e">
        <v>#N/A</v>
      </c>
    </row>
    <row r="100" spans="1:14" x14ac:dyDescent="0.25">
      <c r="A100" t="s">
        <v>120</v>
      </c>
      <c r="B100" s="3">
        <v>86303</v>
      </c>
      <c r="C100" s="4" t="e">
        <v>#N/A</v>
      </c>
      <c r="D100" s="4" t="e">
        <v>#N/A</v>
      </c>
      <c r="E100" s="4" t="e">
        <v>#N/A</v>
      </c>
      <c r="F100" s="4">
        <v>7.74</v>
      </c>
      <c r="G100" s="4">
        <v>6.11</v>
      </c>
      <c r="H100" s="4">
        <v>6.23</v>
      </c>
      <c r="I100" s="5" t="e">
        <v>#N/A</v>
      </c>
      <c r="J100" s="5" t="e">
        <v>#N/A</v>
      </c>
      <c r="K100" s="5" t="e">
        <v>#N/A</v>
      </c>
      <c r="L100" s="5" t="e">
        <v>#N/A</v>
      </c>
      <c r="M100" s="5" t="e">
        <v>#N/A</v>
      </c>
      <c r="N100" s="5" t="e">
        <v>#N/A</v>
      </c>
    </row>
    <row r="101" spans="1:14" x14ac:dyDescent="0.25">
      <c r="A101" t="s">
        <v>121</v>
      </c>
      <c r="B101" s="3">
        <v>79284</v>
      </c>
      <c r="C101" s="4" t="e">
        <v>#N/A</v>
      </c>
      <c r="D101" s="4" t="e">
        <v>#N/A</v>
      </c>
      <c r="E101" s="4" t="e">
        <v>#N/A</v>
      </c>
      <c r="F101" s="4">
        <v>7.72</v>
      </c>
      <c r="G101" s="4">
        <v>6.09</v>
      </c>
      <c r="H101" s="4">
        <v>6.02</v>
      </c>
      <c r="I101" s="5" t="e">
        <v>#N/A</v>
      </c>
      <c r="J101" s="5" t="e">
        <v>#N/A</v>
      </c>
      <c r="K101" s="5" t="e">
        <v>#N/A</v>
      </c>
      <c r="L101" s="5" t="e">
        <v>#N/A</v>
      </c>
      <c r="M101" s="5" t="e">
        <v>#N/A</v>
      </c>
      <c r="N101" s="5" t="e">
        <v>#N/A</v>
      </c>
    </row>
    <row r="102" spans="1:14" x14ac:dyDescent="0.25">
      <c r="A102" t="s">
        <v>122</v>
      </c>
      <c r="B102" s="3">
        <v>74527</v>
      </c>
      <c r="C102" s="4" t="e">
        <v>#N/A</v>
      </c>
      <c r="D102" s="4" t="e">
        <v>#N/A</v>
      </c>
      <c r="E102" s="4" t="e">
        <v>#N/A</v>
      </c>
      <c r="F102" s="4">
        <v>7.68</v>
      </c>
      <c r="G102" s="4">
        <v>6.06</v>
      </c>
      <c r="H102" s="4">
        <v>5.97</v>
      </c>
      <c r="I102" s="5" t="e">
        <v>#N/A</v>
      </c>
      <c r="J102" s="5" t="e">
        <v>#N/A</v>
      </c>
      <c r="K102" s="5" t="e">
        <v>#N/A</v>
      </c>
      <c r="L102" s="5" t="e">
        <v>#N/A</v>
      </c>
      <c r="M102" s="5" t="e">
        <v>#N/A</v>
      </c>
      <c r="N102" s="5" t="e">
        <v>#N/A</v>
      </c>
    </row>
    <row r="103" spans="1:14" x14ac:dyDescent="0.25">
      <c r="A103" t="s">
        <v>123</v>
      </c>
      <c r="B103" s="3">
        <v>71389</v>
      </c>
      <c r="C103" s="4" t="e">
        <v>#N/A</v>
      </c>
      <c r="D103" s="4" t="e">
        <v>#N/A</v>
      </c>
      <c r="E103" s="4" t="e">
        <v>#N/A</v>
      </c>
      <c r="F103" s="4">
        <v>7.51</v>
      </c>
      <c r="G103" s="4">
        <v>5.97</v>
      </c>
      <c r="H103" s="4">
        <v>5.91</v>
      </c>
      <c r="I103" s="5" t="e">
        <v>#N/A</v>
      </c>
      <c r="J103" s="5" t="e">
        <v>#N/A</v>
      </c>
      <c r="K103" s="5" t="e">
        <v>#N/A</v>
      </c>
      <c r="L103" s="5" t="e">
        <v>#N/A</v>
      </c>
      <c r="M103" s="5" t="e">
        <v>#N/A</v>
      </c>
      <c r="N103" s="5" t="e">
        <v>#N/A</v>
      </c>
    </row>
    <row r="104" spans="1:14" x14ac:dyDescent="0.25">
      <c r="A104" t="s">
        <v>124</v>
      </c>
      <c r="B104" s="3">
        <v>70945</v>
      </c>
      <c r="C104" s="4" t="e">
        <v>#N/A</v>
      </c>
      <c r="D104" s="4" t="e">
        <v>#N/A</v>
      </c>
      <c r="E104" s="4" t="e">
        <v>#N/A</v>
      </c>
      <c r="F104" s="4">
        <v>7.5</v>
      </c>
      <c r="G104" s="4">
        <v>5.74</v>
      </c>
      <c r="H104" s="4">
        <v>5.68</v>
      </c>
      <c r="I104" s="5" t="e">
        <v>#N/A</v>
      </c>
      <c r="J104" s="5" t="e">
        <v>#N/A</v>
      </c>
      <c r="K104" s="5" t="e">
        <v>#N/A</v>
      </c>
      <c r="L104" s="5" t="e">
        <v>#N/A</v>
      </c>
      <c r="M104" s="5" t="e">
        <v>#N/A</v>
      </c>
      <c r="N104" s="5" t="e">
        <v>#N/A</v>
      </c>
    </row>
    <row r="105" spans="1:14" x14ac:dyDescent="0.25">
      <c r="A105" t="s">
        <v>125</v>
      </c>
      <c r="B105" s="3">
        <v>60396</v>
      </c>
      <c r="C105" s="4" t="e">
        <v>#N/A</v>
      </c>
      <c r="D105" s="4" t="e">
        <v>#N/A</v>
      </c>
      <c r="E105" s="4" t="e">
        <v>#N/A</v>
      </c>
      <c r="F105" s="4">
        <v>7.24</v>
      </c>
      <c r="G105" s="4">
        <v>5.8</v>
      </c>
      <c r="H105" s="4">
        <v>5.7</v>
      </c>
      <c r="I105" s="5" t="e">
        <v>#N/A</v>
      </c>
      <c r="J105" s="5" t="e">
        <v>#N/A</v>
      </c>
      <c r="K105" s="5" t="e">
        <v>#N/A</v>
      </c>
      <c r="L105" s="5" t="e">
        <v>#N/A</v>
      </c>
      <c r="M105" s="5" t="e">
        <v>#N/A</v>
      </c>
      <c r="N105" s="5" t="e">
        <v>#N/A</v>
      </c>
    </row>
    <row r="106" spans="1:14" x14ac:dyDescent="0.25">
      <c r="A106" t="s">
        <v>126</v>
      </c>
      <c r="B106" s="3">
        <v>57048</v>
      </c>
      <c r="C106" s="4" t="e">
        <v>#N/A</v>
      </c>
      <c r="D106" s="4" t="e">
        <v>#N/A</v>
      </c>
      <c r="E106" s="4" t="e">
        <v>#N/A</v>
      </c>
      <c r="F106" s="4">
        <v>7.23</v>
      </c>
      <c r="G106" s="4">
        <v>6.06</v>
      </c>
      <c r="H106" s="4">
        <v>5.85</v>
      </c>
      <c r="I106" s="5" t="e">
        <v>#N/A</v>
      </c>
      <c r="J106" s="5" t="e">
        <v>#N/A</v>
      </c>
      <c r="K106" s="5" t="e">
        <v>#N/A</v>
      </c>
      <c r="L106" s="5" t="e">
        <v>#N/A</v>
      </c>
      <c r="M106" s="5" t="e">
        <v>#N/A</v>
      </c>
      <c r="N106" s="5" t="e">
        <v>#N/A</v>
      </c>
    </row>
    <row r="107" spans="1:14" x14ac:dyDescent="0.25">
      <c r="A107" t="s">
        <v>127</v>
      </c>
      <c r="B107" s="3">
        <v>40585</v>
      </c>
      <c r="C107" s="4" t="e">
        <v>#N/A</v>
      </c>
      <c r="D107" s="4" t="e">
        <v>#N/A</v>
      </c>
      <c r="E107" s="4" t="e">
        <v>#N/A</v>
      </c>
      <c r="F107" s="4">
        <v>6.95</v>
      </c>
      <c r="G107" s="4">
        <v>6.26</v>
      </c>
      <c r="H107" s="4">
        <v>6.11</v>
      </c>
      <c r="I107" s="5" t="e">
        <v>#N/A</v>
      </c>
      <c r="J107" s="5" t="e">
        <v>#N/A</v>
      </c>
      <c r="K107" s="5" t="e">
        <v>#N/A</v>
      </c>
      <c r="L107" s="5" t="e">
        <v>#N/A</v>
      </c>
      <c r="M107" s="5" t="e">
        <v>#N/A</v>
      </c>
      <c r="N107" s="5" t="e">
        <v>#N/A</v>
      </c>
    </row>
    <row r="108" spans="1:14" x14ac:dyDescent="0.25">
      <c r="A108" t="s">
        <v>128</v>
      </c>
      <c r="B108" s="3">
        <v>35412</v>
      </c>
      <c r="C108" s="4" t="e">
        <v>#N/A</v>
      </c>
      <c r="D108" s="4" t="e">
        <v>#N/A</v>
      </c>
      <c r="E108" s="4" t="e">
        <v>#N/A</v>
      </c>
      <c r="F108" s="4">
        <v>6.92</v>
      </c>
      <c r="G108" s="4">
        <v>6.6</v>
      </c>
      <c r="H108" s="4">
        <v>6.4</v>
      </c>
      <c r="I108" s="5" t="e">
        <v>#N/A</v>
      </c>
      <c r="J108" s="5" t="e">
        <v>#N/A</v>
      </c>
      <c r="K108" s="5" t="e">
        <v>#N/A</v>
      </c>
      <c r="L108" s="5" t="e">
        <v>#N/A</v>
      </c>
      <c r="M108" s="5" t="e">
        <v>#N/A</v>
      </c>
      <c r="N108" s="5" t="e">
        <v>#N/A</v>
      </c>
    </row>
    <row r="109" spans="1:14" x14ac:dyDescent="0.25">
      <c r="A109" t="s">
        <v>129</v>
      </c>
      <c r="B109" s="3">
        <v>33045</v>
      </c>
      <c r="C109" s="4" t="e">
        <v>#N/A</v>
      </c>
      <c r="D109" s="4" t="e">
        <v>#N/A</v>
      </c>
      <c r="E109" s="4" t="e">
        <v>#N/A</v>
      </c>
      <c r="F109" s="4">
        <v>6.92</v>
      </c>
      <c r="G109" s="4">
        <v>6.35</v>
      </c>
      <c r="H109" s="4">
        <v>6.37</v>
      </c>
      <c r="I109" s="5" t="e">
        <v>#N/A</v>
      </c>
      <c r="J109" s="5" t="e">
        <v>#N/A</v>
      </c>
      <c r="K109" s="5" t="e">
        <v>#N/A</v>
      </c>
      <c r="L109" s="5" t="e">
        <v>#N/A</v>
      </c>
      <c r="M109" s="5" t="e">
        <v>#N/A</v>
      </c>
      <c r="N109" s="5" t="e">
        <v>#N/A</v>
      </c>
    </row>
    <row r="110" spans="1:14" x14ac:dyDescent="0.25">
      <c r="A110" t="s">
        <v>130</v>
      </c>
      <c r="B110" s="3">
        <v>32643</v>
      </c>
      <c r="C110" s="4" t="e">
        <v>#N/A</v>
      </c>
      <c r="D110" s="4" t="e">
        <v>#N/A</v>
      </c>
      <c r="E110" s="4" t="e">
        <v>#N/A</v>
      </c>
      <c r="F110" s="4">
        <v>6.93</v>
      </c>
      <c r="G110" s="4">
        <v>6.08</v>
      </c>
      <c r="H110" s="4">
        <v>6.09</v>
      </c>
      <c r="I110" s="5" t="e">
        <v>#N/A</v>
      </c>
      <c r="J110" s="5" t="e">
        <v>#N/A</v>
      </c>
      <c r="K110" s="5" t="e">
        <v>#N/A</v>
      </c>
      <c r="L110" s="5" t="e">
        <v>#N/A</v>
      </c>
      <c r="M110" s="5" t="e">
        <v>#N/A</v>
      </c>
      <c r="N110" s="5" t="e">
        <v>#N/A</v>
      </c>
    </row>
    <row r="111" spans="1:14" x14ac:dyDescent="0.25">
      <c r="A111" t="s">
        <v>131</v>
      </c>
      <c r="B111" s="3">
        <v>32296</v>
      </c>
      <c r="C111" s="4" t="e">
        <v>#N/A</v>
      </c>
      <c r="D111" s="4" t="e">
        <v>#N/A</v>
      </c>
      <c r="E111" s="4" t="e">
        <v>#N/A</v>
      </c>
      <c r="F111" s="4">
        <v>6.95</v>
      </c>
      <c r="G111" s="4">
        <v>5.96</v>
      </c>
      <c r="H111" s="4">
        <v>5.84</v>
      </c>
      <c r="I111" s="5" t="e">
        <v>#N/A</v>
      </c>
      <c r="J111" s="5" t="e">
        <v>#N/A</v>
      </c>
      <c r="K111" s="5" t="e">
        <v>#N/A</v>
      </c>
      <c r="L111" s="5" t="e">
        <v>#N/A</v>
      </c>
      <c r="M111" s="5" t="e">
        <v>#N/A</v>
      </c>
      <c r="N111" s="5" t="e">
        <v>#N/A</v>
      </c>
    </row>
    <row r="112" spans="1:14" x14ac:dyDescent="0.25">
      <c r="A112" t="s">
        <v>132</v>
      </c>
      <c r="B112" s="3">
        <v>31592</v>
      </c>
      <c r="C112" s="4" t="e">
        <v>#N/A</v>
      </c>
      <c r="D112" s="4" t="e">
        <v>#N/A</v>
      </c>
      <c r="E112" s="4" t="e">
        <v>#N/A</v>
      </c>
      <c r="F112" s="4">
        <v>6.91</v>
      </c>
      <c r="G112" s="4">
        <v>5.83</v>
      </c>
      <c r="H112" s="4">
        <v>5.88</v>
      </c>
      <c r="I112" s="5" t="e">
        <v>#N/A</v>
      </c>
      <c r="J112" s="5" t="e">
        <v>#N/A</v>
      </c>
      <c r="K112" s="5" t="e">
        <v>#N/A</v>
      </c>
      <c r="L112" s="5" t="e">
        <v>#N/A</v>
      </c>
      <c r="M112" s="5" t="e">
        <v>#N/A</v>
      </c>
      <c r="N112" s="5" t="e">
        <v>#N/A</v>
      </c>
    </row>
    <row r="113" spans="1:14" x14ac:dyDescent="0.25">
      <c r="A113" t="s">
        <v>133</v>
      </c>
      <c r="B113" s="3">
        <v>26395</v>
      </c>
      <c r="C113" s="4" t="e">
        <v>#N/A</v>
      </c>
      <c r="D113" s="4" t="e">
        <v>#N/A</v>
      </c>
      <c r="E113" s="4" t="e">
        <v>#N/A</v>
      </c>
      <c r="F113" s="4">
        <v>6.34</v>
      </c>
      <c r="G113" s="4">
        <v>5.0999999999999996</v>
      </c>
      <c r="H113" s="4">
        <v>5.47</v>
      </c>
      <c r="I113" s="5" t="e">
        <v>#N/A</v>
      </c>
      <c r="J113" s="5" t="e">
        <v>#N/A</v>
      </c>
      <c r="K113" s="5" t="e">
        <v>#N/A</v>
      </c>
      <c r="L113" s="5" t="e">
        <v>#N/A</v>
      </c>
      <c r="M113" s="5" t="e">
        <v>#N/A</v>
      </c>
      <c r="N113" s="5" t="e">
        <v>#N/A</v>
      </c>
    </row>
    <row r="114" spans="1:14" x14ac:dyDescent="0.25">
      <c r="A114" t="s">
        <v>134</v>
      </c>
      <c r="B114" s="3">
        <v>31619</v>
      </c>
      <c r="C114" s="4" t="e">
        <v>#N/A</v>
      </c>
      <c r="D114" s="4" t="e">
        <v>#N/A</v>
      </c>
      <c r="E114" s="4" t="e">
        <v>#N/A</v>
      </c>
      <c r="F114" s="4">
        <v>5.38</v>
      </c>
      <c r="G114" s="4">
        <v>4.7699999999999996</v>
      </c>
      <c r="H114" s="4">
        <v>5.28</v>
      </c>
      <c r="I114" s="5" t="e">
        <v>#N/A</v>
      </c>
      <c r="J114" s="5" t="e">
        <v>#N/A</v>
      </c>
      <c r="K114" s="5" t="e">
        <v>#N/A</v>
      </c>
      <c r="L114" s="5" t="e">
        <v>#N/A</v>
      </c>
      <c r="M114" s="5" t="e">
        <v>#N/A</v>
      </c>
      <c r="N114" s="5" t="e">
        <v>#N/A</v>
      </c>
    </row>
    <row r="115" spans="1:14" x14ac:dyDescent="0.25">
      <c r="A115" t="s">
        <v>135</v>
      </c>
      <c r="B115" s="3">
        <v>32410</v>
      </c>
      <c r="C115" s="4" t="e">
        <v>#N/A</v>
      </c>
      <c r="D115" s="4" t="e">
        <v>#N/A</v>
      </c>
      <c r="E115" s="4" t="e">
        <v>#N/A</v>
      </c>
      <c r="F115" s="4">
        <v>4.7300000000000004</v>
      </c>
      <c r="G115" s="4">
        <v>4.3499999999999996</v>
      </c>
      <c r="H115" s="4">
        <v>4.9400000000000004</v>
      </c>
      <c r="I115" s="5" t="e">
        <v>#N/A</v>
      </c>
      <c r="J115" s="5" t="e">
        <v>#N/A</v>
      </c>
      <c r="K115" s="5" t="e">
        <v>#N/A</v>
      </c>
      <c r="L115" s="5" t="e">
        <v>#N/A</v>
      </c>
      <c r="M115" s="5" t="e">
        <v>#N/A</v>
      </c>
      <c r="N115" s="5" t="e">
        <v>#N/A</v>
      </c>
    </row>
    <row r="116" spans="1:14" x14ac:dyDescent="0.25">
      <c r="A116" t="s">
        <v>136</v>
      </c>
      <c r="B116" s="3">
        <v>40750</v>
      </c>
      <c r="C116" s="4" t="e">
        <v>#N/A</v>
      </c>
      <c r="D116" s="4" t="e">
        <v>#N/A</v>
      </c>
      <c r="E116" s="4" t="e">
        <v>#N/A</v>
      </c>
      <c r="F116" s="4">
        <v>4.38</v>
      </c>
      <c r="G116" s="4">
        <v>4.3499999999999996</v>
      </c>
      <c r="H116" s="4">
        <v>4.97</v>
      </c>
      <c r="I116" s="5" t="e">
        <v>#N/A</v>
      </c>
      <c r="J116" s="5" t="e">
        <v>#N/A</v>
      </c>
      <c r="K116" s="5" t="e">
        <v>#N/A</v>
      </c>
      <c r="L116" s="5" t="e">
        <v>#N/A</v>
      </c>
      <c r="M116" s="5" t="e">
        <v>#N/A</v>
      </c>
      <c r="N116" s="5" t="e">
        <v>#N/A</v>
      </c>
    </row>
    <row r="117" spans="1:14" x14ac:dyDescent="0.25">
      <c r="A117" t="s">
        <v>137</v>
      </c>
      <c r="B117" s="3">
        <v>42138</v>
      </c>
      <c r="C117" s="4" t="e">
        <v>#N/A</v>
      </c>
      <c r="D117" s="4" t="e">
        <v>#N/A</v>
      </c>
      <c r="E117" s="4" t="e">
        <v>#N/A</v>
      </c>
      <c r="F117" s="4">
        <v>4.0599999999999996</v>
      </c>
      <c r="G117" s="4">
        <v>3.98</v>
      </c>
      <c r="H117" s="4">
        <v>4.95</v>
      </c>
      <c r="I117" s="5" t="e">
        <v>#N/A</v>
      </c>
      <c r="J117" s="5" t="e">
        <v>#N/A</v>
      </c>
      <c r="K117" s="5" t="e">
        <v>#N/A</v>
      </c>
      <c r="L117" s="5" t="e">
        <v>#N/A</v>
      </c>
      <c r="M117" s="5" t="e">
        <v>#N/A</v>
      </c>
      <c r="N117" s="5" t="e">
        <v>#N/A</v>
      </c>
    </row>
    <row r="118" spans="1:14" x14ac:dyDescent="0.25">
      <c r="A118" t="s">
        <v>138</v>
      </c>
      <c r="B118" s="3">
        <v>45415</v>
      </c>
      <c r="C118" s="4" t="e">
        <v>#N/A</v>
      </c>
      <c r="D118" s="4" t="e">
        <v>#N/A</v>
      </c>
      <c r="E118" s="4" t="e">
        <v>#N/A</v>
      </c>
      <c r="F118" s="4">
        <v>3.82</v>
      </c>
      <c r="G118" s="4">
        <v>4.0199999999999996</v>
      </c>
      <c r="H118" s="4">
        <v>4.88</v>
      </c>
      <c r="I118" s="5" t="e">
        <v>#N/A</v>
      </c>
      <c r="J118" s="5" t="e">
        <v>#N/A</v>
      </c>
      <c r="K118" s="5" t="e">
        <v>#N/A</v>
      </c>
      <c r="L118" s="5" t="e">
        <v>#N/A</v>
      </c>
      <c r="M118" s="5" t="e">
        <v>#N/A</v>
      </c>
      <c r="N118" s="5" t="e">
        <v>#N/A</v>
      </c>
    </row>
    <row r="119" spans="1:14" x14ac:dyDescent="0.25">
      <c r="A119" t="s">
        <v>139</v>
      </c>
      <c r="B119" s="3">
        <v>47615</v>
      </c>
      <c r="C119" s="4" t="e">
        <v>#N/A</v>
      </c>
      <c r="D119" s="4" t="e">
        <v>#N/A</v>
      </c>
      <c r="E119" s="4" t="e">
        <v>#N/A</v>
      </c>
      <c r="F119" s="4">
        <v>3.83</v>
      </c>
      <c r="G119" s="4">
        <v>3.98</v>
      </c>
      <c r="H119" s="4">
        <v>4.93</v>
      </c>
      <c r="I119" s="5" t="e">
        <v>#N/A</v>
      </c>
      <c r="J119" s="5" t="e">
        <v>#N/A</v>
      </c>
      <c r="K119" s="5" t="e">
        <v>#N/A</v>
      </c>
      <c r="L119" s="5" t="e">
        <v>#N/A</v>
      </c>
      <c r="M119" s="5" t="e">
        <v>#N/A</v>
      </c>
      <c r="N119" s="5" t="e">
        <v>#N/A</v>
      </c>
    </row>
    <row r="120" spans="1:14" x14ac:dyDescent="0.25">
      <c r="A120" t="s">
        <v>140</v>
      </c>
      <c r="B120" s="3">
        <v>50469</v>
      </c>
      <c r="C120" s="4" t="e">
        <v>#N/A</v>
      </c>
      <c r="D120" s="4" t="e">
        <v>#N/A</v>
      </c>
      <c r="E120" s="4" t="e">
        <v>#N/A</v>
      </c>
      <c r="F120" s="4">
        <v>3.95</v>
      </c>
      <c r="G120" s="4">
        <v>4.45</v>
      </c>
      <c r="H120" s="4">
        <v>5.54</v>
      </c>
      <c r="I120" s="5" t="e">
        <v>#N/A</v>
      </c>
      <c r="J120" s="5" t="e">
        <v>#N/A</v>
      </c>
      <c r="K120" s="5" t="e">
        <v>#N/A</v>
      </c>
      <c r="L120" s="5" t="e">
        <v>#N/A</v>
      </c>
      <c r="M120" s="5" t="e">
        <v>#N/A</v>
      </c>
      <c r="N120" s="5" t="e">
        <v>#N/A</v>
      </c>
    </row>
    <row r="121" spans="1:14" x14ac:dyDescent="0.25">
      <c r="A121" t="s">
        <v>141</v>
      </c>
      <c r="B121" s="3">
        <v>53384</v>
      </c>
      <c r="C121" s="4" t="e">
        <v>#N/A</v>
      </c>
      <c r="D121" s="4" t="e">
        <v>#N/A</v>
      </c>
      <c r="E121" s="4" t="e">
        <v>#N/A</v>
      </c>
      <c r="F121" s="4">
        <v>4.1100000000000003</v>
      </c>
      <c r="G121" s="4">
        <v>4.42</v>
      </c>
      <c r="H121" s="4">
        <v>5.68</v>
      </c>
      <c r="I121" s="5" t="e">
        <v>#N/A</v>
      </c>
      <c r="J121" s="5" t="e">
        <v>#N/A</v>
      </c>
      <c r="K121" s="5" t="e">
        <v>#N/A</v>
      </c>
      <c r="L121" s="5" t="e">
        <v>#N/A</v>
      </c>
      <c r="M121" s="5" t="e">
        <v>#N/A</v>
      </c>
      <c r="N121" s="5" t="e">
        <v>#N/A</v>
      </c>
    </row>
    <row r="122" spans="1:14" x14ac:dyDescent="0.25">
      <c r="A122" t="s">
        <v>142</v>
      </c>
      <c r="B122" s="3">
        <v>52612</v>
      </c>
      <c r="C122" s="4" t="e">
        <v>#N/A</v>
      </c>
      <c r="D122" s="4" t="e">
        <v>#N/A</v>
      </c>
      <c r="E122" s="4" t="e">
        <v>#N/A</v>
      </c>
      <c r="F122" s="4">
        <v>3.93</v>
      </c>
      <c r="G122" s="4">
        <v>4.43</v>
      </c>
      <c r="H122" s="4">
        <v>5.72</v>
      </c>
      <c r="I122" s="5" t="e">
        <v>#N/A</v>
      </c>
      <c r="J122" s="5" t="e">
        <v>#N/A</v>
      </c>
      <c r="K122" s="5" t="e">
        <v>#N/A</v>
      </c>
      <c r="L122" s="5" t="e">
        <v>#N/A</v>
      </c>
      <c r="M122" s="5" t="e">
        <v>#N/A</v>
      </c>
      <c r="N122" s="5" t="e">
        <v>#N/A</v>
      </c>
    </row>
    <row r="123" spans="1:14" x14ac:dyDescent="0.25">
      <c r="A123" t="s">
        <v>143</v>
      </c>
      <c r="B123" s="3">
        <v>55589</v>
      </c>
      <c r="C123" s="4" t="e">
        <v>#N/A</v>
      </c>
      <c r="D123" s="4" t="e">
        <v>#N/A</v>
      </c>
      <c r="E123" s="4" t="e">
        <v>#N/A</v>
      </c>
      <c r="F123" s="4">
        <v>3.91</v>
      </c>
      <c r="G123" s="4">
        <v>4.47</v>
      </c>
      <c r="H123" s="4">
        <v>5.69</v>
      </c>
      <c r="I123" s="5" t="e">
        <v>#N/A</v>
      </c>
      <c r="J123" s="5" t="e">
        <v>#N/A</v>
      </c>
      <c r="K123" s="5" t="e">
        <v>#N/A</v>
      </c>
      <c r="L123" s="5" t="e">
        <v>#N/A</v>
      </c>
      <c r="M123" s="5" t="e">
        <v>#N/A</v>
      </c>
      <c r="N123" s="5" t="e">
        <v>#N/A</v>
      </c>
    </row>
    <row r="124" spans="1:14" x14ac:dyDescent="0.25">
      <c r="A124" t="s">
        <v>144</v>
      </c>
      <c r="B124" s="3">
        <v>55993</v>
      </c>
      <c r="C124" s="4" t="e">
        <v>#N/A</v>
      </c>
      <c r="D124" s="4" t="e">
        <v>#N/A</v>
      </c>
      <c r="E124" s="4" t="e">
        <v>#N/A</v>
      </c>
      <c r="F124" s="4">
        <v>3.91</v>
      </c>
      <c r="G124" s="4">
        <v>4.32</v>
      </c>
      <c r="H124" s="4">
        <v>5.67</v>
      </c>
      <c r="I124" s="5" t="e">
        <v>#N/A</v>
      </c>
      <c r="J124" s="5" t="e">
        <v>#N/A</v>
      </c>
      <c r="K124" s="5" t="e">
        <v>#N/A</v>
      </c>
      <c r="L124" s="5" t="e">
        <v>#N/A</v>
      </c>
      <c r="M124" s="5" t="e">
        <v>#N/A</v>
      </c>
      <c r="N124" s="5" t="e">
        <v>#N/A</v>
      </c>
    </row>
    <row r="125" spans="1:14" x14ac:dyDescent="0.25">
      <c r="A125" t="s">
        <v>145</v>
      </c>
      <c r="B125" s="3">
        <v>57292</v>
      </c>
      <c r="C125" s="4" t="e">
        <v>#N/A</v>
      </c>
      <c r="D125" s="4" t="e">
        <v>#N/A</v>
      </c>
      <c r="E125" s="4" t="e">
        <v>#N/A</v>
      </c>
      <c r="F125" s="4">
        <v>3.98</v>
      </c>
      <c r="G125" s="4">
        <v>4.0999999999999996</v>
      </c>
      <c r="H125" s="4">
        <v>5.71</v>
      </c>
      <c r="I125" s="5" t="e">
        <v>#N/A</v>
      </c>
      <c r="J125" s="5" t="e">
        <v>#N/A</v>
      </c>
      <c r="K125" s="5" t="e">
        <v>#N/A</v>
      </c>
      <c r="L125" s="5" t="e">
        <v>#N/A</v>
      </c>
      <c r="M125" s="5" t="e">
        <v>#N/A</v>
      </c>
      <c r="N125" s="5" t="e">
        <v>#N/A</v>
      </c>
    </row>
    <row r="126" spans="1:14" x14ac:dyDescent="0.25">
      <c r="A126" t="s">
        <v>146</v>
      </c>
      <c r="B126" s="3">
        <v>58101</v>
      </c>
      <c r="C126" s="4" t="e">
        <v>#N/A</v>
      </c>
      <c r="D126" s="4" t="e">
        <v>#N/A</v>
      </c>
      <c r="E126" s="4" t="e">
        <v>#N/A</v>
      </c>
      <c r="F126" s="4">
        <v>3.97</v>
      </c>
      <c r="G126" s="4">
        <v>4.05</v>
      </c>
      <c r="H126" s="4">
        <v>5.67</v>
      </c>
      <c r="I126" s="5" t="e">
        <v>#N/A</v>
      </c>
      <c r="J126" s="5" t="e">
        <v>#N/A</v>
      </c>
      <c r="K126" s="5" t="e">
        <v>#N/A</v>
      </c>
      <c r="L126" s="5" t="e">
        <v>#N/A</v>
      </c>
      <c r="M126" s="5" t="e">
        <v>#N/A</v>
      </c>
      <c r="N126" s="5" t="e">
        <v>#N/A</v>
      </c>
    </row>
    <row r="127" spans="1:14" x14ac:dyDescent="0.25">
      <c r="A127" t="s">
        <v>147</v>
      </c>
      <c r="B127" s="3">
        <v>46486</v>
      </c>
      <c r="C127" s="4" t="e">
        <v>#N/A</v>
      </c>
      <c r="D127" s="4" t="e">
        <v>#N/A</v>
      </c>
      <c r="E127" s="4" t="e">
        <v>#N/A</v>
      </c>
      <c r="F127" s="4">
        <v>4.08</v>
      </c>
      <c r="G127" s="4">
        <v>3.97</v>
      </c>
      <c r="H127" s="4">
        <v>5.56</v>
      </c>
      <c r="I127" s="5" t="e">
        <v>#N/A</v>
      </c>
      <c r="J127" s="5" t="e">
        <v>#N/A</v>
      </c>
      <c r="K127" s="5" t="e">
        <v>#N/A</v>
      </c>
      <c r="L127" s="5" t="e">
        <v>#N/A</v>
      </c>
      <c r="M127" s="5" t="e">
        <v>#N/A</v>
      </c>
      <c r="N127" s="5" t="e">
        <v>#N/A</v>
      </c>
    </row>
    <row r="128" spans="1:14" x14ac:dyDescent="0.25">
      <c r="A128" t="s">
        <v>148</v>
      </c>
      <c r="B128" s="3">
        <v>47807</v>
      </c>
      <c r="C128" s="4" t="e">
        <v>#N/A</v>
      </c>
      <c r="D128" s="4" t="e">
        <v>#N/A</v>
      </c>
      <c r="E128" s="4" t="e">
        <v>#N/A</v>
      </c>
      <c r="F128" s="4">
        <v>4.05</v>
      </c>
      <c r="G128" s="4">
        <v>3.88</v>
      </c>
      <c r="H128" s="4">
        <v>5.5</v>
      </c>
      <c r="I128" s="5" t="e">
        <v>#N/A</v>
      </c>
      <c r="J128" s="5" t="e">
        <v>#N/A</v>
      </c>
      <c r="K128" s="5" t="e">
        <v>#N/A</v>
      </c>
      <c r="L128" s="5" t="e">
        <v>#N/A</v>
      </c>
      <c r="M128" s="5" t="e">
        <v>#N/A</v>
      </c>
      <c r="N128" s="5" t="e">
        <v>#N/A</v>
      </c>
    </row>
    <row r="129" spans="1:14" x14ac:dyDescent="0.25">
      <c r="A129" t="s">
        <v>149</v>
      </c>
      <c r="B129" s="3">
        <v>49153</v>
      </c>
      <c r="C129" s="4" t="e">
        <v>#N/A</v>
      </c>
      <c r="D129" s="4" t="e">
        <v>#N/A</v>
      </c>
      <c r="E129" s="4" t="e">
        <v>#N/A</v>
      </c>
      <c r="F129" s="4">
        <v>4.04</v>
      </c>
      <c r="G129" s="4">
        <v>3.92</v>
      </c>
      <c r="H129" s="4">
        <v>5.5</v>
      </c>
      <c r="I129" s="5" t="e">
        <v>#N/A</v>
      </c>
      <c r="J129" s="5" t="e">
        <v>#N/A</v>
      </c>
      <c r="K129" s="5" t="e">
        <v>#N/A</v>
      </c>
      <c r="L129" s="5" t="e">
        <v>#N/A</v>
      </c>
      <c r="M129" s="5" t="e">
        <v>#N/A</v>
      </c>
      <c r="N129" s="5" t="e">
        <v>#N/A</v>
      </c>
    </row>
    <row r="130" spans="1:14" x14ac:dyDescent="0.25">
      <c r="A130" t="s">
        <v>150</v>
      </c>
      <c r="B130" s="3">
        <v>50193</v>
      </c>
      <c r="C130" s="4" t="e">
        <v>#N/A</v>
      </c>
      <c r="D130" s="4" t="e">
        <v>#N/A</v>
      </c>
      <c r="E130" s="4" t="e">
        <v>#N/A</v>
      </c>
      <c r="F130" s="4">
        <v>3.99</v>
      </c>
      <c r="G130" s="4">
        <v>3.82</v>
      </c>
      <c r="H130" s="4">
        <v>5.5</v>
      </c>
      <c r="I130" s="5" t="e">
        <v>#N/A</v>
      </c>
      <c r="J130" s="5" t="e">
        <v>#N/A</v>
      </c>
      <c r="K130" s="5" t="e">
        <v>#N/A</v>
      </c>
      <c r="L130" s="5" t="e">
        <v>#N/A</v>
      </c>
      <c r="M130" s="5" t="e">
        <v>#N/A</v>
      </c>
      <c r="N130" s="5" t="e">
        <v>#N/A</v>
      </c>
    </row>
    <row r="131" spans="1:14" x14ac:dyDescent="0.25">
      <c r="A131" t="s">
        <v>151</v>
      </c>
      <c r="B131" s="3">
        <v>50012</v>
      </c>
      <c r="C131" s="4" t="e">
        <v>#N/A</v>
      </c>
      <c r="D131" s="4" t="e">
        <v>#N/A</v>
      </c>
      <c r="E131" s="4" t="e">
        <v>#N/A</v>
      </c>
      <c r="F131" s="4">
        <v>3.94</v>
      </c>
      <c r="G131" s="4">
        <v>3.78</v>
      </c>
      <c r="H131" s="4">
        <v>5.38</v>
      </c>
      <c r="I131" s="5" t="e">
        <v>#N/A</v>
      </c>
      <c r="J131" s="5" t="e">
        <v>#N/A</v>
      </c>
      <c r="K131" s="5" t="e">
        <v>#N/A</v>
      </c>
      <c r="L131" s="5" t="e">
        <v>#N/A</v>
      </c>
      <c r="M131" s="5" t="e">
        <v>#N/A</v>
      </c>
      <c r="N131" s="5" t="e">
        <v>#N/A</v>
      </c>
    </row>
    <row r="132" spans="1:14" x14ac:dyDescent="0.25">
      <c r="A132" t="s">
        <v>152</v>
      </c>
      <c r="B132" s="3">
        <v>49481</v>
      </c>
      <c r="C132" s="4" t="e">
        <v>#N/A</v>
      </c>
      <c r="D132" s="4" t="e">
        <v>#N/A</v>
      </c>
      <c r="E132" s="4" t="e">
        <v>#N/A</v>
      </c>
      <c r="F132" s="4">
        <v>3.92</v>
      </c>
      <c r="G132" s="4">
        <v>3.67</v>
      </c>
      <c r="H132" s="4">
        <v>5.35</v>
      </c>
      <c r="I132" s="5" t="e">
        <v>#N/A</v>
      </c>
      <c r="J132" s="5" t="e">
        <v>#N/A</v>
      </c>
      <c r="K132" s="5" t="e">
        <v>#N/A</v>
      </c>
      <c r="L132" s="5" t="e">
        <v>#N/A</v>
      </c>
      <c r="M132" s="5" t="e">
        <v>#N/A</v>
      </c>
      <c r="N132" s="5" t="e">
        <v>#N/A</v>
      </c>
    </row>
    <row r="133" spans="1:14" x14ac:dyDescent="0.25">
      <c r="A133" t="s">
        <v>153</v>
      </c>
      <c r="B133" s="3">
        <v>48716</v>
      </c>
      <c r="C133" s="4" t="e">
        <v>#N/A</v>
      </c>
      <c r="D133" s="4" t="e">
        <v>#N/A</v>
      </c>
      <c r="E133" s="4" t="e">
        <v>#N/A</v>
      </c>
      <c r="F133" s="4">
        <v>3.92</v>
      </c>
      <c r="G133" s="4">
        <v>3.77</v>
      </c>
      <c r="H133" s="4">
        <v>5.24</v>
      </c>
      <c r="I133" s="5" t="e">
        <v>#N/A</v>
      </c>
      <c r="J133" s="5" t="e">
        <v>#N/A</v>
      </c>
      <c r="K133" s="5" t="e">
        <v>#N/A</v>
      </c>
      <c r="L133" s="5" t="e">
        <v>#N/A</v>
      </c>
      <c r="M133" s="5" t="e">
        <v>#N/A</v>
      </c>
      <c r="N133" s="5" t="e">
        <v>#N/A</v>
      </c>
    </row>
    <row r="134" spans="1:14" x14ac:dyDescent="0.25">
      <c r="A134" t="s">
        <v>154</v>
      </c>
      <c r="B134" s="3">
        <v>47371</v>
      </c>
      <c r="C134" s="4" t="e">
        <v>#N/A</v>
      </c>
      <c r="D134" s="4" t="e">
        <v>#N/A</v>
      </c>
      <c r="E134" s="4" t="e">
        <v>#N/A</v>
      </c>
      <c r="F134" s="4">
        <v>3.94</v>
      </c>
      <c r="G134" s="4">
        <v>3.74</v>
      </c>
      <c r="H134" s="4">
        <v>5.07</v>
      </c>
      <c r="I134" s="5" t="e">
        <v>#N/A</v>
      </c>
      <c r="J134" s="5" t="e">
        <v>#N/A</v>
      </c>
      <c r="K134" s="5" t="e">
        <v>#N/A</v>
      </c>
      <c r="L134" s="5" t="e">
        <v>#N/A</v>
      </c>
      <c r="M134" s="5" t="e">
        <v>#N/A</v>
      </c>
      <c r="N134" s="5" t="e">
        <v>#N/A</v>
      </c>
    </row>
    <row r="135" spans="1:14" x14ac:dyDescent="0.25">
      <c r="A135" t="s">
        <v>155</v>
      </c>
      <c r="B135" s="3">
        <v>46795</v>
      </c>
      <c r="C135" s="4" t="e">
        <v>#N/A</v>
      </c>
      <c r="D135" s="4" t="e">
        <v>#N/A</v>
      </c>
      <c r="E135" s="4" t="e">
        <v>#N/A</v>
      </c>
      <c r="F135" s="4">
        <v>3.93</v>
      </c>
      <c r="G135" s="4">
        <v>3.8</v>
      </c>
      <c r="H135" s="4">
        <v>5.04</v>
      </c>
      <c r="I135" s="5" t="e">
        <v>#N/A</v>
      </c>
      <c r="J135" s="5" t="e">
        <v>#N/A</v>
      </c>
      <c r="K135" s="5" t="e">
        <v>#N/A</v>
      </c>
      <c r="L135" s="5" t="e">
        <v>#N/A</v>
      </c>
      <c r="M135" s="5" t="e">
        <v>#N/A</v>
      </c>
      <c r="N135" s="5" t="e">
        <v>#N/A</v>
      </c>
    </row>
    <row r="136" spans="1:14" x14ac:dyDescent="0.25">
      <c r="A136" t="s">
        <v>156</v>
      </c>
      <c r="B136" s="3">
        <v>46898</v>
      </c>
      <c r="C136" s="4" t="e">
        <v>#N/A</v>
      </c>
      <c r="D136" s="4" t="e">
        <v>#N/A</v>
      </c>
      <c r="E136" s="4" t="e">
        <v>#N/A</v>
      </c>
      <c r="F136" s="4">
        <v>3.91</v>
      </c>
      <c r="G136" s="4">
        <v>3.68</v>
      </c>
      <c r="H136" s="4">
        <v>4.8600000000000003</v>
      </c>
      <c r="I136" s="5" t="e">
        <v>#N/A</v>
      </c>
      <c r="J136" s="5" t="e">
        <v>#N/A</v>
      </c>
      <c r="K136" s="5" t="e">
        <v>#N/A</v>
      </c>
      <c r="L136" s="5" t="e">
        <v>#N/A</v>
      </c>
      <c r="M136" s="5" t="e">
        <v>#N/A</v>
      </c>
      <c r="N136" s="5" t="e">
        <v>#N/A</v>
      </c>
    </row>
    <row r="137" spans="1:14" x14ac:dyDescent="0.25">
      <c r="A137" t="s">
        <v>157</v>
      </c>
      <c r="B137" s="3">
        <v>46150</v>
      </c>
      <c r="C137" s="4" t="e">
        <v>#N/A</v>
      </c>
      <c r="D137" s="4" t="e">
        <v>#N/A</v>
      </c>
      <c r="E137" s="4" t="e">
        <v>#N/A</v>
      </c>
      <c r="F137" s="4">
        <v>3.91</v>
      </c>
      <c r="G137" s="4">
        <v>3.53</v>
      </c>
      <c r="H137" s="4">
        <v>4.7300000000000004</v>
      </c>
      <c r="I137" s="5" t="e">
        <v>#N/A</v>
      </c>
      <c r="J137" s="5" t="e">
        <v>#N/A</v>
      </c>
      <c r="K137" s="5" t="e">
        <v>#N/A</v>
      </c>
      <c r="L137" s="5" t="e">
        <v>#N/A</v>
      </c>
      <c r="M137" s="5" t="e">
        <v>#N/A</v>
      </c>
      <c r="N137" s="5" t="e">
        <v>#N/A</v>
      </c>
    </row>
    <row r="138" spans="1:14" x14ac:dyDescent="0.25">
      <c r="A138" t="s">
        <v>158</v>
      </c>
      <c r="B138" s="3">
        <v>41715</v>
      </c>
      <c r="C138" s="4" t="e">
        <v>#N/A</v>
      </c>
      <c r="D138" s="4" t="e">
        <v>#N/A</v>
      </c>
      <c r="E138" s="4" t="e">
        <v>#N/A</v>
      </c>
      <c r="F138" s="4">
        <v>3.91</v>
      </c>
      <c r="G138" s="4">
        <v>3.5</v>
      </c>
      <c r="H138" s="4">
        <v>4.76</v>
      </c>
      <c r="I138" s="5" t="e">
        <v>#N/A</v>
      </c>
      <c r="J138" s="5" t="e">
        <v>#N/A</v>
      </c>
      <c r="K138" s="5" t="e">
        <v>#N/A</v>
      </c>
      <c r="L138" s="5" t="e">
        <v>#N/A</v>
      </c>
      <c r="M138" s="5" t="e">
        <v>#N/A</v>
      </c>
      <c r="N138" s="5" t="e">
        <v>#N/A</v>
      </c>
    </row>
    <row r="139" spans="1:14" x14ac:dyDescent="0.25">
      <c r="A139" t="s">
        <v>159</v>
      </c>
      <c r="B139" s="3">
        <v>42901</v>
      </c>
      <c r="C139" s="4" t="e">
        <v>#N/A</v>
      </c>
      <c r="D139" s="4" t="e">
        <v>#N/A</v>
      </c>
      <c r="E139" s="4" t="e">
        <v>#N/A</v>
      </c>
      <c r="F139" s="4">
        <v>4.04</v>
      </c>
      <c r="G139" s="4">
        <v>3.7</v>
      </c>
      <c r="H139" s="4">
        <v>5.03</v>
      </c>
      <c r="I139" s="5" t="e">
        <v>#N/A</v>
      </c>
      <c r="J139" s="5" t="e">
        <v>#N/A</v>
      </c>
      <c r="K139" s="5" t="e">
        <v>#N/A</v>
      </c>
      <c r="L139" s="5" t="e">
        <v>#N/A</v>
      </c>
      <c r="M139" s="5" t="e">
        <v>#N/A</v>
      </c>
      <c r="N139" s="5" t="e">
        <v>#N/A</v>
      </c>
    </row>
    <row r="140" spans="1:14" x14ac:dyDescent="0.25">
      <c r="A140" t="s">
        <v>160</v>
      </c>
      <c r="B140" s="3">
        <v>47482</v>
      </c>
      <c r="C140" s="4" t="e">
        <v>#N/A</v>
      </c>
      <c r="D140" s="4" t="e">
        <v>#N/A</v>
      </c>
      <c r="E140" s="4" t="e">
        <v>#N/A</v>
      </c>
      <c r="F140" s="4">
        <v>4.07</v>
      </c>
      <c r="G140" s="4">
        <v>3.7</v>
      </c>
      <c r="H140" s="4">
        <v>5.15</v>
      </c>
      <c r="I140" s="5" t="e">
        <v>#N/A</v>
      </c>
      <c r="J140" s="5" t="e">
        <v>#N/A</v>
      </c>
      <c r="K140" s="5" t="e">
        <v>#N/A</v>
      </c>
      <c r="L140" s="5" t="e">
        <v>#N/A</v>
      </c>
      <c r="M140" s="5" t="e">
        <v>#N/A</v>
      </c>
      <c r="N140" s="5" t="e">
        <v>#N/A</v>
      </c>
    </row>
    <row r="141" spans="1:14" x14ac:dyDescent="0.25">
      <c r="A141" t="s">
        <v>161</v>
      </c>
      <c r="B141" s="3">
        <v>48359</v>
      </c>
      <c r="C141" s="4" t="e">
        <v>#N/A</v>
      </c>
      <c r="D141" s="4" t="e">
        <v>#N/A</v>
      </c>
      <c r="E141" s="4" t="e">
        <v>#N/A</v>
      </c>
      <c r="F141" s="4">
        <v>4.07</v>
      </c>
      <c r="G141" s="4">
        <v>3.68</v>
      </c>
      <c r="H141" s="4">
        <v>5.0999999999999996</v>
      </c>
      <c r="I141" s="5" t="e">
        <v>#N/A</v>
      </c>
      <c r="J141" s="5" t="e">
        <v>#N/A</v>
      </c>
      <c r="K141" s="5" t="e">
        <v>#N/A</v>
      </c>
      <c r="L141" s="5" t="e">
        <v>#N/A</v>
      </c>
      <c r="M141" s="5" t="e">
        <v>#N/A</v>
      </c>
      <c r="N141" s="5" t="e">
        <v>#N/A</v>
      </c>
    </row>
    <row r="142" spans="1:14" x14ac:dyDescent="0.25">
      <c r="A142" t="s">
        <v>162</v>
      </c>
      <c r="B142" s="3">
        <v>46083</v>
      </c>
      <c r="C142" s="4" t="e">
        <v>#N/A</v>
      </c>
      <c r="D142" s="4" t="e">
        <v>#N/A</v>
      </c>
      <c r="E142" s="4" t="e">
        <v>#N/A</v>
      </c>
      <c r="F142" s="4">
        <v>4</v>
      </c>
      <c r="G142" s="4">
        <v>3.66</v>
      </c>
      <c r="H142" s="4">
        <v>5.0999999999999996</v>
      </c>
      <c r="I142" s="5" t="e">
        <v>#N/A</v>
      </c>
      <c r="J142" s="5" t="e">
        <v>#N/A</v>
      </c>
      <c r="K142" s="5" t="e">
        <v>#N/A</v>
      </c>
      <c r="L142" s="5" t="e">
        <v>#N/A</v>
      </c>
      <c r="M142" s="5" t="e">
        <v>#N/A</v>
      </c>
      <c r="N142" s="5" t="e">
        <v>#N/A</v>
      </c>
    </row>
    <row r="143" spans="1:14" x14ac:dyDescent="0.25">
      <c r="A143" t="s">
        <v>163</v>
      </c>
      <c r="B143" s="3">
        <v>47017</v>
      </c>
      <c r="C143" s="4" t="e">
        <v>#N/A</v>
      </c>
      <c r="D143" s="4" t="e">
        <v>#N/A</v>
      </c>
      <c r="E143" s="4" t="e">
        <v>#N/A</v>
      </c>
      <c r="F143" s="4">
        <v>4</v>
      </c>
      <c r="G143" s="4">
        <v>3.51</v>
      </c>
      <c r="H143" s="4">
        <v>5.0199999999999996</v>
      </c>
      <c r="I143" s="5" t="e">
        <v>#N/A</v>
      </c>
      <c r="J143" s="5" t="e">
        <v>#N/A</v>
      </c>
      <c r="K143" s="5" t="e">
        <v>#N/A</v>
      </c>
      <c r="L143" s="5" t="e">
        <v>#N/A</v>
      </c>
      <c r="M143" s="5" t="e">
        <v>#N/A</v>
      </c>
      <c r="N143" s="5" t="e">
        <v>#N/A</v>
      </c>
    </row>
    <row r="144" spans="1:14" x14ac:dyDescent="0.25">
      <c r="A144" t="s">
        <v>164</v>
      </c>
      <c r="B144" s="3">
        <v>49359</v>
      </c>
      <c r="C144" s="4" t="e">
        <v>#N/A</v>
      </c>
      <c r="D144" s="4" t="e">
        <v>#N/A</v>
      </c>
      <c r="E144" s="4" t="e">
        <v>#N/A</v>
      </c>
      <c r="F144" s="4">
        <v>4.05</v>
      </c>
      <c r="G144" s="4">
        <v>3.36</v>
      </c>
      <c r="H144" s="4">
        <v>4.9000000000000004</v>
      </c>
      <c r="I144" s="5" t="e">
        <v>#N/A</v>
      </c>
      <c r="J144" s="5" t="e">
        <v>#N/A</v>
      </c>
      <c r="K144" s="5" t="e">
        <v>#N/A</v>
      </c>
      <c r="L144" s="5" t="e">
        <v>#N/A</v>
      </c>
      <c r="M144" s="5" t="e">
        <v>#N/A</v>
      </c>
      <c r="N144" s="5" t="e">
        <v>#N/A</v>
      </c>
    </row>
    <row r="145" spans="1:14" x14ac:dyDescent="0.25">
      <c r="A145" t="s">
        <v>165</v>
      </c>
      <c r="B145" s="3">
        <v>50901</v>
      </c>
      <c r="C145" s="4" t="e">
        <v>#N/A</v>
      </c>
      <c r="D145" s="4" t="e">
        <v>#N/A</v>
      </c>
      <c r="E145" s="4" t="e">
        <v>#N/A</v>
      </c>
      <c r="F145" s="4">
        <v>4.0999999999999996</v>
      </c>
      <c r="G145" s="4">
        <v>3.14</v>
      </c>
      <c r="H145" s="4">
        <v>4.6900000000000004</v>
      </c>
      <c r="I145" s="5" t="e">
        <v>#N/A</v>
      </c>
      <c r="J145" s="5" t="e">
        <v>#N/A</v>
      </c>
      <c r="K145" s="5" t="e">
        <v>#N/A</v>
      </c>
      <c r="L145" s="5" t="e">
        <v>#N/A</v>
      </c>
      <c r="M145" s="5" t="e">
        <v>#N/A</v>
      </c>
      <c r="N145" s="5" t="e">
        <v>#N/A</v>
      </c>
    </row>
    <row r="146" spans="1:14" x14ac:dyDescent="0.25">
      <c r="A146" t="s">
        <v>166</v>
      </c>
      <c r="B146" s="3">
        <v>52924</v>
      </c>
      <c r="C146" s="4" t="e">
        <v>#N/A</v>
      </c>
      <c r="D146" s="4" t="e">
        <v>#N/A</v>
      </c>
      <c r="E146" s="4" t="e">
        <v>#N/A</v>
      </c>
      <c r="F146" s="4">
        <v>4.1100000000000003</v>
      </c>
      <c r="G146" s="4">
        <v>3</v>
      </c>
      <c r="H146" s="4">
        <v>4.51</v>
      </c>
      <c r="I146" s="5" t="e">
        <v>#N/A</v>
      </c>
      <c r="J146" s="5" t="e">
        <v>#N/A</v>
      </c>
      <c r="K146" s="5" t="e">
        <v>#N/A</v>
      </c>
      <c r="L146" s="5" t="e">
        <v>#N/A</v>
      </c>
      <c r="M146" s="5" t="e">
        <v>#N/A</v>
      </c>
      <c r="N146" s="5" t="e">
        <v>#N/A</v>
      </c>
    </row>
    <row r="147" spans="1:14" x14ac:dyDescent="0.25">
      <c r="A147" t="s">
        <v>167</v>
      </c>
      <c r="B147" s="3">
        <v>50858</v>
      </c>
      <c r="C147" s="4" t="e">
        <v>#N/A</v>
      </c>
      <c r="D147" s="4" t="e">
        <v>#N/A</v>
      </c>
      <c r="E147" s="4" t="e">
        <v>#N/A</v>
      </c>
      <c r="F147" s="4">
        <v>4.12</v>
      </c>
      <c r="G147" s="4">
        <v>2.92</v>
      </c>
      <c r="H147" s="4">
        <v>3.98</v>
      </c>
      <c r="I147" s="5" t="e">
        <v>#N/A</v>
      </c>
      <c r="J147" s="5" t="e">
        <v>#N/A</v>
      </c>
      <c r="K147" s="5" t="e">
        <v>#N/A</v>
      </c>
      <c r="L147" s="5" t="e">
        <v>#N/A</v>
      </c>
      <c r="M147" s="5" t="e">
        <v>#N/A</v>
      </c>
      <c r="N147" s="5" t="e">
        <v>#N/A</v>
      </c>
    </row>
    <row r="148" spans="1:14" x14ac:dyDescent="0.25">
      <c r="A148" t="s">
        <v>168</v>
      </c>
      <c r="B148" s="3">
        <v>51757</v>
      </c>
      <c r="C148" s="4" t="e">
        <v>#N/A</v>
      </c>
      <c r="D148" s="4" t="e">
        <v>#N/A</v>
      </c>
      <c r="E148" s="4" t="e">
        <v>#N/A</v>
      </c>
      <c r="F148" s="4">
        <v>4.1399999999999997</v>
      </c>
      <c r="G148" s="4">
        <v>3.04</v>
      </c>
      <c r="H148" s="4">
        <v>4</v>
      </c>
      <c r="I148" s="5" t="e">
        <v>#N/A</v>
      </c>
      <c r="J148" s="5" t="e">
        <v>#N/A</v>
      </c>
      <c r="K148" s="5" t="e">
        <v>#N/A</v>
      </c>
      <c r="L148" s="5" t="e">
        <v>#N/A</v>
      </c>
      <c r="M148" s="5" t="e">
        <v>#N/A</v>
      </c>
      <c r="N148" s="5" t="e">
        <v>#N/A</v>
      </c>
    </row>
    <row r="149" spans="1:14" x14ac:dyDescent="0.25">
      <c r="A149" t="s">
        <v>169</v>
      </c>
      <c r="B149" s="3">
        <v>52116</v>
      </c>
      <c r="C149" s="4" t="e">
        <v>#N/A</v>
      </c>
      <c r="D149" s="4" t="e">
        <v>#N/A</v>
      </c>
      <c r="E149" s="4" t="e">
        <v>#N/A</v>
      </c>
      <c r="F149" s="4">
        <v>4.13</v>
      </c>
      <c r="G149" s="4">
        <v>3.14</v>
      </c>
      <c r="H149" s="4">
        <v>4.08</v>
      </c>
      <c r="I149" s="5" t="e">
        <v>#N/A</v>
      </c>
      <c r="J149" s="5" t="e">
        <v>#N/A</v>
      </c>
      <c r="K149" s="5" t="e">
        <v>#N/A</v>
      </c>
      <c r="L149" s="5" t="e">
        <v>#N/A</v>
      </c>
      <c r="M149" s="5" t="e">
        <v>#N/A</v>
      </c>
      <c r="N149" s="5" t="e">
        <v>#N/A</v>
      </c>
    </row>
    <row r="150" spans="1:14" x14ac:dyDescent="0.25">
      <c r="A150" t="s">
        <v>170</v>
      </c>
      <c r="B150" s="3">
        <v>51712</v>
      </c>
      <c r="C150" s="4" t="e">
        <v>#N/A</v>
      </c>
      <c r="D150" s="4" t="e">
        <v>#N/A</v>
      </c>
      <c r="E150" s="4" t="e">
        <v>#N/A</v>
      </c>
      <c r="F150" s="4">
        <v>4.12</v>
      </c>
      <c r="G150" s="4">
        <v>3.22</v>
      </c>
      <c r="H150" s="4">
        <v>4.0599999999999996</v>
      </c>
      <c r="I150" s="5" t="e">
        <v>#N/A</v>
      </c>
      <c r="J150" s="5" t="e">
        <v>#N/A</v>
      </c>
      <c r="K150" s="5" t="e">
        <v>#N/A</v>
      </c>
      <c r="L150" s="5" t="e">
        <v>#N/A</v>
      </c>
      <c r="M150" s="5" t="e">
        <v>#N/A</v>
      </c>
      <c r="N150" s="5" t="e">
        <v>#N/A</v>
      </c>
    </row>
    <row r="151" spans="1:14" x14ac:dyDescent="0.25">
      <c r="A151" t="s">
        <v>171</v>
      </c>
      <c r="B151" s="3">
        <v>55572</v>
      </c>
      <c r="C151" s="4" t="e">
        <v>#N/A</v>
      </c>
      <c r="D151" s="4" t="e">
        <v>#N/A</v>
      </c>
      <c r="E151" s="4" t="e">
        <v>#N/A</v>
      </c>
      <c r="F151" s="4">
        <v>4.18</v>
      </c>
      <c r="G151" s="4">
        <v>3.27</v>
      </c>
      <c r="H151" s="4">
        <v>4.18</v>
      </c>
      <c r="I151" s="5" t="e">
        <v>#N/A</v>
      </c>
      <c r="J151" s="5" t="e">
        <v>#N/A</v>
      </c>
      <c r="K151" s="5" t="e">
        <v>#N/A</v>
      </c>
      <c r="L151" s="5" t="e">
        <v>#N/A</v>
      </c>
      <c r="M151" s="5" t="e">
        <v>#N/A</v>
      </c>
      <c r="N151" s="5" t="e">
        <v>#N/A</v>
      </c>
    </row>
    <row r="152" spans="1:14" x14ac:dyDescent="0.25">
      <c r="A152" t="s">
        <v>172</v>
      </c>
      <c r="B152" s="3">
        <v>50353</v>
      </c>
      <c r="C152" s="4" t="e">
        <v>#N/A</v>
      </c>
      <c r="D152" s="4" t="e">
        <v>#N/A</v>
      </c>
      <c r="E152" s="4" t="e">
        <v>#N/A</v>
      </c>
      <c r="F152" s="4">
        <v>4.1399999999999997</v>
      </c>
      <c r="G152" s="4">
        <v>3.37</v>
      </c>
      <c r="H152" s="4">
        <v>4.17</v>
      </c>
      <c r="I152" s="5" t="e">
        <v>#N/A</v>
      </c>
      <c r="J152" s="5" t="e">
        <v>#N/A</v>
      </c>
      <c r="K152" s="5" t="e">
        <v>#N/A</v>
      </c>
      <c r="L152" s="5" t="e">
        <v>#N/A</v>
      </c>
      <c r="M152" s="5" t="e">
        <v>#N/A</v>
      </c>
      <c r="N152" s="5" t="e">
        <v>#N/A</v>
      </c>
    </row>
    <row r="153" spans="1:14" x14ac:dyDescent="0.25">
      <c r="A153" t="s">
        <v>173</v>
      </c>
      <c r="B153" s="3">
        <v>51289</v>
      </c>
      <c r="C153" s="4" t="e">
        <v>#N/A</v>
      </c>
      <c r="D153" s="4" t="e">
        <v>#N/A</v>
      </c>
      <c r="E153" s="4" t="e">
        <v>#N/A</v>
      </c>
      <c r="F153" s="4">
        <v>4.0999999999999996</v>
      </c>
      <c r="G153" s="4">
        <v>3.44</v>
      </c>
      <c r="H153" s="4">
        <v>4.1900000000000004</v>
      </c>
      <c r="I153" s="5" t="e">
        <v>#N/A</v>
      </c>
      <c r="J153" s="5" t="e">
        <v>#N/A</v>
      </c>
      <c r="K153" s="5" t="e">
        <v>#N/A</v>
      </c>
      <c r="L153" s="5" t="e">
        <v>#N/A</v>
      </c>
      <c r="M153" s="5" t="e">
        <v>#N/A</v>
      </c>
      <c r="N153" s="5" t="e">
        <v>#N/A</v>
      </c>
    </row>
    <row r="154" spans="1:14" x14ac:dyDescent="0.25">
      <c r="A154" t="s">
        <v>174</v>
      </c>
      <c r="B154" s="3">
        <v>51911</v>
      </c>
      <c r="C154" s="4" t="e">
        <v>#N/A</v>
      </c>
      <c r="D154" s="4" t="e">
        <v>#N/A</v>
      </c>
      <c r="E154" s="4" t="e">
        <v>#N/A</v>
      </c>
      <c r="F154" s="4">
        <v>4.0999999999999996</v>
      </c>
      <c r="G154" s="4">
        <v>3.66</v>
      </c>
      <c r="H154" s="4">
        <v>4.29</v>
      </c>
      <c r="I154" s="5" t="e">
        <v>#N/A</v>
      </c>
      <c r="J154" s="5" t="e">
        <v>#N/A</v>
      </c>
      <c r="K154" s="5" t="e">
        <v>#N/A</v>
      </c>
      <c r="L154" s="5" t="e">
        <v>#N/A</v>
      </c>
      <c r="M154" s="5" t="e">
        <v>#N/A</v>
      </c>
      <c r="N154" s="5" t="e">
        <v>#N/A</v>
      </c>
    </row>
    <row r="155" spans="1:14" x14ac:dyDescent="0.25">
      <c r="A155" t="s">
        <v>175</v>
      </c>
      <c r="B155" s="3">
        <v>49259</v>
      </c>
      <c r="C155" s="4" t="e">
        <v>#N/A</v>
      </c>
      <c r="D155" s="4" t="e">
        <v>#N/A</v>
      </c>
      <c r="E155" s="4" t="e">
        <v>#N/A</v>
      </c>
      <c r="F155" s="4">
        <v>4.16</v>
      </c>
      <c r="G155" s="4">
        <v>3.68</v>
      </c>
      <c r="H155" s="4">
        <v>4.28</v>
      </c>
      <c r="I155" s="5" t="e">
        <v>#N/A</v>
      </c>
      <c r="J155" s="5" t="e">
        <v>#N/A</v>
      </c>
      <c r="K155" s="5" t="e">
        <v>#N/A</v>
      </c>
      <c r="L155" s="5" t="e">
        <v>#N/A</v>
      </c>
      <c r="M155" s="5" t="e">
        <v>#N/A</v>
      </c>
      <c r="N155" s="5" t="e">
        <v>#N/A</v>
      </c>
    </row>
    <row r="156" spans="1:14" x14ac:dyDescent="0.25">
      <c r="A156" t="s">
        <v>176</v>
      </c>
      <c r="B156" s="3">
        <v>47827</v>
      </c>
      <c r="C156" s="4" t="e">
        <v>#N/A</v>
      </c>
      <c r="D156" s="4" t="e">
        <v>#N/A</v>
      </c>
      <c r="E156" s="4" t="e">
        <v>#N/A</v>
      </c>
      <c r="F156" s="4">
        <v>4.22</v>
      </c>
      <c r="G156" s="4">
        <v>3.74</v>
      </c>
      <c r="H156" s="4">
        <v>4.3</v>
      </c>
      <c r="I156" s="5" t="e">
        <v>#N/A</v>
      </c>
      <c r="J156" s="5" t="e">
        <v>#N/A</v>
      </c>
      <c r="K156" s="5" t="e">
        <v>#N/A</v>
      </c>
      <c r="L156" s="5" t="e">
        <v>#N/A</v>
      </c>
      <c r="M156" s="5" t="e">
        <v>#N/A</v>
      </c>
      <c r="N156" s="5" t="e">
        <v>#N/A</v>
      </c>
    </row>
    <row r="157" spans="1:14" x14ac:dyDescent="0.25">
      <c r="A157" t="s">
        <v>177</v>
      </c>
      <c r="B157" s="3">
        <v>47263</v>
      </c>
      <c r="C157" s="4" t="e">
        <v>#N/A</v>
      </c>
      <c r="D157" s="4" t="e">
        <v>#N/A</v>
      </c>
      <c r="E157" s="4" t="e">
        <v>#N/A</v>
      </c>
      <c r="F157" s="4">
        <v>4.24</v>
      </c>
      <c r="G157" s="4">
        <v>3.67</v>
      </c>
      <c r="H157" s="4">
        <v>4.18</v>
      </c>
      <c r="I157" s="5" t="e">
        <v>#N/A</v>
      </c>
      <c r="J157" s="5" t="e">
        <v>#N/A</v>
      </c>
      <c r="K157" s="5" t="e">
        <v>#N/A</v>
      </c>
      <c r="L157" s="5" t="e">
        <v>#N/A</v>
      </c>
      <c r="M157" s="5" t="e">
        <v>#N/A</v>
      </c>
      <c r="N157" s="5" t="e">
        <v>#N/A</v>
      </c>
    </row>
    <row r="158" spans="1:14" x14ac:dyDescent="0.25">
      <c r="A158" t="s">
        <v>178</v>
      </c>
      <c r="B158" s="3">
        <v>48098</v>
      </c>
      <c r="C158" s="4" t="e">
        <v>#N/A</v>
      </c>
      <c r="D158" s="4" t="e">
        <v>#N/A</v>
      </c>
      <c r="E158" s="4" t="e">
        <v>#N/A</v>
      </c>
      <c r="F158" s="4">
        <v>4.2699999999999996</v>
      </c>
      <c r="G158" s="4">
        <v>3.69</v>
      </c>
      <c r="H158" s="4">
        <v>4.1100000000000003</v>
      </c>
      <c r="I158" s="5" t="e">
        <v>#N/A</v>
      </c>
      <c r="J158" s="5" t="e">
        <v>#N/A</v>
      </c>
      <c r="K158" s="5" t="e">
        <v>#N/A</v>
      </c>
      <c r="L158" s="5" t="e">
        <v>#N/A</v>
      </c>
      <c r="M158" s="5" t="e">
        <v>#N/A</v>
      </c>
      <c r="N158" s="5" t="e">
        <v>#N/A</v>
      </c>
    </row>
    <row r="159" spans="1:14" x14ac:dyDescent="0.25">
      <c r="A159" t="s">
        <v>179</v>
      </c>
      <c r="B159" s="3">
        <v>50359</v>
      </c>
      <c r="C159" s="4" t="e">
        <v>#N/A</v>
      </c>
      <c r="D159" s="4" t="e">
        <v>#N/A</v>
      </c>
      <c r="E159" s="4" t="e">
        <v>#N/A</v>
      </c>
      <c r="F159" s="4">
        <v>4.29</v>
      </c>
      <c r="G159" s="4">
        <v>3.67</v>
      </c>
      <c r="H159" s="4">
        <v>4.07</v>
      </c>
      <c r="I159" s="5" t="e">
        <v>#N/A</v>
      </c>
      <c r="J159" s="5" t="e">
        <v>#N/A</v>
      </c>
      <c r="K159" s="5" t="e">
        <v>#N/A</v>
      </c>
      <c r="L159" s="5" t="e">
        <v>#N/A</v>
      </c>
      <c r="M159" s="5" t="e">
        <v>#N/A</v>
      </c>
      <c r="N159" s="5" t="e">
        <v>#N/A</v>
      </c>
    </row>
    <row r="160" spans="1:14" x14ac:dyDescent="0.25">
      <c r="A160" t="s">
        <v>180</v>
      </c>
      <c r="B160" s="3">
        <v>52287</v>
      </c>
      <c r="C160" s="4" t="e">
        <v>#N/A</v>
      </c>
      <c r="D160" s="4" t="e">
        <v>#N/A</v>
      </c>
      <c r="E160" s="4" t="e">
        <v>#N/A</v>
      </c>
      <c r="F160" s="4">
        <v>4.32</v>
      </c>
      <c r="G160" s="4">
        <v>3.49</v>
      </c>
      <c r="H160" s="4">
        <v>3.96</v>
      </c>
      <c r="I160" s="5" t="e">
        <v>#N/A</v>
      </c>
      <c r="J160" s="5" t="e">
        <v>#N/A</v>
      </c>
      <c r="K160" s="5" t="e">
        <v>#N/A</v>
      </c>
      <c r="L160" s="5" t="e">
        <v>#N/A</v>
      </c>
      <c r="M160" s="5" t="e">
        <v>#N/A</v>
      </c>
      <c r="N160" s="5" t="e">
        <v>#N/A</v>
      </c>
    </row>
    <row r="161" spans="1:14" x14ac:dyDescent="0.25">
      <c r="A161" t="s">
        <v>181</v>
      </c>
      <c r="B161" s="3">
        <v>53095</v>
      </c>
      <c r="C161" s="4" t="e">
        <v>#N/A</v>
      </c>
      <c r="D161" s="4" t="e">
        <v>#N/A</v>
      </c>
      <c r="E161" s="4" t="e">
        <v>#N/A</v>
      </c>
      <c r="F161" s="4">
        <v>4.32</v>
      </c>
      <c r="G161" s="4">
        <v>3.43</v>
      </c>
      <c r="H161" s="4">
        <v>3.92</v>
      </c>
      <c r="I161" s="5" t="e">
        <v>#N/A</v>
      </c>
      <c r="J161" s="5" t="e">
        <v>#N/A</v>
      </c>
      <c r="K161" s="5" t="e">
        <v>#N/A</v>
      </c>
      <c r="L161" s="5" t="e">
        <v>#N/A</v>
      </c>
      <c r="M161" s="5" t="e">
        <v>#N/A</v>
      </c>
      <c r="N161" s="5" t="e">
        <v>#N/A</v>
      </c>
    </row>
    <row r="162" spans="1:14" x14ac:dyDescent="0.25">
      <c r="A162" t="s">
        <v>182</v>
      </c>
      <c r="B162" s="3">
        <v>54647</v>
      </c>
      <c r="C162" s="4" t="e">
        <v>#N/A</v>
      </c>
      <c r="D162" s="4" t="e">
        <v>#N/A</v>
      </c>
      <c r="E162" s="4" t="e">
        <v>#N/A</v>
      </c>
      <c r="F162" s="4">
        <v>4.3499999999999996</v>
      </c>
      <c r="G162" s="4">
        <v>3.35</v>
      </c>
      <c r="H162" s="4">
        <v>3.91</v>
      </c>
      <c r="I162" s="5" t="e">
        <v>#N/A</v>
      </c>
      <c r="J162" s="5" t="e">
        <v>#N/A</v>
      </c>
      <c r="K162" s="5" t="e">
        <v>#N/A</v>
      </c>
      <c r="L162" s="5" t="e">
        <v>#N/A</v>
      </c>
      <c r="M162" s="5" t="e">
        <v>#N/A</v>
      </c>
      <c r="N162" s="5" t="e">
        <v>#N/A</v>
      </c>
    </row>
    <row r="163" spans="1:14" x14ac:dyDescent="0.25">
      <c r="A163" t="s">
        <v>183</v>
      </c>
      <c r="B163" s="3">
        <v>52258</v>
      </c>
      <c r="C163" s="4" t="e">
        <v>#N/A</v>
      </c>
      <c r="D163" s="4" t="e">
        <v>#N/A</v>
      </c>
      <c r="E163" s="4" t="e">
        <v>#N/A</v>
      </c>
      <c r="F163" s="4">
        <v>4.38</v>
      </c>
      <c r="G163" s="4">
        <v>3.11</v>
      </c>
      <c r="H163" s="4">
        <v>3.71</v>
      </c>
      <c r="I163" s="5" t="e">
        <v>#N/A</v>
      </c>
      <c r="J163" s="5" t="e">
        <v>#N/A</v>
      </c>
      <c r="K163" s="5" t="e">
        <v>#N/A</v>
      </c>
      <c r="L163" s="5" t="e">
        <v>#N/A</v>
      </c>
      <c r="M163" s="5" t="e">
        <v>#N/A</v>
      </c>
      <c r="N163" s="5" t="e">
        <v>#N/A</v>
      </c>
    </row>
    <row r="164" spans="1:14" x14ac:dyDescent="0.25">
      <c r="A164" t="s">
        <v>184</v>
      </c>
      <c r="B164" s="3">
        <v>52537</v>
      </c>
      <c r="C164" s="4" t="e">
        <v>#N/A</v>
      </c>
      <c r="D164" s="4" t="e">
        <v>#N/A</v>
      </c>
      <c r="E164" s="4" t="e">
        <v>#N/A</v>
      </c>
      <c r="F164" s="4">
        <v>4.38</v>
      </c>
      <c r="G164" s="4">
        <v>2.92</v>
      </c>
      <c r="H164" s="4">
        <v>3.62</v>
      </c>
      <c r="I164" s="5" t="e">
        <v>#N/A</v>
      </c>
      <c r="J164" s="5" t="e">
        <v>#N/A</v>
      </c>
      <c r="K164" s="5" t="e">
        <v>#N/A</v>
      </c>
      <c r="L164" s="5" t="e">
        <v>#N/A</v>
      </c>
      <c r="M164" s="5" t="e">
        <v>#N/A</v>
      </c>
      <c r="N164" s="5" t="e">
        <v>#N/A</v>
      </c>
    </row>
    <row r="165" spans="1:14" x14ac:dyDescent="0.25">
      <c r="A165" t="s">
        <v>185</v>
      </c>
      <c r="B165" s="3">
        <v>54465</v>
      </c>
      <c r="C165" s="4" t="e">
        <v>#N/A</v>
      </c>
      <c r="D165" s="4" t="e">
        <v>#N/A</v>
      </c>
      <c r="E165" s="4" t="e">
        <v>#N/A</v>
      </c>
      <c r="F165" s="4">
        <v>4.34</v>
      </c>
      <c r="G165" s="4">
        <v>2.9</v>
      </c>
      <c r="H165" s="4">
        <v>3.63</v>
      </c>
      <c r="I165" s="5" t="e">
        <v>#N/A</v>
      </c>
      <c r="J165" s="5" t="e">
        <v>#N/A</v>
      </c>
      <c r="K165" s="5" t="e">
        <v>#N/A</v>
      </c>
      <c r="L165" s="5" t="e">
        <v>#N/A</v>
      </c>
      <c r="M165" s="5" t="e">
        <v>#N/A</v>
      </c>
      <c r="N165" s="5" t="e">
        <v>#N/A</v>
      </c>
    </row>
    <row r="166" spans="1:14" x14ac:dyDescent="0.25">
      <c r="A166" t="s">
        <v>186</v>
      </c>
      <c r="B166" s="3">
        <v>56092</v>
      </c>
      <c r="C166" s="4" t="e">
        <v>#N/A</v>
      </c>
      <c r="D166" s="4" t="e">
        <v>#N/A</v>
      </c>
      <c r="E166" s="4" t="e">
        <v>#N/A</v>
      </c>
      <c r="F166" s="4">
        <v>4.3499999999999996</v>
      </c>
      <c r="G166" s="4">
        <v>2.87</v>
      </c>
      <c r="H166" s="4">
        <v>3.61</v>
      </c>
      <c r="I166" s="5" t="e">
        <v>#N/A</v>
      </c>
      <c r="J166" s="5" t="e">
        <v>#N/A</v>
      </c>
      <c r="K166" s="5" t="e">
        <v>#N/A</v>
      </c>
      <c r="L166" s="5" t="e">
        <v>#N/A</v>
      </c>
      <c r="M166" s="5" t="e">
        <v>#N/A</v>
      </c>
      <c r="N166" s="5" t="e">
        <v>#N/A</v>
      </c>
    </row>
    <row r="167" spans="1:14" x14ac:dyDescent="0.25">
      <c r="A167" t="s">
        <v>187</v>
      </c>
      <c r="B167" s="3">
        <v>58916</v>
      </c>
      <c r="C167" s="4" t="e">
        <v>#N/A</v>
      </c>
      <c r="D167" s="4" t="e">
        <v>#N/A</v>
      </c>
      <c r="E167" s="4" t="e">
        <v>#N/A</v>
      </c>
      <c r="F167" s="4">
        <v>4.38</v>
      </c>
      <c r="G167" s="4">
        <v>2.69</v>
      </c>
      <c r="H167" s="4">
        <v>3.44</v>
      </c>
      <c r="I167" s="5" t="e">
        <v>#N/A</v>
      </c>
      <c r="J167" s="5" t="e">
        <v>#N/A</v>
      </c>
      <c r="K167" s="5" t="e">
        <v>#N/A</v>
      </c>
      <c r="L167" s="5" t="e">
        <v>#N/A</v>
      </c>
      <c r="M167" s="5" t="e">
        <v>#N/A</v>
      </c>
      <c r="N167" s="5" t="e">
        <v>#N/A</v>
      </c>
    </row>
    <row r="168" spans="1:14" x14ac:dyDescent="0.25">
      <c r="A168" t="s">
        <v>188</v>
      </c>
      <c r="B168" s="3">
        <v>58924</v>
      </c>
      <c r="C168" s="4" t="e">
        <v>#N/A</v>
      </c>
      <c r="D168" s="4" t="e">
        <v>#N/A</v>
      </c>
      <c r="E168" s="4" t="e">
        <v>#N/A</v>
      </c>
      <c r="F168" s="4">
        <v>4.38</v>
      </c>
      <c r="G168" s="4">
        <v>2.63</v>
      </c>
      <c r="H168" s="4">
        <v>3.41</v>
      </c>
      <c r="I168" s="5" t="e">
        <v>#N/A</v>
      </c>
      <c r="J168" s="5" t="e">
        <v>#N/A</v>
      </c>
      <c r="K168" s="5" t="e">
        <v>#N/A</v>
      </c>
      <c r="L168" s="5" t="e">
        <v>#N/A</v>
      </c>
      <c r="M168" s="5" t="e">
        <v>#N/A</v>
      </c>
      <c r="N168" s="5" t="e">
        <v>#N/A</v>
      </c>
    </row>
    <row r="169" spans="1:14" x14ac:dyDescent="0.25">
      <c r="A169" t="s">
        <v>189</v>
      </c>
      <c r="B169" s="3">
        <v>60734</v>
      </c>
      <c r="C169" s="4" t="e">
        <v>#N/A</v>
      </c>
      <c r="D169" s="4" t="e">
        <v>#N/A</v>
      </c>
      <c r="E169" s="4" t="e">
        <v>#N/A</v>
      </c>
      <c r="F169" s="4">
        <v>4.37</v>
      </c>
      <c r="G169" s="4">
        <v>2.62</v>
      </c>
      <c r="H169" s="4">
        <v>3.39</v>
      </c>
      <c r="I169" s="5" t="e">
        <v>#N/A</v>
      </c>
      <c r="J169" s="5" t="e">
        <v>#N/A</v>
      </c>
      <c r="K169" s="5" t="e">
        <v>#N/A</v>
      </c>
      <c r="L169" s="5" t="e">
        <v>#N/A</v>
      </c>
      <c r="M169" s="5" t="e">
        <v>#N/A</v>
      </c>
      <c r="N169" s="5" t="e">
        <v>#N/A</v>
      </c>
    </row>
    <row r="170" spans="1:14" x14ac:dyDescent="0.25">
      <c r="A170" t="s">
        <v>190</v>
      </c>
      <c r="B170" s="3">
        <v>62843</v>
      </c>
      <c r="C170" s="4" t="e">
        <v>#N/A</v>
      </c>
      <c r="D170" s="4" t="e">
        <v>#N/A</v>
      </c>
      <c r="E170" s="4" t="e">
        <v>#N/A</v>
      </c>
      <c r="F170" s="4">
        <v>4.3600000000000003</v>
      </c>
      <c r="G170" s="4">
        <v>2.58</v>
      </c>
      <c r="H170" s="4">
        <v>3.35</v>
      </c>
      <c r="I170" s="5" t="e">
        <v>#N/A</v>
      </c>
      <c r="J170" s="5" t="e">
        <v>#N/A</v>
      </c>
      <c r="K170" s="5" t="e">
        <v>#N/A</v>
      </c>
      <c r="L170" s="5" t="e">
        <v>#N/A</v>
      </c>
      <c r="M170" s="5" t="e">
        <v>#N/A</v>
      </c>
      <c r="N170" s="5" t="e">
        <v>#N/A</v>
      </c>
    </row>
    <row r="171" spans="1:14" x14ac:dyDescent="0.25">
      <c r="A171" t="s">
        <v>191</v>
      </c>
      <c r="B171" s="3">
        <v>67305</v>
      </c>
      <c r="C171" s="4" t="e">
        <v>#N/A</v>
      </c>
      <c r="D171" s="4" t="e">
        <v>#N/A</v>
      </c>
      <c r="E171" s="4" t="e">
        <v>#N/A</v>
      </c>
      <c r="F171" s="4">
        <v>4.3499999999999996</v>
      </c>
      <c r="G171" s="4">
        <v>2.54</v>
      </c>
      <c r="H171" s="4">
        <v>3.4</v>
      </c>
      <c r="I171" s="5" t="e">
        <v>#N/A</v>
      </c>
      <c r="J171" s="5" t="e">
        <v>#N/A</v>
      </c>
      <c r="K171" s="5" t="e">
        <v>#N/A</v>
      </c>
      <c r="L171" s="5" t="e">
        <v>#N/A</v>
      </c>
      <c r="M171" s="5" t="e">
        <v>#N/A</v>
      </c>
      <c r="N171" s="5" t="e">
        <v>#N/A</v>
      </c>
    </row>
    <row r="172" spans="1:14" x14ac:dyDescent="0.25">
      <c r="A172" t="s">
        <v>192</v>
      </c>
      <c r="B172" s="3">
        <v>68580</v>
      </c>
      <c r="C172" s="4" t="e">
        <v>#N/A</v>
      </c>
      <c r="D172" s="4" t="e">
        <v>#N/A</v>
      </c>
      <c r="E172" s="4" t="e">
        <v>#N/A</v>
      </c>
      <c r="F172" s="4">
        <v>4.37</v>
      </c>
      <c r="G172" s="4">
        <v>2.48</v>
      </c>
      <c r="H172" s="4">
        <v>3.37</v>
      </c>
      <c r="I172" s="5" t="e">
        <v>#N/A</v>
      </c>
      <c r="J172" s="5" t="e">
        <v>#N/A</v>
      </c>
      <c r="K172" s="5" t="e">
        <v>#N/A</v>
      </c>
      <c r="L172" s="5" t="e">
        <v>#N/A</v>
      </c>
      <c r="M172" s="5" t="e">
        <v>#N/A</v>
      </c>
      <c r="N172" s="5" t="e">
        <v>#N/A</v>
      </c>
    </row>
    <row r="173" spans="1:14" x14ac:dyDescent="0.25">
      <c r="A173" t="s">
        <v>193</v>
      </c>
      <c r="B173" s="3">
        <v>70478</v>
      </c>
      <c r="C173" s="4" t="e">
        <v>#N/A</v>
      </c>
      <c r="D173" s="4" t="e">
        <v>#N/A</v>
      </c>
      <c r="E173" s="4" t="e">
        <v>#N/A</v>
      </c>
      <c r="F173" s="4">
        <v>4.41</v>
      </c>
      <c r="G173" s="4">
        <v>2.44</v>
      </c>
      <c r="H173" s="4">
        <v>3.36</v>
      </c>
      <c r="I173" s="5" t="e">
        <v>#N/A</v>
      </c>
      <c r="J173" s="5" t="e">
        <v>#N/A</v>
      </c>
      <c r="K173" s="5" t="e">
        <v>#N/A</v>
      </c>
      <c r="L173" s="5" t="e">
        <v>#N/A</v>
      </c>
      <c r="M173" s="5" t="e">
        <v>#N/A</v>
      </c>
      <c r="N173" s="5" t="e">
        <v>#N/A</v>
      </c>
    </row>
    <row r="174" spans="1:14" x14ac:dyDescent="0.25">
      <c r="A174" t="s">
        <v>194</v>
      </c>
      <c r="B174" s="3">
        <v>71939</v>
      </c>
      <c r="C174" s="4" t="e">
        <v>#N/A</v>
      </c>
      <c r="D174" s="4" t="e">
        <v>#N/A</v>
      </c>
      <c r="E174" s="4" t="e">
        <v>#N/A</v>
      </c>
      <c r="F174" s="4">
        <v>4.3899999999999997</v>
      </c>
      <c r="G174" s="4">
        <v>2.4</v>
      </c>
      <c r="H174" s="4">
        <v>3.34</v>
      </c>
      <c r="I174" s="5" t="e">
        <v>#N/A</v>
      </c>
      <c r="J174" s="5" t="e">
        <v>#N/A</v>
      </c>
      <c r="K174" s="5" t="e">
        <v>#N/A</v>
      </c>
      <c r="L174" s="5" t="e">
        <v>#N/A</v>
      </c>
      <c r="M174" s="5" t="e">
        <v>#N/A</v>
      </c>
      <c r="N174" s="5" t="e">
        <v>#N/A</v>
      </c>
    </row>
    <row r="175" spans="1:14" x14ac:dyDescent="0.25">
      <c r="A175" t="s">
        <v>195</v>
      </c>
      <c r="B175" s="3">
        <v>74008</v>
      </c>
      <c r="C175" s="4" t="e">
        <v>#N/A</v>
      </c>
      <c r="D175" s="4" t="e">
        <v>#N/A</v>
      </c>
      <c r="E175" s="4" t="e">
        <v>#N/A</v>
      </c>
      <c r="F175" s="4">
        <v>4.41</v>
      </c>
      <c r="G175" s="4">
        <v>2.37</v>
      </c>
      <c r="H175" s="4">
        <v>3.34</v>
      </c>
      <c r="I175" s="5" t="e">
        <v>#N/A</v>
      </c>
      <c r="J175" s="5" t="e">
        <v>#N/A</v>
      </c>
      <c r="K175" s="5" t="e">
        <v>#N/A</v>
      </c>
      <c r="L175" s="5" t="e">
        <v>#N/A</v>
      </c>
      <c r="M175" s="5" t="e">
        <v>#N/A</v>
      </c>
      <c r="N175" s="5" t="e">
        <v>#N/A</v>
      </c>
    </row>
    <row r="176" spans="1:14" x14ac:dyDescent="0.25">
      <c r="A176" t="s">
        <v>196</v>
      </c>
      <c r="B176" s="3">
        <v>70071</v>
      </c>
      <c r="C176" s="4" t="e">
        <v>#N/A</v>
      </c>
      <c r="D176" s="4" t="e">
        <v>#N/A</v>
      </c>
      <c r="E176" s="4" t="e">
        <v>#N/A</v>
      </c>
      <c r="F176" s="4">
        <v>4.43</v>
      </c>
      <c r="G176" s="4">
        <v>2.38</v>
      </c>
      <c r="H176" s="4">
        <v>3.45</v>
      </c>
      <c r="I176" s="5" t="e">
        <v>#N/A</v>
      </c>
      <c r="J176" s="5" t="e">
        <v>#N/A</v>
      </c>
      <c r="K176" s="5" t="e">
        <v>#N/A</v>
      </c>
      <c r="L176" s="5" t="e">
        <v>#N/A</v>
      </c>
      <c r="M176" s="5" t="e">
        <v>#N/A</v>
      </c>
      <c r="N176" s="5" t="e">
        <v>#N/A</v>
      </c>
    </row>
    <row r="177" spans="1:14" x14ac:dyDescent="0.25">
      <c r="A177" t="s">
        <v>197</v>
      </c>
      <c r="B177" s="3">
        <v>68351</v>
      </c>
      <c r="C177" s="4" t="e">
        <v>#N/A</v>
      </c>
      <c r="D177" s="4" t="e">
        <v>#N/A</v>
      </c>
      <c r="E177" s="4" t="e">
        <v>#N/A</v>
      </c>
      <c r="F177" s="4">
        <v>4.43</v>
      </c>
      <c r="G177" s="4">
        <v>2.37</v>
      </c>
      <c r="H177" s="4">
        <v>3.48</v>
      </c>
      <c r="I177" s="5" t="e">
        <v>#N/A</v>
      </c>
      <c r="J177" s="5" t="e">
        <v>#N/A</v>
      </c>
      <c r="K177" s="5" t="e">
        <v>#N/A</v>
      </c>
      <c r="L177" s="5" t="e">
        <v>#N/A</v>
      </c>
      <c r="M177" s="5" t="e">
        <v>#N/A</v>
      </c>
      <c r="N177" s="5" t="e">
        <v>#N/A</v>
      </c>
    </row>
    <row r="178" spans="1:14" x14ac:dyDescent="0.25">
      <c r="A178" t="s">
        <v>198</v>
      </c>
      <c r="B178" s="3">
        <v>65099</v>
      </c>
      <c r="C178" s="4" t="e">
        <v>#N/A</v>
      </c>
      <c r="D178" s="4" t="e">
        <v>#N/A</v>
      </c>
      <c r="E178" s="4" t="e">
        <v>#N/A</v>
      </c>
      <c r="F178" s="4">
        <v>4.43</v>
      </c>
      <c r="G178" s="4">
        <v>2.54</v>
      </c>
      <c r="H178" s="4">
        <v>3.69</v>
      </c>
      <c r="I178" s="5" t="e">
        <v>#N/A</v>
      </c>
      <c r="J178" s="5" t="e">
        <v>#N/A</v>
      </c>
      <c r="K178" s="5" t="e">
        <v>#N/A</v>
      </c>
      <c r="L178" s="5" t="e">
        <v>#N/A</v>
      </c>
      <c r="M178" s="5" t="e">
        <v>#N/A</v>
      </c>
      <c r="N178" s="5" t="e">
        <v>#N/A</v>
      </c>
    </row>
    <row r="179" spans="1:14" x14ac:dyDescent="0.25">
      <c r="A179" t="s">
        <v>199</v>
      </c>
      <c r="B179" s="3">
        <v>61950</v>
      </c>
      <c r="C179" s="4" t="e">
        <v>#N/A</v>
      </c>
      <c r="D179" s="4" t="e">
        <v>#N/A</v>
      </c>
      <c r="E179" s="4" t="e">
        <v>#N/A</v>
      </c>
      <c r="F179" s="4">
        <v>4.42</v>
      </c>
      <c r="G179" s="4">
        <v>2.56</v>
      </c>
      <c r="H179" s="4">
        <v>3.72</v>
      </c>
      <c r="I179" s="5" t="e">
        <v>#N/A</v>
      </c>
      <c r="J179" s="5" t="e">
        <v>#N/A</v>
      </c>
      <c r="K179" s="5" t="e">
        <v>#N/A</v>
      </c>
      <c r="L179" s="5" t="e">
        <v>#N/A</v>
      </c>
      <c r="M179" s="5" t="e">
        <v>#N/A</v>
      </c>
      <c r="N179" s="5" t="e">
        <v>#N/A</v>
      </c>
    </row>
    <row r="180" spans="1:14" x14ac:dyDescent="0.25">
      <c r="A180" t="s">
        <v>200</v>
      </c>
      <c r="B180" s="3">
        <v>67830</v>
      </c>
      <c r="C180" s="4" t="e">
        <v>#N/A</v>
      </c>
      <c r="D180" s="4" t="e">
        <v>#N/A</v>
      </c>
      <c r="E180" s="4" t="e">
        <v>#N/A</v>
      </c>
      <c r="F180" s="4">
        <v>4.3600000000000003</v>
      </c>
      <c r="G180" s="4">
        <v>2.6</v>
      </c>
      <c r="H180" s="4">
        <v>3.69</v>
      </c>
      <c r="I180" s="5" t="e">
        <v>#N/A</v>
      </c>
      <c r="J180" s="5" t="e">
        <v>#N/A</v>
      </c>
      <c r="K180" s="5" t="e">
        <v>#N/A</v>
      </c>
      <c r="L180" s="5" t="e">
        <v>#N/A</v>
      </c>
      <c r="M180" s="5" t="e">
        <v>#N/A</v>
      </c>
      <c r="N180" s="5" t="e">
        <v>#N/A</v>
      </c>
    </row>
    <row r="181" spans="1:14" x14ac:dyDescent="0.25">
      <c r="A181" t="s">
        <v>201</v>
      </c>
      <c r="B181" s="3">
        <v>66916</v>
      </c>
      <c r="C181" s="4" t="e">
        <v>#N/A</v>
      </c>
      <c r="D181" s="4" t="e">
        <v>#N/A</v>
      </c>
      <c r="E181" s="4" t="e">
        <v>#N/A</v>
      </c>
      <c r="F181" s="4">
        <v>4.45</v>
      </c>
      <c r="G181" s="4">
        <v>2.54</v>
      </c>
      <c r="H181" s="4">
        <v>3.78</v>
      </c>
      <c r="I181" s="5" t="e">
        <v>#N/A</v>
      </c>
      <c r="J181" s="5" t="e">
        <v>#N/A</v>
      </c>
      <c r="K181" s="5" t="e">
        <v>#N/A</v>
      </c>
      <c r="L181" s="5" t="e">
        <v>#N/A</v>
      </c>
      <c r="M181" s="5" t="e">
        <v>#N/A</v>
      </c>
      <c r="N181" s="5" t="e">
        <v>#N/A</v>
      </c>
    </row>
    <row r="182" spans="1:14" x14ac:dyDescent="0.25">
      <c r="A182" t="s">
        <v>202</v>
      </c>
      <c r="B182" s="3">
        <v>65406</v>
      </c>
      <c r="C182" s="4" t="e">
        <v>#N/A</v>
      </c>
      <c r="D182" s="4" t="e">
        <v>#N/A</v>
      </c>
      <c r="E182" s="4" t="e">
        <v>#N/A</v>
      </c>
      <c r="F182" s="4">
        <v>4.45</v>
      </c>
      <c r="G182" s="4">
        <v>2.54</v>
      </c>
      <c r="H182" s="4">
        <v>3.76</v>
      </c>
      <c r="I182" s="5" t="e">
        <v>#N/A</v>
      </c>
      <c r="J182" s="5" t="e">
        <v>#N/A</v>
      </c>
      <c r="K182" s="5" t="e">
        <v>#N/A</v>
      </c>
      <c r="L182" s="5" t="e">
        <v>#N/A</v>
      </c>
      <c r="M182" s="5" t="e">
        <v>#N/A</v>
      </c>
      <c r="N182" s="5" t="e">
        <v>#N/A</v>
      </c>
    </row>
    <row r="183" spans="1:14" x14ac:dyDescent="0.25">
      <c r="A183" t="s">
        <v>203</v>
      </c>
      <c r="B183" s="3">
        <v>62122</v>
      </c>
      <c r="C183" s="4" t="e">
        <v>#N/A</v>
      </c>
      <c r="D183" s="4" t="e">
        <v>#N/A</v>
      </c>
      <c r="E183" s="4" t="e">
        <v>#N/A</v>
      </c>
      <c r="F183" s="4">
        <v>4.5199999999999996</v>
      </c>
      <c r="G183" s="4">
        <v>2.46</v>
      </c>
      <c r="H183" s="4">
        <v>3.61</v>
      </c>
      <c r="I183" s="5" t="e">
        <v>#N/A</v>
      </c>
      <c r="J183" s="5" t="e">
        <v>#N/A</v>
      </c>
      <c r="K183" s="5" t="e">
        <v>#N/A</v>
      </c>
      <c r="L183" s="5" t="e">
        <v>#N/A</v>
      </c>
      <c r="M183" s="5" t="e">
        <v>#N/A</v>
      </c>
      <c r="N183" s="5" t="e">
        <v>#N/A</v>
      </c>
    </row>
    <row r="184" spans="1:14" x14ac:dyDescent="0.25">
      <c r="A184" t="s">
        <v>204</v>
      </c>
      <c r="B184" s="3">
        <v>60391</v>
      </c>
      <c r="C184" s="4" t="e">
        <v>#N/A</v>
      </c>
      <c r="D184" s="4" t="e">
        <v>#N/A</v>
      </c>
      <c r="E184" s="4" t="e">
        <v>#N/A</v>
      </c>
      <c r="F184" s="4">
        <v>4.53</v>
      </c>
      <c r="G184" s="4">
        <v>2.21</v>
      </c>
      <c r="H184" s="4">
        <v>3.27</v>
      </c>
      <c r="I184" s="5" t="e">
        <v>#N/A</v>
      </c>
      <c r="J184" s="5" t="e">
        <v>#N/A</v>
      </c>
      <c r="K184" s="5" t="e">
        <v>#N/A</v>
      </c>
      <c r="L184" s="5" t="e">
        <v>#N/A</v>
      </c>
      <c r="M184" s="5" t="e">
        <v>#N/A</v>
      </c>
      <c r="N184" s="5" t="e">
        <v>#N/A</v>
      </c>
    </row>
    <row r="185" spans="1:14" x14ac:dyDescent="0.25">
      <c r="A185" t="s">
        <v>205</v>
      </c>
      <c r="B185" s="3">
        <v>59637</v>
      </c>
      <c r="C185" s="4" t="e">
        <v>#N/A</v>
      </c>
      <c r="D185" s="4" t="e">
        <v>#N/A</v>
      </c>
      <c r="E185" s="4" t="e">
        <v>#N/A</v>
      </c>
      <c r="F185" s="4">
        <v>4.49</v>
      </c>
      <c r="G185" s="4">
        <v>2.17</v>
      </c>
      <c r="H185" s="4">
        <v>3.21</v>
      </c>
      <c r="I185" s="5" t="e">
        <v>#N/A</v>
      </c>
      <c r="J185" s="5" t="e">
        <v>#N/A</v>
      </c>
      <c r="K185" s="5" t="e">
        <v>#N/A</v>
      </c>
      <c r="L185" s="5" t="e">
        <v>#N/A</v>
      </c>
      <c r="M185" s="5" t="e">
        <v>#N/A</v>
      </c>
      <c r="N185" s="5" t="e">
        <v>#N/A</v>
      </c>
    </row>
    <row r="186" spans="1:14" x14ac:dyDescent="0.25">
      <c r="A186" t="s">
        <v>206</v>
      </c>
      <c r="B186" s="3">
        <v>60156</v>
      </c>
      <c r="C186" s="4" t="e">
        <v>#N/A</v>
      </c>
      <c r="D186" s="4" t="e">
        <v>#N/A</v>
      </c>
      <c r="E186" s="4" t="e">
        <v>#N/A</v>
      </c>
      <c r="F186" s="4">
        <v>4.4800000000000004</v>
      </c>
      <c r="G186" s="4">
        <v>2.08</v>
      </c>
      <c r="H186" s="4">
        <v>3.21</v>
      </c>
      <c r="I186" s="5" t="e">
        <v>#N/A</v>
      </c>
      <c r="J186" s="5" t="e">
        <v>#N/A</v>
      </c>
      <c r="K186" s="5" t="e">
        <v>#N/A</v>
      </c>
      <c r="L186" s="5" t="e">
        <v>#N/A</v>
      </c>
      <c r="M186" s="5" t="e">
        <v>#N/A</v>
      </c>
      <c r="N186" s="5" t="e">
        <v>#N/A</v>
      </c>
    </row>
    <row r="187" spans="1:14" x14ac:dyDescent="0.25">
      <c r="A187" t="s">
        <v>207</v>
      </c>
      <c r="B187" s="3">
        <v>59009</v>
      </c>
      <c r="C187" s="4" t="e">
        <v>#N/A</v>
      </c>
      <c r="D187" s="4" t="e">
        <v>#N/A</v>
      </c>
      <c r="E187" s="4" t="e">
        <v>#N/A</v>
      </c>
      <c r="F187" s="4">
        <v>4.5599999999999996</v>
      </c>
      <c r="G187" s="4">
        <v>2.0099999999999998</v>
      </c>
      <c r="H187" s="4">
        <v>3.09</v>
      </c>
      <c r="I187" s="5" t="e">
        <v>#N/A</v>
      </c>
      <c r="J187" s="5" t="e">
        <v>#N/A</v>
      </c>
      <c r="K187" s="5" t="e">
        <v>#N/A</v>
      </c>
      <c r="L187" s="5" t="e">
        <v>#N/A</v>
      </c>
      <c r="M187" s="5" t="e">
        <v>#N/A</v>
      </c>
      <c r="N187" s="5" t="e">
        <v>#N/A</v>
      </c>
    </row>
    <row r="188" spans="1:14" x14ac:dyDescent="0.25">
      <c r="A188" t="s">
        <v>208</v>
      </c>
      <c r="B188" s="3">
        <v>61475</v>
      </c>
      <c r="C188" s="4" t="e">
        <v>#N/A</v>
      </c>
      <c r="D188" s="4" t="e">
        <v>#N/A</v>
      </c>
      <c r="E188" s="4" t="e">
        <v>#N/A</v>
      </c>
      <c r="F188" s="4">
        <v>4.51</v>
      </c>
      <c r="G188" s="4">
        <v>1.96</v>
      </c>
      <c r="H188" s="4">
        <v>3.05</v>
      </c>
      <c r="I188" s="5" t="e">
        <v>#N/A</v>
      </c>
      <c r="J188" s="5" t="e">
        <v>#N/A</v>
      </c>
      <c r="K188" s="5" t="e">
        <v>#N/A</v>
      </c>
      <c r="L188" s="5" t="e">
        <v>#N/A</v>
      </c>
      <c r="M188" s="5" t="e">
        <v>#N/A</v>
      </c>
      <c r="N188" s="5" t="e">
        <v>#N/A</v>
      </c>
    </row>
    <row r="189" spans="1:14" x14ac:dyDescent="0.25">
      <c r="A189" t="s">
        <v>209</v>
      </c>
      <c r="B189" s="3">
        <v>62854</v>
      </c>
      <c r="C189" s="4" t="e">
        <v>#N/A</v>
      </c>
      <c r="D189" s="4" t="e">
        <v>#N/A</v>
      </c>
      <c r="E189" s="4" t="e">
        <v>#N/A</v>
      </c>
      <c r="F189" s="4">
        <v>4.51</v>
      </c>
      <c r="G189" s="4">
        <v>1.99</v>
      </c>
      <c r="H189" s="4">
        <v>2.98</v>
      </c>
      <c r="I189" s="5" t="e">
        <v>#N/A</v>
      </c>
      <c r="J189" s="5" t="e">
        <v>#N/A</v>
      </c>
      <c r="K189" s="5" t="e">
        <v>#N/A</v>
      </c>
      <c r="L189" s="5" t="e">
        <v>#N/A</v>
      </c>
      <c r="M189" s="5" t="e">
        <v>#N/A</v>
      </c>
      <c r="N189" s="5" t="e">
        <v>#N/A</v>
      </c>
    </row>
    <row r="190" spans="1:14" x14ac:dyDescent="0.25">
      <c r="A190" t="s">
        <v>210</v>
      </c>
      <c r="B190" s="3">
        <v>69029</v>
      </c>
      <c r="C190" s="4" t="e">
        <v>#N/A</v>
      </c>
      <c r="D190" s="4" t="e">
        <v>#N/A</v>
      </c>
      <c r="E190" s="4" t="e">
        <v>#N/A</v>
      </c>
      <c r="F190" s="4">
        <v>4.53</v>
      </c>
      <c r="G190" s="4">
        <v>1.95</v>
      </c>
      <c r="H190" s="4">
        <v>2.92</v>
      </c>
      <c r="I190" s="5" t="e">
        <v>#N/A</v>
      </c>
      <c r="J190" s="5" t="e">
        <v>#N/A</v>
      </c>
      <c r="K190" s="5" t="e">
        <v>#N/A</v>
      </c>
      <c r="L190" s="5" t="e">
        <v>#N/A</v>
      </c>
      <c r="M190" s="5" t="e">
        <v>#N/A</v>
      </c>
      <c r="N190" s="5" t="e">
        <v>#N/A</v>
      </c>
    </row>
    <row r="191" spans="1:14" x14ac:dyDescent="0.25">
      <c r="A191" t="s">
        <v>211</v>
      </c>
      <c r="B191" s="3">
        <v>65055</v>
      </c>
      <c r="C191" s="4" t="e">
        <v>#N/A</v>
      </c>
      <c r="D191" s="4" t="e">
        <v>#N/A</v>
      </c>
      <c r="E191" s="4" t="e">
        <v>#N/A</v>
      </c>
      <c r="F191" s="4">
        <v>4.55</v>
      </c>
      <c r="G191" s="4">
        <v>1.9</v>
      </c>
      <c r="H191" s="4">
        <v>2.86</v>
      </c>
      <c r="I191" s="5" t="e">
        <v>#N/A</v>
      </c>
      <c r="J191" s="5" t="e">
        <v>#N/A</v>
      </c>
      <c r="K191" s="5" t="e">
        <v>#N/A</v>
      </c>
      <c r="L191" s="5" t="e">
        <v>#N/A</v>
      </c>
      <c r="M191" s="5" t="e">
        <v>#N/A</v>
      </c>
      <c r="N191" s="5" t="e">
        <v>#N/A</v>
      </c>
    </row>
    <row r="192" spans="1:14" x14ac:dyDescent="0.25">
      <c r="A192" t="s">
        <v>212</v>
      </c>
      <c r="B192" s="3">
        <v>68109</v>
      </c>
      <c r="C192" s="4" t="e">
        <v>#N/A</v>
      </c>
      <c r="D192" s="4" t="e">
        <v>#N/A</v>
      </c>
      <c r="E192" s="4" t="e">
        <v>#N/A</v>
      </c>
      <c r="F192" s="4">
        <v>4.49</v>
      </c>
      <c r="G192" s="4">
        <v>1.83</v>
      </c>
      <c r="H192" s="4">
        <v>2.82</v>
      </c>
      <c r="I192" s="5" t="e">
        <v>#N/A</v>
      </c>
      <c r="J192" s="5" t="e">
        <v>#N/A</v>
      </c>
      <c r="K192" s="5" t="e">
        <v>#N/A</v>
      </c>
      <c r="L192" s="5" t="e">
        <v>#N/A</v>
      </c>
      <c r="M192" s="5" t="e">
        <v>#N/A</v>
      </c>
      <c r="N192" s="5" t="e">
        <v>#N/A</v>
      </c>
    </row>
    <row r="193" spans="1:14" x14ac:dyDescent="0.25">
      <c r="A193" t="s">
        <v>213</v>
      </c>
      <c r="B193" s="3">
        <v>70819</v>
      </c>
      <c r="C193" s="4" t="e">
        <v>#N/A</v>
      </c>
      <c r="D193" s="4" t="e">
        <v>#N/A</v>
      </c>
      <c r="E193" s="4" t="e">
        <v>#N/A</v>
      </c>
      <c r="F193" s="4">
        <v>4.5</v>
      </c>
      <c r="G193" s="4">
        <v>1.87</v>
      </c>
      <c r="H193" s="4">
        <v>2.83</v>
      </c>
      <c r="I193" s="5" t="e">
        <v>#N/A</v>
      </c>
      <c r="J193" s="5" t="e">
        <v>#N/A</v>
      </c>
      <c r="K193" s="5" t="e">
        <v>#N/A</v>
      </c>
      <c r="L193" s="5" t="e">
        <v>#N/A</v>
      </c>
      <c r="M193" s="5" t="e">
        <v>#N/A</v>
      </c>
      <c r="N193" s="5" t="e">
        <v>#N/A</v>
      </c>
    </row>
    <row r="194" spans="1:14" x14ac:dyDescent="0.25">
      <c r="A194" t="s">
        <v>214</v>
      </c>
      <c r="B194" s="3">
        <v>72319</v>
      </c>
      <c r="C194" s="4" t="e">
        <v>#N/A</v>
      </c>
      <c r="D194" s="4" t="e">
        <v>#N/A</v>
      </c>
      <c r="E194" s="4" t="e">
        <v>#N/A</v>
      </c>
      <c r="F194" s="4">
        <v>4.4800000000000004</v>
      </c>
      <c r="G194" s="4">
        <v>1.95</v>
      </c>
      <c r="H194" s="4">
        <v>2.92</v>
      </c>
      <c r="I194" s="5" t="e">
        <v>#N/A</v>
      </c>
      <c r="J194" s="5" t="e">
        <v>#N/A</v>
      </c>
      <c r="K194" s="5" t="e">
        <v>#N/A</v>
      </c>
      <c r="L194" s="5" t="e">
        <v>#N/A</v>
      </c>
      <c r="M194" s="5" t="e">
        <v>#N/A</v>
      </c>
      <c r="N194" s="5" t="e">
        <v>#N/A</v>
      </c>
    </row>
    <row r="195" spans="1:14" x14ac:dyDescent="0.25">
      <c r="A195" t="s">
        <v>215</v>
      </c>
      <c r="B195" s="3">
        <v>71179</v>
      </c>
      <c r="C195" s="4" t="e">
        <v>#N/A</v>
      </c>
      <c r="D195" s="4" t="e">
        <v>#N/A</v>
      </c>
      <c r="E195" s="4" t="e">
        <v>#N/A</v>
      </c>
      <c r="F195" s="4">
        <v>4.5</v>
      </c>
      <c r="G195" s="4">
        <v>1.91</v>
      </c>
      <c r="H195" s="4">
        <v>2.84</v>
      </c>
      <c r="I195" s="5" t="e">
        <v>#N/A</v>
      </c>
      <c r="J195" s="5" t="e">
        <v>#N/A</v>
      </c>
      <c r="K195" s="5" t="e">
        <v>#N/A</v>
      </c>
      <c r="L195" s="5" t="e">
        <v>#N/A</v>
      </c>
      <c r="M195" s="5" t="e">
        <v>#N/A</v>
      </c>
      <c r="N195" s="5" t="e">
        <v>#N/A</v>
      </c>
    </row>
    <row r="196" spans="1:14" x14ac:dyDescent="0.25">
      <c r="A196" t="s">
        <v>216</v>
      </c>
      <c r="B196" s="3">
        <v>70143</v>
      </c>
      <c r="C196" s="4" t="e">
        <v>#N/A</v>
      </c>
      <c r="D196" s="4" t="e">
        <v>#N/A</v>
      </c>
      <c r="E196" s="4" t="e">
        <v>#N/A</v>
      </c>
      <c r="F196" s="4">
        <v>4.54</v>
      </c>
      <c r="G196" s="4">
        <v>1.87</v>
      </c>
      <c r="H196" s="4">
        <v>2.78</v>
      </c>
      <c r="I196" s="5" t="e">
        <v>#N/A</v>
      </c>
      <c r="J196" s="5" t="e">
        <v>#N/A</v>
      </c>
      <c r="K196" s="5" t="e">
        <v>#N/A</v>
      </c>
      <c r="L196" s="5" t="e">
        <v>#N/A</v>
      </c>
      <c r="M196" s="5" t="e">
        <v>#N/A</v>
      </c>
      <c r="N196" s="5" t="e">
        <v>#N/A</v>
      </c>
    </row>
    <row r="197" spans="1:14" x14ac:dyDescent="0.25">
      <c r="A197" t="s">
        <v>217</v>
      </c>
      <c r="B197" s="3">
        <v>70537</v>
      </c>
      <c r="C197" s="4" t="e">
        <v>#N/A</v>
      </c>
      <c r="D197" s="4" t="e">
        <v>#N/A</v>
      </c>
      <c r="E197" s="4" t="e">
        <v>#N/A</v>
      </c>
      <c r="F197" s="4">
        <v>4.49</v>
      </c>
      <c r="G197" s="4">
        <v>1.92</v>
      </c>
      <c r="H197" s="4">
        <v>2.77</v>
      </c>
      <c r="I197" s="5" t="e">
        <v>#N/A</v>
      </c>
      <c r="J197" s="5" t="e">
        <v>#N/A</v>
      </c>
      <c r="K197" s="5" t="e">
        <v>#N/A</v>
      </c>
      <c r="L197" s="5" t="e">
        <v>#N/A</v>
      </c>
      <c r="M197" s="5" t="e">
        <v>#N/A</v>
      </c>
      <c r="N197" s="5" t="e">
        <v>#N/A</v>
      </c>
    </row>
    <row r="198" spans="1:14" x14ac:dyDescent="0.25">
      <c r="A198" t="s">
        <v>218</v>
      </c>
      <c r="B198" s="3">
        <v>71354</v>
      </c>
      <c r="C198" s="4" t="e">
        <v>#N/A</v>
      </c>
      <c r="D198" s="4" t="e">
        <v>#N/A</v>
      </c>
      <c r="E198" s="4" t="e">
        <v>#N/A</v>
      </c>
      <c r="F198" s="4">
        <v>4.49</v>
      </c>
      <c r="G198" s="4">
        <v>1.9</v>
      </c>
      <c r="H198" s="4">
        <v>2.75</v>
      </c>
      <c r="I198" s="5" t="e">
        <v>#N/A</v>
      </c>
      <c r="J198" s="5" t="e">
        <v>#N/A</v>
      </c>
      <c r="K198" s="5" t="e">
        <v>#N/A</v>
      </c>
      <c r="L198" s="5" t="e">
        <v>#N/A</v>
      </c>
      <c r="M198" s="5" t="e">
        <v>#N/A</v>
      </c>
      <c r="N198" s="5" t="e">
        <v>#N/A</v>
      </c>
    </row>
    <row r="199" spans="1:14" x14ac:dyDescent="0.25">
      <c r="A199" t="s">
        <v>219</v>
      </c>
      <c r="B199" s="3">
        <v>72432</v>
      </c>
      <c r="C199" s="4">
        <v>2.4700000000000002</v>
      </c>
      <c r="D199" s="4">
        <v>2.88</v>
      </c>
      <c r="E199" s="4">
        <v>3.04</v>
      </c>
      <c r="F199" s="4">
        <v>4.5599999999999996</v>
      </c>
      <c r="G199" s="4">
        <v>1.93</v>
      </c>
      <c r="H199" s="4">
        <v>2.68</v>
      </c>
      <c r="I199" s="5" t="e">
        <v>#N/A</v>
      </c>
      <c r="J199" s="5" t="e">
        <v>#N/A</v>
      </c>
      <c r="K199" s="5" t="e">
        <v>#N/A</v>
      </c>
      <c r="L199" s="5" t="e">
        <v>#N/A</v>
      </c>
      <c r="M199" s="5" t="e">
        <v>#N/A</v>
      </c>
      <c r="N199" s="5" t="e">
        <v>#N/A</v>
      </c>
    </row>
    <row r="200" spans="1:14" x14ac:dyDescent="0.25">
      <c r="A200" t="s">
        <v>220</v>
      </c>
      <c r="B200" s="3">
        <v>71891</v>
      </c>
      <c r="C200" s="4">
        <v>2.4900000000000002</v>
      </c>
      <c r="D200" s="4">
        <v>2.88</v>
      </c>
      <c r="E200" s="4">
        <v>3.01</v>
      </c>
      <c r="F200" s="4">
        <v>4.58</v>
      </c>
      <c r="G200" s="4">
        <v>1.95</v>
      </c>
      <c r="H200" s="4">
        <v>2.73</v>
      </c>
      <c r="I200" s="5" t="e">
        <v>#N/A</v>
      </c>
      <c r="J200" s="5" t="e">
        <v>#N/A</v>
      </c>
      <c r="K200" s="5" t="e">
        <v>#N/A</v>
      </c>
      <c r="L200" s="5" t="e">
        <v>#N/A</v>
      </c>
      <c r="M200" s="5" t="e">
        <v>#N/A</v>
      </c>
      <c r="N200" s="5" t="e">
        <v>#N/A</v>
      </c>
    </row>
    <row r="201" spans="1:14" x14ac:dyDescent="0.25">
      <c r="A201" t="s">
        <v>221</v>
      </c>
      <c r="B201" s="3">
        <v>70735</v>
      </c>
      <c r="C201" s="4">
        <v>2.4700000000000002</v>
      </c>
      <c r="D201" s="4">
        <v>2.88</v>
      </c>
      <c r="E201" s="4">
        <v>2.99</v>
      </c>
      <c r="F201" s="4">
        <v>4.57</v>
      </c>
      <c r="G201" s="4">
        <v>1.9</v>
      </c>
      <c r="H201" s="4">
        <v>2.7</v>
      </c>
      <c r="I201" s="5" t="e">
        <v>#N/A</v>
      </c>
      <c r="J201" s="5" t="e">
        <v>#N/A</v>
      </c>
      <c r="K201" s="5" t="e">
        <v>#N/A</v>
      </c>
      <c r="L201" s="5" t="e">
        <v>#N/A</v>
      </c>
      <c r="M201" s="5" t="e">
        <v>#N/A</v>
      </c>
      <c r="N201" s="5" t="e">
        <v>#N/A</v>
      </c>
    </row>
    <row r="202" spans="1:14" x14ac:dyDescent="0.25">
      <c r="A202" t="s">
        <v>222</v>
      </c>
      <c r="B202" s="3">
        <v>68692</v>
      </c>
      <c r="C202" s="4">
        <v>2.39</v>
      </c>
      <c r="D202" s="4">
        <v>2.86</v>
      </c>
      <c r="E202" s="4">
        <v>2.96</v>
      </c>
      <c r="F202" s="4">
        <v>4.6399999999999997</v>
      </c>
      <c r="G202" s="4">
        <v>1.84</v>
      </c>
      <c r="H202" s="4">
        <v>2.71</v>
      </c>
      <c r="I202" s="5" t="e">
        <v>#N/A</v>
      </c>
      <c r="J202" s="5" t="e">
        <v>#N/A</v>
      </c>
      <c r="K202" s="5" t="e">
        <v>#N/A</v>
      </c>
      <c r="L202" s="5" t="e">
        <v>#N/A</v>
      </c>
      <c r="M202" s="5" t="e">
        <v>#N/A</v>
      </c>
      <c r="N202" s="5" t="e">
        <v>#N/A</v>
      </c>
    </row>
    <row r="203" spans="1:14" x14ac:dyDescent="0.25">
      <c r="A203" t="s">
        <v>223</v>
      </c>
      <c r="B203" s="3">
        <v>67580</v>
      </c>
      <c r="C203" s="4">
        <v>2.39</v>
      </c>
      <c r="D203" s="4">
        <v>2.86</v>
      </c>
      <c r="E203" s="4">
        <v>2.93</v>
      </c>
      <c r="F203" s="4">
        <v>4.5599999999999996</v>
      </c>
      <c r="G203" s="4">
        <v>1.91</v>
      </c>
      <c r="H203" s="4">
        <v>2.64</v>
      </c>
      <c r="I203" s="5" t="e">
        <v>#N/A</v>
      </c>
      <c r="J203" s="5" t="e">
        <v>#N/A</v>
      </c>
      <c r="K203" s="5" t="e">
        <v>#N/A</v>
      </c>
      <c r="L203" s="5" t="e">
        <v>#N/A</v>
      </c>
      <c r="M203" s="5" t="e">
        <v>#N/A</v>
      </c>
      <c r="N203" s="5" t="e">
        <v>#N/A</v>
      </c>
    </row>
    <row r="204" spans="1:14" x14ac:dyDescent="0.25">
      <c r="A204" t="s">
        <v>224</v>
      </c>
      <c r="B204" s="3">
        <v>65660</v>
      </c>
      <c r="C204" s="4">
        <v>2.39</v>
      </c>
      <c r="D204" s="4">
        <v>2.85</v>
      </c>
      <c r="E204" s="4">
        <v>2.91</v>
      </c>
      <c r="F204" s="4">
        <v>4.5199999999999996</v>
      </c>
      <c r="G204" s="4">
        <v>1.75</v>
      </c>
      <c r="H204" s="4">
        <v>2.54</v>
      </c>
      <c r="I204" s="5" t="e">
        <v>#N/A</v>
      </c>
      <c r="J204" s="5" t="e">
        <v>#N/A</v>
      </c>
      <c r="K204" s="5" t="e">
        <v>#N/A</v>
      </c>
      <c r="L204" s="5" t="e">
        <v>#N/A</v>
      </c>
      <c r="M204" s="5" t="e">
        <v>#N/A</v>
      </c>
      <c r="N204" s="5" t="e">
        <v>#N/A</v>
      </c>
    </row>
    <row r="205" spans="1:14" x14ac:dyDescent="0.25">
      <c r="A205" t="s">
        <v>225</v>
      </c>
      <c r="B205" s="3">
        <v>62674</v>
      </c>
      <c r="C205" s="4">
        <v>2.2999999999999998</v>
      </c>
      <c r="D205" s="4">
        <v>2.86</v>
      </c>
      <c r="E205" s="4">
        <v>2.88</v>
      </c>
      <c r="F205" s="4">
        <v>4.55</v>
      </c>
      <c r="G205" s="4">
        <v>1.72</v>
      </c>
      <c r="H205" s="4">
        <v>2.5099999999999998</v>
      </c>
      <c r="I205" s="5" t="e">
        <v>#N/A</v>
      </c>
      <c r="J205" s="5" t="e">
        <v>#N/A</v>
      </c>
      <c r="K205" s="5" t="e">
        <v>#N/A</v>
      </c>
      <c r="L205" s="5" t="e">
        <v>#N/A</v>
      </c>
      <c r="M205" s="5" t="e">
        <v>#N/A</v>
      </c>
      <c r="N205" s="5" t="e">
        <v>#N/A</v>
      </c>
    </row>
    <row r="206" spans="1:14" x14ac:dyDescent="0.25">
      <c r="A206" t="s">
        <v>226</v>
      </c>
      <c r="B206" s="3">
        <v>61399</v>
      </c>
      <c r="C206" s="4">
        <v>2.2999999999999998</v>
      </c>
      <c r="D206" s="4">
        <v>2.82</v>
      </c>
      <c r="E206" s="4">
        <v>2.85</v>
      </c>
      <c r="F206" s="4">
        <v>4.3</v>
      </c>
      <c r="G206" s="4">
        <v>1.69</v>
      </c>
      <c r="H206" s="4">
        <v>2.39</v>
      </c>
      <c r="I206" s="5" t="e">
        <v>#N/A</v>
      </c>
      <c r="J206" s="5" t="e">
        <v>#N/A</v>
      </c>
      <c r="K206" s="5" t="e">
        <v>#N/A</v>
      </c>
      <c r="L206" s="5" t="e">
        <v>#N/A</v>
      </c>
      <c r="M206" s="5" t="e">
        <v>#N/A</v>
      </c>
      <c r="N206" s="5" t="e">
        <v>#N/A</v>
      </c>
    </row>
    <row r="207" spans="1:14" x14ac:dyDescent="0.25">
      <c r="A207" t="s">
        <v>227</v>
      </c>
      <c r="B207" s="3">
        <v>64320</v>
      </c>
      <c r="C207" s="4">
        <v>2.25</v>
      </c>
      <c r="D207" s="4">
        <v>2.62</v>
      </c>
      <c r="E207" s="4">
        <v>2.83</v>
      </c>
      <c r="F207" s="4">
        <v>4.24</v>
      </c>
      <c r="G207" s="4">
        <v>1.59</v>
      </c>
      <c r="H207" s="4">
        <v>2.34</v>
      </c>
      <c r="I207" s="5" t="e">
        <v>#N/A</v>
      </c>
      <c r="J207" s="5" t="e">
        <v>#N/A</v>
      </c>
      <c r="K207" s="5" t="e">
        <v>#N/A</v>
      </c>
      <c r="L207" s="5" t="e">
        <v>#N/A</v>
      </c>
      <c r="M207" s="5" t="e">
        <v>#N/A</v>
      </c>
      <c r="N207" s="5" t="e">
        <v>#N/A</v>
      </c>
    </row>
    <row r="208" spans="1:14" x14ac:dyDescent="0.25">
      <c r="A208" t="s">
        <v>228</v>
      </c>
      <c r="B208" s="3">
        <v>67975</v>
      </c>
      <c r="C208" s="4">
        <v>2.15</v>
      </c>
      <c r="D208" s="4">
        <v>2.6</v>
      </c>
      <c r="E208" s="4">
        <v>2.79</v>
      </c>
      <c r="F208" s="4">
        <v>4.24</v>
      </c>
      <c r="G208" s="4">
        <v>1.52</v>
      </c>
      <c r="H208" s="4">
        <v>2.27</v>
      </c>
      <c r="I208" s="5" t="e">
        <v>#N/A</v>
      </c>
      <c r="J208" s="5" t="e">
        <v>#N/A</v>
      </c>
      <c r="K208" s="5" t="e">
        <v>#N/A</v>
      </c>
      <c r="L208" s="5" t="e">
        <v>#N/A</v>
      </c>
      <c r="M208" s="5" t="e">
        <v>#N/A</v>
      </c>
      <c r="N208" s="5" t="e">
        <v>#N/A</v>
      </c>
    </row>
    <row r="209" spans="1:14" x14ac:dyDescent="0.25">
      <c r="A209" t="s">
        <v>229</v>
      </c>
      <c r="B209" s="3">
        <v>68387</v>
      </c>
      <c r="C209" s="4">
        <v>2.15</v>
      </c>
      <c r="D209" s="4">
        <v>2.58</v>
      </c>
      <c r="E209" s="4">
        <v>2.76</v>
      </c>
      <c r="F209" s="4">
        <v>4.28</v>
      </c>
      <c r="G209" s="4">
        <v>1.43</v>
      </c>
      <c r="H209" s="4">
        <v>2.25</v>
      </c>
      <c r="I209" s="5" t="e">
        <v>#N/A</v>
      </c>
      <c r="J209" s="5" t="e">
        <v>#N/A</v>
      </c>
      <c r="K209" s="5" t="e">
        <v>#N/A</v>
      </c>
      <c r="L209" s="5" t="e">
        <v>#N/A</v>
      </c>
      <c r="M209" s="5" t="e">
        <v>#N/A</v>
      </c>
      <c r="N209" s="5" t="e">
        <v>#N/A</v>
      </c>
    </row>
    <row r="210" spans="1:14" x14ac:dyDescent="0.25">
      <c r="A210" t="s">
        <v>230</v>
      </c>
      <c r="B210" s="3">
        <v>68395</v>
      </c>
      <c r="C210" s="4">
        <v>2.14</v>
      </c>
      <c r="D210" s="4">
        <v>2.58</v>
      </c>
      <c r="E210" s="4">
        <v>2.73</v>
      </c>
      <c r="F210" s="4">
        <v>4.2300000000000004</v>
      </c>
      <c r="G210" s="4">
        <v>1.45</v>
      </c>
      <c r="H210" s="4">
        <v>2.2599999999999998</v>
      </c>
      <c r="I210" s="5" t="e">
        <v>#N/A</v>
      </c>
      <c r="J210" s="5" t="e">
        <v>#N/A</v>
      </c>
      <c r="K210" s="5" t="e">
        <v>#N/A</v>
      </c>
      <c r="L210" s="5" t="e">
        <v>#N/A</v>
      </c>
      <c r="M210" s="5" t="e">
        <v>#N/A</v>
      </c>
      <c r="N210" s="5" t="e">
        <v>#N/A</v>
      </c>
    </row>
    <row r="211" spans="1:14" x14ac:dyDescent="0.25">
      <c r="A211" t="s">
        <v>231</v>
      </c>
      <c r="B211" s="3">
        <v>68031</v>
      </c>
      <c r="C211" s="4">
        <v>2.0299999999999998</v>
      </c>
      <c r="D211" s="4">
        <v>2.57</v>
      </c>
      <c r="E211" s="4">
        <v>2.7</v>
      </c>
      <c r="F211" s="4">
        <v>4.49</v>
      </c>
      <c r="G211" s="4">
        <v>1.45</v>
      </c>
      <c r="H211" s="4">
        <v>2.2200000000000002</v>
      </c>
      <c r="I211" s="5">
        <v>3.5</v>
      </c>
      <c r="J211" s="5">
        <v>2.6</v>
      </c>
      <c r="K211" s="5">
        <v>3.3</v>
      </c>
      <c r="L211" s="5">
        <v>3</v>
      </c>
      <c r="M211" s="5" t="e">
        <v>#N/A</v>
      </c>
      <c r="N211" s="5" t="e">
        <v>#N/A</v>
      </c>
    </row>
    <row r="212" spans="1:14" x14ac:dyDescent="0.25">
      <c r="A212" t="s">
        <v>232</v>
      </c>
      <c r="B212" s="3">
        <v>68159</v>
      </c>
      <c r="C212" s="4">
        <v>2.09</v>
      </c>
      <c r="D212" s="4">
        <v>2.56</v>
      </c>
      <c r="E212" s="4">
        <v>2.67</v>
      </c>
      <c r="F212" s="4">
        <v>4.37</v>
      </c>
      <c r="G212" s="4">
        <v>1.42</v>
      </c>
      <c r="H212" s="4">
        <v>2.2000000000000002</v>
      </c>
      <c r="I212" s="5">
        <v>2</v>
      </c>
      <c r="J212" s="5">
        <v>2.6</v>
      </c>
      <c r="K212" s="5">
        <v>2.8</v>
      </c>
      <c r="L212" s="5">
        <v>2.8</v>
      </c>
      <c r="M212" s="5" t="e">
        <v>#N/A</v>
      </c>
      <c r="N212" s="5" t="e">
        <v>#N/A</v>
      </c>
    </row>
    <row r="213" spans="1:14" x14ac:dyDescent="0.25">
      <c r="A213" t="s">
        <v>233</v>
      </c>
      <c r="B213" s="3">
        <v>68055</v>
      </c>
      <c r="C213" s="4">
        <v>2.1</v>
      </c>
      <c r="D213" s="4">
        <v>2.56</v>
      </c>
      <c r="E213" s="4">
        <v>2.65</v>
      </c>
      <c r="F213" s="4">
        <v>4.28</v>
      </c>
      <c r="G213" s="4">
        <v>1.37</v>
      </c>
      <c r="H213" s="4">
        <v>2.15</v>
      </c>
      <c r="I213" s="5">
        <v>2</v>
      </c>
      <c r="J213" s="5">
        <v>2.5</v>
      </c>
      <c r="K213" s="5">
        <v>2.2999999999999998</v>
      </c>
      <c r="L213" s="5">
        <v>2.8</v>
      </c>
      <c r="M213" s="5" t="e">
        <v>#N/A</v>
      </c>
      <c r="N213" s="5" t="e">
        <v>#N/A</v>
      </c>
    </row>
    <row r="214" spans="1:14" x14ac:dyDescent="0.25">
      <c r="A214" t="s">
        <v>234</v>
      </c>
      <c r="B214" s="3">
        <v>67034</v>
      </c>
      <c r="C214" s="4">
        <v>2.0299999999999998</v>
      </c>
      <c r="D214" s="4">
        <v>2.57</v>
      </c>
      <c r="E214" s="4">
        <v>2.63</v>
      </c>
      <c r="F214" s="4">
        <v>4.54</v>
      </c>
      <c r="G214" s="4">
        <v>1.35</v>
      </c>
      <c r="H214" s="4">
        <v>2.09</v>
      </c>
      <c r="I214" s="5">
        <v>4.2</v>
      </c>
      <c r="J214" s="5">
        <v>2.8</v>
      </c>
      <c r="K214" s="5">
        <v>3.3</v>
      </c>
      <c r="L214" s="5">
        <v>2.8</v>
      </c>
      <c r="M214" s="5" t="e">
        <v>#N/A</v>
      </c>
      <c r="N214" s="5" t="e">
        <v>#N/A</v>
      </c>
    </row>
    <row r="215" spans="1:14" x14ac:dyDescent="0.25">
      <c r="A215" t="s">
        <v>235</v>
      </c>
      <c r="B215" s="3">
        <v>65730</v>
      </c>
      <c r="C215" s="4">
        <v>2.0499999999999998</v>
      </c>
      <c r="D215" s="4">
        <v>2.5499999999999998</v>
      </c>
      <c r="E215" s="4">
        <v>2.6</v>
      </c>
      <c r="F215" s="4">
        <v>4.2300000000000004</v>
      </c>
      <c r="G215" s="4">
        <v>1.49</v>
      </c>
      <c r="H215" s="4">
        <v>2.0299999999999998</v>
      </c>
      <c r="I215" s="5">
        <v>2.4</v>
      </c>
      <c r="J215" s="5">
        <v>2.9</v>
      </c>
      <c r="K215" s="5">
        <v>2.4</v>
      </c>
      <c r="L215" s="5">
        <v>2.7</v>
      </c>
      <c r="M215" s="5" t="e">
        <v>#N/A</v>
      </c>
      <c r="N215" s="5" t="e">
        <v>#N/A</v>
      </c>
    </row>
    <row r="216" spans="1:14" x14ac:dyDescent="0.25">
      <c r="A216" t="s">
        <v>236</v>
      </c>
      <c r="B216" s="3">
        <v>65383</v>
      </c>
      <c r="C216" s="4">
        <v>2.0499999999999998</v>
      </c>
      <c r="D216" s="4">
        <v>2.56</v>
      </c>
      <c r="E216" s="4">
        <v>2.57</v>
      </c>
      <c r="F216" s="4">
        <v>4.28</v>
      </c>
      <c r="G216" s="4">
        <v>1.48</v>
      </c>
      <c r="H216" s="4">
        <v>1.99</v>
      </c>
      <c r="I216" s="5">
        <v>2.7</v>
      </c>
      <c r="J216" s="5">
        <v>3.1</v>
      </c>
      <c r="K216" s="5">
        <v>2.1</v>
      </c>
      <c r="L216" s="5">
        <v>2.6</v>
      </c>
      <c r="M216" s="5" t="e">
        <v>#N/A</v>
      </c>
      <c r="N216" s="5" t="e">
        <v>#N/A</v>
      </c>
    </row>
    <row r="217" spans="1:14" x14ac:dyDescent="0.25">
      <c r="A217" t="s">
        <v>237</v>
      </c>
      <c r="B217" s="3">
        <v>68679</v>
      </c>
      <c r="C217" s="4">
        <v>1.95</v>
      </c>
      <c r="D217" s="4">
        <v>2.56</v>
      </c>
      <c r="E217" s="4">
        <v>2.54</v>
      </c>
      <c r="F217" s="4">
        <v>4.51</v>
      </c>
      <c r="G217" s="4">
        <v>1.41</v>
      </c>
      <c r="H217" s="4">
        <v>1.97</v>
      </c>
      <c r="I217" s="5">
        <v>3.7</v>
      </c>
      <c r="J217" s="5">
        <v>2.9</v>
      </c>
      <c r="K217" s="5">
        <v>2.8</v>
      </c>
      <c r="L217" s="5">
        <v>2.4</v>
      </c>
      <c r="M217" s="5" t="e">
        <v>#N/A</v>
      </c>
      <c r="N217" s="5" t="e">
        <v>#N/A</v>
      </c>
    </row>
    <row r="218" spans="1:14" x14ac:dyDescent="0.25">
      <c r="A218" t="s">
        <v>238</v>
      </c>
      <c r="B218" s="3">
        <v>66982</v>
      </c>
      <c r="C218" s="4">
        <v>2</v>
      </c>
      <c r="D218" s="4">
        <v>2.56</v>
      </c>
      <c r="E218" s="4">
        <v>2.5099999999999998</v>
      </c>
      <c r="F218" s="4">
        <v>4.32</v>
      </c>
      <c r="G218" s="4">
        <v>1.43</v>
      </c>
      <c r="H218" s="4">
        <v>1.96</v>
      </c>
      <c r="I218" s="5">
        <v>3.1</v>
      </c>
      <c r="J218" s="5">
        <v>3.1</v>
      </c>
      <c r="K218" s="5">
        <v>2.5</v>
      </c>
      <c r="L218" s="5">
        <v>2.5</v>
      </c>
      <c r="M218" s="5">
        <v>2.6</v>
      </c>
      <c r="N218" s="5">
        <v>2.4</v>
      </c>
    </row>
    <row r="219" spans="1:14" x14ac:dyDescent="0.25">
      <c r="A219" t="s">
        <v>239</v>
      </c>
      <c r="B219" s="3">
        <v>66334</v>
      </c>
      <c r="C219" s="4">
        <v>1.97</v>
      </c>
      <c r="D219" s="4">
        <v>2.56</v>
      </c>
      <c r="E219" s="4">
        <v>2.4900000000000002</v>
      </c>
      <c r="F219" s="4">
        <v>4.3099999999999996</v>
      </c>
      <c r="G219" s="4">
        <v>1.4</v>
      </c>
      <c r="H219" s="4">
        <v>1.9</v>
      </c>
      <c r="I219" s="5">
        <v>2.5</v>
      </c>
      <c r="J219" s="5">
        <v>3.1</v>
      </c>
      <c r="K219" s="5">
        <v>2.4</v>
      </c>
      <c r="L219" s="5">
        <v>2.6</v>
      </c>
      <c r="M219" s="5">
        <v>2.5</v>
      </c>
      <c r="N219" s="5">
        <v>2.2999999999999998</v>
      </c>
    </row>
    <row r="220" spans="1:14" x14ac:dyDescent="0.25">
      <c r="A220" t="s">
        <v>240</v>
      </c>
      <c r="B220" s="3">
        <v>65270</v>
      </c>
      <c r="C220" s="4">
        <v>1.92</v>
      </c>
      <c r="D220" s="4">
        <v>2.57</v>
      </c>
      <c r="E220" s="4">
        <v>2.4500000000000002</v>
      </c>
      <c r="F220" s="4">
        <v>4.3099999999999996</v>
      </c>
      <c r="G220" s="4">
        <v>1.55</v>
      </c>
      <c r="H220" s="4">
        <v>2.04</v>
      </c>
      <c r="I220" s="5">
        <v>2.9</v>
      </c>
      <c r="J220" s="5">
        <v>2.8</v>
      </c>
      <c r="K220" s="5">
        <v>2.6</v>
      </c>
      <c r="L220" s="5">
        <v>2.5</v>
      </c>
      <c r="M220" s="5">
        <v>2.7</v>
      </c>
      <c r="N220" s="5">
        <v>2.6</v>
      </c>
    </row>
    <row r="221" spans="1:14" x14ac:dyDescent="0.25">
      <c r="A221" t="s">
        <v>241</v>
      </c>
      <c r="B221" s="3">
        <v>65770</v>
      </c>
      <c r="C221" s="4">
        <v>1.98</v>
      </c>
      <c r="D221" s="4">
        <v>2.6</v>
      </c>
      <c r="E221" s="4">
        <v>2.4300000000000002</v>
      </c>
      <c r="F221" s="4">
        <v>4.34</v>
      </c>
      <c r="G221" s="4">
        <v>1.61</v>
      </c>
      <c r="H221" s="4">
        <v>2.04</v>
      </c>
      <c r="I221" s="5">
        <v>2.8</v>
      </c>
      <c r="J221" s="5">
        <v>2.7</v>
      </c>
      <c r="K221" s="5">
        <v>2.4</v>
      </c>
      <c r="L221" s="5">
        <v>2.5</v>
      </c>
      <c r="M221" s="5" t="e">
        <v>#N/A</v>
      </c>
      <c r="N221" s="5" t="e">
        <v>#N/A</v>
      </c>
    </row>
    <row r="222" spans="1:14" x14ac:dyDescent="0.25">
      <c r="A222" t="s">
        <v>242</v>
      </c>
      <c r="B222" s="3">
        <v>62231</v>
      </c>
      <c r="C222" s="4">
        <v>2.0099999999999998</v>
      </c>
      <c r="D222" s="4">
        <v>2.79</v>
      </c>
      <c r="E222" s="4">
        <v>2.4</v>
      </c>
      <c r="F222" s="4">
        <v>4.54</v>
      </c>
      <c r="G222" s="4">
        <v>1.57</v>
      </c>
      <c r="H222" s="4">
        <v>2.0699999999999998</v>
      </c>
      <c r="I222" s="5">
        <v>2.9</v>
      </c>
      <c r="J222" s="5">
        <v>2.9</v>
      </c>
      <c r="K222" s="5">
        <v>2.4</v>
      </c>
      <c r="L222" s="5">
        <v>2.5</v>
      </c>
      <c r="M222" s="5" t="e">
        <v>#N/A</v>
      </c>
      <c r="N222" s="5" t="e">
        <v>#N/A</v>
      </c>
    </row>
    <row r="223" spans="1:14" x14ac:dyDescent="0.25">
      <c r="A223" t="s">
        <v>243</v>
      </c>
      <c r="B223" s="3">
        <v>65812</v>
      </c>
      <c r="C223" s="4">
        <v>2.02</v>
      </c>
      <c r="D223" s="4">
        <v>2.8</v>
      </c>
      <c r="E223" s="4">
        <v>2.37</v>
      </c>
      <c r="F223" s="4">
        <v>4.21</v>
      </c>
      <c r="G223" s="4">
        <v>1.54</v>
      </c>
      <c r="H223" s="4">
        <v>1.98</v>
      </c>
      <c r="I223" s="5">
        <v>3.1</v>
      </c>
      <c r="J223" s="5">
        <v>2.9</v>
      </c>
      <c r="K223" s="5">
        <v>2.5</v>
      </c>
      <c r="L223" s="5">
        <v>2.4</v>
      </c>
      <c r="M223" s="5" t="e">
        <v>#N/A</v>
      </c>
      <c r="N223" s="5" t="e">
        <v>#N/A</v>
      </c>
    </row>
    <row r="224" spans="1:14" x14ac:dyDescent="0.25">
      <c r="A224" t="s">
        <v>244</v>
      </c>
      <c r="B224" s="3">
        <v>63030</v>
      </c>
      <c r="C224" s="4">
        <v>2.04</v>
      </c>
      <c r="D224" s="4">
        <v>2.78</v>
      </c>
      <c r="E224" s="4">
        <v>2.36</v>
      </c>
      <c r="F224" s="4">
        <v>4.2300000000000004</v>
      </c>
      <c r="G224" s="4">
        <v>1.49</v>
      </c>
      <c r="H224" s="4">
        <v>1.99</v>
      </c>
      <c r="I224" s="5">
        <v>2.9</v>
      </c>
      <c r="J224" s="5">
        <v>3</v>
      </c>
      <c r="K224" s="5">
        <v>2.4</v>
      </c>
      <c r="L224" s="5">
        <v>2.4</v>
      </c>
      <c r="M224" s="5" t="e">
        <v>#N/A</v>
      </c>
      <c r="N224" s="5" t="e">
        <v>#N/A</v>
      </c>
    </row>
    <row r="225" spans="1:14" x14ac:dyDescent="0.25">
      <c r="A225" t="s">
        <v>245</v>
      </c>
      <c r="B225" s="3">
        <v>63068</v>
      </c>
      <c r="C225" s="4">
        <v>2.0499999999999998</v>
      </c>
      <c r="D225" s="4">
        <v>2.79</v>
      </c>
      <c r="E225" s="4">
        <v>2.35</v>
      </c>
      <c r="F225" s="4">
        <v>4.1399999999999997</v>
      </c>
      <c r="G225" s="4">
        <v>1.53</v>
      </c>
      <c r="H225" s="4">
        <v>2.02</v>
      </c>
      <c r="I225" s="5">
        <v>2.6</v>
      </c>
      <c r="J225" s="5">
        <v>2.8</v>
      </c>
      <c r="K225" s="5">
        <v>2.1</v>
      </c>
      <c r="L225" s="5">
        <v>2.2999999999999998</v>
      </c>
      <c r="M225" s="5" t="e">
        <v>#N/A</v>
      </c>
      <c r="N225" s="5" t="e">
        <v>#N/A</v>
      </c>
    </row>
    <row r="226" spans="1:14" x14ac:dyDescent="0.25">
      <c r="A226" t="s">
        <v>246</v>
      </c>
      <c r="B226" s="3">
        <v>63277</v>
      </c>
      <c r="C226" s="4">
        <v>2.08</v>
      </c>
      <c r="D226" s="4">
        <v>2.77</v>
      </c>
      <c r="E226" s="4">
        <v>2.3199999999999998</v>
      </c>
      <c r="F226" s="4">
        <v>4.17</v>
      </c>
      <c r="G226" s="4">
        <v>1.72</v>
      </c>
      <c r="H226" s="4">
        <v>2.0099999999999998</v>
      </c>
      <c r="I226" s="5">
        <v>3.3</v>
      </c>
      <c r="J226" s="5">
        <v>2.9</v>
      </c>
      <c r="K226" s="5">
        <v>2.5</v>
      </c>
      <c r="L226" s="5">
        <v>2.2999999999999998</v>
      </c>
      <c r="M226" s="5" t="e">
        <v>#N/A</v>
      </c>
      <c r="N226" s="5" t="e">
        <v>#N/A</v>
      </c>
    </row>
    <row r="227" spans="1:14" x14ac:dyDescent="0.25">
      <c r="A227" t="s">
        <v>247</v>
      </c>
      <c r="B227" s="3">
        <v>64951</v>
      </c>
      <c r="C227" s="4">
        <v>2.1</v>
      </c>
      <c r="D227" s="4">
        <v>2.78</v>
      </c>
      <c r="E227" s="4">
        <v>2.31</v>
      </c>
      <c r="F227" s="4">
        <v>4.16</v>
      </c>
      <c r="G227" s="4">
        <v>1.74</v>
      </c>
      <c r="H227" s="4">
        <v>2.06</v>
      </c>
      <c r="I227" s="5">
        <v>2.4</v>
      </c>
      <c r="J227" s="5">
        <v>2.8</v>
      </c>
      <c r="K227" s="5">
        <v>1.9</v>
      </c>
      <c r="L227" s="5">
        <v>2.2000000000000002</v>
      </c>
      <c r="M227" s="5" t="e">
        <v>#N/A</v>
      </c>
      <c r="N227" s="5" t="e">
        <v>#N/A</v>
      </c>
    </row>
    <row r="228" spans="1:14" x14ac:dyDescent="0.25">
      <c r="A228" t="s">
        <v>248</v>
      </c>
      <c r="B228" s="3">
        <v>65778</v>
      </c>
      <c r="C228" s="4">
        <v>2.11</v>
      </c>
      <c r="D228" s="4">
        <v>2.81</v>
      </c>
      <c r="E228" s="4">
        <v>2.2999999999999998</v>
      </c>
      <c r="F228" s="4">
        <v>4.0599999999999996</v>
      </c>
      <c r="G228" s="4">
        <v>1.74</v>
      </c>
      <c r="H228" s="4">
        <v>2.0299999999999998</v>
      </c>
      <c r="I228" s="5">
        <v>2.8</v>
      </c>
      <c r="J228" s="5">
        <v>2.8</v>
      </c>
      <c r="K228" s="5">
        <v>2.2999999999999998</v>
      </c>
      <c r="L228" s="5">
        <v>2.2000000000000002</v>
      </c>
      <c r="M228" s="5" t="e">
        <v>#N/A</v>
      </c>
      <c r="N228" s="5" t="e">
        <v>#N/A</v>
      </c>
    </row>
    <row r="229" spans="1:14" x14ac:dyDescent="0.25">
      <c r="A229" t="s">
        <v>249</v>
      </c>
      <c r="B229" s="3">
        <v>64875</v>
      </c>
      <c r="C229" s="4">
        <v>2.09</v>
      </c>
      <c r="D229" s="4">
        <v>2.78</v>
      </c>
      <c r="E229" s="4">
        <v>2.29</v>
      </c>
      <c r="F229" s="4">
        <v>4.0999999999999996</v>
      </c>
      <c r="G229" s="4">
        <v>1.75</v>
      </c>
      <c r="H229" s="4">
        <v>2.04</v>
      </c>
      <c r="I229" s="5">
        <v>2.8</v>
      </c>
      <c r="J229" s="5">
        <v>2.7</v>
      </c>
      <c r="K229" s="5">
        <v>2.4</v>
      </c>
      <c r="L229" s="5">
        <v>2.2000000000000002</v>
      </c>
      <c r="M229" s="5" t="e">
        <v>#N/A</v>
      </c>
      <c r="N229" s="5" t="e">
        <v>#N/A</v>
      </c>
    </row>
    <row r="230" spans="1:14" x14ac:dyDescent="0.25">
      <c r="A230" t="s">
        <v>250</v>
      </c>
      <c r="B230" s="3">
        <v>66803</v>
      </c>
      <c r="C230" s="4">
        <v>2.11</v>
      </c>
      <c r="D230" s="4">
        <v>2.79</v>
      </c>
      <c r="E230" s="4">
        <v>2.27</v>
      </c>
      <c r="F230" s="4">
        <v>4.3499999999999996</v>
      </c>
      <c r="G230" s="4">
        <v>1.75</v>
      </c>
      <c r="H230" s="4">
        <v>2.0299999999999998</v>
      </c>
      <c r="I230" s="5">
        <v>2.2999999999999998</v>
      </c>
      <c r="J230" s="5">
        <v>2.6</v>
      </c>
      <c r="K230" s="5">
        <v>2.2999999999999998</v>
      </c>
      <c r="L230" s="5">
        <v>2.2999999999999998</v>
      </c>
      <c r="M230" s="5" t="e">
        <v>#N/A</v>
      </c>
      <c r="N230" s="5" t="e">
        <v>#N/A</v>
      </c>
    </row>
    <row r="231" spans="1:14" x14ac:dyDescent="0.25">
      <c r="A231" t="s">
        <v>251</v>
      </c>
      <c r="B231" s="3">
        <v>66132</v>
      </c>
      <c r="C231" s="4">
        <v>2.1</v>
      </c>
      <c r="D231" s="4">
        <v>3.06</v>
      </c>
      <c r="E231" s="4">
        <v>2.27</v>
      </c>
      <c r="F231" s="4">
        <v>4.3899999999999997</v>
      </c>
      <c r="G231" s="4">
        <v>1.71</v>
      </c>
      <c r="H231" s="4">
        <v>2.0099999999999998</v>
      </c>
      <c r="I231" s="5">
        <v>2.4</v>
      </c>
      <c r="J231" s="5">
        <v>2.5</v>
      </c>
      <c r="K231" s="5">
        <v>2</v>
      </c>
      <c r="L231" s="5">
        <v>2.2000000000000002</v>
      </c>
      <c r="M231" s="5" t="e">
        <v>#N/A</v>
      </c>
      <c r="N231" s="5" t="e">
        <v>#N/A</v>
      </c>
    </row>
    <row r="232" spans="1:14" x14ac:dyDescent="0.25">
      <c r="A232" t="s">
        <v>252</v>
      </c>
      <c r="B232" s="3">
        <v>68298</v>
      </c>
      <c r="C232" s="4">
        <v>2.12</v>
      </c>
      <c r="D232" s="4">
        <v>3.02</v>
      </c>
      <c r="E232" s="4">
        <v>2.2599999999999998</v>
      </c>
      <c r="F232" s="4">
        <v>4.45</v>
      </c>
      <c r="G232" s="4">
        <v>1.8</v>
      </c>
      <c r="H232" s="4">
        <v>2.06</v>
      </c>
      <c r="I232" s="5">
        <v>2.6</v>
      </c>
      <c r="J232" s="5">
        <v>2.4</v>
      </c>
      <c r="K232" s="5">
        <v>2.6</v>
      </c>
      <c r="L232" s="5">
        <v>2.2999999999999998</v>
      </c>
      <c r="M232" s="5" t="e">
        <v>#N/A</v>
      </c>
      <c r="N232" s="5" t="e">
        <v>#N/A</v>
      </c>
    </row>
    <row r="233" spans="1:14" x14ac:dyDescent="0.25">
      <c r="A233" t="s">
        <v>253</v>
      </c>
      <c r="B233" s="3">
        <v>65023</v>
      </c>
      <c r="C233" s="4">
        <v>2.13</v>
      </c>
      <c r="D233" s="4">
        <v>3.04</v>
      </c>
      <c r="E233" s="4">
        <v>2.25</v>
      </c>
      <c r="F233" s="4">
        <v>4.41</v>
      </c>
      <c r="G233" s="4">
        <v>1.75</v>
      </c>
      <c r="H233" s="4">
        <v>2.02</v>
      </c>
      <c r="I233" s="5">
        <v>2.6</v>
      </c>
      <c r="J233" s="5">
        <v>2.5</v>
      </c>
      <c r="K233" s="5">
        <v>2.7</v>
      </c>
      <c r="L233" s="5">
        <v>2.4</v>
      </c>
      <c r="M233" s="5" t="e">
        <v>#N/A</v>
      </c>
      <c r="N233" s="5" t="e">
        <v>#N/A</v>
      </c>
    </row>
    <row r="234" spans="1:14" x14ac:dyDescent="0.25">
      <c r="A234" t="s">
        <v>254</v>
      </c>
      <c r="B234" s="3">
        <v>64398</v>
      </c>
      <c r="C234" s="4">
        <v>2.14</v>
      </c>
      <c r="D234" s="4">
        <v>3.02</v>
      </c>
      <c r="E234" s="4">
        <v>2.2400000000000002</v>
      </c>
      <c r="F234" s="4">
        <v>4.4000000000000004</v>
      </c>
      <c r="G234" s="4">
        <v>1.73</v>
      </c>
      <c r="H234" s="4">
        <v>2.0099999999999998</v>
      </c>
      <c r="I234" s="5">
        <v>2.2000000000000002</v>
      </c>
      <c r="J234" s="5">
        <v>2.4</v>
      </c>
      <c r="K234" s="5">
        <v>2.2000000000000002</v>
      </c>
      <c r="L234" s="5">
        <v>2.5</v>
      </c>
      <c r="M234" s="5" t="e">
        <v>#N/A</v>
      </c>
      <c r="N234" s="5" t="e">
        <v>#N/A</v>
      </c>
    </row>
    <row r="235" spans="1:14" x14ac:dyDescent="0.25">
      <c r="A235" t="s">
        <v>255</v>
      </c>
      <c r="B235" s="3">
        <v>65190</v>
      </c>
      <c r="C235" s="4">
        <v>2.09</v>
      </c>
      <c r="D235" s="4">
        <v>3.04</v>
      </c>
      <c r="E235" s="4">
        <v>2.23</v>
      </c>
      <c r="F235" s="4">
        <v>4.4800000000000004</v>
      </c>
      <c r="G235" s="4">
        <v>1.72</v>
      </c>
      <c r="H235" s="4">
        <v>2.0499999999999998</v>
      </c>
      <c r="I235" s="5">
        <v>2.8</v>
      </c>
      <c r="J235" s="5">
        <v>2.5</v>
      </c>
      <c r="K235" s="5">
        <v>2.5</v>
      </c>
      <c r="L235" s="5">
        <v>2.5</v>
      </c>
      <c r="M235" s="5" t="e">
        <v>#N/A</v>
      </c>
      <c r="N235" s="5" t="e">
        <v>#N/A</v>
      </c>
    </row>
    <row r="236" spans="1:14" x14ac:dyDescent="0.25">
      <c r="A236" t="s">
        <v>256</v>
      </c>
      <c r="B236" s="3">
        <v>64221</v>
      </c>
      <c r="C236" s="4">
        <v>2.09</v>
      </c>
      <c r="D236" s="4">
        <v>2.99</v>
      </c>
      <c r="E236" s="4">
        <v>2.23</v>
      </c>
      <c r="F236" s="4">
        <v>4.3099999999999996</v>
      </c>
      <c r="G236" s="4">
        <v>1.7</v>
      </c>
      <c r="H236" s="4">
        <v>2.0499999999999998</v>
      </c>
      <c r="I236" s="5">
        <v>2.2000000000000002</v>
      </c>
      <c r="J236" s="5">
        <v>2.4</v>
      </c>
      <c r="K236" s="5">
        <v>2.6</v>
      </c>
      <c r="L236" s="5">
        <v>2.4</v>
      </c>
      <c r="M236" s="5" t="e">
        <v>#N/A</v>
      </c>
      <c r="N236" s="5" t="e">
        <v>#N/A</v>
      </c>
    </row>
    <row r="237" spans="1:14" x14ac:dyDescent="0.25">
      <c r="A237" t="s">
        <v>257</v>
      </c>
      <c r="B237" s="3">
        <v>62167</v>
      </c>
      <c r="C237" s="4">
        <v>2.1</v>
      </c>
      <c r="D237" s="4">
        <v>2.97</v>
      </c>
      <c r="E237" s="4">
        <v>2.23</v>
      </c>
      <c r="F237" s="4">
        <v>4.3099999999999996</v>
      </c>
      <c r="G237" s="4">
        <v>1.7</v>
      </c>
      <c r="H237" s="4">
        <v>2.0299999999999998</v>
      </c>
      <c r="I237" s="5">
        <v>2.4</v>
      </c>
      <c r="J237" s="5">
        <v>2.5</v>
      </c>
      <c r="K237" s="5">
        <v>2.1</v>
      </c>
      <c r="L237" s="5">
        <v>2.4</v>
      </c>
      <c r="M237" s="5" t="e">
        <v>#N/A</v>
      </c>
      <c r="N237" s="5" t="e">
        <v>#N/A</v>
      </c>
    </row>
    <row r="238" spans="1:14" x14ac:dyDescent="0.25">
      <c r="A238" t="s">
        <v>258</v>
      </c>
      <c r="B238" s="3">
        <v>65674</v>
      </c>
      <c r="C238" s="4">
        <v>2.08</v>
      </c>
      <c r="D238" s="4">
        <v>3</v>
      </c>
      <c r="E238" s="4">
        <v>2.2200000000000002</v>
      </c>
      <c r="F238" s="4">
        <v>4.3099999999999996</v>
      </c>
      <c r="G238" s="4">
        <v>1.66</v>
      </c>
      <c r="H238" s="4">
        <v>2</v>
      </c>
      <c r="I238" s="5">
        <v>2.9</v>
      </c>
      <c r="J238" s="5">
        <v>2.5</v>
      </c>
      <c r="K238" s="5">
        <v>2.7</v>
      </c>
      <c r="L238" s="5">
        <v>2.4</v>
      </c>
      <c r="M238" s="5" t="e">
        <v>#N/A</v>
      </c>
      <c r="N238" s="5" t="e">
        <v>#N/A</v>
      </c>
    </row>
    <row r="239" spans="1:14" x14ac:dyDescent="0.25">
      <c r="A239" t="s">
        <v>259</v>
      </c>
      <c r="B239" s="3">
        <v>65315</v>
      </c>
      <c r="C239" s="4">
        <v>2.08</v>
      </c>
      <c r="D239" s="4">
        <v>2.94</v>
      </c>
      <c r="E239" s="4">
        <v>2.2200000000000002</v>
      </c>
      <c r="F239" s="4">
        <v>4.29</v>
      </c>
      <c r="G239" s="4">
        <v>1.65</v>
      </c>
      <c r="H239" s="4">
        <v>1.99</v>
      </c>
      <c r="I239" s="5">
        <v>1.8</v>
      </c>
      <c r="J239" s="5">
        <v>2.4</v>
      </c>
      <c r="K239" s="5">
        <v>2.2999999999999998</v>
      </c>
      <c r="L239" s="5">
        <v>2.4</v>
      </c>
      <c r="M239" s="5" t="e">
        <v>#N/A</v>
      </c>
      <c r="N239" s="5" t="e">
        <v>#N/A</v>
      </c>
    </row>
    <row r="240" spans="1:14" x14ac:dyDescent="0.25">
      <c r="A240" t="s">
        <v>260</v>
      </c>
      <c r="B240" s="3">
        <v>66436</v>
      </c>
      <c r="C240" s="4">
        <v>2.02</v>
      </c>
      <c r="D240" s="4">
        <v>2.96</v>
      </c>
      <c r="E240" s="4">
        <v>2.21</v>
      </c>
      <c r="F240" s="4">
        <v>4.29</v>
      </c>
      <c r="G240" s="4">
        <v>1.64</v>
      </c>
      <c r="H240" s="4">
        <v>1.97</v>
      </c>
      <c r="I240" s="5">
        <v>2.7</v>
      </c>
      <c r="J240" s="5">
        <v>2.5</v>
      </c>
      <c r="K240" s="5">
        <v>2.2000000000000002</v>
      </c>
      <c r="L240" s="5">
        <v>2.4</v>
      </c>
      <c r="M240" s="5" t="e">
        <v>#N/A</v>
      </c>
      <c r="N240" s="5" t="e">
        <v>#N/A</v>
      </c>
    </row>
    <row r="241" spans="1:14" x14ac:dyDescent="0.25">
      <c r="A241" t="s">
        <v>261</v>
      </c>
      <c r="B241" s="3">
        <v>67285</v>
      </c>
      <c r="C241" s="4">
        <v>2.0299999999999998</v>
      </c>
      <c r="D241" s="4">
        <v>2.97</v>
      </c>
      <c r="E241" s="4">
        <v>2.2000000000000002</v>
      </c>
      <c r="F241" s="4">
        <v>4.29</v>
      </c>
      <c r="G241" s="4">
        <v>1.61</v>
      </c>
      <c r="H241" s="4">
        <v>1.93</v>
      </c>
      <c r="I241" s="5">
        <v>2.2999999999999998</v>
      </c>
      <c r="J241" s="5">
        <v>2.2999999999999998</v>
      </c>
      <c r="K241" s="5">
        <v>2.1</v>
      </c>
      <c r="L241" s="5">
        <v>2.2000000000000002</v>
      </c>
      <c r="M241" s="5" t="e">
        <v>#N/A</v>
      </c>
      <c r="N241" s="5" t="e">
        <v>#N/A</v>
      </c>
    </row>
    <row r="242" spans="1:14" x14ac:dyDescent="0.25">
      <c r="A242" t="s">
        <v>262</v>
      </c>
      <c r="B242" s="3">
        <v>66193</v>
      </c>
      <c r="C242" s="4">
        <v>2.04</v>
      </c>
      <c r="D242" s="4">
        <v>3</v>
      </c>
      <c r="E242" s="4">
        <v>2.2000000000000002</v>
      </c>
      <c r="F242" s="4">
        <v>4.29</v>
      </c>
      <c r="G242" s="4">
        <v>1.59</v>
      </c>
      <c r="H242" s="4">
        <v>1.89</v>
      </c>
      <c r="I242" s="5">
        <v>1.9</v>
      </c>
      <c r="J242" s="5">
        <v>2.2999999999999998</v>
      </c>
      <c r="K242" s="5">
        <v>2.2999999999999998</v>
      </c>
      <c r="L242" s="5">
        <v>2.2000000000000002</v>
      </c>
      <c r="M242" s="5" t="e">
        <v>#N/A</v>
      </c>
      <c r="N242" s="5" t="e">
        <v>#N/A</v>
      </c>
    </row>
    <row r="243" spans="1:14" x14ac:dyDescent="0.25">
      <c r="A243" t="s">
        <v>263</v>
      </c>
      <c r="B243" s="3">
        <v>66379</v>
      </c>
      <c r="C243" s="4">
        <v>2</v>
      </c>
      <c r="D243" s="4">
        <v>2.96</v>
      </c>
      <c r="E243" s="4">
        <v>2.19</v>
      </c>
      <c r="F243" s="4">
        <v>4.29</v>
      </c>
      <c r="G243" s="4">
        <v>1.55</v>
      </c>
      <c r="H243" s="4">
        <v>1.79</v>
      </c>
      <c r="I243" s="5">
        <v>2.2999999999999998</v>
      </c>
      <c r="J243" s="5">
        <v>2.2000000000000002</v>
      </c>
      <c r="K243" s="5">
        <v>2.4</v>
      </c>
      <c r="L243" s="5">
        <v>2.2000000000000002</v>
      </c>
      <c r="M243" s="5" t="e">
        <v>#N/A</v>
      </c>
      <c r="N243" s="5" t="e">
        <v>#N/A</v>
      </c>
    </row>
    <row r="244" spans="1:14" x14ac:dyDescent="0.25">
      <c r="A244" t="s">
        <v>264</v>
      </c>
      <c r="B244" s="3">
        <v>66581</v>
      </c>
      <c r="C244" s="4">
        <v>1.96</v>
      </c>
      <c r="D244" s="4">
        <v>2.96</v>
      </c>
      <c r="E244" s="4">
        <v>2.1800000000000002</v>
      </c>
      <c r="F244" s="4">
        <v>4.2699999999999996</v>
      </c>
      <c r="G244" s="4">
        <v>1.47</v>
      </c>
      <c r="H244" s="4">
        <v>1.71</v>
      </c>
      <c r="I244" s="5">
        <v>2</v>
      </c>
      <c r="J244" s="5">
        <v>2.1</v>
      </c>
      <c r="K244" s="5">
        <v>2.2000000000000002</v>
      </c>
      <c r="L244" s="5">
        <v>2.2999999999999998</v>
      </c>
      <c r="M244" s="5" t="e">
        <v>#N/A</v>
      </c>
      <c r="N244" s="5" t="e">
        <v>#N/A</v>
      </c>
    </row>
    <row r="245" spans="1:14" x14ac:dyDescent="0.25">
      <c r="A245" t="s">
        <v>265</v>
      </c>
      <c r="B245" s="3">
        <v>66652</v>
      </c>
      <c r="C245" s="4">
        <v>1.87</v>
      </c>
      <c r="D245" s="4">
        <v>2.98</v>
      </c>
      <c r="E245" s="4">
        <v>2.1800000000000002</v>
      </c>
      <c r="F245" s="4">
        <v>4.2699999999999996</v>
      </c>
      <c r="G245" s="4">
        <v>1.41</v>
      </c>
      <c r="H245" s="4">
        <v>1.67</v>
      </c>
      <c r="I245" s="5">
        <v>1.9</v>
      </c>
      <c r="J245" s="5">
        <v>2.1</v>
      </c>
      <c r="K245" s="5">
        <v>2.2000000000000002</v>
      </c>
      <c r="L245" s="5">
        <v>2.2999999999999998</v>
      </c>
      <c r="M245" s="5" t="e">
        <v>#N/A</v>
      </c>
      <c r="N245" s="5" t="e">
        <v>#N/A</v>
      </c>
    </row>
    <row r="246" spans="1:14" x14ac:dyDescent="0.25">
      <c r="A246" t="s">
        <v>266</v>
      </c>
      <c r="B246" s="3">
        <v>67528</v>
      </c>
      <c r="C246" s="4">
        <v>1.88</v>
      </c>
      <c r="D246" s="4">
        <v>2.91</v>
      </c>
      <c r="E246" s="4">
        <v>2.17</v>
      </c>
      <c r="F246" s="4">
        <v>4.2699999999999996</v>
      </c>
      <c r="G246" s="4">
        <v>1.42</v>
      </c>
      <c r="H246" s="4">
        <v>1.67</v>
      </c>
      <c r="I246" s="5">
        <v>2</v>
      </c>
      <c r="J246" s="5">
        <v>2</v>
      </c>
      <c r="K246" s="5">
        <v>2.4</v>
      </c>
      <c r="L246" s="5">
        <v>2.2999999999999998</v>
      </c>
      <c r="M246" s="5" t="e">
        <v>#N/A</v>
      </c>
      <c r="N246" s="5" t="e">
        <v>#N/A</v>
      </c>
    </row>
    <row r="247" spans="1:14" x14ac:dyDescent="0.25">
      <c r="A247" t="s">
        <v>267</v>
      </c>
      <c r="B247" s="3">
        <v>69499</v>
      </c>
      <c r="C247" s="4">
        <v>1.85</v>
      </c>
      <c r="D247" s="4">
        <v>2.94</v>
      </c>
      <c r="E247" s="4">
        <v>2.16</v>
      </c>
      <c r="F247" s="4">
        <v>4.2699999999999996</v>
      </c>
      <c r="G247" s="4">
        <v>1.41</v>
      </c>
      <c r="H247" s="4">
        <v>1.68</v>
      </c>
      <c r="I247" s="5">
        <v>2.1</v>
      </c>
      <c r="J247" s="5">
        <v>2</v>
      </c>
      <c r="K247" s="5">
        <v>2.1</v>
      </c>
      <c r="L247" s="5">
        <v>2.2000000000000002</v>
      </c>
      <c r="M247" s="5" t="e">
        <v>#N/A</v>
      </c>
      <c r="N247" s="5" t="e">
        <v>#N/A</v>
      </c>
    </row>
    <row r="248" spans="1:14" x14ac:dyDescent="0.25">
      <c r="A248" t="s">
        <v>268</v>
      </c>
      <c r="B248" s="3">
        <v>71770</v>
      </c>
      <c r="C248" s="4">
        <v>1.81</v>
      </c>
      <c r="D248" s="4">
        <v>2.96</v>
      </c>
      <c r="E248" s="4">
        <v>2.16</v>
      </c>
      <c r="F248" s="4">
        <v>4.26</v>
      </c>
      <c r="G248" s="4">
        <v>1.4</v>
      </c>
      <c r="H248" s="4">
        <v>1.67</v>
      </c>
      <c r="I248" s="5">
        <v>1.8</v>
      </c>
      <c r="J248" s="5">
        <v>1.9</v>
      </c>
      <c r="K248" s="5">
        <v>2.1</v>
      </c>
      <c r="L248" s="5">
        <v>2.2000000000000002</v>
      </c>
      <c r="M248" s="5" t="e">
        <v>#N/A</v>
      </c>
      <c r="N248" s="5" t="e">
        <v>#N/A</v>
      </c>
    </row>
    <row r="249" spans="1:14" x14ac:dyDescent="0.25">
      <c r="A249" t="s">
        <v>269</v>
      </c>
      <c r="B249" s="3">
        <v>56229</v>
      </c>
      <c r="C249" s="4">
        <v>1.83</v>
      </c>
      <c r="D249" s="4">
        <v>2.85</v>
      </c>
      <c r="E249" s="4">
        <v>2.15</v>
      </c>
      <c r="F249" s="4">
        <v>4.0999999999999996</v>
      </c>
      <c r="G249" s="4">
        <v>1.4</v>
      </c>
      <c r="H249" s="4">
        <v>1.66</v>
      </c>
      <c r="I249" s="5">
        <v>1.8</v>
      </c>
      <c r="J249" s="5">
        <v>1.9</v>
      </c>
      <c r="K249" s="5">
        <v>1.6</v>
      </c>
      <c r="L249" s="5">
        <v>2</v>
      </c>
      <c r="M249" s="5" t="e">
        <v>#N/A</v>
      </c>
      <c r="N249" s="5" t="e">
        <v>#N/A</v>
      </c>
    </row>
    <row r="250" spans="1:14" x14ac:dyDescent="0.25">
      <c r="A250" t="s">
        <v>270</v>
      </c>
      <c r="B250" s="3">
        <v>15878</v>
      </c>
      <c r="C250" s="4">
        <v>1.75</v>
      </c>
      <c r="D250" s="4">
        <v>2.39</v>
      </c>
      <c r="E250" s="4">
        <v>2.14</v>
      </c>
      <c r="F250" s="4">
        <v>3.66</v>
      </c>
      <c r="G250" s="4">
        <v>1.38</v>
      </c>
      <c r="H250" s="4">
        <v>1.67</v>
      </c>
      <c r="I250" s="5">
        <v>1.9</v>
      </c>
      <c r="J250" s="5">
        <v>1.8</v>
      </c>
      <c r="K250" s="5">
        <v>1.2</v>
      </c>
      <c r="L250" s="5">
        <v>1.7</v>
      </c>
      <c r="M250" s="5" t="e">
        <v>#N/A</v>
      </c>
      <c r="N250" s="5" t="e">
        <v>#N/A</v>
      </c>
    </row>
    <row r="251" spans="1:14" x14ac:dyDescent="0.25">
      <c r="A251" t="s">
        <v>271</v>
      </c>
      <c r="B251" s="3">
        <v>9317</v>
      </c>
      <c r="C251" s="4">
        <v>1.74</v>
      </c>
      <c r="D251" s="4">
        <v>2.25</v>
      </c>
      <c r="E251" s="4">
        <v>2.14</v>
      </c>
      <c r="F251" s="4">
        <v>3.65</v>
      </c>
      <c r="G251" s="4">
        <v>1.42</v>
      </c>
      <c r="H251" s="4">
        <v>1.7</v>
      </c>
      <c r="I251" s="5">
        <v>1.8</v>
      </c>
      <c r="J251" s="5">
        <v>1.8</v>
      </c>
      <c r="K251" s="5">
        <v>1.4</v>
      </c>
      <c r="L251" s="5">
        <v>1.4</v>
      </c>
      <c r="M251" s="5" t="e">
        <v>#N/A</v>
      </c>
      <c r="N251" s="5" t="e">
        <v>#N/A</v>
      </c>
    </row>
    <row r="252" spans="1:14" x14ac:dyDescent="0.25">
      <c r="A252" t="s">
        <v>272</v>
      </c>
      <c r="B252" s="3">
        <v>40109</v>
      </c>
      <c r="C252" s="4">
        <v>1.77</v>
      </c>
      <c r="D252" s="4">
        <v>2.29</v>
      </c>
      <c r="E252" s="4">
        <v>2.12</v>
      </c>
      <c r="F252" s="4">
        <v>3.65</v>
      </c>
      <c r="G252" s="4">
        <v>1.41</v>
      </c>
      <c r="H252" s="4">
        <v>1.69</v>
      </c>
      <c r="I252" s="5">
        <v>1.2</v>
      </c>
      <c r="J252" s="5">
        <v>1.6</v>
      </c>
      <c r="K252" s="5">
        <v>1.5</v>
      </c>
      <c r="L252" s="5">
        <v>1.3</v>
      </c>
      <c r="M252" s="5" t="e">
        <v>#N/A</v>
      </c>
      <c r="N252" s="5" t="e">
        <v>#N/A</v>
      </c>
    </row>
    <row r="253" spans="1:14" x14ac:dyDescent="0.25">
      <c r="A253" t="s">
        <v>273</v>
      </c>
      <c r="B253" s="3">
        <v>66659</v>
      </c>
      <c r="C253" s="4">
        <v>1.73</v>
      </c>
      <c r="D253" s="4">
        <v>2.29</v>
      </c>
      <c r="E253" s="4">
        <v>2.11</v>
      </c>
      <c r="F253" s="4">
        <v>3.66</v>
      </c>
      <c r="G253" s="4">
        <v>1.45</v>
      </c>
      <c r="H253" s="4">
        <v>1.7</v>
      </c>
      <c r="I253" s="5">
        <v>1.3</v>
      </c>
      <c r="J253" s="5">
        <v>1.4</v>
      </c>
      <c r="K253" s="5">
        <v>1.7</v>
      </c>
      <c r="L253" s="5">
        <v>1.5</v>
      </c>
      <c r="M253" s="5" t="e">
        <v>#N/A</v>
      </c>
      <c r="N253" s="5" t="e">
        <v>#N/A</v>
      </c>
    </row>
    <row r="254" spans="1:14" x14ac:dyDescent="0.25">
      <c r="A254" t="s">
        <v>274</v>
      </c>
      <c r="B254" s="3">
        <v>85509</v>
      </c>
      <c r="C254" s="4">
        <v>1.72</v>
      </c>
      <c r="D254" s="4">
        <v>2.2799999999999998</v>
      </c>
      <c r="E254" s="4">
        <v>2.1</v>
      </c>
      <c r="F254" s="4">
        <v>3.65</v>
      </c>
      <c r="G254" s="4">
        <v>1.6</v>
      </c>
      <c r="H254" s="4">
        <v>1.79</v>
      </c>
      <c r="I254" s="5">
        <v>1.1000000000000001</v>
      </c>
      <c r="J254" s="5">
        <v>1.2</v>
      </c>
      <c r="K254" s="5">
        <v>2.2000000000000002</v>
      </c>
      <c r="L254" s="5">
        <v>1.8</v>
      </c>
      <c r="M254" s="5" t="e">
        <v>#N/A</v>
      </c>
      <c r="N254" s="5" t="e">
        <v>#N/A</v>
      </c>
    </row>
    <row r="255" spans="1:14" x14ac:dyDescent="0.25">
      <c r="A255" t="s">
        <v>275</v>
      </c>
      <c r="B255" s="3">
        <v>92847</v>
      </c>
      <c r="C255" s="4">
        <v>1.74</v>
      </c>
      <c r="D255" s="4">
        <v>2.27</v>
      </c>
      <c r="E255" s="4">
        <v>2.09</v>
      </c>
      <c r="F255" s="4">
        <v>3.65</v>
      </c>
      <c r="G255" s="4">
        <v>1.75</v>
      </c>
      <c r="H255" s="4">
        <v>1.92</v>
      </c>
      <c r="I255" s="5">
        <v>1.4</v>
      </c>
      <c r="J255" s="5">
        <v>1.3</v>
      </c>
      <c r="K255" s="5">
        <v>1.9</v>
      </c>
      <c r="L255" s="5">
        <v>1.9</v>
      </c>
      <c r="M255" s="5" t="e">
        <v>#N/A</v>
      </c>
      <c r="N255" s="5" t="e">
        <v>#N/A</v>
      </c>
    </row>
    <row r="256" spans="1:14" x14ac:dyDescent="0.25">
      <c r="A256" t="s">
        <v>276</v>
      </c>
      <c r="B256" s="3">
        <v>101380</v>
      </c>
      <c r="C256" s="4">
        <v>1.78</v>
      </c>
      <c r="D256" s="4">
        <v>2.2799999999999998</v>
      </c>
      <c r="E256" s="4">
        <v>2.0699999999999998</v>
      </c>
      <c r="F256" s="4">
        <v>3.64</v>
      </c>
      <c r="G256" s="4">
        <v>1.94</v>
      </c>
      <c r="H256" s="4">
        <v>2.0499999999999998</v>
      </c>
      <c r="I256" s="5">
        <v>2.2000000000000002</v>
      </c>
      <c r="J256" s="5">
        <v>1.6</v>
      </c>
      <c r="K256" s="5">
        <v>2.4</v>
      </c>
      <c r="L256" s="5">
        <v>2.1</v>
      </c>
      <c r="M256" s="5" t="e">
        <v>#N/A</v>
      </c>
      <c r="N256" s="5" t="e">
        <v>#N/A</v>
      </c>
    </row>
    <row r="257" spans="1:14" x14ac:dyDescent="0.25">
      <c r="A257" t="s">
        <v>277</v>
      </c>
      <c r="B257" s="3">
        <v>108046</v>
      </c>
      <c r="C257" s="4">
        <v>1.83</v>
      </c>
      <c r="D257" s="4">
        <v>2.2999999999999998</v>
      </c>
      <c r="E257" s="4">
        <v>2.06</v>
      </c>
      <c r="F257" s="4">
        <v>3.62</v>
      </c>
      <c r="G257" s="4">
        <v>1.92</v>
      </c>
      <c r="H257" s="4">
        <v>2.0499999999999998</v>
      </c>
      <c r="I257" s="5">
        <v>1.7</v>
      </c>
      <c r="J257" s="5">
        <v>1.8</v>
      </c>
      <c r="K257" s="5">
        <v>2.1</v>
      </c>
      <c r="L257" s="5">
        <v>2.1</v>
      </c>
      <c r="M257" s="5" t="e">
        <v>#N/A</v>
      </c>
      <c r="N257" s="5" t="e">
        <v>#N/A</v>
      </c>
    </row>
    <row r="258" spans="1:14" x14ac:dyDescent="0.25">
      <c r="A258" t="s">
        <v>278</v>
      </c>
      <c r="B258" s="3">
        <v>103344</v>
      </c>
      <c r="C258" s="4">
        <v>1.9</v>
      </c>
      <c r="D258" s="4">
        <v>2.36</v>
      </c>
      <c r="E258" s="4">
        <v>2.0499999999999998</v>
      </c>
      <c r="F258" s="4">
        <v>3.62</v>
      </c>
      <c r="G258" s="4">
        <v>1.86</v>
      </c>
      <c r="H258" s="4">
        <v>2</v>
      </c>
      <c r="I258" s="5">
        <v>0.9</v>
      </c>
      <c r="J258" s="5">
        <v>1.6</v>
      </c>
      <c r="K258" s="5">
        <v>2.7</v>
      </c>
      <c r="L258" s="5">
        <v>2.4</v>
      </c>
      <c r="M258" s="5" t="e">
        <v>#N/A</v>
      </c>
      <c r="N258" s="5" t="e">
        <v>#N/A</v>
      </c>
    </row>
    <row r="259" spans="1:14" x14ac:dyDescent="0.25">
      <c r="A259" t="s">
        <v>279</v>
      </c>
      <c r="B259" s="3">
        <v>97153</v>
      </c>
      <c r="C259" s="4">
        <v>1.85</v>
      </c>
      <c r="D259" s="4">
        <v>2.31</v>
      </c>
      <c r="E259" s="4">
        <v>2.02</v>
      </c>
      <c r="F259" s="4">
        <v>3.62</v>
      </c>
      <c r="G259" s="4">
        <v>1.75</v>
      </c>
      <c r="H259" s="4">
        <v>1.92</v>
      </c>
      <c r="I259" s="5">
        <v>1.8</v>
      </c>
      <c r="J259" s="5">
        <v>1.5</v>
      </c>
      <c r="K259" s="5">
        <v>2.5</v>
      </c>
      <c r="L259" s="5">
        <v>2.4</v>
      </c>
      <c r="M259" s="5" t="e">
        <v>#N/A</v>
      </c>
      <c r="N259" s="5" t="e">
        <v>#N/A</v>
      </c>
    </row>
    <row r="260" spans="1:14" x14ac:dyDescent="0.25">
      <c r="A260" t="s">
        <v>280</v>
      </c>
      <c r="B260" s="3">
        <v>84755</v>
      </c>
      <c r="C260" s="4">
        <v>1.91</v>
      </c>
      <c r="D260" s="4">
        <v>2.31</v>
      </c>
      <c r="E260" s="4">
        <v>2.0299999999999998</v>
      </c>
      <c r="F260" s="4">
        <v>3.62</v>
      </c>
      <c r="G260" s="4">
        <v>1.61</v>
      </c>
      <c r="H260" s="4">
        <v>1.8</v>
      </c>
      <c r="I260" s="5">
        <v>2.1</v>
      </c>
      <c r="J260" s="5">
        <v>1.6</v>
      </c>
      <c r="K260" s="5">
        <v>2.7</v>
      </c>
      <c r="L260" s="5">
        <v>2.6</v>
      </c>
      <c r="M260" s="5" t="e">
        <v>#N/A</v>
      </c>
      <c r="N260" s="5" t="e">
        <v>#N/A</v>
      </c>
    </row>
    <row r="261" spans="1:14" x14ac:dyDescent="0.25">
      <c r="A261" t="s">
        <v>281</v>
      </c>
      <c r="B261" s="3">
        <v>80927</v>
      </c>
      <c r="C261" s="4">
        <v>1.95</v>
      </c>
      <c r="D261" s="4">
        <v>2.33</v>
      </c>
      <c r="E261" s="4">
        <v>2.02</v>
      </c>
      <c r="F261" s="4">
        <v>3.62</v>
      </c>
      <c r="G261" s="4">
        <v>1.56</v>
      </c>
      <c r="H261" s="4">
        <v>1.74</v>
      </c>
      <c r="I261" s="5">
        <v>1.7</v>
      </c>
      <c r="J261" s="5">
        <v>1.9</v>
      </c>
      <c r="K261" s="5">
        <v>3</v>
      </c>
      <c r="L261" s="5">
        <v>2.7</v>
      </c>
      <c r="M261" s="5" t="e">
        <v>#N/A</v>
      </c>
      <c r="N261" s="5" t="e">
        <v>#N/A</v>
      </c>
    </row>
    <row r="262" spans="1:14" x14ac:dyDescent="0.25">
      <c r="A262" t="s">
        <v>282</v>
      </c>
      <c r="B262" s="3">
        <v>84896</v>
      </c>
      <c r="C262" s="4">
        <v>1.88</v>
      </c>
      <c r="D262" s="4">
        <v>2.29</v>
      </c>
      <c r="E262" s="4">
        <v>2.0099999999999998</v>
      </c>
      <c r="F262" s="4">
        <v>3.61</v>
      </c>
      <c r="G262" s="4">
        <v>1.49</v>
      </c>
      <c r="H262" s="4">
        <v>1.71</v>
      </c>
      <c r="I262" s="5">
        <v>2.8</v>
      </c>
      <c r="J262" s="5">
        <v>2.2000000000000002</v>
      </c>
      <c r="K262" s="5">
        <v>3.1</v>
      </c>
      <c r="L262" s="5">
        <v>2.9</v>
      </c>
      <c r="M262" s="5" t="e">
        <v>#N/A</v>
      </c>
      <c r="N262" s="5" t="e">
        <v>#N/A</v>
      </c>
    </row>
    <row r="263" spans="1:14" x14ac:dyDescent="0.25">
      <c r="A263" t="s">
        <v>283</v>
      </c>
      <c r="B263" s="3">
        <v>85550</v>
      </c>
      <c r="C263" s="4">
        <v>1.9</v>
      </c>
      <c r="D263" s="4">
        <v>2.31</v>
      </c>
      <c r="E263" s="4">
        <v>2.0099999999999998</v>
      </c>
      <c r="F263" s="4">
        <v>3.61</v>
      </c>
      <c r="G263" s="4">
        <v>1.47</v>
      </c>
      <c r="H263" s="4">
        <v>1.68</v>
      </c>
      <c r="I263" s="5">
        <v>2.8</v>
      </c>
      <c r="J263" s="5">
        <v>2.4</v>
      </c>
      <c r="K263" s="5">
        <v>3.4</v>
      </c>
      <c r="L263" s="5">
        <v>3.2</v>
      </c>
      <c r="M263" s="5" t="e">
        <v>#N/A</v>
      </c>
      <c r="N263" s="5" t="e">
        <v>#N/A</v>
      </c>
    </row>
    <row r="264" spans="1:14" x14ac:dyDescent="0.25">
      <c r="A264" t="s">
        <v>284</v>
      </c>
      <c r="B264" s="3">
        <v>78419</v>
      </c>
      <c r="C264" s="4">
        <v>1.95</v>
      </c>
      <c r="D264" s="4">
        <v>2.36</v>
      </c>
      <c r="E264" s="4">
        <v>2</v>
      </c>
      <c r="F264" s="4">
        <v>3.61</v>
      </c>
      <c r="G264" s="4">
        <v>1.39</v>
      </c>
      <c r="H264" s="4">
        <v>1.6</v>
      </c>
      <c r="I264" s="5">
        <v>3.1</v>
      </c>
      <c r="J264" s="5">
        <v>2.9</v>
      </c>
      <c r="K264" s="5">
        <v>3.3</v>
      </c>
      <c r="L264" s="5">
        <v>3.3</v>
      </c>
      <c r="M264" s="5" t="e">
        <v>#N/A</v>
      </c>
      <c r="N264" s="5" t="e">
        <v>#N/A</v>
      </c>
    </row>
    <row r="265" spans="1:14" x14ac:dyDescent="0.25">
      <c r="A265" t="s">
        <v>285</v>
      </c>
      <c r="B265" s="3">
        <v>72570</v>
      </c>
      <c r="C265" s="4">
        <v>1.83</v>
      </c>
      <c r="D265" s="4">
        <v>2.2799999999999998</v>
      </c>
      <c r="E265" s="4">
        <v>2</v>
      </c>
      <c r="F265" s="4">
        <v>3.61</v>
      </c>
      <c r="G265" s="4">
        <v>1.29</v>
      </c>
      <c r="H265" s="4">
        <v>1.45</v>
      </c>
      <c r="I265" s="5">
        <v>3.8</v>
      </c>
      <c r="J265" s="5">
        <v>3.2</v>
      </c>
      <c r="K265" s="5">
        <v>2.9</v>
      </c>
      <c r="L265" s="5">
        <v>3.2</v>
      </c>
      <c r="M265" s="5" t="e">
        <v>#N/A</v>
      </c>
      <c r="N265" s="5" t="e">
        <v>#N/A</v>
      </c>
    </row>
    <row r="266" spans="1:14" x14ac:dyDescent="0.25">
      <c r="A266" t="s">
        <v>286</v>
      </c>
      <c r="B266" s="3">
        <v>71391</v>
      </c>
      <c r="C266" s="4">
        <v>1.82</v>
      </c>
      <c r="D266" s="4">
        <v>2.3199999999999998</v>
      </c>
      <c r="E266" s="4">
        <v>1.99</v>
      </c>
      <c r="F266" s="4">
        <v>3.61</v>
      </c>
      <c r="G266" s="4">
        <v>1.23</v>
      </c>
      <c r="H266" s="4">
        <v>1.39</v>
      </c>
      <c r="I266" s="5">
        <v>3.5</v>
      </c>
      <c r="J266" s="5">
        <v>3.4</v>
      </c>
      <c r="K266" s="5">
        <v>3.2</v>
      </c>
      <c r="L266" s="5">
        <v>3.1</v>
      </c>
      <c r="M266" s="5" t="e">
        <v>#N/A</v>
      </c>
      <c r="N266" s="5" t="e">
        <v>#N/A</v>
      </c>
    </row>
    <row r="267" spans="1:14" x14ac:dyDescent="0.25">
      <c r="A267" t="s">
        <v>287</v>
      </c>
      <c r="B267" s="3">
        <v>70982</v>
      </c>
      <c r="C267" s="4">
        <v>1.78</v>
      </c>
      <c r="D267" s="4">
        <v>2.33</v>
      </c>
      <c r="E267" s="4">
        <v>1.98</v>
      </c>
      <c r="F267" s="4">
        <v>3.61</v>
      </c>
      <c r="G267" s="4">
        <v>1.2</v>
      </c>
      <c r="H267" s="4">
        <v>1.28</v>
      </c>
      <c r="I267" s="5">
        <v>4.5</v>
      </c>
      <c r="J267" s="5">
        <v>3.9</v>
      </c>
      <c r="K267" s="5">
        <v>4.0999999999999996</v>
      </c>
      <c r="L267" s="5">
        <v>3.4</v>
      </c>
      <c r="M267" s="5" t="e">
        <v>#N/A</v>
      </c>
      <c r="N267" s="5" t="e">
        <v>#N/A</v>
      </c>
    </row>
    <row r="268" spans="1:14" x14ac:dyDescent="0.25">
      <c r="A268" t="s">
        <v>288</v>
      </c>
      <c r="B268" s="3">
        <v>68798</v>
      </c>
      <c r="C268" s="4">
        <v>1.59</v>
      </c>
      <c r="D268" s="4">
        <v>2.3199999999999998</v>
      </c>
      <c r="E268" s="4">
        <v>1.96</v>
      </c>
      <c r="F268" s="4">
        <v>3.6</v>
      </c>
      <c r="G268" s="4">
        <v>1.29</v>
      </c>
      <c r="H268" s="4">
        <v>1.3</v>
      </c>
      <c r="I268" s="5">
        <v>5.4</v>
      </c>
      <c r="J268" s="5">
        <v>4.5</v>
      </c>
      <c r="K268" s="5">
        <v>4.7</v>
      </c>
      <c r="L268" s="5">
        <v>4</v>
      </c>
      <c r="M268" s="5" t="e">
        <v>#N/A</v>
      </c>
      <c r="N268" s="5" t="e">
        <v>#N/A</v>
      </c>
    </row>
    <row r="269" spans="1:14" x14ac:dyDescent="0.25">
      <c r="A269" t="s">
        <v>289</v>
      </c>
      <c r="B269" s="3">
        <v>69534</v>
      </c>
      <c r="C269" s="4">
        <v>1.5</v>
      </c>
      <c r="D269" s="4">
        <v>2.33</v>
      </c>
      <c r="E269" s="4">
        <v>1.95</v>
      </c>
      <c r="F269" s="4">
        <v>3.59</v>
      </c>
      <c r="G269" s="4">
        <v>1.53</v>
      </c>
      <c r="H269" s="4">
        <v>1.52</v>
      </c>
      <c r="I269" s="5">
        <v>4.8</v>
      </c>
      <c r="J269" s="5">
        <v>4.9000000000000004</v>
      </c>
      <c r="K269" s="5">
        <v>4.4000000000000004</v>
      </c>
      <c r="L269" s="5">
        <v>4.4000000000000004</v>
      </c>
      <c r="M269" s="5" t="e">
        <v>#N/A</v>
      </c>
      <c r="N269" s="5" t="e">
        <v>#N/A</v>
      </c>
    </row>
    <row r="270" spans="1:14" x14ac:dyDescent="0.25">
      <c r="A270" t="s">
        <v>290</v>
      </c>
      <c r="B270" s="3">
        <v>72678</v>
      </c>
      <c r="C270" s="4">
        <v>1.58</v>
      </c>
      <c r="D270" s="4">
        <v>2.3199999999999998</v>
      </c>
      <c r="E270" s="4">
        <v>1.94</v>
      </c>
      <c r="F270" s="4">
        <v>3.61</v>
      </c>
      <c r="G270" s="4">
        <v>1.57</v>
      </c>
      <c r="H270" s="4">
        <v>1.59</v>
      </c>
      <c r="I270" s="5">
        <v>5.5</v>
      </c>
      <c r="J270" s="5">
        <v>5.2</v>
      </c>
      <c r="K270" s="5">
        <v>5.0999999999999996</v>
      </c>
      <c r="L270" s="5">
        <v>4.8</v>
      </c>
      <c r="M270" s="5" t="e">
        <v>#N/A</v>
      </c>
      <c r="N270" s="5" t="e">
        <v>#N/A</v>
      </c>
    </row>
    <row r="271" spans="1:14" x14ac:dyDescent="0.25">
      <c r="A271" t="s">
        <v>291</v>
      </c>
      <c r="B271" s="3">
        <v>74122</v>
      </c>
      <c r="C271" s="4">
        <v>1.58</v>
      </c>
      <c r="D271" s="4">
        <v>2.41</v>
      </c>
      <c r="E271" s="4">
        <v>1.92</v>
      </c>
      <c r="F271" s="4">
        <v>3.67</v>
      </c>
      <c r="G271" s="4">
        <v>1.64</v>
      </c>
      <c r="H271" s="4">
        <v>1.63</v>
      </c>
      <c r="I271" s="5">
        <v>5.4</v>
      </c>
      <c r="J271" s="5">
        <v>5.2</v>
      </c>
      <c r="K271" s="5">
        <v>4.5</v>
      </c>
      <c r="L271" s="5">
        <v>4.7</v>
      </c>
      <c r="M271" s="5" t="e">
        <v>#N/A</v>
      </c>
      <c r="N271" s="5" t="e">
        <v>#N/A</v>
      </c>
    </row>
    <row r="272" spans="1:14" x14ac:dyDescent="0.25">
      <c r="A272" t="s">
        <v>292</v>
      </c>
      <c r="B272" s="3">
        <v>68601</v>
      </c>
      <c r="C272" s="4">
        <v>1.59</v>
      </c>
      <c r="D272" s="4">
        <v>2.5099999999999998</v>
      </c>
      <c r="E272" s="4">
        <v>1.92</v>
      </c>
      <c r="F272" s="4">
        <v>3.84</v>
      </c>
      <c r="G272" s="4">
        <v>1.78</v>
      </c>
      <c r="H272" s="4">
        <v>1.79</v>
      </c>
      <c r="I272" s="5">
        <v>5.3</v>
      </c>
      <c r="J272" s="5">
        <v>5.4</v>
      </c>
      <c r="K272" s="5">
        <v>4.9000000000000004</v>
      </c>
      <c r="L272" s="5">
        <v>4.8</v>
      </c>
      <c r="M272" s="5" t="e">
        <v>#N/A</v>
      </c>
      <c r="N272" s="5" t="e">
        <v>#N/A</v>
      </c>
    </row>
    <row r="273" spans="1:14" x14ac:dyDescent="0.25">
      <c r="A273" t="s">
        <v>293</v>
      </c>
      <c r="B273" s="3">
        <v>68828</v>
      </c>
      <c r="C273" s="4">
        <v>1.73</v>
      </c>
      <c r="D273" s="4">
        <v>2.71</v>
      </c>
      <c r="E273" s="4">
        <v>1.91</v>
      </c>
      <c r="F273" s="4">
        <v>3.99</v>
      </c>
      <c r="G273" s="4">
        <v>2.14</v>
      </c>
      <c r="H273" s="4">
        <v>2.11</v>
      </c>
      <c r="I273" s="5">
        <v>6.8</v>
      </c>
      <c r="J273" s="5">
        <v>5.8</v>
      </c>
      <c r="K273" s="5">
        <v>5.9</v>
      </c>
      <c r="L273" s="5">
        <v>5.0999999999999996</v>
      </c>
      <c r="M273" s="5" t="e">
        <v>#N/A</v>
      </c>
      <c r="N273" s="5" t="e">
        <v>#N/A</v>
      </c>
    </row>
    <row r="274" spans="1:14" x14ac:dyDescent="0.25">
      <c r="A274" t="s">
        <v>294</v>
      </c>
      <c r="B274" s="3">
        <v>65473</v>
      </c>
      <c r="C274" s="4">
        <v>1.82</v>
      </c>
      <c r="D274" s="4">
        <v>2.77</v>
      </c>
      <c r="E274" s="4">
        <v>1.91</v>
      </c>
      <c r="F274" s="4">
        <v>4.1100000000000003</v>
      </c>
      <c r="G274" s="4">
        <v>2.35</v>
      </c>
      <c r="H274" s="4">
        <v>2.35</v>
      </c>
      <c r="I274" s="5">
        <v>6.5</v>
      </c>
      <c r="J274" s="5">
        <v>6.2</v>
      </c>
      <c r="K274" s="5">
        <v>6</v>
      </c>
      <c r="L274" s="5">
        <v>5.6</v>
      </c>
      <c r="M274" s="5" t="e">
        <v>#N/A</v>
      </c>
      <c r="N274" s="5" t="e">
        <v>#N/A</v>
      </c>
    </row>
    <row r="275" spans="1:14" x14ac:dyDescent="0.25">
      <c r="A275" t="s">
        <v>295</v>
      </c>
      <c r="B275" s="3">
        <v>65667</v>
      </c>
      <c r="C275" s="4">
        <v>1.95</v>
      </c>
      <c r="D275" s="4">
        <v>2.97</v>
      </c>
      <c r="E275" s="4">
        <v>1.91</v>
      </c>
      <c r="F275" s="4">
        <v>4.26</v>
      </c>
      <c r="G275" s="4">
        <v>2.63</v>
      </c>
      <c r="H275" s="4">
        <v>2.62</v>
      </c>
      <c r="I275" s="5">
        <v>7.3</v>
      </c>
      <c r="J275" s="5">
        <v>6.9</v>
      </c>
      <c r="K275" s="5">
        <v>5.9</v>
      </c>
      <c r="L275" s="5">
        <v>5.9</v>
      </c>
      <c r="M275" s="5">
        <v>5.5</v>
      </c>
      <c r="N275" s="5">
        <v>4.8</v>
      </c>
    </row>
    <row r="276" spans="1:14" x14ac:dyDescent="0.25">
      <c r="A276" t="s">
        <v>296</v>
      </c>
      <c r="B276" s="3">
        <v>62075</v>
      </c>
      <c r="C276" s="4">
        <v>2.15</v>
      </c>
      <c r="D276" s="4">
        <v>3.21</v>
      </c>
      <c r="E276" s="4">
        <v>1.91</v>
      </c>
      <c r="F276" s="4">
        <v>4.3899999999999997</v>
      </c>
      <c r="G276" s="4">
        <v>2.87</v>
      </c>
      <c r="H276" s="4">
        <v>2.9</v>
      </c>
      <c r="I276" s="5">
        <v>7.4</v>
      </c>
      <c r="J276" s="5">
        <v>7.1</v>
      </c>
      <c r="K276" s="5">
        <v>6.3</v>
      </c>
      <c r="L276" s="5">
        <v>6.1</v>
      </c>
      <c r="M276" s="5">
        <v>5.7</v>
      </c>
      <c r="N276" s="5">
        <v>5.0999999999999996</v>
      </c>
    </row>
    <row r="277" spans="1:14" x14ac:dyDescent="0.25">
      <c r="A277" t="s">
        <v>297</v>
      </c>
      <c r="B277" s="3">
        <v>62715</v>
      </c>
      <c r="C277" s="4">
        <v>2.33</v>
      </c>
      <c r="D277" s="4">
        <v>3.27</v>
      </c>
      <c r="E277" s="4">
        <v>1.93</v>
      </c>
      <c r="F277" s="4">
        <v>4.55</v>
      </c>
      <c r="G277" s="4">
        <v>3.48</v>
      </c>
      <c r="H277" s="4">
        <v>3.43</v>
      </c>
      <c r="I277" s="5">
        <v>8</v>
      </c>
      <c r="J277" s="5">
        <v>7.6</v>
      </c>
      <c r="K277" s="5">
        <v>6.7</v>
      </c>
      <c r="L277" s="5">
        <v>6.3</v>
      </c>
      <c r="M277" s="5">
        <v>5.5</v>
      </c>
      <c r="N277" s="5">
        <v>5.2</v>
      </c>
    </row>
    <row r="278" spans="1:14" x14ac:dyDescent="0.25">
      <c r="A278" t="s">
        <v>298</v>
      </c>
      <c r="B278" s="3">
        <v>72598</v>
      </c>
      <c r="C278" s="4">
        <v>2.5499999999999998</v>
      </c>
      <c r="D278" s="4">
        <v>3.5</v>
      </c>
      <c r="E278" s="4">
        <v>1.95</v>
      </c>
      <c r="F278" s="4">
        <v>4.88</v>
      </c>
      <c r="G278" s="4">
        <v>3.6</v>
      </c>
      <c r="H278" s="4">
        <v>3.61</v>
      </c>
      <c r="I278" s="5">
        <v>7.6</v>
      </c>
      <c r="J278" s="5">
        <v>7.7</v>
      </c>
      <c r="K278" s="5">
        <v>6.4</v>
      </c>
      <c r="L278" s="5">
        <v>6.5</v>
      </c>
      <c r="M278" s="5">
        <v>6.4</v>
      </c>
      <c r="N278" s="5">
        <v>5.5</v>
      </c>
    </row>
    <row r="279" spans="1:14" x14ac:dyDescent="0.25">
      <c r="A279" t="s">
        <v>299</v>
      </c>
      <c r="B279" s="3">
        <v>65349</v>
      </c>
      <c r="C279" s="4">
        <v>2.84</v>
      </c>
      <c r="D279" s="4">
        <v>3.88</v>
      </c>
      <c r="E279" s="4">
        <v>1.98</v>
      </c>
      <c r="F279" s="4">
        <v>5.0999999999999996</v>
      </c>
      <c r="G279" s="4">
        <v>4.17</v>
      </c>
      <c r="H279" s="4">
        <v>3.97</v>
      </c>
      <c r="I279" s="5">
        <v>7.4</v>
      </c>
      <c r="J279" s="5">
        <v>7.7</v>
      </c>
      <c r="K279" s="5">
        <v>6.6</v>
      </c>
      <c r="L279" s="5">
        <v>6.6</v>
      </c>
      <c r="M279" s="5">
        <v>6.5</v>
      </c>
      <c r="N279" s="5">
        <v>5.9</v>
      </c>
    </row>
    <row r="280" spans="1:14" x14ac:dyDescent="0.25">
      <c r="A280" t="s">
        <v>300</v>
      </c>
      <c r="B280" s="3">
        <v>58507</v>
      </c>
      <c r="C280" s="4">
        <v>3.09</v>
      </c>
      <c r="D280" s="4">
        <v>4.0199999999999996</v>
      </c>
      <c r="E280" s="4">
        <v>2.0299999999999998</v>
      </c>
      <c r="F280" s="4">
        <v>5.42</v>
      </c>
      <c r="G280" s="4">
        <v>5.99</v>
      </c>
      <c r="H280" s="4">
        <v>5.61</v>
      </c>
      <c r="I280" s="5">
        <v>7.8</v>
      </c>
      <c r="J280" s="5">
        <v>7.6</v>
      </c>
      <c r="K280" s="5">
        <v>6.2</v>
      </c>
      <c r="L280" s="5">
        <v>6.4</v>
      </c>
      <c r="M280" s="5">
        <v>6.1</v>
      </c>
      <c r="N280" s="5">
        <v>5.8</v>
      </c>
    </row>
    <row r="281" spans="1:14" x14ac:dyDescent="0.25">
      <c r="A281" t="s">
        <v>301</v>
      </c>
      <c r="B281" s="3">
        <v>46744</v>
      </c>
      <c r="C281" s="4">
        <v>3.35</v>
      </c>
      <c r="D281" s="4">
        <v>4.41</v>
      </c>
      <c r="E281" s="4">
        <v>2.08</v>
      </c>
      <c r="F281" s="4">
        <v>5.87</v>
      </c>
      <c r="G281" s="4">
        <v>5.98</v>
      </c>
      <c r="H281" s="4">
        <v>5.5</v>
      </c>
      <c r="I281" s="5">
        <v>7.2</v>
      </c>
      <c r="J281" s="5">
        <v>7.5</v>
      </c>
      <c r="K281" s="5">
        <v>5.7</v>
      </c>
      <c r="L281" s="5">
        <v>6.2</v>
      </c>
      <c r="M281" s="5">
        <v>6.1</v>
      </c>
      <c r="N281" s="5">
        <v>5.8</v>
      </c>
    </row>
    <row r="282" spans="1:14" x14ac:dyDescent="0.25">
      <c r="A282" t="s">
        <v>302</v>
      </c>
      <c r="B282" s="3">
        <v>41410</v>
      </c>
      <c r="C282" s="4">
        <v>3.67</v>
      </c>
      <c r="D282" s="4">
        <v>5.0199999999999996</v>
      </c>
      <c r="E282" s="4">
        <v>2.14</v>
      </c>
      <c r="F282" s="4">
        <v>6.42</v>
      </c>
      <c r="G282" s="4">
        <v>5.43</v>
      </c>
      <c r="H282" s="4">
        <v>5.05</v>
      </c>
      <c r="I282" s="5">
        <v>8.5</v>
      </c>
      <c r="J282" s="5">
        <v>7.8</v>
      </c>
      <c r="K282" s="5">
        <v>5.8</v>
      </c>
      <c r="L282" s="5">
        <v>5.9</v>
      </c>
      <c r="M282" s="5">
        <v>6.6</v>
      </c>
      <c r="N282" s="5">
        <v>6.3</v>
      </c>
    </row>
    <row r="283" spans="1:14" x14ac:dyDescent="0.25">
      <c r="A283" t="s">
        <v>303</v>
      </c>
      <c r="B283" s="3">
        <v>39888</v>
      </c>
      <c r="C283" s="4">
        <v>3.88</v>
      </c>
      <c r="D283" s="4">
        <v>5.17</v>
      </c>
      <c r="E283" s="4">
        <v>2.17</v>
      </c>
      <c r="F283" s="4">
        <v>6.61</v>
      </c>
      <c r="G283" s="4">
        <v>5.14</v>
      </c>
      <c r="H283" s="4">
        <v>4.66</v>
      </c>
      <c r="I283" s="5">
        <v>7.9</v>
      </c>
      <c r="J283" s="5">
        <v>7.9</v>
      </c>
      <c r="K283" s="5">
        <v>5.8</v>
      </c>
      <c r="L283" s="5">
        <v>5.8</v>
      </c>
      <c r="M283" s="5">
        <v>6.3</v>
      </c>
      <c r="N283" s="5">
        <v>5.7</v>
      </c>
    </row>
    <row r="284" spans="1:14" x14ac:dyDescent="0.25">
      <c r="A284" t="s">
        <v>304</v>
      </c>
      <c r="B284" s="3">
        <v>43207</v>
      </c>
      <c r="C284" s="4">
        <v>4.24</v>
      </c>
      <c r="D284" s="4">
        <v>5.53</v>
      </c>
      <c r="E284" s="4">
        <v>2.2200000000000002</v>
      </c>
      <c r="F284" s="4">
        <v>6.97</v>
      </c>
      <c r="G284" s="4">
        <v>4.79</v>
      </c>
      <c r="H284" s="4">
        <v>4.3600000000000003</v>
      </c>
      <c r="I284" s="5">
        <v>7.8</v>
      </c>
      <c r="J284" s="5">
        <v>8.1</v>
      </c>
      <c r="K284" s="5">
        <v>5.4</v>
      </c>
      <c r="L284" s="5">
        <v>5.7</v>
      </c>
      <c r="M284" s="5">
        <v>6.6</v>
      </c>
      <c r="N284" s="5">
        <v>5.8</v>
      </c>
    </row>
    <row r="285" spans="1:14" x14ac:dyDescent="0.25">
      <c r="A285" t="s">
        <v>305</v>
      </c>
      <c r="B285" s="3">
        <v>51051</v>
      </c>
      <c r="C285" s="4">
        <v>4.41</v>
      </c>
      <c r="D285" s="4">
        <v>5.98</v>
      </c>
      <c r="E285" s="4">
        <v>2.27</v>
      </c>
      <c r="F285" s="4">
        <v>7.16</v>
      </c>
      <c r="G285" s="4">
        <v>4.74</v>
      </c>
      <c r="H285" s="4">
        <v>4.26</v>
      </c>
      <c r="I285" s="5">
        <v>7.8</v>
      </c>
      <c r="J285" s="5">
        <v>7.8</v>
      </c>
      <c r="K285" s="5">
        <v>5.3</v>
      </c>
      <c r="L285" s="5">
        <v>5.5</v>
      </c>
      <c r="M285" s="5">
        <v>6.5</v>
      </c>
      <c r="N285" s="5">
        <v>5.6</v>
      </c>
    </row>
    <row r="286" spans="1:14" x14ac:dyDescent="0.25">
      <c r="A286" t="s">
        <v>306</v>
      </c>
      <c r="B286" s="3">
        <v>48544</v>
      </c>
      <c r="C286" s="4">
        <v>4.46</v>
      </c>
      <c r="D286" s="4">
        <v>5.9</v>
      </c>
      <c r="E286" s="4">
        <v>2.2999999999999998</v>
      </c>
      <c r="F286" s="4">
        <v>7.3</v>
      </c>
      <c r="G286" s="4">
        <v>4.5999999999999996</v>
      </c>
      <c r="H286" s="4">
        <v>4.16</v>
      </c>
      <c r="I286" s="5">
        <v>7.4</v>
      </c>
      <c r="J286" s="5">
        <v>7.7</v>
      </c>
      <c r="K286" s="5">
        <v>6</v>
      </c>
      <c r="L286" s="5">
        <v>5.6</v>
      </c>
      <c r="M286" s="5">
        <v>6.6</v>
      </c>
      <c r="N286" s="5">
        <v>5.4</v>
      </c>
    </row>
    <row r="287" spans="1:14" x14ac:dyDescent="0.25">
      <c r="A287" t="s">
        <v>307</v>
      </c>
      <c r="B287" s="3">
        <v>50204</v>
      </c>
      <c r="C287" s="4">
        <v>4.5599999999999996</v>
      </c>
      <c r="D287" s="4">
        <v>6.12</v>
      </c>
      <c r="E287" s="4">
        <v>2.34</v>
      </c>
      <c r="F287" s="4">
        <v>7.38</v>
      </c>
      <c r="G287" s="4">
        <v>4.72</v>
      </c>
      <c r="H287" s="4">
        <v>4.28</v>
      </c>
      <c r="I287" s="5">
        <v>7.6</v>
      </c>
      <c r="J287" s="5">
        <v>7.6</v>
      </c>
      <c r="K287" s="5">
        <v>5.0999999999999996</v>
      </c>
      <c r="L287" s="5">
        <v>5.5</v>
      </c>
      <c r="M287" s="5">
        <v>6.8</v>
      </c>
      <c r="N287" s="5">
        <v>5.2</v>
      </c>
    </row>
    <row r="288" spans="1:14" x14ac:dyDescent="0.25">
      <c r="A288" t="s">
        <v>308</v>
      </c>
      <c r="B288" s="3">
        <v>53570</v>
      </c>
      <c r="C288" s="4">
        <v>4.63</v>
      </c>
      <c r="D288" s="4">
        <v>6.29</v>
      </c>
      <c r="E288" s="4">
        <v>2.44</v>
      </c>
      <c r="F288" s="4">
        <v>7.47</v>
      </c>
      <c r="G288" s="4">
        <v>5.49</v>
      </c>
      <c r="H288" s="4">
        <v>4.95</v>
      </c>
      <c r="I288" s="5">
        <v>6.9</v>
      </c>
      <c r="J288" s="5">
        <v>7.3</v>
      </c>
      <c r="K288" s="5">
        <v>4.9000000000000004</v>
      </c>
      <c r="L288" s="5">
        <v>5.3</v>
      </c>
      <c r="M288" s="5">
        <v>7.1</v>
      </c>
      <c r="N288" s="5">
        <v>5.3</v>
      </c>
    </row>
    <row r="289" spans="1:14" x14ac:dyDescent="0.25">
      <c r="A289" t="s">
        <v>309</v>
      </c>
      <c r="B289" s="3">
        <v>49273</v>
      </c>
      <c r="C289" s="4">
        <v>4.66</v>
      </c>
      <c r="D289" s="4">
        <v>6.34</v>
      </c>
      <c r="E289" s="4">
        <v>2.4900000000000002</v>
      </c>
      <c r="F289" s="4">
        <v>7.64</v>
      </c>
      <c r="G289" s="4">
        <v>6.22</v>
      </c>
      <c r="H289" s="4">
        <v>5.71</v>
      </c>
      <c r="I289" s="5">
        <v>7.8</v>
      </c>
      <c r="J289" s="5">
        <v>7.4</v>
      </c>
      <c r="K289" s="5">
        <v>5.6</v>
      </c>
      <c r="L289" s="5">
        <v>5.2</v>
      </c>
      <c r="M289" s="5">
        <v>6.7</v>
      </c>
      <c r="N289" s="5">
        <v>5</v>
      </c>
    </row>
    <row r="290" spans="1:14" x14ac:dyDescent="0.25">
      <c r="A290" t="s">
        <v>310</v>
      </c>
      <c r="B290" s="3">
        <v>45702</v>
      </c>
      <c r="C290" s="4">
        <v>4.82</v>
      </c>
      <c r="D290" s="4">
        <v>6.69</v>
      </c>
      <c r="E290" s="4">
        <v>2.56</v>
      </c>
      <c r="F290" s="4">
        <v>7.91</v>
      </c>
      <c r="G290" s="4">
        <v>6.18</v>
      </c>
      <c r="H290" s="4">
        <v>5.53</v>
      </c>
      <c r="I290" s="5">
        <v>7.5</v>
      </c>
      <c r="J290" s="5">
        <v>7.4</v>
      </c>
      <c r="K290" s="5">
        <v>4.5</v>
      </c>
      <c r="L290" s="5">
        <v>5</v>
      </c>
      <c r="M290" s="5">
        <v>6.9</v>
      </c>
      <c r="N290" s="5">
        <v>5</v>
      </c>
    </row>
    <row r="291" spans="1:14" x14ac:dyDescent="0.25">
      <c r="A291" t="s">
        <v>311</v>
      </c>
      <c r="B291" s="3">
        <v>44370</v>
      </c>
      <c r="C291" s="4">
        <v>5.01</v>
      </c>
      <c r="D291" s="4">
        <v>6.84</v>
      </c>
      <c r="E291" s="4">
        <v>2.64</v>
      </c>
      <c r="F291" s="4">
        <v>7.98</v>
      </c>
      <c r="G291" s="4">
        <v>5.91</v>
      </c>
      <c r="H291" s="4">
        <v>5.24</v>
      </c>
      <c r="I291" s="5">
        <v>6.9</v>
      </c>
      <c r="J291" s="5">
        <v>7.4</v>
      </c>
      <c r="K291" s="5">
        <v>4.4000000000000004</v>
      </c>
      <c r="L291" s="5">
        <v>4.8</v>
      </c>
      <c r="M291" s="5">
        <v>7.1</v>
      </c>
      <c r="N291" s="5">
        <v>5.2</v>
      </c>
    </row>
    <row r="292" spans="1:14" x14ac:dyDescent="0.25">
      <c r="A292" t="s">
        <v>312</v>
      </c>
      <c r="B292" s="3">
        <v>48819</v>
      </c>
      <c r="C292" s="4">
        <v>5.25</v>
      </c>
      <c r="D292" s="4">
        <v>6.9</v>
      </c>
      <c r="E292" s="4">
        <v>2.71</v>
      </c>
      <c r="F292" s="4">
        <v>8.02</v>
      </c>
      <c r="G292" s="4">
        <v>5.6</v>
      </c>
      <c r="H292" s="4">
        <v>5.0199999999999996</v>
      </c>
      <c r="I292" s="5">
        <v>6.8</v>
      </c>
      <c r="J292" s="5">
        <v>7.1</v>
      </c>
      <c r="K292" s="5">
        <v>4.7</v>
      </c>
      <c r="L292" s="5">
        <v>4.5</v>
      </c>
      <c r="M292" s="5">
        <v>6.8</v>
      </c>
      <c r="N292" s="5">
        <v>5.0999999999999996</v>
      </c>
    </row>
    <row r="293" spans="1:14" x14ac:dyDescent="0.25">
      <c r="A293" t="s">
        <v>313</v>
      </c>
      <c r="B293" s="3">
        <v>50407</v>
      </c>
      <c r="C293" s="4">
        <v>5.34</v>
      </c>
      <c r="D293" s="4">
        <v>6.83</v>
      </c>
      <c r="E293" s="4">
        <v>2.78</v>
      </c>
      <c r="F293" s="4">
        <v>8</v>
      </c>
      <c r="G293" s="4">
        <v>5.28</v>
      </c>
      <c r="H293" s="4">
        <v>4.8899999999999997</v>
      </c>
      <c r="I293" s="5">
        <v>6</v>
      </c>
      <c r="J293" s="5">
        <v>6.6</v>
      </c>
      <c r="K293" s="5">
        <v>4.3</v>
      </c>
      <c r="L293" s="5">
        <v>4.4000000000000004</v>
      </c>
      <c r="M293" s="5">
        <v>7</v>
      </c>
      <c r="N293" s="5">
        <v>5.0999999999999996</v>
      </c>
    </row>
    <row r="294" spans="1:14" x14ac:dyDescent="0.25">
      <c r="A294" t="s">
        <v>314</v>
      </c>
      <c r="B294" s="3">
        <v>52265</v>
      </c>
      <c r="C294" s="4">
        <v>5.28</v>
      </c>
      <c r="D294" s="4">
        <v>6.83</v>
      </c>
      <c r="E294" s="4">
        <v>2.86</v>
      </c>
      <c r="F294" s="4">
        <v>7.92</v>
      </c>
      <c r="G294" s="4">
        <v>5.03</v>
      </c>
      <c r="H294" s="4">
        <v>4.68</v>
      </c>
      <c r="I294" s="5">
        <v>4.9000000000000004</v>
      </c>
      <c r="J294" s="5">
        <v>5.9</v>
      </c>
      <c r="K294" s="5">
        <v>4.2</v>
      </c>
      <c r="L294" s="5">
        <v>4.4000000000000004</v>
      </c>
      <c r="M294" s="5">
        <v>7</v>
      </c>
      <c r="N294" s="5">
        <v>5.4</v>
      </c>
    </row>
    <row r="295" spans="1:14" x14ac:dyDescent="0.25">
      <c r="A295" t="s">
        <v>315</v>
      </c>
      <c r="B295" s="3">
        <v>56087</v>
      </c>
      <c r="C295" s="4">
        <v>5.19</v>
      </c>
      <c r="D295" s="4">
        <v>6.85</v>
      </c>
      <c r="E295" s="4">
        <v>2.93</v>
      </c>
      <c r="F295" s="4">
        <v>7.92</v>
      </c>
      <c r="G295" s="4">
        <v>4.7300000000000004</v>
      </c>
      <c r="H295" s="4">
        <v>4.4400000000000004</v>
      </c>
      <c r="I295" s="5">
        <v>5.8</v>
      </c>
      <c r="J295" s="5">
        <v>5.6</v>
      </c>
      <c r="K295" s="5">
        <v>4.5</v>
      </c>
      <c r="L295" s="5">
        <v>4.3</v>
      </c>
      <c r="M295" s="5">
        <v>6.5</v>
      </c>
      <c r="N295" s="5">
        <v>5.0999999999999996</v>
      </c>
    </row>
    <row r="296" spans="1:14" x14ac:dyDescent="0.25">
      <c r="A296" t="s">
        <v>316</v>
      </c>
      <c r="B296" s="3">
        <v>60383</v>
      </c>
      <c r="C296" s="4">
        <v>4.9000000000000004</v>
      </c>
      <c r="D296" s="4">
        <v>6.89</v>
      </c>
      <c r="E296" s="4">
        <v>3.01</v>
      </c>
      <c r="F296" s="4">
        <v>7.92</v>
      </c>
      <c r="G296" s="4">
        <v>4.7699999999999996</v>
      </c>
      <c r="H296" s="4">
        <v>4.4000000000000004</v>
      </c>
      <c r="I296" s="5">
        <v>5.4</v>
      </c>
      <c r="J296" s="5">
        <v>5.4</v>
      </c>
      <c r="K296" s="5">
        <v>4.0999999999999996</v>
      </c>
      <c r="L296" s="5">
        <v>4.3</v>
      </c>
      <c r="M296" s="5">
        <v>6.5</v>
      </c>
      <c r="N296" s="5">
        <v>4.9000000000000004</v>
      </c>
    </row>
    <row r="297" spans="1:14" x14ac:dyDescent="0.25">
      <c r="A297" t="s">
        <v>317</v>
      </c>
      <c r="I297" s="5">
        <v>4.8</v>
      </c>
      <c r="J297" s="5">
        <v>5.3</v>
      </c>
      <c r="K297" s="5">
        <v>3.7</v>
      </c>
      <c r="L297" s="5">
        <v>4.0999999999999996</v>
      </c>
      <c r="M297" s="5">
        <v>6.1</v>
      </c>
      <c r="N297" s="5">
        <v>4.7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Chart Data</vt:lpstr>
      <vt:lpstr>HAVER</vt:lpstr>
      <vt:lpstr>Chart1</vt:lpstr>
      <vt:lpstr>Chart1a</vt:lpstr>
      <vt:lpstr>Chart1b</vt:lpstr>
      <vt:lpstr>Chart2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2024-04-04T15:14:45Z</dcterms:created>
  <dcterms:modified xsi:type="dcterms:W3CDTF">2024-04-04T21:06:31Z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2024-04-04T15:18:09Z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  <property fmtid="{D5CDD505-2E9C-101B-9397-08002B2CF9AE}" pid="7" name="MSIP_Label_231f5784-19ed-4d1e-9a93-4ea41014d730_ActionId">
    <vt:lpwstr>f2f51d14-aa40-4a7e-9c69-ab2f0566210d</vt:lpwstr>
  </property>
  <property fmtid="{D5CDD505-2E9C-101B-9397-08002B2CF9AE}" pid="8" name="MSIP_Label_231f5784-19ed-4d1e-9a93-4ea41014d730_ContentBits">
    <vt:lpwstr>0</vt:lpwstr>
  </property>
</Properties>
</file>