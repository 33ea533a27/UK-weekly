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Data\"/>
    </mc:Choice>
  </mc:AlternateContent>
  <xr:revisionPtr revIDLastSave="0" documentId="13_ncr:1_{8C5AD9F3-CDB6-40D7-A07C-70BCC42CF7D4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hart Data" sheetId="3" r:id="rId1"/>
    <sheet name="HAVERQ" sheetId="1" r:id="rId2"/>
    <sheet name="HAVERW" sheetId="17" r:id="rId3"/>
    <sheet name="OE_FCST" sheetId="13" r:id="rId4"/>
    <sheet name="CHARTS&gt;&gt;&gt;&gt;" sheetId="14" r:id="rId5"/>
    <sheet name="Chart - GDP forecasts 24-26" sheetId="22" r:id="rId6"/>
    <sheet name="Inflation - BoE last 2" sheetId="4" r:id="rId7"/>
    <sheet name="Inflation - BoE last 2 &amp; OE" sheetId="27" r:id="rId8"/>
    <sheet name="Inflation - mkt &amp; constant" sheetId="26" r:id="rId9"/>
    <sheet name="Inflation - modal &amp; mean" sheetId="31" r:id="rId10"/>
    <sheet name="Chart - Inflation &amp; output gap " sheetId="25" r:id="rId11"/>
    <sheet name="Inflation - BoE &amp; OE" sheetId="5" r:id="rId12"/>
    <sheet name="Unemployment - BoE last 2" sheetId="8" r:id="rId13"/>
    <sheet name="Unemployment - BoE &amp; OE" sheetId="9" r:id="rId14"/>
    <sheet name="Mkt interest rates - last 2" sheetId="10" r:id="rId15"/>
    <sheet name="Bank Rate - market (IR) &amp; OE" sheetId="11" r:id="rId16"/>
    <sheet name="NOT USED&gt;&gt;&gt;&gt;" sheetId="16" r:id="rId17"/>
  </sheets>
  <externalReferences>
    <externalReference r:id="rId18"/>
  </externalReferences>
  <definedNames>
    <definedName name="_DLX1.INC">HAVERQ!$C$1:$H$213</definedName>
    <definedName name="_DLX2.INC">HAVERW!$A$1:$G$6</definedName>
    <definedName name="Annual_Data" localSheetId="3">OE_FCST!$A$1:$A$2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31" i="3" l="1"/>
  <c r="AT31" i="3"/>
  <c r="AU31" i="3"/>
  <c r="BA31" i="3"/>
  <c r="BB31" i="3"/>
  <c r="BB27" i="3"/>
  <c r="BB26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AN25" i="3"/>
  <c r="AN24" i="3"/>
  <c r="BA20" i="3"/>
  <c r="BA18" i="3"/>
  <c r="AM18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AM17" i="3"/>
  <c r="AL17" i="3"/>
  <c r="BA13" i="3"/>
  <c r="BA12" i="3"/>
  <c r="BA11" i="3"/>
  <c r="BA10" i="3"/>
  <c r="BA7" i="3"/>
  <c r="BA4" i="3"/>
  <c r="AN4" i="3"/>
  <c r="AO3" i="3"/>
  <c r="AP3" i="3"/>
  <c r="AQ3" i="3"/>
  <c r="AR3" i="3"/>
  <c r="AS3" i="3"/>
  <c r="AT3" i="3"/>
  <c r="AU3" i="3"/>
  <c r="AV3" i="3"/>
  <c r="AW3" i="3"/>
  <c r="AX3" i="3"/>
  <c r="AY3" i="3"/>
  <c r="AZ3" i="3"/>
  <c r="AN3" i="3"/>
  <c r="AM3" i="3"/>
  <c r="BA27" i="3"/>
  <c r="BA26" i="3"/>
  <c r="BA30" i="3" s="1"/>
  <c r="AO26" i="3"/>
  <c r="AO31" i="3" s="1"/>
  <c r="AP26" i="3"/>
  <c r="AP31" i="3" s="1"/>
  <c r="AQ26" i="3"/>
  <c r="AQ31" i="3" s="1"/>
  <c r="AR26" i="3"/>
  <c r="AR31" i="3" s="1"/>
  <c r="AS26" i="3"/>
  <c r="AT26" i="3"/>
  <c r="AU26" i="3"/>
  <c r="AV26" i="3"/>
  <c r="AV31" i="3" s="1"/>
  <c r="AW26" i="3"/>
  <c r="AW31" i="3" s="1"/>
  <c r="AX26" i="3"/>
  <c r="AX31" i="3" s="1"/>
  <c r="AY26" i="3"/>
  <c r="AY31" i="3" s="1"/>
  <c r="AZ26" i="3"/>
  <c r="AZ31" i="3" s="1"/>
  <c r="AM24" i="3"/>
  <c r="AZ20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AK18" i="3"/>
  <c r="AL18" i="3"/>
  <c r="AK17" i="3"/>
  <c r="AZ11" i="3"/>
  <c r="AZ13" i="3"/>
  <c r="AZ7" i="3"/>
  <c r="AZ4" i="3"/>
  <c r="AZ10" i="3" s="1"/>
  <c r="AZ12" i="3" s="1"/>
  <c r="AO4" i="3"/>
  <c r="AP4" i="3"/>
  <c r="AQ4" i="3"/>
  <c r="AR4" i="3"/>
  <c r="AS4" i="3"/>
  <c r="AT4" i="3"/>
  <c r="AU4" i="3"/>
  <c r="AV4" i="3"/>
  <c r="AW4" i="3"/>
  <c r="AX4" i="3"/>
  <c r="AY4" i="3"/>
  <c r="AM4" i="3"/>
  <c r="AL3" i="3"/>
  <c r="AK3" i="3"/>
  <c r="AY13" i="3"/>
  <c r="AN13" i="3"/>
  <c r="AO13" i="3"/>
  <c r="AP13" i="3"/>
  <c r="AQ13" i="3"/>
  <c r="AR13" i="3"/>
  <c r="AS13" i="3"/>
  <c r="AT13" i="3"/>
  <c r="AU13" i="3"/>
  <c r="AV13" i="3"/>
  <c r="AW13" i="3"/>
  <c r="AX13" i="3"/>
  <c r="AZ30" i="3" l="1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AL24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J17" i="3"/>
  <c r="AY11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L4" i="3"/>
  <c r="AY10" i="3"/>
  <c r="AY12" i="3" s="1"/>
  <c r="AK24" i="3"/>
  <c r="AI18" i="3"/>
  <c r="AJ18" i="3"/>
  <c r="AI17" i="3"/>
  <c r="AX11" i="3"/>
  <c r="AX10" i="3"/>
  <c r="AX12" i="3" s="1"/>
  <c r="AK4" i="3"/>
  <c r="AJ3" i="3"/>
  <c r="AJ24" i="3"/>
  <c r="AY30" i="3" l="1"/>
  <c r="AX30" i="3"/>
  <c r="AW30" i="3"/>
  <c r="AH17" i="3"/>
  <c r="AW11" i="3"/>
  <c r="AW10" i="3"/>
  <c r="AW12" i="3" s="1"/>
  <c r="AJ4" i="3"/>
  <c r="AI3" i="3"/>
  <c r="AG24" i="3" l="1"/>
  <c r="AH24" i="3"/>
  <c r="AI24" i="3"/>
  <c r="AF18" i="3"/>
  <c r="AG18" i="3"/>
  <c r="AH18" i="3"/>
  <c r="AG17" i="3"/>
  <c r="AF17" i="3"/>
  <c r="AE17" i="3"/>
  <c r="AD17" i="3"/>
  <c r="AV11" i="3"/>
  <c r="AK10" i="3"/>
  <c r="AL10" i="3"/>
  <c r="AM10" i="3"/>
  <c r="AN10" i="3"/>
  <c r="AN12" i="3" s="1"/>
  <c r="AO10" i="3"/>
  <c r="AO12" i="3" s="1"/>
  <c r="AP10" i="3"/>
  <c r="AP12" i="3" s="1"/>
  <c r="AQ10" i="3"/>
  <c r="AQ12" i="3" s="1"/>
  <c r="AR10" i="3"/>
  <c r="AR12" i="3" s="1"/>
  <c r="AS10" i="3"/>
  <c r="AS12" i="3" s="1"/>
  <c r="AT10" i="3"/>
  <c r="AT12" i="3" s="1"/>
  <c r="AU10" i="3"/>
  <c r="AU12" i="3" s="1"/>
  <c r="AV10" i="3"/>
  <c r="AV12" i="3" s="1"/>
  <c r="AJ10" i="3"/>
  <c r="AI4" i="3"/>
  <c r="AI10" i="3" s="1"/>
  <c r="AH3" i="3"/>
  <c r="AU11" i="3"/>
  <c r="AH4" i="3"/>
  <c r="AH10" i="3" s="1"/>
  <c r="AG4" i="3"/>
  <c r="AG10" i="3" s="1"/>
  <c r="AG12" i="3" s="1"/>
  <c r="AF4" i="3"/>
  <c r="AF10" i="3" s="1"/>
  <c r="AF12" i="3" s="1"/>
  <c r="AE4" i="3"/>
  <c r="AE10" i="3" s="1"/>
  <c r="AE12" i="3" s="1"/>
  <c r="AD4" i="3"/>
  <c r="AD10" i="3" s="1"/>
  <c r="AD12" i="3" s="1"/>
  <c r="AC4" i="3"/>
  <c r="AC10" i="3" s="1"/>
  <c r="AC12" i="3" s="1"/>
  <c r="AB4" i="3"/>
  <c r="AB10" i="3" s="1"/>
  <c r="AB12" i="3" s="1"/>
  <c r="AA4" i="3"/>
  <c r="AA10" i="3" s="1"/>
  <c r="AA12" i="3" s="1"/>
  <c r="Z4" i="3"/>
  <c r="Z10" i="3" s="1"/>
  <c r="Z12" i="3" s="1"/>
  <c r="Y4" i="3"/>
  <c r="Y10" i="3" s="1"/>
  <c r="Y12" i="3" s="1"/>
  <c r="X4" i="3"/>
  <c r="X10" i="3" s="1"/>
  <c r="X12" i="3" s="1"/>
  <c r="W4" i="3"/>
  <c r="W10" i="3" s="1"/>
  <c r="W12" i="3" s="1"/>
  <c r="V4" i="3"/>
  <c r="V10" i="3" s="1"/>
  <c r="V12" i="3" s="1"/>
  <c r="U4" i="3"/>
  <c r="U10" i="3" s="1"/>
  <c r="U12" i="3" s="1"/>
  <c r="T4" i="3"/>
  <c r="T10" i="3" s="1"/>
  <c r="T12" i="3" s="1"/>
  <c r="S4" i="3"/>
  <c r="S10" i="3" s="1"/>
  <c r="S12" i="3" s="1"/>
  <c r="R4" i="3"/>
  <c r="R10" i="3" s="1"/>
  <c r="R12" i="3" s="1"/>
  <c r="Q4" i="3"/>
  <c r="Q10" i="3" s="1"/>
  <c r="Q12" i="3" s="1"/>
  <c r="P4" i="3"/>
  <c r="P10" i="3" s="1"/>
  <c r="P12" i="3" s="1"/>
  <c r="O4" i="3"/>
  <c r="O10" i="3" s="1"/>
  <c r="O12" i="3" s="1"/>
  <c r="N4" i="3"/>
  <c r="N10" i="3" s="1"/>
  <c r="N12" i="3" s="1"/>
  <c r="M4" i="3"/>
  <c r="M10" i="3" s="1"/>
  <c r="M12" i="3" s="1"/>
  <c r="L4" i="3"/>
  <c r="L10" i="3" s="1"/>
  <c r="L12" i="3" s="1"/>
  <c r="K4" i="3"/>
  <c r="K10" i="3" s="1"/>
  <c r="K12" i="3" s="1"/>
  <c r="J4" i="3"/>
  <c r="J10" i="3" s="1"/>
  <c r="J12" i="3" s="1"/>
  <c r="I4" i="3"/>
  <c r="I10" i="3" s="1"/>
  <c r="I12" i="3" s="1"/>
  <c r="H4" i="3"/>
  <c r="H10" i="3" s="1"/>
  <c r="H12" i="3" s="1"/>
  <c r="G4" i="3"/>
  <c r="G10" i="3" s="1"/>
  <c r="G12" i="3" s="1"/>
  <c r="F4" i="3"/>
  <c r="F10" i="3" s="1"/>
  <c r="F12" i="3" s="1"/>
  <c r="E4" i="3"/>
  <c r="E10" i="3" s="1"/>
  <c r="E12" i="3" s="1"/>
  <c r="AT11" i="3"/>
  <c r="AG3" i="3"/>
  <c r="AF24" i="3"/>
  <c r="AE18" i="3"/>
  <c r="AS11" i="3"/>
  <c r="AF3" i="3"/>
  <c r="AE3" i="3"/>
  <c r="AR11" i="3"/>
  <c r="AD18" i="3"/>
  <c r="AC17" i="3"/>
  <c r="AM12" i="3" l="1"/>
  <c r="AM11" i="3"/>
  <c r="AM13" i="3" s="1"/>
  <c r="AL12" i="3"/>
  <c r="AL11" i="3"/>
  <c r="AL13" i="3" s="1"/>
  <c r="AJ11" i="3"/>
  <c r="AJ13" i="3" s="1"/>
  <c r="AJ12" i="3"/>
  <c r="AH11" i="3"/>
  <c r="AH13" i="3" s="1"/>
  <c r="AH12" i="3"/>
  <c r="AK11" i="3"/>
  <c r="AK13" i="3" s="1"/>
  <c r="AK12" i="3"/>
  <c r="AI11" i="3"/>
  <c r="AI13" i="3" s="1"/>
  <c r="AI12" i="3"/>
  <c r="AV30" i="3"/>
  <c r="AU30" i="3"/>
  <c r="AT30" i="3"/>
  <c r="AE24" i="3"/>
  <c r="AE11" i="3"/>
  <c r="AE13" i="3" s="1"/>
  <c r="AD24" i="3"/>
  <c r="AC18" i="3"/>
  <c r="AB17" i="3"/>
  <c r="AQ11" i="3"/>
  <c r="AF11" i="3"/>
  <c r="AF13" i="3" s="1"/>
  <c r="AG11" i="3"/>
  <c r="AG13" i="3" s="1"/>
  <c r="AD3" i="3"/>
  <c r="AD11" i="3" s="1"/>
  <c r="AD13" i="3" s="1"/>
  <c r="AC24" i="3"/>
  <c r="Z18" i="3"/>
  <c r="AA18" i="3"/>
  <c r="AB18" i="3"/>
  <c r="Z17" i="3"/>
  <c r="AA17" i="3"/>
  <c r="Y17" i="3"/>
  <c r="AP11" i="3"/>
  <c r="AB3" i="3"/>
  <c r="AC3" i="3"/>
  <c r="AC11" i="3" s="1"/>
  <c r="AC13" i="3" s="1"/>
  <c r="AN11" i="3"/>
  <c r="AO11" i="3"/>
  <c r="AB24" i="3"/>
  <c r="AB8" i="3"/>
  <c r="C7" i="3"/>
  <c r="C6" i="3"/>
  <c r="C5" i="3"/>
  <c r="AA24" i="3"/>
  <c r="AA8" i="3"/>
  <c r="Z3" i="3"/>
  <c r="AA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E3" i="3"/>
  <c r="U18" i="3"/>
  <c r="V18" i="3"/>
  <c r="W18" i="3"/>
  <c r="X18" i="3"/>
  <c r="Y18" i="3"/>
  <c r="V17" i="3"/>
  <c r="W17" i="3"/>
  <c r="X17" i="3"/>
  <c r="X24" i="3"/>
  <c r="Y24" i="3"/>
  <c r="Z24" i="3"/>
  <c r="X8" i="3"/>
  <c r="Y8" i="3"/>
  <c r="Z8" i="3"/>
  <c r="V24" i="3"/>
  <c r="W24" i="3"/>
  <c r="S18" i="3"/>
  <c r="T18" i="3"/>
  <c r="S17" i="3"/>
  <c r="T17" i="3"/>
  <c r="U17" i="3"/>
  <c r="V8" i="3"/>
  <c r="W8" i="3"/>
  <c r="U24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50" i="3"/>
  <c r="W48" i="3"/>
  <c r="X48" i="3"/>
  <c r="Y48" i="3"/>
  <c r="Z48" i="3"/>
  <c r="AA48" i="3"/>
  <c r="AB48" i="3"/>
  <c r="AC48" i="3"/>
  <c r="AD48" i="3"/>
  <c r="AE48" i="3"/>
  <c r="AF48" i="3"/>
  <c r="AG48" i="3"/>
  <c r="AH48" i="3"/>
  <c r="V48" i="3"/>
  <c r="V47" i="3"/>
  <c r="W47" i="3"/>
  <c r="X47" i="3"/>
  <c r="Y47" i="3"/>
  <c r="Z47" i="3"/>
  <c r="AA47" i="3"/>
  <c r="AB47" i="3"/>
  <c r="AC47" i="3"/>
  <c r="AD47" i="3"/>
  <c r="AE47" i="3"/>
  <c r="AF47" i="3"/>
  <c r="AG47" i="3"/>
  <c r="U47" i="3"/>
  <c r="T48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U8" i="3"/>
  <c r="T24" i="3"/>
  <c r="AG50" i="3"/>
  <c r="T8" i="3"/>
  <c r="S24" i="3"/>
  <c r="R17" i="3"/>
  <c r="R46" i="3"/>
  <c r="AF50" i="3"/>
  <c r="AF46" i="3"/>
  <c r="S8" i="3"/>
  <c r="R24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E50" i="3"/>
  <c r="AE46" i="3"/>
  <c r="Q46" i="3"/>
  <c r="AD46" i="3"/>
  <c r="AC46" i="3"/>
  <c r="AB46" i="3"/>
  <c r="AA46" i="3"/>
  <c r="Z46" i="3"/>
  <c r="Y46" i="3"/>
  <c r="X46" i="3"/>
  <c r="W46" i="3"/>
  <c r="V46" i="3"/>
  <c r="U46" i="3"/>
  <c r="T46" i="3"/>
  <c r="P46" i="3"/>
  <c r="O46" i="3"/>
  <c r="N46" i="3"/>
  <c r="M46" i="3"/>
  <c r="L46" i="3"/>
  <c r="K46" i="3"/>
  <c r="J46" i="3"/>
  <c r="I46" i="3"/>
  <c r="H46" i="3"/>
  <c r="G46" i="3"/>
  <c r="F46" i="3"/>
  <c r="E46" i="3"/>
  <c r="R8" i="3"/>
  <c r="Q24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Q8" i="3"/>
  <c r="P24" i="3"/>
  <c r="P8" i="3"/>
  <c r="E24" i="3"/>
  <c r="F24" i="3"/>
  <c r="G24" i="3"/>
  <c r="H24" i="3"/>
  <c r="I24" i="3"/>
  <c r="J24" i="3"/>
  <c r="K24" i="3"/>
  <c r="L24" i="3"/>
  <c r="M24" i="3"/>
  <c r="N24" i="3"/>
  <c r="O24" i="3"/>
  <c r="O8" i="3"/>
  <c r="BN161" i="1"/>
  <c r="BN162" i="1"/>
  <c r="BN163" i="1" s="1"/>
  <c r="BN164" i="1" s="1"/>
  <c r="N8" i="3"/>
  <c r="M8" i="3"/>
  <c r="L8" i="3"/>
  <c r="K8" i="3"/>
  <c r="J8" i="3"/>
  <c r="I8" i="3"/>
  <c r="H8" i="3"/>
  <c r="G8" i="3"/>
  <c r="F8" i="3"/>
  <c r="E8" i="3"/>
  <c r="AR30" i="3" l="1"/>
  <c r="AS30" i="3"/>
  <c r="AQ30" i="3"/>
  <c r="J11" i="3"/>
  <c r="J13" i="3" s="1"/>
  <c r="R11" i="3"/>
  <c r="R13" i="3" s="1"/>
  <c r="Z11" i="3"/>
  <c r="Z13" i="3" s="1"/>
  <c r="K11" i="3"/>
  <c r="K13" i="3" s="1"/>
  <c r="S11" i="3"/>
  <c r="S13" i="3" s="1"/>
  <c r="H11" i="3"/>
  <c r="H13" i="3" s="1"/>
  <c r="P11" i="3"/>
  <c r="P13" i="3" s="1"/>
  <c r="X11" i="3"/>
  <c r="X13" i="3" s="1"/>
  <c r="AP30" i="3"/>
  <c r="AA11" i="3"/>
  <c r="AA13" i="3" s="1"/>
  <c r="M11" i="3"/>
  <c r="M13" i="3" s="1"/>
  <c r="U11" i="3"/>
  <c r="U13" i="3" s="1"/>
  <c r="G11" i="3"/>
  <c r="G13" i="3" s="1"/>
  <c r="O11" i="3"/>
  <c r="O13" i="3" s="1"/>
  <c r="W11" i="3"/>
  <c r="W13" i="3" s="1"/>
  <c r="AB11" i="3"/>
  <c r="AB13" i="3" s="1"/>
  <c r="F11" i="3"/>
  <c r="F13" i="3" s="1"/>
  <c r="N11" i="3"/>
  <c r="N13" i="3" s="1"/>
  <c r="V11" i="3"/>
  <c r="V13" i="3" s="1"/>
  <c r="I11" i="3"/>
  <c r="I13" i="3" s="1"/>
  <c r="Q11" i="3"/>
  <c r="Q13" i="3" s="1"/>
  <c r="Y11" i="3"/>
  <c r="Y13" i="3" s="1"/>
  <c r="L11" i="3"/>
  <c r="L13" i="3" s="1"/>
  <c r="T11" i="3"/>
  <c r="T13" i="3" s="1"/>
  <c r="E11" i="3"/>
  <c r="E13" i="3" s="1"/>
  <c r="AO30" i="3"/>
  <c r="AN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C30" authorId="0" shapeId="0" xr:uid="{0D0DE2F0-B19C-452D-AE20-AE05DEA4D220}">
      <text>
        <r>
          <rPr>
            <sz val="9"/>
            <color indexed="81"/>
            <rFont val="Tahoma"/>
            <family val="2"/>
          </rPr>
          <t>DLX ERROR: code/database not found.</t>
        </r>
      </text>
    </comment>
    <comment ref="C31" authorId="0" shapeId="0" xr:uid="{1105E59D-55C8-4993-AD94-C0B580110769}">
      <text>
        <r>
          <rPr>
            <sz val="9"/>
            <color indexed="81"/>
            <rFont val="Tahoma"/>
            <family val="2"/>
          </rPr>
          <t>DLX ERROR: code/database not found.</t>
        </r>
      </text>
    </comment>
  </commentList>
</comments>
</file>

<file path=xl/sharedStrings.xml><?xml version="1.0" encoding="utf-8"?>
<sst xmlns="http://schemas.openxmlformats.org/spreadsheetml/2006/main" count="1770" uniqueCount="1221">
  <si>
    <t>20051 !Q</t>
  </si>
  <si>
    <t>.DESC</t>
  </si>
  <si>
    <t>.T1</t>
  </si>
  <si>
    <t>.TN</t>
  </si>
  <si>
    <t>.SOURCE</t>
  </si>
  <si>
    <t>.DTLM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</si>
  <si>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</si>
  <si>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</si>
  <si>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</si>
  <si>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</si>
  <si>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</si>
  <si>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</si>
  <si>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</si>
  <si>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</si>
  <si>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</si>
  <si>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</si>
  <si>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</si>
  <si>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</si>
  <si>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</si>
  <si>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</si>
  <si>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</si>
  <si>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</si>
  <si>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</si>
  <si>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</si>
  <si>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</si>
  <si>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</si>
  <si>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</si>
  <si>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</si>
  <si>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</si>
  <si>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</si>
  <si>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</si>
  <si>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</si>
  <si>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</si>
  <si>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</si>
  <si>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</si>
  <si>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</si>
  <si>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</si>
  <si>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</si>
  <si>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</si>
  <si>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</si>
  <si>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</si>
  <si>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</si>
  <si>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</si>
  <si>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</si>
  <si>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</si>
  <si>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</si>
  <si>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</si>
  <si>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</si>
  <si>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</si>
  <si>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</si>
  <si>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</si>
  <si>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</si>
  <si>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</si>
  <si>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</si>
  <si>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</si>
  <si>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</si>
  <si>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</si>
  <si>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</si>
  <si>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</si>
  <si>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</si>
  <si>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</si>
  <si>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</si>
  <si>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</si>
  <si>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</si>
  <si>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</si>
  <si>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</si>
  <si>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</si>
  <si>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</si>
  <si>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</si>
  <si>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</si>
  <si>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GDP backcast</t>
  </si>
  <si>
    <t>UNGB172@UK</t>
  </si>
  <si>
    <t>UNGB173@UK</t>
  </si>
  <si>
    <t>UNGB174@UK</t>
  </si>
  <si>
    <t>GDP fcst</t>
  </si>
  <si>
    <t>UNGD172@UK</t>
  </si>
  <si>
    <t>UNGD173@UK</t>
  </si>
  <si>
    <t>UNGD174@UK</t>
  </si>
  <si>
    <t>CPI history</t>
  </si>
  <si>
    <t>D7BT@UK</t>
  </si>
  <si>
    <t>CPI fcst</t>
  </si>
  <si>
    <t>UNPD172@UK</t>
  </si>
  <si>
    <t>UNPD173@UK</t>
  </si>
  <si>
    <t>UNPD174@UK</t>
  </si>
  <si>
    <t>Inflation forecast</t>
  </si>
  <si>
    <t>Oxford Economics</t>
  </si>
  <si>
    <t>Historical</t>
  </si>
  <si>
    <t>ZERO LINE</t>
  </si>
  <si>
    <t>2% LINE</t>
  </si>
  <si>
    <t>GDP forecast</t>
  </si>
  <si>
    <t>ILO unemployment forecast</t>
  </si>
  <si>
    <t>Unemployment history</t>
  </si>
  <si>
    <t>Unemployment fcst</t>
  </si>
  <si>
    <t>MGSXQ@UK</t>
  </si>
  <si>
    <t>UNUMD172@UK</t>
  </si>
  <si>
    <t>UNUMD173@UK</t>
  </si>
  <si>
    <t>UNUMD174@UK</t>
  </si>
  <si>
    <t>Equilibrium</t>
  </si>
  <si>
    <t>RCB history</t>
  </si>
  <si>
    <t>RCB fcst</t>
  </si>
  <si>
    <t>agg(R112RD@INTDAILY,EOP)</t>
  </si>
  <si>
    <t>UKVCP172@UK</t>
  </si>
  <si>
    <t>UKVCP173@UK</t>
  </si>
  <si>
    <t>UKVCP174@UK</t>
  </si>
  <si>
    <t>20211</t>
  </si>
  <si>
    <t>Trend growth</t>
  </si>
  <si>
    <t>UNGD@UK</t>
  </si>
  <si>
    <t>UNPD@UK</t>
  </si>
  <si>
    <t>UNUMD@UK</t>
  </si>
  <si>
    <t>UKVCP@UK</t>
  </si>
  <si>
    <t>20212</t>
  </si>
  <si>
    <t>UNGB181@UK</t>
  </si>
  <si>
    <t>UNGD181@UK</t>
  </si>
  <si>
    <t>UNPD181@UK</t>
  </si>
  <si>
    <t>UNUMD181@UK</t>
  </si>
  <si>
    <t>UKVCP181@UK</t>
  </si>
  <si>
    <t>Market conditioning path for interest rates</t>
  </si>
  <si>
    <t>UNGB182@UK</t>
  </si>
  <si>
    <t>UNGD182@UK</t>
  </si>
  <si>
    <t>UNPD182@UK</t>
  </si>
  <si>
    <t>UNUMD182@UK</t>
  </si>
  <si>
    <t>UKVCP182@UK</t>
  </si>
  <si>
    <t>20213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</si>
  <si>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</si>
  <si>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</si>
  <si>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</si>
  <si>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</si>
  <si>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</si>
  <si>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</si>
  <si>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</si>
  <si>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</si>
  <si>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</si>
  <si>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</si>
  <si>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</si>
  <si>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</si>
  <si>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</si>
  <si>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</si>
  <si>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</si>
  <si>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</si>
  <si>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</si>
  <si>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</si>
  <si>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</si>
  <si>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</si>
  <si>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</si>
  <si>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</si>
  <si>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</si>
  <si>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</si>
  <si>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</si>
  <si>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</si>
  <si>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</si>
  <si>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</si>
  <si>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</si>
  <si>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</si>
  <si>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</si>
  <si>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</si>
  <si>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</si>
  <si>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</si>
  <si>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</si>
  <si>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</si>
  <si>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</si>
  <si>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</si>
  <si>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</si>
  <si>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</si>
  <si>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</si>
  <si>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</si>
  <si>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</si>
  <si>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</si>
  <si>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</si>
  <si>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</si>
  <si>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</si>
  <si>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</si>
  <si>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</si>
  <si>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</si>
  <si>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</si>
  <si>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</si>
  <si>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</si>
  <si>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</si>
  <si>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</si>
  <si>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</si>
  <si>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</si>
  <si>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</si>
  <si>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</si>
  <si>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</si>
  <si>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</si>
  <si>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</si>
  <si>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</si>
  <si>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</si>
  <si>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</si>
  <si>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</si>
  <si>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</si>
  <si>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</si>
  <si>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</si>
  <si>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</si>
  <si>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</si>
  <si>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</si>
  <si>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</si>
  <si>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</si>
  <si>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</si>
  <si>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</si>
  <si>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</si>
  <si>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</si>
  <si>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</si>
  <si>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</si>
  <si>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</si>
  <si>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</si>
  <si>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</si>
  <si>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</si>
  <si>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</si>
  <si>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</si>
  <si>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</si>
  <si>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</si>
  <si>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</si>
  <si>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</si>
  <si>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</si>
  <si>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</si>
  <si>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</si>
  <si>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</si>
  <si>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</si>
  <si>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</si>
  <si>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</si>
  <si>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</si>
  <si>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</si>
  <si>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</si>
  <si>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</si>
  <si>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</si>
  <si>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</si>
  <si>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</si>
  <si>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</si>
  <si>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</si>
  <si>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</si>
  <si>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</si>
  <si>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</si>
  <si>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</si>
  <si>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</si>
  <si>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</si>
  <si>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</si>
  <si>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</si>
  <si>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</si>
  <si>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</si>
  <si>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</si>
  <si>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</si>
  <si>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</si>
  <si>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</si>
  <si>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</si>
  <si>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</si>
  <si>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</si>
  <si>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</si>
  <si>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</si>
  <si>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</si>
  <si>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</si>
  <si>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</si>
  <si>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</si>
  <si>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</si>
  <si>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</si>
  <si>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</si>
  <si>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</si>
  <si>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</si>
  <si>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</si>
  <si>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</si>
  <si>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</si>
  <si>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</si>
  <si>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</si>
  <si>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</si>
  <si>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</si>
  <si>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</si>
  <si>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</si>
  <si>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</si>
  <si>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</si>
  <si>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</si>
  <si>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</si>
  <si>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</si>
  <si>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</si>
  <si>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</si>
  <si>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</si>
  <si>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</si>
  <si>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</si>
  <si>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</si>
  <si>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</si>
  <si>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</si>
  <si>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</si>
  <si>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</si>
  <si>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</si>
  <si>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</si>
  <si>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</si>
  <si>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</si>
  <si>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</si>
  <si>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</si>
  <si>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</si>
  <si>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</si>
  <si>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</si>
  <si>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</si>
  <si>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</si>
  <si>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</si>
  <si>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</si>
  <si>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</si>
  <si>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</si>
  <si>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</si>
  <si>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</si>
  <si>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</si>
  <si>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</si>
  <si>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</si>
  <si>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</si>
  <si>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</si>
  <si>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</si>
  <si>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</si>
  <si>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</si>
  <si>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</si>
  <si>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</si>
  <si>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</si>
  <si>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</si>
  <si>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</si>
  <si>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</si>
  <si>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</si>
  <si>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</si>
  <si>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</si>
  <si>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</si>
  <si>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</si>
  <si>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</si>
  <si>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</si>
  <si>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</si>
  <si>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</si>
  <si>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</si>
  <si>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</si>
  <si>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</si>
  <si>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</si>
  <si>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</si>
  <si>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</si>
  <si>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</si>
  <si>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</si>
  <si>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</si>
  <si>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</si>
  <si>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</si>
  <si>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</si>
  <si>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</si>
  <si>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</si>
  <si>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</si>
  <si>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</si>
  <si>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</si>
  <si>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</si>
  <si>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</si>
  <si>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</si>
  <si>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</si>
  <si>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</si>
  <si>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</si>
  <si>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</si>
  <si>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</si>
  <si>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</si>
  <si>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</si>
  <si>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</si>
  <si>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</si>
  <si>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</si>
  <si>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</si>
  <si>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</si>
  <si>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</si>
  <si>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</si>
  <si>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</si>
  <si>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</si>
  <si>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</si>
  <si>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</si>
  <si>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</si>
  <si>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</si>
  <si>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</si>
  <si>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</si>
  <si>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</si>
  <si>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</si>
  <si>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</si>
  <si>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</si>
  <si>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</si>
  <si>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</si>
  <si>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</si>
  <si>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</si>
  <si>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</si>
  <si>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</si>
  <si>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</si>
  <si>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</si>
  <si>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</si>
  <si>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</si>
  <si>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</si>
  <si>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</si>
  <si>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</si>
  <si>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</si>
  <si>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</si>
  <si>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</si>
  <si>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</si>
  <si>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</si>
  <si>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</si>
  <si>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</si>
  <si>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</si>
  <si>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</si>
  <si>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</si>
  <si>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</si>
  <si>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</si>
  <si>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</si>
  <si>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</si>
  <si>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</si>
  <si>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</si>
  <si>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</si>
  <si>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</si>
  <si>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</si>
  <si>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</si>
  <si>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</si>
  <si>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</si>
  <si>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</si>
  <si>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</si>
  <si>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</si>
  <si>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</si>
  <si>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</si>
  <si>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</si>
  <si>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</si>
  <si>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</si>
  <si>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</si>
  <si>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</si>
  <si>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</si>
  <si>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</si>
  <si>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</si>
  <si>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</si>
  <si>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</si>
  <si>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</si>
  <si>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</si>
  <si>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</si>
  <si>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</si>
  <si>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</si>
  <si>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</si>
  <si>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</si>
  <si>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</si>
  <si>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</si>
  <si>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</si>
  <si>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</si>
  <si>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</si>
  <si>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</si>
  <si>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</si>
  <si>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</si>
  <si>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</si>
  <si>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</si>
  <si>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</si>
  <si>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</si>
  <si>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</si>
  <si>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</si>
  <si>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</si>
  <si>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</si>
  <si>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</si>
  <si>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</si>
  <si>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</si>
  <si>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</si>
  <si>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</si>
  <si>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</si>
  <si>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</si>
  <si>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</si>
  <si>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</si>
  <si>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</si>
  <si>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</si>
  <si>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</si>
  <si>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</si>
  <si>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</si>
  <si>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</si>
  <si>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Pound</t>
  </si>
  <si>
    <t>Level</t>
  </si>
  <si>
    <t>Office for National Statistics\Haver Analytics</t>
  </si>
  <si>
    <t>NA</t>
  </si>
  <si>
    <t>ABMIQ@UK</t>
  </si>
  <si>
    <t>GBR</t>
  </si>
  <si>
    <t>GDP</t>
  </si>
  <si>
    <t>Desktop</t>
  </si>
  <si>
    <t>Consumer price index</t>
  </si>
  <si>
    <t>2015=100</t>
  </si>
  <si>
    <t xml:space="preserve">UK: Consumer Price Index: All Items (NSA, 2015=100) </t>
  </si>
  <si>
    <t>CPI</t>
  </si>
  <si>
    <t>Unemployment rate, ILO definition</t>
  </si>
  <si>
    <t>%</t>
  </si>
  <si>
    <t xml:space="preserve">UK: LFS: Unemployment Rate: Aged 16 and Over (SA, %) </t>
  </si>
  <si>
    <t>UPILO</t>
  </si>
  <si>
    <t>Interest rate, central bank policy, end of period</t>
  </si>
  <si>
    <t>Bank of England \Haver Analytics</t>
  </si>
  <si>
    <t>United Kingdom: Official Bank Rate (%) ,EOP</t>
  </si>
  <si>
    <t>RCBEOP</t>
  </si>
  <si>
    <t>UNGB183@UK</t>
  </si>
  <si>
    <t>UNGD183@UK</t>
  </si>
  <si>
    <t>UNPD183@UK</t>
  </si>
  <si>
    <t>UKVCP183@UK</t>
  </si>
  <si>
    <t>UNUMD183@UK</t>
  </si>
  <si>
    <t>May-11-2017 13:50</t>
  </si>
  <si>
    <t>BoE</t>
  </si>
  <si>
    <t>Q1-2017</t>
  </si>
  <si>
    <t>Q3-2009</t>
  </si>
  <si>
    <t>UK: BoE MPC Backcasts of GDP Growth: [May 2017] Real GDP (SA, Y/Y % Change)</t>
  </si>
  <si>
    <t>Aug-03-2017 15:19</t>
  </si>
  <si>
    <t>Q2-2017</t>
  </si>
  <si>
    <t>Q4-2009</t>
  </si>
  <si>
    <t>UK: BoE MPC Backcasts of GDP Growth: [Aug 2017] Real GDP (SA, Y/Y % Change)</t>
  </si>
  <si>
    <t>Nov-02-2017 14:14</t>
  </si>
  <si>
    <t>Q3-2017</t>
  </si>
  <si>
    <t>Q1-2010</t>
  </si>
  <si>
    <t>UK: BoE MPC Backcasts of GDP Growth: [Nov 2017] Real GDP (SA, Y/Y % Change)</t>
  </si>
  <si>
    <t>Feb-08-2018 15:38</t>
  </si>
  <si>
    <t>Q4-2017</t>
  </si>
  <si>
    <t>Q2-2010</t>
  </si>
  <si>
    <t>UK: BoE MPC Backcasts of GDP Growth: [February 2018] Real GDP (SA, Y/Y % Change)</t>
  </si>
  <si>
    <t>May-10-2018 13:09</t>
  </si>
  <si>
    <t>Q1-2018</t>
  </si>
  <si>
    <t>Q3-2010</t>
  </si>
  <si>
    <t>UK: BoE MPC Backcasts of GDP Growth: [May 2018] Real GDP (SA, Y/Y % Change)</t>
  </si>
  <si>
    <t>Aug-02-2018 15:07</t>
  </si>
  <si>
    <t>Q4-2010</t>
  </si>
  <si>
    <t>UK: BoE MPC Backcasts of GDP Growth: [Aug 2018] Real GDP (SA, Y/Y % Change)</t>
  </si>
  <si>
    <t>UK: BoE MPC Backcasts of GDP Growth: Real GDP (SA, Y/Y % Change)</t>
  </si>
  <si>
    <t>May-11-2017 13:48</t>
  </si>
  <si>
    <t>Q2-2020</t>
  </si>
  <si>
    <t>UK: BoE GDP Proj Based on Expected Interest Rate [Q2-17]: Mode-DISC(Y/Y % Chg)</t>
  </si>
  <si>
    <t>Aug-03-2017 15:42</t>
  </si>
  <si>
    <t>Q3-2020</t>
  </si>
  <si>
    <t>UK: BoE GDP Proj Based on Expected Interest Rate [Q3-17]: Mode-DISC(Y/Y % Chg)</t>
  </si>
  <si>
    <t>Nov-02-2017 14:11</t>
  </si>
  <si>
    <t>Q4-2020</t>
  </si>
  <si>
    <t>UK: BoE GDP Proj Based on Expected Interest Rate [Q4-17]: Mode(Y/Y % Chg)</t>
  </si>
  <si>
    <t>Feb-08-2018 15:57</t>
  </si>
  <si>
    <t>Q1-2021</t>
  </si>
  <si>
    <t>UK: BoE GDP Proj Based on Expected Interest Rate [Q1-18]: Mode(Y/Y % Chg)</t>
  </si>
  <si>
    <t>May-10-2018 15:03</t>
  </si>
  <si>
    <t>Q2-2021</t>
  </si>
  <si>
    <t>Q2-2018</t>
  </si>
  <si>
    <t>UK: BoE GDP Proj Based on Expected Interest Rate [Q2-18]: Mode(Y/Y % Chg)</t>
  </si>
  <si>
    <t>Aug-02-2018 14:57</t>
  </si>
  <si>
    <t>Q3-2021</t>
  </si>
  <si>
    <t>Q3-2018</t>
  </si>
  <si>
    <t>UK: BoE GDP Proj Based on Expected Interest Rate [Q3-18]: Mode(Y/Y % Chg)</t>
  </si>
  <si>
    <t>ONS</t>
  </si>
  <si>
    <t>UK: Consumer Price Index: All Items (NSA, 2015=100)</t>
  </si>
  <si>
    <t>UK: BoE CPI Proj Based on Expected Interest Rate [Q2-17]: Mode-DISC(Y/Y % Chg)</t>
  </si>
  <si>
    <t>UK: BoE CPI Proj Based on Expected Interest Rate [Q3-17]: Mode-DISC(Y/Y % Chg)</t>
  </si>
  <si>
    <t>UK: BoE CPI Proj Based on Expected Interest Rate [Q4-17]: Mode(Y/Y % Chg)</t>
  </si>
  <si>
    <t>UK: BoE CPI Proj Based on Expected Interest Rate [Q1-18]: Mode(Y/Y % Chg)</t>
  </si>
  <si>
    <t>UK: BoE CPI Proj Based on Expected Interest Rate [Q2-18]: Mode(Y/Y % Chg)</t>
  </si>
  <si>
    <t>UK: BoE CPI Proj Based on Expected Interest Rate [Q3-18]: Mode(Y/Y % Chg)</t>
  </si>
  <si>
    <t>UK: BoE CPI Projections Based on Expected Interest Rate: Mode (Y/Y % Chg)</t>
  </si>
  <si>
    <t>Q1-1971</t>
  </si>
  <si>
    <t>UK: LFS: Unemployment Rate: Aged 16 and Over (SA, %)</t>
  </si>
  <si>
    <t>UK: BoE Proj Unemployment Rate Based on Expected Int Rate [Q2-17]: Mode (SA, %)</t>
  </si>
  <si>
    <t>UK: BoE Proj Unemployment Rate Based on Expected Int Rate [Q3-17]: Mode (SA, %)</t>
  </si>
  <si>
    <t>UK: BoE Proj Unemployment Rate Based on Expected Int Rate [Q4-17]: Mode (SA, %)</t>
  </si>
  <si>
    <t>UK: BoE Proj Unemployment Rate Based on Expected Int Rate [Q1-18]: Mode (SA, %)</t>
  </si>
  <si>
    <t>UK: BoE Proj Unemployment Rate Based on Expected Int Rate [Q2-18]: Mode (SA, %)</t>
  </si>
  <si>
    <t>UK: BoE Proj Unemployment Rate Based on Expected Int Rate [Q3-18]: Mode (SA, %)</t>
  </si>
  <si>
    <t>UK: BoE Projected Unemployment Rate Based on Expected Interest Rate: Mode(SA, %)</t>
  </si>
  <si>
    <t>United Kingdom: Official Bank Rate (%)</t>
  </si>
  <si>
    <t>May-11-2017 15:16</t>
  </si>
  <si>
    <t>UK: BOE Conditioning Path for Market Interest Rates [Q2-17] (%)</t>
  </si>
  <si>
    <t>Aug-03-2017 12:28</t>
  </si>
  <si>
    <t>UK: BOE Conditioning Path for Market Interest Rates [Q3-17] (%)</t>
  </si>
  <si>
    <t>Nov-02-2017 14:16</t>
  </si>
  <si>
    <t>UK: BOE Conditioning Path for Market Interest Rates [Q4-17] (%)</t>
  </si>
  <si>
    <t>Feb-08-2018 15:36</t>
  </si>
  <si>
    <t>UK: BOE Conditioning Path for Market Interest Rates [Q1-18] (%)</t>
  </si>
  <si>
    <t>May-10-2018 12:32</t>
  </si>
  <si>
    <t>UK: BOE Conditioning Path for Market Interest Rates [Q2-18] (%)</t>
  </si>
  <si>
    <t>Aug-02-2018 15:16</t>
  </si>
  <si>
    <t>Q4-2021</t>
  </si>
  <si>
    <t>UK: BOE Conditioning Path for Market Interest Rates [Q3-18] (%)</t>
  </si>
  <si>
    <t>20214</t>
  </si>
  <si>
    <t>Bank Rate</t>
  </si>
  <si>
    <t>UNGB184@UK</t>
  </si>
  <si>
    <t>UNPD184@UK</t>
  </si>
  <si>
    <t>UNUMD184@UK</t>
  </si>
  <si>
    <t>UKVCP184@UK</t>
  </si>
  <si>
    <t>Nov-01-2018 14:59</t>
  </si>
  <si>
    <t>Q1-2011</t>
  </si>
  <si>
    <t>UK: BoE MPC Backcasts of GDP Growth: [Nov 2018] Real GDP (SA, Y/Y % Change)</t>
  </si>
  <si>
    <t>Nov-01-2018 15:04</t>
  </si>
  <si>
    <t>Q4-2018</t>
  </si>
  <si>
    <t>UK: BoE GDP Projections Based on Expected Int Rate [Q4-18]: Mode (Y/Y % Chg)</t>
  </si>
  <si>
    <t>UK: BoE CPI Projections Based on Expected Int Rate [Q4-18]: Mode (Y/Y % Chg)</t>
  </si>
  <si>
    <t>UK: BoE Projected Unemploy Rate Based on Expected Int Rate [Q4-18]: Mode(SA, %)</t>
  </si>
  <si>
    <t>Nov-01-2018 12:51</t>
  </si>
  <si>
    <t>Q1-2022</t>
  </si>
  <si>
    <t>UK: BOE Conditioning Path for Market Interest Rates [Q4-18] (%)</t>
  </si>
  <si>
    <t>20221</t>
  </si>
  <si>
    <t>UNGD184@UK</t>
  </si>
  <si>
    <t>UNGB191@UK</t>
  </si>
  <si>
    <t>UNGD191@UK</t>
  </si>
  <si>
    <t>UNPD191@UK</t>
  </si>
  <si>
    <t>UNUMD191@UK</t>
  </si>
  <si>
    <t>UKVCP191@UK</t>
  </si>
  <si>
    <t>Feb-07-2019 12:39</t>
  </si>
  <si>
    <t>Q2-2011</t>
  </si>
  <si>
    <t>UK: BoE MPC Backcasts of GDP Growth [Feb-19]: Real GDP(SA, Y/Y % Change)</t>
  </si>
  <si>
    <t>Q1-2019</t>
  </si>
  <si>
    <t>UK: BoE GDP Projects Bsd on Expected Interest Rate[Q1-19]: Mode(Y/Y % Chg)</t>
  </si>
  <si>
    <t>UK: BoE CPI Projects Bsd on Expected Interest Rate[Q1-19]: Mode(Y/Y % Chg)</t>
  </si>
  <si>
    <t>UK: BoE Proj Unemployment Rate Bsd on Expected Interest Rate[Q1-19]: Mode(SA, %)</t>
  </si>
  <si>
    <t>Q2-2022</t>
  </si>
  <si>
    <t>UK: BOE Conditioning Path for Market Interest Rates [Q1-19] (%)</t>
  </si>
  <si>
    <t>20222</t>
  </si>
  <si>
    <t>UNGB192@UK</t>
  </si>
  <si>
    <t>UNGD192@UK</t>
  </si>
  <si>
    <t>UNPD192@UK</t>
  </si>
  <si>
    <t>UNUMD192@UK</t>
  </si>
  <si>
    <t>UKVCP192@UK</t>
  </si>
  <si>
    <t>May-02-2019 12:20</t>
  </si>
  <si>
    <t>Q3-2011</t>
  </si>
  <si>
    <t>UK: BoE MPC Backcasts of GDP Growth: Real GDP [May 2019] (SA, Y/Y % Change)</t>
  </si>
  <si>
    <t>Q2-2019</t>
  </si>
  <si>
    <t>UK: BoE GDP Projections Based on Expected Interest Rate: Mode [Q2-19](Y/Y % Chg)</t>
  </si>
  <si>
    <t>UK: BoE CPI Proj Based on Expected Interest Rate: Mode [Q2-19] (Y/Y % Chg)</t>
  </si>
  <si>
    <t>UK: BoE Projected Unemp Rate Based on Expected Interest Rate: Mode[Q2-19](SA, %)</t>
  </si>
  <si>
    <t>Q3-2022</t>
  </si>
  <si>
    <t>UK: BOE Conditioning Path for Market Interest Rates [Q2-19] (%)</t>
  </si>
  <si>
    <t>20223</t>
  </si>
  <si>
    <t>UNGB193@UK</t>
  </si>
  <si>
    <t>UNGD193@UK</t>
  </si>
  <si>
    <t>UNPD193@UK</t>
  </si>
  <si>
    <t>UNUMD193@UK</t>
  </si>
  <si>
    <t>UKVCP193@UK</t>
  </si>
  <si>
    <t>Aug-01-2019 12:24</t>
  </si>
  <si>
    <t>Q4-2011</t>
  </si>
  <si>
    <t>UK: BoE MPC Backcasts of GDP Growth: Real GDP [Aug 19] (SA, Y/Y % Change)</t>
  </si>
  <si>
    <t>Q3-2019</t>
  </si>
  <si>
    <t>UK: BoE GDP Proj Based on Expected Interest Rate: Mode [Q3-19] (Y/Y % Chg)</t>
  </si>
  <si>
    <t>UK: BoE CPI Proj Based on Expected Interest Rate: Mode [Q3-19] (Y/Y % Chg)</t>
  </si>
  <si>
    <t>UK: BoE Projected Unemp Rate Based on Expected Interest Rate: Mode[Q3-19](SA, %)</t>
  </si>
  <si>
    <t>Q4-2022</t>
  </si>
  <si>
    <t>UK: BOE Conditioning Path for Market Interest Rates  [Q3-19] (%)</t>
  </si>
  <si>
    <t>20224</t>
  </si>
  <si>
    <t>BoE - Nov19</t>
  </si>
  <si>
    <t>UNGB194@UK</t>
  </si>
  <si>
    <t>Nov-07-2019 15:05</t>
  </si>
  <si>
    <t>Q1-2012</t>
  </si>
  <si>
    <t>UK: BoE MPC Backcasts of GDP Growth: Real GDP [Q4-19](SA, Y/Y % Change)</t>
  </si>
  <si>
    <t>Q4-2019</t>
  </si>
  <si>
    <t>Q1-2023</t>
  </si>
  <si>
    <t>20231</t>
  </si>
  <si>
    <t>UNGD194@UK</t>
  </si>
  <si>
    <t>UNPD194@UK</t>
  </si>
  <si>
    <t>UNUMD194@UK</t>
  </si>
  <si>
    <t>UKVCP194@UK</t>
  </si>
  <si>
    <t>UK: BoE GDP Proj Based on Expected Interest Rate: Mode [Q4-19](Y/Y % Chg)</t>
  </si>
  <si>
    <t>UK: BoE CPI Proj Based on Expected Interest Rate: Mode [Q4-19](Y/Y % Chg)</t>
  </si>
  <si>
    <t>UK: BoE Projected Unemp Rate Based on Expected Interest Rate: Mode[Q4-19](SA, %)</t>
  </si>
  <si>
    <t>UK: BOE Conditioning Path for Market Interest Rates  [Q4-19](%)</t>
  </si>
  <si>
    <t>BoE - Jan20</t>
  </si>
  <si>
    <t>Q2-2012</t>
  </si>
  <si>
    <t>Q1-2020</t>
  </si>
  <si>
    <t>Q2-2023</t>
  </si>
  <si>
    <t>20232</t>
  </si>
  <si>
    <t>UNGB201@UK</t>
  </si>
  <si>
    <t>UNGD201@UK</t>
  </si>
  <si>
    <t>UNPD201@UK</t>
  </si>
  <si>
    <t>UNUMD201@UK</t>
  </si>
  <si>
    <t>UKVCP201@UK</t>
  </si>
  <si>
    <t>Jan-30-2020 12:22</t>
  </si>
  <si>
    <t>UK: BoE MPC Backcasts of GDP Growth: Real GDP [Q1-20](SA, Y/Y % Change)</t>
  </si>
  <si>
    <t>UK: BoE GDP Proj Based on Expected Interest Rate: Mode [Q1-20](Y/Y % Chg)</t>
  </si>
  <si>
    <t>UK: BoE CPI Proj Based on Expected Interest Rate: Mode [Q1-20](Y/Y % Chg)</t>
  </si>
  <si>
    <t>UK: BoE Projected Unemp Rate Based on Expected Interest Rate: Mode[Q1-20](SA, %)</t>
  </si>
  <si>
    <t>UK: BOE Conditioning Path for Market Interest Rates  [Q1-20](%)</t>
  </si>
  <si>
    <t>BoE -May20</t>
  </si>
  <si>
    <t>Q4-2012</t>
  </si>
  <si>
    <t>Q3-2023</t>
  </si>
  <si>
    <t>Q4-2023</t>
  </si>
  <si>
    <t>20233</t>
  </si>
  <si>
    <t>20234</t>
  </si>
  <si>
    <t>UNGB203@UK</t>
  </si>
  <si>
    <t>Aug-11-2020 12:33</t>
  </si>
  <si>
    <t>UK: BoE MPC Backcasts of GDP Growth: Real GDP [Aug-20] (SA, Y/Y % Chg)</t>
  </si>
  <si>
    <t>UNPD203@UK</t>
  </si>
  <si>
    <t>UNUMD203@UK</t>
  </si>
  <si>
    <t>UKVCP203@UK</t>
  </si>
  <si>
    <t>UK: BoE CPI Proj Based on Expected Interest Rate: Mode [Aug-20] (Y/Y % Chg)</t>
  </si>
  <si>
    <t>UK: BoE Proj Unempl Rate Based on Expected Interest Rate: Mode [Aug-20] (SA, %)</t>
  </si>
  <si>
    <t>UK: BOE Conditioning Path for Market Interest Rates [Aug-20] (%)</t>
  </si>
  <si>
    <t>Q1-2024</t>
  </si>
  <si>
    <t>20241</t>
  </si>
  <si>
    <t>UNGB204@UK</t>
  </si>
  <si>
    <t>UNGB212@UK</t>
  </si>
  <si>
    <t>UNGB211@UK</t>
  </si>
  <si>
    <t>UNPD204@UK</t>
  </si>
  <si>
    <t>UNPD211@UK</t>
  </si>
  <si>
    <t>UNPD212@UK</t>
  </si>
  <si>
    <t>UNUMD204@UK</t>
  </si>
  <si>
    <t>UNUMD211@UK</t>
  </si>
  <si>
    <t>UNUMD212@UK</t>
  </si>
  <si>
    <t>UKVCP204@UK</t>
  </si>
  <si>
    <t>UKVCP211@UK</t>
  </si>
  <si>
    <t>UKVCP212@UK</t>
  </si>
  <si>
    <t>Nov-05-2020 12:20</t>
  </si>
  <si>
    <t>Q1-2013</t>
  </si>
  <si>
    <t>UK: BoE MPC Backcasts of GDP Growth: Real GDP [Q4-20] (SA, Y/Y % Change)</t>
  </si>
  <si>
    <t>Feb-04-2021 14:25</t>
  </si>
  <si>
    <t>Q2-2013</t>
  </si>
  <si>
    <t>UK: BoE MPC Backcasts of GDP Growth: Real GDP [Q1-21] (SA, Y/Y % Change)</t>
  </si>
  <si>
    <t>May-06-2021 13:01</t>
  </si>
  <si>
    <t>Q3-2013</t>
  </si>
  <si>
    <t>UK: BoE MPC Backcasts of GDP Growth: Real GDP [Q2-21] (SA, Y/Y % Change)</t>
  </si>
  <si>
    <t>UK: BoE CPI Projections Based on Expected Interest Rate: Mode [Q4-20](Y/Y % Chg)</t>
  </si>
  <si>
    <t>UK: BoE CPI Projections Based on Expected Interest Rate: Mode [Q1-21](Y/Y % Chg)</t>
  </si>
  <si>
    <t>Q2-2024</t>
  </si>
  <si>
    <t>UK: BoE CPI Projections Based on Expected Interest Rate: Mode [Q2-21](Y/Y % Chg)</t>
  </si>
  <si>
    <t>UK: BoE Proj Unempl Rate Based on Expected Interest Rate: Mode [Q4-20] (SA, %)</t>
  </si>
  <si>
    <t>UK: BoE Proj Unemp Rate Based on Expected Interest Rate: Mode [Q1-21] (SA, %)</t>
  </si>
  <si>
    <t>UK: BoE Proj Unempl Rate Based on Expected Interest Rate: Mode [Q2-21] (SA, %)</t>
  </si>
  <si>
    <t>UK: BOE Conditioning Path for Market Interest Rates [Q4-20] (%)</t>
  </si>
  <si>
    <t>UK: BOE Conditioning Path for Market Interest Rates [Q1-21] (%)</t>
  </si>
  <si>
    <t>Q3-2024</t>
  </si>
  <si>
    <t>UK: BoE Conditioning Path for Market Interest Rates [Q2-21] (%)</t>
  </si>
  <si>
    <t>20242</t>
  </si>
  <si>
    <t>20243</t>
  </si>
  <si>
    <t>NOT BEING USED&gt;&gt;&gt;&gt;</t>
  </si>
  <si>
    <t>M112B9R9@INTWKLY</t>
  </si>
  <si>
    <t>M112B9T9@INTWKLY</t>
  </si>
  <si>
    <t>M112ZJ5J@INTWKLY</t>
  </si>
  <si>
    <t>M112B9T8@INTWKLY</t>
  </si>
  <si>
    <t>20200101W !W</t>
  </si>
  <si>
    <t>20200101W</t>
  </si>
  <si>
    <t>.LSOURCE</t>
  </si>
  <si>
    <t>Bank of England</t>
  </si>
  <si>
    <t>11-Mar-2009W</t>
  </si>
  <si>
    <t>UK: Central Bank Reserves Supplied via Asset Purchase Facility(EOP,NSA, Mil.GBP)</t>
  </si>
  <si>
    <t>UK: Asset Purchase Facility: Gilt Holdings(EOP, NSA, Mil.GBP)</t>
  </si>
  <si>
    <t>05-Oct-2016W</t>
  </si>
  <si>
    <t>UK: Asset Purchase Facility: Weekly Holdings of Corporate Bonds (EOP, Mil.GBP)</t>
  </si>
  <si>
    <t>UK: Asset Purchase Facility: Weekly Purchases of Gilts(NSA, Mil.GBP)</t>
  </si>
  <si>
    <t>20200108W</t>
  </si>
  <si>
    <t>20200115W</t>
  </si>
  <si>
    <t>20200122W</t>
  </si>
  <si>
    <t>20200129W</t>
  </si>
  <si>
    <t>20200205W</t>
  </si>
  <si>
    <t>20200212W</t>
  </si>
  <si>
    <t>20200219W</t>
  </si>
  <si>
    <t>20200226W</t>
  </si>
  <si>
    <t>20200304W</t>
  </si>
  <si>
    <t>20200311W</t>
  </si>
  <si>
    <t>20200318W</t>
  </si>
  <si>
    <t>20200325W</t>
  </si>
  <si>
    <t>20200401W</t>
  </si>
  <si>
    <t>20200408W</t>
  </si>
  <si>
    <t>20200415W</t>
  </si>
  <si>
    <t>20200422W</t>
  </si>
  <si>
    <t>20200429W</t>
  </si>
  <si>
    <t>20200506W</t>
  </si>
  <si>
    <t>20200513W</t>
  </si>
  <si>
    <t>20200520W</t>
  </si>
  <si>
    <t>20200527W</t>
  </si>
  <si>
    <t>20200603W</t>
  </si>
  <si>
    <t>20200610W</t>
  </si>
  <si>
    <t>20200617W</t>
  </si>
  <si>
    <t>20200624W</t>
  </si>
  <si>
    <t>20200701W</t>
  </si>
  <si>
    <t>20200708W</t>
  </si>
  <si>
    <t>20200715W</t>
  </si>
  <si>
    <t>20200722W</t>
  </si>
  <si>
    <t>20200729W</t>
  </si>
  <si>
    <t>20200805W</t>
  </si>
  <si>
    <t>20200812W</t>
  </si>
  <si>
    <t>20200819W</t>
  </si>
  <si>
    <t>20200826W</t>
  </si>
  <si>
    <t>20200902W</t>
  </si>
  <si>
    <t>20200909W</t>
  </si>
  <si>
    <t>20200916W</t>
  </si>
  <si>
    <t>20200923W</t>
  </si>
  <si>
    <t>20200930W</t>
  </si>
  <si>
    <t>20201007W</t>
  </si>
  <si>
    <t>20201014W</t>
  </si>
  <si>
    <t>20201021W</t>
  </si>
  <si>
    <t>20201028W</t>
  </si>
  <si>
    <t>20201104W</t>
  </si>
  <si>
    <t>20201111W</t>
  </si>
  <si>
    <t>20201118W</t>
  </si>
  <si>
    <t>20201125W</t>
  </si>
  <si>
    <t>20201202W</t>
  </si>
  <si>
    <t>20201209W</t>
  </si>
  <si>
    <t>20201216W</t>
  </si>
  <si>
    <t>20201223W</t>
  </si>
  <si>
    <t>20201230W</t>
  </si>
  <si>
    <t>20210106W</t>
  </si>
  <si>
    <t>20210113W</t>
  </si>
  <si>
    <t>20210120W</t>
  </si>
  <si>
    <t>20210127W</t>
  </si>
  <si>
    <t>20210203W</t>
  </si>
  <si>
    <t>20210210W</t>
  </si>
  <si>
    <t>20210217W</t>
  </si>
  <si>
    <t>20210224W</t>
  </si>
  <si>
    <t>20210303W</t>
  </si>
  <si>
    <t>20210310W</t>
  </si>
  <si>
    <t>20210317W</t>
  </si>
  <si>
    <t>20210324W</t>
  </si>
  <si>
    <t>20210331W</t>
  </si>
  <si>
    <t>20210407W</t>
  </si>
  <si>
    <t>20210414W</t>
  </si>
  <si>
    <t>20210421W</t>
  </si>
  <si>
    <t>20210428W</t>
  </si>
  <si>
    <t>20210505W</t>
  </si>
  <si>
    <t>20210512W</t>
  </si>
  <si>
    <t>20210519W</t>
  </si>
  <si>
    <t>20210526W</t>
  </si>
  <si>
    <t>20210602W</t>
  </si>
  <si>
    <t>20210609W</t>
  </si>
  <si>
    <t>20210616W</t>
  </si>
  <si>
    <t>20210623W</t>
  </si>
  <si>
    <t>20210630W</t>
  </si>
  <si>
    <t>20210707W</t>
  </si>
  <si>
    <t>20210714W</t>
  </si>
  <si>
    <t>20210721W</t>
  </si>
  <si>
    <t>20210728W</t>
  </si>
  <si>
    <t>Forecasts for UK GDP growth</t>
  </si>
  <si>
    <t>UNGB213@UK</t>
  </si>
  <si>
    <t>UNGD213@UK</t>
  </si>
  <si>
    <t>UNPD213@UK</t>
  </si>
  <si>
    <t>UNUMD213@UK</t>
  </si>
  <si>
    <t>UKVCP213@UK</t>
  </si>
  <si>
    <t>Aug-05-2021 12:45</t>
  </si>
  <si>
    <t>Q4-2013</t>
  </si>
  <si>
    <t>UK: BoE MPC Backcasts of GDP Growth: Real GDP [Q3-21] (SA, Y/Y % Change)</t>
  </si>
  <si>
    <t>UK: BoE GDP Proj Based on Expected Interest Rate: Mode [Q3-21] (Y/Y % Chg)</t>
  </si>
  <si>
    <t>Q4-2024</t>
  </si>
  <si>
    <t>UK: BoE GDP Projections Based on Expected Interest Rate: Mode (Y/Y % Chg)</t>
  </si>
  <si>
    <t>UK: BoE CPI Proj Based on Expected Interest Rate: Mode [Q3-21] (Y/Y % Chg)</t>
  </si>
  <si>
    <t>UK: BoE Proj Unempl Rate Based on Expected Interest Rate: Mode [Q3-21] (SA, %)</t>
  </si>
  <si>
    <t>UK: BOE Conditioning Path for Market Interest Rates [Q3-21] (%)</t>
  </si>
  <si>
    <t>20244</t>
  </si>
  <si>
    <t>20210804W</t>
  </si>
  <si>
    <t>20210811W</t>
  </si>
  <si>
    <t>20210818W</t>
  </si>
  <si>
    <t>20210825W</t>
  </si>
  <si>
    <t>20210901W</t>
  </si>
  <si>
    <t>20210908W</t>
  </si>
  <si>
    <t>20210915W</t>
  </si>
  <si>
    <t>20210922W</t>
  </si>
  <si>
    <t>20210929W</t>
  </si>
  <si>
    <t>20211006W</t>
  </si>
  <si>
    <t>20211013W</t>
  </si>
  <si>
    <t>20211020W</t>
  </si>
  <si>
    <t>20211027W</t>
  </si>
  <si>
    <t>Q1-2014</t>
  </si>
  <si>
    <t>Q1-2025</t>
  </si>
  <si>
    <t>20251</t>
  </si>
  <si>
    <t>20211103W</t>
  </si>
  <si>
    <t>20211110W</t>
  </si>
  <si>
    <t>20211117W</t>
  </si>
  <si>
    <t>20211124W</t>
  </si>
  <si>
    <t>20211201W</t>
  </si>
  <si>
    <t>CPI inflation (LHS)</t>
  </si>
  <si>
    <t>Excess supply/excess demand (RHS)</t>
  </si>
  <si>
    <t>UNGB214@UK</t>
  </si>
  <si>
    <t>UNGD214@UK</t>
  </si>
  <si>
    <t>UNPD214@UK</t>
  </si>
  <si>
    <t>UNUMD214@UK</t>
  </si>
  <si>
    <t>UKVCP214@UK</t>
  </si>
  <si>
    <t>Nov-04-2021 12:38</t>
  </si>
  <si>
    <t>UK: BoE MPC Backcasts of GDP Growth: Real GDP [Q4-21] (SA, Y/Y % Change)</t>
  </si>
  <si>
    <t>UK: BoE GDP Projections Based on Expected Interest Rate: Mode [Q4-21](Y/Y % Chg)</t>
  </si>
  <si>
    <t>Q1-1988 &lt;- Jan-1988</t>
  </si>
  <si>
    <t>UK: BoE CPI Proj Based on Expected Interest Rate: Mode [Q4-21] (Y/Y % Chg)</t>
  </si>
  <si>
    <t>UK: BoE Proj Unempl Rate Based on Expected Interest Rate: Mode [Q4-21] (SA, %)</t>
  </si>
  <si>
    <t>UK: BoE Conditioning Path for Market Interest Rates [Q4-21] (%)</t>
  </si>
  <si>
    <t>Q2-2014</t>
  </si>
  <si>
    <t>Q2-2025</t>
  </si>
  <si>
    <t>20252</t>
  </si>
  <si>
    <t>20211208W</t>
  </si>
  <si>
    <t>20211215W</t>
  </si>
  <si>
    <t>20211222W</t>
  </si>
  <si>
    <t>20211229W</t>
  </si>
  <si>
    <t>20220105W</t>
  </si>
  <si>
    <t>20220112W</t>
  </si>
  <si>
    <t>20220119W</t>
  </si>
  <si>
    <t>20220126W</t>
  </si>
  <si>
    <t>Inflation - constant policy</t>
  </si>
  <si>
    <t>UNPCD@UK</t>
  </si>
  <si>
    <t>Market interest rate expectations</t>
  </si>
  <si>
    <t>Constant interest rates</t>
  </si>
  <si>
    <t>UNGB221@UK</t>
  </si>
  <si>
    <t>UNGD221@UK</t>
  </si>
  <si>
    <t>UNPD221@UK</t>
  </si>
  <si>
    <t>UNUMD221@UK</t>
  </si>
  <si>
    <t>UKVCP221@UK</t>
  </si>
  <si>
    <t>Feb-03-2022 15:12</t>
  </si>
  <si>
    <t>UK: BoE MPC Backcasts of GDP Growth: Real GDP [Q1-22] (SA, Y/Y % Change)</t>
  </si>
  <si>
    <t>UK: BoE GDP Proj Based on Expected Interest Rate: Mode [Q1-22] (Y/Y % Chg)</t>
  </si>
  <si>
    <t>UK: BoE CPI Proj Based on Expected Interest Rate: Mode [Q1-22] (Y/Y % Chg)</t>
  </si>
  <si>
    <t>UK: BoE Proj Unempl Rate Based on Expected Interest Rate: Mode [Q1-22] (SA, %)</t>
  </si>
  <si>
    <t>UK: BOE Conditioning Path for Market Interest Rates [Q1-22] (%)</t>
  </si>
  <si>
    <t>20220202W</t>
  </si>
  <si>
    <t>20220209W</t>
  </si>
  <si>
    <t>20220216W</t>
  </si>
  <si>
    <t>20220223W</t>
  </si>
  <si>
    <t>20220302W</t>
  </si>
  <si>
    <t>20220309W</t>
  </si>
  <si>
    <t>20220316W</t>
  </si>
  <si>
    <t>20220323W</t>
  </si>
  <si>
    <t>20220330W</t>
  </si>
  <si>
    <t>20220406W</t>
  </si>
  <si>
    <t>20220413W</t>
  </si>
  <si>
    <t>20220420W</t>
  </si>
  <si>
    <t>20220427W</t>
  </si>
  <si>
    <t>UNGB222@UK</t>
  </si>
  <si>
    <t>UNGD222@UK</t>
  </si>
  <si>
    <t>UNPD222@UK</t>
  </si>
  <si>
    <t>UNUMD222@UK</t>
  </si>
  <si>
    <t>UKVCP222@UK</t>
  </si>
  <si>
    <t>May-05-2022 13:43</t>
  </si>
  <si>
    <t>Q3-2014</t>
  </si>
  <si>
    <t>UK: BoE MPC Backcasts of GDP Growth: Real GDP [Q2-22] (SA, Y/Y % Change)</t>
  </si>
  <si>
    <t>UK: BoE GDP Proj Based on Expected Interest Rate: Mode [Q2-22] (Y/Y % Chg)</t>
  </si>
  <si>
    <t>UK: BoE CPI Proj Based on Expected Interest Rate: Mode [Q2-22] (Y/Y % Chg)</t>
  </si>
  <si>
    <t>UK: BoE ProjUnempl Rate Based on Expected Interest Rate: Mode [Q2-22] (SA, %)</t>
  </si>
  <si>
    <t>Q3-2025</t>
  </si>
  <si>
    <t>UK: BOE Conditioning Path for Market Interest Rates  [Q2-22] (%)</t>
  </si>
  <si>
    <t>20253</t>
  </si>
  <si>
    <t>20220504W</t>
  </si>
  <si>
    <t>20220511W</t>
  </si>
  <si>
    <t>20220518W</t>
  </si>
  <si>
    <t>20220525W</t>
  </si>
  <si>
    <t>20220601W</t>
  </si>
  <si>
    <t>20220608W</t>
  </si>
  <si>
    <t>20220615W</t>
  </si>
  <si>
    <t>20220622W</t>
  </si>
  <si>
    <t>20220629W</t>
  </si>
  <si>
    <t>20220706W</t>
  </si>
  <si>
    <t>20220713W</t>
  </si>
  <si>
    <t>20220720W</t>
  </si>
  <si>
    <t>20220727W</t>
  </si>
  <si>
    <t>Q4-2025</t>
  </si>
  <si>
    <t>Q4-2014</t>
  </si>
  <si>
    <t>20254</t>
  </si>
  <si>
    <t>UNGB223@UK</t>
  </si>
  <si>
    <t>UNGD223@UK</t>
  </si>
  <si>
    <t>UNPD223@UK</t>
  </si>
  <si>
    <t>UNUMD223@UK</t>
  </si>
  <si>
    <t>UKVCP223@UK</t>
  </si>
  <si>
    <t>Aug-04-2022 12:54</t>
  </si>
  <si>
    <t>UK: BoE MPC Backcasts of GDP Growth: Real GDP [Q3-22] (SA, Y/Y % Change)</t>
  </si>
  <si>
    <t>UK: BoE GDP Proj Based on Expected Interest Rate: Mode [Q3-22] (Y/Y % Chg)</t>
  </si>
  <si>
    <t>UK: BoE CPI Proj Based on Expected Interest Rate: Mode [Q3-22] (Y/Y % Chg)</t>
  </si>
  <si>
    <t>UK: BoE Proj Unempl Rate Based on Expected Interest Rate: Mode [Q3-22] (SA, %)</t>
  </si>
  <si>
    <t>UK: BOE Conditioning Path for Market Interest Rates [Q3-22] (%)</t>
  </si>
  <si>
    <t>20220803W</t>
  </si>
  <si>
    <t>20220810W</t>
  </si>
  <si>
    <t>20220817W</t>
  </si>
  <si>
    <t>20220824W</t>
  </si>
  <si>
    <t>20220831W</t>
  </si>
  <si>
    <t>20220907W</t>
  </si>
  <si>
    <t>20220914W</t>
  </si>
  <si>
    <t>20220921W</t>
  </si>
  <si>
    <t>20220928W</t>
  </si>
  <si>
    <t>20221005W</t>
  </si>
  <si>
    <t>20221012W</t>
  </si>
  <si>
    <t>20221019W</t>
  </si>
  <si>
    <t>20221026W</t>
  </si>
  <si>
    <t>Q1-2015</t>
  </si>
  <si>
    <t>Q1-2026</t>
  </si>
  <si>
    <t>20261</t>
  </si>
  <si>
    <t>UNGB224@UK</t>
  </si>
  <si>
    <t>UNGD224@UK</t>
  </si>
  <si>
    <t>UNPD224@UK</t>
  </si>
  <si>
    <t>UNUMD224@UK</t>
  </si>
  <si>
    <t>UKVCP224@UK</t>
  </si>
  <si>
    <t>Nov-03-2022 12:37</t>
  </si>
  <si>
    <t>UK: BoE MPC Backcasts of GDP Growth: Real GDP [Q4-22] (SA, Y/Y % Change)</t>
  </si>
  <si>
    <t>Q2-2015</t>
  </si>
  <si>
    <t>UK: BoE GDP Proj Based on Expected Interest Rate: Mode [Q4-22] (Y/Y % Chg)</t>
  </si>
  <si>
    <t>UK: BoE CPI Proj Based on Expected Interest Rate: Mode [Q4-22] (Y/Y % Chg)</t>
  </si>
  <si>
    <t>UK: BoE Proj Unemp Rate Based on Expected Interest Rate: Mode [Q4-22] (SA, %)</t>
  </si>
  <si>
    <t>UK: BoE Conditioning Path for Market Interest Rates [Q4-22] (%)</t>
  </si>
  <si>
    <t>Q2-2026</t>
  </si>
  <si>
    <t>UK: BoE Conditioning Path for Market Interest Rates  (%)</t>
  </si>
  <si>
    <t>20262</t>
  </si>
  <si>
    <t>UNGB231@UK</t>
  </si>
  <si>
    <t>UNGD231@UK</t>
  </si>
  <si>
    <t>UNUMD231@UK</t>
  </si>
  <si>
    <t>UKVCP231@UK</t>
  </si>
  <si>
    <t>Feb-02-2023 13:16</t>
  </si>
  <si>
    <t>UK: BoE MPC Backcasts of GDP Growth: Real GDP [Q1-23] (SA, Y/Y % Change)</t>
  </si>
  <si>
    <t>UK: BoE GDP Proj Based on Expected Interest Rate: Mode [Q1-23] (Y/Y % Chg)</t>
  </si>
  <si>
    <t>UK: BoE Proj Unempl Rate Based on Expected Interest Rate: Mode [Q1-23] (SA, %)</t>
  </si>
  <si>
    <t>UK: BoE Conditioning Path for Market Interest Rates [Q1-23] (%)</t>
  </si>
  <si>
    <t>20221102W</t>
  </si>
  <si>
    <t>20221109W</t>
  </si>
  <si>
    <t>20221116W</t>
  </si>
  <si>
    <t>20221123W</t>
  </si>
  <si>
    <t>20221130W</t>
  </si>
  <si>
    <t>20221207W</t>
  </si>
  <si>
    <t>20221214W</t>
  </si>
  <si>
    <t>20221221W</t>
  </si>
  <si>
    <t>20221228W</t>
  </si>
  <si>
    <t>20230104W</t>
  </si>
  <si>
    <t>20230111W</t>
  </si>
  <si>
    <t>20230118W</t>
  </si>
  <si>
    <t>20230125W</t>
  </si>
  <si>
    <t>20230201W</t>
  </si>
  <si>
    <t>20230208W</t>
  </si>
  <si>
    <t>20230215W</t>
  </si>
  <si>
    <t>20230222W</t>
  </si>
  <si>
    <t>20230301W</t>
  </si>
  <si>
    <t>20230308W</t>
  </si>
  <si>
    <t>20230315W</t>
  </si>
  <si>
    <t>20230322W</t>
  </si>
  <si>
    <t>20230329W</t>
  </si>
  <si>
    <t>20230405W</t>
  </si>
  <si>
    <t>20230412W</t>
  </si>
  <si>
    <t>20230419W</t>
  </si>
  <si>
    <t>20230426W</t>
  </si>
  <si>
    <t>20230503W</t>
  </si>
  <si>
    <t>UNPD231@UK</t>
  </si>
  <si>
    <t>UK: BoE CPI Proj Based on Expected Interest Rate: Mode [Q1-23] (Y/Y % Chg)</t>
  </si>
  <si>
    <t>Q3-2015</t>
  </si>
  <si>
    <t>Q3-2026</t>
  </si>
  <si>
    <t>20263</t>
  </si>
  <si>
    <t>UNGB232@UK</t>
  </si>
  <si>
    <t>UNGD232@UK</t>
  </si>
  <si>
    <t>UNPD232@UK</t>
  </si>
  <si>
    <t>UNUMD232@UK</t>
  </si>
  <si>
    <t>UKVCP232@UK</t>
  </si>
  <si>
    <t>DISC</t>
  </si>
  <si>
    <t>May-11-2023 13:13</t>
  </si>
  <si>
    <t>UK: BoE MPC Backcasts of GDP Growth: Real GDP [Q2-23] (SA, Y/Y % Change)</t>
  </si>
  <si>
    <t>UK: BoE GDP Proj Based on Expected Interest Rate: Mode [Q2-23] (Y/Y % Chg)</t>
  </si>
  <si>
    <t>UK: BoE CPI Proj Based on Expected Interest Rate: Mode [Q2-23] (Y/Y % Chg)</t>
  </si>
  <si>
    <t>UK: BoE Proj Unemployment Rate Based on Expected Interest Rate: Mode (SA, %)</t>
  </si>
  <si>
    <t>UK: BoE Conditioning Path for Market Interest Rates [Q2-23] (%)</t>
  </si>
  <si>
    <t>Q4-2015</t>
  </si>
  <si>
    <t>Q4-2026</t>
  </si>
  <si>
    <t>20264</t>
  </si>
  <si>
    <t>20230510W</t>
  </si>
  <si>
    <t>20230517W</t>
  </si>
  <si>
    <t>20230524W</t>
  </si>
  <si>
    <t>20230531W</t>
  </si>
  <si>
    <t>20230607W</t>
  </si>
  <si>
    <t>20230614W</t>
  </si>
  <si>
    <t>20230621W</t>
  </si>
  <si>
    <t>20230628W</t>
  </si>
  <si>
    <t>20230705W</t>
  </si>
  <si>
    <t>20230712W</t>
  </si>
  <si>
    <t>20230719W</t>
  </si>
  <si>
    <t>20230726W</t>
  </si>
  <si>
    <t>UNGB233@UK</t>
  </si>
  <si>
    <t>Aug-03-2023 13:21</t>
  </si>
  <si>
    <t>UK: BoE MPC Backcasts of GDP Growth: Real GDP [Q3-23] (SA, Y/Y % Change)</t>
  </si>
  <si>
    <t>UNGD233@UK</t>
  </si>
  <si>
    <t>UNPD233@UK</t>
  </si>
  <si>
    <t>UNUMD233@UK</t>
  </si>
  <si>
    <t>UKVCP233@UK</t>
  </si>
  <si>
    <t>UK: BoE GDP Projections Based on Expected Int Rate: Mode [Q3-23] (Y/Y % Chg)</t>
  </si>
  <si>
    <t>UK: BoE CPI Proj Based on Expected Interest Rate: Mode [Q3-23] (Y/Y % Chg)</t>
  </si>
  <si>
    <t>UK: BoE Proj Unemp Rate Based on Expected Interest Rate: Mode [Q3-23] (SA, %)</t>
  </si>
  <si>
    <t>UK: BoE Conditioning Path for Market Interest Rates [Q3-23] (%)</t>
  </si>
  <si>
    <t>Change in Bank Rate compared with today</t>
  </si>
  <si>
    <t>20230802W</t>
  </si>
  <si>
    <t>20230809W</t>
  </si>
  <si>
    <t>20230816W</t>
  </si>
  <si>
    <t>20230823W</t>
  </si>
  <si>
    <t>20230830W</t>
  </si>
  <si>
    <t>20230906W</t>
  </si>
  <si>
    <t>20230913W</t>
  </si>
  <si>
    <t>20230920W</t>
  </si>
  <si>
    <t>20230927W</t>
  </si>
  <si>
    <t>20231004W</t>
  </si>
  <si>
    <t>20231011W</t>
  </si>
  <si>
    <t>20231018W</t>
  </si>
  <si>
    <t>20231025W</t>
  </si>
  <si>
    <t>Q1-2016</t>
  </si>
  <si>
    <t>Q1-2027</t>
  </si>
  <si>
    <t>20271</t>
  </si>
  <si>
    <t>UNGB234@UK</t>
  </si>
  <si>
    <t>UNGD234@UK</t>
  </si>
  <si>
    <t>UNPD234@UK</t>
  </si>
  <si>
    <t>UNUMD234@UK</t>
  </si>
  <si>
    <t>UKVCP234@UK</t>
  </si>
  <si>
    <t>Nov-02-2023 12:51</t>
  </si>
  <si>
    <t>UK: BoE MPC Backcasts of GDP Growth: Real GDP [Q4-23](SA, Y/Y % Change)</t>
  </si>
  <si>
    <t>UK: BoE GDP Projections Based on Expected Interest Rate: Mode [Q4-23](Y/Y % Chg)</t>
  </si>
  <si>
    <t>UK: BoE CPI Projections Based on Expected Interest Rate: Mode [Q4-23](Y/Y % Chg)</t>
  </si>
  <si>
    <t>UK: BoE Projected Unemp Rate Based on Expected Int Rate: Mode [Q4-23](SA, %)</t>
  </si>
  <si>
    <t>UK: BoE Conditioning Path for Market Interest Rates [Q4-23] (%)</t>
  </si>
  <si>
    <t>20231101W</t>
  </si>
  <si>
    <t>20231108W</t>
  </si>
  <si>
    <t>20231115W</t>
  </si>
  <si>
    <t>20231122W</t>
  </si>
  <si>
    <t>20231129W</t>
  </si>
  <si>
    <t>20231206W</t>
  </si>
  <si>
    <t>20231213W</t>
  </si>
  <si>
    <t>20231220W</t>
  </si>
  <si>
    <t>20231227W</t>
  </si>
  <si>
    <t>20240103W</t>
  </si>
  <si>
    <t>20240110W</t>
  </si>
  <si>
    <t>20240117W</t>
  </si>
  <si>
    <t>20240124W</t>
  </si>
  <si>
    <t>Q2-2027</t>
  </si>
  <si>
    <t>Q2-2016</t>
  </si>
  <si>
    <t>20272</t>
  </si>
  <si>
    <t>Index</t>
  </si>
  <si>
    <t>UNGB241@UK</t>
  </si>
  <si>
    <t>UNGD241@UK</t>
  </si>
  <si>
    <t>UNPD241@UK</t>
  </si>
  <si>
    <t>UNUMD241@UK</t>
  </si>
  <si>
    <t>UKVCP241@UK</t>
  </si>
  <si>
    <t>Feb-01-2024 12:59</t>
  </si>
  <si>
    <t>UK: BoE MPC Backcasts of GDP Growth: Real GDP [Q1-24](SA, Y/Y % Change)</t>
  </si>
  <si>
    <t>UK: BoE GDP Proj Based on Expected Interest Rate: Mode [Q1-24](Y/Y % Chg)</t>
  </si>
  <si>
    <t>UK: BoE CPI Projections Based on Expected Interest Rate: Mode [Q1-24](Y/Y % Chg)</t>
  </si>
  <si>
    <t>UK: BoE Proj Unemployment Rate Based on Expected Int Rate: Mode [Q1-24](SA, %)</t>
  </si>
  <si>
    <t>UK: BoE Conditioning Path for Market Interest Rates [Q1-24] (%)</t>
  </si>
  <si>
    <t>20240131W</t>
  </si>
  <si>
    <t>20240207W</t>
  </si>
  <si>
    <t>20240214W</t>
  </si>
  <si>
    <t>20240221W</t>
  </si>
  <si>
    <t>20240228W</t>
  </si>
  <si>
    <t>20240306W</t>
  </si>
  <si>
    <t>20240313W</t>
  </si>
  <si>
    <t>20240320W</t>
  </si>
  <si>
    <t>20240327W</t>
  </si>
  <si>
    <t>20240403W</t>
  </si>
  <si>
    <t>20240410W</t>
  </si>
  <si>
    <t>20240417W</t>
  </si>
  <si>
    <t>20240424W</t>
  </si>
  <si>
    <t>20240501W</t>
  </si>
  <si>
    <t>Q3-2016</t>
  </si>
  <si>
    <t>Q3-2027</t>
  </si>
  <si>
    <t>20273</t>
  </si>
  <si>
    <t>UNGB242@UK</t>
  </si>
  <si>
    <t>UNGD242@UK</t>
  </si>
  <si>
    <t>UNPD242@UK</t>
  </si>
  <si>
    <t>UNUMD242@UK</t>
  </si>
  <si>
    <t>UKVCP242@UK</t>
  </si>
  <si>
    <t>May-09-2024 12:57</t>
  </si>
  <si>
    <t>UK: BoE MPC Backcasts of GDP Growth: Real GDP [Q2-24] (SA, Y/Y % Change)</t>
  </si>
  <si>
    <t>UK: BoE GDP Proj Based on Expected Interest Rate: Mode [Q2-24] (Y/Y % Chg)</t>
  </si>
  <si>
    <t>UK: BoE CPI Proj Based on Expected Interest Rate: Mode [Q2-24] (Y/Y % Chg)</t>
  </si>
  <si>
    <t>UK: BoE Proj Unempl Rate Based on Expected Interest Rate: Mode [Q2-24] (SA, %)</t>
  </si>
  <si>
    <t>UK: BoE Conditioning Path for Market Interest Rates [Q2-24] (%)</t>
  </si>
  <si>
    <t>20240508W</t>
  </si>
  <si>
    <t>20240515W</t>
  </si>
  <si>
    <t>20240522W</t>
  </si>
  <si>
    <t>20240529W</t>
  </si>
  <si>
    <t>20240605W</t>
  </si>
  <si>
    <t>20240612W</t>
  </si>
  <si>
    <t>20240619W</t>
  </si>
  <si>
    <t>20240626W</t>
  </si>
  <si>
    <t>20240703W</t>
  </si>
  <si>
    <t>20240710W</t>
  </si>
  <si>
    <t>20240717W</t>
  </si>
  <si>
    <t>20240724W</t>
  </si>
  <si>
    <t>UNPA@UK</t>
  </si>
  <si>
    <t>Aug-01-2024 12:57</t>
  </si>
  <si>
    <t>Q4-2027</t>
  </si>
  <si>
    <t>UK: BoE CPI Projections Based on Expected Interest Rate: Mean (Y/Y % Chg)</t>
  </si>
  <si>
    <t>20274</t>
  </si>
  <si>
    <t>Inflation - mean</t>
  </si>
  <si>
    <t>Modal forecast</t>
  </si>
  <si>
    <t>Mean forecast</t>
  </si>
  <si>
    <t>UNGD243@UK</t>
  </si>
  <si>
    <t>UNPD243@UK</t>
  </si>
  <si>
    <t>UNUMD243@UK</t>
  </si>
  <si>
    <t>UKVCP243@UK</t>
  </si>
  <si>
    <t>Aug-01-2024 13:36</t>
  </si>
  <si>
    <t>UK: BoE GDP Projections Based on Expected Int Rate: Mode [Q3-24] (Y/Y % Chg)</t>
  </si>
  <si>
    <t>UK: BoE CPI Projections Based on Exp Interest Rate: Mode [Q3-24] (Y/Y % Chg)</t>
  </si>
  <si>
    <t>UK: BoE Proj Unemp Rate Based on Expected Interest Rate: Mode [Q3-24] (SA, %)</t>
  </si>
  <si>
    <t>UK: BoE Conditioning Path for Market Interest Rates [Q3-24] (%)</t>
  </si>
  <si>
    <t>20240731W</t>
  </si>
  <si>
    <t>20240807W</t>
  </si>
  <si>
    <t>20240814W</t>
  </si>
  <si>
    <t>20240821W</t>
  </si>
  <si>
    <t>20240828W</t>
  </si>
  <si>
    <t>20240904W</t>
  </si>
  <si>
    <t>20240911W</t>
  </si>
  <si>
    <t>20240918W</t>
  </si>
  <si>
    <t>20240925W</t>
  </si>
  <si>
    <t>20241002W</t>
  </si>
  <si>
    <t>20241009W</t>
  </si>
  <si>
    <t>20241016W</t>
  </si>
  <si>
    <t>20241023W</t>
  </si>
  <si>
    <t>20241030W</t>
  </si>
  <si>
    <t>Millions: chained 2022 prices</t>
  </si>
  <si>
    <t>chained 2022</t>
  </si>
  <si>
    <t>U.K.: Real Gross Domestic Product (SA, Mil.Chn.2022.GBP)</t>
  </si>
  <si>
    <t>BoE - Nov24</t>
  </si>
  <si>
    <t>BoE* 
(Nov)</t>
  </si>
  <si>
    <t>OBR 
(Oct)</t>
  </si>
  <si>
    <t>Q1-2028</t>
  </si>
  <si>
    <t>UK: BoE CPI Projections Based on Constant 4.75% Interest Rate: Mode (Y/Y % Chg)</t>
  </si>
  <si>
    <t>20281</t>
  </si>
  <si>
    <t>UNGD244@UK</t>
  </si>
  <si>
    <t>UNPD244@UK</t>
  </si>
  <si>
    <t>UNUMD244@UK</t>
  </si>
  <si>
    <t>UKVCP244@UK</t>
  </si>
  <si>
    <t>Nov-07-2024 12:46</t>
  </si>
  <si>
    <t>UK: BoE GDP Projections Based on Expected Interest Rate: Mode [Q4-24](Y/Y % Chg)</t>
  </si>
  <si>
    <t>Jan-15-2025 07:05</t>
  </si>
  <si>
    <t>Q4-2024 &lt;- Dec-2024</t>
  </si>
  <si>
    <t>UK: BoE CPI Projections Based on Expected Interest Rate: Mode [Q4-24](Y/Y % Chg)</t>
  </si>
  <si>
    <t>Dec-17-2024 07:20</t>
  </si>
  <si>
    <t>UK: BoE Proj Unemp Rate Based on Expected Interest Rate: Mode [Q4-24] (SA, %)</t>
  </si>
  <si>
    <t>Feb-05-2025 13:55</t>
  </si>
  <si>
    <t>H24</t>
  </si>
  <si>
    <t>Q4-2024 &lt;- 05-Feb-2025</t>
  </si>
  <si>
    <t>Q1-1954 &lt;- 01-Jan-1954</t>
  </si>
  <si>
    <t>UK: BoE Conditioning Path for Market Interest Rates [Q4-24] (%)</t>
  </si>
  <si>
    <t>Jan-31-2025 10:01</t>
  </si>
  <si>
    <t>29-Jan-2025W</t>
  </si>
  <si>
    <t>20241106W</t>
  </si>
  <si>
    <t>20241113W</t>
  </si>
  <si>
    <t>20241120W</t>
  </si>
  <si>
    <t>20241127W</t>
  </si>
  <si>
    <t>20241204W</t>
  </si>
  <si>
    <t>20241211W</t>
  </si>
  <si>
    <t>20241218W</t>
  </si>
  <si>
    <t>20241225W</t>
  </si>
  <si>
    <t>20250101W</t>
  </si>
  <si>
    <t>20250108W</t>
  </si>
  <si>
    <t>20250115W</t>
  </si>
  <si>
    <t>20250122W</t>
  </si>
  <si>
    <t>20250129W</t>
  </si>
  <si>
    <t>BoE - Feb25</t>
  </si>
  <si>
    <t>Market expectations (MPR Nov24)</t>
  </si>
  <si>
    <t>Market expectations (MPR Feb25)</t>
  </si>
  <si>
    <t>Diff - Nov-24 to Feb-25</t>
  </si>
  <si>
    <t>BoE* 
(Feb)</t>
  </si>
  <si>
    <t>OE 
(Feb)</t>
  </si>
  <si>
    <t>HMT consensus 
(Jan)</t>
  </si>
  <si>
    <t>FEB005A</t>
  </si>
  <si>
    <t>Feb-06-2025 12:03</t>
  </si>
  <si>
    <t>Feb-06-2025 12:07</t>
  </si>
  <si>
    <t>Q2-2028</t>
  </si>
  <si>
    <t>20282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</si>
</sst>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###0.0;\-###0.0;0.0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indexed="16"/>
      <name val="Calibri"/>
      <family val="2"/>
    </font>
    <font>
      <sz val="8"/>
      <name val="Calibri"/>
      <family val="2"/>
      <scheme val="minor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3" fillId="0" borderId="0"/>
    <xf numFmtId="0" fontId="8" fillId="0" borderId="0"/>
    <xf numFmtId="0" fontId="10" fillId="0" borderId="0"/>
  </cellStyleXfs>
  <cellXfs count="25">
    <xf numFmtId="0" fontId="0" fillId="0" borderId="0" xfId="0"/>
    <xf numFmtId="0" fontId="2" fillId="0" borderId="0" xfId="0" applyFont="1"/>
    <xf numFmtId="17" fontId="0" fillId="0" borderId="0" xfId="0" applyNumberFormat="1"/>
    <xf numFmtId="2" fontId="0" fillId="0" borderId="0" xfId="0" applyNumberFormat="1"/>
    <xf numFmtId="17" fontId="2" fillId="0" borderId="0" xfId="0" applyNumberFormat="1" applyFont="1"/>
    <xf numFmtId="0" fontId="0" fillId="0" borderId="0" xfId="0" applyFill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quotePrefix="1" applyFill="1"/>
    <xf numFmtId="0" fontId="3" fillId="0" borderId="0" xfId="1"/>
    <xf numFmtId="0" fontId="3" fillId="2" borderId="1" xfId="1" applyNumberFormat="1" applyFont="1" applyFill="1" applyBorder="1"/>
    <xf numFmtId="0" fontId="3" fillId="2" borderId="1" xfId="1" quotePrefix="1" applyNumberFormat="1" applyFont="1" applyFill="1" applyBorder="1"/>
    <xf numFmtId="2" fontId="4" fillId="0" borderId="0" xfId="0" applyNumberFormat="1" applyFont="1"/>
    <xf numFmtId="1" fontId="0" fillId="0" borderId="0" xfId="0" applyNumberFormat="1"/>
    <xf numFmtId="166" fontId="3" fillId="2" borderId="1" xfId="1" applyNumberFormat="1" applyFont="1" applyFill="1" applyBorder="1"/>
    <xf numFmtId="166" fontId="5" fillId="2" borderId="1" xfId="1" applyNumberFormat="1" applyFont="1" applyFill="1" applyBorder="1"/>
    <xf numFmtId="0" fontId="0" fillId="4" borderId="0" xfId="0" applyFill="1"/>
    <xf numFmtId="0" fontId="0" fillId="0" borderId="0" xfId="0" quotePrefix="1"/>
    <xf numFmtId="0" fontId="0" fillId="0" borderId="0" xfId="0" applyAlignment="1">
      <alignment wrapText="1"/>
    </xf>
    <xf numFmtId="3" fontId="0" fillId="0" borderId="0" xfId="0" applyNumberFormat="1"/>
    <xf numFmtId="15" fontId="3" fillId="2" borderId="1" xfId="1" applyNumberFormat="1" applyFont="1" applyFill="1" applyBorder="1"/>
    <xf numFmtId="0" fontId="7" fillId="0" borderId="0" xfId="0" applyFont="1"/>
    <xf numFmtId="0" fontId="5" fillId="0" borderId="0" xfId="1" applyFont="1"/>
    <xf numFmtId="0" fontId="11" fillId="3" borderId="1" xfId="3" applyFont="1" applyFill="1" applyBorder="1" applyAlignment="1">
      <alignment horizontal="left" wrapText="1"/>
    </xf>
  </cellXfs>
  <cellStyles count="4">
    <cellStyle name="Normal" xfId="0" builtinId="0"/>
    <cellStyle name="Normal 2" xfId="1" xr:uid="{A092518A-A131-48F8-B0B9-16D221AA56C3}"/>
    <cellStyle name="Normal 3" xfId="2" xr:uid="{85EFE65C-78D6-4637-811D-00A2071C9CD6}"/>
    <cellStyle name="Normal 4" xfId="3" xr:uid="{91CB2AB8-D9E3-429D-B7D4-0BD0E5F7D610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hartsheet" Target="chartsheets/sheet8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7.xml"/><Relationship Id="rId1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hartsheet" Target="chartsheets/sheet6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10.xml"/><Relationship Id="rId10" Type="http://schemas.openxmlformats.org/officeDocument/2006/relationships/chartsheet" Target="chart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chartsheet" Target="chartsheets/sheet9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138098122350095E-2"/>
          <c:y val="0.14739606745754133"/>
          <c:w val="0.89523746748850963"/>
          <c:h val="0.600607636309612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Data'!$A$35:$A$40</c:f>
              <c:strCache>
                <c:ptCount val="6"/>
                <c:pt idx="0">
                  <c:v>BoE* 
(Feb)</c:v>
                </c:pt>
                <c:pt idx="1">
                  <c:v>BoE* 
(Nov)</c:v>
                </c:pt>
                <c:pt idx="3">
                  <c:v>OE 
(Feb)</c:v>
                </c:pt>
                <c:pt idx="4">
                  <c:v>HMT consensus 
(Jan)</c:v>
                </c:pt>
                <c:pt idx="5">
                  <c:v>OBR 
(Oct)</c:v>
                </c:pt>
              </c:strCache>
            </c:strRef>
          </c:cat>
          <c:val>
            <c:numRef>
              <c:f>'Chart Data'!$C$35:$C$40</c:f>
              <c:numCache>
                <c:formatCode>0.0</c:formatCode>
                <c:ptCount val="6"/>
                <c:pt idx="0">
                  <c:v>0.75</c:v>
                </c:pt>
                <c:pt idx="1">
                  <c:v>1</c:v>
                </c:pt>
                <c:pt idx="3">
                  <c:v>0.75</c:v>
                </c:pt>
                <c:pt idx="4">
                  <c:v>0.8</c:v>
                </c:pt>
                <c:pt idx="5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Data'!$D$34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Data'!$A$35:$A$40</c:f>
              <c:strCache>
                <c:ptCount val="6"/>
                <c:pt idx="0">
                  <c:v>BoE* 
(Feb)</c:v>
                </c:pt>
                <c:pt idx="1">
                  <c:v>BoE* 
(Nov)</c:v>
                </c:pt>
                <c:pt idx="3">
                  <c:v>OE 
(Feb)</c:v>
                </c:pt>
                <c:pt idx="4">
                  <c:v>HMT consensus 
(Jan)</c:v>
                </c:pt>
                <c:pt idx="5">
                  <c:v>OBR 
(Oct)</c:v>
                </c:pt>
              </c:strCache>
            </c:strRef>
          </c:cat>
          <c:val>
            <c:numRef>
              <c:f>'Chart Data'!$D$35:$D$40</c:f>
              <c:numCache>
                <c:formatCode>0.0</c:formatCode>
                <c:ptCount val="6"/>
                <c:pt idx="0">
                  <c:v>0.65</c:v>
                </c:pt>
                <c:pt idx="1">
                  <c:v>1.5</c:v>
                </c:pt>
                <c:pt idx="3">
                  <c:v>1.01</c:v>
                </c:pt>
                <c:pt idx="4">
                  <c:v>1.2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D5-4266-A342-71EC3BE620B0}"/>
            </c:ext>
          </c:extLst>
        </c:ser>
        <c:ser>
          <c:idx val="2"/>
          <c:order val="2"/>
          <c:tx>
            <c:strRef>
              <c:f>'Chart Data'!$E$34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Data'!$A$35:$A$40</c:f>
              <c:strCache>
                <c:ptCount val="6"/>
                <c:pt idx="0">
                  <c:v>BoE* 
(Feb)</c:v>
                </c:pt>
                <c:pt idx="1">
                  <c:v>BoE* 
(Nov)</c:v>
                </c:pt>
                <c:pt idx="3">
                  <c:v>OE 
(Feb)</c:v>
                </c:pt>
                <c:pt idx="4">
                  <c:v>HMT consensus 
(Jan)</c:v>
                </c:pt>
                <c:pt idx="5">
                  <c:v>OBR 
(Oct)</c:v>
                </c:pt>
              </c:strCache>
            </c:strRef>
          </c:cat>
          <c:val>
            <c:numRef>
              <c:f>'Chart Data'!$E$35:$E$40</c:f>
              <c:numCache>
                <c:formatCode>0.0</c:formatCode>
                <c:ptCount val="6"/>
                <c:pt idx="0">
                  <c:v>1.5</c:v>
                </c:pt>
                <c:pt idx="1">
                  <c:v>1.25</c:v>
                </c:pt>
                <c:pt idx="3">
                  <c:v>1.5580000000000001</c:v>
                </c:pt>
                <c:pt idx="4">
                  <c:v>1.5</c:v>
                </c:pt>
                <c:pt idx="5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9B7-9569-89B9390AB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noMultiLvlLbl val="0"/>
      </c:catAx>
      <c:valAx>
        <c:axId val="274950400"/>
        <c:scaling>
          <c:orientation val="minMax"/>
          <c:max val="2.5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847448729925711"/>
          <c:y val="7.4478680730946364E-2"/>
          <c:w val="0.37153835431588"/>
          <c:h val="8.5125538552963897E-2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41896881533874E-2"/>
          <c:y val="0.14739606745754133"/>
          <c:w val="0.87171244272432047"/>
          <c:h val="0.7214225324858967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Data'!$B$4</c:f>
              <c:strCache>
                <c:ptCount val="1"/>
                <c:pt idx="0">
                  <c:v>Feb-25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Data'!$Q$4:$BA$4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2.475372568830525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2-42EB-AFF9-A67139A5CCE1}"/>
            </c:ext>
          </c:extLst>
        </c:ser>
        <c:ser>
          <c:idx val="0"/>
          <c:order val="1"/>
          <c:tx>
            <c:strRef>
              <c:f>'Chart Data'!$B$3</c:f>
              <c:strCache>
                <c:ptCount val="1"/>
                <c:pt idx="0">
                  <c:v>Nov-24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Data'!$Q$3:$BA$3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</c:v>
                </c:pt>
                <c:pt idx="24">
                  <c:v>2.4</c:v>
                </c:pt>
                <c:pt idx="25">
                  <c:v>2.6</c:v>
                </c:pt>
                <c:pt idx="26">
                  <c:v>2.8</c:v>
                </c:pt>
                <c:pt idx="27">
                  <c:v>2.7</c:v>
                </c:pt>
                <c:pt idx="28">
                  <c:v>2.6</c:v>
                </c:pt>
                <c:pt idx="29">
                  <c:v>2.4</c:v>
                </c:pt>
                <c:pt idx="30">
                  <c:v>2.2999999999999998</c:v>
                </c:pt>
                <c:pt idx="31">
                  <c:v>2.2000000000000002</c:v>
                </c:pt>
                <c:pt idx="32">
                  <c:v>2.1</c:v>
                </c:pt>
                <c:pt idx="33">
                  <c:v>1.9</c:v>
                </c:pt>
                <c:pt idx="34">
                  <c:v>1.9</c:v>
                </c:pt>
                <c:pt idx="3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0-42C3-B879-60C0AF39D60C}"/>
            </c:ext>
          </c:extLst>
        </c:ser>
        <c:ser>
          <c:idx val="3"/>
          <c:order val="2"/>
          <c:tx>
            <c:strRef>
              <c:f>'Chart Data'!$B$5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Data'!$Q$5:$BA$5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1-4F99-BFEA-9062BE404549}"/>
            </c:ext>
          </c:extLst>
        </c:ser>
        <c:ser>
          <c:idx val="1"/>
          <c:order val="3"/>
          <c:tx>
            <c:strRef>
              <c:f>'Chart Data'!$B$6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Data'!$Q$6:$BA$6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7-44F2-AAB4-E89CF23DE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23456"/>
        <c:axId val="991239088"/>
      </c:lineChart>
      <c:catAx>
        <c:axId val="986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239088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99123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867234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2242845915447008"/>
          <c:y val="0.19611103067562102"/>
          <c:w val="0.17096822219256491"/>
          <c:h val="0.12304194648936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41896881533874E-2"/>
          <c:y val="0.14739606745754133"/>
          <c:w val="0.87171244272432047"/>
          <c:h val="0.7214225324858967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Data'!$A$4</c:f>
              <c:strCache>
                <c:ptCount val="1"/>
                <c:pt idx="0">
                  <c:v>BoE - Feb25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Data'!$Q$4:$BA$4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2.475372568830525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0-43F9-9E7C-C8D48CF2D2CA}"/>
            </c:ext>
          </c:extLst>
        </c:ser>
        <c:ser>
          <c:idx val="0"/>
          <c:order val="1"/>
          <c:tx>
            <c:strRef>
              <c:f>'Chart Data'!$A$3</c:f>
              <c:strCache>
                <c:ptCount val="1"/>
                <c:pt idx="0">
                  <c:v>BoE - Nov24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Data'!$Q$3:$BA$3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</c:v>
                </c:pt>
                <c:pt idx="24">
                  <c:v>2.4</c:v>
                </c:pt>
                <c:pt idx="25">
                  <c:v>2.6</c:v>
                </c:pt>
                <c:pt idx="26">
                  <c:v>2.8</c:v>
                </c:pt>
                <c:pt idx="27">
                  <c:v>2.7</c:v>
                </c:pt>
                <c:pt idx="28">
                  <c:v>2.6</c:v>
                </c:pt>
                <c:pt idx="29">
                  <c:v>2.4</c:v>
                </c:pt>
                <c:pt idx="30">
                  <c:v>2.2999999999999998</c:v>
                </c:pt>
                <c:pt idx="31">
                  <c:v>2.2000000000000002</c:v>
                </c:pt>
                <c:pt idx="32">
                  <c:v>2.1</c:v>
                </c:pt>
                <c:pt idx="33">
                  <c:v>1.9</c:v>
                </c:pt>
                <c:pt idx="34">
                  <c:v>1.9</c:v>
                </c:pt>
                <c:pt idx="3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0-43F9-9E7C-C8D48CF2D2CA}"/>
            </c:ext>
          </c:extLst>
        </c:ser>
        <c:ser>
          <c:idx val="4"/>
          <c:order val="2"/>
          <c:tx>
            <c:strRef>
              <c:f>'Chart Data'!$A$7</c:f>
              <c:strCache>
                <c:ptCount val="1"/>
                <c:pt idx="0">
                  <c:v>Oxford Economics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Data'!$Q$7:$BA$7</c:f>
              <c:numCache>
                <c:formatCode>0.0</c:formatCode>
                <c:ptCount val="37"/>
                <c:pt idx="22">
                  <c:v>2.0547945205479312</c:v>
                </c:pt>
                <c:pt idx="23">
                  <c:v>2.4753214257839273</c:v>
                </c:pt>
                <c:pt idx="24">
                  <c:v>2.7272926594524627</c:v>
                </c:pt>
                <c:pt idx="25">
                  <c:v>2.9570368510676959</c:v>
                </c:pt>
                <c:pt idx="26">
                  <c:v>3.4639821029082807</c:v>
                </c:pt>
                <c:pt idx="27">
                  <c:v>3.3718766013992152</c:v>
                </c:pt>
                <c:pt idx="28">
                  <c:v>3.1057450284822652</c:v>
                </c:pt>
                <c:pt idx="29">
                  <c:v>2.5992301372805837</c:v>
                </c:pt>
                <c:pt idx="30">
                  <c:v>2.2968722521571783</c:v>
                </c:pt>
                <c:pt idx="31">
                  <c:v>2.0199122704108508</c:v>
                </c:pt>
                <c:pt idx="32">
                  <c:v>2.0348494830967123</c:v>
                </c:pt>
                <c:pt idx="33">
                  <c:v>2.0310909562905932</c:v>
                </c:pt>
                <c:pt idx="34">
                  <c:v>2.0669052785841302</c:v>
                </c:pt>
                <c:pt idx="35">
                  <c:v>2.0879713414048373</c:v>
                </c:pt>
                <c:pt idx="36">
                  <c:v>2.1187229178296851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50-43F9-9E7C-C8D48CF2D2CA}"/>
            </c:ext>
          </c:extLst>
        </c:ser>
        <c:ser>
          <c:idx val="3"/>
          <c:order val="3"/>
          <c:tx>
            <c:strRef>
              <c:f>'Chart Data'!$A$5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Data'!$Q$5:$BA$5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50-43F9-9E7C-C8D48CF2D2CA}"/>
            </c:ext>
          </c:extLst>
        </c:ser>
        <c:ser>
          <c:idx val="1"/>
          <c:order val="4"/>
          <c:tx>
            <c:strRef>
              <c:f>'Chart Data'!$A$6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Data'!$Q$6:$BA$6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50-43F9-9E7C-C8D48CF2D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23456"/>
        <c:axId val="991239088"/>
      </c:lineChart>
      <c:catAx>
        <c:axId val="986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239088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99123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867234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8.6270267064074618E-2"/>
          <c:y val="0.13199033289155687"/>
          <c:w val="0.28546916381215059"/>
          <c:h val="0.17396132414141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22122870234436E-2"/>
          <c:y val="0.14739606745754133"/>
          <c:w val="0.87924872102851548"/>
          <c:h val="0.7214225324858967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Data'!$D$10</c:f>
              <c:strCache>
                <c:ptCount val="1"/>
                <c:pt idx="0">
                  <c:v>Market interest rate expectations</c:v>
                </c:pt>
              </c:strCache>
            </c:strRef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Data'!$Q$10:$BA$10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2.475372568830525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0-4028-9492-6F998DA6FE49}"/>
            </c:ext>
          </c:extLst>
        </c:ser>
        <c:ser>
          <c:idx val="2"/>
          <c:order val="1"/>
          <c:tx>
            <c:strRef>
              <c:f>'Chart Data'!$D$11</c:f>
              <c:strCache>
                <c:ptCount val="1"/>
                <c:pt idx="0">
                  <c:v>Constant interest rates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Data'!$Q$11:$BA$11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#N/A</c:v>
                </c:pt>
                <c:pt idx="24">
                  <c:v>2.8</c:v>
                </c:pt>
                <c:pt idx="25">
                  <c:v>3.4</c:v>
                </c:pt>
                <c:pt idx="26">
                  <c:v>3.5</c:v>
                </c:pt>
                <c:pt idx="27">
                  <c:v>3.2</c:v>
                </c:pt>
                <c:pt idx="28">
                  <c:v>2.7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2.1</c:v>
                </c:pt>
                <c:pt idx="32">
                  <c:v>2.1</c:v>
                </c:pt>
                <c:pt idx="33">
                  <c:v>1.9</c:v>
                </c:pt>
                <c:pt idx="34">
                  <c:v>1.9</c:v>
                </c:pt>
                <c:pt idx="35">
                  <c:v>1.8</c:v>
                </c:pt>
                <c:pt idx="36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0-4028-9492-6F998DA6FE49}"/>
            </c:ext>
          </c:extLst>
        </c:ser>
        <c:ser>
          <c:idx val="3"/>
          <c:order val="2"/>
          <c:tx>
            <c:strRef>
              <c:f>'Chart Data'!$B$5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Data'!$Q$5:$BA$5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0-4028-9492-6F998DA6FE49}"/>
            </c:ext>
          </c:extLst>
        </c:ser>
        <c:ser>
          <c:idx val="1"/>
          <c:order val="3"/>
          <c:tx>
            <c:strRef>
              <c:f>'Chart Data'!$B$6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Data'!$Q$6:$BA$6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90-4028-9492-6F998DA6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23456"/>
        <c:axId val="991239088"/>
      </c:lineChart>
      <c:catAx>
        <c:axId val="986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239088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99123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867234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369413823272091"/>
          <c:y val="8.4872163256820621E-2"/>
          <c:w val="0.61691925797410918"/>
          <c:h val="0.10041111197733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22122870234436E-2"/>
          <c:y val="0.14739606745754133"/>
          <c:w val="0.87924872102851548"/>
          <c:h val="0.7214225324858967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Data'!$D$12</c:f>
              <c:strCache>
                <c:ptCount val="1"/>
                <c:pt idx="0">
                  <c:v>Modal forecast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Data'!$Q$12:$BA$12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2.475372568830525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6-4139-8B12-01E2061B76A6}"/>
            </c:ext>
          </c:extLst>
        </c:ser>
        <c:ser>
          <c:idx val="2"/>
          <c:order val="1"/>
          <c:tx>
            <c:strRef>
              <c:f>'Chart Data'!$D$13</c:f>
              <c:strCache>
                <c:ptCount val="1"/>
                <c:pt idx="0">
                  <c:v>Mean forecast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Data'!$Q$13:$BA$13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#N/A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6-4139-8B12-01E2061B76A6}"/>
            </c:ext>
          </c:extLst>
        </c:ser>
        <c:ser>
          <c:idx val="3"/>
          <c:order val="2"/>
          <c:tx>
            <c:strRef>
              <c:f>'Chart Data'!$B$5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Data'!$Q$5:$BA$5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6-4139-8B12-01E2061B76A6}"/>
            </c:ext>
          </c:extLst>
        </c:ser>
        <c:ser>
          <c:idx val="1"/>
          <c:order val="3"/>
          <c:tx>
            <c:strRef>
              <c:f>'Chart Data'!$B$6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Data'!$Q$6:$BA$6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6-4139-8B12-01E2061B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23456"/>
        <c:axId val="991239088"/>
      </c:lineChart>
      <c:catAx>
        <c:axId val="986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239088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99123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867234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9.0802022628527365E-2"/>
          <c:y val="0.14333515241287911"/>
          <c:w val="0.28697575514925039"/>
          <c:h val="0.11927014073735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815531533134628E-2"/>
          <c:y val="0.20208726384449469"/>
          <c:w val="0.86601669706540929"/>
          <c:h val="0.6667314110488664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Data'!$C$4</c:f>
              <c:strCache>
                <c:ptCount val="1"/>
                <c:pt idx="0">
                  <c:v>CPI inflation (LHS)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Data'!$Q$4:$BA$4</c:f>
              <c:numCache>
                <c:formatCode>0.00</c:formatCode>
                <c:ptCount val="37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2.0547945205479312</c:v>
                </c:pt>
                <c:pt idx="23">
                  <c:v>2.475372568830525</c:v>
                </c:pt>
                <c:pt idx="24">
                  <c:v>2.8</c:v>
                </c:pt>
                <c:pt idx="25">
                  <c:v>3.5</c:v>
                </c:pt>
                <c:pt idx="26">
                  <c:v>3.7</c:v>
                </c:pt>
                <c:pt idx="27">
                  <c:v>3.5</c:v>
                </c:pt>
                <c:pt idx="28">
                  <c:v>3</c:v>
                </c:pt>
                <c:pt idx="29">
                  <c:v>2.6</c:v>
                </c:pt>
                <c:pt idx="30">
                  <c:v>2.6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7-4B36-9CF1-7E45484C1EDF}"/>
            </c:ext>
          </c:extLst>
        </c:ser>
        <c:ser>
          <c:idx val="2"/>
          <c:order val="1"/>
          <c:tx>
            <c:strRef>
              <c:f>'Chart Data'!$C$5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Data'!$Q$5:$BA$5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7-4B36-9CF1-7E45484C1EDF}"/>
            </c:ext>
          </c:extLst>
        </c:ser>
        <c:ser>
          <c:idx val="3"/>
          <c:order val="2"/>
          <c:tx>
            <c:strRef>
              <c:f>'Chart Data'!$C$6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Data'!$Q$6:$BA$6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7-4B36-9CF1-7E45484C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723456"/>
        <c:axId val="991239088"/>
      </c:lineChart>
      <c:lineChart>
        <c:grouping val="standard"/>
        <c:varyColors val="0"/>
        <c:ser>
          <c:idx val="1"/>
          <c:order val="3"/>
          <c:tx>
            <c:strRef>
              <c:f>'Chart Data'!$C$9</c:f>
              <c:strCache>
                <c:ptCount val="1"/>
                <c:pt idx="0">
                  <c:v>Excess supply/excess demand (RHS)</c:v>
                </c:pt>
              </c:strCache>
            </c:strRef>
          </c:tx>
          <c:spPr>
            <a:ln w="12700" cap="rnd">
              <a:noFill/>
              <a:prstDash val="solid"/>
              <a:round/>
            </a:ln>
            <a:effectLst/>
          </c:spPr>
          <c:marker>
            <c:symbol val="diamond"/>
            <c:size val="12"/>
            <c:spPr>
              <a:solidFill>
                <a:schemeClr val="accent2"/>
              </a:solidFill>
              <a:ln w="12700">
                <a:solidFill>
                  <a:srgbClr val="495057"/>
                </a:solidFill>
              </a:ln>
              <a:effectLst/>
            </c:spPr>
          </c:marker>
          <c:cat>
            <c:numRef>
              <c:f>'Chart Data'!$Q$2:$BA$2</c:f>
              <c:numCache>
                <c:formatCode>General</c:formatCode>
                <c:ptCount val="37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  <c:pt idx="24">
                  <c:v>2025</c:v>
                </c:pt>
                <c:pt idx="28">
                  <c:v>2026</c:v>
                </c:pt>
                <c:pt idx="32">
                  <c:v>2027</c:v>
                </c:pt>
                <c:pt idx="36">
                  <c:v>2028</c:v>
                </c:pt>
              </c:numCache>
            </c:numRef>
          </c:cat>
          <c:val>
            <c:numRef>
              <c:f>'Chart Data'!$Q$9:$BA$9</c:f>
              <c:numCache>
                <c:formatCode>0.00</c:formatCode>
                <c:ptCount val="37"/>
                <c:pt idx="20" formatCode="General">
                  <c:v>0.75</c:v>
                </c:pt>
                <c:pt idx="24" formatCode="General">
                  <c:v>0</c:v>
                </c:pt>
                <c:pt idx="28" formatCode="General">
                  <c:v>-0.25</c:v>
                </c:pt>
                <c:pt idx="32" formatCode="General">
                  <c:v>-0.25</c:v>
                </c:pt>
                <c:pt idx="36" formatCode="General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27-4B36-9CF1-7E45484C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826895"/>
        <c:axId val="880822319"/>
      </c:lineChart>
      <c:catAx>
        <c:axId val="986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239088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99123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86723456"/>
        <c:crosses val="autoZero"/>
        <c:crossBetween val="midCat"/>
      </c:valAx>
      <c:valAx>
        <c:axId val="880822319"/>
        <c:scaling>
          <c:orientation val="minMax"/>
          <c:max val="4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80826895"/>
        <c:crosses val="max"/>
        <c:crossBetween val="between"/>
      </c:valAx>
      <c:catAx>
        <c:axId val="88082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0822319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6363214213607916"/>
          <c:y val="0.10246967238735989"/>
          <c:w val="0.56666755638596022"/>
          <c:h val="0.10458831259953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v>Bank of England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Data'!$E$2:$BA$2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Data'!$E$4:$BA$4</c:f>
              <c:numCache>
                <c:formatCode>0.00</c:formatCode>
                <c:ptCount val="49"/>
                <c:pt idx="0">
                  <c:v>0.33500837520936688</c:v>
                </c:pt>
                <c:pt idx="1">
                  <c:v>0.33311125916057893</c:v>
                </c:pt>
                <c:pt idx="2">
                  <c:v>0.69883527454244199</c:v>
                </c:pt>
                <c:pt idx="3">
                  <c:v>1.1964107676969205</c:v>
                </c:pt>
                <c:pt idx="4">
                  <c:v>2.17028380634392</c:v>
                </c:pt>
                <c:pt idx="5">
                  <c:v>2.7556440903054202</c:v>
                </c:pt>
                <c:pt idx="6">
                  <c:v>2.8089887640449396</c:v>
                </c:pt>
                <c:pt idx="7">
                  <c:v>3.0213464696223324</c:v>
                </c:pt>
                <c:pt idx="8">
                  <c:v>2.7124183006535851</c:v>
                </c:pt>
                <c:pt idx="9">
                  <c:v>2.4232633279483107</c:v>
                </c:pt>
                <c:pt idx="10">
                  <c:v>2.5072324011571778</c:v>
                </c:pt>
                <c:pt idx="11">
                  <c:v>2.2633088938476043</c:v>
                </c:pt>
                <c:pt idx="12">
                  <c:v>1.8453706649697699</c:v>
                </c:pt>
                <c:pt idx="13">
                  <c:v>2.018927444794949</c:v>
                </c:pt>
                <c:pt idx="14">
                  <c:v>1.8501097522734433</c:v>
                </c:pt>
                <c:pt idx="15">
                  <c:v>1.4027431421446579</c:v>
                </c:pt>
                <c:pt idx="16">
                  <c:v>1.6557325835676151</c:v>
                </c:pt>
                <c:pt idx="17">
                  <c:v>0.68027210884356037</c:v>
                </c:pt>
                <c:pt idx="18">
                  <c:v>0.61576354679802048</c:v>
                </c:pt>
                <c:pt idx="19">
                  <c:v>0.58407623731939751</c:v>
                </c:pt>
                <c:pt idx="20">
                  <c:v>0.64535955746773954</c:v>
                </c:pt>
                <c:pt idx="21">
                  <c:v>2.0270270270270174</c:v>
                </c:pt>
                <c:pt idx="22">
                  <c:v>2.7539779681762466</c:v>
                </c:pt>
                <c:pt idx="23">
                  <c:v>4.8899755501222497</c:v>
                </c:pt>
                <c:pt idx="24">
                  <c:v>6.1984732824427402</c:v>
                </c:pt>
                <c:pt idx="25">
                  <c:v>9.1511137868753867</c:v>
                </c:pt>
                <c:pt idx="26">
                  <c:v>10.005955926146527</c:v>
                </c:pt>
                <c:pt idx="27">
                  <c:v>10.751748251748271</c:v>
                </c:pt>
                <c:pt idx="28">
                  <c:v>10.178263369752759</c:v>
                </c:pt>
                <c:pt idx="29">
                  <c:v>8.4390512961941777</c:v>
                </c:pt>
                <c:pt idx="30">
                  <c:v>6.7135896047644916</c:v>
                </c:pt>
                <c:pt idx="31">
                  <c:v>4.1568008418837232</c:v>
                </c:pt>
                <c:pt idx="32">
                  <c:v>3.5490605427974886</c:v>
                </c:pt>
                <c:pt idx="33">
                  <c:v>2.1108850457782102</c:v>
                </c:pt>
                <c:pt idx="34">
                  <c:v>2.0547945205479312</c:v>
                </c:pt>
                <c:pt idx="35">
                  <c:v>2.475372568830525</c:v>
                </c:pt>
                <c:pt idx="36">
                  <c:v>2.8</c:v>
                </c:pt>
                <c:pt idx="37">
                  <c:v>3.5</c:v>
                </c:pt>
                <c:pt idx="38">
                  <c:v>3.7</c:v>
                </c:pt>
                <c:pt idx="39">
                  <c:v>3.5</c:v>
                </c:pt>
                <c:pt idx="40">
                  <c:v>3</c:v>
                </c:pt>
                <c:pt idx="41">
                  <c:v>2.6</c:v>
                </c:pt>
                <c:pt idx="42">
                  <c:v>2.6</c:v>
                </c:pt>
                <c:pt idx="43">
                  <c:v>2.4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2.1</c:v>
                </c:pt>
                <c:pt idx="47">
                  <c:v>2</c:v>
                </c:pt>
                <c:pt idx="48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3-4490-8B1F-F93F6EEE5F8E}"/>
            </c:ext>
          </c:extLst>
        </c:ser>
        <c:ser>
          <c:idx val="3"/>
          <c:order val="1"/>
          <c:tx>
            <c:strRef>
              <c:f>'Chart Data'!$A$5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Data'!$E$2:$BA$2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Data'!$E$5:$BA$5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3-4490-8B1F-F93F6EEE5F8E}"/>
            </c:ext>
          </c:extLst>
        </c:ser>
        <c:ser>
          <c:idx val="4"/>
          <c:order val="2"/>
          <c:tx>
            <c:strRef>
              <c:f>'Chart Data'!$A$6</c:f>
              <c:strCache>
                <c:ptCount val="1"/>
                <c:pt idx="0">
                  <c:v>2% LINE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Data'!$E$2:$BA$2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Data'!$E$6:$BA$6</c:f>
              <c:numCache>
                <c:formatCode>General</c:formatCode>
                <c:ptCount val="4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3-4490-8B1F-F93F6EEE5F8E}"/>
            </c:ext>
          </c:extLst>
        </c:ser>
        <c:ser>
          <c:idx val="5"/>
          <c:order val="3"/>
          <c:tx>
            <c:strRef>
              <c:f>'Chart Data'!$A$7</c:f>
              <c:strCache>
                <c:ptCount val="1"/>
                <c:pt idx="0">
                  <c:v>Oxford Economics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Data'!$E$2:$BA$2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Data'!$E$7:$BA$7</c:f>
              <c:numCache>
                <c:formatCode>General</c:formatCode>
                <c:ptCount val="49"/>
                <c:pt idx="34" formatCode="0.0">
                  <c:v>2.0547945205479312</c:v>
                </c:pt>
                <c:pt idx="35" formatCode="0.0">
                  <c:v>2.4753214257839273</c:v>
                </c:pt>
                <c:pt idx="36" formatCode="0.0">
                  <c:v>2.7272926594524627</c:v>
                </c:pt>
                <c:pt idx="37" formatCode="0.0">
                  <c:v>2.9570368510676959</c:v>
                </c:pt>
                <c:pt idx="38" formatCode="0.0">
                  <c:v>3.4639821029082807</c:v>
                </c:pt>
                <c:pt idx="39" formatCode="0.0">
                  <c:v>3.3718766013992152</c:v>
                </c:pt>
                <c:pt idx="40" formatCode="0.0">
                  <c:v>3.1057450284822652</c:v>
                </c:pt>
                <c:pt idx="41" formatCode="0.0">
                  <c:v>2.5992301372805837</c:v>
                </c:pt>
                <c:pt idx="42" formatCode="0.0">
                  <c:v>2.2968722521571783</c:v>
                </c:pt>
                <c:pt idx="43" formatCode="0.0">
                  <c:v>2.0199122704108508</c:v>
                </c:pt>
                <c:pt idx="44" formatCode="0.0">
                  <c:v>2.0348494830967123</c:v>
                </c:pt>
                <c:pt idx="45" formatCode="0.0">
                  <c:v>2.0310909562905932</c:v>
                </c:pt>
                <c:pt idx="46" formatCode="0.0">
                  <c:v>2.0669052785841302</c:v>
                </c:pt>
                <c:pt idx="47" formatCode="0.0">
                  <c:v>2.0879713414048373</c:v>
                </c:pt>
                <c:pt idx="48" formatCode="0.0">
                  <c:v>2.1187229178296851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33-4490-8B1F-F93F6EEE5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807232"/>
        <c:axId val="1003370016"/>
      </c:lineChart>
      <c:catAx>
        <c:axId val="81880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03370016"/>
        <c:crossesAt val="-1"/>
        <c:auto val="1"/>
        <c:lblAlgn val="ctr"/>
        <c:lblOffset val="100"/>
        <c:tickLblSkip val="4"/>
        <c:tickMarkSkip val="4"/>
        <c:noMultiLvlLbl val="0"/>
      </c:catAx>
      <c:valAx>
        <c:axId val="100337001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1880723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7712711250460209"/>
          <c:y val="0.10410014438176324"/>
          <c:w val="0.29235881229132071"/>
          <c:h val="0.10652081842042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74896570132127E-2"/>
          <c:y val="0.15565033124400526"/>
          <c:w val="0.85708427124575526"/>
          <c:h val="0.7016298246005366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Data'!$B$17</c:f>
              <c:strCache>
                <c:ptCount val="1"/>
                <c:pt idx="0">
                  <c:v>Nov-24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Data'!$E$16:$BA$16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Data'!$E$17:$BA$17</c:f>
              <c:numCache>
                <c:formatCode>0.0</c:formatCode>
                <c:ptCount val="49"/>
                <c:pt idx="0">
                  <c:v>5.0999999999999996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</c:v>
                </c:pt>
                <c:pt idx="10">
                  <c:v>4.0999999999999996</c:v>
                </c:pt>
                <c:pt idx="11">
                  <c:v>4</c:v>
                </c:pt>
                <c:pt idx="12">
                  <c:v>3.8</c:v>
                </c:pt>
                <c:pt idx="13">
                  <c:v>3.9</c:v>
                </c:pt>
                <c:pt idx="14">
                  <c:v>3.9</c:v>
                </c:pt>
                <c:pt idx="15">
                  <c:v>3.7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5</c:v>
                </c:pt>
                <c:pt idx="19">
                  <c:v>5.3</c:v>
                </c:pt>
                <c:pt idx="20">
                  <c:v>4.9000000000000004</c:v>
                </c:pt>
                <c:pt idx="21">
                  <c:v>4.7</c:v>
                </c:pt>
                <c:pt idx="22">
                  <c:v>4.4000000000000004</c:v>
                </c:pt>
                <c:pt idx="23">
                  <c:v>4.2</c:v>
                </c:pt>
                <c:pt idx="24">
                  <c:v>3.8</c:v>
                </c:pt>
                <c:pt idx="25">
                  <c:v>3.8</c:v>
                </c:pt>
                <c:pt idx="26">
                  <c:v>3.7</c:v>
                </c:pt>
                <c:pt idx="27">
                  <c:v>3.9</c:v>
                </c:pt>
                <c:pt idx="28">
                  <c:v>4</c:v>
                </c:pt>
                <c:pt idx="29">
                  <c:v>4.2</c:v>
                </c:pt>
                <c:pt idx="30">
                  <c:v>4.0999999999999996</c:v>
                </c:pt>
                <c:pt idx="31">
                  <c:v>3.9</c:v>
                </c:pt>
                <c:pt idx="32">
                  <c:v>4.3</c:v>
                </c:pt>
                <c:pt idx="33">
                  <c:v>4.2</c:v>
                </c:pt>
                <c:pt idx="34">
                  <c:v>4.2</c:v>
                </c:pt>
                <c:pt idx="35">
                  <c:v>4.2</c:v>
                </c:pt>
                <c:pt idx="36">
                  <c:v>4.0999999999999996</c:v>
                </c:pt>
                <c:pt idx="37">
                  <c:v>4.0999999999999996</c:v>
                </c:pt>
                <c:pt idx="38">
                  <c:v>4.0999999999999996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4.3</c:v>
                </c:pt>
                <c:pt idx="44">
                  <c:v>4.3</c:v>
                </c:pt>
                <c:pt idx="45">
                  <c:v>4.4000000000000004</c:v>
                </c:pt>
                <c:pt idx="46">
                  <c:v>4.4000000000000004</c:v>
                </c:pt>
                <c:pt idx="47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0-4740-812A-52B51243DB47}"/>
            </c:ext>
          </c:extLst>
        </c:ser>
        <c:ser>
          <c:idx val="1"/>
          <c:order val="1"/>
          <c:tx>
            <c:strRef>
              <c:f>'Chart Data'!$B$18</c:f>
              <c:strCache>
                <c:ptCount val="1"/>
                <c:pt idx="0">
                  <c:v>Feb-25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Data'!$E$16:$BA$16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Data'!$E$18:$BA$18</c:f>
              <c:numCache>
                <c:formatCode>0.0</c:formatCode>
                <c:ptCount val="49"/>
                <c:pt idx="0">
                  <c:v>5.0999999999999996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</c:v>
                </c:pt>
                <c:pt idx="10">
                  <c:v>4.0999999999999996</c:v>
                </c:pt>
                <c:pt idx="11">
                  <c:v>4</c:v>
                </c:pt>
                <c:pt idx="12">
                  <c:v>3.8</c:v>
                </c:pt>
                <c:pt idx="13">
                  <c:v>3.9</c:v>
                </c:pt>
                <c:pt idx="14">
                  <c:v>3.9</c:v>
                </c:pt>
                <c:pt idx="15">
                  <c:v>3.7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5</c:v>
                </c:pt>
                <c:pt idx="19">
                  <c:v>5.3</c:v>
                </c:pt>
                <c:pt idx="20">
                  <c:v>4.9000000000000004</c:v>
                </c:pt>
                <c:pt idx="21">
                  <c:v>4.7</c:v>
                </c:pt>
                <c:pt idx="22">
                  <c:v>4.4000000000000004</c:v>
                </c:pt>
                <c:pt idx="23">
                  <c:v>4.2</c:v>
                </c:pt>
                <c:pt idx="24">
                  <c:v>3.8</c:v>
                </c:pt>
                <c:pt idx="25">
                  <c:v>3.8</c:v>
                </c:pt>
                <c:pt idx="26">
                  <c:v>3.7</c:v>
                </c:pt>
                <c:pt idx="27">
                  <c:v>3.9</c:v>
                </c:pt>
                <c:pt idx="28">
                  <c:v>4</c:v>
                </c:pt>
                <c:pt idx="29">
                  <c:v>4.2</c:v>
                </c:pt>
                <c:pt idx="30">
                  <c:v>4.0999999999999996</c:v>
                </c:pt>
                <c:pt idx="31">
                  <c:v>3.9</c:v>
                </c:pt>
                <c:pt idx="32">
                  <c:v>4.3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4.5999999999999996</c:v>
                </c:pt>
                <c:pt idx="43">
                  <c:v>4.7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6-4EE6-A7A8-6060FE50A3FB}"/>
            </c:ext>
          </c:extLst>
        </c:ser>
        <c:ser>
          <c:idx val="2"/>
          <c:order val="2"/>
          <c:tx>
            <c:strRef>
              <c:f>'Chart Data'!$B$19</c:f>
              <c:strCache>
                <c:ptCount val="1"/>
                <c:pt idx="0">
                  <c:v>Equilibrium</c:v>
                </c:pt>
              </c:strCache>
            </c:strRef>
          </c:tx>
          <c:spPr>
            <a:ln w="25400" cap="rnd">
              <a:solidFill>
                <a:srgbClr val="49505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'Chart Data'!$E$16:$BA$16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Data'!$E$19:$BA$19</c:f>
              <c:numCache>
                <c:formatCode>General</c:formatCode>
                <c:ptCount val="49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4.25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  <c:pt idx="13">
                  <c:v>4.25</c:v>
                </c:pt>
                <c:pt idx="14">
                  <c:v>4.25</c:v>
                </c:pt>
                <c:pt idx="15">
                  <c:v>4.25</c:v>
                </c:pt>
                <c:pt idx="16">
                  <c:v>4.25</c:v>
                </c:pt>
                <c:pt idx="17">
                  <c:v>4.25</c:v>
                </c:pt>
                <c:pt idx="18">
                  <c:v>4.25</c:v>
                </c:pt>
                <c:pt idx="19">
                  <c:v>4.25</c:v>
                </c:pt>
                <c:pt idx="20">
                  <c:v>4.25</c:v>
                </c:pt>
                <c:pt idx="21">
                  <c:v>4.25</c:v>
                </c:pt>
                <c:pt idx="22">
                  <c:v>4.25</c:v>
                </c:pt>
                <c:pt idx="23">
                  <c:v>4.25</c:v>
                </c:pt>
                <c:pt idx="24">
                  <c:v>4.25</c:v>
                </c:pt>
                <c:pt idx="25">
                  <c:v>4.25</c:v>
                </c:pt>
                <c:pt idx="26">
                  <c:v>4.25</c:v>
                </c:pt>
                <c:pt idx="27">
                  <c:v>4.25</c:v>
                </c:pt>
                <c:pt idx="28">
                  <c:v>4.25</c:v>
                </c:pt>
                <c:pt idx="29">
                  <c:v>4.25</c:v>
                </c:pt>
                <c:pt idx="30">
                  <c:v>4.25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B-416C-A4F3-F6AFAB3B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549232"/>
        <c:axId val="991005424"/>
      </c:lineChart>
      <c:catAx>
        <c:axId val="100954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 panose="020B0502040204020203" pitchFamily="34" charset="0"/>
                <a:ea typeface="Arial"/>
                <a:cs typeface="Arial"/>
              </a:defRPr>
            </a:pPr>
            <a:endParaRPr lang="en-US"/>
          </a:p>
        </c:txPr>
        <c:crossAx val="99100542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91005424"/>
        <c:scaling>
          <c:orientation val="minMax"/>
          <c:min val="3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 panose="020B0502040204020203" pitchFamily="34" charset="0"/>
                <a:ea typeface="Arial"/>
                <a:cs typeface="Arial"/>
              </a:defRPr>
            </a:pPr>
            <a:endParaRPr lang="en-US"/>
          </a:p>
        </c:txPr>
        <c:crossAx val="100954923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9998440025505285"/>
          <c:y val="0.10336321821158495"/>
          <c:w val="0.42878657117012914"/>
          <c:h val="6.2997174858093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Data'!$A$18</c:f>
              <c:strCache>
                <c:ptCount val="1"/>
                <c:pt idx="0">
                  <c:v>BoE - Feb25</c:v>
                </c:pt>
              </c:strCache>
            </c:strRef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Data'!$E$16:$BA$16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Data'!$E$18:$BA$18</c:f>
              <c:numCache>
                <c:formatCode>0.0</c:formatCode>
                <c:ptCount val="49"/>
                <c:pt idx="0">
                  <c:v>5.0999999999999996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</c:v>
                </c:pt>
                <c:pt idx="10">
                  <c:v>4.0999999999999996</c:v>
                </c:pt>
                <c:pt idx="11">
                  <c:v>4</c:v>
                </c:pt>
                <c:pt idx="12">
                  <c:v>3.8</c:v>
                </c:pt>
                <c:pt idx="13">
                  <c:v>3.9</c:v>
                </c:pt>
                <c:pt idx="14">
                  <c:v>3.9</c:v>
                </c:pt>
                <c:pt idx="15">
                  <c:v>3.7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5</c:v>
                </c:pt>
                <c:pt idx="19">
                  <c:v>5.3</c:v>
                </c:pt>
                <c:pt idx="20">
                  <c:v>4.9000000000000004</c:v>
                </c:pt>
                <c:pt idx="21">
                  <c:v>4.7</c:v>
                </c:pt>
                <c:pt idx="22">
                  <c:v>4.4000000000000004</c:v>
                </c:pt>
                <c:pt idx="23">
                  <c:v>4.2</c:v>
                </c:pt>
                <c:pt idx="24">
                  <c:v>3.8</c:v>
                </c:pt>
                <c:pt idx="25">
                  <c:v>3.8</c:v>
                </c:pt>
                <c:pt idx="26">
                  <c:v>3.7</c:v>
                </c:pt>
                <c:pt idx="27">
                  <c:v>3.9</c:v>
                </c:pt>
                <c:pt idx="28">
                  <c:v>4</c:v>
                </c:pt>
                <c:pt idx="29">
                  <c:v>4.2</c:v>
                </c:pt>
                <c:pt idx="30">
                  <c:v>4.0999999999999996</c:v>
                </c:pt>
                <c:pt idx="31">
                  <c:v>3.9</c:v>
                </c:pt>
                <c:pt idx="32">
                  <c:v>4.3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4.5999999999999996</c:v>
                </c:pt>
                <c:pt idx="43">
                  <c:v>4.7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C-4578-8E85-E68793FC458B}"/>
            </c:ext>
          </c:extLst>
        </c:ser>
        <c:ser>
          <c:idx val="4"/>
          <c:order val="1"/>
          <c:tx>
            <c:strRef>
              <c:f>'Chart Data'!$A$20</c:f>
              <c:strCache>
                <c:ptCount val="1"/>
                <c:pt idx="0">
                  <c:v>Oxford Economics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Data'!$E$16:$BA$16</c:f>
              <c:numCache>
                <c:formatCode>General</c:formatCode>
                <c:ptCount val="49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  <c:pt idx="36">
                  <c:v>2025</c:v>
                </c:pt>
                <c:pt idx="40">
                  <c:v>2026</c:v>
                </c:pt>
                <c:pt idx="44">
                  <c:v>2027</c:v>
                </c:pt>
                <c:pt idx="48">
                  <c:v>2028</c:v>
                </c:pt>
              </c:numCache>
            </c:numRef>
          </c:cat>
          <c:val>
            <c:numRef>
              <c:f>'Chart Data'!$E$20:$BA$20</c:f>
              <c:numCache>
                <c:formatCode>General</c:formatCode>
                <c:ptCount val="49"/>
                <c:pt idx="33" formatCode="0.0">
                  <c:v>4.2</c:v>
                </c:pt>
                <c:pt idx="34" formatCode="0.0">
                  <c:v>4.3</c:v>
                </c:pt>
                <c:pt idx="35" formatCode="0.0">
                  <c:v>4.4083839999999999</c:v>
                </c:pt>
                <c:pt idx="36" formatCode="0.0">
                  <c:v>4.492019</c:v>
                </c:pt>
                <c:pt idx="37" formatCode="0.0">
                  <c:v>4.5025069999999996</c:v>
                </c:pt>
                <c:pt idx="38" formatCode="0.0">
                  <c:v>4.5120149999999999</c:v>
                </c:pt>
                <c:pt idx="39" formatCode="0.0">
                  <c:v>4.5025310000000003</c:v>
                </c:pt>
                <c:pt idx="40" formatCode="0.0">
                  <c:v>4.4834519999999998</c:v>
                </c:pt>
                <c:pt idx="41" formatCode="0.0">
                  <c:v>4.4739440000000004</c:v>
                </c:pt>
                <c:pt idx="42" formatCode="0.0">
                  <c:v>4.4596780000000003</c:v>
                </c:pt>
                <c:pt idx="43" formatCode="0.0">
                  <c:v>4.435829</c:v>
                </c:pt>
                <c:pt idx="44" formatCode="0.0">
                  <c:v>4.4043850000000004</c:v>
                </c:pt>
                <c:pt idx="45" formatCode="0.0">
                  <c:v>4.3567140000000002</c:v>
                </c:pt>
                <c:pt idx="46" formatCode="0.0">
                  <c:v>4.3013789999999998</c:v>
                </c:pt>
                <c:pt idx="47" formatCode="0.0">
                  <c:v>4.2512549999999996</c:v>
                </c:pt>
                <c:pt idx="48" formatCode="0.0">
                  <c:v>4.2011289999999999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C-4578-8E85-E68793FC4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348048"/>
        <c:axId val="1040515792"/>
      </c:lineChart>
      <c:catAx>
        <c:axId val="99934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4051579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40515792"/>
        <c:scaling>
          <c:orientation val="minMax"/>
          <c:min val="3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934804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7474911224332252"/>
          <c:y val="9.4719050950389239E-2"/>
          <c:w val="0.29235881229132071"/>
          <c:h val="0.10652081842042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3"/>
          <c:order val="0"/>
          <c:tx>
            <c:strRef>
              <c:f>'Chart Data'!$A$24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Data'!$E$24:$BB$24</c:f>
              <c:numCache>
                <c:formatCode>0.00</c:formatCode>
                <c:ptCount val="50"/>
                <c:pt idx="0">
                  <c:v>0.5</c:v>
                </c:pt>
                <c:pt idx="1">
                  <c:v>0.5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0.25</c:v>
                </c:pt>
                <c:pt idx="24">
                  <c:v>0.75</c:v>
                </c:pt>
                <c:pt idx="25">
                  <c:v>1.25</c:v>
                </c:pt>
                <c:pt idx="26">
                  <c:v>2.25</c:v>
                </c:pt>
                <c:pt idx="27">
                  <c:v>3.5</c:v>
                </c:pt>
                <c:pt idx="28">
                  <c:v>4.25</c:v>
                </c:pt>
                <c:pt idx="29">
                  <c:v>5</c:v>
                </c:pt>
                <c:pt idx="30">
                  <c:v>5.25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</c:v>
                </c:pt>
                <c:pt idx="35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F-42EF-AB2D-F62E50306E04}"/>
            </c:ext>
          </c:extLst>
        </c:ser>
        <c:ser>
          <c:idx val="1"/>
          <c:order val="1"/>
          <c:tx>
            <c:strRef>
              <c:f>'Chart Data'!$A$25</c:f>
              <c:strCache>
                <c:ptCount val="1"/>
                <c:pt idx="0">
                  <c:v>Market expectations (MPR Nov24)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Data'!$E$25:$BB$25</c:f>
              <c:numCache>
                <c:formatCode>0.00</c:formatCode>
                <c:ptCount val="50"/>
                <c:pt idx="35">
                  <c:v>4.78</c:v>
                </c:pt>
                <c:pt idx="36">
                  <c:v>4.3899999999999997</c:v>
                </c:pt>
                <c:pt idx="37">
                  <c:v>4.03</c:v>
                </c:pt>
                <c:pt idx="38">
                  <c:v>3.81</c:v>
                </c:pt>
                <c:pt idx="39">
                  <c:v>3.72</c:v>
                </c:pt>
                <c:pt idx="40">
                  <c:v>3.69</c:v>
                </c:pt>
                <c:pt idx="41">
                  <c:v>3.68</c:v>
                </c:pt>
                <c:pt idx="42">
                  <c:v>3.67</c:v>
                </c:pt>
                <c:pt idx="43">
                  <c:v>3.66</c:v>
                </c:pt>
                <c:pt idx="44">
                  <c:v>3.64</c:v>
                </c:pt>
                <c:pt idx="45">
                  <c:v>3.63</c:v>
                </c:pt>
                <c:pt idx="46">
                  <c:v>3.62</c:v>
                </c:pt>
                <c:pt idx="47">
                  <c:v>3.6</c:v>
                </c:pt>
                <c:pt idx="4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5-4B71-9FAC-AABD02FBF1F4}"/>
            </c:ext>
          </c:extLst>
        </c:ser>
        <c:ser>
          <c:idx val="2"/>
          <c:order val="2"/>
          <c:tx>
            <c:strRef>
              <c:f>'Chart Data'!$A$26</c:f>
              <c:strCache>
                <c:ptCount val="1"/>
                <c:pt idx="0">
                  <c:v>Market expectations (MPR Feb25)</c:v>
                </c:pt>
              </c:strCache>
            </c:strRef>
          </c:tx>
          <c:spPr>
            <a:ln w="38100" cap="rnd">
              <a:solidFill>
                <a:srgbClr val="D1A21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Data'!$E$26:$BB$26</c:f>
              <c:numCache>
                <c:formatCode>0.00</c:formatCode>
                <c:ptCount val="50"/>
                <c:pt idx="36">
                  <c:v>4.55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4.16</c:v>
                </c:pt>
                <c:pt idx="40">
                  <c:v>4.1500000000000004</c:v>
                </c:pt>
                <c:pt idx="41">
                  <c:v>4.1500000000000004</c:v>
                </c:pt>
                <c:pt idx="42">
                  <c:v>4.13</c:v>
                </c:pt>
                <c:pt idx="43">
                  <c:v>4.1100000000000003</c:v>
                </c:pt>
                <c:pt idx="44">
                  <c:v>4.08</c:v>
                </c:pt>
                <c:pt idx="45">
                  <c:v>4.0599999999999996</c:v>
                </c:pt>
                <c:pt idx="46">
                  <c:v>4.03</c:v>
                </c:pt>
                <c:pt idx="47">
                  <c:v>4.01</c:v>
                </c:pt>
                <c:pt idx="48">
                  <c:v>3.99</c:v>
                </c:pt>
                <c:pt idx="49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8-4E8F-A821-7F42640C0D1F}"/>
            </c:ext>
          </c:extLst>
        </c:ser>
        <c:ser>
          <c:idx val="4"/>
          <c:order val="3"/>
          <c:tx>
            <c:strRef>
              <c:f>'Chart Data'!$A$28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Data'!$E$28:$BB$28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E-43BE-98A6-F3FEDF697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17824"/>
        <c:axId val="1010577232"/>
      </c:lineChart>
      <c:dateAx>
        <c:axId val="82061782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10577232"/>
        <c:crossesAt val="-0.2"/>
        <c:auto val="1"/>
        <c:lblOffset val="100"/>
        <c:baseTimeUnit val="months"/>
        <c:majorUnit val="12"/>
        <c:majorTimeUnit val="months"/>
        <c:minorUnit val="4"/>
      </c:dateAx>
      <c:valAx>
        <c:axId val="101057723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2061782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4278712279609117"/>
          <c:y val="0.64108847780166089"/>
          <c:w val="0.55450141613654225"/>
          <c:h val="0.1849224292507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Data'!$A$24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Data'!$E$24:$BB$24</c:f>
              <c:numCache>
                <c:formatCode>0.00</c:formatCode>
                <c:ptCount val="50"/>
                <c:pt idx="0">
                  <c:v>0.5</c:v>
                </c:pt>
                <c:pt idx="1">
                  <c:v>0.5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0.25</c:v>
                </c:pt>
                <c:pt idx="24">
                  <c:v>0.75</c:v>
                </c:pt>
                <c:pt idx="25">
                  <c:v>1.25</c:v>
                </c:pt>
                <c:pt idx="26">
                  <c:v>2.25</c:v>
                </c:pt>
                <c:pt idx="27">
                  <c:v>3.5</c:v>
                </c:pt>
                <c:pt idx="28">
                  <c:v>4.25</c:v>
                </c:pt>
                <c:pt idx="29">
                  <c:v>5</c:v>
                </c:pt>
                <c:pt idx="30">
                  <c:v>5.25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</c:v>
                </c:pt>
                <c:pt idx="35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8-4BA5-AF5E-0FAA41EB3F62}"/>
            </c:ext>
          </c:extLst>
        </c:ser>
        <c:ser>
          <c:idx val="3"/>
          <c:order val="1"/>
          <c:tx>
            <c:strRef>
              <c:f>'Chart Data'!$A$25</c:f>
              <c:strCache>
                <c:ptCount val="1"/>
                <c:pt idx="0">
                  <c:v>Market expectations (MPR Nov24)</c:v>
                </c:pt>
              </c:strCache>
            </c:strRef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Data'!$E$25:$BB$25</c:f>
              <c:numCache>
                <c:formatCode>0.00</c:formatCode>
                <c:ptCount val="50"/>
                <c:pt idx="35">
                  <c:v>4.78</c:v>
                </c:pt>
                <c:pt idx="36">
                  <c:v>4.3899999999999997</c:v>
                </c:pt>
                <c:pt idx="37">
                  <c:v>4.03</c:v>
                </c:pt>
                <c:pt idx="38">
                  <c:v>3.81</c:v>
                </c:pt>
                <c:pt idx="39">
                  <c:v>3.72</c:v>
                </c:pt>
                <c:pt idx="40">
                  <c:v>3.69</c:v>
                </c:pt>
                <c:pt idx="41">
                  <c:v>3.68</c:v>
                </c:pt>
                <c:pt idx="42">
                  <c:v>3.67</c:v>
                </c:pt>
                <c:pt idx="43">
                  <c:v>3.66</c:v>
                </c:pt>
                <c:pt idx="44">
                  <c:v>3.64</c:v>
                </c:pt>
                <c:pt idx="45">
                  <c:v>3.63</c:v>
                </c:pt>
                <c:pt idx="46">
                  <c:v>3.62</c:v>
                </c:pt>
                <c:pt idx="47">
                  <c:v>3.6</c:v>
                </c:pt>
                <c:pt idx="4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3-4B3F-9808-B4B784E99A85}"/>
            </c:ext>
          </c:extLst>
        </c:ser>
        <c:ser>
          <c:idx val="0"/>
          <c:order val="2"/>
          <c:tx>
            <c:strRef>
              <c:f>'Chart Data'!$A$26</c:f>
              <c:strCache>
                <c:ptCount val="1"/>
                <c:pt idx="0">
                  <c:v>Market expectations (MPR Feb25)</c:v>
                </c:pt>
              </c:strCache>
            </c:strRef>
          </c:tx>
          <c:spPr>
            <a:ln w="38100" cap="rnd">
              <a:solidFill>
                <a:srgbClr val="D1A21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Data'!$E$26:$BB$26</c:f>
              <c:numCache>
                <c:formatCode>0.00</c:formatCode>
                <c:ptCount val="50"/>
                <c:pt idx="36">
                  <c:v>4.55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4.16</c:v>
                </c:pt>
                <c:pt idx="40">
                  <c:v>4.1500000000000004</c:v>
                </c:pt>
                <c:pt idx="41">
                  <c:v>4.1500000000000004</c:v>
                </c:pt>
                <c:pt idx="42">
                  <c:v>4.13</c:v>
                </c:pt>
                <c:pt idx="43">
                  <c:v>4.1100000000000003</c:v>
                </c:pt>
                <c:pt idx="44">
                  <c:v>4.08</c:v>
                </c:pt>
                <c:pt idx="45">
                  <c:v>4.0599999999999996</c:v>
                </c:pt>
                <c:pt idx="46">
                  <c:v>4.03</c:v>
                </c:pt>
                <c:pt idx="47">
                  <c:v>4.01</c:v>
                </c:pt>
                <c:pt idx="48">
                  <c:v>3.99</c:v>
                </c:pt>
                <c:pt idx="49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3-4B3F-9808-B4B784E99A85}"/>
            </c:ext>
          </c:extLst>
        </c:ser>
        <c:ser>
          <c:idx val="4"/>
          <c:order val="3"/>
          <c:tx>
            <c:strRef>
              <c:f>'Chart Data'!$A$27</c:f>
              <c:strCache>
                <c:ptCount val="1"/>
                <c:pt idx="0">
                  <c:v>Oxford Economics</c:v>
                </c:pt>
              </c:strCache>
            </c:strRef>
          </c:tx>
          <c:spPr>
            <a:ln w="38100" cap="rnd">
              <a:solidFill>
                <a:srgbClr val="7B7C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Data'!$E$27:$BB$27</c:f>
              <c:numCache>
                <c:formatCode>0.00</c:formatCode>
                <c:ptCount val="50"/>
                <c:pt idx="35">
                  <c:v>4.75</c:v>
                </c:pt>
                <c:pt idx="36">
                  <c:v>4.5</c:v>
                </c:pt>
                <c:pt idx="37">
                  <c:v>4.25</c:v>
                </c:pt>
                <c:pt idx="38">
                  <c:v>4</c:v>
                </c:pt>
                <c:pt idx="39">
                  <c:v>3.75</c:v>
                </c:pt>
                <c:pt idx="40">
                  <c:v>3.5</c:v>
                </c:pt>
                <c:pt idx="41">
                  <c:v>3.25</c:v>
                </c:pt>
                <c:pt idx="42">
                  <c:v>3.25</c:v>
                </c:pt>
                <c:pt idx="43">
                  <c:v>3</c:v>
                </c:pt>
                <c:pt idx="44">
                  <c:v>3</c:v>
                </c:pt>
                <c:pt idx="45">
                  <c:v>2.75</c:v>
                </c:pt>
                <c:pt idx="46">
                  <c:v>2.75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1-425E-A9D6-AFECDF363C88}"/>
            </c:ext>
          </c:extLst>
        </c:ser>
        <c:ser>
          <c:idx val="2"/>
          <c:order val="4"/>
          <c:tx>
            <c:strRef>
              <c:f>'Chart Data'!$A$28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Data'!$E$23:$BB$23</c:f>
              <c:numCache>
                <c:formatCode>mmm\-yy</c:formatCode>
                <c:ptCount val="50"/>
                <c:pt idx="0">
                  <c:v>42370</c:v>
                </c:pt>
                <c:pt idx="1">
                  <c:v>42461</c:v>
                </c:pt>
                <c:pt idx="2">
                  <c:v>42552</c:v>
                </c:pt>
                <c:pt idx="3">
                  <c:v>42644</c:v>
                </c:pt>
                <c:pt idx="4">
                  <c:v>42736</c:v>
                </c:pt>
                <c:pt idx="5">
                  <c:v>42826</c:v>
                </c:pt>
                <c:pt idx="6">
                  <c:v>42917</c:v>
                </c:pt>
                <c:pt idx="7">
                  <c:v>43009</c:v>
                </c:pt>
                <c:pt idx="8">
                  <c:v>43101</c:v>
                </c:pt>
                <c:pt idx="9">
                  <c:v>43191</c:v>
                </c:pt>
                <c:pt idx="10">
                  <c:v>43282</c:v>
                </c:pt>
                <c:pt idx="11">
                  <c:v>43374</c:v>
                </c:pt>
                <c:pt idx="12">
                  <c:v>43466</c:v>
                </c:pt>
                <c:pt idx="13">
                  <c:v>43556</c:v>
                </c:pt>
                <c:pt idx="14">
                  <c:v>43647</c:v>
                </c:pt>
                <c:pt idx="15">
                  <c:v>43739</c:v>
                </c:pt>
                <c:pt idx="16">
                  <c:v>43831</c:v>
                </c:pt>
                <c:pt idx="17">
                  <c:v>43922</c:v>
                </c:pt>
                <c:pt idx="18">
                  <c:v>44013</c:v>
                </c:pt>
                <c:pt idx="19">
                  <c:v>44105</c:v>
                </c:pt>
                <c:pt idx="20">
                  <c:v>44197</c:v>
                </c:pt>
                <c:pt idx="21">
                  <c:v>44287</c:v>
                </c:pt>
                <c:pt idx="22">
                  <c:v>44378</c:v>
                </c:pt>
                <c:pt idx="23">
                  <c:v>44470</c:v>
                </c:pt>
                <c:pt idx="24">
                  <c:v>44562</c:v>
                </c:pt>
                <c:pt idx="25">
                  <c:v>44652</c:v>
                </c:pt>
                <c:pt idx="26">
                  <c:v>44743</c:v>
                </c:pt>
                <c:pt idx="27">
                  <c:v>44835</c:v>
                </c:pt>
                <c:pt idx="28">
                  <c:v>44927</c:v>
                </c:pt>
                <c:pt idx="29">
                  <c:v>45017</c:v>
                </c:pt>
                <c:pt idx="30">
                  <c:v>45108</c:v>
                </c:pt>
                <c:pt idx="31">
                  <c:v>45200</c:v>
                </c:pt>
                <c:pt idx="32">
                  <c:v>45292</c:v>
                </c:pt>
                <c:pt idx="33">
                  <c:v>45383</c:v>
                </c:pt>
                <c:pt idx="34">
                  <c:v>45474</c:v>
                </c:pt>
                <c:pt idx="35">
                  <c:v>45566</c:v>
                </c:pt>
                <c:pt idx="36">
                  <c:v>45658</c:v>
                </c:pt>
                <c:pt idx="37">
                  <c:v>45748</c:v>
                </c:pt>
                <c:pt idx="38">
                  <c:v>45839</c:v>
                </c:pt>
                <c:pt idx="39">
                  <c:v>45931</c:v>
                </c:pt>
                <c:pt idx="40">
                  <c:v>46023</c:v>
                </c:pt>
                <c:pt idx="41">
                  <c:v>46113</c:v>
                </c:pt>
                <c:pt idx="42">
                  <c:v>46204</c:v>
                </c:pt>
                <c:pt idx="43">
                  <c:v>46296</c:v>
                </c:pt>
                <c:pt idx="44">
                  <c:v>46388</c:v>
                </c:pt>
                <c:pt idx="45">
                  <c:v>46478</c:v>
                </c:pt>
                <c:pt idx="46">
                  <c:v>46569</c:v>
                </c:pt>
                <c:pt idx="47">
                  <c:v>46661</c:v>
                </c:pt>
                <c:pt idx="48">
                  <c:v>46753</c:v>
                </c:pt>
                <c:pt idx="49">
                  <c:v>46844</c:v>
                </c:pt>
              </c:numCache>
            </c:numRef>
          </c:cat>
          <c:val>
            <c:numRef>
              <c:f>'Chart Data'!$E$28:$BB$28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1-426C-B0A1-CB564E578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551728"/>
        <c:axId val="994471952"/>
      </c:lineChart>
      <c:dateAx>
        <c:axId val="100955172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12700" cap="flat" cmpd="sng" algn="ctr">
            <a:solidFill>
              <a:srgbClr val="49505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4471952"/>
        <c:crossesAt val="-0.2"/>
        <c:auto val="0"/>
        <c:lblOffset val="100"/>
        <c:baseTimeUnit val="months"/>
        <c:majorUnit val="12"/>
        <c:majorTimeUnit val="months"/>
        <c:minorUnit val="4"/>
      </c:dateAx>
      <c:valAx>
        <c:axId val="9944719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2700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095517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47874122514346718"/>
          <c:y val="0.6006930321828583"/>
          <c:w val="0.48058080875483788"/>
          <c:h val="0.23237144861842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2CBCA0-26B5-439B-BA2A-31BA5AFBD438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8B5FED-C0C7-4A9E-9D80-FEC884DCF84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D1C668-7702-4B34-9073-23A8716BDA0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D25E97-64A6-4E33-B1D3-B0A04823DAB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74E412-160E-445F-A0C9-8EF53D54D6A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7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8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1EC52-00FF-4D8B-8BEC-F147F496BA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0.41935</cdr:x>
      <cdr:y>0.60712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97957" y="3744471"/>
          <a:ext cx="36998" cy="34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800" b="0" i="0" u="none" strike="noStrike" baseline="0">
            <a:solidFill>
              <a:srgbClr val="495057"/>
            </a:solidFill>
            <a:latin typeface="Segoe UI" panose="020B0502040204020203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0.41935</cdr:x>
      <cdr:y>0.60712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97957" y="3744471"/>
          <a:ext cx="36998" cy="34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800" b="0" i="0" u="none" strike="noStrike" baseline="0">
            <a:solidFill>
              <a:srgbClr val="495057"/>
            </a:solidFill>
            <a:latin typeface="Segoe UI" panose="020B0502040204020203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74FB59-C7FF-4F07-822B-3621C8511B0F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Forecasts for GDP growth in 2024-2026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0.96205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7EBC198-FD95-4DA2-A479-DCA0A6AD64C4}"/>
            </a:ext>
          </a:extLst>
        </cdr:cNvPr>
        <cdr:cNvSpPr/>
      </cdr:nvSpPr>
      <cdr:spPr>
        <a:xfrm xmlns:a="http://schemas.openxmlformats.org/drawingml/2006/main">
          <a:off x="50800" y="6403975"/>
          <a:ext cx="8058890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BoE, HMT, OBR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42FC03E-780C-49BA-B21C-D615E701DE06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0.20362</cdr:x>
      <cdr:y>0.9017</cdr:y>
    </cdr:from>
    <cdr:to>
      <cdr:x>1</cdr:x>
      <cdr:y>0.95652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534719-7E61-40AC-9CE1-AD2E4C6B3C6B}"/>
            </a:ext>
          </a:extLst>
        </cdr:cNvPr>
        <cdr:cNvSpPr txBox="1"/>
      </cdr:nvSpPr>
      <cdr:spPr>
        <a:xfrm xmlns:a="http://schemas.openxmlformats.org/drawingml/2006/main">
          <a:off x="1714500" y="6057900"/>
          <a:ext cx="6705600" cy="36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BoE forecasts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based on market interest rate expectations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81988-BA25-49C2-AA9A-05742DA37E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999AE4-B9B3-42D4-8EA5-A1A94F2FCB77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BoE forecasts for CPI inflation*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A0727A-B814-43F5-A8C1-DF051AE29FC3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E643717-0FA3-4C6C-944D-B516301BB33C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0.1414</cdr:x>
      <cdr:y>0.67897</cdr:y>
    </cdr:from>
    <cdr:to>
      <cdr:x>0.32987</cdr:x>
      <cdr:y>0.77926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E8CE736-B7F1-4729-AB75-CEB836A0FED4}"/>
            </a:ext>
          </a:extLst>
        </cdr:cNvPr>
        <cdr:cNvSpPr txBox="1"/>
      </cdr:nvSpPr>
      <cdr:spPr>
        <a:xfrm xmlns:a="http://schemas.openxmlformats.org/drawingml/2006/main">
          <a:off x="1191962" y="4572318"/>
          <a:ext cx="1588732" cy="6753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0.19887</cdr:x>
      <cdr:y>0.06789</cdr:y>
    </cdr:from>
    <cdr:to>
      <cdr:x>1</cdr:x>
      <cdr:y>0.14003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848724E-0C91-445C-9B77-BD500279298C}"/>
            </a:ext>
          </a:extLst>
        </cdr:cNvPr>
        <cdr:cNvSpPr txBox="1"/>
      </cdr:nvSpPr>
      <cdr:spPr>
        <a:xfrm xmlns:a="http://schemas.openxmlformats.org/drawingml/2006/main">
          <a:off x="1676400" y="457183"/>
          <a:ext cx="6753225" cy="485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* BoE modal forecast based on market interest rate expectations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D5592-1A14-B310-D996-2905DAC615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999AE4-B9B3-42D4-8EA5-A1A94F2FCB77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A0727A-B814-43F5-A8C1-DF051AE29FC3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E643717-0FA3-4C6C-944D-B516301BB33C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 Monetary Policy Report</a:t>
          </a:r>
        </a:p>
      </cdr:txBody>
    </cdr:sp>
  </cdr:relSizeAnchor>
  <cdr:relSizeAnchor xmlns:cdr="http://schemas.openxmlformats.org/drawingml/2006/chartDrawing">
    <cdr:from>
      <cdr:x>0.14253</cdr:x>
      <cdr:y>0.68746</cdr:y>
    </cdr:from>
    <cdr:to>
      <cdr:x>0.331</cdr:x>
      <cdr:y>0.78775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E8CE736-B7F1-4729-AB75-CEB836A0FED4}"/>
            </a:ext>
          </a:extLst>
        </cdr:cNvPr>
        <cdr:cNvSpPr txBox="1"/>
      </cdr:nvSpPr>
      <cdr:spPr>
        <a:xfrm xmlns:a="http://schemas.openxmlformats.org/drawingml/2006/main">
          <a:off x="1201487" y="4629468"/>
          <a:ext cx="1588732" cy="6753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0.84404</cdr:x>
      <cdr:y>0.20274</cdr:y>
    </cdr:from>
    <cdr:to>
      <cdr:x>0.84404</cdr:x>
      <cdr:y>0.87098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A132F786-DF40-45B3-8195-2E10453F1959}"/>
            </a:ext>
          </a:extLst>
        </cdr:cNvPr>
        <cdr:cNvCxnSpPr/>
      </cdr:nvCxnSpPr>
      <cdr:spPr>
        <a:xfrm xmlns:a="http://schemas.openxmlformats.org/drawingml/2006/main">
          <a:off x="7114941" y="1365309"/>
          <a:ext cx="0" cy="450004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49505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0.74876</cdr:x>
      <cdr:y>0.13155</cdr:y>
    </cdr:from>
    <cdr:to>
      <cdr:x>0.95456</cdr:x>
      <cdr:y>0.23184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C9185A58-7AE4-469F-8912-C9C156C0D241}"/>
            </a:ext>
          </a:extLst>
        </cdr:cNvPr>
        <cdr:cNvSpPr txBox="1"/>
      </cdr:nvSpPr>
      <cdr:spPr>
        <a:xfrm xmlns:a="http://schemas.openxmlformats.org/drawingml/2006/main">
          <a:off x="6311759" y="885851"/>
          <a:ext cx="1734817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2-year horizon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412E7-6960-4EE0-B193-5A13CEEAE8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999AE4-B9B3-42D4-8EA5-A1A94F2FCB77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BoE forecasts for CPI inflation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A0727A-B814-43F5-A8C1-DF051AE29FC3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E643717-0FA3-4C6C-944D-B516301BB33C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0.12558</cdr:x>
      <cdr:y>0.68464</cdr:y>
    </cdr:from>
    <cdr:to>
      <cdr:x>0.31405</cdr:x>
      <cdr:y>0.78493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E8CE736-B7F1-4729-AB75-CEB836A0FED4}"/>
            </a:ext>
          </a:extLst>
        </cdr:cNvPr>
        <cdr:cNvSpPr txBox="1"/>
      </cdr:nvSpPr>
      <cdr:spPr>
        <a:xfrm xmlns:a="http://schemas.openxmlformats.org/drawingml/2006/main">
          <a:off x="1058600" y="4610486"/>
          <a:ext cx="1588732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0.84668</cdr:x>
      <cdr:y>0.19897</cdr:y>
    </cdr:from>
    <cdr:to>
      <cdr:x>0.84668</cdr:x>
      <cdr:y>0.86721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99FC57F-779A-84F3-A45E-8AF709369450}"/>
            </a:ext>
          </a:extLst>
        </cdr:cNvPr>
        <cdr:cNvCxnSpPr/>
      </cdr:nvCxnSpPr>
      <cdr:spPr>
        <a:xfrm xmlns:a="http://schemas.openxmlformats.org/drawingml/2006/main">
          <a:off x="7137192" y="1339869"/>
          <a:ext cx="0" cy="450004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49505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0.73371</cdr:x>
      <cdr:y>0.13626</cdr:y>
    </cdr:from>
    <cdr:to>
      <cdr:x>0.93951</cdr:x>
      <cdr:y>0.23655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4B0E2464-E8C6-8989-4A95-1F93EF549C3F}"/>
            </a:ext>
          </a:extLst>
        </cdr:cNvPr>
        <cdr:cNvSpPr txBox="1"/>
      </cdr:nvSpPr>
      <cdr:spPr>
        <a:xfrm xmlns:a="http://schemas.openxmlformats.org/drawingml/2006/main">
          <a:off x="6184900" y="917575"/>
          <a:ext cx="1734817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2-year horizon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2AF32-123D-59D1-C722-1DE1816900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999AE4-B9B3-42D4-8EA5-A1A94F2FCB77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BoE forecasts for CPI inflation*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A0727A-B814-43F5-A8C1-DF051AE29FC3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E643717-0FA3-4C6C-944D-B516301BB33C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0.14479</cdr:x>
      <cdr:y>0.68464</cdr:y>
    </cdr:from>
    <cdr:to>
      <cdr:x>0.33326</cdr:x>
      <cdr:y>0.78493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E8CE736-B7F1-4729-AB75-CEB836A0FED4}"/>
            </a:ext>
          </a:extLst>
        </cdr:cNvPr>
        <cdr:cNvSpPr txBox="1"/>
      </cdr:nvSpPr>
      <cdr:spPr>
        <a:xfrm xmlns:a="http://schemas.openxmlformats.org/drawingml/2006/main">
          <a:off x="1220539" y="4610478"/>
          <a:ext cx="1588731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0.84668</cdr:x>
      <cdr:y>0.20179</cdr:y>
    </cdr:from>
    <cdr:to>
      <cdr:x>0.84668</cdr:x>
      <cdr:y>0.87003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99FC57F-779A-84F3-A45E-8AF709369450}"/>
            </a:ext>
          </a:extLst>
        </cdr:cNvPr>
        <cdr:cNvCxnSpPr/>
      </cdr:nvCxnSpPr>
      <cdr:spPr>
        <a:xfrm xmlns:a="http://schemas.openxmlformats.org/drawingml/2006/main">
          <a:off x="7137192" y="1358919"/>
          <a:ext cx="0" cy="450004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49505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0.74501</cdr:x>
      <cdr:y>0.13626</cdr:y>
    </cdr:from>
    <cdr:to>
      <cdr:x>0.95081</cdr:x>
      <cdr:y>0.23655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4B0E2464-E8C6-8989-4A95-1F93EF549C3F}"/>
            </a:ext>
          </a:extLst>
        </cdr:cNvPr>
        <cdr:cNvSpPr txBox="1"/>
      </cdr:nvSpPr>
      <cdr:spPr>
        <a:xfrm xmlns:a="http://schemas.openxmlformats.org/drawingml/2006/main">
          <a:off x="6280150" y="917599"/>
          <a:ext cx="1734817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2-year horizon</a:t>
          </a:r>
        </a:p>
      </cdr:txBody>
    </cdr:sp>
  </cdr:relSizeAnchor>
  <cdr:relSizeAnchor xmlns:cdr="http://schemas.openxmlformats.org/drawingml/2006/chartDrawing">
    <cdr:from>
      <cdr:x>0.19887</cdr:x>
      <cdr:y>0.06412</cdr:y>
    </cdr:from>
    <cdr:to>
      <cdr:x>1</cdr:x>
      <cdr:y>0.13626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60092FC-7646-33FF-8516-305C34019459}"/>
            </a:ext>
          </a:extLst>
        </cdr:cNvPr>
        <cdr:cNvSpPr txBox="1"/>
      </cdr:nvSpPr>
      <cdr:spPr>
        <a:xfrm xmlns:a="http://schemas.openxmlformats.org/drawingml/2006/main">
          <a:off x="1676400" y="431800"/>
          <a:ext cx="6753225" cy="485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* Based on market interest rate expectations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75A5C-9B90-4DEE-9150-FF85CBFB6D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0.15134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999AE4-B9B3-42D4-8EA5-A1A94F2FCB77}"/>
            </a:ext>
          </a:extLst>
        </cdr:cNvPr>
        <cdr:cNvSpPr txBox="1"/>
      </cdr:nvSpPr>
      <cdr:spPr>
        <a:xfrm xmlns:a="http://schemas.openxmlformats.org/drawingml/2006/main">
          <a:off x="0" y="50775"/>
          <a:ext cx="8429625" cy="968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BoE forecasts for CPI inflation &amp; excess supply/excess demand*</a:t>
          </a:r>
        </a:p>
      </cdr:txBody>
    </cdr:sp>
  </cdr:relSizeAnchor>
  <cdr:relSizeAnchor xmlns:cdr="http://schemas.openxmlformats.org/drawingml/2006/chartDrawing">
    <cdr:from>
      <cdr:x>0</cdr:x>
      <cdr:y>0.12541</cdr:y>
    </cdr:from>
    <cdr:to>
      <cdr:x>1</cdr:x>
      <cdr:y>0.18199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A0727A-B814-43F5-A8C1-DF051AE29FC3}"/>
            </a:ext>
          </a:extLst>
        </cdr:cNvPr>
        <cdr:cNvSpPr txBox="1"/>
      </cdr:nvSpPr>
      <cdr:spPr>
        <a:xfrm xmlns:a="http://schemas.openxmlformats.org/drawingml/2006/main">
          <a:off x="0" y="844521"/>
          <a:ext cx="8429625" cy="381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0.94993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E643717-0FA3-4C6C-944D-B516301BB33C}"/>
            </a:ext>
          </a:extLst>
        </cdr:cNvPr>
        <cdr:cNvSpPr/>
      </cdr:nvSpPr>
      <cdr:spPr>
        <a:xfrm xmlns:a="http://schemas.openxmlformats.org/drawingml/2006/main">
          <a:off x="50800" y="6403975"/>
          <a:ext cx="7956724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Report, November 2024</a:t>
          </a:r>
        </a:p>
      </cdr:txBody>
    </cdr:sp>
  </cdr:relSizeAnchor>
  <cdr:relSizeAnchor xmlns:cdr="http://schemas.openxmlformats.org/drawingml/2006/chartDrawing">
    <cdr:from>
      <cdr:x>0.34592</cdr:x>
      <cdr:y>0.69456</cdr:y>
    </cdr:from>
    <cdr:to>
      <cdr:x>0.53439</cdr:x>
      <cdr:y>0.79485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E8CE736-B7F1-4729-AB75-CEB836A0FED4}"/>
            </a:ext>
          </a:extLst>
        </cdr:cNvPr>
        <cdr:cNvSpPr txBox="1"/>
      </cdr:nvSpPr>
      <cdr:spPr>
        <a:xfrm xmlns:a="http://schemas.openxmlformats.org/drawingml/2006/main">
          <a:off x="2915973" y="4677281"/>
          <a:ext cx="1588731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0.67192</cdr:x>
      <cdr:y>0.11865</cdr:y>
    </cdr:from>
    <cdr:to>
      <cdr:x>0.99169</cdr:x>
      <cdr:y>0.18447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5D2ED7F-4E00-4FBD-8861-7A9673AC78B3}"/>
            </a:ext>
          </a:extLst>
        </cdr:cNvPr>
        <cdr:cNvSpPr txBox="1"/>
      </cdr:nvSpPr>
      <cdr:spPr>
        <a:xfrm xmlns:a="http://schemas.openxmlformats.org/drawingml/2006/main">
          <a:off x="5664029" y="799013"/>
          <a:ext cx="2695541" cy="44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0.07006</cdr:x>
      <cdr:y>0.20981</cdr:y>
    </cdr:from>
    <cdr:to>
      <cdr:x>0.81394</cdr:x>
      <cdr:y>0.27563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EC867A8-7C69-4312-86A8-33249C8214BF}"/>
            </a:ext>
          </a:extLst>
        </cdr:cNvPr>
        <cdr:cNvSpPr txBox="1"/>
      </cdr:nvSpPr>
      <cdr:spPr>
        <a:xfrm xmlns:a="http://schemas.openxmlformats.org/drawingml/2006/main">
          <a:off x="590550" y="1412901"/>
          <a:ext cx="6270629" cy="44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* based on market interest rate expectations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91667-B33E-4099-8432-72D73BFD8A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0B6316-6B6A-400F-B18D-92FB24F170C4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5E5B460-9004-4662-B25E-19D094B42668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0.95317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D156447-E2BB-4C72-BEE9-EBDB166A4102}"/>
            </a:ext>
          </a:extLst>
        </cdr:cNvPr>
        <cdr:cNvSpPr/>
      </cdr:nvSpPr>
      <cdr:spPr>
        <a:xfrm xmlns:a="http://schemas.openxmlformats.org/drawingml/2006/main">
          <a:off x="50800" y="6403975"/>
          <a:ext cx="7984036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Bank of England Monetary Policy Report, Oxford Economics</a:t>
          </a:r>
        </a:p>
      </cdr:txBody>
    </cdr:sp>
  </cdr:relSizeAnchor>
  <cdr:relSizeAnchor xmlns:cdr="http://schemas.openxmlformats.org/drawingml/2006/chartDrawing">
    <cdr:from>
      <cdr:x>0.30842</cdr:x>
      <cdr:y>0.67999</cdr:y>
    </cdr:from>
    <cdr:to>
      <cdr:x>0.49689</cdr:x>
      <cdr:y>0.78028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3AC8650-20CB-4A94-8BFA-AA53177CC197}"/>
            </a:ext>
          </a:extLst>
        </cdr:cNvPr>
        <cdr:cNvSpPr txBox="1"/>
      </cdr:nvSpPr>
      <cdr:spPr>
        <a:xfrm xmlns:a="http://schemas.openxmlformats.org/drawingml/2006/main">
          <a:off x="2599868" y="4579172"/>
          <a:ext cx="1588732" cy="675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0.86602</cdr:x>
      <cdr:y>0.16604</cdr:y>
    </cdr:from>
    <cdr:to>
      <cdr:x>0.86602</cdr:x>
      <cdr:y>0.86668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69F53F96-3F4B-4085-A256-F30C04F6AF8F}"/>
            </a:ext>
          </a:extLst>
        </cdr:cNvPr>
        <cdr:cNvCxnSpPr/>
      </cdr:nvCxnSpPr>
      <cdr:spPr>
        <a:xfrm xmlns:a="http://schemas.openxmlformats.org/drawingml/2006/main">
          <a:off x="7300221" y="1118142"/>
          <a:ext cx="0" cy="471823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0.75716</cdr:x>
      <cdr:y>0.09438</cdr:y>
    </cdr:from>
    <cdr:to>
      <cdr:x>0.9819</cdr:x>
      <cdr:y>0.21136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9BB8814-F270-4032-91D2-A41A2A2F4158}"/>
            </a:ext>
          </a:extLst>
        </cdr:cNvPr>
        <cdr:cNvSpPr txBox="1"/>
      </cdr:nvSpPr>
      <cdr:spPr>
        <a:xfrm xmlns:a="http://schemas.openxmlformats.org/drawingml/2006/main">
          <a:off x="6375367" y="635292"/>
          <a:ext cx="1892333" cy="787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2-year horizon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3DC16-CA44-4C9F-B9B0-E42BD9DFE2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CE01FA-B720-4742-8B17-27E1671E6DCA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BoE forecasts for ILO unemployment rate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A5DFF06-C8D3-4715-A256-2199976A39A5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A919751-E459-44D0-93ED-6083447E34DC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0.47858</cdr:x>
      <cdr:y>0.28288</cdr:y>
    </cdr:from>
    <cdr:to>
      <cdr:x>0.73559</cdr:x>
      <cdr:y>0.40397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35E765C-17F3-4382-B182-3412BAEC8626}"/>
            </a:ext>
          </a:extLst>
        </cdr:cNvPr>
        <cdr:cNvSpPr txBox="1"/>
      </cdr:nvSpPr>
      <cdr:spPr>
        <a:xfrm xmlns:a="http://schemas.openxmlformats.org/drawingml/2006/main">
          <a:off x="4034264" y="1904971"/>
          <a:ext cx="2166498" cy="815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BoE's estimate of equilibrium rate</a:t>
          </a:r>
        </a:p>
      </cdr:txBody>
    </cdr:sp>
  </cdr:relSizeAnchor>
  <cdr:relSizeAnchor xmlns:cdr="http://schemas.openxmlformats.org/drawingml/2006/chartDrawing">
    <cdr:from>
      <cdr:x>0.6</cdr:x>
      <cdr:y>0.38718</cdr:y>
    </cdr:from>
    <cdr:to>
      <cdr:x>0.6</cdr:x>
      <cdr:y>0.4941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9409C6-5E44-41AF-AAB5-BC7012F70713}"/>
            </a:ext>
          </a:extLst>
        </cdr:cNvPr>
        <cdr:cNvCxnSpPr/>
      </cdr:nvCxnSpPr>
      <cdr:spPr>
        <a:xfrm xmlns:a="http://schemas.openxmlformats.org/drawingml/2006/main">
          <a:off x="5057792" y="2607346"/>
          <a:ext cx="0" cy="720018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0D1BE-32EB-47D4-B776-07582CDEE9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631ADA-9FDA-4259-A25C-41BC542C6A05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ILO unemployment rate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A4BA159-F6D8-41AB-B79E-B638101E0454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0.98495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16BF43C3-30F2-43B6-BB7F-157520A6AF18}"/>
            </a:ext>
          </a:extLst>
        </cdr:cNvPr>
        <cdr:cNvSpPr/>
      </cdr:nvSpPr>
      <cdr:spPr>
        <a:xfrm xmlns:a="http://schemas.openxmlformats.org/drawingml/2006/main">
          <a:off x="50800" y="6403975"/>
          <a:ext cx="8251929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Bank of England Monetary Policy Report, Oxford Economics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11D79-671B-403B-9AE6-2CA0FD2CC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072D79-F494-4088-AFED-5F8CDF696A01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Market expectations for Bank Rate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A803DD4-A286-41EA-A59B-F0E813FD65B8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0.75851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AC5E9A8-FDAB-45CA-B983-C9B3939E9F8A}"/>
            </a:ext>
          </a:extLst>
        </cdr:cNvPr>
        <cdr:cNvSpPr/>
      </cdr:nvSpPr>
      <cdr:spPr>
        <a:xfrm xmlns:a="http://schemas.openxmlformats.org/drawingml/2006/main">
          <a:off x="50800" y="6403975"/>
          <a:ext cx="634312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B246F-16F3-4F0E-B270-212FA881A0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797665-6F81-47D6-B7FA-8D20585C0670}"/>
            </a:ext>
          </a:extLst>
        </cdr:cNvPr>
        <cdr:cNvSpPr txBox="1"/>
      </cdr:nvSpPr>
      <cdr:spPr>
        <a:xfrm xmlns:a="http://schemas.openxmlformats.org/drawingml/2006/main">
          <a:off x="0" y="50800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UK: Bank Rate forecasts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2B09DC9-03E4-4D78-A041-B98E39E8A6FE}"/>
            </a:ext>
          </a:extLst>
        </cdr:cNvPr>
        <cdr:cNvSpPr txBox="1"/>
      </cdr:nvSpPr>
      <cdr:spPr>
        <a:xfrm xmlns:a="http://schemas.openxmlformats.org/drawingml/2006/main">
          <a:off x="50800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0.92596</cdr:x>
      <cdr:y>0.99811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AD36D76-5EF9-4521-882C-EE6E6AEF5D2D}"/>
            </a:ext>
          </a:extLst>
        </cdr:cNvPr>
        <cdr:cNvSpPr/>
      </cdr:nvSpPr>
      <cdr:spPr>
        <a:xfrm xmlns:a="http://schemas.openxmlformats.org/drawingml/2006/main">
          <a:off x="50800" y="6403975"/>
          <a:ext cx="7754665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Bank of England Monetary Policy Report, Oxford Economics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data&amp;trend"/>
      <sheetName val="Melbourne Metro Employ Table"/>
      <sheetName val="Melb Metro WtCo Employ Table"/>
      <sheetName val="Melb Metro OWF Employ Table"/>
      <sheetName val="Melb Metro SAOWF Table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ysClr val="windowText" lastClr="000000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00ADDC"/>
      </a:accent5>
      <a:accent6>
        <a:srgbClr val="00793F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B51"/>
  <sheetViews>
    <sheetView workbookViewId="0">
      <pane xSplit="4" ySplit="2" topLeftCell="AE12" activePane="bottomRight" state="frozen"/>
      <selection pane="topRight" activeCell="E1" sqref="E1"/>
      <selection pane="bottomLeft" activeCell="A3" sqref="A3"/>
      <selection pane="bottomRight" activeCell="D35" sqref="D35"/>
    </sheetView>
  </sheetViews>
  <sheetFormatPr defaultRowHeight="14.5" x14ac:dyDescent="0.35"/>
  <cols>
    <col min="1" max="1" width="16.81640625" customWidth="1"/>
    <col min="5" max="6" width="10.7265625" bestFit="1" customWidth="1"/>
  </cols>
  <sheetData>
    <row r="1" spans="1:53" x14ac:dyDescent="0.35">
      <c r="A1" s="7" t="s">
        <v>84</v>
      </c>
    </row>
    <row r="2" spans="1:53" x14ac:dyDescent="0.35">
      <c r="E2">
        <v>2016</v>
      </c>
      <c r="I2">
        <v>2017</v>
      </c>
      <c r="M2">
        <v>2018</v>
      </c>
      <c r="Q2">
        <v>2019</v>
      </c>
      <c r="U2">
        <v>2020</v>
      </c>
      <c r="Y2">
        <v>2021</v>
      </c>
      <c r="AC2">
        <v>2022</v>
      </c>
      <c r="AG2">
        <v>2023</v>
      </c>
      <c r="AK2">
        <v>2024</v>
      </c>
      <c r="AO2">
        <v>2025</v>
      </c>
      <c r="AS2">
        <v>2026</v>
      </c>
      <c r="AW2">
        <v>2027</v>
      </c>
      <c r="BA2">
        <v>2028</v>
      </c>
    </row>
    <row r="3" spans="1:53" x14ac:dyDescent="0.35">
      <c r="A3" t="s">
        <v>1172</v>
      </c>
      <c r="B3" s="2">
        <v>45597</v>
      </c>
      <c r="C3" s="2" t="s">
        <v>838</v>
      </c>
      <c r="D3" s="2"/>
      <c r="E3" s="3">
        <f>100*((HAVERQ!BA$63/HAVERQ!AW$63)-1)</f>
        <v>0.33500837520936688</v>
      </c>
      <c r="F3" s="3">
        <f>100*((HAVERQ!BB$63/HAVERQ!AX$63)-1)</f>
        <v>0.33311125916057893</v>
      </c>
      <c r="G3" s="3">
        <f>100*((HAVERQ!BC$63/HAVERQ!AY$63)-1)</f>
        <v>0.69883527454244199</v>
      </c>
      <c r="H3" s="3">
        <f>100*((HAVERQ!BD$63/HAVERQ!AZ$63)-1)</f>
        <v>1.1964107676969205</v>
      </c>
      <c r="I3" s="3">
        <f>100*((HAVERQ!BE$63/HAVERQ!BA$63)-1)</f>
        <v>2.17028380634392</v>
      </c>
      <c r="J3" s="3">
        <f>100*((HAVERQ!BF$63/HAVERQ!BB$63)-1)</f>
        <v>2.7556440903054202</v>
      </c>
      <c r="K3" s="3">
        <f>100*((HAVERQ!BG$63/HAVERQ!BC$63)-1)</f>
        <v>2.8089887640449396</v>
      </c>
      <c r="L3" s="3">
        <f>100*((HAVERQ!BH$63/HAVERQ!BD$63)-1)</f>
        <v>3.0213464696223324</v>
      </c>
      <c r="M3" s="3">
        <f>100*((HAVERQ!BI$63/HAVERQ!BE$63)-1)</f>
        <v>2.7124183006535851</v>
      </c>
      <c r="N3" s="3">
        <f>100*((HAVERQ!BJ$63/HAVERQ!BF$63)-1)</f>
        <v>2.4232633279483107</v>
      </c>
      <c r="O3" s="3">
        <f>100*((HAVERQ!BK$63/HAVERQ!BG$63)-1)</f>
        <v>2.5072324011571778</v>
      </c>
      <c r="P3" s="3">
        <f>100*((HAVERQ!BL$63/HAVERQ!BH$63)-1)</f>
        <v>2.2633088938476043</v>
      </c>
      <c r="Q3" s="3">
        <f>100*((HAVERQ!BM$63/HAVERQ!BI$63)-1)</f>
        <v>1.8453706649697699</v>
      </c>
      <c r="R3" s="3">
        <f>100*((HAVERQ!BN$63/HAVERQ!BJ$63)-1)</f>
        <v>2.018927444794949</v>
      </c>
      <c r="S3" s="3">
        <f>100*((HAVERQ!BO$63/HAVERQ!BK$63)-1)</f>
        <v>1.8501097522734433</v>
      </c>
      <c r="T3" s="3">
        <f>100*((HAVERQ!BP$63/HAVERQ!BL$63)-1)</f>
        <v>1.4027431421446579</v>
      </c>
      <c r="U3" s="3">
        <f>100*((HAVERQ!BQ$63/HAVERQ!BM$63)-1)</f>
        <v>1.6557325835676151</v>
      </c>
      <c r="V3" s="3">
        <f>100*((HAVERQ!BR$63/HAVERQ!BN$63)-1)</f>
        <v>0.68027210884356037</v>
      </c>
      <c r="W3" s="3">
        <f>100*((HAVERQ!BS$63/HAVERQ!BO$63)-1)</f>
        <v>0.61576354679802048</v>
      </c>
      <c r="X3" s="3">
        <f>100*((HAVERQ!BT$63/HAVERQ!BP$63)-1)</f>
        <v>0.58407623731939751</v>
      </c>
      <c r="Y3" s="3">
        <f>100*((HAVERQ!BU$63/HAVERQ!BQ$63)-1)</f>
        <v>0.64535955746773954</v>
      </c>
      <c r="Z3" s="3">
        <f>100*((HAVERQ!BV$63/HAVERQ!BR$63)-1)</f>
        <v>2.0270270270270174</v>
      </c>
      <c r="AA3" s="3">
        <f>100*((HAVERQ!BW$63/HAVERQ!BS$63)-1)</f>
        <v>2.7539779681762466</v>
      </c>
      <c r="AB3" s="3">
        <f>100*((HAVERQ!BX$63/HAVERQ!BT$63)-1)</f>
        <v>4.8899755501222497</v>
      </c>
      <c r="AC3" s="3">
        <f>100*((HAVERQ!BY$63/HAVERQ!BU$63)-1)</f>
        <v>6.1984732824427402</v>
      </c>
      <c r="AD3" s="3">
        <f>100*((HAVERQ!BZ$63/HAVERQ!BV$63)-1)</f>
        <v>9.1511137868753867</v>
      </c>
      <c r="AE3" s="3">
        <f>100*((HAVERQ!CA$63/HAVERQ!BW$63)-1)</f>
        <v>10.005955926146527</v>
      </c>
      <c r="AF3" s="3">
        <f>100*((HAVERQ!CB$63/HAVERQ!BX$63)-1)</f>
        <v>10.751748251748271</v>
      </c>
      <c r="AG3" s="3">
        <f>100*((HAVERQ!CC$63/HAVERQ!BY$63)-1)</f>
        <v>10.178263369752759</v>
      </c>
      <c r="AH3" s="3">
        <f>100*((HAVERQ!CD$63/HAVERQ!BZ$63)-1)</f>
        <v>8.4390512961941777</v>
      </c>
      <c r="AI3" s="3">
        <f>100*((HAVERQ!CE$63/HAVERQ!CA$63)-1)</f>
        <v>6.7135896047644916</v>
      </c>
      <c r="AJ3" s="3">
        <f>100*((HAVERQ!CF$63/HAVERQ!CB$63)-1)</f>
        <v>4.1568008418837232</v>
      </c>
      <c r="AK3" s="3">
        <f>100*((HAVERQ!CG$63/HAVERQ!CC$63)-1)</f>
        <v>3.5490605427974886</v>
      </c>
      <c r="AL3" s="3">
        <f>100*((HAVERQ!CH$63/HAVERQ!CD$63)-1)</f>
        <v>2.1108850457782102</v>
      </c>
      <c r="AM3" s="3">
        <f>100*((HAVERQ!CI$63/HAVERQ!CE$63)-1)</f>
        <v>2.0547945205479312</v>
      </c>
      <c r="AN3" s="3">
        <f>HAVERQ!CJ93</f>
        <v>2.4</v>
      </c>
      <c r="AO3" s="3">
        <f>HAVERQ!CK93</f>
        <v>2.4</v>
      </c>
      <c r="AP3" s="3">
        <f>HAVERQ!CL93</f>
        <v>2.6</v>
      </c>
      <c r="AQ3" s="3">
        <f>HAVERQ!CM93</f>
        <v>2.8</v>
      </c>
      <c r="AR3" s="3">
        <f>HAVERQ!CN93</f>
        <v>2.7</v>
      </c>
      <c r="AS3" s="3">
        <f>HAVERQ!CO93</f>
        <v>2.6</v>
      </c>
      <c r="AT3" s="3">
        <f>HAVERQ!CP93</f>
        <v>2.4</v>
      </c>
      <c r="AU3" s="3">
        <f>HAVERQ!CQ93</f>
        <v>2.2999999999999998</v>
      </c>
      <c r="AV3" s="3">
        <f>HAVERQ!CR93</f>
        <v>2.2000000000000002</v>
      </c>
      <c r="AW3" s="3">
        <f>HAVERQ!CS93</f>
        <v>2.1</v>
      </c>
      <c r="AX3" s="3">
        <f>HAVERQ!CT93</f>
        <v>1.9</v>
      </c>
      <c r="AY3" s="3">
        <f>HAVERQ!CU93</f>
        <v>1.9</v>
      </c>
      <c r="AZ3" s="3">
        <f>HAVERQ!CV93</f>
        <v>1.8</v>
      </c>
    </row>
    <row r="4" spans="1:53" x14ac:dyDescent="0.35">
      <c r="A4" t="s">
        <v>1209</v>
      </c>
      <c r="B4" s="2">
        <v>45689</v>
      </c>
      <c r="C4" s="2" t="s">
        <v>838</v>
      </c>
      <c r="D4" s="2"/>
      <c r="E4" s="3">
        <f>100*((HAVERQ!BA$63/HAVERQ!AW$63)-1)</f>
        <v>0.33500837520936688</v>
      </c>
      <c r="F4" s="3">
        <f>100*((HAVERQ!BB$63/HAVERQ!AX$63)-1)</f>
        <v>0.33311125916057893</v>
      </c>
      <c r="G4" s="3">
        <f>100*((HAVERQ!BC$63/HAVERQ!AY$63)-1)</f>
        <v>0.69883527454244199</v>
      </c>
      <c r="H4" s="3">
        <f>100*((HAVERQ!BD$63/HAVERQ!AZ$63)-1)</f>
        <v>1.1964107676969205</v>
      </c>
      <c r="I4" s="3">
        <f>100*((HAVERQ!BE$63/HAVERQ!BA$63)-1)</f>
        <v>2.17028380634392</v>
      </c>
      <c r="J4" s="3">
        <f>100*((HAVERQ!BF$63/HAVERQ!BB$63)-1)</f>
        <v>2.7556440903054202</v>
      </c>
      <c r="K4" s="3">
        <f>100*((HAVERQ!BG$63/HAVERQ!BC$63)-1)</f>
        <v>2.8089887640449396</v>
      </c>
      <c r="L4" s="3">
        <f>100*((HAVERQ!BH$63/HAVERQ!BD$63)-1)</f>
        <v>3.0213464696223324</v>
      </c>
      <c r="M4" s="3">
        <f>100*((HAVERQ!BI$63/HAVERQ!BE$63)-1)</f>
        <v>2.7124183006535851</v>
      </c>
      <c r="N4" s="3">
        <f>100*((HAVERQ!BJ$63/HAVERQ!BF$63)-1)</f>
        <v>2.4232633279483107</v>
      </c>
      <c r="O4" s="3">
        <f>100*((HAVERQ!BK$63/HAVERQ!BG$63)-1)</f>
        <v>2.5072324011571778</v>
      </c>
      <c r="P4" s="3">
        <f>100*((HAVERQ!BL$63/HAVERQ!BH$63)-1)</f>
        <v>2.2633088938476043</v>
      </c>
      <c r="Q4" s="3">
        <f>100*((HAVERQ!BM$63/HAVERQ!BI$63)-1)</f>
        <v>1.8453706649697699</v>
      </c>
      <c r="R4" s="3">
        <f>100*((HAVERQ!BN$63/HAVERQ!BJ$63)-1)</f>
        <v>2.018927444794949</v>
      </c>
      <c r="S4" s="3">
        <f>100*((HAVERQ!BO$63/HAVERQ!BK$63)-1)</f>
        <v>1.8501097522734433</v>
      </c>
      <c r="T4" s="3">
        <f>100*((HAVERQ!BP$63/HAVERQ!BL$63)-1)</f>
        <v>1.4027431421446579</v>
      </c>
      <c r="U4" s="3">
        <f>100*((HAVERQ!BQ$63/HAVERQ!BM$63)-1)</f>
        <v>1.6557325835676151</v>
      </c>
      <c r="V4" s="3">
        <f>100*((HAVERQ!BR$63/HAVERQ!BN$63)-1)</f>
        <v>0.68027210884356037</v>
      </c>
      <c r="W4" s="3">
        <f>100*((HAVERQ!BS$63/HAVERQ!BO$63)-1)</f>
        <v>0.61576354679802048</v>
      </c>
      <c r="X4" s="3">
        <f>100*((HAVERQ!BT$63/HAVERQ!BP$63)-1)</f>
        <v>0.58407623731939751</v>
      </c>
      <c r="Y4" s="3">
        <f>100*((HAVERQ!BU$63/HAVERQ!BQ$63)-1)</f>
        <v>0.64535955746773954</v>
      </c>
      <c r="Z4" s="3">
        <f>100*((HAVERQ!BV$63/HAVERQ!BR$63)-1)</f>
        <v>2.0270270270270174</v>
      </c>
      <c r="AA4" s="3">
        <f>100*((HAVERQ!BW$63/HAVERQ!BS$63)-1)</f>
        <v>2.7539779681762466</v>
      </c>
      <c r="AB4" s="3">
        <f>100*((HAVERQ!BX$63/HAVERQ!BT$63)-1)</f>
        <v>4.8899755501222497</v>
      </c>
      <c r="AC4" s="3">
        <f>100*((HAVERQ!BY$63/HAVERQ!BU$63)-1)</f>
        <v>6.1984732824427402</v>
      </c>
      <c r="AD4" s="3">
        <f>100*((HAVERQ!BZ$63/HAVERQ!BV$63)-1)</f>
        <v>9.1511137868753867</v>
      </c>
      <c r="AE4" s="3">
        <f>100*((HAVERQ!CA$63/HAVERQ!BW$63)-1)</f>
        <v>10.005955926146527</v>
      </c>
      <c r="AF4" s="3">
        <f>100*((HAVERQ!CB$63/HAVERQ!BX$63)-1)</f>
        <v>10.751748251748271</v>
      </c>
      <c r="AG4" s="3">
        <f>100*((HAVERQ!CC$63/HAVERQ!BY$63)-1)</f>
        <v>10.178263369752759</v>
      </c>
      <c r="AH4" s="3">
        <f>100*((HAVERQ!CD$63/HAVERQ!BZ$63)-1)</f>
        <v>8.4390512961941777</v>
      </c>
      <c r="AI4" s="3">
        <f>100*((HAVERQ!CE$63/HAVERQ!CA$63)-1)</f>
        <v>6.7135896047644916</v>
      </c>
      <c r="AJ4" s="3">
        <f>100*((HAVERQ!CF$63/HAVERQ!CB$63)-1)</f>
        <v>4.1568008418837232</v>
      </c>
      <c r="AK4" s="3">
        <f>100*((HAVERQ!CG$63/HAVERQ!CC$63)-1)</f>
        <v>3.5490605427974886</v>
      </c>
      <c r="AL4" s="3">
        <f>100*((HAVERQ!CH$63/HAVERQ!CD$63)-1)</f>
        <v>2.1108850457782102</v>
      </c>
      <c r="AM4" s="3">
        <f>100*((HAVERQ!CI$63/HAVERQ!CE$63)-1)</f>
        <v>2.0547945205479312</v>
      </c>
      <c r="AN4" s="3">
        <f>100*((HAVERQ!CJ$63/HAVERQ!CF$63)-1)</f>
        <v>2.475372568830525</v>
      </c>
      <c r="AO4" s="3">
        <f>HAVERQ!CK94</f>
        <v>2.8</v>
      </c>
      <c r="AP4" s="3">
        <f>HAVERQ!CL94</f>
        <v>3.5</v>
      </c>
      <c r="AQ4" s="3">
        <f>HAVERQ!CM94</f>
        <v>3.7</v>
      </c>
      <c r="AR4" s="3">
        <f>HAVERQ!CN94</f>
        <v>3.5</v>
      </c>
      <c r="AS4" s="3">
        <f>HAVERQ!CO94</f>
        <v>3</v>
      </c>
      <c r="AT4" s="3">
        <f>HAVERQ!CP94</f>
        <v>2.6</v>
      </c>
      <c r="AU4" s="3">
        <f>HAVERQ!CQ94</f>
        <v>2.6</v>
      </c>
      <c r="AV4" s="3">
        <f>HAVERQ!CR94</f>
        <v>2.4</v>
      </c>
      <c r="AW4" s="3">
        <f>HAVERQ!CS94</f>
        <v>2.2999999999999998</v>
      </c>
      <c r="AX4" s="3">
        <f>HAVERQ!CT94</f>
        <v>2.2000000000000002</v>
      </c>
      <c r="AY4" s="3">
        <f>HAVERQ!CU94</f>
        <v>2.1</v>
      </c>
      <c r="AZ4" s="3">
        <f>HAVERQ!CV94</f>
        <v>2</v>
      </c>
      <c r="BA4" s="3">
        <f>HAVERQ!CW94</f>
        <v>1.9</v>
      </c>
    </row>
    <row r="5" spans="1:53" x14ac:dyDescent="0.35">
      <c r="A5" t="s">
        <v>87</v>
      </c>
      <c r="B5" t="s">
        <v>87</v>
      </c>
      <c r="C5" t="str">
        <f>A5</f>
        <v>ZERO LINE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5">
      <c r="A6" t="s">
        <v>88</v>
      </c>
      <c r="B6" t="s">
        <v>88</v>
      </c>
      <c r="C6" t="str">
        <f>A6</f>
        <v>2% LINE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</row>
    <row r="7" spans="1:53" x14ac:dyDescent="0.35">
      <c r="A7" t="s">
        <v>85</v>
      </c>
      <c r="C7" t="str">
        <f>A7</f>
        <v>Oxford Economics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f>100*((OE_FCST!HE3/OE_FCST!HA3)-1)</f>
        <v>2.0547945205479312</v>
      </c>
      <c r="AN7" s="6">
        <f>100*((OE_FCST!HF3/OE_FCST!HB3)-1)</f>
        <v>2.4753214257839273</v>
      </c>
      <c r="AO7" s="6">
        <f>100*((OE_FCST!HG3/OE_FCST!HC3)-1)</f>
        <v>2.7272926594524627</v>
      </c>
      <c r="AP7" s="6">
        <f>100*((OE_FCST!HH3/OE_FCST!HD3)-1)</f>
        <v>2.9570368510676959</v>
      </c>
      <c r="AQ7" s="6">
        <f>100*((OE_FCST!HI3/OE_FCST!HE3)-1)</f>
        <v>3.4639821029082807</v>
      </c>
      <c r="AR7" s="6">
        <f>100*((OE_FCST!HJ3/OE_FCST!HF3)-1)</f>
        <v>3.3718766013992152</v>
      </c>
      <c r="AS7" s="6">
        <f>100*((OE_FCST!HK3/OE_FCST!HG3)-1)</f>
        <v>3.1057450284822652</v>
      </c>
      <c r="AT7" s="6">
        <f>100*((OE_FCST!HL3/OE_FCST!HH3)-1)</f>
        <v>2.5992301372805837</v>
      </c>
      <c r="AU7" s="6">
        <f>100*((OE_FCST!HM3/OE_FCST!HI3)-1)</f>
        <v>2.2968722521571783</v>
      </c>
      <c r="AV7" s="6">
        <f>100*((OE_FCST!HN3/OE_FCST!HJ3)-1)</f>
        <v>2.0199122704108508</v>
      </c>
      <c r="AW7" s="6">
        <f>100*((OE_FCST!HO3/OE_FCST!HK3)-1)</f>
        <v>2.0348494830967123</v>
      </c>
      <c r="AX7" s="6">
        <f>100*((OE_FCST!HP3/OE_FCST!HL3)-1)</f>
        <v>2.0310909562905932</v>
      </c>
      <c r="AY7" s="6">
        <f>100*((OE_FCST!HQ3/OE_FCST!HM3)-1)</f>
        <v>2.0669052785841302</v>
      </c>
      <c r="AZ7" s="6">
        <f>100*((OE_FCST!HR3/OE_FCST!HN3)-1)</f>
        <v>2.0879713414048373</v>
      </c>
      <c r="BA7" s="6">
        <f>100*((OE_FCST!HS3/OE_FCST!HO3)-1)</f>
        <v>2.1187229178296851</v>
      </c>
    </row>
    <row r="8" spans="1:53" x14ac:dyDescent="0.35">
      <c r="A8" t="s">
        <v>86</v>
      </c>
      <c r="E8" s="3">
        <f>100*((HAVERQ!BA$63/HAVERQ!AW$63)-1)</f>
        <v>0.33500837520936688</v>
      </c>
      <c r="F8" s="3">
        <f>100*((HAVERQ!BB$63/HAVERQ!AX$63)-1)</f>
        <v>0.33311125916057893</v>
      </c>
      <c r="G8" s="3">
        <f>100*((HAVERQ!BC$63/HAVERQ!AY$63)-1)</f>
        <v>0.69883527454244199</v>
      </c>
      <c r="H8" s="3">
        <f>100*((HAVERQ!BD$63/HAVERQ!AZ$63)-1)</f>
        <v>1.1964107676969205</v>
      </c>
      <c r="I8" s="3">
        <f>100*((HAVERQ!BE$63/HAVERQ!BA$63)-1)</f>
        <v>2.17028380634392</v>
      </c>
      <c r="J8" s="3">
        <f>100*((HAVERQ!BF$63/HAVERQ!BB$63)-1)</f>
        <v>2.7556440903054202</v>
      </c>
      <c r="K8" s="3">
        <f>100*((HAVERQ!BG$63/HAVERQ!BC$63)-1)</f>
        <v>2.8089887640449396</v>
      </c>
      <c r="L8" s="3">
        <f>100*((HAVERQ!BH$63/HAVERQ!BD$63)-1)</f>
        <v>3.0213464696223324</v>
      </c>
      <c r="M8" s="3">
        <f>100*((HAVERQ!BI$63/HAVERQ!BE$63)-1)</f>
        <v>2.7124183006535851</v>
      </c>
      <c r="N8" s="3">
        <f>100*((HAVERQ!BJ$63/HAVERQ!BF$63)-1)</f>
        <v>2.4232633279483107</v>
      </c>
      <c r="O8" s="3">
        <f>100*((HAVERQ!BK$63/HAVERQ!BG$63)-1)</f>
        <v>2.5072324011571778</v>
      </c>
      <c r="P8" s="3">
        <f>100*((HAVERQ!BL$63/HAVERQ!BH$63)-1)</f>
        <v>2.2633088938476043</v>
      </c>
      <c r="Q8" s="3">
        <f>100*((HAVERQ!BM$63/HAVERQ!BI$63)-1)</f>
        <v>1.8453706649697699</v>
      </c>
      <c r="R8" s="3">
        <f>100*((HAVERQ!BN$63/HAVERQ!BJ$63)-1)</f>
        <v>2.018927444794949</v>
      </c>
      <c r="S8" s="3">
        <f>100*((HAVERQ!BO$63/HAVERQ!BK$63)-1)</f>
        <v>1.8501097522734433</v>
      </c>
      <c r="T8" s="3">
        <f>100*((HAVERQ!BP$63/HAVERQ!BL$63)-1)</f>
        <v>1.4027431421446579</v>
      </c>
      <c r="U8" s="3">
        <f>100*((HAVERQ!BQ$63/HAVERQ!BM$63)-1)</f>
        <v>1.6557325835676151</v>
      </c>
      <c r="V8" s="3">
        <f>100*((HAVERQ!BR$63/HAVERQ!BN$63)-1)</f>
        <v>0.68027210884356037</v>
      </c>
      <c r="W8" s="3">
        <f>100*((HAVERQ!BS$63/HAVERQ!BO$63)-1)</f>
        <v>0.61576354679802048</v>
      </c>
      <c r="X8" s="3">
        <f>100*((HAVERQ!BT$63/HAVERQ!BP$63)-1)</f>
        <v>0.58407623731939751</v>
      </c>
      <c r="Y8" s="3">
        <f>100*((HAVERQ!BU$63/HAVERQ!BQ$63)-1)</f>
        <v>0.64535955746773954</v>
      </c>
      <c r="Z8" s="3">
        <f>100*((HAVERQ!BV$63/HAVERQ!BR$63)-1)</f>
        <v>2.0270270270270174</v>
      </c>
      <c r="AA8" s="3">
        <f>100*((HAVERQ!BW$63/HAVERQ!BS$63)-1)</f>
        <v>2.7539779681762466</v>
      </c>
      <c r="AB8" s="3">
        <f>100*((HAVERQ!BX$63/HAVERQ!BT$63)-1)</f>
        <v>4.8899755501222497</v>
      </c>
    </row>
    <row r="9" spans="1:53" x14ac:dyDescent="0.35">
      <c r="C9" t="s">
        <v>839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K9">
        <v>0.75</v>
      </c>
      <c r="AO9">
        <v>0</v>
      </c>
      <c r="AS9">
        <v>-0.25</v>
      </c>
      <c r="AW9">
        <v>-0.25</v>
      </c>
      <c r="BA9">
        <v>-0.5</v>
      </c>
    </row>
    <row r="10" spans="1:53" x14ac:dyDescent="0.35">
      <c r="D10" t="s">
        <v>865</v>
      </c>
      <c r="E10" s="3">
        <f>E4</f>
        <v>0.33500837520936688</v>
      </c>
      <c r="F10" s="3">
        <f t="shared" ref="F10:AY10" si="0">F4</f>
        <v>0.33311125916057893</v>
      </c>
      <c r="G10" s="3">
        <f t="shared" si="0"/>
        <v>0.69883527454244199</v>
      </c>
      <c r="H10" s="3">
        <f t="shared" si="0"/>
        <v>1.1964107676969205</v>
      </c>
      <c r="I10" s="3">
        <f t="shared" si="0"/>
        <v>2.17028380634392</v>
      </c>
      <c r="J10" s="3">
        <f t="shared" si="0"/>
        <v>2.7556440903054202</v>
      </c>
      <c r="K10" s="3">
        <f t="shared" si="0"/>
        <v>2.8089887640449396</v>
      </c>
      <c r="L10" s="3">
        <f t="shared" si="0"/>
        <v>3.0213464696223324</v>
      </c>
      <c r="M10" s="3">
        <f t="shared" si="0"/>
        <v>2.7124183006535851</v>
      </c>
      <c r="N10" s="3">
        <f t="shared" si="0"/>
        <v>2.4232633279483107</v>
      </c>
      <c r="O10" s="3">
        <f t="shared" si="0"/>
        <v>2.5072324011571778</v>
      </c>
      <c r="P10" s="3">
        <f t="shared" si="0"/>
        <v>2.2633088938476043</v>
      </c>
      <c r="Q10" s="3">
        <f t="shared" si="0"/>
        <v>1.8453706649697699</v>
      </c>
      <c r="R10" s="3">
        <f t="shared" si="0"/>
        <v>2.018927444794949</v>
      </c>
      <c r="S10" s="3">
        <f t="shared" si="0"/>
        <v>1.8501097522734433</v>
      </c>
      <c r="T10" s="3">
        <f t="shared" si="0"/>
        <v>1.4027431421446579</v>
      </c>
      <c r="U10" s="3">
        <f t="shared" si="0"/>
        <v>1.6557325835676151</v>
      </c>
      <c r="V10" s="3">
        <f t="shared" si="0"/>
        <v>0.68027210884356037</v>
      </c>
      <c r="W10" s="3">
        <f t="shared" si="0"/>
        <v>0.61576354679802048</v>
      </c>
      <c r="X10" s="3">
        <f t="shared" si="0"/>
        <v>0.58407623731939751</v>
      </c>
      <c r="Y10" s="3">
        <f t="shared" si="0"/>
        <v>0.64535955746773954</v>
      </c>
      <c r="Z10" s="3">
        <f t="shared" si="0"/>
        <v>2.0270270270270174</v>
      </c>
      <c r="AA10" s="3">
        <f t="shared" si="0"/>
        <v>2.7539779681762466</v>
      </c>
      <c r="AB10" s="3">
        <f t="shared" si="0"/>
        <v>4.8899755501222497</v>
      </c>
      <c r="AC10" s="3">
        <f t="shared" si="0"/>
        <v>6.1984732824427402</v>
      </c>
      <c r="AD10" s="3">
        <f t="shared" si="0"/>
        <v>9.1511137868753867</v>
      </c>
      <c r="AE10" s="3">
        <f t="shared" si="0"/>
        <v>10.005955926146527</v>
      </c>
      <c r="AF10" s="3">
        <f t="shared" si="0"/>
        <v>10.751748251748271</v>
      </c>
      <c r="AG10" s="3">
        <f t="shared" si="0"/>
        <v>10.178263369752759</v>
      </c>
      <c r="AH10" s="3">
        <f t="shared" si="0"/>
        <v>8.4390512961941777</v>
      </c>
      <c r="AI10" s="3">
        <f t="shared" si="0"/>
        <v>6.7135896047644916</v>
      </c>
      <c r="AJ10" s="3">
        <f t="shared" si="0"/>
        <v>4.1568008418837232</v>
      </c>
      <c r="AK10" s="3">
        <f t="shared" si="0"/>
        <v>3.5490605427974886</v>
      </c>
      <c r="AL10" s="3">
        <f t="shared" si="0"/>
        <v>2.1108850457782102</v>
      </c>
      <c r="AM10" s="3">
        <f t="shared" si="0"/>
        <v>2.0547945205479312</v>
      </c>
      <c r="AN10" s="3">
        <f t="shared" si="0"/>
        <v>2.475372568830525</v>
      </c>
      <c r="AO10" s="3">
        <f t="shared" si="0"/>
        <v>2.8</v>
      </c>
      <c r="AP10" s="3">
        <f t="shared" si="0"/>
        <v>3.5</v>
      </c>
      <c r="AQ10" s="3">
        <f t="shared" si="0"/>
        <v>3.7</v>
      </c>
      <c r="AR10" s="3">
        <f t="shared" si="0"/>
        <v>3.5</v>
      </c>
      <c r="AS10" s="3">
        <f t="shared" si="0"/>
        <v>3</v>
      </c>
      <c r="AT10" s="3">
        <f t="shared" si="0"/>
        <v>2.6</v>
      </c>
      <c r="AU10" s="3">
        <f t="shared" si="0"/>
        <v>2.6</v>
      </c>
      <c r="AV10" s="3">
        <f t="shared" si="0"/>
        <v>2.4</v>
      </c>
      <c r="AW10" s="3">
        <f t="shared" si="0"/>
        <v>2.2999999999999998</v>
      </c>
      <c r="AX10" s="3">
        <f t="shared" si="0"/>
        <v>2.2000000000000002</v>
      </c>
      <c r="AY10" s="3">
        <f t="shared" si="0"/>
        <v>2.1</v>
      </c>
      <c r="AZ10" s="3">
        <f t="shared" ref="AZ10:BA10" si="1">AZ4</f>
        <v>2</v>
      </c>
      <c r="BA10" s="3">
        <f t="shared" si="1"/>
        <v>1.9</v>
      </c>
    </row>
    <row r="11" spans="1:53" x14ac:dyDescent="0.35">
      <c r="D11" t="s">
        <v>866</v>
      </c>
      <c r="E11" s="3">
        <f>E10</f>
        <v>0.33500837520936688</v>
      </c>
      <c r="F11" s="3">
        <f t="shared" ref="F11:AM11" si="2">F10</f>
        <v>0.33311125916057893</v>
      </c>
      <c r="G11" s="3">
        <f t="shared" si="2"/>
        <v>0.69883527454244199</v>
      </c>
      <c r="H11" s="3">
        <f t="shared" si="2"/>
        <v>1.1964107676969205</v>
      </c>
      <c r="I11" s="3">
        <f t="shared" si="2"/>
        <v>2.17028380634392</v>
      </c>
      <c r="J11" s="3">
        <f t="shared" si="2"/>
        <v>2.7556440903054202</v>
      </c>
      <c r="K11" s="3">
        <f t="shared" si="2"/>
        <v>2.8089887640449396</v>
      </c>
      <c r="L11" s="3">
        <f t="shared" si="2"/>
        <v>3.0213464696223324</v>
      </c>
      <c r="M11" s="3">
        <f t="shared" si="2"/>
        <v>2.7124183006535851</v>
      </c>
      <c r="N11" s="3">
        <f t="shared" si="2"/>
        <v>2.4232633279483107</v>
      </c>
      <c r="O11" s="3">
        <f t="shared" si="2"/>
        <v>2.5072324011571778</v>
      </c>
      <c r="P11" s="3">
        <f t="shared" si="2"/>
        <v>2.2633088938476043</v>
      </c>
      <c r="Q11" s="3">
        <f t="shared" si="2"/>
        <v>1.8453706649697699</v>
      </c>
      <c r="R11" s="3">
        <f t="shared" si="2"/>
        <v>2.018927444794949</v>
      </c>
      <c r="S11" s="3">
        <f t="shared" si="2"/>
        <v>1.8501097522734433</v>
      </c>
      <c r="T11" s="3">
        <f t="shared" si="2"/>
        <v>1.4027431421446579</v>
      </c>
      <c r="U11" s="3">
        <f t="shared" si="2"/>
        <v>1.6557325835676151</v>
      </c>
      <c r="V11" s="3">
        <f t="shared" si="2"/>
        <v>0.68027210884356037</v>
      </c>
      <c r="W11" s="3">
        <f t="shared" si="2"/>
        <v>0.61576354679802048</v>
      </c>
      <c r="X11" s="3">
        <f t="shared" si="2"/>
        <v>0.58407623731939751</v>
      </c>
      <c r="Y11" s="3">
        <f t="shared" si="2"/>
        <v>0.64535955746773954</v>
      </c>
      <c r="Z11" s="3">
        <f t="shared" si="2"/>
        <v>2.0270270270270174</v>
      </c>
      <c r="AA11" s="3">
        <f t="shared" si="2"/>
        <v>2.7539779681762466</v>
      </c>
      <c r="AB11" s="3">
        <f t="shared" si="2"/>
        <v>4.8899755501222497</v>
      </c>
      <c r="AC11" s="3">
        <f t="shared" si="2"/>
        <v>6.1984732824427402</v>
      </c>
      <c r="AD11" s="3">
        <f t="shared" si="2"/>
        <v>9.1511137868753867</v>
      </c>
      <c r="AE11" s="3">
        <f t="shared" si="2"/>
        <v>10.005955926146527</v>
      </c>
      <c r="AF11" s="3">
        <f t="shared" si="2"/>
        <v>10.751748251748271</v>
      </c>
      <c r="AG11" s="3">
        <f t="shared" si="2"/>
        <v>10.178263369752759</v>
      </c>
      <c r="AH11" s="3">
        <f t="shared" si="2"/>
        <v>8.4390512961941777</v>
      </c>
      <c r="AI11" s="3">
        <f t="shared" si="2"/>
        <v>6.7135896047644916</v>
      </c>
      <c r="AJ11" s="3">
        <f t="shared" si="2"/>
        <v>4.1568008418837232</v>
      </c>
      <c r="AK11" s="3">
        <f t="shared" si="2"/>
        <v>3.5490605427974886</v>
      </c>
      <c r="AL11" s="3">
        <f t="shared" si="2"/>
        <v>2.1108850457782102</v>
      </c>
      <c r="AM11" s="3">
        <f t="shared" si="2"/>
        <v>2.0547945205479312</v>
      </c>
      <c r="AN11" s="3" t="e">
        <f>HAVERQ!CJ159</f>
        <v>#N/A</v>
      </c>
      <c r="AO11" s="3">
        <f>HAVERQ!CK159</f>
        <v>2.8</v>
      </c>
      <c r="AP11" s="3">
        <f>HAVERQ!CL159</f>
        <v>3.4</v>
      </c>
      <c r="AQ11" s="3">
        <f>HAVERQ!CM159</f>
        <v>3.5</v>
      </c>
      <c r="AR11" s="3">
        <f>HAVERQ!CN159</f>
        <v>3.2</v>
      </c>
      <c r="AS11" s="3">
        <f>HAVERQ!CO159</f>
        <v>2.7</v>
      </c>
      <c r="AT11" s="3">
        <f>HAVERQ!CP159</f>
        <v>2.2999999999999998</v>
      </c>
      <c r="AU11" s="3">
        <f>HAVERQ!CQ159</f>
        <v>2.2999999999999998</v>
      </c>
      <c r="AV11" s="3">
        <f>HAVERQ!CR159</f>
        <v>2.1</v>
      </c>
      <c r="AW11" s="3">
        <f>HAVERQ!CS159</f>
        <v>2.1</v>
      </c>
      <c r="AX11" s="3">
        <f>HAVERQ!CT159</f>
        <v>1.9</v>
      </c>
      <c r="AY11" s="3">
        <f>HAVERQ!CU159</f>
        <v>1.9</v>
      </c>
      <c r="AZ11" s="3">
        <f>HAVERQ!CV159</f>
        <v>1.8</v>
      </c>
      <c r="BA11" s="3">
        <f>HAVERQ!CW159</f>
        <v>1.7</v>
      </c>
    </row>
    <row r="12" spans="1:53" x14ac:dyDescent="0.35">
      <c r="D12" t="s">
        <v>1144</v>
      </c>
      <c r="E12" s="3">
        <f>E10</f>
        <v>0.33500837520936688</v>
      </c>
      <c r="F12" s="3">
        <f t="shared" ref="F12:AX12" si="3">F10</f>
        <v>0.33311125916057893</v>
      </c>
      <c r="G12" s="3">
        <f t="shared" si="3"/>
        <v>0.69883527454244199</v>
      </c>
      <c r="H12" s="3">
        <f t="shared" si="3"/>
        <v>1.1964107676969205</v>
      </c>
      <c r="I12" s="3">
        <f t="shared" si="3"/>
        <v>2.17028380634392</v>
      </c>
      <c r="J12" s="3">
        <f t="shared" si="3"/>
        <v>2.7556440903054202</v>
      </c>
      <c r="K12" s="3">
        <f t="shared" si="3"/>
        <v>2.8089887640449396</v>
      </c>
      <c r="L12" s="3">
        <f t="shared" si="3"/>
        <v>3.0213464696223324</v>
      </c>
      <c r="M12" s="3">
        <f t="shared" si="3"/>
        <v>2.7124183006535851</v>
      </c>
      <c r="N12" s="3">
        <f t="shared" si="3"/>
        <v>2.4232633279483107</v>
      </c>
      <c r="O12" s="3">
        <f t="shared" si="3"/>
        <v>2.5072324011571778</v>
      </c>
      <c r="P12" s="3">
        <f t="shared" si="3"/>
        <v>2.2633088938476043</v>
      </c>
      <c r="Q12" s="3">
        <f t="shared" si="3"/>
        <v>1.8453706649697699</v>
      </c>
      <c r="R12" s="3">
        <f t="shared" si="3"/>
        <v>2.018927444794949</v>
      </c>
      <c r="S12" s="3">
        <f t="shared" si="3"/>
        <v>1.8501097522734433</v>
      </c>
      <c r="T12" s="3">
        <f t="shared" si="3"/>
        <v>1.4027431421446579</v>
      </c>
      <c r="U12" s="3">
        <f t="shared" si="3"/>
        <v>1.6557325835676151</v>
      </c>
      <c r="V12" s="3">
        <f t="shared" si="3"/>
        <v>0.68027210884356037</v>
      </c>
      <c r="W12" s="3">
        <f t="shared" si="3"/>
        <v>0.61576354679802048</v>
      </c>
      <c r="X12" s="3">
        <f t="shared" si="3"/>
        <v>0.58407623731939751</v>
      </c>
      <c r="Y12" s="3">
        <f t="shared" si="3"/>
        <v>0.64535955746773954</v>
      </c>
      <c r="Z12" s="3">
        <f t="shared" si="3"/>
        <v>2.0270270270270174</v>
      </c>
      <c r="AA12" s="3">
        <f t="shared" si="3"/>
        <v>2.7539779681762466</v>
      </c>
      <c r="AB12" s="3">
        <f t="shared" si="3"/>
        <v>4.8899755501222497</v>
      </c>
      <c r="AC12" s="3">
        <f t="shared" si="3"/>
        <v>6.1984732824427402</v>
      </c>
      <c r="AD12" s="3">
        <f t="shared" si="3"/>
        <v>9.1511137868753867</v>
      </c>
      <c r="AE12" s="3">
        <f t="shared" si="3"/>
        <v>10.005955926146527</v>
      </c>
      <c r="AF12" s="3">
        <f t="shared" si="3"/>
        <v>10.751748251748271</v>
      </c>
      <c r="AG12" s="3">
        <f t="shared" si="3"/>
        <v>10.178263369752759</v>
      </c>
      <c r="AH12" s="3">
        <f t="shared" si="3"/>
        <v>8.4390512961941777</v>
      </c>
      <c r="AI12" s="3">
        <f t="shared" si="3"/>
        <v>6.7135896047644916</v>
      </c>
      <c r="AJ12" s="3">
        <f t="shared" si="3"/>
        <v>4.1568008418837232</v>
      </c>
      <c r="AK12" s="3">
        <f t="shared" si="3"/>
        <v>3.5490605427974886</v>
      </c>
      <c r="AL12" s="3">
        <f t="shared" si="3"/>
        <v>2.1108850457782102</v>
      </c>
      <c r="AM12" s="3">
        <f t="shared" si="3"/>
        <v>2.0547945205479312</v>
      </c>
      <c r="AN12" s="3">
        <f t="shared" si="3"/>
        <v>2.475372568830525</v>
      </c>
      <c r="AO12" s="3">
        <f t="shared" si="3"/>
        <v>2.8</v>
      </c>
      <c r="AP12" s="3">
        <f t="shared" si="3"/>
        <v>3.5</v>
      </c>
      <c r="AQ12" s="3">
        <f t="shared" si="3"/>
        <v>3.7</v>
      </c>
      <c r="AR12" s="3">
        <f t="shared" si="3"/>
        <v>3.5</v>
      </c>
      <c r="AS12" s="3">
        <f t="shared" si="3"/>
        <v>3</v>
      </c>
      <c r="AT12" s="3">
        <f t="shared" si="3"/>
        <v>2.6</v>
      </c>
      <c r="AU12" s="3">
        <f t="shared" si="3"/>
        <v>2.6</v>
      </c>
      <c r="AV12" s="3">
        <f t="shared" si="3"/>
        <v>2.4</v>
      </c>
      <c r="AW12" s="3">
        <f t="shared" si="3"/>
        <v>2.2999999999999998</v>
      </c>
      <c r="AX12" s="3">
        <f t="shared" si="3"/>
        <v>2.2000000000000002</v>
      </c>
      <c r="AY12" s="3">
        <f t="shared" ref="AY12:BA12" si="4">AY10</f>
        <v>2.1</v>
      </c>
      <c r="AZ12" s="3">
        <f t="shared" si="4"/>
        <v>2</v>
      </c>
      <c r="BA12" s="3">
        <f t="shared" si="4"/>
        <v>1.9</v>
      </c>
    </row>
    <row r="13" spans="1:53" x14ac:dyDescent="0.35">
      <c r="D13" t="s">
        <v>1145</v>
      </c>
      <c r="E13" s="3">
        <f>E11</f>
        <v>0.33500837520936688</v>
      </c>
      <c r="F13" s="3">
        <f t="shared" ref="F13:AM13" si="5">F11</f>
        <v>0.33311125916057893</v>
      </c>
      <c r="G13" s="3">
        <f t="shared" si="5"/>
        <v>0.69883527454244199</v>
      </c>
      <c r="H13" s="3">
        <f t="shared" si="5"/>
        <v>1.1964107676969205</v>
      </c>
      <c r="I13" s="3">
        <f t="shared" si="5"/>
        <v>2.17028380634392</v>
      </c>
      <c r="J13" s="3">
        <f t="shared" si="5"/>
        <v>2.7556440903054202</v>
      </c>
      <c r="K13" s="3">
        <f t="shared" si="5"/>
        <v>2.8089887640449396</v>
      </c>
      <c r="L13" s="3">
        <f t="shared" si="5"/>
        <v>3.0213464696223324</v>
      </c>
      <c r="M13" s="3">
        <f t="shared" si="5"/>
        <v>2.7124183006535851</v>
      </c>
      <c r="N13" s="3">
        <f t="shared" si="5"/>
        <v>2.4232633279483107</v>
      </c>
      <c r="O13" s="3">
        <f t="shared" si="5"/>
        <v>2.5072324011571778</v>
      </c>
      <c r="P13" s="3">
        <f t="shared" si="5"/>
        <v>2.2633088938476043</v>
      </c>
      <c r="Q13" s="3">
        <f t="shared" si="5"/>
        <v>1.8453706649697699</v>
      </c>
      <c r="R13" s="3">
        <f t="shared" si="5"/>
        <v>2.018927444794949</v>
      </c>
      <c r="S13" s="3">
        <f t="shared" si="5"/>
        <v>1.8501097522734433</v>
      </c>
      <c r="T13" s="3">
        <f t="shared" si="5"/>
        <v>1.4027431421446579</v>
      </c>
      <c r="U13" s="3">
        <f t="shared" si="5"/>
        <v>1.6557325835676151</v>
      </c>
      <c r="V13" s="3">
        <f t="shared" si="5"/>
        <v>0.68027210884356037</v>
      </c>
      <c r="W13" s="3">
        <f t="shared" si="5"/>
        <v>0.61576354679802048</v>
      </c>
      <c r="X13" s="3">
        <f t="shared" si="5"/>
        <v>0.58407623731939751</v>
      </c>
      <c r="Y13" s="3">
        <f t="shared" si="5"/>
        <v>0.64535955746773954</v>
      </c>
      <c r="Z13" s="3">
        <f t="shared" si="5"/>
        <v>2.0270270270270174</v>
      </c>
      <c r="AA13" s="3">
        <f t="shared" si="5"/>
        <v>2.7539779681762466</v>
      </c>
      <c r="AB13" s="3">
        <f t="shared" si="5"/>
        <v>4.8899755501222497</v>
      </c>
      <c r="AC13" s="3">
        <f t="shared" si="5"/>
        <v>6.1984732824427402</v>
      </c>
      <c r="AD13" s="3">
        <f t="shared" si="5"/>
        <v>9.1511137868753867</v>
      </c>
      <c r="AE13" s="3">
        <f t="shared" si="5"/>
        <v>10.005955926146527</v>
      </c>
      <c r="AF13" s="3">
        <f t="shared" si="5"/>
        <v>10.751748251748271</v>
      </c>
      <c r="AG13" s="3">
        <f t="shared" si="5"/>
        <v>10.178263369752759</v>
      </c>
      <c r="AH13" s="3">
        <f t="shared" si="5"/>
        <v>8.4390512961941777</v>
      </c>
      <c r="AI13" s="3">
        <f t="shared" si="5"/>
        <v>6.7135896047644916</v>
      </c>
      <c r="AJ13" s="3">
        <f t="shared" si="5"/>
        <v>4.1568008418837232</v>
      </c>
      <c r="AK13" s="3">
        <f t="shared" si="5"/>
        <v>3.5490605427974886</v>
      </c>
      <c r="AL13" s="3">
        <f t="shared" si="5"/>
        <v>2.1108850457782102</v>
      </c>
      <c r="AM13" s="3">
        <f t="shared" si="5"/>
        <v>2.0547945205479312</v>
      </c>
      <c r="AN13" s="3" t="e">
        <f>HAVERQ!CJ160</f>
        <v>#N/A</v>
      </c>
      <c r="AO13" s="3">
        <f>HAVERQ!CK160</f>
        <v>2.8</v>
      </c>
      <c r="AP13" s="3">
        <f>HAVERQ!CL160</f>
        <v>3.5</v>
      </c>
      <c r="AQ13" s="3">
        <f>HAVERQ!CM160</f>
        <v>3.7</v>
      </c>
      <c r="AR13" s="3">
        <f>HAVERQ!CN160</f>
        <v>3.5</v>
      </c>
      <c r="AS13" s="3">
        <f>HAVERQ!CO160</f>
        <v>3</v>
      </c>
      <c r="AT13" s="3">
        <f>HAVERQ!CP160</f>
        <v>2.6</v>
      </c>
      <c r="AU13" s="3">
        <f>HAVERQ!CQ160</f>
        <v>2.6</v>
      </c>
      <c r="AV13" s="3">
        <f>HAVERQ!CR160</f>
        <v>2.4</v>
      </c>
      <c r="AW13" s="3">
        <f>HAVERQ!CS160</f>
        <v>2.2999999999999998</v>
      </c>
      <c r="AX13" s="3">
        <f>HAVERQ!CT160</f>
        <v>2.2000000000000002</v>
      </c>
      <c r="AY13" s="3">
        <f>HAVERQ!CU160</f>
        <v>2.1</v>
      </c>
      <c r="AZ13" s="3">
        <f>HAVERQ!CV160</f>
        <v>2</v>
      </c>
      <c r="BA13" s="3">
        <f>HAVERQ!CW160</f>
        <v>1.9</v>
      </c>
    </row>
    <row r="14" spans="1:53" x14ac:dyDescent="0.35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3" x14ac:dyDescent="0.35">
      <c r="A15" s="7" t="s">
        <v>90</v>
      </c>
    </row>
    <row r="16" spans="1:53" x14ac:dyDescent="0.35">
      <c r="E16">
        <v>2016</v>
      </c>
      <c r="I16">
        <v>2017</v>
      </c>
      <c r="M16">
        <v>2018</v>
      </c>
      <c r="Q16">
        <v>2019</v>
      </c>
      <c r="U16">
        <v>2020</v>
      </c>
      <c r="Y16">
        <v>2021</v>
      </c>
      <c r="AC16">
        <v>2022</v>
      </c>
      <c r="AG16">
        <v>2023</v>
      </c>
      <c r="AK16">
        <v>2024</v>
      </c>
      <c r="AO16">
        <v>2025</v>
      </c>
      <c r="AS16">
        <v>2026</v>
      </c>
      <c r="AW16">
        <v>2027</v>
      </c>
      <c r="BA16">
        <v>2028</v>
      </c>
    </row>
    <row r="17" spans="1:54" x14ac:dyDescent="0.35">
      <c r="A17" t="s">
        <v>1172</v>
      </c>
      <c r="B17" s="2">
        <v>45597</v>
      </c>
      <c r="C17" s="2"/>
      <c r="D17" s="2"/>
      <c r="E17" s="6">
        <f>HAVERQ!BA$95</f>
        <v>5.0999999999999996</v>
      </c>
      <c r="F17" s="6">
        <f>HAVERQ!BB$95</f>
        <v>4.9000000000000004</v>
      </c>
      <c r="G17" s="6">
        <f>HAVERQ!BC$95</f>
        <v>4.8</v>
      </c>
      <c r="H17" s="6">
        <f>HAVERQ!BD$95</f>
        <v>4.7</v>
      </c>
      <c r="I17" s="6">
        <f>HAVERQ!BE$95</f>
        <v>4.5999999999999996</v>
      </c>
      <c r="J17" s="6">
        <f>HAVERQ!BF$95</f>
        <v>4.4000000000000004</v>
      </c>
      <c r="K17" s="6">
        <f>HAVERQ!BG$95</f>
        <v>4.3</v>
      </c>
      <c r="L17" s="6">
        <f>HAVERQ!BH$95</f>
        <v>4.4000000000000004</v>
      </c>
      <c r="M17" s="6">
        <f>HAVERQ!BI$95</f>
        <v>4.2</v>
      </c>
      <c r="N17" s="6">
        <f>HAVERQ!BJ$95</f>
        <v>4</v>
      </c>
      <c r="O17" s="6">
        <f>HAVERQ!BK$95</f>
        <v>4.0999999999999996</v>
      </c>
      <c r="P17" s="6">
        <f>HAVERQ!BL$95</f>
        <v>4</v>
      </c>
      <c r="Q17" s="6">
        <f>HAVERQ!BM$95</f>
        <v>3.8</v>
      </c>
      <c r="R17" s="6">
        <f>HAVERQ!BN$95</f>
        <v>3.9</v>
      </c>
      <c r="S17" s="6">
        <f>HAVERQ!BO$95</f>
        <v>3.9</v>
      </c>
      <c r="T17" s="6">
        <f>HAVERQ!BP$95</f>
        <v>3.7</v>
      </c>
      <c r="U17" s="6">
        <f>HAVERQ!BQ$95</f>
        <v>4.0999999999999996</v>
      </c>
      <c r="V17" s="6">
        <f>HAVERQ!BR$95</f>
        <v>4.0999999999999996</v>
      </c>
      <c r="W17" s="6">
        <f>HAVERQ!BS$95</f>
        <v>5</v>
      </c>
      <c r="X17" s="6">
        <f>HAVERQ!BT$95</f>
        <v>5.3</v>
      </c>
      <c r="Y17" s="6">
        <f>HAVERQ!BU$95</f>
        <v>4.9000000000000004</v>
      </c>
      <c r="Z17" s="6">
        <f>HAVERQ!BV$95</f>
        <v>4.7</v>
      </c>
      <c r="AA17" s="6">
        <f>HAVERQ!BW$95</f>
        <v>4.4000000000000004</v>
      </c>
      <c r="AB17" s="6">
        <f>HAVERQ!BX$95</f>
        <v>4.2</v>
      </c>
      <c r="AC17" s="6">
        <f>HAVERQ!BY$95</f>
        <v>3.8</v>
      </c>
      <c r="AD17" s="6">
        <f>HAVERQ!BZ$95</f>
        <v>3.8</v>
      </c>
      <c r="AE17" s="6">
        <f>HAVERQ!CA$95</f>
        <v>3.7</v>
      </c>
      <c r="AF17" s="6">
        <f>HAVERQ!CB$95</f>
        <v>3.9</v>
      </c>
      <c r="AG17" s="6">
        <f>HAVERQ!CC$95</f>
        <v>4</v>
      </c>
      <c r="AH17" s="6">
        <f>HAVERQ!CD$95</f>
        <v>4.2</v>
      </c>
      <c r="AI17" s="6">
        <f>HAVERQ!CE$95</f>
        <v>4.0999999999999996</v>
      </c>
      <c r="AJ17" s="6">
        <f>HAVERQ!CF$95</f>
        <v>3.9</v>
      </c>
      <c r="AK17" s="6">
        <f>HAVERQ!CG$95</f>
        <v>4.3</v>
      </c>
      <c r="AL17" s="6">
        <f>HAVERQ!CH$95</f>
        <v>4.2</v>
      </c>
      <c r="AM17" s="6">
        <f>HAVERQ!CI125</f>
        <v>4.2</v>
      </c>
      <c r="AN17" s="6">
        <f>HAVERQ!CJ125</f>
        <v>4.2</v>
      </c>
      <c r="AO17" s="6">
        <f>HAVERQ!CK125</f>
        <v>4.0999999999999996</v>
      </c>
      <c r="AP17" s="6">
        <f>HAVERQ!CL125</f>
        <v>4.0999999999999996</v>
      </c>
      <c r="AQ17" s="6">
        <f>HAVERQ!CM125</f>
        <v>4.0999999999999996</v>
      </c>
      <c r="AR17" s="6">
        <f>HAVERQ!CN125</f>
        <v>4.0999999999999996</v>
      </c>
      <c r="AS17" s="6">
        <f>HAVERQ!CO125</f>
        <v>4.2</v>
      </c>
      <c r="AT17" s="6">
        <f>HAVERQ!CP125</f>
        <v>4.2</v>
      </c>
      <c r="AU17" s="6">
        <f>HAVERQ!CQ125</f>
        <v>4.2</v>
      </c>
      <c r="AV17" s="6">
        <f>HAVERQ!CR125</f>
        <v>4.3</v>
      </c>
      <c r="AW17" s="6">
        <f>HAVERQ!CS125</f>
        <v>4.3</v>
      </c>
      <c r="AX17" s="6">
        <f>HAVERQ!CT125</f>
        <v>4.4000000000000004</v>
      </c>
      <c r="AY17" s="6">
        <f>HAVERQ!CU125</f>
        <v>4.4000000000000004</v>
      </c>
      <c r="AZ17" s="6">
        <f>HAVERQ!CV125</f>
        <v>4.4000000000000004</v>
      </c>
    </row>
    <row r="18" spans="1:54" x14ac:dyDescent="0.35">
      <c r="A18" t="s">
        <v>1209</v>
      </c>
      <c r="B18" s="2">
        <v>45689</v>
      </c>
      <c r="C18" s="2"/>
      <c r="D18" s="2"/>
      <c r="E18" s="6">
        <f>HAVERQ!BA$95</f>
        <v>5.0999999999999996</v>
      </c>
      <c r="F18" s="6">
        <f>HAVERQ!BB$95</f>
        <v>4.9000000000000004</v>
      </c>
      <c r="G18" s="6">
        <f>HAVERQ!BC$95</f>
        <v>4.8</v>
      </c>
      <c r="H18" s="6">
        <f>HAVERQ!BD$95</f>
        <v>4.7</v>
      </c>
      <c r="I18" s="6">
        <f>HAVERQ!BE$95</f>
        <v>4.5999999999999996</v>
      </c>
      <c r="J18" s="6">
        <f>HAVERQ!BF$95</f>
        <v>4.4000000000000004</v>
      </c>
      <c r="K18" s="6">
        <f>HAVERQ!BG$95</f>
        <v>4.3</v>
      </c>
      <c r="L18" s="6">
        <f>HAVERQ!BH$95</f>
        <v>4.4000000000000004</v>
      </c>
      <c r="M18" s="6">
        <f>HAVERQ!BI$95</f>
        <v>4.2</v>
      </c>
      <c r="N18" s="6">
        <f>HAVERQ!BJ$95</f>
        <v>4</v>
      </c>
      <c r="O18" s="6">
        <f>HAVERQ!BK$95</f>
        <v>4.0999999999999996</v>
      </c>
      <c r="P18" s="6">
        <f>HAVERQ!BL$95</f>
        <v>4</v>
      </c>
      <c r="Q18" s="6">
        <f>HAVERQ!BM$95</f>
        <v>3.8</v>
      </c>
      <c r="R18" s="6">
        <f>HAVERQ!BN$95</f>
        <v>3.9</v>
      </c>
      <c r="S18" s="6">
        <f>HAVERQ!BO$95</f>
        <v>3.9</v>
      </c>
      <c r="T18" s="6">
        <f>HAVERQ!BP$95</f>
        <v>3.7</v>
      </c>
      <c r="U18" s="6">
        <f>HAVERQ!BQ$95</f>
        <v>4.0999999999999996</v>
      </c>
      <c r="V18" s="6">
        <f>HAVERQ!BR$95</f>
        <v>4.0999999999999996</v>
      </c>
      <c r="W18" s="6">
        <f>HAVERQ!BS$95</f>
        <v>5</v>
      </c>
      <c r="X18" s="6">
        <f>HAVERQ!BT$95</f>
        <v>5.3</v>
      </c>
      <c r="Y18" s="6">
        <f>HAVERQ!BU$95</f>
        <v>4.9000000000000004</v>
      </c>
      <c r="Z18" s="6">
        <f>HAVERQ!BV$95</f>
        <v>4.7</v>
      </c>
      <c r="AA18" s="6">
        <f>HAVERQ!BW$95</f>
        <v>4.4000000000000004</v>
      </c>
      <c r="AB18" s="6">
        <f>HAVERQ!BX$95</f>
        <v>4.2</v>
      </c>
      <c r="AC18" s="6">
        <f>HAVERQ!BY$95</f>
        <v>3.8</v>
      </c>
      <c r="AD18" s="6">
        <f>HAVERQ!BZ$95</f>
        <v>3.8</v>
      </c>
      <c r="AE18" s="6">
        <f>HAVERQ!CA$95</f>
        <v>3.7</v>
      </c>
      <c r="AF18" s="6">
        <f>HAVERQ!CB$95</f>
        <v>3.9</v>
      </c>
      <c r="AG18" s="6">
        <f>HAVERQ!CC$95</f>
        <v>4</v>
      </c>
      <c r="AH18" s="6">
        <f>HAVERQ!CD$95</f>
        <v>4.2</v>
      </c>
      <c r="AI18" s="6">
        <f>HAVERQ!CE$95</f>
        <v>4.0999999999999996</v>
      </c>
      <c r="AJ18" s="6">
        <f>HAVERQ!CF$95</f>
        <v>3.9</v>
      </c>
      <c r="AK18" s="6">
        <f>HAVERQ!CG$95</f>
        <v>4.3</v>
      </c>
      <c r="AL18" s="6">
        <f>HAVERQ!CH$95</f>
        <v>4.2</v>
      </c>
      <c r="AM18" s="6">
        <f>HAVERQ!CI$95</f>
        <v>4.3</v>
      </c>
      <c r="AN18" s="6">
        <f>HAVERQ!CJ126</f>
        <v>4.4000000000000004</v>
      </c>
      <c r="AO18" s="6">
        <f>HAVERQ!CK126</f>
        <v>4.5</v>
      </c>
      <c r="AP18" s="6">
        <f>HAVERQ!CL126</f>
        <v>4.5</v>
      </c>
      <c r="AQ18" s="6">
        <f>HAVERQ!CM126</f>
        <v>4.5</v>
      </c>
      <c r="AR18" s="6">
        <f>HAVERQ!CN126</f>
        <v>4.5</v>
      </c>
      <c r="AS18" s="6">
        <f>HAVERQ!CO126</f>
        <v>4.5</v>
      </c>
      <c r="AT18" s="6">
        <f>HAVERQ!CP126</f>
        <v>4.5999999999999996</v>
      </c>
      <c r="AU18" s="6">
        <f>HAVERQ!CQ126</f>
        <v>4.5999999999999996</v>
      </c>
      <c r="AV18" s="6">
        <f>HAVERQ!CR126</f>
        <v>4.7</v>
      </c>
      <c r="AW18" s="6">
        <f>HAVERQ!CS126</f>
        <v>4.8</v>
      </c>
      <c r="AX18" s="6">
        <f>HAVERQ!CT126</f>
        <v>4.8</v>
      </c>
      <c r="AY18" s="6">
        <f>HAVERQ!CU126</f>
        <v>4.8</v>
      </c>
      <c r="AZ18" s="6">
        <f>HAVERQ!CV126</f>
        <v>4.8</v>
      </c>
      <c r="BA18" s="6">
        <f>HAVERQ!CW126</f>
        <v>4.8</v>
      </c>
      <c r="BB18" s="6"/>
    </row>
    <row r="19" spans="1:54" x14ac:dyDescent="0.35">
      <c r="B19" t="s">
        <v>97</v>
      </c>
      <c r="E19">
        <v>4.5</v>
      </c>
      <c r="F19">
        <v>4.5</v>
      </c>
      <c r="G19">
        <v>4.5</v>
      </c>
      <c r="H19">
        <v>4.5</v>
      </c>
      <c r="I19">
        <v>4.5</v>
      </c>
      <c r="J19">
        <v>4.5</v>
      </c>
      <c r="K19">
        <v>4.5</v>
      </c>
      <c r="L19">
        <v>4.5</v>
      </c>
      <c r="M19">
        <v>4.25</v>
      </c>
      <c r="N19">
        <v>4.25</v>
      </c>
      <c r="O19">
        <v>4.25</v>
      </c>
      <c r="P19">
        <v>4.25</v>
      </c>
      <c r="Q19">
        <v>4.25</v>
      </c>
      <c r="R19">
        <v>4.25</v>
      </c>
      <c r="S19">
        <v>4.25</v>
      </c>
      <c r="T19">
        <v>4.25</v>
      </c>
      <c r="U19">
        <v>4.25</v>
      </c>
      <c r="V19">
        <v>4.25</v>
      </c>
      <c r="W19">
        <v>4.25</v>
      </c>
      <c r="X19">
        <v>4.25</v>
      </c>
      <c r="Y19">
        <v>4.25</v>
      </c>
      <c r="Z19">
        <v>4.25</v>
      </c>
      <c r="AA19">
        <v>4.25</v>
      </c>
      <c r="AB19">
        <v>4.25</v>
      </c>
      <c r="AC19">
        <v>4.25</v>
      </c>
      <c r="AD19">
        <v>4.25</v>
      </c>
      <c r="AE19">
        <v>4.25</v>
      </c>
      <c r="AF19">
        <v>4.25</v>
      </c>
      <c r="AG19">
        <v>4.25</v>
      </c>
      <c r="AH19">
        <v>4.25</v>
      </c>
      <c r="AI19">
        <v>4.25</v>
      </c>
      <c r="AJ19">
        <v>4.5</v>
      </c>
      <c r="AK19">
        <v>4.5</v>
      </c>
      <c r="AL19">
        <v>4.5</v>
      </c>
      <c r="AM19">
        <v>4.5</v>
      </c>
      <c r="AN19">
        <v>4.5</v>
      </c>
      <c r="AO19">
        <v>4.5</v>
      </c>
      <c r="AP19">
        <v>4.5</v>
      </c>
      <c r="AQ19">
        <v>4.5</v>
      </c>
      <c r="AR19">
        <v>4.5</v>
      </c>
      <c r="AS19">
        <v>4.5</v>
      </c>
      <c r="AT19">
        <v>4.5</v>
      </c>
      <c r="AU19">
        <v>4.5</v>
      </c>
      <c r="AV19">
        <v>4.5</v>
      </c>
      <c r="AW19">
        <v>4.5</v>
      </c>
      <c r="AX19">
        <v>4.5</v>
      </c>
      <c r="AY19">
        <v>4.5</v>
      </c>
      <c r="AZ19">
        <v>4.5</v>
      </c>
      <c r="BA19">
        <v>4.5</v>
      </c>
    </row>
    <row r="20" spans="1:54" x14ac:dyDescent="0.35">
      <c r="A20" t="s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>
        <f>OE_FCST!HD4</f>
        <v>4.2</v>
      </c>
      <c r="AM20" s="6">
        <f>OE_FCST!HE4</f>
        <v>4.3</v>
      </c>
      <c r="AN20" s="6">
        <f>OE_FCST!HF4</f>
        <v>4.4083839999999999</v>
      </c>
      <c r="AO20" s="6">
        <f>OE_FCST!HG4</f>
        <v>4.492019</v>
      </c>
      <c r="AP20" s="6">
        <f>OE_FCST!HH4</f>
        <v>4.5025069999999996</v>
      </c>
      <c r="AQ20" s="6">
        <f>OE_FCST!HI4</f>
        <v>4.5120149999999999</v>
      </c>
      <c r="AR20" s="6">
        <f>OE_FCST!HJ4</f>
        <v>4.5025310000000003</v>
      </c>
      <c r="AS20" s="6">
        <f>OE_FCST!HK4</f>
        <v>4.4834519999999998</v>
      </c>
      <c r="AT20" s="6">
        <f>OE_FCST!HL4</f>
        <v>4.4739440000000004</v>
      </c>
      <c r="AU20" s="6">
        <f>OE_FCST!HM4</f>
        <v>4.4596780000000003</v>
      </c>
      <c r="AV20" s="6">
        <f>OE_FCST!HN4</f>
        <v>4.435829</v>
      </c>
      <c r="AW20" s="6">
        <f>OE_FCST!HO4</f>
        <v>4.4043850000000004</v>
      </c>
      <c r="AX20" s="6">
        <f>OE_FCST!HP4</f>
        <v>4.3567140000000002</v>
      </c>
      <c r="AY20" s="6">
        <f>OE_FCST!HQ4</f>
        <v>4.3013789999999998</v>
      </c>
      <c r="AZ20" s="6">
        <f>OE_FCST!HR4</f>
        <v>4.2512549999999996</v>
      </c>
      <c r="BA20" s="6">
        <f>OE_FCST!HS4</f>
        <v>4.2011289999999999</v>
      </c>
    </row>
    <row r="22" spans="1:54" x14ac:dyDescent="0.35">
      <c r="A22" s="7" t="s">
        <v>116</v>
      </c>
    </row>
    <row r="23" spans="1:54" x14ac:dyDescent="0.35">
      <c r="E23" s="2">
        <v>42370</v>
      </c>
      <c r="F23" s="2">
        <v>42461</v>
      </c>
      <c r="G23" s="2">
        <v>42552</v>
      </c>
      <c r="H23" s="2">
        <v>42644</v>
      </c>
      <c r="I23" s="2">
        <v>42736</v>
      </c>
      <c r="J23" s="2">
        <v>42826</v>
      </c>
      <c r="K23" s="2">
        <v>42917</v>
      </c>
      <c r="L23" s="2">
        <v>43009</v>
      </c>
      <c r="M23" s="2">
        <v>43101</v>
      </c>
      <c r="N23" s="2">
        <v>43191</v>
      </c>
      <c r="O23" s="2">
        <v>43282</v>
      </c>
      <c r="P23" s="2">
        <v>43374</v>
      </c>
      <c r="Q23" s="2">
        <v>43466</v>
      </c>
      <c r="R23" s="2">
        <v>43556</v>
      </c>
      <c r="S23" s="2">
        <v>43647</v>
      </c>
      <c r="T23" s="2">
        <v>43739</v>
      </c>
      <c r="U23" s="2">
        <v>43831</v>
      </c>
      <c r="V23" s="2">
        <v>43922</v>
      </c>
      <c r="W23" s="2">
        <v>44013</v>
      </c>
      <c r="X23" s="2">
        <v>44105</v>
      </c>
      <c r="Y23" s="2">
        <v>44197</v>
      </c>
      <c r="Z23" s="2">
        <v>44287</v>
      </c>
      <c r="AA23" s="2">
        <v>44378</v>
      </c>
      <c r="AB23" s="2">
        <v>44470</v>
      </c>
      <c r="AC23" s="2">
        <v>44562</v>
      </c>
      <c r="AD23" s="2">
        <v>44652</v>
      </c>
      <c r="AE23" s="2">
        <v>44743</v>
      </c>
      <c r="AF23" s="2">
        <v>44835</v>
      </c>
      <c r="AG23" s="2">
        <v>44927</v>
      </c>
      <c r="AH23" s="2">
        <v>45017</v>
      </c>
      <c r="AI23" s="2">
        <v>45108</v>
      </c>
      <c r="AJ23" s="2">
        <v>45200</v>
      </c>
      <c r="AK23" s="2">
        <v>45292</v>
      </c>
      <c r="AL23" s="2">
        <v>45383</v>
      </c>
      <c r="AM23" s="2">
        <v>45474</v>
      </c>
      <c r="AN23" s="2">
        <v>45566</v>
      </c>
      <c r="AO23" s="2">
        <v>45658</v>
      </c>
      <c r="AP23" s="2">
        <v>45748</v>
      </c>
      <c r="AQ23" s="2">
        <v>45839</v>
      </c>
      <c r="AR23" s="2">
        <v>45931</v>
      </c>
      <c r="AS23" s="2">
        <v>46023</v>
      </c>
      <c r="AT23" s="2">
        <v>46113</v>
      </c>
      <c r="AU23" s="2">
        <v>46204</v>
      </c>
      <c r="AV23" s="2">
        <v>46296</v>
      </c>
      <c r="AW23" s="2">
        <v>46388</v>
      </c>
      <c r="AX23" s="2">
        <v>46478</v>
      </c>
      <c r="AY23" s="2">
        <v>46569</v>
      </c>
      <c r="AZ23" s="2">
        <v>46661</v>
      </c>
      <c r="BA23" s="2">
        <v>46753</v>
      </c>
      <c r="BB23" s="2">
        <v>46844</v>
      </c>
    </row>
    <row r="24" spans="1:54" x14ac:dyDescent="0.35">
      <c r="A24" t="s">
        <v>558</v>
      </c>
      <c r="B24" s="2" t="s">
        <v>558</v>
      </c>
      <c r="C24" s="2"/>
      <c r="D24" s="2"/>
      <c r="E24" s="3">
        <f>HAVERQ!BA$127</f>
        <v>0.5</v>
      </c>
      <c r="F24" s="3">
        <f>HAVERQ!BB$127</f>
        <v>0.5</v>
      </c>
      <c r="G24" s="3">
        <f>HAVERQ!BC$127</f>
        <v>0.25</v>
      </c>
      <c r="H24" s="3">
        <f>HAVERQ!BD$127</f>
        <v>0.25</v>
      </c>
      <c r="I24" s="3">
        <f>HAVERQ!BE$127</f>
        <v>0.25</v>
      </c>
      <c r="J24" s="3">
        <f>HAVERQ!BF$127</f>
        <v>0.25</v>
      </c>
      <c r="K24" s="3">
        <f>HAVERQ!BG$127</f>
        <v>0.25</v>
      </c>
      <c r="L24" s="3">
        <f>HAVERQ!BH$127</f>
        <v>0.5</v>
      </c>
      <c r="M24" s="3">
        <f>HAVERQ!BI$127</f>
        <v>0.5</v>
      </c>
      <c r="N24" s="3">
        <f>HAVERQ!BJ$127</f>
        <v>0.5</v>
      </c>
      <c r="O24" s="3">
        <f>HAVERQ!BK$127</f>
        <v>0.75</v>
      </c>
      <c r="P24" s="3">
        <f>HAVERQ!BL$127</f>
        <v>0.75</v>
      </c>
      <c r="Q24" s="3">
        <f>HAVERQ!BM$127</f>
        <v>0.75</v>
      </c>
      <c r="R24" s="3">
        <f>HAVERQ!BN$127</f>
        <v>0.75</v>
      </c>
      <c r="S24" s="3">
        <f>HAVERQ!BO$127</f>
        <v>0.75</v>
      </c>
      <c r="T24" s="3">
        <f>HAVERQ!BP$127</f>
        <v>0.75</v>
      </c>
      <c r="U24" s="3">
        <f>HAVERQ!BQ$127</f>
        <v>0.1</v>
      </c>
      <c r="V24" s="3">
        <f>HAVERQ!BR$127</f>
        <v>0.1</v>
      </c>
      <c r="W24" s="3">
        <f>HAVERQ!BS$127</f>
        <v>0.1</v>
      </c>
      <c r="X24" s="3">
        <f>HAVERQ!BT$127</f>
        <v>0.1</v>
      </c>
      <c r="Y24" s="3">
        <f>HAVERQ!BU$127</f>
        <v>0.1</v>
      </c>
      <c r="Z24" s="3">
        <f>HAVERQ!BV$127</f>
        <v>0.1</v>
      </c>
      <c r="AA24" s="3">
        <f>HAVERQ!BW$127</f>
        <v>0.1</v>
      </c>
      <c r="AB24" s="3">
        <f>HAVERQ!BX$127</f>
        <v>0.25</v>
      </c>
      <c r="AC24" s="3">
        <f>HAVERQ!BY$127</f>
        <v>0.75</v>
      </c>
      <c r="AD24" s="3">
        <f>HAVERQ!BZ$127</f>
        <v>1.25</v>
      </c>
      <c r="AE24" s="3">
        <f>HAVERQ!CA$127</f>
        <v>2.25</v>
      </c>
      <c r="AF24" s="3">
        <f>HAVERQ!CB$127</f>
        <v>3.5</v>
      </c>
      <c r="AG24" s="3">
        <f>HAVERQ!CC$127</f>
        <v>4.25</v>
      </c>
      <c r="AH24" s="3">
        <f>HAVERQ!CD$127</f>
        <v>5</v>
      </c>
      <c r="AI24" s="3">
        <f>HAVERQ!CE$127</f>
        <v>5.25</v>
      </c>
      <c r="AJ24" s="3">
        <f>HAVERQ!CF$127</f>
        <v>5.25</v>
      </c>
      <c r="AK24" s="3">
        <f>HAVERQ!CG$127</f>
        <v>5.25</v>
      </c>
      <c r="AL24" s="3">
        <f>HAVERQ!CH$127</f>
        <v>5.25</v>
      </c>
      <c r="AM24" s="3">
        <f>HAVERQ!CI$127</f>
        <v>5</v>
      </c>
      <c r="AN24" s="3">
        <f>HAVERQ!CJ$127</f>
        <v>4.75</v>
      </c>
      <c r="AO24" s="3"/>
      <c r="AP24" s="3"/>
    </row>
    <row r="25" spans="1:54" x14ac:dyDescent="0.35">
      <c r="A25" t="s">
        <v>1210</v>
      </c>
      <c r="B25" s="2">
        <v>45597</v>
      </c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>
        <f>HAVERQ!CJ157</f>
        <v>4.78</v>
      </c>
      <c r="AO25" s="3">
        <f>HAVERQ!CK157</f>
        <v>4.3899999999999997</v>
      </c>
      <c r="AP25" s="3">
        <f>HAVERQ!CL157</f>
        <v>4.03</v>
      </c>
      <c r="AQ25" s="3">
        <f>HAVERQ!CM157</f>
        <v>3.81</v>
      </c>
      <c r="AR25" s="3">
        <f>HAVERQ!CN157</f>
        <v>3.72</v>
      </c>
      <c r="AS25" s="3">
        <f>HAVERQ!CO157</f>
        <v>3.69</v>
      </c>
      <c r="AT25" s="3">
        <f>HAVERQ!CP157</f>
        <v>3.68</v>
      </c>
      <c r="AU25" s="3">
        <f>HAVERQ!CQ157</f>
        <v>3.67</v>
      </c>
      <c r="AV25" s="3">
        <f>HAVERQ!CR157</f>
        <v>3.66</v>
      </c>
      <c r="AW25" s="3">
        <f>HAVERQ!CS157</f>
        <v>3.64</v>
      </c>
      <c r="AX25" s="3">
        <f>HAVERQ!CT157</f>
        <v>3.63</v>
      </c>
      <c r="AY25" s="3">
        <f>HAVERQ!CU157</f>
        <v>3.62</v>
      </c>
      <c r="AZ25" s="3">
        <f>HAVERQ!CV157</f>
        <v>3.6</v>
      </c>
      <c r="BA25" s="3">
        <f>HAVERQ!CW157</f>
        <v>3.6</v>
      </c>
    </row>
    <row r="26" spans="1:54" x14ac:dyDescent="0.35">
      <c r="A26" t="s">
        <v>1211</v>
      </c>
      <c r="B26" s="2">
        <v>45689</v>
      </c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f>HAVERQ!CK158</f>
        <v>4.55</v>
      </c>
      <c r="AP26" s="3">
        <f>HAVERQ!CL158</f>
        <v>4.37</v>
      </c>
      <c r="AQ26" s="3">
        <f>HAVERQ!CM158</f>
        <v>4.2300000000000004</v>
      </c>
      <c r="AR26" s="3">
        <f>HAVERQ!CN158</f>
        <v>4.16</v>
      </c>
      <c r="AS26" s="3">
        <f>HAVERQ!CO158</f>
        <v>4.1500000000000004</v>
      </c>
      <c r="AT26" s="3">
        <f>HAVERQ!CP158</f>
        <v>4.1500000000000004</v>
      </c>
      <c r="AU26" s="3">
        <f>HAVERQ!CQ158</f>
        <v>4.13</v>
      </c>
      <c r="AV26" s="3">
        <f>HAVERQ!CR158</f>
        <v>4.1100000000000003</v>
      </c>
      <c r="AW26" s="3">
        <f>HAVERQ!CS158</f>
        <v>4.08</v>
      </c>
      <c r="AX26" s="3">
        <f>HAVERQ!CT158</f>
        <v>4.0599999999999996</v>
      </c>
      <c r="AY26" s="3">
        <f>HAVERQ!CU158</f>
        <v>4.03</v>
      </c>
      <c r="AZ26" s="3">
        <f>HAVERQ!CV158</f>
        <v>4.01</v>
      </c>
      <c r="BA26" s="3">
        <f>HAVERQ!CW158</f>
        <v>3.99</v>
      </c>
      <c r="BB26" s="3">
        <f>HAVERQ!CX158</f>
        <v>3.98</v>
      </c>
    </row>
    <row r="27" spans="1:54" x14ac:dyDescent="0.35">
      <c r="A27" t="s">
        <v>85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f>OE_FCST!HF5</f>
        <v>4.75</v>
      </c>
      <c r="AO27" s="3">
        <f>OE_FCST!HG5</f>
        <v>4.5</v>
      </c>
      <c r="AP27" s="3">
        <f>OE_FCST!HH5</f>
        <v>4.25</v>
      </c>
      <c r="AQ27" s="3">
        <f>OE_FCST!HI5</f>
        <v>4</v>
      </c>
      <c r="AR27" s="3">
        <f>OE_FCST!HJ5</f>
        <v>3.75</v>
      </c>
      <c r="AS27" s="3">
        <f>OE_FCST!HK5</f>
        <v>3.5</v>
      </c>
      <c r="AT27" s="3">
        <f>OE_FCST!HL5</f>
        <v>3.25</v>
      </c>
      <c r="AU27" s="3">
        <f>OE_FCST!HM5</f>
        <v>3.25</v>
      </c>
      <c r="AV27" s="3">
        <f>OE_FCST!HN5</f>
        <v>3</v>
      </c>
      <c r="AW27" s="3">
        <f>OE_FCST!HO5</f>
        <v>3</v>
      </c>
      <c r="AX27" s="3">
        <f>OE_FCST!HP5</f>
        <v>2.75</v>
      </c>
      <c r="AY27" s="3">
        <f>OE_FCST!HQ5</f>
        <v>2.75</v>
      </c>
      <c r="AZ27" s="3">
        <f>OE_FCST!HR5</f>
        <v>2.5</v>
      </c>
      <c r="BA27" s="3">
        <f>OE_FCST!HS5</f>
        <v>2.5</v>
      </c>
      <c r="BB27" s="3">
        <f>OE_FCST!HT5</f>
        <v>2.5</v>
      </c>
    </row>
    <row r="28" spans="1:54" x14ac:dyDescent="0.35">
      <c r="A28" t="s">
        <v>87</v>
      </c>
      <c r="B28" t="s">
        <v>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30" spans="1:54" x14ac:dyDescent="0.35">
      <c r="A30" t="s">
        <v>1212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>
        <f t="shared" ref="AN30:BA30" si="6">+AN26-AN25</f>
        <v>-4.78</v>
      </c>
      <c r="AO30" s="3">
        <f t="shared" si="6"/>
        <v>0.16000000000000014</v>
      </c>
      <c r="AP30" s="3">
        <f t="shared" si="6"/>
        <v>0.33999999999999986</v>
      </c>
      <c r="AQ30" s="3">
        <f t="shared" si="6"/>
        <v>0.42000000000000037</v>
      </c>
      <c r="AR30" s="3">
        <f t="shared" si="6"/>
        <v>0.43999999999999995</v>
      </c>
      <c r="AS30" s="3">
        <f t="shared" si="6"/>
        <v>0.46000000000000041</v>
      </c>
      <c r="AT30" s="3">
        <f t="shared" si="6"/>
        <v>0.4700000000000002</v>
      </c>
      <c r="AU30" s="3">
        <f t="shared" si="6"/>
        <v>0.45999999999999996</v>
      </c>
      <c r="AV30" s="3">
        <f t="shared" si="6"/>
        <v>0.45000000000000018</v>
      </c>
      <c r="AW30" s="3">
        <f t="shared" si="6"/>
        <v>0.43999999999999995</v>
      </c>
      <c r="AX30" s="3">
        <f t="shared" si="6"/>
        <v>0.42999999999999972</v>
      </c>
      <c r="AY30" s="3">
        <f t="shared" si="6"/>
        <v>0.41000000000000014</v>
      </c>
      <c r="AZ30" s="3">
        <f t="shared" si="6"/>
        <v>0.4099999999999997</v>
      </c>
      <c r="BA30" s="3">
        <f t="shared" si="6"/>
        <v>0.39000000000000012</v>
      </c>
    </row>
    <row r="31" spans="1:54" x14ac:dyDescent="0.35">
      <c r="A31" t="s">
        <v>1042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f>AO26-4.7</f>
        <v>-0.15000000000000036</v>
      </c>
      <c r="AP31" s="3">
        <f t="shared" ref="AP31:BB31" si="7">AP26-4.7</f>
        <v>-0.33000000000000007</v>
      </c>
      <c r="AQ31" s="3">
        <f t="shared" si="7"/>
        <v>-0.46999999999999975</v>
      </c>
      <c r="AR31" s="3">
        <f t="shared" si="7"/>
        <v>-0.54</v>
      </c>
      <c r="AS31" s="3">
        <f t="shared" si="7"/>
        <v>-0.54999999999999982</v>
      </c>
      <c r="AT31" s="3">
        <f t="shared" si="7"/>
        <v>-0.54999999999999982</v>
      </c>
      <c r="AU31" s="3">
        <f t="shared" si="7"/>
        <v>-0.57000000000000028</v>
      </c>
      <c r="AV31" s="3">
        <f t="shared" si="7"/>
        <v>-0.58999999999999986</v>
      </c>
      <c r="AW31" s="3">
        <f t="shared" si="7"/>
        <v>-0.62000000000000011</v>
      </c>
      <c r="AX31" s="3">
        <f t="shared" si="7"/>
        <v>-0.64000000000000057</v>
      </c>
      <c r="AY31" s="3">
        <f t="shared" si="7"/>
        <v>-0.66999999999999993</v>
      </c>
      <c r="AZ31" s="3">
        <f t="shared" si="7"/>
        <v>-0.69000000000000039</v>
      </c>
      <c r="BA31" s="3">
        <f t="shared" si="7"/>
        <v>-0.71</v>
      </c>
      <c r="BB31" s="3">
        <f t="shared" si="7"/>
        <v>-0.7200000000000002</v>
      </c>
    </row>
    <row r="32" spans="1:54" x14ac:dyDescent="0.35"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37" x14ac:dyDescent="0.35">
      <c r="A33" s="7" t="s">
        <v>801</v>
      </c>
    </row>
    <row r="34" spans="1:37" x14ac:dyDescent="0.35">
      <c r="B34">
        <v>2023</v>
      </c>
      <c r="C34">
        <v>2024</v>
      </c>
      <c r="D34">
        <v>2025</v>
      </c>
      <c r="E34">
        <v>2026</v>
      </c>
    </row>
    <row r="35" spans="1:37" ht="29" x14ac:dyDescent="0.35">
      <c r="A35" s="19" t="s">
        <v>1213</v>
      </c>
      <c r="B35" s="6">
        <v>0.5</v>
      </c>
      <c r="C35" s="6">
        <v>0.75</v>
      </c>
      <c r="D35" s="6">
        <v>0.65</v>
      </c>
      <c r="E35" s="6">
        <v>1.5</v>
      </c>
      <c r="G35" s="6"/>
      <c r="H35" s="6"/>
      <c r="I35" s="6"/>
      <c r="L35" s="20"/>
      <c r="M35" s="6"/>
      <c r="N35" s="6"/>
      <c r="O35" s="6"/>
      <c r="S35" s="6"/>
      <c r="T35" s="6"/>
      <c r="U35" s="6"/>
    </row>
    <row r="36" spans="1:37" ht="29" x14ac:dyDescent="0.35">
      <c r="A36" s="19" t="s">
        <v>1173</v>
      </c>
      <c r="B36" s="6">
        <v>0.25</v>
      </c>
      <c r="C36" s="6">
        <v>1</v>
      </c>
      <c r="D36" s="6">
        <v>1.5</v>
      </c>
      <c r="E36" s="6">
        <v>1.25</v>
      </c>
      <c r="G36" s="6"/>
      <c r="H36" s="6"/>
      <c r="I36" s="6"/>
      <c r="L36" s="20"/>
      <c r="M36" s="6"/>
      <c r="N36" s="6"/>
      <c r="O36" s="6"/>
      <c r="S36" s="6"/>
      <c r="T36" s="6"/>
      <c r="U36" s="6"/>
    </row>
    <row r="37" spans="1:37" x14ac:dyDescent="0.35">
      <c r="A37" s="19"/>
      <c r="B37" s="6"/>
      <c r="C37" s="6"/>
      <c r="D37" s="6"/>
      <c r="G37" s="6"/>
      <c r="H37" s="6"/>
      <c r="I37" s="6"/>
      <c r="L37" s="20"/>
      <c r="M37" s="6"/>
      <c r="N37" s="6"/>
      <c r="O37" s="6"/>
      <c r="S37" s="6"/>
      <c r="T37" s="6"/>
      <c r="U37" s="6"/>
    </row>
    <row r="38" spans="1:37" ht="29" x14ac:dyDescent="0.35">
      <c r="A38" s="19" t="s">
        <v>1214</v>
      </c>
      <c r="B38" s="6">
        <v>0.4</v>
      </c>
      <c r="C38" s="6">
        <v>0.75</v>
      </c>
      <c r="D38" s="6">
        <v>1.01</v>
      </c>
      <c r="E38" s="6">
        <v>1.5580000000000001</v>
      </c>
      <c r="G38" s="6"/>
      <c r="H38" s="6"/>
      <c r="I38" s="6"/>
      <c r="L38" s="20"/>
      <c r="M38" s="6"/>
      <c r="N38" s="6"/>
      <c r="O38" s="6"/>
      <c r="S38" s="6"/>
      <c r="T38" s="6"/>
      <c r="U38" s="6"/>
    </row>
    <row r="39" spans="1:37" ht="29" x14ac:dyDescent="0.35">
      <c r="A39" s="19" t="s">
        <v>1215</v>
      </c>
      <c r="B39" s="6">
        <v>0.3</v>
      </c>
      <c r="C39" s="6">
        <v>0.8</v>
      </c>
      <c r="D39" s="6">
        <v>1.2</v>
      </c>
      <c r="E39" s="6">
        <v>1.5</v>
      </c>
      <c r="G39" s="6"/>
      <c r="H39" s="6"/>
      <c r="I39" s="6"/>
      <c r="L39" s="20"/>
      <c r="M39" s="6"/>
      <c r="N39" s="6"/>
      <c r="O39" s="6"/>
      <c r="S39" s="6"/>
      <c r="T39" s="6"/>
      <c r="U39" s="6"/>
    </row>
    <row r="40" spans="1:37" ht="29" x14ac:dyDescent="0.35">
      <c r="A40" s="19" t="s">
        <v>1174</v>
      </c>
      <c r="B40" s="6">
        <v>0.1</v>
      </c>
      <c r="C40" s="6">
        <v>1.1000000000000001</v>
      </c>
      <c r="D40" s="6">
        <v>2</v>
      </c>
      <c r="E40" s="6">
        <v>1.8</v>
      </c>
      <c r="G40" s="6"/>
      <c r="H40" s="6"/>
      <c r="I40" s="6"/>
      <c r="L40" s="20"/>
      <c r="M40" s="6"/>
      <c r="N40" s="6"/>
      <c r="O40" s="6"/>
      <c r="S40" s="6"/>
      <c r="T40" s="6"/>
      <c r="U40" s="6"/>
    </row>
    <row r="43" spans="1:37" x14ac:dyDescent="0.35">
      <c r="A43" s="7" t="s">
        <v>704</v>
      </c>
    </row>
    <row r="44" spans="1:37" x14ac:dyDescent="0.35">
      <c r="A44" s="7" t="s">
        <v>89</v>
      </c>
    </row>
    <row r="45" spans="1:37" x14ac:dyDescent="0.35">
      <c r="E45">
        <v>2016</v>
      </c>
      <c r="I45">
        <v>2017</v>
      </c>
      <c r="M45">
        <v>2018</v>
      </c>
      <c r="Q45">
        <v>2019</v>
      </c>
      <c r="U45">
        <v>2020</v>
      </c>
      <c r="Y45">
        <v>2021</v>
      </c>
      <c r="AC45">
        <v>2022</v>
      </c>
      <c r="AG45">
        <v>2023</v>
      </c>
      <c r="AK45">
        <v>2024</v>
      </c>
    </row>
    <row r="46" spans="1:37" x14ac:dyDescent="0.35">
      <c r="A46" t="s">
        <v>621</v>
      </c>
      <c r="B46" s="2">
        <v>43770</v>
      </c>
      <c r="C46" s="2"/>
      <c r="D46" s="2"/>
      <c r="E46" s="3">
        <f>HAVERQ!BA12</f>
        <v>2.0699999999999998</v>
      </c>
      <c r="F46" s="3">
        <f>HAVERQ!BB12</f>
        <v>1.89</v>
      </c>
      <c r="G46" s="3">
        <f>HAVERQ!BC12</f>
        <v>1.91</v>
      </c>
      <c r="H46" s="3">
        <f>HAVERQ!BD12</f>
        <v>1.81</v>
      </c>
      <c r="I46" s="3">
        <f>HAVERQ!BE12</f>
        <v>2.2400000000000002</v>
      </c>
      <c r="J46" s="3">
        <f>HAVERQ!BF12</f>
        <v>2.06</v>
      </c>
      <c r="K46" s="3">
        <f>HAVERQ!BG12</f>
        <v>2.0099999999999998</v>
      </c>
      <c r="L46" s="3">
        <f>HAVERQ!BH12</f>
        <v>1.78</v>
      </c>
      <c r="M46" s="3">
        <f>HAVERQ!BI12</f>
        <v>1.44</v>
      </c>
      <c r="N46" s="3">
        <f>HAVERQ!BJ12</f>
        <v>1.67</v>
      </c>
      <c r="O46" s="3">
        <f>HAVERQ!BK12</f>
        <v>1.87</v>
      </c>
      <c r="P46" s="3">
        <f>HAVERQ!BL12</f>
        <v>1.84</v>
      </c>
      <c r="Q46" s="3">
        <f>HAVERQ!BM12</f>
        <v>2.17</v>
      </c>
      <c r="R46" s="3">
        <f>HAVERQ!BN12</f>
        <v>1.35</v>
      </c>
      <c r="S46" s="13">
        <v>1.1299999999999999</v>
      </c>
      <c r="T46" s="3">
        <f>HAVERQ!BP42</f>
        <v>0.99</v>
      </c>
      <c r="U46" s="3">
        <f>HAVERQ!BQ42</f>
        <v>0.66</v>
      </c>
      <c r="V46" s="3">
        <f>HAVERQ!BR42</f>
        <v>1.3</v>
      </c>
      <c r="W46" s="3">
        <f>HAVERQ!BS42</f>
        <v>1.34</v>
      </c>
      <c r="X46" s="3">
        <f>HAVERQ!BT42</f>
        <v>1.55</v>
      </c>
      <c r="Y46" s="3">
        <f>HAVERQ!BU42</f>
        <v>1.72</v>
      </c>
      <c r="Z46" s="3">
        <f>HAVERQ!BV42</f>
        <v>1.76</v>
      </c>
      <c r="AA46" s="3">
        <f>HAVERQ!BW42</f>
        <v>1.79</v>
      </c>
      <c r="AB46" s="3">
        <f>HAVERQ!BX42</f>
        <v>1.84</v>
      </c>
      <c r="AC46" s="3">
        <f>HAVERQ!BY42</f>
        <v>1.94</v>
      </c>
      <c r="AD46" s="3">
        <f>HAVERQ!BZ42</f>
        <v>1.99</v>
      </c>
      <c r="AE46" s="3">
        <f>HAVERQ!CA42</f>
        <v>2.0299999999999998</v>
      </c>
      <c r="AF46" s="3">
        <f>HAVERQ!CB42</f>
        <v>2.06</v>
      </c>
    </row>
    <row r="47" spans="1:37" x14ac:dyDescent="0.35">
      <c r="A47" t="s">
        <v>637</v>
      </c>
      <c r="B47" s="2">
        <v>43831</v>
      </c>
      <c r="C47" s="2"/>
      <c r="D47" s="2"/>
      <c r="E47" s="3">
        <f>HAVERQ!BA13</f>
        <v>2.0699999999999998</v>
      </c>
      <c r="F47" s="3">
        <f>HAVERQ!BB13</f>
        <v>1.89</v>
      </c>
      <c r="G47" s="3">
        <f>HAVERQ!BC13</f>
        <v>1.91</v>
      </c>
      <c r="H47" s="3">
        <f>HAVERQ!BD13</f>
        <v>1.81</v>
      </c>
      <c r="I47" s="3">
        <f>HAVERQ!BE13</f>
        <v>2.23</v>
      </c>
      <c r="J47" s="3">
        <f>HAVERQ!BF13</f>
        <v>2.0499999999999998</v>
      </c>
      <c r="K47" s="3">
        <f>HAVERQ!BG13</f>
        <v>2</v>
      </c>
      <c r="L47" s="3">
        <f>HAVERQ!BH13</f>
        <v>1.77</v>
      </c>
      <c r="M47" s="3">
        <f>HAVERQ!BI13</f>
        <v>1.43</v>
      </c>
      <c r="N47" s="3">
        <f>HAVERQ!BJ13</f>
        <v>1.65</v>
      </c>
      <c r="O47" s="3">
        <f>HAVERQ!BK13</f>
        <v>1.82</v>
      </c>
      <c r="P47" s="3">
        <f>HAVERQ!BL13</f>
        <v>1.68</v>
      </c>
      <c r="Q47" s="3">
        <f>HAVERQ!BM13</f>
        <v>2.04</v>
      </c>
      <c r="R47" s="3">
        <f>HAVERQ!BN13</f>
        <v>1.27</v>
      </c>
      <c r="S47" s="3">
        <f>HAVERQ!BO13</f>
        <v>1.1100000000000001</v>
      </c>
      <c r="T47" s="13">
        <v>0.99</v>
      </c>
      <c r="U47" s="3">
        <f>HAVERQ!BQ43</f>
        <v>0.37</v>
      </c>
      <c r="V47" s="3">
        <f>HAVERQ!BR43</f>
        <v>0.83</v>
      </c>
      <c r="W47" s="3">
        <f>HAVERQ!BS43</f>
        <v>0.76</v>
      </c>
      <c r="X47" s="3">
        <f>HAVERQ!BT43</f>
        <v>1.21</v>
      </c>
      <c r="Y47" s="3">
        <f>HAVERQ!BU43</f>
        <v>1.37</v>
      </c>
      <c r="Z47" s="3">
        <f>HAVERQ!BV43</f>
        <v>1.45</v>
      </c>
      <c r="AA47" s="3">
        <f>HAVERQ!BW43</f>
        <v>1.48</v>
      </c>
      <c r="AB47" s="3">
        <f>HAVERQ!BX43</f>
        <v>1.46</v>
      </c>
      <c r="AC47" s="3">
        <f>HAVERQ!BY43</f>
        <v>1.56</v>
      </c>
      <c r="AD47" s="3">
        <f>HAVERQ!BZ43</f>
        <v>1.68</v>
      </c>
      <c r="AE47" s="3">
        <f>HAVERQ!CA43</f>
        <v>1.79</v>
      </c>
      <c r="AF47" s="3">
        <f>HAVERQ!CB43</f>
        <v>1.88</v>
      </c>
      <c r="AG47" s="3">
        <f>HAVERQ!CC43</f>
        <v>1.95</v>
      </c>
    </row>
    <row r="48" spans="1:37" x14ac:dyDescent="0.35">
      <c r="A48" t="s">
        <v>653</v>
      </c>
      <c r="B48" s="2">
        <v>43952</v>
      </c>
      <c r="C48" s="2"/>
      <c r="D48" s="2"/>
      <c r="E48" s="3">
        <f>HAVERQ!BA18</f>
        <v>2</v>
      </c>
      <c r="F48" s="3">
        <f>HAVERQ!BB18</f>
        <v>1.71</v>
      </c>
      <c r="G48" s="3">
        <f>HAVERQ!BC18</f>
        <v>1.62</v>
      </c>
      <c r="H48" s="3">
        <f>HAVERQ!BD18</f>
        <v>1.56</v>
      </c>
      <c r="I48" s="3">
        <f>HAVERQ!BE18</f>
        <v>1.86</v>
      </c>
      <c r="J48" s="3">
        <f>HAVERQ!BF18</f>
        <v>1.7</v>
      </c>
      <c r="K48" s="3">
        <f>HAVERQ!BG18</f>
        <v>1.82</v>
      </c>
      <c r="L48" s="3">
        <f>HAVERQ!BH18</f>
        <v>1.58</v>
      </c>
      <c r="M48" s="3">
        <f>HAVERQ!BI18</f>
        <v>1.22</v>
      </c>
      <c r="N48" s="3">
        <f>HAVERQ!BJ18</f>
        <v>1.41</v>
      </c>
      <c r="O48" s="3">
        <f>HAVERQ!BK18</f>
        <v>1.7</v>
      </c>
      <c r="P48" s="3">
        <f>HAVERQ!BL18</f>
        <v>1.58</v>
      </c>
      <c r="Q48" s="3">
        <f>HAVERQ!BM18</f>
        <v>1.99</v>
      </c>
      <c r="R48" s="3">
        <f>HAVERQ!BN18</f>
        <v>1.64</v>
      </c>
      <c r="S48" s="3">
        <f>HAVERQ!BO18</f>
        <v>1.44</v>
      </c>
      <c r="T48" s="3">
        <f>HAVERQ!BP18</f>
        <v>1.42</v>
      </c>
      <c r="U48" s="13">
        <v>0.37</v>
      </c>
      <c r="V48" s="3" t="e">
        <f>HAVERQ!BR48</f>
        <v>#N/A</v>
      </c>
      <c r="W48" s="3" t="e">
        <f>HAVERQ!BS48</f>
        <v>#N/A</v>
      </c>
      <c r="X48" s="3" t="e">
        <f>HAVERQ!BT48</f>
        <v>#N/A</v>
      </c>
      <c r="Y48" s="3" t="e">
        <f>HAVERQ!BU48</f>
        <v>#N/A</v>
      </c>
      <c r="Z48" s="3">
        <f>HAVERQ!BV48</f>
        <v>22.38</v>
      </c>
      <c r="AA48" s="3">
        <f>HAVERQ!BW48</f>
        <v>7.7</v>
      </c>
      <c r="AB48" s="3">
        <f>HAVERQ!BX48</f>
        <v>8.4700000000000006</v>
      </c>
      <c r="AC48" s="3">
        <f>HAVERQ!BY48</f>
        <v>11.43</v>
      </c>
      <c r="AD48" s="3">
        <f>HAVERQ!BZ48</f>
        <v>6.59</v>
      </c>
      <c r="AE48" s="3">
        <f>HAVERQ!CA48</f>
        <v>4</v>
      </c>
      <c r="AF48" s="3">
        <f>HAVERQ!CB48</f>
        <v>2.25</v>
      </c>
      <c r="AG48" s="3">
        <f>HAVERQ!CC48</f>
        <v>1.6</v>
      </c>
      <c r="AH48" s="3">
        <f>HAVERQ!CD48</f>
        <v>1.53</v>
      </c>
    </row>
    <row r="49" spans="1:34" x14ac:dyDescent="0.35">
      <c r="B49" t="s">
        <v>105</v>
      </c>
      <c r="E49">
        <v>1.6</v>
      </c>
      <c r="F49">
        <v>1.6</v>
      </c>
      <c r="G49">
        <v>1.6</v>
      </c>
      <c r="H49">
        <v>1.6</v>
      </c>
      <c r="I49">
        <v>1.6</v>
      </c>
      <c r="J49">
        <v>1.6</v>
      </c>
      <c r="K49">
        <v>1.6</v>
      </c>
      <c r="L49">
        <v>1.6</v>
      </c>
      <c r="M49">
        <v>1.6</v>
      </c>
      <c r="N49">
        <v>1.6</v>
      </c>
      <c r="O49">
        <v>1.6</v>
      </c>
      <c r="P49">
        <v>1.6</v>
      </c>
      <c r="Q49">
        <v>1.1000000000000001</v>
      </c>
      <c r="R49">
        <v>1.1000000000000001</v>
      </c>
      <c r="S49">
        <v>1.1000000000000001</v>
      </c>
      <c r="T49">
        <v>1.1000000000000001</v>
      </c>
      <c r="U49">
        <v>1.1000000000000001</v>
      </c>
      <c r="V49">
        <v>1.1000000000000001</v>
      </c>
      <c r="W49">
        <v>1.1000000000000001</v>
      </c>
      <c r="X49">
        <v>1.1000000000000001</v>
      </c>
      <c r="Y49">
        <v>1.1000000000000001</v>
      </c>
      <c r="Z49">
        <v>1.1000000000000001</v>
      </c>
      <c r="AA49">
        <v>1.1000000000000001</v>
      </c>
      <c r="AB49">
        <v>1.1000000000000001</v>
      </c>
      <c r="AC49">
        <v>1.1000000000000001</v>
      </c>
      <c r="AD49">
        <v>1.1000000000000001</v>
      </c>
      <c r="AE49">
        <v>1.1000000000000001</v>
      </c>
      <c r="AF49">
        <v>1.1000000000000001</v>
      </c>
      <c r="AG49">
        <v>1.1000000000000001</v>
      </c>
      <c r="AH49">
        <v>1.1000000000000001</v>
      </c>
    </row>
    <row r="50" spans="1:34" x14ac:dyDescent="0.35">
      <c r="A50" t="s">
        <v>85</v>
      </c>
      <c r="E50" s="6">
        <f>100*((OE_FCST!FW2/OE_FCST!FS2)-1)</f>
        <v>1.925678643591322</v>
      </c>
      <c r="F50" s="6">
        <f>100*((OE_FCST!FX2/OE_FCST!FT2)-1)</f>
        <v>1.8701772215557577</v>
      </c>
      <c r="G50" s="6">
        <f>100*((OE_FCST!FY2/OE_FCST!FU2)-1)</f>
        <v>1.9170685204127791</v>
      </c>
      <c r="H50" s="6">
        <f>100*((OE_FCST!FZ2/OE_FCST!FV2)-1)</f>
        <v>1.9734702491748468</v>
      </c>
      <c r="I50" s="6">
        <f>100*((OE_FCST!GA2/OE_FCST!FW2)-1)</f>
        <v>2.4672906862491573</v>
      </c>
      <c r="J50" s="6">
        <f>100*((OE_FCST!GB2/OE_FCST!FX2)-1)</f>
        <v>2.5357269581047115</v>
      </c>
      <c r="K50" s="6">
        <f>100*((OE_FCST!GC2/OE_FCST!FY2)-1)</f>
        <v>2.7489690299322689</v>
      </c>
      <c r="L50" s="6">
        <f>100*((OE_FCST!GD2/OE_FCST!FZ2)-1)</f>
        <v>2.8703458664983916</v>
      </c>
      <c r="M50" s="6">
        <f>100*((OE_FCST!GE2/OE_FCST!GA2)-1)</f>
        <v>2.079663808432719</v>
      </c>
      <c r="N50" s="6">
        <f>100*((OE_FCST!GF2/OE_FCST!GB2)-1)</f>
        <v>1.6047116567699193</v>
      </c>
      <c r="O50" s="6">
        <f>100*((OE_FCST!GG2/OE_FCST!GC2)-1)</f>
        <v>1.2778236463824033</v>
      </c>
      <c r="P50" s="6">
        <f>100*((OE_FCST!GH2/OE_FCST!GD2)-1)</f>
        <v>0.67365220087203248</v>
      </c>
      <c r="Q50" s="6">
        <f>100*((OE_FCST!GI2/OE_FCST!GE2)-1)</f>
        <v>1.3433094094283726</v>
      </c>
      <c r="R50" s="6">
        <f>100*((OE_FCST!GJ2/OE_FCST!GF2)-1)</f>
        <v>1.4936448521245538</v>
      </c>
      <c r="S50" s="6">
        <f>100*((OE_FCST!GK2/OE_FCST!GG2)-1)</f>
        <v>1.8984569911080662</v>
      </c>
      <c r="T50" s="6">
        <f>100*((OE_FCST!GL2/OE_FCST!GH2)-1)</f>
        <v>1.7605789533171379</v>
      </c>
      <c r="U50" s="6">
        <f>100*((OE_FCST!GM2/OE_FCST!GI2)-1)</f>
        <v>-1.6614737143377467</v>
      </c>
      <c r="V50" s="6">
        <f>100*((OE_FCST!GN2/OE_FCST!GJ2)-1)</f>
        <v>-21.898896495599441</v>
      </c>
      <c r="W50" s="6">
        <f>100*((OE_FCST!GO2/OE_FCST!GK2)-1)</f>
        <v>-9.4295643943357206</v>
      </c>
      <c r="X50" s="6">
        <f>100*((OE_FCST!GP2/OE_FCST!GL2)-1)</f>
        <v>-8.1919871738119099</v>
      </c>
      <c r="Y50" s="6">
        <f>100*((OE_FCST!GQ2/OE_FCST!GM2)-1)</f>
        <v>-6.6655752506536103</v>
      </c>
      <c r="Z50" s="6">
        <f>100*((OE_FCST!GR2/OE_FCST!GN2)-1)</f>
        <v>25.652127887016384</v>
      </c>
      <c r="AA50" s="6">
        <f>100*((OE_FCST!GS2/OE_FCST!GO2)-1)</f>
        <v>9.386152621177013</v>
      </c>
      <c r="AB50" s="6">
        <f>100*((OE_FCST!GT2/OE_FCST!GP2)-1)</f>
        <v>9.5126048062727619</v>
      </c>
      <c r="AC50" s="6">
        <f>100*((OE_FCST!GU2/OE_FCST!GQ2)-1)</f>
        <v>11.470010329352199</v>
      </c>
      <c r="AD50" s="6">
        <f>100*((OE_FCST!GV2/OE_FCST!GR2)-1)</f>
        <v>4.279321321609042</v>
      </c>
      <c r="AE50" s="6">
        <f>100*((OE_FCST!GW2/OE_FCST!GS2)-1)</f>
        <v>2.6838505895599774</v>
      </c>
      <c r="AF50" s="6">
        <f>100*((OE_FCST!GX2/OE_FCST!GT2)-1)</f>
        <v>1.5133078873888817</v>
      </c>
      <c r="AG50" s="6">
        <f>100*((OE_FCST!GY2/OE_FCST!GU2)-1)</f>
        <v>0.89931002036083285</v>
      </c>
      <c r="AH50" s="6">
        <f>100*((OE_FCST!GZ2/OE_FCST!GV2)-1)</f>
        <v>0.57155711293956912</v>
      </c>
    </row>
    <row r="51" spans="1:34" x14ac:dyDescent="0.35">
      <c r="A51" t="s">
        <v>87</v>
      </c>
      <c r="B51" t="s">
        <v>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X164"/>
  <sheetViews>
    <sheetView workbookViewId="0">
      <pane xSplit="8" ySplit="1" topLeftCell="CK115" activePane="bottomRight" state="frozen"/>
      <selection activeCell="C13" sqref="C13"/>
      <selection pane="topRight" activeCell="C13" sqref="C13"/>
      <selection pane="bottomLeft" activeCell="C13" sqref="C13"/>
      <selection pane="bottomRight" activeCell="CU141" sqref="CU141"/>
    </sheetView>
  </sheetViews>
  <sheetFormatPr defaultRowHeight="14.5" x14ac:dyDescent="0.35"/>
  <cols>
    <col min="1" max="1" width="13.26953125" bestFit="1" customWidth="1"/>
    <col min="3" max="3" width="15.453125" style="5" bestFit="1" customWidth="1"/>
    <col min="4" max="4" width="59.453125" customWidth="1"/>
  </cols>
  <sheetData>
    <row r="1" spans="1:102" x14ac:dyDescent="0.35">
      <c r="C1" s="9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104</v>
      </c>
      <c r="BV1" t="s">
        <v>110</v>
      </c>
      <c r="BW1" t="s">
        <v>122</v>
      </c>
      <c r="BX1" t="s">
        <v>557</v>
      </c>
      <c r="BY1" t="s">
        <v>574</v>
      </c>
      <c r="BZ1" t="s">
        <v>590</v>
      </c>
      <c r="CA1" t="s">
        <v>605</v>
      </c>
      <c r="CB1" t="s">
        <v>620</v>
      </c>
      <c r="CC1" t="s">
        <v>628</v>
      </c>
      <c r="CD1" t="s">
        <v>641</v>
      </c>
      <c r="CE1" t="s">
        <v>657</v>
      </c>
      <c r="CF1" t="s">
        <v>658</v>
      </c>
      <c r="CG1" t="s">
        <v>669</v>
      </c>
      <c r="CH1" t="s">
        <v>702</v>
      </c>
      <c r="CI1" t="s">
        <v>703</v>
      </c>
      <c r="CJ1" t="s">
        <v>816</v>
      </c>
      <c r="CK1" t="s">
        <v>832</v>
      </c>
      <c r="CL1" t="s">
        <v>854</v>
      </c>
      <c r="CM1" t="s">
        <v>904</v>
      </c>
      <c r="CN1" t="s">
        <v>920</v>
      </c>
      <c r="CO1" t="s">
        <v>947</v>
      </c>
      <c r="CP1" t="s">
        <v>962</v>
      </c>
      <c r="CQ1" t="s">
        <v>1003</v>
      </c>
      <c r="CR1" t="s">
        <v>1018</v>
      </c>
      <c r="CS1" t="s">
        <v>1058</v>
      </c>
      <c r="CT1" t="s">
        <v>1085</v>
      </c>
      <c r="CU1" t="s">
        <v>1114</v>
      </c>
      <c r="CV1" t="s">
        <v>1142</v>
      </c>
      <c r="CW1" t="s">
        <v>1177</v>
      </c>
      <c r="CX1" t="s">
        <v>1220</v>
      </c>
    </row>
    <row r="2" spans="1:102" x14ac:dyDescent="0.35">
      <c r="A2" s="1" t="s">
        <v>70</v>
      </c>
      <c r="B2" s="2">
        <v>42856</v>
      </c>
      <c r="C2" s="5" t="s">
        <v>71</v>
      </c>
      <c r="D2" t="s">
        <v>484</v>
      </c>
      <c r="E2" t="s">
        <v>483</v>
      </c>
      <c r="F2" t="s">
        <v>482</v>
      </c>
      <c r="G2" t="s">
        <v>1009</v>
      </c>
      <c r="H2" t="s">
        <v>480</v>
      </c>
      <c r="I2" s="3" t="e">
        <v>#N/A</v>
      </c>
      <c r="J2" s="3" t="e">
        <v>#N/A</v>
      </c>
      <c r="K2" s="3" t="e">
        <v>#N/A</v>
      </c>
      <c r="L2" s="3" t="e">
        <v>#N/A</v>
      </c>
      <c r="M2" s="3" t="e">
        <v>#N/A</v>
      </c>
      <c r="N2" s="3" t="e">
        <v>#N/A</v>
      </c>
      <c r="O2" s="3" t="e">
        <v>#N/A</v>
      </c>
      <c r="P2" s="3" t="e">
        <v>#N/A</v>
      </c>
      <c r="Q2" s="3" t="e">
        <v>#N/A</v>
      </c>
      <c r="R2" s="3" t="e">
        <v>#N/A</v>
      </c>
      <c r="S2" s="3" t="e">
        <v>#N/A</v>
      </c>
      <c r="T2" s="3" t="e">
        <v>#N/A</v>
      </c>
      <c r="U2" s="3" t="e">
        <v>#N/A</v>
      </c>
      <c r="V2" s="3" t="e">
        <v>#N/A</v>
      </c>
      <c r="W2" s="3" t="e">
        <v>#N/A</v>
      </c>
      <c r="X2" s="3" t="e">
        <v>#N/A</v>
      </c>
      <c r="Y2" s="3" t="e">
        <v>#N/A</v>
      </c>
      <c r="Z2" s="3" t="e">
        <v>#N/A</v>
      </c>
      <c r="AA2" s="3">
        <v>-4.01</v>
      </c>
      <c r="AB2" s="3">
        <v>-1.39</v>
      </c>
      <c r="AC2" s="3">
        <v>0.8</v>
      </c>
      <c r="AD2" s="3">
        <v>2.0499999999999998</v>
      </c>
      <c r="AE2" s="3">
        <v>2.5499999999999998</v>
      </c>
      <c r="AF2" s="3">
        <v>2.2599999999999998</v>
      </c>
      <c r="AG2" s="3">
        <v>2.2599999999999998</v>
      </c>
      <c r="AH2" s="3">
        <v>1.3</v>
      </c>
      <c r="AI2" s="3">
        <v>1.17</v>
      </c>
      <c r="AJ2" s="3">
        <v>1.31</v>
      </c>
      <c r="AK2" s="3">
        <v>1.19</v>
      </c>
      <c r="AL2" s="3">
        <v>1.04</v>
      </c>
      <c r="AM2" s="3">
        <v>1.75</v>
      </c>
      <c r="AN2" s="3">
        <v>1.27</v>
      </c>
      <c r="AO2" s="3">
        <v>1.46</v>
      </c>
      <c r="AP2" s="3">
        <v>2.0699999999999998</v>
      </c>
      <c r="AQ2" s="3">
        <v>1.69</v>
      </c>
      <c r="AR2" s="3">
        <v>2.42</v>
      </c>
      <c r="AS2" s="3">
        <v>2.69</v>
      </c>
      <c r="AT2" s="3">
        <v>3.12</v>
      </c>
      <c r="AU2" s="3">
        <v>3.23</v>
      </c>
      <c r="AV2" s="3">
        <v>3.53</v>
      </c>
      <c r="AW2" s="3">
        <v>3.04</v>
      </c>
      <c r="AX2" s="3">
        <v>2.58</v>
      </c>
      <c r="AY2" s="3">
        <v>2.12</v>
      </c>
      <c r="AZ2" s="3">
        <v>1.94</v>
      </c>
      <c r="BA2" s="3">
        <v>1.85</v>
      </c>
      <c r="BB2" s="3">
        <v>1.92</v>
      </c>
      <c r="BC2" s="3">
        <v>2.06</v>
      </c>
      <c r="BD2" s="3">
        <v>2.12</v>
      </c>
      <c r="BE2" s="3">
        <v>2.21</v>
      </c>
    </row>
    <row r="3" spans="1:102" x14ac:dyDescent="0.35">
      <c r="B3" s="2">
        <v>42948</v>
      </c>
      <c r="C3" s="5" t="s">
        <v>72</v>
      </c>
      <c r="D3" t="s">
        <v>488</v>
      </c>
      <c r="E3" t="s">
        <v>487</v>
      </c>
      <c r="F3" t="s">
        <v>486</v>
      </c>
      <c r="G3" t="s">
        <v>1009</v>
      </c>
      <c r="H3" t="s">
        <v>485</v>
      </c>
      <c r="I3" s="3" t="e">
        <v>#N/A</v>
      </c>
      <c r="J3" s="3" t="e">
        <v>#N/A</v>
      </c>
      <c r="K3" s="3" t="e">
        <v>#N/A</v>
      </c>
      <c r="L3" s="3" t="e">
        <v>#N/A</v>
      </c>
      <c r="M3" s="3" t="e">
        <v>#N/A</v>
      </c>
      <c r="N3" s="3" t="e">
        <v>#N/A</v>
      </c>
      <c r="O3" s="3" t="e">
        <v>#N/A</v>
      </c>
      <c r="P3" s="3" t="e">
        <v>#N/A</v>
      </c>
      <c r="Q3" s="3" t="e">
        <v>#N/A</v>
      </c>
      <c r="R3" s="3" t="e">
        <v>#N/A</v>
      </c>
      <c r="S3" s="3" t="e">
        <v>#N/A</v>
      </c>
      <c r="T3" s="3" t="e">
        <v>#N/A</v>
      </c>
      <c r="U3" s="3" t="e">
        <v>#N/A</v>
      </c>
      <c r="V3" s="3" t="e">
        <v>#N/A</v>
      </c>
      <c r="W3" s="3" t="e">
        <v>#N/A</v>
      </c>
      <c r="X3" s="3" t="e">
        <v>#N/A</v>
      </c>
      <c r="Y3" s="3" t="e">
        <v>#N/A</v>
      </c>
      <c r="Z3" s="3" t="e">
        <v>#N/A</v>
      </c>
      <c r="AA3" s="3" t="e">
        <v>#N/A</v>
      </c>
      <c r="AB3" s="3">
        <v>-1.39</v>
      </c>
      <c r="AC3" s="3">
        <v>0.8</v>
      </c>
      <c r="AD3" s="3">
        <v>2.0499999999999998</v>
      </c>
      <c r="AE3" s="3">
        <v>2.5499999999999998</v>
      </c>
      <c r="AF3" s="3">
        <v>2.2599999999999998</v>
      </c>
      <c r="AG3" s="3">
        <v>2.2599999999999998</v>
      </c>
      <c r="AH3" s="3">
        <v>1.3</v>
      </c>
      <c r="AI3" s="3">
        <v>1.17</v>
      </c>
      <c r="AJ3" s="3">
        <v>1.31</v>
      </c>
      <c r="AK3" s="3">
        <v>1.19</v>
      </c>
      <c r="AL3" s="3">
        <v>1.04</v>
      </c>
      <c r="AM3" s="3">
        <v>1.75</v>
      </c>
      <c r="AN3" s="3">
        <v>1.27</v>
      </c>
      <c r="AO3" s="3">
        <v>1.46</v>
      </c>
      <c r="AP3" s="3">
        <v>2.0699999999999998</v>
      </c>
      <c r="AQ3" s="3">
        <v>1.69</v>
      </c>
      <c r="AR3" s="3">
        <v>2.42</v>
      </c>
      <c r="AS3" s="3">
        <v>2.69</v>
      </c>
      <c r="AT3" s="3">
        <v>3.12</v>
      </c>
      <c r="AU3" s="3">
        <v>3.22</v>
      </c>
      <c r="AV3" s="3">
        <v>3.53</v>
      </c>
      <c r="AW3" s="3">
        <v>3.03</v>
      </c>
      <c r="AX3" s="3">
        <v>2.57</v>
      </c>
      <c r="AY3" s="3">
        <v>2.11</v>
      </c>
      <c r="AZ3" s="3">
        <v>1.93</v>
      </c>
      <c r="BA3" s="3">
        <v>1.85</v>
      </c>
      <c r="BB3" s="3">
        <v>1.92</v>
      </c>
      <c r="BC3" s="3">
        <v>2.0499999999999998</v>
      </c>
      <c r="BD3" s="3">
        <v>2.0499999999999998</v>
      </c>
      <c r="BE3" s="3">
        <v>2.0699999999999998</v>
      </c>
      <c r="BF3" s="3">
        <v>1.82</v>
      </c>
    </row>
    <row r="4" spans="1:102" x14ac:dyDescent="0.35">
      <c r="B4" s="4">
        <v>43040</v>
      </c>
      <c r="C4" s="5" t="s">
        <v>73</v>
      </c>
      <c r="D4" s="5" t="s">
        <v>492</v>
      </c>
      <c r="E4" s="5" t="s">
        <v>491</v>
      </c>
      <c r="F4" s="5" t="s">
        <v>490</v>
      </c>
      <c r="G4" s="5" t="s">
        <v>1009</v>
      </c>
      <c r="H4" s="5" t="s">
        <v>489</v>
      </c>
      <c r="I4" s="3" t="e">
        <v>#N/A</v>
      </c>
      <c r="J4" s="3" t="e">
        <v>#N/A</v>
      </c>
      <c r="K4" s="3" t="e">
        <v>#N/A</v>
      </c>
      <c r="L4" s="3" t="e">
        <v>#N/A</v>
      </c>
      <c r="M4" s="3" t="e">
        <v>#N/A</v>
      </c>
      <c r="N4" s="3" t="e">
        <v>#N/A</v>
      </c>
      <c r="O4" s="3" t="e">
        <v>#N/A</v>
      </c>
      <c r="P4" s="3" t="e">
        <v>#N/A</v>
      </c>
      <c r="Q4" s="3" t="e">
        <v>#N/A</v>
      </c>
      <c r="R4" s="3" t="e">
        <v>#N/A</v>
      </c>
      <c r="S4" s="3" t="e">
        <v>#N/A</v>
      </c>
      <c r="T4" s="3" t="e">
        <v>#N/A</v>
      </c>
      <c r="U4" s="3" t="e">
        <v>#N/A</v>
      </c>
      <c r="V4" s="3" t="e">
        <v>#N/A</v>
      </c>
      <c r="W4" s="3" t="e">
        <v>#N/A</v>
      </c>
      <c r="X4" s="3" t="e">
        <v>#N/A</v>
      </c>
      <c r="Y4" s="3" t="e">
        <v>#N/A</v>
      </c>
      <c r="Z4" s="3" t="e">
        <v>#N/A</v>
      </c>
      <c r="AA4" s="3" t="e">
        <v>#N/A</v>
      </c>
      <c r="AB4" s="3" t="e">
        <v>#N/A</v>
      </c>
      <c r="AC4" s="3">
        <v>0.74</v>
      </c>
      <c r="AD4" s="3">
        <v>1.87</v>
      </c>
      <c r="AE4" s="3">
        <v>2.19</v>
      </c>
      <c r="AF4" s="3">
        <v>1.99</v>
      </c>
      <c r="AG4" s="3">
        <v>2.04</v>
      </c>
      <c r="AH4" s="3">
        <v>1.28</v>
      </c>
      <c r="AI4" s="3">
        <v>1.19</v>
      </c>
      <c r="AJ4" s="3">
        <v>1.31</v>
      </c>
      <c r="AK4" s="3">
        <v>1.37</v>
      </c>
      <c r="AL4" s="3">
        <v>1.1100000000000001</v>
      </c>
      <c r="AM4" s="3">
        <v>1.89</v>
      </c>
      <c r="AN4" s="3">
        <v>1.55</v>
      </c>
      <c r="AO4" s="3">
        <v>1.54</v>
      </c>
      <c r="AP4" s="3">
        <v>2.2000000000000002</v>
      </c>
      <c r="AQ4" s="3">
        <v>1.89</v>
      </c>
      <c r="AR4" s="3">
        <v>2.57</v>
      </c>
      <c r="AS4" s="3">
        <v>2.8</v>
      </c>
      <c r="AT4" s="3">
        <v>3.12</v>
      </c>
      <c r="AU4" s="3">
        <v>3.03</v>
      </c>
      <c r="AV4" s="3">
        <v>3.27</v>
      </c>
      <c r="AW4" s="3">
        <v>2.89</v>
      </c>
      <c r="AX4" s="3">
        <v>2.62</v>
      </c>
      <c r="AY4" s="3">
        <v>2.38</v>
      </c>
      <c r="AZ4" s="3">
        <v>2.2599999999999998</v>
      </c>
      <c r="BA4" s="3">
        <v>2.09</v>
      </c>
      <c r="BB4" s="3">
        <v>1.99</v>
      </c>
      <c r="BC4" s="3">
        <v>1.91</v>
      </c>
      <c r="BD4" s="3">
        <v>1.8</v>
      </c>
      <c r="BE4" s="3">
        <v>1.84</v>
      </c>
      <c r="BF4" s="3">
        <v>1.65</v>
      </c>
      <c r="BG4" s="3">
        <v>1.6</v>
      </c>
    </row>
    <row r="5" spans="1:102" x14ac:dyDescent="0.35">
      <c r="B5" s="4">
        <v>43132</v>
      </c>
      <c r="C5" s="5" t="s">
        <v>111</v>
      </c>
      <c r="D5" s="5" t="s">
        <v>496</v>
      </c>
      <c r="E5" s="5" t="s">
        <v>495</v>
      </c>
      <c r="F5" s="5" t="s">
        <v>494</v>
      </c>
      <c r="G5" s="5" t="s">
        <v>1009</v>
      </c>
      <c r="H5" s="5" t="s">
        <v>493</v>
      </c>
      <c r="I5" s="3" t="e">
        <v>#N/A</v>
      </c>
      <c r="J5" s="3" t="e">
        <v>#N/A</v>
      </c>
      <c r="K5" s="3" t="e">
        <v>#N/A</v>
      </c>
      <c r="L5" s="3" t="e">
        <v>#N/A</v>
      </c>
      <c r="M5" s="3" t="e">
        <v>#N/A</v>
      </c>
      <c r="N5" s="3" t="e">
        <v>#N/A</v>
      </c>
      <c r="O5" s="3" t="e">
        <v>#N/A</v>
      </c>
      <c r="P5" s="3" t="e">
        <v>#N/A</v>
      </c>
      <c r="Q5" s="3" t="e">
        <v>#N/A</v>
      </c>
      <c r="R5" s="3" t="e">
        <v>#N/A</v>
      </c>
      <c r="S5" s="3" t="e">
        <v>#N/A</v>
      </c>
      <c r="T5" s="3" t="e">
        <v>#N/A</v>
      </c>
      <c r="U5" s="3" t="e">
        <v>#N/A</v>
      </c>
      <c r="V5" s="3" t="e">
        <v>#N/A</v>
      </c>
      <c r="W5" s="3" t="e">
        <v>#N/A</v>
      </c>
      <c r="X5" s="3" t="e">
        <v>#N/A</v>
      </c>
      <c r="Y5" s="3" t="e">
        <v>#N/A</v>
      </c>
      <c r="Z5" s="3" t="e">
        <v>#N/A</v>
      </c>
      <c r="AA5" s="3" t="e">
        <v>#N/A</v>
      </c>
      <c r="AB5" s="3" t="e">
        <v>#N/A</v>
      </c>
      <c r="AC5" s="3" t="e">
        <v>#N/A</v>
      </c>
      <c r="AD5" s="3">
        <v>1.87</v>
      </c>
      <c r="AE5" s="3">
        <v>2.19</v>
      </c>
      <c r="AF5" s="3">
        <v>1.99</v>
      </c>
      <c r="AG5" s="3">
        <v>2.04</v>
      </c>
      <c r="AH5" s="3">
        <v>1.28</v>
      </c>
      <c r="AI5" s="3">
        <v>1.19</v>
      </c>
      <c r="AJ5" s="3">
        <v>1.31</v>
      </c>
      <c r="AK5" s="3">
        <v>1.37</v>
      </c>
      <c r="AL5" s="3">
        <v>1.1100000000000001</v>
      </c>
      <c r="AM5" s="3">
        <v>1.89</v>
      </c>
      <c r="AN5" s="3">
        <v>1.55</v>
      </c>
      <c r="AO5" s="3">
        <v>1.54</v>
      </c>
      <c r="AP5" s="3">
        <v>2.2000000000000002</v>
      </c>
      <c r="AQ5" s="3">
        <v>1.89</v>
      </c>
      <c r="AR5" s="3">
        <v>2.57</v>
      </c>
      <c r="AS5" s="3">
        <v>2.8</v>
      </c>
      <c r="AT5" s="3">
        <v>3.12</v>
      </c>
      <c r="AU5" s="3">
        <v>3.03</v>
      </c>
      <c r="AV5" s="3">
        <v>3.27</v>
      </c>
      <c r="AW5" s="3">
        <v>2.89</v>
      </c>
      <c r="AX5" s="3">
        <v>2.62</v>
      </c>
      <c r="AY5" s="3">
        <v>2.37</v>
      </c>
      <c r="AZ5" s="3">
        <v>2.2599999999999998</v>
      </c>
      <c r="BA5" s="3">
        <v>2.14</v>
      </c>
      <c r="BB5" s="3">
        <v>2.0299999999999998</v>
      </c>
      <c r="BC5" s="3">
        <v>2.08</v>
      </c>
      <c r="BD5" s="3">
        <v>2.11</v>
      </c>
      <c r="BE5" s="3">
        <v>2.17</v>
      </c>
      <c r="BF5" s="3">
        <v>1.99</v>
      </c>
      <c r="BG5" s="3">
        <v>1.8</v>
      </c>
      <c r="BH5" s="3">
        <v>1.62</v>
      </c>
    </row>
    <row r="6" spans="1:102" x14ac:dyDescent="0.35">
      <c r="A6" s="1"/>
      <c r="B6" s="4">
        <v>43221</v>
      </c>
      <c r="C6" s="5" t="s">
        <v>117</v>
      </c>
      <c r="D6" s="5" t="s">
        <v>500</v>
      </c>
      <c r="E6" s="5" t="s">
        <v>499</v>
      </c>
      <c r="F6" s="5" t="s">
        <v>498</v>
      </c>
      <c r="G6" s="5" t="s">
        <v>1009</v>
      </c>
      <c r="H6" s="5" t="s">
        <v>497</v>
      </c>
      <c r="I6" s="3" t="e">
        <v>#N/A</v>
      </c>
      <c r="J6" s="3" t="e">
        <v>#N/A</v>
      </c>
      <c r="K6" s="3" t="e">
        <v>#N/A</v>
      </c>
      <c r="L6" s="3" t="e">
        <v>#N/A</v>
      </c>
      <c r="M6" s="3" t="e">
        <v>#N/A</v>
      </c>
      <c r="N6" s="3" t="e">
        <v>#N/A</v>
      </c>
      <c r="O6" s="3" t="e">
        <v>#N/A</v>
      </c>
      <c r="P6" s="3" t="e">
        <v>#N/A</v>
      </c>
      <c r="Q6" s="3" t="e">
        <v>#N/A</v>
      </c>
      <c r="R6" s="3" t="e">
        <v>#N/A</v>
      </c>
      <c r="S6" s="3" t="e">
        <v>#N/A</v>
      </c>
      <c r="T6" s="3" t="e">
        <v>#N/A</v>
      </c>
      <c r="U6" s="3" t="e">
        <v>#N/A</v>
      </c>
      <c r="V6" s="3" t="e">
        <v>#N/A</v>
      </c>
      <c r="W6" s="3" t="e">
        <v>#N/A</v>
      </c>
      <c r="X6" s="3" t="e">
        <v>#N/A</v>
      </c>
      <c r="Y6" s="3" t="e">
        <v>#N/A</v>
      </c>
      <c r="Z6" s="3" t="e">
        <v>#N/A</v>
      </c>
      <c r="AA6" s="3" t="e">
        <v>#N/A</v>
      </c>
      <c r="AB6" s="3" t="e">
        <v>#N/A</v>
      </c>
      <c r="AC6" s="3" t="e">
        <v>#N/A</v>
      </c>
      <c r="AD6" s="3" t="e">
        <v>#N/A</v>
      </c>
      <c r="AE6" s="3">
        <v>2.19</v>
      </c>
      <c r="AF6" s="3">
        <v>1.99</v>
      </c>
      <c r="AG6" s="3">
        <v>2.04</v>
      </c>
      <c r="AH6" s="3">
        <v>1.28</v>
      </c>
      <c r="AI6" s="3">
        <v>1.19</v>
      </c>
      <c r="AJ6" s="3">
        <v>1.31</v>
      </c>
      <c r="AK6" s="3">
        <v>1.37</v>
      </c>
      <c r="AL6" s="3">
        <v>1.1100000000000001</v>
      </c>
      <c r="AM6" s="3">
        <v>1.89</v>
      </c>
      <c r="AN6" s="3">
        <v>1.55</v>
      </c>
      <c r="AO6" s="3">
        <v>1.54</v>
      </c>
      <c r="AP6" s="3">
        <v>2.2000000000000002</v>
      </c>
      <c r="AQ6" s="3">
        <v>1.89</v>
      </c>
      <c r="AR6" s="3">
        <v>2.57</v>
      </c>
      <c r="AS6" s="3">
        <v>2.8</v>
      </c>
      <c r="AT6" s="3">
        <v>3.12</v>
      </c>
      <c r="AU6" s="3">
        <v>3.03</v>
      </c>
      <c r="AV6" s="3">
        <v>3.27</v>
      </c>
      <c r="AW6" s="3">
        <v>2.89</v>
      </c>
      <c r="AX6" s="3">
        <v>2.61</v>
      </c>
      <c r="AY6" s="3">
        <v>2.36</v>
      </c>
      <c r="AZ6" s="3">
        <v>2.25</v>
      </c>
      <c r="BA6" s="3">
        <v>2.13</v>
      </c>
      <c r="BB6" s="3">
        <v>2.02</v>
      </c>
      <c r="BC6" s="3">
        <v>2.08</v>
      </c>
      <c r="BD6" s="3">
        <v>2.11</v>
      </c>
      <c r="BE6" s="3">
        <v>2.17</v>
      </c>
      <c r="BF6" s="3">
        <v>2.0499999999999998</v>
      </c>
      <c r="BG6" s="3">
        <v>1.97</v>
      </c>
      <c r="BH6" s="3">
        <v>1.73</v>
      </c>
      <c r="BI6" s="3">
        <v>1.62</v>
      </c>
    </row>
    <row r="7" spans="1:102" x14ac:dyDescent="0.35">
      <c r="A7" s="1"/>
      <c r="B7" s="4">
        <v>43313</v>
      </c>
      <c r="C7" s="5" t="s">
        <v>475</v>
      </c>
      <c r="D7" s="5" t="s">
        <v>503</v>
      </c>
      <c r="E7" s="5" t="s">
        <v>502</v>
      </c>
      <c r="F7" s="5" t="s">
        <v>498</v>
      </c>
      <c r="G7" s="5" t="s">
        <v>1009</v>
      </c>
      <c r="H7" s="5" t="s">
        <v>501</v>
      </c>
      <c r="I7" s="3" t="e">
        <v>#N/A</v>
      </c>
      <c r="J7" s="3" t="e">
        <v>#N/A</v>
      </c>
      <c r="K7" s="3" t="e">
        <v>#N/A</v>
      </c>
      <c r="L7" s="3" t="e">
        <v>#N/A</v>
      </c>
      <c r="M7" s="3" t="e">
        <v>#N/A</v>
      </c>
      <c r="N7" s="3" t="e">
        <v>#N/A</v>
      </c>
      <c r="O7" s="3" t="e">
        <v>#N/A</v>
      </c>
      <c r="P7" s="3" t="e">
        <v>#N/A</v>
      </c>
      <c r="Q7" s="3" t="e">
        <v>#N/A</v>
      </c>
      <c r="R7" s="3" t="e">
        <v>#N/A</v>
      </c>
      <c r="S7" s="3" t="e">
        <v>#N/A</v>
      </c>
      <c r="T7" s="3" t="e">
        <v>#N/A</v>
      </c>
      <c r="U7" s="3" t="e">
        <v>#N/A</v>
      </c>
      <c r="V7" s="3" t="e">
        <v>#N/A</v>
      </c>
      <c r="W7" s="3" t="e">
        <v>#N/A</v>
      </c>
      <c r="X7" s="3" t="e">
        <v>#N/A</v>
      </c>
      <c r="Y7" s="3" t="e">
        <v>#N/A</v>
      </c>
      <c r="Z7" s="3" t="e">
        <v>#N/A</v>
      </c>
      <c r="AA7" s="3" t="e">
        <v>#N/A</v>
      </c>
      <c r="AB7" s="3" t="e">
        <v>#N/A</v>
      </c>
      <c r="AC7" s="3" t="e">
        <v>#N/A</v>
      </c>
      <c r="AD7" s="3" t="e">
        <v>#N/A</v>
      </c>
      <c r="AE7" s="3" t="e">
        <v>#N/A</v>
      </c>
      <c r="AF7" s="3">
        <v>2.0299999999999998</v>
      </c>
      <c r="AG7" s="3">
        <v>2.34</v>
      </c>
      <c r="AH7" s="3">
        <v>1.61</v>
      </c>
      <c r="AI7" s="3">
        <v>1.3</v>
      </c>
      <c r="AJ7" s="3">
        <v>1.34</v>
      </c>
      <c r="AK7" s="3">
        <v>1.24</v>
      </c>
      <c r="AL7" s="3">
        <v>1.03</v>
      </c>
      <c r="AM7" s="3">
        <v>1.96</v>
      </c>
      <c r="AN7" s="3">
        <v>1.56</v>
      </c>
      <c r="AO7" s="3">
        <v>1.56</v>
      </c>
      <c r="AP7" s="3">
        <v>2.17</v>
      </c>
      <c r="AQ7" s="3">
        <v>1.87</v>
      </c>
      <c r="AR7" s="3">
        <v>2.58</v>
      </c>
      <c r="AS7" s="3">
        <v>2.78</v>
      </c>
      <c r="AT7" s="3">
        <v>3.07</v>
      </c>
      <c r="AU7" s="3">
        <v>2.87</v>
      </c>
      <c r="AV7" s="3">
        <v>3.07</v>
      </c>
      <c r="AW7" s="3">
        <v>2.77</v>
      </c>
      <c r="AX7" s="3">
        <v>2.5299999999999998</v>
      </c>
      <c r="AY7" s="3">
        <v>2.34</v>
      </c>
      <c r="AZ7" s="3">
        <v>2.36</v>
      </c>
      <c r="BA7" s="3">
        <v>2.21</v>
      </c>
      <c r="BB7" s="3">
        <v>1.85</v>
      </c>
      <c r="BC7" s="3">
        <v>1.82</v>
      </c>
      <c r="BD7" s="3">
        <v>1.83</v>
      </c>
      <c r="BE7" s="3">
        <v>1.89</v>
      </c>
      <c r="BF7" s="3">
        <v>1.97</v>
      </c>
      <c r="BG7" s="3">
        <v>1.88</v>
      </c>
      <c r="BH7" s="3">
        <v>1.57</v>
      </c>
      <c r="BI7" s="3">
        <v>1.43</v>
      </c>
    </row>
    <row r="8" spans="1:102" x14ac:dyDescent="0.35">
      <c r="A8" s="1"/>
      <c r="B8" s="4">
        <v>43405</v>
      </c>
      <c r="C8" s="5" t="s">
        <v>559</v>
      </c>
      <c r="D8" s="5" t="s">
        <v>565</v>
      </c>
      <c r="E8" s="5" t="s">
        <v>564</v>
      </c>
      <c r="F8" s="5" t="s">
        <v>519</v>
      </c>
      <c r="G8" s="5" t="s">
        <v>1009</v>
      </c>
      <c r="H8" s="5" t="s">
        <v>563</v>
      </c>
      <c r="I8" s="3" t="e">
        <v>#N/A</v>
      </c>
      <c r="J8" s="3" t="e">
        <v>#N/A</v>
      </c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>
        <v>2.34</v>
      </c>
      <c r="AH8" s="3">
        <v>1.61</v>
      </c>
      <c r="AI8" s="3">
        <v>1.3</v>
      </c>
      <c r="AJ8" s="3">
        <v>1.34</v>
      </c>
      <c r="AK8" s="3">
        <v>1.24</v>
      </c>
      <c r="AL8" s="3">
        <v>1.03</v>
      </c>
      <c r="AM8" s="3">
        <v>1.96</v>
      </c>
      <c r="AN8" s="3">
        <v>1.56</v>
      </c>
      <c r="AO8" s="3">
        <v>1.56</v>
      </c>
      <c r="AP8" s="3">
        <v>2.17</v>
      </c>
      <c r="AQ8" s="3">
        <v>1.87</v>
      </c>
      <c r="AR8" s="3">
        <v>2.58</v>
      </c>
      <c r="AS8" s="3">
        <v>2.78</v>
      </c>
      <c r="AT8" s="3">
        <v>3.07</v>
      </c>
      <c r="AU8" s="3">
        <v>2.87</v>
      </c>
      <c r="AV8" s="3">
        <v>3.07</v>
      </c>
      <c r="AW8" s="3">
        <v>2.76</v>
      </c>
      <c r="AX8" s="3">
        <v>2.52</v>
      </c>
      <c r="AY8" s="3">
        <v>2.3199999999999998</v>
      </c>
      <c r="AZ8" s="3">
        <v>2.35</v>
      </c>
      <c r="BA8" s="3">
        <v>2.2000000000000002</v>
      </c>
      <c r="BB8" s="3">
        <v>1.83</v>
      </c>
      <c r="BC8" s="3">
        <v>1.81</v>
      </c>
      <c r="BD8" s="3">
        <v>1.82</v>
      </c>
      <c r="BE8" s="3">
        <v>1.93</v>
      </c>
      <c r="BF8" s="3">
        <v>2.04</v>
      </c>
      <c r="BG8" s="3">
        <v>1.94</v>
      </c>
      <c r="BH8" s="3">
        <v>1.62</v>
      </c>
      <c r="BI8" s="3">
        <v>1.43</v>
      </c>
      <c r="BJ8" s="3">
        <v>1.53</v>
      </c>
    </row>
    <row r="9" spans="1:102" x14ac:dyDescent="0.35">
      <c r="A9" s="1"/>
      <c r="B9" s="4">
        <v>43497</v>
      </c>
      <c r="C9" s="5" t="s">
        <v>576</v>
      </c>
      <c r="D9" s="5" t="s">
        <v>583</v>
      </c>
      <c r="E9" s="5" t="s">
        <v>582</v>
      </c>
      <c r="F9" s="5" t="s">
        <v>523</v>
      </c>
      <c r="G9" s="5" t="s">
        <v>1009</v>
      </c>
      <c r="H9" s="5" t="s">
        <v>581</v>
      </c>
      <c r="I9" s="3" t="e">
        <v>#N/A</v>
      </c>
      <c r="J9" s="3" t="e">
        <v>#N/A</v>
      </c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>
        <v>1.61</v>
      </c>
      <c r="AI9" s="3">
        <v>1.3</v>
      </c>
      <c r="AJ9" s="3">
        <v>1.34</v>
      </c>
      <c r="AK9" s="3">
        <v>1.24</v>
      </c>
      <c r="AL9" s="3">
        <v>1.03</v>
      </c>
      <c r="AM9" s="3">
        <v>1.96</v>
      </c>
      <c r="AN9" s="3">
        <v>1.56</v>
      </c>
      <c r="AO9" s="3">
        <v>1.56</v>
      </c>
      <c r="AP9" s="3">
        <v>2.17</v>
      </c>
      <c r="AQ9" s="3">
        <v>1.87</v>
      </c>
      <c r="AR9" s="3">
        <v>2.58</v>
      </c>
      <c r="AS9" s="3">
        <v>2.78</v>
      </c>
      <c r="AT9" s="3">
        <v>3.07</v>
      </c>
      <c r="AU9" s="3">
        <v>2.87</v>
      </c>
      <c r="AV9" s="3">
        <v>3.07</v>
      </c>
      <c r="AW9" s="3">
        <v>2.76</v>
      </c>
      <c r="AX9" s="3">
        <v>2.52</v>
      </c>
      <c r="AY9" s="3">
        <v>2.3199999999999998</v>
      </c>
      <c r="AZ9" s="3">
        <v>2.36</v>
      </c>
      <c r="BA9" s="3">
        <v>2.2000000000000002</v>
      </c>
      <c r="BB9" s="3">
        <v>1.83</v>
      </c>
      <c r="BC9" s="3">
        <v>1.81</v>
      </c>
      <c r="BD9" s="3">
        <v>1.82</v>
      </c>
      <c r="BE9" s="3">
        <v>1.91</v>
      </c>
      <c r="BF9" s="3">
        <v>2.04</v>
      </c>
      <c r="BG9" s="3">
        <v>2.08</v>
      </c>
      <c r="BH9" s="3">
        <v>1.79</v>
      </c>
      <c r="BI9" s="3">
        <v>1.61</v>
      </c>
      <c r="BJ9" s="3">
        <v>1.72</v>
      </c>
      <c r="BK9" s="3">
        <v>1.81</v>
      </c>
    </row>
    <row r="10" spans="1:102" x14ac:dyDescent="0.35">
      <c r="A10" s="1"/>
      <c r="B10" s="4">
        <v>43586</v>
      </c>
      <c r="C10" s="5" t="s">
        <v>591</v>
      </c>
      <c r="D10" s="5" t="s">
        <v>598</v>
      </c>
      <c r="E10" s="5" t="s">
        <v>597</v>
      </c>
      <c r="F10" s="5" t="s">
        <v>567</v>
      </c>
      <c r="G10" s="5" t="s">
        <v>1009</v>
      </c>
      <c r="H10" s="5" t="s">
        <v>596</v>
      </c>
      <c r="I10" s="3" t="e">
        <v>#N/A</v>
      </c>
      <c r="J10" s="3" t="e">
        <v>#N/A</v>
      </c>
      <c r="K10" s="3" t="e">
        <v>#N/A</v>
      </c>
      <c r="L10" s="3" t="e">
        <v>#N/A</v>
      </c>
      <c r="M10" s="3" t="e">
        <v>#N/A</v>
      </c>
      <c r="N10" s="3" t="e">
        <v>#N/A</v>
      </c>
      <c r="O10" s="3" t="e">
        <v>#N/A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e">
        <v>#N/A</v>
      </c>
      <c r="W10" s="3" t="e">
        <v>#N/A</v>
      </c>
      <c r="X10" s="3" t="e">
        <v>#N/A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 t="e">
        <v>#N/A</v>
      </c>
      <c r="AE10" s="3" t="e">
        <v>#N/A</v>
      </c>
      <c r="AF10" s="3" t="e">
        <v>#N/A</v>
      </c>
      <c r="AG10" s="3" t="e">
        <v>#N/A</v>
      </c>
      <c r="AH10" s="3" t="e">
        <v>#N/A</v>
      </c>
      <c r="AI10" s="3">
        <v>1.3</v>
      </c>
      <c r="AJ10" s="3">
        <v>1.34</v>
      </c>
      <c r="AK10" s="3">
        <v>1.24</v>
      </c>
      <c r="AL10" s="3">
        <v>1.03</v>
      </c>
      <c r="AM10" s="3">
        <v>1.96</v>
      </c>
      <c r="AN10" s="3">
        <v>1.56</v>
      </c>
      <c r="AO10" s="3">
        <v>1.56</v>
      </c>
      <c r="AP10" s="3">
        <v>2.17</v>
      </c>
      <c r="AQ10" s="3">
        <v>1.87</v>
      </c>
      <c r="AR10" s="3">
        <v>2.58</v>
      </c>
      <c r="AS10" s="3">
        <v>2.78</v>
      </c>
      <c r="AT10" s="3">
        <v>3.07</v>
      </c>
      <c r="AU10" s="3">
        <v>2.87</v>
      </c>
      <c r="AV10" s="3">
        <v>3.07</v>
      </c>
      <c r="AW10" s="3">
        <v>2.75</v>
      </c>
      <c r="AX10" s="3">
        <v>2.5099999999999998</v>
      </c>
      <c r="AY10" s="3">
        <v>2.31</v>
      </c>
      <c r="AZ10" s="3">
        <v>2.35</v>
      </c>
      <c r="BA10" s="3">
        <v>2.2000000000000002</v>
      </c>
      <c r="BB10" s="3">
        <v>1.83</v>
      </c>
      <c r="BC10" s="3">
        <v>1.82</v>
      </c>
      <c r="BD10" s="3">
        <v>1.83</v>
      </c>
      <c r="BE10" s="3">
        <v>1.92</v>
      </c>
      <c r="BF10" s="3">
        <v>2.0499999999999998</v>
      </c>
      <c r="BG10" s="3">
        <v>2.08</v>
      </c>
      <c r="BH10" s="3">
        <v>1.79</v>
      </c>
      <c r="BI10" s="3">
        <v>1.62</v>
      </c>
      <c r="BJ10" s="3">
        <v>1.72</v>
      </c>
      <c r="BK10" s="3">
        <v>1.82</v>
      </c>
      <c r="BL10" s="3">
        <v>1.7</v>
      </c>
    </row>
    <row r="11" spans="1:102" x14ac:dyDescent="0.35">
      <c r="A11" s="1"/>
      <c r="B11" s="4">
        <v>43678</v>
      </c>
      <c r="C11" s="5" t="s">
        <v>606</v>
      </c>
      <c r="D11" s="5" t="s">
        <v>613</v>
      </c>
      <c r="E11" s="5" t="s">
        <v>612</v>
      </c>
      <c r="F11" s="5" t="s">
        <v>584</v>
      </c>
      <c r="G11" s="5" t="s">
        <v>1009</v>
      </c>
      <c r="H11" s="5" t="s">
        <v>611</v>
      </c>
      <c r="I11" s="3" t="e">
        <v>#N/A</v>
      </c>
      <c r="J11" s="3" t="e">
        <v>#N/A</v>
      </c>
      <c r="K11" s="3" t="e">
        <v>#N/A</v>
      </c>
      <c r="L11" s="3" t="e">
        <v>#N/A</v>
      </c>
      <c r="M11" s="3" t="e">
        <v>#N/A</v>
      </c>
      <c r="N11" s="3" t="e">
        <v>#N/A</v>
      </c>
      <c r="O11" s="3" t="e">
        <v>#N/A</v>
      </c>
      <c r="P11" s="3" t="e">
        <v>#N/A</v>
      </c>
      <c r="Q11" s="3" t="e">
        <v>#N/A</v>
      </c>
      <c r="R11" s="3" t="e">
        <v>#N/A</v>
      </c>
      <c r="S11" s="3" t="e">
        <v>#N/A</v>
      </c>
      <c r="T11" s="3" t="e">
        <v>#N/A</v>
      </c>
      <c r="U11" s="3" t="e">
        <v>#N/A</v>
      </c>
      <c r="V11" s="3" t="e">
        <v>#N/A</v>
      </c>
      <c r="W11" s="3" t="e">
        <v>#N/A</v>
      </c>
      <c r="X11" s="3" t="e">
        <v>#N/A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 t="e">
        <v>#N/A</v>
      </c>
      <c r="AE11" s="3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>
        <v>1.34</v>
      </c>
      <c r="AK11" s="3">
        <v>1.24</v>
      </c>
      <c r="AL11" s="3">
        <v>1.03</v>
      </c>
      <c r="AM11" s="3">
        <v>1.96</v>
      </c>
      <c r="AN11" s="3">
        <v>1.56</v>
      </c>
      <c r="AO11" s="3">
        <v>1.56</v>
      </c>
      <c r="AP11" s="3">
        <v>2.17</v>
      </c>
      <c r="AQ11" s="3">
        <v>1.87</v>
      </c>
      <c r="AR11" s="3">
        <v>2.58</v>
      </c>
      <c r="AS11" s="3">
        <v>2.78</v>
      </c>
      <c r="AT11" s="3">
        <v>3.07</v>
      </c>
      <c r="AU11" s="3">
        <v>2.87</v>
      </c>
      <c r="AV11" s="3">
        <v>3.07</v>
      </c>
      <c r="AW11" s="3">
        <v>2.75</v>
      </c>
      <c r="AX11" s="3">
        <v>2.5099999999999998</v>
      </c>
      <c r="AY11" s="3">
        <v>2.2999999999999998</v>
      </c>
      <c r="AZ11" s="3">
        <v>2.34</v>
      </c>
      <c r="BA11" s="3">
        <v>2.19</v>
      </c>
      <c r="BB11" s="3">
        <v>1.83</v>
      </c>
      <c r="BC11" s="3">
        <v>1.81</v>
      </c>
      <c r="BD11" s="3">
        <v>1.82</v>
      </c>
      <c r="BE11" s="3">
        <v>1.92</v>
      </c>
      <c r="BF11" s="3">
        <v>2.04</v>
      </c>
      <c r="BG11" s="3">
        <v>2.0699999999999998</v>
      </c>
      <c r="BH11" s="3">
        <v>1.78</v>
      </c>
      <c r="BI11" s="3">
        <v>1.61</v>
      </c>
      <c r="BJ11" s="3">
        <v>1.73</v>
      </c>
      <c r="BK11" s="3">
        <v>1.84</v>
      </c>
      <c r="BL11" s="3">
        <v>1.74</v>
      </c>
      <c r="BM11" s="3">
        <v>1.91</v>
      </c>
    </row>
    <row r="12" spans="1:102" x14ac:dyDescent="0.35">
      <c r="A12" s="1"/>
      <c r="B12" s="4">
        <v>43770</v>
      </c>
      <c r="C12" s="5" t="s">
        <v>622</v>
      </c>
      <c r="D12" s="5" t="s">
        <v>625</v>
      </c>
      <c r="E12" s="5" t="s">
        <v>624</v>
      </c>
      <c r="F12" s="5" t="s">
        <v>599</v>
      </c>
      <c r="G12" s="5" t="s">
        <v>1009</v>
      </c>
      <c r="H12" s="5" t="s">
        <v>623</v>
      </c>
      <c r="I12" s="3" t="e">
        <v>#N/A</v>
      </c>
      <c r="J12" s="3" t="e">
        <v>#N/A</v>
      </c>
      <c r="K12" s="3" t="e">
        <v>#N/A</v>
      </c>
      <c r="L12" s="3" t="e">
        <v>#N/A</v>
      </c>
      <c r="M12" s="3" t="e">
        <v>#N/A</v>
      </c>
      <c r="N12" s="3" t="e">
        <v>#N/A</v>
      </c>
      <c r="O12" s="3" t="e">
        <v>#N/A</v>
      </c>
      <c r="P12" s="3" t="e">
        <v>#N/A</v>
      </c>
      <c r="Q12" s="3" t="e">
        <v>#N/A</v>
      </c>
      <c r="R12" s="3" t="e">
        <v>#N/A</v>
      </c>
      <c r="S12" s="3" t="e">
        <v>#N/A</v>
      </c>
      <c r="T12" s="3" t="e">
        <v>#N/A</v>
      </c>
      <c r="U12" s="3" t="e">
        <v>#N/A</v>
      </c>
      <c r="V12" s="3" t="e">
        <v>#N/A</v>
      </c>
      <c r="W12" s="3" t="e">
        <v>#N/A</v>
      </c>
      <c r="X12" s="3" t="e">
        <v>#N/A</v>
      </c>
      <c r="Y12" s="3" t="e">
        <v>#N/A</v>
      </c>
      <c r="Z12" s="3" t="e">
        <v>#N/A</v>
      </c>
      <c r="AA12" s="3" t="e">
        <v>#N/A</v>
      </c>
      <c r="AB12" s="3" t="e">
        <v>#N/A</v>
      </c>
      <c r="AC12" s="3" t="e">
        <v>#N/A</v>
      </c>
      <c r="AD12" s="3" t="e">
        <v>#N/A</v>
      </c>
      <c r="AE12" s="3" t="e">
        <v>#N/A</v>
      </c>
      <c r="AF12" s="3" t="e">
        <v>#N/A</v>
      </c>
      <c r="AG12" s="3" t="e">
        <v>#N/A</v>
      </c>
      <c r="AH12" s="3" t="e">
        <v>#N/A</v>
      </c>
      <c r="AI12" s="3" t="e">
        <v>#N/A</v>
      </c>
      <c r="AJ12" s="3" t="e">
        <v>#N/A</v>
      </c>
      <c r="AK12" s="3">
        <v>1.24</v>
      </c>
      <c r="AL12" s="3">
        <v>1.06</v>
      </c>
      <c r="AM12" s="3">
        <v>1.98</v>
      </c>
      <c r="AN12" s="3">
        <v>1.63</v>
      </c>
      <c r="AO12" s="3">
        <v>1.63</v>
      </c>
      <c r="AP12" s="3">
        <v>2.2599999999999998</v>
      </c>
      <c r="AQ12" s="3">
        <v>1.98</v>
      </c>
      <c r="AR12" s="3">
        <v>2.68</v>
      </c>
      <c r="AS12" s="3">
        <v>2.7</v>
      </c>
      <c r="AT12" s="3">
        <v>2.82</v>
      </c>
      <c r="AU12" s="3">
        <v>2.44</v>
      </c>
      <c r="AV12" s="3">
        <v>2.4700000000000002</v>
      </c>
      <c r="AW12" s="3">
        <v>2.34</v>
      </c>
      <c r="AX12" s="3">
        <v>2.4</v>
      </c>
      <c r="AY12" s="3">
        <v>2.25</v>
      </c>
      <c r="AZ12" s="3">
        <v>2.44</v>
      </c>
      <c r="BA12" s="3">
        <v>2.0699999999999998</v>
      </c>
      <c r="BB12" s="3">
        <v>1.89</v>
      </c>
      <c r="BC12" s="3">
        <v>1.91</v>
      </c>
      <c r="BD12" s="3">
        <v>1.81</v>
      </c>
      <c r="BE12" s="3">
        <v>2.2400000000000002</v>
      </c>
      <c r="BF12" s="3">
        <v>2.06</v>
      </c>
      <c r="BG12" s="3">
        <v>2.0099999999999998</v>
      </c>
      <c r="BH12" s="3">
        <v>1.78</v>
      </c>
      <c r="BI12" s="3">
        <v>1.44</v>
      </c>
      <c r="BJ12" s="3">
        <v>1.67</v>
      </c>
      <c r="BK12" s="3">
        <v>1.87</v>
      </c>
      <c r="BL12" s="3">
        <v>1.84</v>
      </c>
      <c r="BM12" s="3">
        <v>2.17</v>
      </c>
      <c r="BN12" s="3">
        <v>1.35</v>
      </c>
    </row>
    <row r="13" spans="1:102" x14ac:dyDescent="0.35">
      <c r="A13" s="1"/>
      <c r="B13" s="4">
        <v>43831</v>
      </c>
      <c r="C13" s="5" t="s">
        <v>642</v>
      </c>
      <c r="D13" s="5" t="s">
        <v>648</v>
      </c>
      <c r="E13" s="5" t="s">
        <v>638</v>
      </c>
      <c r="F13" s="5" t="s">
        <v>614</v>
      </c>
      <c r="G13" s="5" t="s">
        <v>1009</v>
      </c>
      <c r="H13" s="5" t="s">
        <v>647</v>
      </c>
      <c r="I13" s="3" t="e">
        <v>#N/A</v>
      </c>
      <c r="J13" s="3" t="e">
        <v>#N/A</v>
      </c>
      <c r="K13" s="3" t="e">
        <v>#N/A</v>
      </c>
      <c r="L13" s="3" t="e">
        <v>#N/A</v>
      </c>
      <c r="M13" s="3" t="e">
        <v>#N/A</v>
      </c>
      <c r="N13" s="3" t="e">
        <v>#N/A</v>
      </c>
      <c r="O13" s="3" t="e">
        <v>#N/A</v>
      </c>
      <c r="P13" s="3" t="e">
        <v>#N/A</v>
      </c>
      <c r="Q13" s="3" t="e">
        <v>#N/A</v>
      </c>
      <c r="R13" s="3" t="e">
        <v>#N/A</v>
      </c>
      <c r="S13" s="3" t="e">
        <v>#N/A</v>
      </c>
      <c r="T13" s="3" t="e">
        <v>#N/A</v>
      </c>
      <c r="U13" s="3" t="e">
        <v>#N/A</v>
      </c>
      <c r="V13" s="3" t="e">
        <v>#N/A</v>
      </c>
      <c r="W13" s="3" t="e">
        <v>#N/A</v>
      </c>
      <c r="X13" s="3" t="e">
        <v>#N/A</v>
      </c>
      <c r="Y13" s="3" t="e">
        <v>#N/A</v>
      </c>
      <c r="Z13" s="3" t="e">
        <v>#N/A</v>
      </c>
      <c r="AA13" s="3" t="e">
        <v>#N/A</v>
      </c>
      <c r="AB13" s="3" t="e">
        <v>#N/A</v>
      </c>
      <c r="AC13" s="3" t="e">
        <v>#N/A</v>
      </c>
      <c r="AD13" s="3" t="e">
        <v>#N/A</v>
      </c>
      <c r="AE13" s="3" t="e">
        <v>#N/A</v>
      </c>
      <c r="AF13" s="3" t="e">
        <v>#N/A</v>
      </c>
      <c r="AG13" s="3" t="e">
        <v>#N/A</v>
      </c>
      <c r="AH13" s="3" t="e">
        <v>#N/A</v>
      </c>
      <c r="AI13" s="3" t="e">
        <v>#N/A</v>
      </c>
      <c r="AJ13" s="3" t="e">
        <v>#N/A</v>
      </c>
      <c r="AK13" s="3" t="e">
        <v>#N/A</v>
      </c>
      <c r="AL13" s="3">
        <v>1.06</v>
      </c>
      <c r="AM13" s="3">
        <v>1.98</v>
      </c>
      <c r="AN13" s="3">
        <v>1.63</v>
      </c>
      <c r="AO13" s="3">
        <v>1.63</v>
      </c>
      <c r="AP13" s="3">
        <v>2.2599999999999998</v>
      </c>
      <c r="AQ13" s="3">
        <v>1.98</v>
      </c>
      <c r="AR13" s="3">
        <v>2.68</v>
      </c>
      <c r="AS13" s="3">
        <v>2.7</v>
      </c>
      <c r="AT13" s="3">
        <v>2.82</v>
      </c>
      <c r="AU13" s="3">
        <v>2.44</v>
      </c>
      <c r="AV13" s="3">
        <v>2.4700000000000002</v>
      </c>
      <c r="AW13" s="3">
        <v>2.34</v>
      </c>
      <c r="AX13" s="3">
        <v>2.4</v>
      </c>
      <c r="AY13" s="3">
        <v>2.25</v>
      </c>
      <c r="AZ13" s="3">
        <v>2.44</v>
      </c>
      <c r="BA13" s="3">
        <v>2.0699999999999998</v>
      </c>
      <c r="BB13" s="3">
        <v>1.89</v>
      </c>
      <c r="BC13" s="3">
        <v>1.91</v>
      </c>
      <c r="BD13" s="3">
        <v>1.81</v>
      </c>
      <c r="BE13" s="3">
        <v>2.23</v>
      </c>
      <c r="BF13" s="3">
        <v>2.0499999999999998</v>
      </c>
      <c r="BG13" s="3">
        <v>2</v>
      </c>
      <c r="BH13" s="3">
        <v>1.77</v>
      </c>
      <c r="BI13" s="3">
        <v>1.43</v>
      </c>
      <c r="BJ13" s="3">
        <v>1.65</v>
      </c>
      <c r="BK13" s="3">
        <v>1.82</v>
      </c>
      <c r="BL13" s="3">
        <v>1.68</v>
      </c>
      <c r="BM13" s="3">
        <v>2.04</v>
      </c>
      <c r="BN13" s="3">
        <v>1.27</v>
      </c>
      <c r="BO13" s="3">
        <v>1.1100000000000001</v>
      </c>
    </row>
    <row r="14" spans="1:102" x14ac:dyDescent="0.35">
      <c r="A14" s="1"/>
      <c r="B14" s="4">
        <v>44044</v>
      </c>
      <c r="C14" s="5" t="s">
        <v>659</v>
      </c>
      <c r="D14" s="5" t="s">
        <v>661</v>
      </c>
      <c r="E14" s="5" t="s">
        <v>654</v>
      </c>
      <c r="F14" s="5" t="s">
        <v>639</v>
      </c>
      <c r="G14" s="5" t="s">
        <v>1009</v>
      </c>
      <c r="H14" s="5" t="s">
        <v>660</v>
      </c>
      <c r="I14" s="3" t="e">
        <v>#N/A</v>
      </c>
      <c r="J14" s="3" t="e">
        <v>#N/A</v>
      </c>
      <c r="K14" s="3" t="e">
        <v>#N/A</v>
      </c>
      <c r="L14" s="3" t="e">
        <v>#N/A</v>
      </c>
      <c r="M14" s="3" t="e">
        <v>#N/A</v>
      </c>
      <c r="N14" s="3" t="e">
        <v>#N/A</v>
      </c>
      <c r="O14" s="3" t="e">
        <v>#N/A</v>
      </c>
      <c r="P14" s="3" t="e">
        <v>#N/A</v>
      </c>
      <c r="Q14" s="3" t="e">
        <v>#N/A</v>
      </c>
      <c r="R14" s="3" t="e">
        <v>#N/A</v>
      </c>
      <c r="S14" s="3" t="e">
        <v>#N/A</v>
      </c>
      <c r="T14" s="3" t="e">
        <v>#N/A</v>
      </c>
      <c r="U14" s="3" t="e">
        <v>#N/A</v>
      </c>
      <c r="V14" s="3" t="e">
        <v>#N/A</v>
      </c>
      <c r="W14" s="3" t="e">
        <v>#N/A</v>
      </c>
      <c r="X14" s="3" t="e">
        <v>#N/A</v>
      </c>
      <c r="Y14" s="3" t="e">
        <v>#N/A</v>
      </c>
      <c r="Z14" s="3" t="e">
        <v>#N/A</v>
      </c>
      <c r="AA14" s="3" t="e">
        <v>#N/A</v>
      </c>
      <c r="AB14" s="3" t="e">
        <v>#N/A</v>
      </c>
      <c r="AC14" s="3" t="e">
        <v>#N/A</v>
      </c>
      <c r="AD14" s="3" t="e">
        <v>#N/A</v>
      </c>
      <c r="AE14" s="3" t="e">
        <v>#N/A</v>
      </c>
      <c r="AF14" s="3" t="e">
        <v>#N/A</v>
      </c>
      <c r="AG14" s="3" t="e">
        <v>#N/A</v>
      </c>
      <c r="AH14" s="3" t="e">
        <v>#N/A</v>
      </c>
      <c r="AI14" s="3" t="e">
        <v>#N/A</v>
      </c>
      <c r="AJ14" s="3" t="e">
        <v>#N/A</v>
      </c>
      <c r="AK14" s="3" t="e">
        <v>#N/A</v>
      </c>
      <c r="AL14" s="3" t="e">
        <v>#N/A</v>
      </c>
      <c r="AM14" s="3" t="e">
        <v>#N/A</v>
      </c>
      <c r="AN14" s="3">
        <v>1.63</v>
      </c>
      <c r="AO14" s="3">
        <v>1.63</v>
      </c>
      <c r="AP14" s="3">
        <v>2.2599999999999998</v>
      </c>
      <c r="AQ14" s="3">
        <v>1.98</v>
      </c>
      <c r="AR14" s="3">
        <v>2.68</v>
      </c>
      <c r="AS14" s="3">
        <v>2.7</v>
      </c>
      <c r="AT14" s="3">
        <v>2.82</v>
      </c>
      <c r="AU14" s="3">
        <v>2.44</v>
      </c>
      <c r="AV14" s="3">
        <v>2.4700000000000002</v>
      </c>
      <c r="AW14" s="3">
        <v>2.34</v>
      </c>
      <c r="AX14" s="3">
        <v>2.4</v>
      </c>
      <c r="AY14" s="3">
        <v>2.25</v>
      </c>
      <c r="AZ14" s="3">
        <v>2.44</v>
      </c>
      <c r="BA14" s="3">
        <v>2.0699999999999998</v>
      </c>
      <c r="BB14" s="3">
        <v>1.89</v>
      </c>
      <c r="BC14" s="3">
        <v>1.91</v>
      </c>
      <c r="BD14" s="3">
        <v>1.81</v>
      </c>
      <c r="BE14" s="3">
        <v>2.2400000000000002</v>
      </c>
      <c r="BF14" s="3">
        <v>2.0499999999999998</v>
      </c>
      <c r="BG14" s="3">
        <v>1.99</v>
      </c>
      <c r="BH14" s="3">
        <v>1.76</v>
      </c>
      <c r="BI14" s="3">
        <v>1.4</v>
      </c>
      <c r="BJ14" s="3">
        <v>1.62</v>
      </c>
      <c r="BK14" s="3">
        <v>1.79</v>
      </c>
      <c r="BL14" s="3">
        <v>1.72</v>
      </c>
      <c r="BM14" s="3">
        <v>2.15</v>
      </c>
      <c r="BN14" s="3">
        <v>1.51</v>
      </c>
      <c r="BO14" s="3">
        <v>1.32</v>
      </c>
      <c r="BP14" s="3">
        <v>1.08</v>
      </c>
      <c r="BQ14" s="3">
        <v>-1.77</v>
      </c>
    </row>
    <row r="15" spans="1:102" x14ac:dyDescent="0.35">
      <c r="A15" s="1"/>
      <c r="B15" s="4">
        <v>44136</v>
      </c>
      <c r="C15" s="5" t="s">
        <v>670</v>
      </c>
      <c r="D15" s="5" t="s">
        <v>684</v>
      </c>
      <c r="E15" s="5" t="s">
        <v>683</v>
      </c>
      <c r="F15" s="5" t="s">
        <v>506</v>
      </c>
      <c r="G15" s="5" t="s">
        <v>1009</v>
      </c>
      <c r="H15" s="5" t="s">
        <v>682</v>
      </c>
      <c r="I15" s="3" t="e">
        <v>#N/A</v>
      </c>
      <c r="J15" s="3" t="e">
        <v>#N/A</v>
      </c>
      <c r="K15" s="3" t="e">
        <v>#N/A</v>
      </c>
      <c r="L15" s="3" t="e">
        <v>#N/A</v>
      </c>
      <c r="M15" s="3" t="e">
        <v>#N/A</v>
      </c>
      <c r="N15" s="3" t="e">
        <v>#N/A</v>
      </c>
      <c r="O15" s="3" t="e">
        <v>#N/A</v>
      </c>
      <c r="P15" s="3" t="e">
        <v>#N/A</v>
      </c>
      <c r="Q15" s="3" t="e">
        <v>#N/A</v>
      </c>
      <c r="R15" s="3" t="e">
        <v>#N/A</v>
      </c>
      <c r="S15" s="3" t="e">
        <v>#N/A</v>
      </c>
      <c r="T15" s="3" t="e">
        <v>#N/A</v>
      </c>
      <c r="U15" s="3" t="e">
        <v>#N/A</v>
      </c>
      <c r="V15" s="3" t="e">
        <v>#N/A</v>
      </c>
      <c r="W15" s="3" t="e">
        <v>#N/A</v>
      </c>
      <c r="X15" s="3" t="e">
        <v>#N/A</v>
      </c>
      <c r="Y15" s="3" t="e">
        <v>#N/A</v>
      </c>
      <c r="Z15" s="3" t="e">
        <v>#N/A</v>
      </c>
      <c r="AA15" s="3" t="e">
        <v>#N/A</v>
      </c>
      <c r="AB15" s="3" t="e">
        <v>#N/A</v>
      </c>
      <c r="AC15" s="3" t="e">
        <v>#N/A</v>
      </c>
      <c r="AD15" s="3" t="e">
        <v>#N/A</v>
      </c>
      <c r="AE15" s="3" t="e">
        <v>#N/A</v>
      </c>
      <c r="AF15" s="3" t="e">
        <v>#N/A</v>
      </c>
      <c r="AG15" s="3" t="e">
        <v>#N/A</v>
      </c>
      <c r="AH15" s="3" t="e">
        <v>#N/A</v>
      </c>
      <c r="AI15" s="3" t="e">
        <v>#N/A</v>
      </c>
      <c r="AJ15" s="3" t="e">
        <v>#N/A</v>
      </c>
      <c r="AK15" s="3" t="e">
        <v>#N/A</v>
      </c>
      <c r="AL15" s="3" t="e">
        <v>#N/A</v>
      </c>
      <c r="AM15" s="3" t="e">
        <v>#N/A</v>
      </c>
      <c r="AN15" s="3" t="e">
        <v>#N/A</v>
      </c>
      <c r="AO15" s="3">
        <v>1.38</v>
      </c>
      <c r="AP15" s="3">
        <v>2.35</v>
      </c>
      <c r="AQ15" s="3">
        <v>2.06</v>
      </c>
      <c r="AR15" s="3">
        <v>2.94</v>
      </c>
      <c r="AS15" s="3">
        <v>3.19</v>
      </c>
      <c r="AT15" s="3">
        <v>3.03</v>
      </c>
      <c r="AU15" s="3">
        <v>2.65</v>
      </c>
      <c r="AV15" s="3">
        <v>2.59</v>
      </c>
      <c r="AW15" s="3">
        <v>2.36</v>
      </c>
      <c r="AX15" s="3">
        <v>2.46</v>
      </c>
      <c r="AY15" s="3">
        <v>2.2799999999999998</v>
      </c>
      <c r="AZ15" s="3">
        <v>2.35</v>
      </c>
      <c r="BA15" s="3">
        <v>2</v>
      </c>
      <c r="BB15" s="3">
        <v>1.71</v>
      </c>
      <c r="BC15" s="3">
        <v>1.62</v>
      </c>
      <c r="BD15" s="3">
        <v>1.56</v>
      </c>
      <c r="BE15" s="3">
        <v>1.86</v>
      </c>
      <c r="BF15" s="3">
        <v>1.7</v>
      </c>
      <c r="BG15" s="3">
        <v>1.82</v>
      </c>
      <c r="BH15" s="3">
        <v>1.58</v>
      </c>
      <c r="BI15" s="3">
        <v>1.3</v>
      </c>
      <c r="BJ15" s="3">
        <v>1.48</v>
      </c>
      <c r="BK15" s="3">
        <v>1.6</v>
      </c>
      <c r="BL15" s="3">
        <v>1.53</v>
      </c>
      <c r="BM15" s="3">
        <v>1.86</v>
      </c>
      <c r="BN15" s="3">
        <v>1.37</v>
      </c>
      <c r="BO15" s="3">
        <v>1.1499999999999999</v>
      </c>
      <c r="BP15" s="3">
        <v>1.07</v>
      </c>
      <c r="BQ15" s="3">
        <v>-2.02</v>
      </c>
      <c r="BR15" s="3">
        <v>-21.42</v>
      </c>
    </row>
    <row r="16" spans="1:102" x14ac:dyDescent="0.35">
      <c r="A16" s="1"/>
      <c r="B16" s="4">
        <v>44228</v>
      </c>
      <c r="C16" s="5" t="s">
        <v>672</v>
      </c>
      <c r="D16" s="5" t="s">
        <v>687</v>
      </c>
      <c r="E16" s="5" t="s">
        <v>686</v>
      </c>
      <c r="F16" s="5" t="s">
        <v>509</v>
      </c>
      <c r="G16" s="5" t="s">
        <v>1009</v>
      </c>
      <c r="H16" s="5" t="s">
        <v>685</v>
      </c>
      <c r="I16" s="3" t="e">
        <v>#N/A</v>
      </c>
      <c r="J16" s="3" t="e">
        <v>#N/A</v>
      </c>
      <c r="K16" s="3" t="e">
        <v>#N/A</v>
      </c>
      <c r="L16" s="3" t="e">
        <v>#N/A</v>
      </c>
      <c r="M16" s="3" t="e">
        <v>#N/A</v>
      </c>
      <c r="N16" s="3" t="e">
        <v>#N/A</v>
      </c>
      <c r="O16" s="3" t="e">
        <v>#N/A</v>
      </c>
      <c r="P16" s="3" t="e">
        <v>#N/A</v>
      </c>
      <c r="Q16" s="3" t="e">
        <v>#N/A</v>
      </c>
      <c r="R16" s="3" t="e">
        <v>#N/A</v>
      </c>
      <c r="S16" s="3" t="e">
        <v>#N/A</v>
      </c>
      <c r="T16" s="3" t="e">
        <v>#N/A</v>
      </c>
      <c r="U16" s="3" t="e">
        <v>#N/A</v>
      </c>
      <c r="V16" s="3" t="e">
        <v>#N/A</v>
      </c>
      <c r="W16" s="3" t="e">
        <v>#N/A</v>
      </c>
      <c r="X16" s="3" t="e">
        <v>#N/A</v>
      </c>
      <c r="Y16" s="3" t="e">
        <v>#N/A</v>
      </c>
      <c r="Z16" s="3" t="e">
        <v>#N/A</v>
      </c>
      <c r="AA16" s="3" t="e">
        <v>#N/A</v>
      </c>
      <c r="AB16" s="3" t="e">
        <v>#N/A</v>
      </c>
      <c r="AC16" s="3" t="e">
        <v>#N/A</v>
      </c>
      <c r="AD16" s="3" t="e">
        <v>#N/A</v>
      </c>
      <c r="AE16" s="3" t="e">
        <v>#N/A</v>
      </c>
      <c r="AF16" s="3" t="e">
        <v>#N/A</v>
      </c>
      <c r="AG16" s="3" t="e">
        <v>#N/A</v>
      </c>
      <c r="AH16" s="3" t="e">
        <v>#N/A</v>
      </c>
      <c r="AI16" s="3" t="e">
        <v>#N/A</v>
      </c>
      <c r="AJ16" s="3" t="e">
        <v>#N/A</v>
      </c>
      <c r="AK16" s="3" t="e">
        <v>#N/A</v>
      </c>
      <c r="AL16" s="3" t="e">
        <v>#N/A</v>
      </c>
      <c r="AM16" s="3" t="e">
        <v>#N/A</v>
      </c>
      <c r="AN16" s="3" t="e">
        <v>#N/A</v>
      </c>
      <c r="AO16" s="3" t="e">
        <v>#N/A</v>
      </c>
      <c r="AP16" s="3">
        <v>2.35</v>
      </c>
      <c r="AQ16" s="3">
        <v>2.06</v>
      </c>
      <c r="AR16" s="3">
        <v>2.94</v>
      </c>
      <c r="AS16" s="3">
        <v>3.19</v>
      </c>
      <c r="AT16" s="3">
        <v>3.03</v>
      </c>
      <c r="AU16" s="3">
        <v>2.65</v>
      </c>
      <c r="AV16" s="3">
        <v>2.59</v>
      </c>
      <c r="AW16" s="3">
        <v>2.36</v>
      </c>
      <c r="AX16" s="3">
        <v>2.46</v>
      </c>
      <c r="AY16" s="3">
        <v>2.2799999999999998</v>
      </c>
      <c r="AZ16" s="3">
        <v>2.35</v>
      </c>
      <c r="BA16" s="3">
        <v>2</v>
      </c>
      <c r="BB16" s="3">
        <v>1.71</v>
      </c>
      <c r="BC16" s="3">
        <v>1.62</v>
      </c>
      <c r="BD16" s="3">
        <v>1.56</v>
      </c>
      <c r="BE16" s="3">
        <v>1.86</v>
      </c>
      <c r="BF16" s="3">
        <v>1.7</v>
      </c>
      <c r="BG16" s="3">
        <v>1.82</v>
      </c>
      <c r="BH16" s="3">
        <v>1.58</v>
      </c>
      <c r="BI16" s="3">
        <v>1.22</v>
      </c>
      <c r="BJ16" s="3">
        <v>1.41</v>
      </c>
      <c r="BK16" s="3">
        <v>1.7</v>
      </c>
      <c r="BL16" s="3">
        <v>1.58</v>
      </c>
      <c r="BM16" s="3">
        <v>1.99</v>
      </c>
      <c r="BN16" s="3">
        <v>1.64</v>
      </c>
      <c r="BO16" s="3">
        <v>1.44</v>
      </c>
      <c r="BP16" s="3">
        <v>1.42</v>
      </c>
      <c r="BQ16" s="3">
        <v>-2.1800000000000002</v>
      </c>
      <c r="BR16" s="3">
        <v>-20.64</v>
      </c>
      <c r="BS16" s="3">
        <v>-8.4</v>
      </c>
    </row>
    <row r="17" spans="1:84" x14ac:dyDescent="0.35">
      <c r="A17" s="1"/>
      <c r="B17" s="4">
        <v>44317</v>
      </c>
      <c r="C17" s="5" t="s">
        <v>671</v>
      </c>
      <c r="D17" s="5" t="s">
        <v>690</v>
      </c>
      <c r="E17" s="5" t="s">
        <v>689</v>
      </c>
      <c r="F17" s="5" t="s">
        <v>512</v>
      </c>
      <c r="G17" s="5" t="s">
        <v>1009</v>
      </c>
      <c r="H17" s="5" t="s">
        <v>688</v>
      </c>
      <c r="I17" s="3" t="e">
        <v>#N/A</v>
      </c>
      <c r="J17" s="3" t="e">
        <v>#N/A</v>
      </c>
      <c r="K17" s="3" t="e">
        <v>#N/A</v>
      </c>
      <c r="L17" s="3" t="e">
        <v>#N/A</v>
      </c>
      <c r="M17" s="3" t="e">
        <v>#N/A</v>
      </c>
      <c r="N17" s="3" t="e">
        <v>#N/A</v>
      </c>
      <c r="O17" s="3" t="e">
        <v>#N/A</v>
      </c>
      <c r="P17" s="3" t="e">
        <v>#N/A</v>
      </c>
      <c r="Q17" s="3" t="e">
        <v>#N/A</v>
      </c>
      <c r="R17" s="3" t="e">
        <v>#N/A</v>
      </c>
      <c r="S17" s="3" t="e">
        <v>#N/A</v>
      </c>
      <c r="T17" s="3" t="e">
        <v>#N/A</v>
      </c>
      <c r="U17" s="3" t="e">
        <v>#N/A</v>
      </c>
      <c r="V17" s="3" t="e">
        <v>#N/A</v>
      </c>
      <c r="W17" s="3" t="e">
        <v>#N/A</v>
      </c>
      <c r="X17" s="3" t="e">
        <v>#N/A</v>
      </c>
      <c r="Y17" s="3" t="e">
        <v>#N/A</v>
      </c>
      <c r="Z17" s="3" t="e">
        <v>#N/A</v>
      </c>
      <c r="AA17" s="3" t="e">
        <v>#N/A</v>
      </c>
      <c r="AB17" s="3" t="e">
        <v>#N/A</v>
      </c>
      <c r="AC17" s="3" t="e">
        <v>#N/A</v>
      </c>
      <c r="AD17" s="3" t="e">
        <v>#N/A</v>
      </c>
      <c r="AE17" s="3" t="e">
        <v>#N/A</v>
      </c>
      <c r="AF17" s="3" t="e">
        <v>#N/A</v>
      </c>
      <c r="AG17" s="3" t="e">
        <v>#N/A</v>
      </c>
      <c r="AH17" s="3" t="e">
        <v>#N/A</v>
      </c>
      <c r="AI17" s="3" t="e">
        <v>#N/A</v>
      </c>
      <c r="AJ17" s="3" t="e">
        <v>#N/A</v>
      </c>
      <c r="AK17" s="3" t="e">
        <v>#N/A</v>
      </c>
      <c r="AL17" s="3" t="e">
        <v>#N/A</v>
      </c>
      <c r="AM17" s="3" t="e">
        <v>#N/A</v>
      </c>
      <c r="AN17" s="3" t="e">
        <v>#N/A</v>
      </c>
      <c r="AO17" s="3" t="e">
        <v>#N/A</v>
      </c>
      <c r="AP17" s="3" t="e">
        <v>#N/A</v>
      </c>
      <c r="AQ17" s="3">
        <v>2.06</v>
      </c>
      <c r="AR17" s="3">
        <v>2.94</v>
      </c>
      <c r="AS17" s="3">
        <v>3.19</v>
      </c>
      <c r="AT17" s="3">
        <v>3.03</v>
      </c>
      <c r="AU17" s="3">
        <v>2.65</v>
      </c>
      <c r="AV17" s="3">
        <v>2.59</v>
      </c>
      <c r="AW17" s="3">
        <v>2.36</v>
      </c>
      <c r="AX17" s="3">
        <v>2.46</v>
      </c>
      <c r="AY17" s="3">
        <v>2.2799999999999998</v>
      </c>
      <c r="AZ17" s="3">
        <v>2.35</v>
      </c>
      <c r="BA17" s="3">
        <v>2</v>
      </c>
      <c r="BB17" s="3">
        <v>1.71</v>
      </c>
      <c r="BC17" s="3">
        <v>1.62</v>
      </c>
      <c r="BD17" s="3">
        <v>1.56</v>
      </c>
      <c r="BE17" s="3">
        <v>1.86</v>
      </c>
      <c r="BF17" s="3">
        <v>1.7</v>
      </c>
      <c r="BG17" s="3">
        <v>1.82</v>
      </c>
      <c r="BH17" s="3">
        <v>1.58</v>
      </c>
      <c r="BI17" s="3">
        <v>1.22</v>
      </c>
      <c r="BJ17" s="3">
        <v>1.41</v>
      </c>
      <c r="BK17" s="3">
        <v>1.7</v>
      </c>
      <c r="BL17" s="3">
        <v>1.58</v>
      </c>
      <c r="BM17" s="3">
        <v>1.99</v>
      </c>
      <c r="BN17" s="3">
        <v>1.64</v>
      </c>
      <c r="BO17" s="3">
        <v>1.44</v>
      </c>
      <c r="BP17" s="3">
        <v>1.42</v>
      </c>
      <c r="BQ17" s="3">
        <v>-2.0099999999999998</v>
      </c>
      <c r="BR17" s="3">
        <v>-21.2</v>
      </c>
      <c r="BS17" s="3">
        <v>-8.3000000000000007</v>
      </c>
      <c r="BT17" s="3">
        <v>-7.34</v>
      </c>
    </row>
    <row r="18" spans="1:84" x14ac:dyDescent="0.35">
      <c r="A18" s="1"/>
      <c r="B18" s="4">
        <v>44409</v>
      </c>
      <c r="C18" s="5" t="s">
        <v>802</v>
      </c>
      <c r="D18" s="5" t="s">
        <v>809</v>
      </c>
      <c r="E18" s="5" t="s">
        <v>808</v>
      </c>
      <c r="F18" s="5" t="s">
        <v>515</v>
      </c>
      <c r="G18" s="5" t="s">
        <v>1009</v>
      </c>
      <c r="H18" s="5" t="s">
        <v>807</v>
      </c>
      <c r="I18" s="3" t="e">
        <v>#N/A</v>
      </c>
      <c r="J18" s="3" t="e">
        <v>#N/A</v>
      </c>
      <c r="K18" s="3" t="e">
        <v>#N/A</v>
      </c>
      <c r="L18" s="3" t="e">
        <v>#N/A</v>
      </c>
      <c r="M18" s="3" t="e">
        <v>#N/A</v>
      </c>
      <c r="N18" s="3" t="e">
        <v>#N/A</v>
      </c>
      <c r="O18" s="3" t="e">
        <v>#N/A</v>
      </c>
      <c r="P18" s="3" t="e">
        <v>#N/A</v>
      </c>
      <c r="Q18" s="3" t="e">
        <v>#N/A</v>
      </c>
      <c r="R18" s="3" t="e">
        <v>#N/A</v>
      </c>
      <c r="S18" s="3" t="e">
        <v>#N/A</v>
      </c>
      <c r="T18" s="3" t="e">
        <v>#N/A</v>
      </c>
      <c r="U18" s="3" t="e">
        <v>#N/A</v>
      </c>
      <c r="V18" s="3" t="e">
        <v>#N/A</v>
      </c>
      <c r="W18" s="3" t="e">
        <v>#N/A</v>
      </c>
      <c r="X18" s="3" t="e">
        <v>#N/A</v>
      </c>
      <c r="Y18" s="3" t="e">
        <v>#N/A</v>
      </c>
      <c r="Z18" s="3" t="e">
        <v>#N/A</v>
      </c>
      <c r="AA18" s="3" t="e">
        <v>#N/A</v>
      </c>
      <c r="AB18" s="3" t="e">
        <v>#N/A</v>
      </c>
      <c r="AC18" s="3" t="e">
        <v>#N/A</v>
      </c>
      <c r="AD18" s="3" t="e">
        <v>#N/A</v>
      </c>
      <c r="AE18" s="3" t="e">
        <v>#N/A</v>
      </c>
      <c r="AF18" s="3" t="e">
        <v>#N/A</v>
      </c>
      <c r="AG18" s="3" t="e">
        <v>#N/A</v>
      </c>
      <c r="AH18" s="3" t="e">
        <v>#N/A</v>
      </c>
      <c r="AI18" s="3" t="e">
        <v>#N/A</v>
      </c>
      <c r="AJ18" s="3" t="e">
        <v>#N/A</v>
      </c>
      <c r="AK18" s="3" t="e">
        <v>#N/A</v>
      </c>
      <c r="AL18" s="3" t="e">
        <v>#N/A</v>
      </c>
      <c r="AM18" s="3" t="e">
        <v>#N/A</v>
      </c>
      <c r="AN18" s="3" t="e">
        <v>#N/A</v>
      </c>
      <c r="AO18" s="3" t="e">
        <v>#N/A</v>
      </c>
      <c r="AP18" s="3" t="e">
        <v>#N/A</v>
      </c>
      <c r="AQ18" s="3" t="e">
        <v>#N/A</v>
      </c>
      <c r="AR18" s="3">
        <v>2.94</v>
      </c>
      <c r="AS18" s="3">
        <v>3.19</v>
      </c>
      <c r="AT18" s="3">
        <v>3.03</v>
      </c>
      <c r="AU18" s="3">
        <v>2.65</v>
      </c>
      <c r="AV18" s="3">
        <v>2.59</v>
      </c>
      <c r="AW18" s="3">
        <v>2.36</v>
      </c>
      <c r="AX18" s="3">
        <v>2.46</v>
      </c>
      <c r="AY18" s="3">
        <v>2.2799999999999998</v>
      </c>
      <c r="AZ18" s="3">
        <v>2.35</v>
      </c>
      <c r="BA18" s="3">
        <v>2</v>
      </c>
      <c r="BB18" s="3">
        <v>1.71</v>
      </c>
      <c r="BC18" s="3">
        <v>1.62</v>
      </c>
      <c r="BD18" s="3">
        <v>1.56</v>
      </c>
      <c r="BE18" s="3">
        <v>1.86</v>
      </c>
      <c r="BF18" s="3">
        <v>1.7</v>
      </c>
      <c r="BG18" s="3">
        <v>1.82</v>
      </c>
      <c r="BH18" s="3">
        <v>1.58</v>
      </c>
      <c r="BI18" s="3">
        <v>1.22</v>
      </c>
      <c r="BJ18" s="3">
        <v>1.41</v>
      </c>
      <c r="BK18" s="3">
        <v>1.7</v>
      </c>
      <c r="BL18" s="3">
        <v>1.58</v>
      </c>
      <c r="BM18" s="3">
        <v>1.99</v>
      </c>
      <c r="BN18" s="3">
        <v>1.64</v>
      </c>
      <c r="BO18" s="3">
        <v>1.44</v>
      </c>
      <c r="BP18" s="3">
        <v>1.42</v>
      </c>
      <c r="BQ18" s="3">
        <v>-2.0099999999999998</v>
      </c>
      <c r="BR18" s="3">
        <v>-21.2</v>
      </c>
      <c r="BS18" s="3">
        <v>-8.3000000000000007</v>
      </c>
      <c r="BT18" s="3">
        <v>-7.34</v>
      </c>
      <c r="BU18" s="3">
        <v>-6.14</v>
      </c>
    </row>
    <row r="19" spans="1:84" x14ac:dyDescent="0.35">
      <c r="A19" s="1"/>
      <c r="B19" s="4">
        <v>44501</v>
      </c>
      <c r="C19" s="5" t="s">
        <v>840</v>
      </c>
      <c r="D19" s="5" t="s">
        <v>846</v>
      </c>
      <c r="E19" s="5" t="s">
        <v>830</v>
      </c>
      <c r="F19" s="5" t="s">
        <v>518</v>
      </c>
      <c r="G19" s="5" t="s">
        <v>1009</v>
      </c>
      <c r="H19" s="5" t="s">
        <v>845</v>
      </c>
      <c r="I19" s="3" t="e">
        <v>#N/A</v>
      </c>
      <c r="J19" s="3" t="e">
        <v>#N/A</v>
      </c>
      <c r="K19" s="3" t="e">
        <v>#N/A</v>
      </c>
      <c r="L19" s="3" t="e">
        <v>#N/A</v>
      </c>
      <c r="M19" s="3" t="e">
        <v>#N/A</v>
      </c>
      <c r="N19" s="3" t="e">
        <v>#N/A</v>
      </c>
      <c r="O19" s="3" t="e">
        <v>#N/A</v>
      </c>
      <c r="P19" s="3" t="e">
        <v>#N/A</v>
      </c>
      <c r="Q19" s="3" t="e">
        <v>#N/A</v>
      </c>
      <c r="R19" s="3" t="e">
        <v>#N/A</v>
      </c>
      <c r="S19" s="3" t="e">
        <v>#N/A</v>
      </c>
      <c r="T19" s="3" t="e">
        <v>#N/A</v>
      </c>
      <c r="U19" s="3" t="e">
        <v>#N/A</v>
      </c>
      <c r="V19" s="3" t="e">
        <v>#N/A</v>
      </c>
      <c r="W19" s="3" t="e">
        <v>#N/A</v>
      </c>
      <c r="X19" s="3" t="e">
        <v>#N/A</v>
      </c>
      <c r="Y19" s="3" t="e">
        <v>#N/A</v>
      </c>
      <c r="Z19" s="3" t="e">
        <v>#N/A</v>
      </c>
      <c r="AA19" s="3" t="e">
        <v>#N/A</v>
      </c>
      <c r="AB19" s="3" t="e">
        <v>#N/A</v>
      </c>
      <c r="AC19" s="3" t="e">
        <v>#N/A</v>
      </c>
      <c r="AD19" s="3" t="e">
        <v>#N/A</v>
      </c>
      <c r="AE19" s="3" t="e">
        <v>#N/A</v>
      </c>
      <c r="AF19" s="3" t="e">
        <v>#N/A</v>
      </c>
      <c r="AG19" s="3" t="e">
        <v>#N/A</v>
      </c>
      <c r="AH19" s="3" t="e">
        <v>#N/A</v>
      </c>
      <c r="AI19" s="3" t="e">
        <v>#N/A</v>
      </c>
      <c r="AJ19" s="3" t="e">
        <v>#N/A</v>
      </c>
      <c r="AK19" s="3" t="e">
        <v>#N/A</v>
      </c>
      <c r="AL19" s="3" t="e">
        <v>#N/A</v>
      </c>
      <c r="AM19" s="3" t="e">
        <v>#N/A</v>
      </c>
      <c r="AN19" s="3" t="e">
        <v>#N/A</v>
      </c>
      <c r="AO19" s="3" t="e">
        <v>#N/A</v>
      </c>
      <c r="AP19" s="3" t="e">
        <v>#N/A</v>
      </c>
      <c r="AQ19" s="3" t="e">
        <v>#N/A</v>
      </c>
      <c r="AR19" s="3" t="e">
        <v>#N/A</v>
      </c>
      <c r="AS19" s="3">
        <v>2.91</v>
      </c>
      <c r="AT19" s="3">
        <v>3.07</v>
      </c>
      <c r="AU19" s="3">
        <v>2.97</v>
      </c>
      <c r="AV19" s="3">
        <v>3.01</v>
      </c>
      <c r="AW19" s="3">
        <v>2.72</v>
      </c>
      <c r="AX19" s="3">
        <v>2.65</v>
      </c>
      <c r="AY19" s="3">
        <v>2.5</v>
      </c>
      <c r="AZ19" s="3">
        <v>2.63</v>
      </c>
      <c r="BA19" s="3">
        <v>2.42</v>
      </c>
      <c r="BB19" s="3">
        <v>2.25</v>
      </c>
      <c r="BC19" s="3">
        <v>2.16</v>
      </c>
      <c r="BD19" s="3">
        <v>2.2200000000000002</v>
      </c>
      <c r="BE19" s="3">
        <v>2.4300000000000002</v>
      </c>
      <c r="BF19" s="3">
        <v>2.16</v>
      </c>
      <c r="BG19" s="3">
        <v>2.14</v>
      </c>
      <c r="BH19" s="3">
        <v>1.8</v>
      </c>
      <c r="BI19" s="3">
        <v>1.39</v>
      </c>
      <c r="BJ19" s="3">
        <v>1.62</v>
      </c>
      <c r="BK19" s="3">
        <v>1.83</v>
      </c>
      <c r="BL19" s="3">
        <v>1.76</v>
      </c>
      <c r="BM19" s="3">
        <v>2.17</v>
      </c>
      <c r="BN19" s="3">
        <v>1.75</v>
      </c>
      <c r="BO19" s="3">
        <v>1.58</v>
      </c>
      <c r="BP19" s="3">
        <v>1.19</v>
      </c>
      <c r="BQ19" s="3">
        <v>-2.17</v>
      </c>
      <c r="BR19" s="3">
        <v>-21.41</v>
      </c>
      <c r="BS19" s="3">
        <v>-8.1300000000000008</v>
      </c>
      <c r="BT19" s="3">
        <v>-7.07</v>
      </c>
      <c r="BU19" s="3">
        <v>-5.79</v>
      </c>
      <c r="BV19" s="3">
        <v>23.58</v>
      </c>
    </row>
    <row r="20" spans="1:84" x14ac:dyDescent="0.35">
      <c r="A20" s="1"/>
      <c r="B20" s="4">
        <v>44593</v>
      </c>
      <c r="C20" s="5" t="s">
        <v>867</v>
      </c>
      <c r="D20" s="5" t="s">
        <v>873</v>
      </c>
      <c r="E20" s="5" t="s">
        <v>852</v>
      </c>
      <c r="F20" s="5" t="s">
        <v>522</v>
      </c>
      <c r="G20" s="5" t="s">
        <v>1009</v>
      </c>
      <c r="H20" s="5" t="s">
        <v>872</v>
      </c>
      <c r="I20" s="3" t="e">
        <v>#N/A</v>
      </c>
      <c r="J20" s="3" t="e">
        <v>#N/A</v>
      </c>
      <c r="K20" s="3" t="e">
        <v>#N/A</v>
      </c>
      <c r="L20" s="3" t="e">
        <v>#N/A</v>
      </c>
      <c r="M20" s="3" t="e">
        <v>#N/A</v>
      </c>
      <c r="N20" s="3" t="e">
        <v>#N/A</v>
      </c>
      <c r="O20" s="3" t="e">
        <v>#N/A</v>
      </c>
      <c r="P20" s="3" t="e">
        <v>#N/A</v>
      </c>
      <c r="Q20" s="3" t="e">
        <v>#N/A</v>
      </c>
      <c r="R20" s="3" t="e">
        <v>#N/A</v>
      </c>
      <c r="S20" s="3" t="e">
        <v>#N/A</v>
      </c>
      <c r="T20" s="3" t="e">
        <v>#N/A</v>
      </c>
      <c r="U20" s="3" t="e">
        <v>#N/A</v>
      </c>
      <c r="V20" s="3" t="e">
        <v>#N/A</v>
      </c>
      <c r="W20" s="3" t="e">
        <v>#N/A</v>
      </c>
      <c r="X20" s="3" t="e">
        <v>#N/A</v>
      </c>
      <c r="Y20" s="3" t="e">
        <v>#N/A</v>
      </c>
      <c r="Z20" s="3" t="e">
        <v>#N/A</v>
      </c>
      <c r="AA20" s="3" t="e">
        <v>#N/A</v>
      </c>
      <c r="AB20" s="3" t="e">
        <v>#N/A</v>
      </c>
      <c r="AC20" s="3" t="e">
        <v>#N/A</v>
      </c>
      <c r="AD20" s="3" t="e">
        <v>#N/A</v>
      </c>
      <c r="AE20" s="3" t="e">
        <v>#N/A</v>
      </c>
      <c r="AF20" s="3" t="e">
        <v>#N/A</v>
      </c>
      <c r="AG20" s="3" t="e">
        <v>#N/A</v>
      </c>
      <c r="AH20" s="3" t="e">
        <v>#N/A</v>
      </c>
      <c r="AI20" s="3" t="e">
        <v>#N/A</v>
      </c>
      <c r="AJ20" s="3" t="e">
        <v>#N/A</v>
      </c>
      <c r="AK20" s="3" t="e">
        <v>#N/A</v>
      </c>
      <c r="AL20" s="3" t="e">
        <v>#N/A</v>
      </c>
      <c r="AM20" s="3" t="e">
        <v>#N/A</v>
      </c>
      <c r="AN20" s="3" t="e">
        <v>#N/A</v>
      </c>
      <c r="AO20" s="3" t="e">
        <v>#N/A</v>
      </c>
      <c r="AP20" s="3" t="e">
        <v>#N/A</v>
      </c>
      <c r="AQ20" s="3" t="e">
        <v>#N/A</v>
      </c>
      <c r="AR20" s="3" t="e">
        <v>#N/A</v>
      </c>
      <c r="AS20" s="3" t="e">
        <v>#N/A</v>
      </c>
      <c r="AT20" s="3">
        <v>3.07</v>
      </c>
      <c r="AU20" s="3">
        <v>2.97</v>
      </c>
      <c r="AV20" s="3">
        <v>3.01</v>
      </c>
      <c r="AW20" s="3">
        <v>2.72</v>
      </c>
      <c r="AX20" s="3">
        <v>2.65</v>
      </c>
      <c r="AY20" s="3">
        <v>2.5</v>
      </c>
      <c r="AZ20" s="3">
        <v>2.63</v>
      </c>
      <c r="BA20" s="3">
        <v>2.42</v>
      </c>
      <c r="BB20" s="3">
        <v>2.25</v>
      </c>
      <c r="BC20" s="3">
        <v>2.16</v>
      </c>
      <c r="BD20" s="3">
        <v>2.2200000000000002</v>
      </c>
      <c r="BE20" s="3">
        <v>2.4300000000000002</v>
      </c>
      <c r="BF20" s="3">
        <v>2.16</v>
      </c>
      <c r="BG20" s="3">
        <v>2.14</v>
      </c>
      <c r="BH20" s="3">
        <v>1.8</v>
      </c>
      <c r="BI20" s="3">
        <v>1.39</v>
      </c>
      <c r="BJ20" s="3">
        <v>1.62</v>
      </c>
      <c r="BK20" s="3">
        <v>1.83</v>
      </c>
      <c r="BL20" s="3">
        <v>1.76</v>
      </c>
      <c r="BM20" s="3">
        <v>2.17</v>
      </c>
      <c r="BN20" s="3">
        <v>1.75</v>
      </c>
      <c r="BO20" s="3">
        <v>1.58</v>
      </c>
      <c r="BP20" s="3">
        <v>1.19</v>
      </c>
      <c r="BQ20" s="3">
        <v>-2.1</v>
      </c>
      <c r="BR20" s="3">
        <v>-21.25</v>
      </c>
      <c r="BS20" s="3">
        <v>-7.83</v>
      </c>
      <c r="BT20" s="3">
        <v>-6.41</v>
      </c>
      <c r="BU20" s="3">
        <v>-5.09</v>
      </c>
      <c r="BV20" s="3">
        <v>24.23</v>
      </c>
      <c r="BW20" s="3">
        <v>6.79</v>
      </c>
    </row>
    <row r="21" spans="1:84" x14ac:dyDescent="0.35">
      <c r="A21" s="1"/>
      <c r="B21" s="4">
        <v>44682</v>
      </c>
      <c r="C21" s="5" t="s">
        <v>891</v>
      </c>
      <c r="D21" s="5" t="s">
        <v>898</v>
      </c>
      <c r="E21" s="5" t="s">
        <v>897</v>
      </c>
      <c r="F21" s="5" t="s">
        <v>555</v>
      </c>
      <c r="G21" s="5" t="s">
        <v>1009</v>
      </c>
      <c r="H21" s="5" t="s">
        <v>896</v>
      </c>
      <c r="I21" s="3" t="e">
        <v>#N/A</v>
      </c>
      <c r="J21" s="3" t="e">
        <v>#N/A</v>
      </c>
      <c r="K21" s="3" t="e">
        <v>#N/A</v>
      </c>
      <c r="L21" s="3" t="e">
        <v>#N/A</v>
      </c>
      <c r="M21" s="3" t="e">
        <v>#N/A</v>
      </c>
      <c r="N21" s="3" t="e">
        <v>#N/A</v>
      </c>
      <c r="O21" s="3" t="e">
        <v>#N/A</v>
      </c>
      <c r="P21" s="3" t="e">
        <v>#N/A</v>
      </c>
      <c r="Q21" s="3" t="e">
        <v>#N/A</v>
      </c>
      <c r="R21" s="3" t="e">
        <v>#N/A</v>
      </c>
      <c r="S21" s="3" t="e">
        <v>#N/A</v>
      </c>
      <c r="T21" s="3" t="e">
        <v>#N/A</v>
      </c>
      <c r="U21" s="3" t="e">
        <v>#N/A</v>
      </c>
      <c r="V21" s="3" t="e">
        <v>#N/A</v>
      </c>
      <c r="W21" s="3" t="e">
        <v>#N/A</v>
      </c>
      <c r="X21" s="3" t="e">
        <v>#N/A</v>
      </c>
      <c r="Y21" s="3" t="e">
        <v>#N/A</v>
      </c>
      <c r="Z21" s="3" t="e">
        <v>#N/A</v>
      </c>
      <c r="AA21" s="3" t="e">
        <v>#N/A</v>
      </c>
      <c r="AB21" s="3" t="e">
        <v>#N/A</v>
      </c>
      <c r="AC21" s="3" t="e">
        <v>#N/A</v>
      </c>
      <c r="AD21" s="3" t="e">
        <v>#N/A</v>
      </c>
      <c r="AE21" s="3" t="e">
        <v>#N/A</v>
      </c>
      <c r="AF21" s="3" t="e">
        <v>#N/A</v>
      </c>
      <c r="AG21" s="3" t="e">
        <v>#N/A</v>
      </c>
      <c r="AH21" s="3" t="e">
        <v>#N/A</v>
      </c>
      <c r="AI21" s="3" t="e">
        <v>#N/A</v>
      </c>
      <c r="AJ21" s="3" t="e">
        <v>#N/A</v>
      </c>
      <c r="AK21" s="3" t="e">
        <v>#N/A</v>
      </c>
      <c r="AL21" s="3" t="e">
        <v>#N/A</v>
      </c>
      <c r="AM21" s="3" t="e">
        <v>#N/A</v>
      </c>
      <c r="AN21" s="3" t="e">
        <v>#N/A</v>
      </c>
      <c r="AO21" s="3" t="e">
        <v>#N/A</v>
      </c>
      <c r="AP21" s="3" t="e">
        <v>#N/A</v>
      </c>
      <c r="AQ21" s="3" t="e">
        <v>#N/A</v>
      </c>
      <c r="AR21" s="3" t="e">
        <v>#N/A</v>
      </c>
      <c r="AS21" s="3" t="e">
        <v>#N/A</v>
      </c>
      <c r="AT21" s="3" t="e">
        <v>#N/A</v>
      </c>
      <c r="AU21" s="3">
        <v>2.97</v>
      </c>
      <c r="AV21" s="3">
        <v>3.01</v>
      </c>
      <c r="AW21" s="3">
        <v>2.72</v>
      </c>
      <c r="AX21" s="3">
        <v>2.65</v>
      </c>
      <c r="AY21" s="3">
        <v>2.5</v>
      </c>
      <c r="AZ21" s="3">
        <v>2.63</v>
      </c>
      <c r="BA21" s="3">
        <v>2.42</v>
      </c>
      <c r="BB21" s="3">
        <v>2.25</v>
      </c>
      <c r="BC21" s="3">
        <v>2.16</v>
      </c>
      <c r="BD21" s="3">
        <v>2.2200000000000002</v>
      </c>
      <c r="BE21" s="3">
        <v>2.4300000000000002</v>
      </c>
      <c r="BF21" s="3">
        <v>2.16</v>
      </c>
      <c r="BG21" s="3">
        <v>2.14</v>
      </c>
      <c r="BH21" s="3">
        <v>1.8</v>
      </c>
      <c r="BI21" s="3">
        <v>1.39</v>
      </c>
      <c r="BJ21" s="3">
        <v>1.62</v>
      </c>
      <c r="BK21" s="3">
        <v>1.83</v>
      </c>
      <c r="BL21" s="3">
        <v>1.76</v>
      </c>
      <c r="BM21" s="3">
        <v>2.17</v>
      </c>
      <c r="BN21" s="3">
        <v>1.75</v>
      </c>
      <c r="BO21" s="3">
        <v>1.58</v>
      </c>
      <c r="BP21" s="3">
        <v>1.19</v>
      </c>
      <c r="BQ21" s="3">
        <v>-1.99</v>
      </c>
      <c r="BR21" s="3">
        <v>-21.14</v>
      </c>
      <c r="BS21" s="3">
        <v>-7.69</v>
      </c>
      <c r="BT21" s="3">
        <v>-6.28</v>
      </c>
      <c r="BU21" s="3">
        <v>-4.97</v>
      </c>
      <c r="BV21" s="3">
        <v>24.49</v>
      </c>
      <c r="BW21" s="3">
        <v>6.86</v>
      </c>
      <c r="BX21" s="3">
        <v>6.64</v>
      </c>
    </row>
    <row r="22" spans="1:84" x14ac:dyDescent="0.35">
      <c r="A22" s="1"/>
      <c r="B22" s="4">
        <v>44774</v>
      </c>
      <c r="C22" s="5" t="s">
        <v>921</v>
      </c>
      <c r="D22" s="5" t="s">
        <v>927</v>
      </c>
      <c r="E22" s="5" t="s">
        <v>919</v>
      </c>
      <c r="F22" s="5" t="s">
        <v>572</v>
      </c>
      <c r="G22" s="5" t="s">
        <v>1009</v>
      </c>
      <c r="H22" s="5" t="s">
        <v>926</v>
      </c>
      <c r="I22" s="3" t="e">
        <v>#N/A</v>
      </c>
      <c r="J22" s="3" t="e">
        <v>#N/A</v>
      </c>
      <c r="K22" s="3" t="e">
        <v>#N/A</v>
      </c>
      <c r="L22" s="3" t="e">
        <v>#N/A</v>
      </c>
      <c r="M22" s="3" t="e">
        <v>#N/A</v>
      </c>
      <c r="N22" s="3" t="e">
        <v>#N/A</v>
      </c>
      <c r="O22" s="3" t="e">
        <v>#N/A</v>
      </c>
      <c r="P22" s="3" t="e">
        <v>#N/A</v>
      </c>
      <c r="Q22" s="3" t="e">
        <v>#N/A</v>
      </c>
      <c r="R22" s="3" t="e">
        <v>#N/A</v>
      </c>
      <c r="S22" s="3" t="e">
        <v>#N/A</v>
      </c>
      <c r="T22" s="3" t="e">
        <v>#N/A</v>
      </c>
      <c r="U22" s="3" t="e">
        <v>#N/A</v>
      </c>
      <c r="V22" s="3" t="e">
        <v>#N/A</v>
      </c>
      <c r="W22" s="3" t="e">
        <v>#N/A</v>
      </c>
      <c r="X22" s="3" t="e">
        <v>#N/A</v>
      </c>
      <c r="Y22" s="3" t="e">
        <v>#N/A</v>
      </c>
      <c r="Z22" s="3" t="e">
        <v>#N/A</v>
      </c>
      <c r="AA22" s="3" t="e">
        <v>#N/A</v>
      </c>
      <c r="AB22" s="3" t="e">
        <v>#N/A</v>
      </c>
      <c r="AC22" s="3" t="e">
        <v>#N/A</v>
      </c>
      <c r="AD22" s="3" t="e">
        <v>#N/A</v>
      </c>
      <c r="AE22" s="3" t="e">
        <v>#N/A</v>
      </c>
      <c r="AF22" s="3" t="e">
        <v>#N/A</v>
      </c>
      <c r="AG22" s="3" t="e">
        <v>#N/A</v>
      </c>
      <c r="AH22" s="3" t="e">
        <v>#N/A</v>
      </c>
      <c r="AI22" s="3" t="e">
        <v>#N/A</v>
      </c>
      <c r="AJ22" s="3" t="e">
        <v>#N/A</v>
      </c>
      <c r="AK22" s="3" t="e">
        <v>#N/A</v>
      </c>
      <c r="AL22" s="3" t="e">
        <v>#N/A</v>
      </c>
      <c r="AM22" s="3" t="e">
        <v>#N/A</v>
      </c>
      <c r="AN22" s="3" t="e">
        <v>#N/A</v>
      </c>
      <c r="AO22" s="3" t="e">
        <v>#N/A</v>
      </c>
      <c r="AP22" s="3" t="e">
        <v>#N/A</v>
      </c>
      <c r="AQ22" s="3" t="e">
        <v>#N/A</v>
      </c>
      <c r="AR22" s="3" t="e">
        <v>#N/A</v>
      </c>
      <c r="AS22" s="3" t="e">
        <v>#N/A</v>
      </c>
      <c r="AT22" s="3" t="e">
        <v>#N/A</v>
      </c>
      <c r="AU22" s="3" t="e">
        <v>#N/A</v>
      </c>
      <c r="AV22" s="3">
        <v>3.01</v>
      </c>
      <c r="AW22" s="3">
        <v>2.72</v>
      </c>
      <c r="AX22" s="3">
        <v>2.65</v>
      </c>
      <c r="AY22" s="3">
        <v>2.5</v>
      </c>
      <c r="AZ22" s="3">
        <v>2.63</v>
      </c>
      <c r="BA22" s="3">
        <v>2.42</v>
      </c>
      <c r="BB22" s="3">
        <v>2.25</v>
      </c>
      <c r="BC22" s="3">
        <v>2.16</v>
      </c>
      <c r="BD22" s="3">
        <v>2.2200000000000002</v>
      </c>
      <c r="BE22" s="3">
        <v>2.4300000000000002</v>
      </c>
      <c r="BF22" s="3">
        <v>2.16</v>
      </c>
      <c r="BG22" s="3">
        <v>2.14</v>
      </c>
      <c r="BH22" s="3">
        <v>1.8</v>
      </c>
      <c r="BI22" s="3">
        <v>1.39</v>
      </c>
      <c r="BJ22" s="3">
        <v>1.62</v>
      </c>
      <c r="BK22" s="3">
        <v>1.83</v>
      </c>
      <c r="BL22" s="3">
        <v>1.76</v>
      </c>
      <c r="BM22" s="3">
        <v>2.17</v>
      </c>
      <c r="BN22" s="3">
        <v>1.75</v>
      </c>
      <c r="BO22" s="3">
        <v>1.58</v>
      </c>
      <c r="BP22" s="3">
        <v>1.19</v>
      </c>
      <c r="BQ22" s="3">
        <v>-1.99</v>
      </c>
      <c r="BR22" s="3">
        <v>-21.14</v>
      </c>
      <c r="BS22" s="3">
        <v>-7.69</v>
      </c>
      <c r="BT22" s="3">
        <v>-6.28</v>
      </c>
      <c r="BU22" s="3">
        <v>-4.97</v>
      </c>
      <c r="BV22" s="3">
        <v>24.49</v>
      </c>
      <c r="BW22" s="3">
        <v>6.86</v>
      </c>
      <c r="BX22" s="3">
        <v>6.64</v>
      </c>
      <c r="BY22" s="3">
        <v>8.74</v>
      </c>
    </row>
    <row r="23" spans="1:84" x14ac:dyDescent="0.35">
      <c r="A23" s="1"/>
      <c r="B23" s="4">
        <v>44866</v>
      </c>
      <c r="C23" s="5" t="s">
        <v>948</v>
      </c>
      <c r="D23" s="5" t="s">
        <v>954</v>
      </c>
      <c r="E23" s="5" t="s">
        <v>945</v>
      </c>
      <c r="F23" s="5" t="s">
        <v>588</v>
      </c>
      <c r="G23" s="5" t="s">
        <v>1009</v>
      </c>
      <c r="H23" s="5" t="s">
        <v>953</v>
      </c>
      <c r="I23" s="3" t="e">
        <v>#N/A</v>
      </c>
      <c r="J23" s="3" t="e">
        <v>#N/A</v>
      </c>
      <c r="K23" s="3" t="e">
        <v>#N/A</v>
      </c>
      <c r="L23" s="3" t="e">
        <v>#N/A</v>
      </c>
      <c r="M23" s="3" t="e">
        <v>#N/A</v>
      </c>
      <c r="N23" s="3" t="e">
        <v>#N/A</v>
      </c>
      <c r="O23" s="3" t="e">
        <v>#N/A</v>
      </c>
      <c r="P23" s="3" t="e">
        <v>#N/A</v>
      </c>
      <c r="Q23" s="3" t="e">
        <v>#N/A</v>
      </c>
      <c r="R23" s="3" t="e">
        <v>#N/A</v>
      </c>
      <c r="S23" s="3" t="e">
        <v>#N/A</v>
      </c>
      <c r="T23" s="3" t="e">
        <v>#N/A</v>
      </c>
      <c r="U23" s="3" t="e">
        <v>#N/A</v>
      </c>
      <c r="V23" s="3" t="e">
        <v>#N/A</v>
      </c>
      <c r="W23" s="3" t="e">
        <v>#N/A</v>
      </c>
      <c r="X23" s="3" t="e">
        <v>#N/A</v>
      </c>
      <c r="Y23" s="3" t="e">
        <v>#N/A</v>
      </c>
      <c r="Z23" s="3" t="e">
        <v>#N/A</v>
      </c>
      <c r="AA23" s="3" t="e">
        <v>#N/A</v>
      </c>
      <c r="AB23" s="3" t="e">
        <v>#N/A</v>
      </c>
      <c r="AC23" s="3" t="e">
        <v>#N/A</v>
      </c>
      <c r="AD23" s="3" t="e">
        <v>#N/A</v>
      </c>
      <c r="AE23" s="3" t="e">
        <v>#N/A</v>
      </c>
      <c r="AF23" s="3" t="e">
        <v>#N/A</v>
      </c>
      <c r="AG23" s="3" t="e">
        <v>#N/A</v>
      </c>
      <c r="AH23" s="3" t="e">
        <v>#N/A</v>
      </c>
      <c r="AI23" s="3" t="e">
        <v>#N/A</v>
      </c>
      <c r="AJ23" s="3" t="e">
        <v>#N/A</v>
      </c>
      <c r="AK23" s="3" t="e">
        <v>#N/A</v>
      </c>
      <c r="AL23" s="3" t="e">
        <v>#N/A</v>
      </c>
      <c r="AM23" s="3" t="e">
        <v>#N/A</v>
      </c>
      <c r="AN23" s="3" t="e">
        <v>#N/A</v>
      </c>
      <c r="AO23" s="3" t="e">
        <v>#N/A</v>
      </c>
      <c r="AP23" s="3" t="e">
        <v>#N/A</v>
      </c>
      <c r="AQ23" s="3" t="e">
        <v>#N/A</v>
      </c>
      <c r="AR23" s="3" t="e">
        <v>#N/A</v>
      </c>
      <c r="AS23" s="3" t="e">
        <v>#N/A</v>
      </c>
      <c r="AT23" s="3" t="e">
        <v>#N/A</v>
      </c>
      <c r="AU23" s="3" t="e">
        <v>#N/A</v>
      </c>
      <c r="AV23" s="3" t="e">
        <v>#N/A</v>
      </c>
      <c r="AW23" s="3">
        <v>2.72</v>
      </c>
      <c r="AX23" s="3">
        <v>2.48</v>
      </c>
      <c r="AY23" s="3">
        <v>2.14</v>
      </c>
      <c r="AZ23" s="3">
        <v>2.23</v>
      </c>
      <c r="BA23" s="3">
        <v>2.19</v>
      </c>
      <c r="BB23" s="3">
        <v>2.1800000000000002</v>
      </c>
      <c r="BC23" s="3">
        <v>2.19</v>
      </c>
      <c r="BD23" s="3">
        <v>2.1</v>
      </c>
      <c r="BE23" s="3">
        <v>2.48</v>
      </c>
      <c r="BF23" s="3">
        <v>2.39</v>
      </c>
      <c r="BG23" s="3">
        <v>2.46</v>
      </c>
      <c r="BH23" s="3">
        <v>2.44</v>
      </c>
      <c r="BI23" s="3">
        <v>1.84</v>
      </c>
      <c r="BJ23" s="3">
        <v>1.76</v>
      </c>
      <c r="BK23" s="3">
        <v>1.8</v>
      </c>
      <c r="BL23" s="3">
        <v>1.42</v>
      </c>
      <c r="BM23" s="3">
        <v>1.91</v>
      </c>
      <c r="BN23" s="3">
        <v>1.56</v>
      </c>
      <c r="BO23" s="3">
        <v>1.62</v>
      </c>
      <c r="BP23" s="3">
        <v>1.33</v>
      </c>
      <c r="BQ23" s="3">
        <v>-1.96</v>
      </c>
      <c r="BR23" s="3">
        <v>-22.63</v>
      </c>
      <c r="BS23" s="3">
        <v>-10.32</v>
      </c>
      <c r="BT23" s="3">
        <v>-9.2100000000000009</v>
      </c>
      <c r="BU23" s="3">
        <v>-7.84</v>
      </c>
      <c r="BV23" s="3">
        <v>24.27</v>
      </c>
      <c r="BW23" s="3">
        <v>8.4600000000000009</v>
      </c>
      <c r="BX23" s="3">
        <v>8.89</v>
      </c>
      <c r="BY23" s="3">
        <v>10.94</v>
      </c>
      <c r="BZ23" s="3">
        <v>4.38</v>
      </c>
    </row>
    <row r="24" spans="1:84" x14ac:dyDescent="0.35">
      <c r="A24" s="1"/>
      <c r="B24" s="4">
        <v>44958</v>
      </c>
      <c r="C24" s="5" t="s">
        <v>963</v>
      </c>
      <c r="D24" s="5" t="s">
        <v>968</v>
      </c>
      <c r="E24" s="5" t="s">
        <v>955</v>
      </c>
      <c r="F24" s="5" t="s">
        <v>603</v>
      </c>
      <c r="G24" s="5" t="s">
        <v>1009</v>
      </c>
      <c r="H24" s="5" t="s">
        <v>967</v>
      </c>
      <c r="I24" s="3" t="e">
        <v>#N/A</v>
      </c>
      <c r="J24" s="3" t="e">
        <v>#N/A</v>
      </c>
      <c r="K24" s="3" t="e">
        <v>#N/A</v>
      </c>
      <c r="L24" s="3" t="e">
        <v>#N/A</v>
      </c>
      <c r="M24" s="3" t="e">
        <v>#N/A</v>
      </c>
      <c r="N24" s="3" t="e">
        <v>#N/A</v>
      </c>
      <c r="O24" s="3" t="e">
        <v>#N/A</v>
      </c>
      <c r="P24" s="3" t="e">
        <v>#N/A</v>
      </c>
      <c r="Q24" s="3" t="e">
        <v>#N/A</v>
      </c>
      <c r="R24" s="3" t="e">
        <v>#N/A</v>
      </c>
      <c r="S24" s="3" t="e">
        <v>#N/A</v>
      </c>
      <c r="T24" s="3" t="e">
        <v>#N/A</v>
      </c>
      <c r="U24" s="3" t="e">
        <v>#N/A</v>
      </c>
      <c r="V24" s="3" t="e">
        <v>#N/A</v>
      </c>
      <c r="W24" s="3" t="e">
        <v>#N/A</v>
      </c>
      <c r="X24" s="3" t="e">
        <v>#N/A</v>
      </c>
      <c r="Y24" s="3" t="e">
        <v>#N/A</v>
      </c>
      <c r="Z24" s="3" t="e">
        <v>#N/A</v>
      </c>
      <c r="AA24" s="3" t="e">
        <v>#N/A</v>
      </c>
      <c r="AB24" s="3" t="e">
        <v>#N/A</v>
      </c>
      <c r="AC24" s="3" t="e">
        <v>#N/A</v>
      </c>
      <c r="AD24" s="3" t="e">
        <v>#N/A</v>
      </c>
      <c r="AE24" s="3" t="e">
        <v>#N/A</v>
      </c>
      <c r="AF24" s="3" t="e">
        <v>#N/A</v>
      </c>
      <c r="AG24" s="3" t="e">
        <v>#N/A</v>
      </c>
      <c r="AH24" s="3" t="e">
        <v>#N/A</v>
      </c>
      <c r="AI24" s="3" t="e">
        <v>#N/A</v>
      </c>
      <c r="AJ24" s="3" t="e">
        <v>#N/A</v>
      </c>
      <c r="AK24" s="3" t="e">
        <v>#N/A</v>
      </c>
      <c r="AL24" s="3" t="e">
        <v>#N/A</v>
      </c>
      <c r="AM24" s="3" t="e">
        <v>#N/A</v>
      </c>
      <c r="AN24" s="3" t="e">
        <v>#N/A</v>
      </c>
      <c r="AO24" s="3" t="e">
        <v>#N/A</v>
      </c>
      <c r="AP24" s="3" t="e">
        <v>#N/A</v>
      </c>
      <c r="AQ24" s="3" t="e">
        <v>#N/A</v>
      </c>
      <c r="AR24" s="3" t="e">
        <v>#N/A</v>
      </c>
      <c r="AS24" s="3" t="e">
        <v>#N/A</v>
      </c>
      <c r="AT24" s="3" t="e">
        <v>#N/A</v>
      </c>
      <c r="AU24" s="3" t="e">
        <v>#N/A</v>
      </c>
      <c r="AV24" s="3" t="e">
        <v>#N/A</v>
      </c>
      <c r="AW24" s="3" t="e">
        <v>#N/A</v>
      </c>
      <c r="AX24" s="3">
        <v>2.48</v>
      </c>
      <c r="AY24" s="3">
        <v>2.14</v>
      </c>
      <c r="AZ24" s="3">
        <v>2.23</v>
      </c>
      <c r="BA24" s="3">
        <v>2.19</v>
      </c>
      <c r="BB24" s="3">
        <v>2.1800000000000002</v>
      </c>
      <c r="BC24" s="3">
        <v>2.19</v>
      </c>
      <c r="BD24" s="3">
        <v>2.1</v>
      </c>
      <c r="BE24" s="3">
        <v>2.48</v>
      </c>
      <c r="BF24" s="3">
        <v>2.39</v>
      </c>
      <c r="BG24" s="3">
        <v>2.46</v>
      </c>
      <c r="BH24" s="3">
        <v>2.44</v>
      </c>
      <c r="BI24" s="3">
        <v>1.84</v>
      </c>
      <c r="BJ24" s="3">
        <v>1.76</v>
      </c>
      <c r="BK24" s="3">
        <v>1.8</v>
      </c>
      <c r="BL24" s="3">
        <v>1.42</v>
      </c>
      <c r="BM24" s="3">
        <v>1.91</v>
      </c>
      <c r="BN24" s="3">
        <v>1.56</v>
      </c>
      <c r="BO24" s="3">
        <v>1.62</v>
      </c>
      <c r="BP24" s="3">
        <v>1.33</v>
      </c>
      <c r="BQ24" s="3">
        <v>-1.96</v>
      </c>
      <c r="BR24" s="3">
        <v>-22.63</v>
      </c>
      <c r="BS24" s="3">
        <v>-10.32</v>
      </c>
      <c r="BT24" s="3">
        <v>-9.2100000000000009</v>
      </c>
      <c r="BU24" s="3">
        <v>-7.73</v>
      </c>
      <c r="BV24" s="3">
        <v>24.41</v>
      </c>
      <c r="BW24" s="3">
        <v>8.5399999999999991</v>
      </c>
      <c r="BX24" s="3">
        <v>8.8699999999999992</v>
      </c>
      <c r="BY24" s="3">
        <v>10.71</v>
      </c>
      <c r="BZ24" s="3">
        <v>3.99</v>
      </c>
      <c r="CA24" s="3">
        <v>1.9</v>
      </c>
    </row>
    <row r="25" spans="1:84" x14ac:dyDescent="0.35">
      <c r="A25" s="1"/>
      <c r="B25" s="4">
        <v>45047</v>
      </c>
      <c r="C25" s="5" t="s">
        <v>1004</v>
      </c>
      <c r="D25" s="5" t="s">
        <v>1011</v>
      </c>
      <c r="E25" s="5" t="s">
        <v>1001</v>
      </c>
      <c r="F25" s="5" t="s">
        <v>618</v>
      </c>
      <c r="G25" s="5" t="s">
        <v>1009</v>
      </c>
      <c r="H25" s="5" t="s">
        <v>1010</v>
      </c>
      <c r="I25" s="3" t="e">
        <v>#N/A</v>
      </c>
      <c r="J25" s="3" t="e">
        <v>#N/A</v>
      </c>
      <c r="K25" s="3" t="e">
        <v>#N/A</v>
      </c>
      <c r="L25" s="3" t="e">
        <v>#N/A</v>
      </c>
      <c r="M25" s="3" t="e">
        <v>#N/A</v>
      </c>
      <c r="N25" s="3" t="e">
        <v>#N/A</v>
      </c>
      <c r="O25" s="3" t="e">
        <v>#N/A</v>
      </c>
      <c r="P25" s="3" t="e">
        <v>#N/A</v>
      </c>
      <c r="Q25" s="3" t="e">
        <v>#N/A</v>
      </c>
      <c r="R25" s="3" t="e">
        <v>#N/A</v>
      </c>
      <c r="S25" s="3" t="e">
        <v>#N/A</v>
      </c>
      <c r="T25" s="3" t="e">
        <v>#N/A</v>
      </c>
      <c r="U25" s="3" t="e">
        <v>#N/A</v>
      </c>
      <c r="V25" s="3" t="e">
        <v>#N/A</v>
      </c>
      <c r="W25" s="3" t="e">
        <v>#N/A</v>
      </c>
      <c r="X25" s="3" t="e">
        <v>#N/A</v>
      </c>
      <c r="Y25" s="3" t="e">
        <v>#N/A</v>
      </c>
      <c r="Z25" s="3" t="e">
        <v>#N/A</v>
      </c>
      <c r="AA25" s="3" t="e">
        <v>#N/A</v>
      </c>
      <c r="AB25" s="3" t="e">
        <v>#N/A</v>
      </c>
      <c r="AC25" s="3" t="e">
        <v>#N/A</v>
      </c>
      <c r="AD25" s="3" t="e">
        <v>#N/A</v>
      </c>
      <c r="AE25" s="3" t="e">
        <v>#N/A</v>
      </c>
      <c r="AF25" s="3" t="e">
        <v>#N/A</v>
      </c>
      <c r="AG25" s="3" t="e">
        <v>#N/A</v>
      </c>
      <c r="AH25" s="3" t="e">
        <v>#N/A</v>
      </c>
      <c r="AI25" s="3" t="e">
        <v>#N/A</v>
      </c>
      <c r="AJ25" s="3" t="e">
        <v>#N/A</v>
      </c>
      <c r="AK25" s="3" t="e">
        <v>#N/A</v>
      </c>
      <c r="AL25" s="3" t="e">
        <v>#N/A</v>
      </c>
      <c r="AM25" s="3" t="e">
        <v>#N/A</v>
      </c>
      <c r="AN25" s="3" t="e">
        <v>#N/A</v>
      </c>
      <c r="AO25" s="3" t="e">
        <v>#N/A</v>
      </c>
      <c r="AP25" s="3" t="e">
        <v>#N/A</v>
      </c>
      <c r="AQ25" s="3" t="e">
        <v>#N/A</v>
      </c>
      <c r="AR25" s="3" t="e">
        <v>#N/A</v>
      </c>
      <c r="AS25" s="3" t="e">
        <v>#N/A</v>
      </c>
      <c r="AT25" s="3" t="e">
        <v>#N/A</v>
      </c>
      <c r="AU25" s="3" t="e">
        <v>#N/A</v>
      </c>
      <c r="AV25" s="3" t="e">
        <v>#N/A</v>
      </c>
      <c r="AW25" s="3" t="e">
        <v>#N/A</v>
      </c>
      <c r="AX25" s="3" t="e">
        <v>#N/A</v>
      </c>
      <c r="AY25" s="3">
        <v>2.14</v>
      </c>
      <c r="AZ25" s="3">
        <v>2.23</v>
      </c>
      <c r="BA25" s="3">
        <v>2.19</v>
      </c>
      <c r="BB25" s="3">
        <v>2.1800000000000002</v>
      </c>
      <c r="BC25" s="3">
        <v>2.19</v>
      </c>
      <c r="BD25" s="3">
        <v>2.1</v>
      </c>
      <c r="BE25" s="3">
        <v>2.48</v>
      </c>
      <c r="BF25" s="3">
        <v>2.39</v>
      </c>
      <c r="BG25" s="3">
        <v>2.46</v>
      </c>
      <c r="BH25" s="3">
        <v>2.44</v>
      </c>
      <c r="BI25" s="3">
        <v>1.84</v>
      </c>
      <c r="BJ25" s="3">
        <v>1.76</v>
      </c>
      <c r="BK25" s="3">
        <v>1.8</v>
      </c>
      <c r="BL25" s="3">
        <v>1.42</v>
      </c>
      <c r="BM25" s="3">
        <v>1.91</v>
      </c>
      <c r="BN25" s="3">
        <v>1.56</v>
      </c>
      <c r="BO25" s="3">
        <v>1.62</v>
      </c>
      <c r="BP25" s="3">
        <v>1.33</v>
      </c>
      <c r="BQ25" s="3">
        <v>-1.96</v>
      </c>
      <c r="BR25" s="3">
        <v>-22.63</v>
      </c>
      <c r="BS25" s="3">
        <v>-10.32</v>
      </c>
      <c r="BT25" s="3">
        <v>-9.2100000000000009</v>
      </c>
      <c r="BU25" s="3">
        <v>-7.73</v>
      </c>
      <c r="BV25" s="3">
        <v>24.41</v>
      </c>
      <c r="BW25" s="3">
        <v>8.5399999999999991</v>
      </c>
      <c r="BX25" s="3">
        <v>8.8699999999999992</v>
      </c>
      <c r="BY25" s="3">
        <v>10.56</v>
      </c>
      <c r="BZ25" s="3">
        <v>3.84</v>
      </c>
      <c r="CA25" s="3">
        <v>1.98</v>
      </c>
      <c r="CB25" s="3">
        <v>0.56999999999999995</v>
      </c>
    </row>
    <row r="26" spans="1:84" x14ac:dyDescent="0.35">
      <c r="A26" s="1"/>
      <c r="B26" s="4">
        <v>45139</v>
      </c>
      <c r="C26" s="5" t="s">
        <v>1031</v>
      </c>
      <c r="D26" s="5" t="s">
        <v>1033</v>
      </c>
      <c r="E26" s="5" t="s">
        <v>1016</v>
      </c>
      <c r="F26" s="5" t="s">
        <v>627</v>
      </c>
      <c r="G26" s="5" t="s">
        <v>1009</v>
      </c>
      <c r="H26" s="5" t="s">
        <v>1032</v>
      </c>
      <c r="I26" s="3" t="e">
        <v>#N/A</v>
      </c>
      <c r="J26" s="3" t="e">
        <v>#N/A</v>
      </c>
      <c r="K26" s="3" t="e">
        <v>#N/A</v>
      </c>
      <c r="L26" s="3" t="e">
        <v>#N/A</v>
      </c>
      <c r="M26" s="3" t="e">
        <v>#N/A</v>
      </c>
      <c r="N26" s="3" t="e">
        <v>#N/A</v>
      </c>
      <c r="O26" s="3" t="e">
        <v>#N/A</v>
      </c>
      <c r="P26" s="3" t="e">
        <v>#N/A</v>
      </c>
      <c r="Q26" s="3" t="e">
        <v>#N/A</v>
      </c>
      <c r="R26" s="3" t="e">
        <v>#N/A</v>
      </c>
      <c r="S26" s="3" t="e">
        <v>#N/A</v>
      </c>
      <c r="T26" s="3" t="e">
        <v>#N/A</v>
      </c>
      <c r="U26" s="3" t="e">
        <v>#N/A</v>
      </c>
      <c r="V26" s="3" t="e">
        <v>#N/A</v>
      </c>
      <c r="W26" s="3" t="e">
        <v>#N/A</v>
      </c>
      <c r="X26" s="3" t="e">
        <v>#N/A</v>
      </c>
      <c r="Y26" s="3" t="e">
        <v>#N/A</v>
      </c>
      <c r="Z26" s="3" t="e">
        <v>#N/A</v>
      </c>
      <c r="AA26" s="3" t="e">
        <v>#N/A</v>
      </c>
      <c r="AB26" s="3" t="e">
        <v>#N/A</v>
      </c>
      <c r="AC26" s="3" t="e">
        <v>#N/A</v>
      </c>
      <c r="AD26" s="3" t="e">
        <v>#N/A</v>
      </c>
      <c r="AE26" s="3" t="e">
        <v>#N/A</v>
      </c>
      <c r="AF26" s="3" t="e">
        <v>#N/A</v>
      </c>
      <c r="AG26" s="3" t="e">
        <v>#N/A</v>
      </c>
      <c r="AH26" s="3" t="e">
        <v>#N/A</v>
      </c>
      <c r="AI26" s="3" t="e">
        <v>#N/A</v>
      </c>
      <c r="AJ26" s="3" t="e">
        <v>#N/A</v>
      </c>
      <c r="AK26" s="3" t="e">
        <v>#N/A</v>
      </c>
      <c r="AL26" s="3" t="e">
        <v>#N/A</v>
      </c>
      <c r="AM26" s="3" t="e">
        <v>#N/A</v>
      </c>
      <c r="AN26" s="3" t="e">
        <v>#N/A</v>
      </c>
      <c r="AO26" s="3" t="e">
        <v>#N/A</v>
      </c>
      <c r="AP26" s="3" t="e">
        <v>#N/A</v>
      </c>
      <c r="AQ26" s="3" t="e">
        <v>#N/A</v>
      </c>
      <c r="AR26" s="3" t="e">
        <v>#N/A</v>
      </c>
      <c r="AS26" s="3" t="e">
        <v>#N/A</v>
      </c>
      <c r="AT26" s="3" t="e">
        <v>#N/A</v>
      </c>
      <c r="AU26" s="3" t="e">
        <v>#N/A</v>
      </c>
      <c r="AV26" s="3" t="e">
        <v>#N/A</v>
      </c>
      <c r="AW26" s="3" t="e">
        <v>#N/A</v>
      </c>
      <c r="AX26" s="3" t="e">
        <v>#N/A</v>
      </c>
      <c r="AY26" s="3" t="e">
        <v>#N/A</v>
      </c>
      <c r="AZ26" s="3">
        <v>2.23</v>
      </c>
      <c r="BA26" s="3">
        <v>2.19</v>
      </c>
      <c r="BB26" s="3">
        <v>2.1800000000000002</v>
      </c>
      <c r="BC26" s="3">
        <v>2.19</v>
      </c>
      <c r="BD26" s="3">
        <v>2.1</v>
      </c>
      <c r="BE26" s="3">
        <v>2.48</v>
      </c>
      <c r="BF26" s="3">
        <v>2.39</v>
      </c>
      <c r="BG26" s="3">
        <v>2.46</v>
      </c>
      <c r="BH26" s="3">
        <v>2.44</v>
      </c>
      <c r="BI26" s="3">
        <v>1.84</v>
      </c>
      <c r="BJ26" s="3">
        <v>1.76</v>
      </c>
      <c r="BK26" s="3">
        <v>1.8</v>
      </c>
      <c r="BL26" s="3">
        <v>1.42</v>
      </c>
      <c r="BM26" s="3">
        <v>1.91</v>
      </c>
      <c r="BN26" s="3">
        <v>1.56</v>
      </c>
      <c r="BO26" s="3">
        <v>1.62</v>
      </c>
      <c r="BP26" s="3">
        <v>1.33</v>
      </c>
      <c r="BQ26" s="3">
        <v>-1.96</v>
      </c>
      <c r="BR26" s="3">
        <v>-22.63</v>
      </c>
      <c r="BS26" s="3">
        <v>-10.32</v>
      </c>
      <c r="BT26" s="3">
        <v>-9.2100000000000009</v>
      </c>
      <c r="BU26" s="3">
        <v>-7.73</v>
      </c>
      <c r="BV26" s="3">
        <v>24.41</v>
      </c>
      <c r="BW26" s="3">
        <v>8.5399999999999991</v>
      </c>
      <c r="BX26" s="3">
        <v>8.8699999999999992</v>
      </c>
      <c r="BY26" s="3">
        <v>10.56</v>
      </c>
      <c r="BZ26" s="3">
        <v>3.84</v>
      </c>
      <c r="CA26" s="3">
        <v>1.98</v>
      </c>
      <c r="CB26" s="3">
        <v>0.56999999999999995</v>
      </c>
      <c r="CC26" s="3">
        <v>0.23</v>
      </c>
    </row>
    <row r="27" spans="1:84" x14ac:dyDescent="0.35">
      <c r="A27" s="1"/>
      <c r="B27" s="4">
        <v>45231</v>
      </c>
      <c r="C27" s="5" t="s">
        <v>1059</v>
      </c>
      <c r="D27" s="5" t="s">
        <v>1065</v>
      </c>
      <c r="E27" s="5" t="s">
        <v>1056</v>
      </c>
      <c r="F27" s="5" t="s">
        <v>640</v>
      </c>
      <c r="G27" s="5" t="s">
        <v>1009</v>
      </c>
      <c r="H27" s="5" t="s">
        <v>1064</v>
      </c>
      <c r="I27" s="3" t="e">
        <v>#N/A</v>
      </c>
      <c r="J27" s="3" t="e">
        <v>#N/A</v>
      </c>
      <c r="K27" s="3" t="e">
        <v>#N/A</v>
      </c>
      <c r="L27" s="3" t="e">
        <v>#N/A</v>
      </c>
      <c r="M27" s="3" t="e">
        <v>#N/A</v>
      </c>
      <c r="N27" s="3" t="e">
        <v>#N/A</v>
      </c>
      <c r="O27" s="3" t="e">
        <v>#N/A</v>
      </c>
      <c r="P27" s="3" t="e">
        <v>#N/A</v>
      </c>
      <c r="Q27" s="3" t="e">
        <v>#N/A</v>
      </c>
      <c r="R27" s="3" t="e">
        <v>#N/A</v>
      </c>
      <c r="S27" s="3" t="e">
        <v>#N/A</v>
      </c>
      <c r="T27" s="3" t="e">
        <v>#N/A</v>
      </c>
      <c r="U27" s="3" t="e">
        <v>#N/A</v>
      </c>
      <c r="V27" s="3" t="e">
        <v>#N/A</v>
      </c>
      <c r="W27" s="3" t="e">
        <v>#N/A</v>
      </c>
      <c r="X27" s="3" t="e">
        <v>#N/A</v>
      </c>
      <c r="Y27" s="3" t="e">
        <v>#N/A</v>
      </c>
      <c r="Z27" s="3" t="e">
        <v>#N/A</v>
      </c>
      <c r="AA27" s="3" t="e">
        <v>#N/A</v>
      </c>
      <c r="AB27" s="3" t="e">
        <v>#N/A</v>
      </c>
      <c r="AC27" s="3" t="e">
        <v>#N/A</v>
      </c>
      <c r="AD27" s="3" t="e">
        <v>#N/A</v>
      </c>
      <c r="AE27" s="3" t="e">
        <v>#N/A</v>
      </c>
      <c r="AF27" s="3" t="e">
        <v>#N/A</v>
      </c>
      <c r="AG27" s="3" t="e">
        <v>#N/A</v>
      </c>
      <c r="AH27" s="3" t="e">
        <v>#N/A</v>
      </c>
      <c r="AI27" s="3" t="e">
        <v>#N/A</v>
      </c>
      <c r="AJ27" s="3" t="e">
        <v>#N/A</v>
      </c>
      <c r="AK27" s="3" t="e">
        <v>#N/A</v>
      </c>
      <c r="AL27" s="3" t="e">
        <v>#N/A</v>
      </c>
      <c r="AM27" s="3" t="e">
        <v>#N/A</v>
      </c>
      <c r="AN27" s="3" t="e">
        <v>#N/A</v>
      </c>
      <c r="AO27" s="3" t="e">
        <v>#N/A</v>
      </c>
      <c r="AP27" s="3" t="e">
        <v>#N/A</v>
      </c>
      <c r="AQ27" s="3" t="e">
        <v>#N/A</v>
      </c>
      <c r="AR27" s="3" t="e">
        <v>#N/A</v>
      </c>
      <c r="AS27" s="3" t="e">
        <v>#N/A</v>
      </c>
      <c r="AT27" s="3" t="e">
        <v>#N/A</v>
      </c>
      <c r="AU27" s="3" t="e">
        <v>#N/A</v>
      </c>
      <c r="AV27" s="3" t="e">
        <v>#N/A</v>
      </c>
      <c r="AW27" s="3" t="e">
        <v>#N/A</v>
      </c>
      <c r="AX27" s="3" t="e">
        <v>#N/A</v>
      </c>
      <c r="AY27" s="3" t="e">
        <v>#N/A</v>
      </c>
      <c r="AZ27" s="3" t="e">
        <v>#N/A</v>
      </c>
      <c r="BA27" s="3">
        <v>1.9</v>
      </c>
      <c r="BB27" s="3">
        <v>1.9</v>
      </c>
      <c r="BC27" s="3">
        <v>1.9</v>
      </c>
      <c r="BD27" s="3">
        <v>1.9</v>
      </c>
      <c r="BE27" s="3">
        <v>2.4</v>
      </c>
      <c r="BF27" s="3">
        <v>2.5</v>
      </c>
      <c r="BG27" s="3">
        <v>2.8</v>
      </c>
      <c r="BH27" s="3">
        <v>2.9</v>
      </c>
      <c r="BI27" s="3">
        <v>2.1</v>
      </c>
      <c r="BJ27" s="3">
        <v>1.6</v>
      </c>
      <c r="BK27" s="3">
        <v>1.3</v>
      </c>
      <c r="BL27" s="3">
        <v>0.7</v>
      </c>
      <c r="BM27" s="3">
        <v>1.4</v>
      </c>
      <c r="BN27" s="3">
        <v>1.5</v>
      </c>
      <c r="BO27" s="3">
        <v>1.9</v>
      </c>
      <c r="BP27" s="3">
        <v>1.8</v>
      </c>
      <c r="BQ27" s="3">
        <v>-1.7</v>
      </c>
      <c r="BR27" s="3">
        <v>-21.9</v>
      </c>
      <c r="BS27" s="3">
        <v>-9.5</v>
      </c>
      <c r="BT27" s="3">
        <v>-8.3000000000000007</v>
      </c>
      <c r="BU27" s="3">
        <v>-6.7</v>
      </c>
      <c r="BV27" s="3">
        <v>25.7</v>
      </c>
      <c r="BW27" s="3">
        <v>9.5</v>
      </c>
      <c r="BX27" s="3">
        <v>9.6999999999999993</v>
      </c>
      <c r="BY27" s="3">
        <v>11.4</v>
      </c>
      <c r="BZ27" s="3">
        <v>3.9</v>
      </c>
      <c r="CA27" s="3">
        <v>2.1</v>
      </c>
      <c r="CB27" s="3">
        <v>0.7</v>
      </c>
      <c r="CC27" s="3">
        <v>0.5</v>
      </c>
      <c r="CD27" s="3">
        <v>0.6</v>
      </c>
    </row>
    <row r="28" spans="1:84" x14ac:dyDescent="0.35">
      <c r="A28" s="1"/>
      <c r="B28" s="4">
        <v>45323</v>
      </c>
      <c r="C28" s="5" t="s">
        <v>1087</v>
      </c>
      <c r="D28" s="5" t="s">
        <v>1093</v>
      </c>
      <c r="E28" s="5" t="s">
        <v>1084</v>
      </c>
      <c r="F28" s="5" t="s">
        <v>655</v>
      </c>
      <c r="G28" s="5" t="s">
        <v>1009</v>
      </c>
      <c r="H28" s="5" t="s">
        <v>1092</v>
      </c>
      <c r="I28" s="3" t="e">
        <v>#N/A</v>
      </c>
      <c r="J28" s="3" t="e">
        <v>#N/A</v>
      </c>
      <c r="K28" s="3" t="e">
        <v>#N/A</v>
      </c>
      <c r="L28" s="3" t="e">
        <v>#N/A</v>
      </c>
      <c r="M28" s="3" t="e">
        <v>#N/A</v>
      </c>
      <c r="N28" s="3" t="e">
        <v>#N/A</v>
      </c>
      <c r="O28" s="3" t="e">
        <v>#N/A</v>
      </c>
      <c r="P28" s="3" t="e">
        <v>#N/A</v>
      </c>
      <c r="Q28" s="3" t="e">
        <v>#N/A</v>
      </c>
      <c r="R28" s="3" t="e">
        <v>#N/A</v>
      </c>
      <c r="S28" s="3" t="e">
        <v>#N/A</v>
      </c>
      <c r="T28" s="3" t="e">
        <v>#N/A</v>
      </c>
      <c r="U28" s="3" t="e">
        <v>#N/A</v>
      </c>
      <c r="V28" s="3" t="e">
        <v>#N/A</v>
      </c>
      <c r="W28" s="3" t="e">
        <v>#N/A</v>
      </c>
      <c r="X28" s="3" t="e">
        <v>#N/A</v>
      </c>
      <c r="Y28" s="3" t="e">
        <v>#N/A</v>
      </c>
      <c r="Z28" s="3" t="e">
        <v>#N/A</v>
      </c>
      <c r="AA28" s="3" t="e">
        <v>#N/A</v>
      </c>
      <c r="AB28" s="3" t="e">
        <v>#N/A</v>
      </c>
      <c r="AC28" s="3" t="e">
        <v>#N/A</v>
      </c>
      <c r="AD28" s="3" t="e">
        <v>#N/A</v>
      </c>
      <c r="AE28" s="3" t="e">
        <v>#N/A</v>
      </c>
      <c r="AF28" s="3" t="e">
        <v>#N/A</v>
      </c>
      <c r="AG28" s="3" t="e">
        <v>#N/A</v>
      </c>
      <c r="AH28" s="3" t="e">
        <v>#N/A</v>
      </c>
      <c r="AI28" s="3" t="e">
        <v>#N/A</v>
      </c>
      <c r="AJ28" s="3" t="e">
        <v>#N/A</v>
      </c>
      <c r="AK28" s="3" t="e">
        <v>#N/A</v>
      </c>
      <c r="AL28" s="3" t="e">
        <v>#N/A</v>
      </c>
      <c r="AM28" s="3" t="e">
        <v>#N/A</v>
      </c>
      <c r="AN28" s="3" t="e">
        <v>#N/A</v>
      </c>
      <c r="AO28" s="3" t="e">
        <v>#N/A</v>
      </c>
      <c r="AP28" s="3" t="e">
        <v>#N/A</v>
      </c>
      <c r="AQ28" s="3" t="e">
        <v>#N/A</v>
      </c>
      <c r="AR28" s="3" t="e">
        <v>#N/A</v>
      </c>
      <c r="AS28" s="3" t="e">
        <v>#N/A</v>
      </c>
      <c r="AT28" s="3" t="e">
        <v>#N/A</v>
      </c>
      <c r="AU28" s="3" t="e">
        <v>#N/A</v>
      </c>
      <c r="AV28" s="3" t="e">
        <v>#N/A</v>
      </c>
      <c r="AW28" s="3" t="e">
        <v>#N/A</v>
      </c>
      <c r="AX28" s="3" t="e">
        <v>#N/A</v>
      </c>
      <c r="AY28" s="3" t="e">
        <v>#N/A</v>
      </c>
      <c r="AZ28" s="3" t="e">
        <v>#N/A</v>
      </c>
      <c r="BA28" s="3" t="e">
        <v>#N/A</v>
      </c>
      <c r="BB28" s="3">
        <v>1.9</v>
      </c>
      <c r="BC28" s="3">
        <v>1.9</v>
      </c>
      <c r="BD28" s="3">
        <v>1.9</v>
      </c>
      <c r="BE28" s="3">
        <v>2.4</v>
      </c>
      <c r="BF28" s="3">
        <v>2.5</v>
      </c>
      <c r="BG28" s="3">
        <v>2.8</v>
      </c>
      <c r="BH28" s="3">
        <v>2.9</v>
      </c>
      <c r="BI28" s="3">
        <v>2.1</v>
      </c>
      <c r="BJ28" s="3">
        <v>1.6</v>
      </c>
      <c r="BK28" s="3">
        <v>1.3</v>
      </c>
      <c r="BL28" s="3">
        <v>0.7</v>
      </c>
      <c r="BM28" s="3">
        <v>1.4</v>
      </c>
      <c r="BN28" s="3">
        <v>1.5</v>
      </c>
      <c r="BO28" s="3">
        <v>1.9</v>
      </c>
      <c r="BP28" s="3">
        <v>1.8</v>
      </c>
      <c r="BQ28" s="3">
        <v>-1.7</v>
      </c>
      <c r="BR28" s="3">
        <v>-21.9</v>
      </c>
      <c r="BS28" s="3">
        <v>-9.5</v>
      </c>
      <c r="BT28" s="3">
        <v>-8.3000000000000007</v>
      </c>
      <c r="BU28" s="3">
        <v>-6.7</v>
      </c>
      <c r="BV28" s="3">
        <v>25.7</v>
      </c>
      <c r="BW28" s="3">
        <v>9.5</v>
      </c>
      <c r="BX28" s="3">
        <v>9.6999999999999993</v>
      </c>
      <c r="BY28" s="3">
        <v>11.4</v>
      </c>
      <c r="BZ28" s="3">
        <v>3.9</v>
      </c>
      <c r="CA28" s="3">
        <v>2.1</v>
      </c>
      <c r="CB28" s="3">
        <v>0.6</v>
      </c>
      <c r="CC28" s="3">
        <v>0.4</v>
      </c>
      <c r="CD28" s="3">
        <v>0.3</v>
      </c>
      <c r="CE28" s="3">
        <v>0.3</v>
      </c>
    </row>
    <row r="29" spans="1:84" x14ac:dyDescent="0.35">
      <c r="A29" s="1"/>
      <c r="B29" s="4">
        <v>45413</v>
      </c>
      <c r="C29" s="5" t="s">
        <v>1115</v>
      </c>
      <c r="D29" s="5" t="s">
        <v>1121</v>
      </c>
      <c r="E29" s="5" t="s">
        <v>1112</v>
      </c>
      <c r="F29" s="5" t="s">
        <v>656</v>
      </c>
      <c r="G29" s="5" t="s">
        <v>1009</v>
      </c>
      <c r="H29" s="5" t="s">
        <v>1120</v>
      </c>
      <c r="I29" s="3" t="e">
        <v>#N/A</v>
      </c>
      <c r="J29" s="3" t="e">
        <v>#N/A</v>
      </c>
      <c r="K29" s="3" t="e">
        <v>#N/A</v>
      </c>
      <c r="L29" s="3" t="e">
        <v>#N/A</v>
      </c>
      <c r="M29" s="3" t="e">
        <v>#N/A</v>
      </c>
      <c r="N29" s="3" t="e">
        <v>#N/A</v>
      </c>
      <c r="O29" s="3" t="e">
        <v>#N/A</v>
      </c>
      <c r="P29" s="3" t="e">
        <v>#N/A</v>
      </c>
      <c r="Q29" s="3" t="e">
        <v>#N/A</v>
      </c>
      <c r="R29" s="3" t="e">
        <v>#N/A</v>
      </c>
      <c r="S29" s="3" t="e">
        <v>#N/A</v>
      </c>
      <c r="T29" s="3" t="e">
        <v>#N/A</v>
      </c>
      <c r="U29" s="3" t="e">
        <v>#N/A</v>
      </c>
      <c r="V29" s="3" t="e">
        <v>#N/A</v>
      </c>
      <c r="W29" s="3" t="e">
        <v>#N/A</v>
      </c>
      <c r="X29" s="3" t="e">
        <v>#N/A</v>
      </c>
      <c r="Y29" s="3" t="e">
        <v>#N/A</v>
      </c>
      <c r="Z29" s="3" t="e">
        <v>#N/A</v>
      </c>
      <c r="AA29" s="3" t="e">
        <v>#N/A</v>
      </c>
      <c r="AB29" s="3" t="e">
        <v>#N/A</v>
      </c>
      <c r="AC29" s="3" t="e">
        <v>#N/A</v>
      </c>
      <c r="AD29" s="3" t="e">
        <v>#N/A</v>
      </c>
      <c r="AE29" s="3" t="e">
        <v>#N/A</v>
      </c>
      <c r="AF29" s="3" t="e">
        <v>#N/A</v>
      </c>
      <c r="AG29" s="3" t="e">
        <v>#N/A</v>
      </c>
      <c r="AH29" s="3" t="e">
        <v>#N/A</v>
      </c>
      <c r="AI29" s="3" t="e">
        <v>#N/A</v>
      </c>
      <c r="AJ29" s="3" t="e">
        <v>#N/A</v>
      </c>
      <c r="AK29" s="3" t="e">
        <v>#N/A</v>
      </c>
      <c r="AL29" s="3" t="e">
        <v>#N/A</v>
      </c>
      <c r="AM29" s="3" t="e">
        <v>#N/A</v>
      </c>
      <c r="AN29" s="3" t="e">
        <v>#N/A</v>
      </c>
      <c r="AO29" s="3" t="e">
        <v>#N/A</v>
      </c>
      <c r="AP29" s="3" t="e">
        <v>#N/A</v>
      </c>
      <c r="AQ29" s="3" t="e">
        <v>#N/A</v>
      </c>
      <c r="AR29" s="3" t="e">
        <v>#N/A</v>
      </c>
      <c r="AS29" s="3" t="e">
        <v>#N/A</v>
      </c>
      <c r="AT29" s="3" t="e">
        <v>#N/A</v>
      </c>
      <c r="AU29" s="3" t="e">
        <v>#N/A</v>
      </c>
      <c r="AV29" s="3" t="e">
        <v>#N/A</v>
      </c>
      <c r="AW29" s="3" t="e">
        <v>#N/A</v>
      </c>
      <c r="AX29" s="3" t="e">
        <v>#N/A</v>
      </c>
      <c r="AY29" s="3" t="e">
        <v>#N/A</v>
      </c>
      <c r="AZ29" s="3" t="e">
        <v>#N/A</v>
      </c>
      <c r="BA29" s="3" t="e">
        <v>#N/A</v>
      </c>
      <c r="BB29" s="3" t="e">
        <v>#N/A</v>
      </c>
      <c r="BC29" s="3">
        <v>1.9</v>
      </c>
      <c r="BD29" s="3">
        <v>1.9</v>
      </c>
      <c r="BE29" s="3">
        <v>2.4</v>
      </c>
      <c r="BF29" s="3">
        <v>2.5</v>
      </c>
      <c r="BG29" s="3">
        <v>2.8</v>
      </c>
      <c r="BH29" s="3">
        <v>2.9</v>
      </c>
      <c r="BI29" s="3">
        <v>2.1</v>
      </c>
      <c r="BJ29" s="3">
        <v>1.6</v>
      </c>
      <c r="BK29" s="3">
        <v>1.3</v>
      </c>
      <c r="BL29" s="3">
        <v>0.7</v>
      </c>
      <c r="BM29" s="3">
        <v>1.4</v>
      </c>
      <c r="BN29" s="3">
        <v>1.5</v>
      </c>
      <c r="BO29" s="3">
        <v>1.9</v>
      </c>
      <c r="BP29" s="3">
        <v>1.8</v>
      </c>
      <c r="BQ29" s="3">
        <v>-1.7</v>
      </c>
      <c r="BR29" s="3">
        <v>-21.9</v>
      </c>
      <c r="BS29" s="3">
        <v>-9.5</v>
      </c>
      <c r="BT29" s="3">
        <v>-8.3000000000000007</v>
      </c>
      <c r="BU29" s="3">
        <v>-6.7</v>
      </c>
      <c r="BV29" s="3">
        <v>25.7</v>
      </c>
      <c r="BW29" s="3">
        <v>9.5</v>
      </c>
      <c r="BX29" s="3">
        <v>9.6999999999999993</v>
      </c>
      <c r="BY29" s="3">
        <v>11.4</v>
      </c>
      <c r="BZ29" s="3">
        <v>3.9</v>
      </c>
      <c r="CA29" s="3">
        <v>2.1</v>
      </c>
      <c r="CB29" s="3">
        <v>0.6</v>
      </c>
      <c r="CC29" s="3">
        <v>0.3</v>
      </c>
      <c r="CD29" s="3">
        <v>0.2</v>
      </c>
      <c r="CE29" s="3">
        <v>0.2</v>
      </c>
      <c r="CF29" s="3">
        <v>-0.2</v>
      </c>
    </row>
    <row r="30" spans="1:84" x14ac:dyDescent="0.35">
      <c r="A30" s="1"/>
      <c r="B30" s="4">
        <v>45505</v>
      </c>
      <c r="D30" s="5" t="s">
        <v>504</v>
      </c>
      <c r="E30" s="5" t="s">
        <v>668</v>
      </c>
      <c r="F30" s="5" t="s">
        <v>656</v>
      </c>
      <c r="G30" s="5" t="s">
        <v>481</v>
      </c>
      <c r="H30" s="5" t="s">
        <v>1139</v>
      </c>
      <c r="I30" s="3" t="e">
        <v>#N/A</v>
      </c>
      <c r="J30" s="3" t="e">
        <v>#N/A</v>
      </c>
      <c r="K30" s="3" t="e">
        <v>#N/A</v>
      </c>
      <c r="L30" s="3" t="e">
        <v>#N/A</v>
      </c>
      <c r="M30" s="3" t="e">
        <v>#N/A</v>
      </c>
      <c r="N30" s="3" t="e">
        <v>#N/A</v>
      </c>
      <c r="O30" s="3" t="e">
        <v>#N/A</v>
      </c>
      <c r="P30" s="3" t="e">
        <v>#N/A</v>
      </c>
      <c r="Q30" s="3" t="e">
        <v>#N/A</v>
      </c>
      <c r="R30" s="3" t="e">
        <v>#N/A</v>
      </c>
      <c r="S30" s="3" t="e">
        <v>#N/A</v>
      </c>
      <c r="T30" s="3" t="e">
        <v>#N/A</v>
      </c>
      <c r="U30" s="3" t="e">
        <v>#N/A</v>
      </c>
      <c r="V30" s="3" t="e">
        <v>#N/A</v>
      </c>
      <c r="W30" s="3" t="e">
        <v>#N/A</v>
      </c>
      <c r="X30" s="3" t="e">
        <v>#N/A</v>
      </c>
      <c r="Y30" s="3" t="e">
        <v>#N/A</v>
      </c>
      <c r="Z30" s="3" t="e">
        <v>#N/A</v>
      </c>
      <c r="AA30" s="3" t="e">
        <v>#N/A</v>
      </c>
      <c r="AB30" s="3" t="e">
        <v>#N/A</v>
      </c>
      <c r="AC30" s="3" t="e">
        <v>#N/A</v>
      </c>
      <c r="AD30" s="3" t="e">
        <v>#N/A</v>
      </c>
      <c r="AE30" s="3" t="e">
        <v>#N/A</v>
      </c>
      <c r="AF30" s="3" t="e">
        <v>#N/A</v>
      </c>
      <c r="AG30" s="3" t="e">
        <v>#N/A</v>
      </c>
      <c r="AH30" s="3" t="e">
        <v>#N/A</v>
      </c>
      <c r="AI30" s="3" t="e">
        <v>#N/A</v>
      </c>
      <c r="AJ30" s="3" t="e">
        <v>#N/A</v>
      </c>
      <c r="AK30" s="3" t="e">
        <v>#N/A</v>
      </c>
      <c r="AL30" s="3" t="e">
        <v>#N/A</v>
      </c>
      <c r="AM30" s="3" t="e">
        <v>#N/A</v>
      </c>
      <c r="AN30" s="3" t="e">
        <v>#N/A</v>
      </c>
      <c r="AO30" s="3" t="e">
        <v>#N/A</v>
      </c>
      <c r="AP30" s="3" t="e">
        <v>#N/A</v>
      </c>
      <c r="AQ30" s="3" t="e">
        <v>#N/A</v>
      </c>
      <c r="AR30" s="3" t="e">
        <v>#N/A</v>
      </c>
      <c r="AS30" s="3" t="e">
        <v>#N/A</v>
      </c>
      <c r="AT30" s="3" t="e">
        <v>#N/A</v>
      </c>
      <c r="AU30" s="3" t="e">
        <v>#N/A</v>
      </c>
      <c r="AV30" s="3" t="e">
        <v>#N/A</v>
      </c>
      <c r="AW30" s="3" t="e">
        <v>#N/A</v>
      </c>
      <c r="AX30" s="3" t="e">
        <v>#N/A</v>
      </c>
      <c r="AY30" s="3" t="e">
        <v>#N/A</v>
      </c>
      <c r="AZ30" s="3" t="e">
        <v>#N/A</v>
      </c>
      <c r="BA30" s="3" t="e">
        <v>#N/A</v>
      </c>
      <c r="BB30" s="3" t="e">
        <v>#N/A</v>
      </c>
      <c r="BC30" s="3" t="e">
        <v>#N/A</v>
      </c>
      <c r="BD30" s="3" t="e">
        <v>#N/A</v>
      </c>
      <c r="BE30" s="3" t="e">
        <v>#N/A</v>
      </c>
      <c r="BF30" s="3" t="e">
        <v>#N/A</v>
      </c>
      <c r="BG30" s="3" t="e">
        <v>#N/A</v>
      </c>
      <c r="BH30" s="3" t="e">
        <v>#N/A</v>
      </c>
      <c r="BI30" s="3" t="e">
        <v>#N/A</v>
      </c>
      <c r="BJ30" s="3" t="e">
        <v>#N/A</v>
      </c>
      <c r="BK30" s="3" t="e">
        <v>#N/A</v>
      </c>
      <c r="BL30" s="3" t="e">
        <v>#N/A</v>
      </c>
      <c r="BM30" s="3" t="e">
        <v>#N/A</v>
      </c>
      <c r="BN30" s="3" t="e">
        <v>#N/A</v>
      </c>
      <c r="BO30" s="3" t="e">
        <v>#N/A</v>
      </c>
      <c r="BP30" s="3" t="e">
        <v>#N/A</v>
      </c>
      <c r="BQ30" s="3" t="e">
        <v>#N/A</v>
      </c>
      <c r="BR30" s="3" t="e">
        <v>#N/A</v>
      </c>
      <c r="BS30" s="3" t="e">
        <v>#N/A</v>
      </c>
      <c r="BT30" s="3" t="e">
        <v>#N/A</v>
      </c>
      <c r="BU30" s="3" t="e">
        <v>#N/A</v>
      </c>
      <c r="BV30" s="3" t="e">
        <v>#N/A</v>
      </c>
      <c r="BW30" s="3" t="e">
        <v>#N/A</v>
      </c>
      <c r="BX30" s="3" t="e">
        <v>#N/A</v>
      </c>
      <c r="BY30" s="3" t="e">
        <v>#N/A</v>
      </c>
      <c r="BZ30" s="3" t="e">
        <v>#N/A</v>
      </c>
      <c r="CA30" s="3" t="e">
        <v>#N/A</v>
      </c>
      <c r="CB30" s="3" t="e">
        <v>#N/A</v>
      </c>
      <c r="CC30" s="3" t="e">
        <v>#N/A</v>
      </c>
      <c r="CD30" s="3" t="e">
        <v>#N/A</v>
      </c>
      <c r="CE30" s="3" t="e">
        <v>#N/A</v>
      </c>
      <c r="CF30" s="3" t="e">
        <v>#N/A</v>
      </c>
    </row>
    <row r="31" spans="1:84" x14ac:dyDescent="0.35">
      <c r="A31" s="1"/>
      <c r="B31" s="4">
        <v>45597</v>
      </c>
      <c r="C31" s="17"/>
      <c r="D31" s="5" t="s">
        <v>504</v>
      </c>
      <c r="E31" s="5" t="s">
        <v>668</v>
      </c>
      <c r="F31" s="5" t="s">
        <v>656</v>
      </c>
      <c r="G31" s="5" t="s">
        <v>481</v>
      </c>
      <c r="H31" s="5" t="s">
        <v>1139</v>
      </c>
      <c r="I31" s="3" t="e">
        <v>#N/A</v>
      </c>
      <c r="J31" s="3" t="e">
        <v>#N/A</v>
      </c>
      <c r="K31" s="3" t="e">
        <v>#N/A</v>
      </c>
      <c r="L31" s="3" t="e">
        <v>#N/A</v>
      </c>
      <c r="M31" s="3" t="e">
        <v>#N/A</v>
      </c>
      <c r="N31" s="3" t="e">
        <v>#N/A</v>
      </c>
      <c r="O31" s="3" t="e">
        <v>#N/A</v>
      </c>
      <c r="P31" s="3" t="e">
        <v>#N/A</v>
      </c>
      <c r="Q31" s="3" t="e">
        <v>#N/A</v>
      </c>
      <c r="R31" s="3" t="e">
        <v>#N/A</v>
      </c>
      <c r="S31" s="3" t="e">
        <v>#N/A</v>
      </c>
      <c r="T31" s="3" t="e">
        <v>#N/A</v>
      </c>
      <c r="U31" s="3" t="e">
        <v>#N/A</v>
      </c>
      <c r="V31" s="3" t="e">
        <v>#N/A</v>
      </c>
      <c r="W31" s="3" t="e">
        <v>#N/A</v>
      </c>
      <c r="X31" s="3" t="e">
        <v>#N/A</v>
      </c>
      <c r="Y31" s="3" t="e">
        <v>#N/A</v>
      </c>
      <c r="Z31" s="3" t="e">
        <v>#N/A</v>
      </c>
      <c r="AA31" s="3" t="e">
        <v>#N/A</v>
      </c>
      <c r="AB31" s="3" t="e">
        <v>#N/A</v>
      </c>
      <c r="AC31" s="3" t="e">
        <v>#N/A</v>
      </c>
      <c r="AD31" s="3" t="e">
        <v>#N/A</v>
      </c>
      <c r="AE31" s="3" t="e">
        <v>#N/A</v>
      </c>
      <c r="AF31" s="3" t="e">
        <v>#N/A</v>
      </c>
      <c r="AG31" s="3" t="e">
        <v>#N/A</v>
      </c>
      <c r="AH31" s="3" t="e">
        <v>#N/A</v>
      </c>
      <c r="AI31" s="3" t="e">
        <v>#N/A</v>
      </c>
      <c r="AJ31" s="3" t="e">
        <v>#N/A</v>
      </c>
      <c r="AK31" s="3" t="e">
        <v>#N/A</v>
      </c>
      <c r="AL31" s="3" t="e">
        <v>#N/A</v>
      </c>
      <c r="AM31" s="3" t="e">
        <v>#N/A</v>
      </c>
      <c r="AN31" s="3" t="e">
        <v>#N/A</v>
      </c>
      <c r="AO31" s="3" t="e">
        <v>#N/A</v>
      </c>
      <c r="AP31" s="3" t="e">
        <v>#N/A</v>
      </c>
      <c r="AQ31" s="3" t="e">
        <v>#N/A</v>
      </c>
      <c r="AR31" s="3" t="e">
        <v>#N/A</v>
      </c>
      <c r="AS31" s="3" t="e">
        <v>#N/A</v>
      </c>
      <c r="AT31" s="3" t="e">
        <v>#N/A</v>
      </c>
      <c r="AU31" s="3" t="e">
        <v>#N/A</v>
      </c>
      <c r="AV31" s="3" t="e">
        <v>#N/A</v>
      </c>
      <c r="AW31" s="3" t="e">
        <v>#N/A</v>
      </c>
      <c r="AX31" s="3" t="e">
        <v>#N/A</v>
      </c>
      <c r="AY31" s="3" t="e">
        <v>#N/A</v>
      </c>
      <c r="AZ31" s="3" t="e">
        <v>#N/A</v>
      </c>
      <c r="BA31" s="3" t="e">
        <v>#N/A</v>
      </c>
      <c r="BB31" s="3" t="e">
        <v>#N/A</v>
      </c>
      <c r="BC31" s="3" t="e">
        <v>#N/A</v>
      </c>
      <c r="BD31" s="3" t="e">
        <v>#N/A</v>
      </c>
      <c r="BE31" s="3" t="e">
        <v>#N/A</v>
      </c>
      <c r="BF31" s="3" t="e">
        <v>#N/A</v>
      </c>
      <c r="BG31" s="3" t="e">
        <v>#N/A</v>
      </c>
      <c r="BH31" s="3" t="e">
        <v>#N/A</v>
      </c>
      <c r="BI31" s="3" t="e">
        <v>#N/A</v>
      </c>
      <c r="BJ31" s="3" t="e">
        <v>#N/A</v>
      </c>
      <c r="BK31" s="3" t="e">
        <v>#N/A</v>
      </c>
      <c r="BL31" s="3" t="e">
        <v>#N/A</v>
      </c>
      <c r="BM31" s="3" t="e">
        <v>#N/A</v>
      </c>
      <c r="BN31" s="3" t="e">
        <v>#N/A</v>
      </c>
      <c r="BO31" s="3" t="e">
        <v>#N/A</v>
      </c>
      <c r="BP31" s="3" t="e">
        <v>#N/A</v>
      </c>
      <c r="BQ31" s="3" t="e">
        <v>#N/A</v>
      </c>
      <c r="BR31" s="3" t="e">
        <v>#N/A</v>
      </c>
      <c r="BS31" s="3" t="e">
        <v>#N/A</v>
      </c>
      <c r="BT31" s="3" t="e">
        <v>#N/A</v>
      </c>
      <c r="BU31" s="3" t="e">
        <v>#N/A</v>
      </c>
      <c r="BV31" s="3" t="e">
        <v>#N/A</v>
      </c>
      <c r="BW31" s="3" t="e">
        <v>#N/A</v>
      </c>
      <c r="BX31" s="3" t="e">
        <v>#N/A</v>
      </c>
      <c r="BY31" s="3" t="e">
        <v>#N/A</v>
      </c>
      <c r="BZ31" s="3" t="e">
        <v>#N/A</v>
      </c>
      <c r="CA31" s="3" t="e">
        <v>#N/A</v>
      </c>
      <c r="CB31" s="3" t="e">
        <v>#N/A</v>
      </c>
      <c r="CC31" s="3" t="e">
        <v>#N/A</v>
      </c>
      <c r="CD31" s="3" t="e">
        <v>#N/A</v>
      </c>
      <c r="CE31" s="3" t="e">
        <v>#N/A</v>
      </c>
      <c r="CF31" s="3" t="e">
        <v>#N/A</v>
      </c>
    </row>
    <row r="32" spans="1:84" x14ac:dyDescent="0.35">
      <c r="A32" s="1" t="s">
        <v>74</v>
      </c>
      <c r="B32" s="2">
        <v>42856</v>
      </c>
      <c r="C32" s="5" t="s">
        <v>75</v>
      </c>
      <c r="D32" t="s">
        <v>507</v>
      </c>
      <c r="E32" t="s">
        <v>486</v>
      </c>
      <c r="F32" t="s">
        <v>506</v>
      </c>
      <c r="G32" t="s">
        <v>1009</v>
      </c>
      <c r="H32" t="s">
        <v>505</v>
      </c>
      <c r="I32" s="3" t="e">
        <v>#N/A</v>
      </c>
      <c r="J32" s="3" t="e">
        <v>#N/A</v>
      </c>
      <c r="K32" s="3" t="e">
        <v>#N/A</v>
      </c>
      <c r="L32" s="3" t="e">
        <v>#N/A</v>
      </c>
      <c r="M32" s="3" t="e">
        <v>#N/A</v>
      </c>
      <c r="N32" s="3" t="e">
        <v>#N/A</v>
      </c>
      <c r="O32" s="3" t="e">
        <v>#N/A</v>
      </c>
      <c r="P32" s="3" t="e">
        <v>#N/A</v>
      </c>
      <c r="Q32" s="3" t="e">
        <v>#N/A</v>
      </c>
      <c r="R32" s="3" t="e">
        <v>#N/A</v>
      </c>
      <c r="S32" s="3" t="e">
        <v>#N/A</v>
      </c>
      <c r="T32" s="3" t="e">
        <v>#N/A</v>
      </c>
      <c r="U32" s="3" t="e">
        <v>#N/A</v>
      </c>
      <c r="V32" s="3" t="e">
        <v>#N/A</v>
      </c>
      <c r="W32" s="3" t="e">
        <v>#N/A</v>
      </c>
      <c r="X32" s="3" t="e">
        <v>#N/A</v>
      </c>
      <c r="Y32" s="3" t="e">
        <v>#N/A</v>
      </c>
      <c r="Z32" s="3" t="e">
        <v>#N/A</v>
      </c>
      <c r="AA32" s="3" t="e">
        <v>#N/A</v>
      </c>
      <c r="AB32" s="3" t="e">
        <v>#N/A</v>
      </c>
      <c r="AC32" s="3" t="e">
        <v>#N/A</v>
      </c>
      <c r="AD32" s="3" t="e">
        <v>#N/A</v>
      </c>
      <c r="AE32" s="3" t="e">
        <v>#N/A</v>
      </c>
      <c r="AF32" s="3" t="e">
        <v>#N/A</v>
      </c>
      <c r="AG32" s="3" t="e">
        <v>#N/A</v>
      </c>
      <c r="AH32" s="3" t="e">
        <v>#N/A</v>
      </c>
      <c r="AI32" s="3" t="e">
        <v>#N/A</v>
      </c>
      <c r="AJ32" s="3" t="e">
        <v>#N/A</v>
      </c>
      <c r="AK32" s="3" t="e">
        <v>#N/A</v>
      </c>
      <c r="AL32" s="3" t="e">
        <v>#N/A</v>
      </c>
      <c r="AM32" s="3" t="e">
        <v>#N/A</v>
      </c>
      <c r="AN32" s="3" t="e">
        <v>#N/A</v>
      </c>
      <c r="AO32" s="3" t="e">
        <v>#N/A</v>
      </c>
      <c r="AP32" s="3" t="e">
        <v>#N/A</v>
      </c>
      <c r="AQ32" s="3" t="e">
        <v>#N/A</v>
      </c>
      <c r="AR32" s="3" t="e">
        <v>#N/A</v>
      </c>
      <c r="AS32" s="3" t="e">
        <v>#N/A</v>
      </c>
      <c r="AT32" s="3" t="e">
        <v>#N/A</v>
      </c>
      <c r="AU32" s="3" t="e">
        <v>#N/A</v>
      </c>
      <c r="AV32" s="3" t="e">
        <v>#N/A</v>
      </c>
      <c r="AW32" s="3" t="e">
        <v>#N/A</v>
      </c>
      <c r="AX32" s="3" t="e">
        <v>#N/A</v>
      </c>
      <c r="AY32" s="3" t="e">
        <v>#N/A</v>
      </c>
      <c r="AZ32" s="3" t="e">
        <v>#N/A</v>
      </c>
      <c r="BA32" s="3" t="e">
        <v>#N/A</v>
      </c>
      <c r="BB32" s="3" t="e">
        <v>#N/A</v>
      </c>
      <c r="BC32" s="3" t="e">
        <v>#N/A</v>
      </c>
      <c r="BD32" s="3" t="e">
        <v>#N/A</v>
      </c>
      <c r="BE32" s="3" t="e">
        <v>#N/A</v>
      </c>
      <c r="BF32" s="3">
        <v>2.0499999999999998</v>
      </c>
      <c r="BG32" s="3">
        <v>1.9</v>
      </c>
      <c r="BH32" s="3">
        <v>1.64</v>
      </c>
      <c r="BI32" s="3">
        <v>1.65</v>
      </c>
      <c r="BJ32" s="3">
        <v>1.7</v>
      </c>
      <c r="BK32" s="3">
        <v>1.75</v>
      </c>
      <c r="BL32" s="3">
        <v>1.79</v>
      </c>
      <c r="BM32" s="3">
        <v>1.8</v>
      </c>
      <c r="BN32" s="3">
        <v>1.79</v>
      </c>
      <c r="BO32" s="3">
        <v>1.79</v>
      </c>
      <c r="BP32" s="3">
        <v>1.79</v>
      </c>
      <c r="BQ32" s="3">
        <v>1.78</v>
      </c>
      <c r="BR32" s="3">
        <v>1.78</v>
      </c>
    </row>
    <row r="33" spans="1:87" x14ac:dyDescent="0.35">
      <c r="B33" s="2">
        <v>42948</v>
      </c>
      <c r="C33" s="5" t="s">
        <v>76</v>
      </c>
      <c r="D33" t="s">
        <v>510</v>
      </c>
      <c r="E33" t="s">
        <v>490</v>
      </c>
      <c r="F33" t="s">
        <v>509</v>
      </c>
      <c r="G33" t="s">
        <v>1009</v>
      </c>
      <c r="H33" t="s">
        <v>508</v>
      </c>
      <c r="I33" s="3" t="e">
        <v>#N/A</v>
      </c>
      <c r="J33" s="3" t="e">
        <v>#N/A</v>
      </c>
      <c r="K33" s="3" t="e">
        <v>#N/A</v>
      </c>
      <c r="L33" s="3" t="e">
        <v>#N/A</v>
      </c>
      <c r="M33" s="3" t="e">
        <v>#N/A</v>
      </c>
      <c r="N33" s="3" t="e">
        <v>#N/A</v>
      </c>
      <c r="O33" s="3" t="e">
        <v>#N/A</v>
      </c>
      <c r="P33" s="3" t="e">
        <v>#N/A</v>
      </c>
      <c r="Q33" s="3" t="e">
        <v>#N/A</v>
      </c>
      <c r="R33" s="3" t="e">
        <v>#N/A</v>
      </c>
      <c r="S33" s="3" t="e">
        <v>#N/A</v>
      </c>
      <c r="T33" s="3" t="e">
        <v>#N/A</v>
      </c>
      <c r="U33" s="3" t="e">
        <v>#N/A</v>
      </c>
      <c r="V33" s="3" t="e">
        <v>#N/A</v>
      </c>
      <c r="W33" s="3" t="e">
        <v>#N/A</v>
      </c>
      <c r="X33" s="3" t="e">
        <v>#N/A</v>
      </c>
      <c r="Y33" s="3" t="e">
        <v>#N/A</v>
      </c>
      <c r="Z33" s="3" t="e">
        <v>#N/A</v>
      </c>
      <c r="AA33" s="3" t="e">
        <v>#N/A</v>
      </c>
      <c r="AB33" s="3" t="e">
        <v>#N/A</v>
      </c>
      <c r="AC33" s="3" t="e">
        <v>#N/A</v>
      </c>
      <c r="AD33" s="3" t="e">
        <v>#N/A</v>
      </c>
      <c r="AE33" s="3" t="e">
        <v>#N/A</v>
      </c>
      <c r="AF33" s="3" t="e">
        <v>#N/A</v>
      </c>
      <c r="AG33" s="3" t="e">
        <v>#N/A</v>
      </c>
      <c r="AH33" s="3" t="e">
        <v>#N/A</v>
      </c>
      <c r="AI33" s="3" t="e">
        <v>#N/A</v>
      </c>
      <c r="AJ33" s="3" t="e">
        <v>#N/A</v>
      </c>
      <c r="AK33" s="3" t="e">
        <v>#N/A</v>
      </c>
      <c r="AL33" s="3" t="e">
        <v>#N/A</v>
      </c>
      <c r="AM33" s="3" t="e">
        <v>#N/A</v>
      </c>
      <c r="AN33" s="3" t="e">
        <v>#N/A</v>
      </c>
      <c r="AO33" s="3" t="e">
        <v>#N/A</v>
      </c>
      <c r="AP33" s="3" t="e">
        <v>#N/A</v>
      </c>
      <c r="AQ33" s="3" t="e">
        <v>#N/A</v>
      </c>
      <c r="AR33" s="3" t="e">
        <v>#N/A</v>
      </c>
      <c r="AS33" s="3" t="e">
        <v>#N/A</v>
      </c>
      <c r="AT33" s="3" t="e">
        <v>#N/A</v>
      </c>
      <c r="AU33" s="3" t="e">
        <v>#N/A</v>
      </c>
      <c r="AV33" s="3" t="e">
        <v>#N/A</v>
      </c>
      <c r="AW33" s="3" t="e">
        <v>#N/A</v>
      </c>
      <c r="AX33" s="3" t="e">
        <v>#N/A</v>
      </c>
      <c r="AY33" s="3" t="e">
        <v>#N/A</v>
      </c>
      <c r="AZ33" s="3" t="e">
        <v>#N/A</v>
      </c>
      <c r="BA33" s="3" t="e">
        <v>#N/A</v>
      </c>
      <c r="BB33" s="3" t="e">
        <v>#N/A</v>
      </c>
      <c r="BC33" s="3" t="e">
        <v>#N/A</v>
      </c>
      <c r="BD33" s="3" t="e">
        <v>#N/A</v>
      </c>
      <c r="BE33" s="3" t="e">
        <v>#N/A</v>
      </c>
      <c r="BF33" s="3" t="e">
        <v>#N/A</v>
      </c>
      <c r="BG33" s="3">
        <v>1.57</v>
      </c>
      <c r="BH33" s="3">
        <v>1.32</v>
      </c>
      <c r="BI33" s="3">
        <v>1.39</v>
      </c>
      <c r="BJ33" s="3">
        <v>1.54</v>
      </c>
      <c r="BK33" s="3">
        <v>1.69</v>
      </c>
      <c r="BL33" s="3">
        <v>1.78</v>
      </c>
      <c r="BM33" s="3">
        <v>1.79</v>
      </c>
      <c r="BN33" s="3">
        <v>1.77</v>
      </c>
      <c r="BO33" s="3">
        <v>1.76</v>
      </c>
      <c r="BP33" s="3">
        <v>1.75</v>
      </c>
      <c r="BQ33" s="3">
        <v>1.76</v>
      </c>
      <c r="BR33" s="3">
        <v>1.77</v>
      </c>
      <c r="BS33" s="3">
        <v>1.79</v>
      </c>
    </row>
    <row r="34" spans="1:87" x14ac:dyDescent="0.35">
      <c r="B34" s="4">
        <v>43040</v>
      </c>
      <c r="C34" s="5" t="s">
        <v>77</v>
      </c>
      <c r="D34" t="s">
        <v>513</v>
      </c>
      <c r="E34" t="s">
        <v>494</v>
      </c>
      <c r="F34" t="s">
        <v>512</v>
      </c>
      <c r="G34" t="s">
        <v>1009</v>
      </c>
      <c r="H34" t="s">
        <v>511</v>
      </c>
      <c r="I34" s="3" t="e">
        <v>#N/A</v>
      </c>
      <c r="J34" s="3" t="e">
        <v>#N/A</v>
      </c>
      <c r="K34" s="3" t="e">
        <v>#N/A</v>
      </c>
      <c r="L34" s="3" t="e">
        <v>#N/A</v>
      </c>
      <c r="M34" s="3" t="e">
        <v>#N/A</v>
      </c>
      <c r="N34" s="3" t="e">
        <v>#N/A</v>
      </c>
      <c r="O34" s="3" t="e">
        <v>#N/A</v>
      </c>
      <c r="P34" s="3" t="e">
        <v>#N/A</v>
      </c>
      <c r="Q34" s="3" t="e">
        <v>#N/A</v>
      </c>
      <c r="R34" s="3" t="e">
        <v>#N/A</v>
      </c>
      <c r="S34" s="3" t="e">
        <v>#N/A</v>
      </c>
      <c r="T34" s="3" t="e">
        <v>#N/A</v>
      </c>
      <c r="U34" s="3" t="e">
        <v>#N/A</v>
      </c>
      <c r="V34" s="3" t="e">
        <v>#N/A</v>
      </c>
      <c r="W34" s="3" t="e">
        <v>#N/A</v>
      </c>
      <c r="X34" s="3" t="e">
        <v>#N/A</v>
      </c>
      <c r="Y34" s="3" t="e">
        <v>#N/A</v>
      </c>
      <c r="Z34" s="3" t="e">
        <v>#N/A</v>
      </c>
      <c r="AA34" s="3" t="e">
        <v>#N/A</v>
      </c>
      <c r="AB34" s="3" t="e">
        <v>#N/A</v>
      </c>
      <c r="AC34" s="3" t="e">
        <v>#N/A</v>
      </c>
      <c r="AD34" s="3" t="e">
        <v>#N/A</v>
      </c>
      <c r="AE34" s="3" t="e">
        <v>#N/A</v>
      </c>
      <c r="AF34" s="3" t="e">
        <v>#N/A</v>
      </c>
      <c r="AG34" s="3" t="e">
        <v>#N/A</v>
      </c>
      <c r="AH34" s="3" t="e">
        <v>#N/A</v>
      </c>
      <c r="AI34" s="3" t="e">
        <v>#N/A</v>
      </c>
      <c r="AJ34" s="3" t="e">
        <v>#N/A</v>
      </c>
      <c r="AK34" s="3" t="e">
        <v>#N/A</v>
      </c>
      <c r="AL34" s="3" t="e">
        <v>#N/A</v>
      </c>
      <c r="AM34" s="3" t="e">
        <v>#N/A</v>
      </c>
      <c r="AN34" s="3" t="e">
        <v>#N/A</v>
      </c>
      <c r="AO34" s="3" t="e">
        <v>#N/A</v>
      </c>
      <c r="AP34" s="3" t="e">
        <v>#N/A</v>
      </c>
      <c r="AQ34" s="3" t="e">
        <v>#N/A</v>
      </c>
      <c r="AR34" s="3" t="e">
        <v>#N/A</v>
      </c>
      <c r="AS34" s="3" t="e">
        <v>#N/A</v>
      </c>
      <c r="AT34" s="3" t="e">
        <v>#N/A</v>
      </c>
      <c r="AU34" s="3" t="e">
        <v>#N/A</v>
      </c>
      <c r="AV34" s="3" t="e">
        <v>#N/A</v>
      </c>
      <c r="AW34" s="3" t="e">
        <v>#N/A</v>
      </c>
      <c r="AX34" s="3" t="e">
        <v>#N/A</v>
      </c>
      <c r="AY34" s="3" t="e">
        <v>#N/A</v>
      </c>
      <c r="AZ34" s="3" t="e">
        <v>#N/A</v>
      </c>
      <c r="BA34" s="3" t="e">
        <v>#N/A</v>
      </c>
      <c r="BB34" s="3" t="e">
        <v>#N/A</v>
      </c>
      <c r="BC34" s="3" t="e">
        <v>#N/A</v>
      </c>
      <c r="BD34" s="3" t="e">
        <v>#N/A</v>
      </c>
      <c r="BE34" s="3" t="e">
        <v>#N/A</v>
      </c>
      <c r="BF34" s="3" t="e">
        <v>#N/A</v>
      </c>
      <c r="BG34" s="3" t="e">
        <v>#N/A</v>
      </c>
      <c r="BH34" s="3">
        <v>1.46</v>
      </c>
      <c r="BI34" s="3">
        <v>1.51</v>
      </c>
      <c r="BJ34" s="3">
        <v>1.65</v>
      </c>
      <c r="BK34" s="3">
        <v>1.68</v>
      </c>
      <c r="BL34" s="3">
        <v>1.71</v>
      </c>
      <c r="BM34" s="3">
        <v>1.72</v>
      </c>
      <c r="BN34" s="3">
        <v>1.71</v>
      </c>
      <c r="BO34" s="3">
        <v>1.69</v>
      </c>
      <c r="BP34" s="3">
        <v>1.67</v>
      </c>
      <c r="BQ34" s="3">
        <v>1.67</v>
      </c>
      <c r="BR34" s="3">
        <v>1.69</v>
      </c>
      <c r="BS34" s="3">
        <v>1.72</v>
      </c>
      <c r="BT34" s="3">
        <v>1.75</v>
      </c>
    </row>
    <row r="35" spans="1:87" x14ac:dyDescent="0.35">
      <c r="B35" s="4">
        <v>43132</v>
      </c>
      <c r="C35" s="5" t="s">
        <v>112</v>
      </c>
      <c r="D35" t="s">
        <v>516</v>
      </c>
      <c r="E35" t="s">
        <v>498</v>
      </c>
      <c r="F35" t="s">
        <v>515</v>
      </c>
      <c r="G35" t="s">
        <v>1009</v>
      </c>
      <c r="H35" t="s">
        <v>514</v>
      </c>
      <c r="I35" s="3" t="e">
        <v>#N/A</v>
      </c>
      <c r="J35" s="3" t="e">
        <v>#N/A</v>
      </c>
      <c r="K35" s="3" t="e">
        <v>#N/A</v>
      </c>
      <c r="L35" s="3" t="e">
        <v>#N/A</v>
      </c>
      <c r="M35" s="3" t="e">
        <v>#N/A</v>
      </c>
      <c r="N35" s="3" t="e">
        <v>#N/A</v>
      </c>
      <c r="O35" s="3" t="e">
        <v>#N/A</v>
      </c>
      <c r="P35" s="3" t="e">
        <v>#N/A</v>
      </c>
      <c r="Q35" s="3" t="e">
        <v>#N/A</v>
      </c>
      <c r="R35" s="3" t="e">
        <v>#N/A</v>
      </c>
      <c r="S35" s="3" t="e">
        <v>#N/A</v>
      </c>
      <c r="T35" s="3" t="e">
        <v>#N/A</v>
      </c>
      <c r="U35" s="3" t="e">
        <v>#N/A</v>
      </c>
      <c r="V35" s="3" t="e">
        <v>#N/A</v>
      </c>
      <c r="W35" s="3" t="e">
        <v>#N/A</v>
      </c>
      <c r="X35" s="3" t="e">
        <v>#N/A</v>
      </c>
      <c r="Y35" s="3" t="e">
        <v>#N/A</v>
      </c>
      <c r="Z35" s="3" t="e">
        <v>#N/A</v>
      </c>
      <c r="AA35" s="3" t="e">
        <v>#N/A</v>
      </c>
      <c r="AB35" s="3" t="e">
        <v>#N/A</v>
      </c>
      <c r="AC35" s="3" t="e">
        <v>#N/A</v>
      </c>
      <c r="AD35" s="3" t="e">
        <v>#N/A</v>
      </c>
      <c r="AE35" s="3" t="e">
        <v>#N/A</v>
      </c>
      <c r="AF35" s="3" t="e">
        <v>#N/A</v>
      </c>
      <c r="AG35" s="3" t="e">
        <v>#N/A</v>
      </c>
      <c r="AH35" s="3" t="e">
        <v>#N/A</v>
      </c>
      <c r="AI35" s="3" t="e">
        <v>#N/A</v>
      </c>
      <c r="AJ35" s="3" t="e">
        <v>#N/A</v>
      </c>
      <c r="AK35" s="3" t="e">
        <v>#N/A</v>
      </c>
      <c r="AL35" s="3" t="e">
        <v>#N/A</v>
      </c>
      <c r="AM35" s="3" t="e">
        <v>#N/A</v>
      </c>
      <c r="AN35" s="3" t="e">
        <v>#N/A</v>
      </c>
      <c r="AO35" s="3" t="e">
        <v>#N/A</v>
      </c>
      <c r="AP35" s="3" t="e">
        <v>#N/A</v>
      </c>
      <c r="AQ35" s="3" t="e">
        <v>#N/A</v>
      </c>
      <c r="AR35" s="3" t="e">
        <v>#N/A</v>
      </c>
      <c r="AS35" s="3" t="e">
        <v>#N/A</v>
      </c>
      <c r="AT35" s="3" t="e">
        <v>#N/A</v>
      </c>
      <c r="AU35" s="3" t="e">
        <v>#N/A</v>
      </c>
      <c r="AV35" s="3" t="e">
        <v>#N/A</v>
      </c>
      <c r="AW35" s="3" t="e">
        <v>#N/A</v>
      </c>
      <c r="AX35" s="3" t="e">
        <v>#N/A</v>
      </c>
      <c r="AY35" s="3" t="e">
        <v>#N/A</v>
      </c>
      <c r="AZ35" s="3" t="e">
        <v>#N/A</v>
      </c>
      <c r="BA35" s="3" t="e">
        <v>#N/A</v>
      </c>
      <c r="BB35" s="3" t="e">
        <v>#N/A</v>
      </c>
      <c r="BC35" s="3" t="e">
        <v>#N/A</v>
      </c>
      <c r="BD35" s="3" t="e">
        <v>#N/A</v>
      </c>
      <c r="BE35" s="3" t="e">
        <v>#N/A</v>
      </c>
      <c r="BF35" s="3" t="e">
        <v>#N/A</v>
      </c>
      <c r="BG35" s="3" t="e">
        <v>#N/A</v>
      </c>
      <c r="BH35" s="3" t="e">
        <v>#N/A</v>
      </c>
      <c r="BI35" s="3">
        <v>1.65</v>
      </c>
      <c r="BJ35" s="3">
        <v>1.8</v>
      </c>
      <c r="BK35" s="3">
        <v>1.86</v>
      </c>
      <c r="BL35" s="3">
        <v>1.79</v>
      </c>
      <c r="BM35" s="3">
        <v>1.77</v>
      </c>
      <c r="BN35" s="3">
        <v>1.73</v>
      </c>
      <c r="BO35" s="3">
        <v>1.69</v>
      </c>
      <c r="BP35" s="3">
        <v>1.67</v>
      </c>
      <c r="BQ35" s="3">
        <v>1.66</v>
      </c>
      <c r="BR35" s="3">
        <v>1.66</v>
      </c>
      <c r="BS35" s="3">
        <v>1.67</v>
      </c>
      <c r="BT35" s="3">
        <v>1.67</v>
      </c>
      <c r="BU35" s="3">
        <v>1.68</v>
      </c>
    </row>
    <row r="36" spans="1:87" x14ac:dyDescent="0.35">
      <c r="A36" s="1"/>
      <c r="B36" s="4">
        <v>43221</v>
      </c>
      <c r="C36" s="5" t="s">
        <v>118</v>
      </c>
      <c r="D36" t="s">
        <v>520</v>
      </c>
      <c r="E36" t="s">
        <v>519</v>
      </c>
      <c r="F36" t="s">
        <v>518</v>
      </c>
      <c r="G36" t="s">
        <v>1009</v>
      </c>
      <c r="H36" t="s">
        <v>517</v>
      </c>
      <c r="I36" s="3" t="e">
        <v>#N/A</v>
      </c>
      <c r="J36" s="3" t="e">
        <v>#N/A</v>
      </c>
      <c r="K36" s="3" t="e">
        <v>#N/A</v>
      </c>
      <c r="L36" s="3" t="e">
        <v>#N/A</v>
      </c>
      <c r="M36" s="3" t="e">
        <v>#N/A</v>
      </c>
      <c r="N36" s="3" t="e">
        <v>#N/A</v>
      </c>
      <c r="O36" s="3" t="e">
        <v>#N/A</v>
      </c>
      <c r="P36" s="3" t="e">
        <v>#N/A</v>
      </c>
      <c r="Q36" s="3" t="e">
        <v>#N/A</v>
      </c>
      <c r="R36" s="3" t="e">
        <v>#N/A</v>
      </c>
      <c r="S36" s="3" t="e">
        <v>#N/A</v>
      </c>
      <c r="T36" s="3" t="e">
        <v>#N/A</v>
      </c>
      <c r="U36" s="3" t="e">
        <v>#N/A</v>
      </c>
      <c r="V36" s="3" t="e">
        <v>#N/A</v>
      </c>
      <c r="W36" s="3" t="e">
        <v>#N/A</v>
      </c>
      <c r="X36" s="3" t="e">
        <v>#N/A</v>
      </c>
      <c r="Y36" s="3" t="e">
        <v>#N/A</v>
      </c>
      <c r="Z36" s="3" t="e">
        <v>#N/A</v>
      </c>
      <c r="AA36" s="3" t="e">
        <v>#N/A</v>
      </c>
      <c r="AB36" s="3" t="e">
        <v>#N/A</v>
      </c>
      <c r="AC36" s="3" t="e">
        <v>#N/A</v>
      </c>
      <c r="AD36" s="3" t="e">
        <v>#N/A</v>
      </c>
      <c r="AE36" s="3" t="e">
        <v>#N/A</v>
      </c>
      <c r="AF36" s="3" t="e">
        <v>#N/A</v>
      </c>
      <c r="AG36" s="3" t="e">
        <v>#N/A</v>
      </c>
      <c r="AH36" s="3" t="e">
        <v>#N/A</v>
      </c>
      <c r="AI36" s="3" t="e">
        <v>#N/A</v>
      </c>
      <c r="AJ36" s="3" t="e">
        <v>#N/A</v>
      </c>
      <c r="AK36" s="3" t="e">
        <v>#N/A</v>
      </c>
      <c r="AL36" s="3" t="e">
        <v>#N/A</v>
      </c>
      <c r="AM36" s="3" t="e">
        <v>#N/A</v>
      </c>
      <c r="AN36" s="3" t="e">
        <v>#N/A</v>
      </c>
      <c r="AO36" s="3" t="e">
        <v>#N/A</v>
      </c>
      <c r="AP36" s="3" t="e">
        <v>#N/A</v>
      </c>
      <c r="AQ36" s="3" t="e">
        <v>#N/A</v>
      </c>
      <c r="AR36" s="3" t="e">
        <v>#N/A</v>
      </c>
      <c r="AS36" s="3" t="e">
        <v>#N/A</v>
      </c>
      <c r="AT36" s="3" t="e">
        <v>#N/A</v>
      </c>
      <c r="AU36" s="3" t="e">
        <v>#N/A</v>
      </c>
      <c r="AV36" s="3" t="e">
        <v>#N/A</v>
      </c>
      <c r="AW36" s="3" t="e">
        <v>#N/A</v>
      </c>
      <c r="AX36" s="3" t="e">
        <v>#N/A</v>
      </c>
      <c r="AY36" s="3" t="e">
        <v>#N/A</v>
      </c>
      <c r="AZ36" s="3" t="e">
        <v>#N/A</v>
      </c>
      <c r="BA36" s="3" t="e">
        <v>#N/A</v>
      </c>
      <c r="BB36" s="3" t="e">
        <v>#N/A</v>
      </c>
      <c r="BC36" s="3" t="e">
        <v>#N/A</v>
      </c>
      <c r="BD36" s="3" t="e">
        <v>#N/A</v>
      </c>
      <c r="BE36" s="3" t="e">
        <v>#N/A</v>
      </c>
      <c r="BF36" s="3" t="e">
        <v>#N/A</v>
      </c>
      <c r="BG36" s="3" t="e">
        <v>#N/A</v>
      </c>
      <c r="BH36" s="3" t="e">
        <v>#N/A</v>
      </c>
      <c r="BI36" s="3" t="e">
        <v>#N/A</v>
      </c>
      <c r="BJ36" s="3">
        <v>1.41</v>
      </c>
      <c r="BK36" s="3">
        <v>1.39</v>
      </c>
      <c r="BL36" s="3">
        <v>1.44</v>
      </c>
      <c r="BM36" s="3">
        <v>1.77</v>
      </c>
      <c r="BN36" s="3">
        <v>1.74</v>
      </c>
      <c r="BO36" s="3">
        <v>1.71</v>
      </c>
      <c r="BP36" s="3">
        <v>1.7</v>
      </c>
      <c r="BQ36" s="3">
        <v>1.71</v>
      </c>
      <c r="BR36" s="3">
        <v>1.72</v>
      </c>
      <c r="BS36" s="3">
        <v>1.71</v>
      </c>
      <c r="BT36" s="3">
        <v>1.7</v>
      </c>
      <c r="BU36" s="3">
        <v>1.71</v>
      </c>
      <c r="BV36" s="3">
        <v>1.72</v>
      </c>
    </row>
    <row r="37" spans="1:87" x14ac:dyDescent="0.35">
      <c r="A37" s="1"/>
      <c r="B37" s="4">
        <v>43313</v>
      </c>
      <c r="C37" s="5" t="s">
        <v>476</v>
      </c>
      <c r="D37" t="s">
        <v>524</v>
      </c>
      <c r="E37" t="s">
        <v>523</v>
      </c>
      <c r="F37" t="s">
        <v>522</v>
      </c>
      <c r="G37" t="s">
        <v>1009</v>
      </c>
      <c r="H37" t="s">
        <v>521</v>
      </c>
      <c r="I37" s="3" t="e">
        <v>#N/A</v>
      </c>
      <c r="J37" s="3" t="e">
        <v>#N/A</v>
      </c>
      <c r="K37" s="3" t="e">
        <v>#N/A</v>
      </c>
      <c r="L37" s="3" t="e">
        <v>#N/A</v>
      </c>
      <c r="M37" s="3" t="e">
        <v>#N/A</v>
      </c>
      <c r="N37" s="3" t="e">
        <v>#N/A</v>
      </c>
      <c r="O37" s="3" t="e">
        <v>#N/A</v>
      </c>
      <c r="P37" s="3" t="e">
        <v>#N/A</v>
      </c>
      <c r="Q37" s="3" t="e">
        <v>#N/A</v>
      </c>
      <c r="R37" s="3" t="e">
        <v>#N/A</v>
      </c>
      <c r="S37" s="3" t="e">
        <v>#N/A</v>
      </c>
      <c r="T37" s="3" t="e">
        <v>#N/A</v>
      </c>
      <c r="U37" s="3" t="e">
        <v>#N/A</v>
      </c>
      <c r="V37" s="3" t="e">
        <v>#N/A</v>
      </c>
      <c r="W37" s="3" t="e">
        <v>#N/A</v>
      </c>
      <c r="X37" s="3" t="e">
        <v>#N/A</v>
      </c>
      <c r="Y37" s="3" t="e">
        <v>#N/A</v>
      </c>
      <c r="Z37" s="3" t="e">
        <v>#N/A</v>
      </c>
      <c r="AA37" s="3" t="e">
        <v>#N/A</v>
      </c>
      <c r="AB37" s="3" t="e">
        <v>#N/A</v>
      </c>
      <c r="AC37" s="3" t="e">
        <v>#N/A</v>
      </c>
      <c r="AD37" s="3" t="e">
        <v>#N/A</v>
      </c>
      <c r="AE37" s="3" t="e">
        <v>#N/A</v>
      </c>
      <c r="AF37" s="3" t="e">
        <v>#N/A</v>
      </c>
      <c r="AG37" s="3" t="e">
        <v>#N/A</v>
      </c>
      <c r="AH37" s="3" t="e">
        <v>#N/A</v>
      </c>
      <c r="AI37" s="3" t="e">
        <v>#N/A</v>
      </c>
      <c r="AJ37" s="3" t="e">
        <v>#N/A</v>
      </c>
      <c r="AK37" s="3" t="e">
        <v>#N/A</v>
      </c>
      <c r="AL37" s="3" t="e">
        <v>#N/A</v>
      </c>
      <c r="AM37" s="3" t="e">
        <v>#N/A</v>
      </c>
      <c r="AN37" s="3" t="e">
        <v>#N/A</v>
      </c>
      <c r="AO37" s="3" t="e">
        <v>#N/A</v>
      </c>
      <c r="AP37" s="3" t="e">
        <v>#N/A</v>
      </c>
      <c r="AQ37" s="3" t="e">
        <v>#N/A</v>
      </c>
      <c r="AR37" s="3" t="e">
        <v>#N/A</v>
      </c>
      <c r="AS37" s="3" t="e">
        <v>#N/A</v>
      </c>
      <c r="AT37" s="3" t="e">
        <v>#N/A</v>
      </c>
      <c r="AU37" s="3" t="e">
        <v>#N/A</v>
      </c>
      <c r="AV37" s="3" t="e">
        <v>#N/A</v>
      </c>
      <c r="AW37" s="3" t="e">
        <v>#N/A</v>
      </c>
      <c r="AX37" s="3" t="e">
        <v>#N/A</v>
      </c>
      <c r="AY37" s="3" t="e">
        <v>#N/A</v>
      </c>
      <c r="AZ37" s="3" t="e">
        <v>#N/A</v>
      </c>
      <c r="BA37" s="3" t="e">
        <v>#N/A</v>
      </c>
      <c r="BB37" s="3" t="e">
        <v>#N/A</v>
      </c>
      <c r="BC37" s="3" t="e">
        <v>#N/A</v>
      </c>
      <c r="BD37" s="3" t="e">
        <v>#N/A</v>
      </c>
      <c r="BE37" s="3" t="e">
        <v>#N/A</v>
      </c>
      <c r="BF37" s="3" t="e">
        <v>#N/A</v>
      </c>
      <c r="BG37" s="3" t="e">
        <v>#N/A</v>
      </c>
      <c r="BH37" s="3" t="e">
        <v>#N/A</v>
      </c>
      <c r="BI37" s="3" t="e">
        <v>#N/A</v>
      </c>
      <c r="BJ37" s="3" t="e">
        <v>#N/A</v>
      </c>
      <c r="BK37" s="3">
        <v>1.46</v>
      </c>
      <c r="BL37" s="3">
        <v>1.54</v>
      </c>
      <c r="BM37" s="3">
        <v>1.75</v>
      </c>
      <c r="BN37" s="3">
        <v>1.78</v>
      </c>
      <c r="BO37" s="3">
        <v>1.77</v>
      </c>
      <c r="BP37" s="3">
        <v>1.77</v>
      </c>
      <c r="BQ37" s="3">
        <v>1.75</v>
      </c>
      <c r="BR37" s="3">
        <v>1.72</v>
      </c>
      <c r="BS37" s="3">
        <v>1.7</v>
      </c>
      <c r="BT37" s="3">
        <v>1.68</v>
      </c>
      <c r="BU37" s="3">
        <v>1.67</v>
      </c>
      <c r="BV37" s="3">
        <v>1.67</v>
      </c>
      <c r="BW37" s="3">
        <v>1.68</v>
      </c>
    </row>
    <row r="38" spans="1:87" x14ac:dyDescent="0.35">
      <c r="A38" s="1"/>
      <c r="B38" s="4">
        <v>43405</v>
      </c>
      <c r="C38" s="5" t="s">
        <v>575</v>
      </c>
      <c r="D38" t="s">
        <v>568</v>
      </c>
      <c r="E38" t="s">
        <v>567</v>
      </c>
      <c r="F38" t="s">
        <v>555</v>
      </c>
      <c r="G38" t="s">
        <v>1009</v>
      </c>
      <c r="H38" t="s">
        <v>566</v>
      </c>
      <c r="I38" s="3" t="e">
        <v>#N/A</v>
      </c>
      <c r="J38" s="3" t="e">
        <v>#N/A</v>
      </c>
      <c r="K38" s="3" t="e">
        <v>#N/A</v>
      </c>
      <c r="L38" s="3" t="e">
        <v>#N/A</v>
      </c>
      <c r="M38" s="3" t="e">
        <v>#N/A</v>
      </c>
      <c r="N38" s="3" t="e">
        <v>#N/A</v>
      </c>
      <c r="O38" s="3" t="e">
        <v>#N/A</v>
      </c>
      <c r="P38" s="3" t="e">
        <v>#N/A</v>
      </c>
      <c r="Q38" s="3" t="e">
        <v>#N/A</v>
      </c>
      <c r="R38" s="3" t="e">
        <v>#N/A</v>
      </c>
      <c r="S38" s="3" t="e">
        <v>#N/A</v>
      </c>
      <c r="T38" s="3" t="e">
        <v>#N/A</v>
      </c>
      <c r="U38" s="3" t="e">
        <v>#N/A</v>
      </c>
      <c r="V38" s="3" t="e">
        <v>#N/A</v>
      </c>
      <c r="W38" s="3" t="e">
        <v>#N/A</v>
      </c>
      <c r="X38" s="3" t="e">
        <v>#N/A</v>
      </c>
      <c r="Y38" s="3" t="e">
        <v>#N/A</v>
      </c>
      <c r="Z38" s="3" t="e">
        <v>#N/A</v>
      </c>
      <c r="AA38" s="3" t="e">
        <v>#N/A</v>
      </c>
      <c r="AB38" s="3" t="e">
        <v>#N/A</v>
      </c>
      <c r="AC38" s="3" t="e">
        <v>#N/A</v>
      </c>
      <c r="AD38" s="3" t="e">
        <v>#N/A</v>
      </c>
      <c r="AE38" s="3" t="e">
        <v>#N/A</v>
      </c>
      <c r="AF38" s="3" t="e">
        <v>#N/A</v>
      </c>
      <c r="AG38" s="3" t="e">
        <v>#N/A</v>
      </c>
      <c r="AH38" s="3" t="e">
        <v>#N/A</v>
      </c>
      <c r="AI38" s="3" t="e">
        <v>#N/A</v>
      </c>
      <c r="AJ38" s="3" t="e">
        <v>#N/A</v>
      </c>
      <c r="AK38" s="3" t="e">
        <v>#N/A</v>
      </c>
      <c r="AL38" s="3" t="e">
        <v>#N/A</v>
      </c>
      <c r="AM38" s="3" t="e">
        <v>#N/A</v>
      </c>
      <c r="AN38" s="3" t="e">
        <v>#N/A</v>
      </c>
      <c r="AO38" s="3" t="e">
        <v>#N/A</v>
      </c>
      <c r="AP38" s="3" t="e">
        <v>#N/A</v>
      </c>
      <c r="AQ38" s="3" t="e">
        <v>#N/A</v>
      </c>
      <c r="AR38" s="3" t="e">
        <v>#N/A</v>
      </c>
      <c r="AS38" s="3" t="e">
        <v>#N/A</v>
      </c>
      <c r="AT38" s="3" t="e">
        <v>#N/A</v>
      </c>
      <c r="AU38" s="3" t="e">
        <v>#N/A</v>
      </c>
      <c r="AV38" s="3" t="e">
        <v>#N/A</v>
      </c>
      <c r="AW38" s="3" t="e">
        <v>#N/A</v>
      </c>
      <c r="AX38" s="3" t="e">
        <v>#N/A</v>
      </c>
      <c r="AY38" s="3" t="e">
        <v>#N/A</v>
      </c>
      <c r="AZ38" s="3" t="e">
        <v>#N/A</v>
      </c>
      <c r="BA38" s="3" t="e">
        <v>#N/A</v>
      </c>
      <c r="BB38" s="3" t="e">
        <v>#N/A</v>
      </c>
      <c r="BC38" s="3" t="e">
        <v>#N/A</v>
      </c>
      <c r="BD38" s="3" t="e">
        <v>#N/A</v>
      </c>
      <c r="BE38" s="3" t="e">
        <v>#N/A</v>
      </c>
      <c r="BF38" s="3" t="e">
        <v>#N/A</v>
      </c>
      <c r="BG38" s="3" t="e">
        <v>#N/A</v>
      </c>
      <c r="BH38" s="3" t="e">
        <v>#N/A</v>
      </c>
      <c r="BI38" s="3" t="e">
        <v>#N/A</v>
      </c>
      <c r="BJ38" s="3" t="e">
        <v>#N/A</v>
      </c>
      <c r="BK38" s="3" t="e">
        <v>#N/A</v>
      </c>
      <c r="BL38" s="3">
        <v>1.47</v>
      </c>
      <c r="BM38" s="3">
        <v>1.8</v>
      </c>
      <c r="BN38" s="3">
        <v>1.83</v>
      </c>
      <c r="BO38" s="3">
        <v>1.63</v>
      </c>
      <c r="BP38" s="3">
        <v>1.72</v>
      </c>
      <c r="BQ38" s="3">
        <v>1.72</v>
      </c>
      <c r="BR38" s="3">
        <v>1.72</v>
      </c>
      <c r="BS38" s="3">
        <v>1.71</v>
      </c>
      <c r="BT38" s="3">
        <v>1.7</v>
      </c>
      <c r="BU38" s="3">
        <v>1.7</v>
      </c>
      <c r="BV38" s="3">
        <v>1.71</v>
      </c>
      <c r="BW38" s="3">
        <v>1.7</v>
      </c>
      <c r="BX38" s="3">
        <v>1.7</v>
      </c>
    </row>
    <row r="39" spans="1:87" x14ac:dyDescent="0.35">
      <c r="A39" s="1"/>
      <c r="B39" s="4">
        <v>43497</v>
      </c>
      <c r="C39" s="5" t="s">
        <v>577</v>
      </c>
      <c r="D39" t="s">
        <v>585</v>
      </c>
      <c r="E39" t="s">
        <v>584</v>
      </c>
      <c r="F39" t="s">
        <v>572</v>
      </c>
      <c r="G39" t="s">
        <v>1009</v>
      </c>
      <c r="H39" t="s">
        <v>581</v>
      </c>
      <c r="I39" s="3" t="e">
        <v>#N/A</v>
      </c>
      <c r="J39" s="3" t="e">
        <v>#N/A</v>
      </c>
      <c r="K39" s="3" t="e">
        <v>#N/A</v>
      </c>
      <c r="L39" s="3" t="e">
        <v>#N/A</v>
      </c>
      <c r="M39" s="3" t="e">
        <v>#N/A</v>
      </c>
      <c r="N39" s="3" t="e">
        <v>#N/A</v>
      </c>
      <c r="O39" s="3" t="e">
        <v>#N/A</v>
      </c>
      <c r="P39" s="3" t="e">
        <v>#N/A</v>
      </c>
      <c r="Q39" s="3" t="e">
        <v>#N/A</v>
      </c>
      <c r="R39" s="3" t="e">
        <v>#N/A</v>
      </c>
      <c r="S39" s="3" t="e">
        <v>#N/A</v>
      </c>
      <c r="T39" s="3" t="e">
        <v>#N/A</v>
      </c>
      <c r="U39" s="3" t="e">
        <v>#N/A</v>
      </c>
      <c r="V39" s="3" t="e">
        <v>#N/A</v>
      </c>
      <c r="W39" s="3" t="e">
        <v>#N/A</v>
      </c>
      <c r="X39" s="3" t="e">
        <v>#N/A</v>
      </c>
      <c r="Y39" s="3" t="e">
        <v>#N/A</v>
      </c>
      <c r="Z39" s="3" t="e">
        <v>#N/A</v>
      </c>
      <c r="AA39" s="3" t="e">
        <v>#N/A</v>
      </c>
      <c r="AB39" s="3" t="e">
        <v>#N/A</v>
      </c>
      <c r="AC39" s="3" t="e">
        <v>#N/A</v>
      </c>
      <c r="AD39" s="3" t="e">
        <v>#N/A</v>
      </c>
      <c r="AE39" s="3" t="e">
        <v>#N/A</v>
      </c>
      <c r="AF39" s="3" t="e">
        <v>#N/A</v>
      </c>
      <c r="AG39" s="3" t="e">
        <v>#N/A</v>
      </c>
      <c r="AH39" s="3" t="e">
        <v>#N/A</v>
      </c>
      <c r="AI39" s="3" t="e">
        <v>#N/A</v>
      </c>
      <c r="AJ39" s="3" t="e">
        <v>#N/A</v>
      </c>
      <c r="AK39" s="3" t="e">
        <v>#N/A</v>
      </c>
      <c r="AL39" s="3" t="e">
        <v>#N/A</v>
      </c>
      <c r="AM39" s="3" t="e">
        <v>#N/A</v>
      </c>
      <c r="AN39" s="3" t="e">
        <v>#N/A</v>
      </c>
      <c r="AO39" s="3" t="e">
        <v>#N/A</v>
      </c>
      <c r="AP39" s="3" t="e">
        <v>#N/A</v>
      </c>
      <c r="AQ39" s="3" t="e">
        <v>#N/A</v>
      </c>
      <c r="AR39" s="3" t="e">
        <v>#N/A</v>
      </c>
      <c r="AS39" s="3" t="e">
        <v>#N/A</v>
      </c>
      <c r="AT39" s="3" t="e">
        <v>#N/A</v>
      </c>
      <c r="AU39" s="3" t="e">
        <v>#N/A</v>
      </c>
      <c r="AV39" s="3" t="e">
        <v>#N/A</v>
      </c>
      <c r="AW39" s="3" t="e">
        <v>#N/A</v>
      </c>
      <c r="AX39" s="3" t="e">
        <v>#N/A</v>
      </c>
      <c r="AY39" s="3" t="e">
        <v>#N/A</v>
      </c>
      <c r="AZ39" s="3" t="e">
        <v>#N/A</v>
      </c>
      <c r="BA39" s="3" t="e">
        <v>#N/A</v>
      </c>
      <c r="BB39" s="3" t="e">
        <v>#N/A</v>
      </c>
      <c r="BC39" s="3" t="e">
        <v>#N/A</v>
      </c>
      <c r="BD39" s="3" t="e">
        <v>#N/A</v>
      </c>
      <c r="BE39" s="3" t="e">
        <v>#N/A</v>
      </c>
      <c r="BF39" s="3" t="e">
        <v>#N/A</v>
      </c>
      <c r="BG39" s="3" t="e">
        <v>#N/A</v>
      </c>
      <c r="BH39" s="3" t="e">
        <v>#N/A</v>
      </c>
      <c r="BI39" s="3" t="e">
        <v>#N/A</v>
      </c>
      <c r="BJ39" s="3" t="e">
        <v>#N/A</v>
      </c>
      <c r="BK39" s="3" t="e">
        <v>#N/A</v>
      </c>
      <c r="BL39" s="3" t="e">
        <v>#N/A</v>
      </c>
      <c r="BM39" s="3">
        <v>1.49</v>
      </c>
      <c r="BN39" s="3">
        <v>1.3</v>
      </c>
      <c r="BO39" s="3">
        <v>0.99</v>
      </c>
      <c r="BP39" s="3">
        <v>1.1000000000000001</v>
      </c>
      <c r="BQ39" s="3">
        <v>1.28</v>
      </c>
      <c r="BR39" s="3">
        <v>1.46</v>
      </c>
      <c r="BS39" s="3">
        <v>1.58</v>
      </c>
      <c r="BT39" s="3">
        <v>1.66</v>
      </c>
      <c r="BU39" s="3">
        <v>1.74</v>
      </c>
      <c r="BV39" s="3">
        <v>1.83</v>
      </c>
      <c r="BW39" s="3">
        <v>1.92</v>
      </c>
      <c r="BX39" s="3">
        <v>1.99</v>
      </c>
      <c r="BY39" s="3">
        <v>2.0499999999999998</v>
      </c>
    </row>
    <row r="40" spans="1:87" x14ac:dyDescent="0.35">
      <c r="A40" s="1"/>
      <c r="B40" s="4">
        <v>43586</v>
      </c>
      <c r="C40" s="5" t="s">
        <v>592</v>
      </c>
      <c r="D40" t="s">
        <v>600</v>
      </c>
      <c r="E40" t="s">
        <v>599</v>
      </c>
      <c r="F40" t="s">
        <v>588</v>
      </c>
      <c r="G40" t="s">
        <v>1009</v>
      </c>
      <c r="H40" t="s">
        <v>596</v>
      </c>
      <c r="I40" s="3" t="e">
        <v>#N/A</v>
      </c>
      <c r="J40" s="3" t="e">
        <v>#N/A</v>
      </c>
      <c r="K40" s="3" t="e">
        <v>#N/A</v>
      </c>
      <c r="L40" s="3" t="e">
        <v>#N/A</v>
      </c>
      <c r="M40" s="3" t="e">
        <v>#N/A</v>
      </c>
      <c r="N40" s="3" t="e">
        <v>#N/A</v>
      </c>
      <c r="O40" s="3" t="e">
        <v>#N/A</v>
      </c>
      <c r="P40" s="3" t="e">
        <v>#N/A</v>
      </c>
      <c r="Q40" s="3" t="e">
        <v>#N/A</v>
      </c>
      <c r="R40" s="3" t="e">
        <v>#N/A</v>
      </c>
      <c r="S40" s="3" t="e">
        <v>#N/A</v>
      </c>
      <c r="T40" s="3" t="e">
        <v>#N/A</v>
      </c>
      <c r="U40" s="3" t="e">
        <v>#N/A</v>
      </c>
      <c r="V40" s="3" t="e">
        <v>#N/A</v>
      </c>
      <c r="W40" s="3" t="e">
        <v>#N/A</v>
      </c>
      <c r="X40" s="3" t="e">
        <v>#N/A</v>
      </c>
      <c r="Y40" s="3" t="e">
        <v>#N/A</v>
      </c>
      <c r="Z40" s="3" t="e">
        <v>#N/A</v>
      </c>
      <c r="AA40" s="3" t="e">
        <v>#N/A</v>
      </c>
      <c r="AB40" s="3" t="e">
        <v>#N/A</v>
      </c>
      <c r="AC40" s="3" t="e">
        <v>#N/A</v>
      </c>
      <c r="AD40" s="3" t="e">
        <v>#N/A</v>
      </c>
      <c r="AE40" s="3" t="e">
        <v>#N/A</v>
      </c>
      <c r="AF40" s="3" t="e">
        <v>#N/A</v>
      </c>
      <c r="AG40" s="3" t="e">
        <v>#N/A</v>
      </c>
      <c r="AH40" s="3" t="e">
        <v>#N/A</v>
      </c>
      <c r="AI40" s="3" t="e">
        <v>#N/A</v>
      </c>
      <c r="AJ40" s="3" t="e">
        <v>#N/A</v>
      </c>
      <c r="AK40" s="3" t="e">
        <v>#N/A</v>
      </c>
      <c r="AL40" s="3" t="e">
        <v>#N/A</v>
      </c>
      <c r="AM40" s="3" t="e">
        <v>#N/A</v>
      </c>
      <c r="AN40" s="3" t="e">
        <v>#N/A</v>
      </c>
      <c r="AO40" s="3" t="e">
        <v>#N/A</v>
      </c>
      <c r="AP40" s="3" t="e">
        <v>#N/A</v>
      </c>
      <c r="AQ40" s="3" t="e">
        <v>#N/A</v>
      </c>
      <c r="AR40" s="3" t="e">
        <v>#N/A</v>
      </c>
      <c r="AS40" s="3" t="e">
        <v>#N/A</v>
      </c>
      <c r="AT40" s="3" t="e">
        <v>#N/A</v>
      </c>
      <c r="AU40" s="3" t="e">
        <v>#N/A</v>
      </c>
      <c r="AV40" s="3" t="e">
        <v>#N/A</v>
      </c>
      <c r="AW40" s="3" t="e">
        <v>#N/A</v>
      </c>
      <c r="AX40" s="3" t="e">
        <v>#N/A</v>
      </c>
      <c r="AY40" s="3" t="e">
        <v>#N/A</v>
      </c>
      <c r="AZ40" s="3" t="e">
        <v>#N/A</v>
      </c>
      <c r="BA40" s="3" t="e">
        <v>#N/A</v>
      </c>
      <c r="BB40" s="3" t="e">
        <v>#N/A</v>
      </c>
      <c r="BC40" s="3" t="e">
        <v>#N/A</v>
      </c>
      <c r="BD40" s="3" t="e">
        <v>#N/A</v>
      </c>
      <c r="BE40" s="3" t="e">
        <v>#N/A</v>
      </c>
      <c r="BF40" s="3" t="e">
        <v>#N/A</v>
      </c>
      <c r="BG40" s="3" t="e">
        <v>#N/A</v>
      </c>
      <c r="BH40" s="3" t="e">
        <v>#N/A</v>
      </c>
      <c r="BI40" s="3" t="e">
        <v>#N/A</v>
      </c>
      <c r="BJ40" s="3" t="e">
        <v>#N/A</v>
      </c>
      <c r="BK40" s="3" t="e">
        <v>#N/A</v>
      </c>
      <c r="BL40" s="3" t="e">
        <v>#N/A</v>
      </c>
      <c r="BM40" s="3" t="e">
        <v>#N/A</v>
      </c>
      <c r="BN40" s="3">
        <v>1.59</v>
      </c>
      <c r="BO40" s="3">
        <v>1.17</v>
      </c>
      <c r="BP40" s="3">
        <v>1.29</v>
      </c>
      <c r="BQ40" s="3">
        <v>1.23</v>
      </c>
      <c r="BR40" s="3">
        <v>1.48</v>
      </c>
      <c r="BS40" s="3">
        <v>1.7</v>
      </c>
      <c r="BT40" s="3">
        <v>1.87</v>
      </c>
      <c r="BU40" s="3">
        <v>1.99</v>
      </c>
      <c r="BV40" s="3">
        <v>2.08</v>
      </c>
      <c r="BW40" s="3">
        <v>2.14</v>
      </c>
      <c r="BX40" s="3">
        <v>2.1800000000000002</v>
      </c>
      <c r="BY40" s="3">
        <v>2.2000000000000002</v>
      </c>
      <c r="BZ40" s="3">
        <v>2.21</v>
      </c>
    </row>
    <row r="41" spans="1:87" x14ac:dyDescent="0.35">
      <c r="A41" s="1"/>
      <c r="B41" s="4">
        <v>43678</v>
      </c>
      <c r="C41" s="5" t="s">
        <v>607</v>
      </c>
      <c r="D41" t="s">
        <v>615</v>
      </c>
      <c r="E41" t="s">
        <v>614</v>
      </c>
      <c r="F41" t="s">
        <v>603</v>
      </c>
      <c r="G41" t="s">
        <v>1009</v>
      </c>
      <c r="H41" t="s">
        <v>611</v>
      </c>
      <c r="I41" s="3" t="e">
        <v>#N/A</v>
      </c>
      <c r="J41" s="3" t="e">
        <v>#N/A</v>
      </c>
      <c r="K41" s="3" t="e">
        <v>#N/A</v>
      </c>
      <c r="L41" s="3" t="e">
        <v>#N/A</v>
      </c>
      <c r="M41" s="3" t="e">
        <v>#N/A</v>
      </c>
      <c r="N41" s="3" t="e">
        <v>#N/A</v>
      </c>
      <c r="O41" s="3" t="e">
        <v>#N/A</v>
      </c>
      <c r="P41" s="3" t="e">
        <v>#N/A</v>
      </c>
      <c r="Q41" s="3" t="e">
        <v>#N/A</v>
      </c>
      <c r="R41" s="3" t="e">
        <v>#N/A</v>
      </c>
      <c r="S41" s="3" t="e">
        <v>#N/A</v>
      </c>
      <c r="T41" s="3" t="e">
        <v>#N/A</v>
      </c>
      <c r="U41" s="3" t="e">
        <v>#N/A</v>
      </c>
      <c r="V41" s="3" t="e">
        <v>#N/A</v>
      </c>
      <c r="W41" s="3" t="e">
        <v>#N/A</v>
      </c>
      <c r="X41" s="3" t="e">
        <v>#N/A</v>
      </c>
      <c r="Y41" s="3" t="e">
        <v>#N/A</v>
      </c>
      <c r="Z41" s="3" t="e">
        <v>#N/A</v>
      </c>
      <c r="AA41" s="3" t="e">
        <v>#N/A</v>
      </c>
      <c r="AB41" s="3" t="e">
        <v>#N/A</v>
      </c>
      <c r="AC41" s="3" t="e">
        <v>#N/A</v>
      </c>
      <c r="AD41" s="3" t="e">
        <v>#N/A</v>
      </c>
      <c r="AE41" s="3" t="e">
        <v>#N/A</v>
      </c>
      <c r="AF41" s="3" t="e">
        <v>#N/A</v>
      </c>
      <c r="AG41" s="3" t="e">
        <v>#N/A</v>
      </c>
      <c r="AH41" s="3" t="e">
        <v>#N/A</v>
      </c>
      <c r="AI41" s="3" t="e">
        <v>#N/A</v>
      </c>
      <c r="AJ41" s="3" t="e">
        <v>#N/A</v>
      </c>
      <c r="AK41" s="3" t="e">
        <v>#N/A</v>
      </c>
      <c r="AL41" s="3" t="e">
        <v>#N/A</v>
      </c>
      <c r="AM41" s="3" t="e">
        <v>#N/A</v>
      </c>
      <c r="AN41" s="3" t="e">
        <v>#N/A</v>
      </c>
      <c r="AO41" s="3" t="e">
        <v>#N/A</v>
      </c>
      <c r="AP41" s="3" t="e">
        <v>#N/A</v>
      </c>
      <c r="AQ41" s="3" t="e">
        <v>#N/A</v>
      </c>
      <c r="AR41" s="3" t="e">
        <v>#N/A</v>
      </c>
      <c r="AS41" s="3" t="e">
        <v>#N/A</v>
      </c>
      <c r="AT41" s="3" t="e">
        <v>#N/A</v>
      </c>
      <c r="AU41" s="3" t="e">
        <v>#N/A</v>
      </c>
      <c r="AV41" s="3" t="e">
        <v>#N/A</v>
      </c>
      <c r="AW41" s="3" t="e">
        <v>#N/A</v>
      </c>
      <c r="AX41" s="3" t="e">
        <v>#N/A</v>
      </c>
      <c r="AY41" s="3" t="e">
        <v>#N/A</v>
      </c>
      <c r="AZ41" s="3" t="e">
        <v>#N/A</v>
      </c>
      <c r="BA41" s="3" t="e">
        <v>#N/A</v>
      </c>
      <c r="BB41" s="3" t="e">
        <v>#N/A</v>
      </c>
      <c r="BC41" s="3" t="e">
        <v>#N/A</v>
      </c>
      <c r="BD41" s="3" t="e">
        <v>#N/A</v>
      </c>
      <c r="BE41" s="3" t="e">
        <v>#N/A</v>
      </c>
      <c r="BF41" s="3" t="e">
        <v>#N/A</v>
      </c>
      <c r="BG41" s="3" t="e">
        <v>#N/A</v>
      </c>
      <c r="BH41" s="3" t="e">
        <v>#N/A</v>
      </c>
      <c r="BI41" s="3" t="e">
        <v>#N/A</v>
      </c>
      <c r="BJ41" s="3" t="e">
        <v>#N/A</v>
      </c>
      <c r="BK41" s="3" t="e">
        <v>#N/A</v>
      </c>
      <c r="BL41" s="3" t="e">
        <v>#N/A</v>
      </c>
      <c r="BM41" s="3" t="e">
        <v>#N/A</v>
      </c>
      <c r="BN41" s="3" t="e">
        <v>#N/A</v>
      </c>
      <c r="BO41" s="3">
        <v>0.96</v>
      </c>
      <c r="BP41" s="3">
        <v>0.91</v>
      </c>
      <c r="BQ41" s="3">
        <v>0.73</v>
      </c>
      <c r="BR41" s="3">
        <v>1.19</v>
      </c>
      <c r="BS41" s="3">
        <v>1.43</v>
      </c>
      <c r="BT41" s="3">
        <v>1.83</v>
      </c>
      <c r="BU41" s="3">
        <v>2.12</v>
      </c>
      <c r="BV41" s="3">
        <v>2.2999999999999998</v>
      </c>
      <c r="BW41" s="3">
        <v>2.42</v>
      </c>
      <c r="BX41" s="3">
        <v>2.4700000000000002</v>
      </c>
      <c r="BY41" s="3">
        <v>2.4900000000000002</v>
      </c>
      <c r="BZ41" s="3">
        <v>2.5</v>
      </c>
      <c r="CA41" s="3">
        <v>2.5</v>
      </c>
    </row>
    <row r="42" spans="1:87" x14ac:dyDescent="0.35">
      <c r="A42" s="1"/>
      <c r="B42" s="4">
        <v>43770</v>
      </c>
      <c r="C42" s="5" t="s">
        <v>629</v>
      </c>
      <c r="D42" t="s">
        <v>633</v>
      </c>
      <c r="E42" t="s">
        <v>626</v>
      </c>
      <c r="F42" t="s">
        <v>618</v>
      </c>
      <c r="G42" t="s">
        <v>1009</v>
      </c>
      <c r="H42" t="s">
        <v>623</v>
      </c>
      <c r="I42" s="3" t="e">
        <v>#N/A</v>
      </c>
      <c r="J42" s="3" t="e">
        <v>#N/A</v>
      </c>
      <c r="K42" s="3" t="e">
        <v>#N/A</v>
      </c>
      <c r="L42" s="3" t="e">
        <v>#N/A</v>
      </c>
      <c r="M42" s="3" t="e">
        <v>#N/A</v>
      </c>
      <c r="N42" s="3" t="e">
        <v>#N/A</v>
      </c>
      <c r="O42" s="3" t="e">
        <v>#N/A</v>
      </c>
      <c r="P42" s="3" t="e">
        <v>#N/A</v>
      </c>
      <c r="Q42" s="3" t="e">
        <v>#N/A</v>
      </c>
      <c r="R42" s="3" t="e">
        <v>#N/A</v>
      </c>
      <c r="S42" s="3" t="e">
        <v>#N/A</v>
      </c>
      <c r="T42" s="3" t="e">
        <v>#N/A</v>
      </c>
      <c r="U42" s="3" t="e">
        <v>#N/A</v>
      </c>
      <c r="V42" s="3" t="e">
        <v>#N/A</v>
      </c>
      <c r="W42" s="3" t="e">
        <v>#N/A</v>
      </c>
      <c r="X42" s="3" t="e">
        <v>#N/A</v>
      </c>
      <c r="Y42" s="3" t="e">
        <v>#N/A</v>
      </c>
      <c r="Z42" s="3" t="e">
        <v>#N/A</v>
      </c>
      <c r="AA42" s="3" t="e">
        <v>#N/A</v>
      </c>
      <c r="AB42" s="3" t="e">
        <v>#N/A</v>
      </c>
      <c r="AC42" s="3" t="e">
        <v>#N/A</v>
      </c>
      <c r="AD42" s="3" t="e">
        <v>#N/A</v>
      </c>
      <c r="AE42" s="3" t="e">
        <v>#N/A</v>
      </c>
      <c r="AF42" s="3" t="e">
        <v>#N/A</v>
      </c>
      <c r="AG42" s="3" t="e">
        <v>#N/A</v>
      </c>
      <c r="AH42" s="3" t="e">
        <v>#N/A</v>
      </c>
      <c r="AI42" s="3" t="e">
        <v>#N/A</v>
      </c>
      <c r="AJ42" s="3" t="e">
        <v>#N/A</v>
      </c>
      <c r="AK42" s="3" t="e">
        <v>#N/A</v>
      </c>
      <c r="AL42" s="3" t="e">
        <v>#N/A</v>
      </c>
      <c r="AM42" s="3" t="e">
        <v>#N/A</v>
      </c>
      <c r="AN42" s="3" t="e">
        <v>#N/A</v>
      </c>
      <c r="AO42" s="3" t="e">
        <v>#N/A</v>
      </c>
      <c r="AP42" s="3" t="e">
        <v>#N/A</v>
      </c>
      <c r="AQ42" s="3" t="e">
        <v>#N/A</v>
      </c>
      <c r="AR42" s="3" t="e">
        <v>#N/A</v>
      </c>
      <c r="AS42" s="3" t="e">
        <v>#N/A</v>
      </c>
      <c r="AT42" s="3" t="e">
        <v>#N/A</v>
      </c>
      <c r="AU42" s="3" t="e">
        <v>#N/A</v>
      </c>
      <c r="AV42" s="3" t="e">
        <v>#N/A</v>
      </c>
      <c r="AW42" s="3" t="e">
        <v>#N/A</v>
      </c>
      <c r="AX42" s="3" t="e">
        <v>#N/A</v>
      </c>
      <c r="AY42" s="3" t="e">
        <v>#N/A</v>
      </c>
      <c r="AZ42" s="3" t="e">
        <v>#N/A</v>
      </c>
      <c r="BA42" s="3" t="e">
        <v>#N/A</v>
      </c>
      <c r="BB42" s="3" t="e">
        <v>#N/A</v>
      </c>
      <c r="BC42" s="3" t="e">
        <v>#N/A</v>
      </c>
      <c r="BD42" s="3" t="e">
        <v>#N/A</v>
      </c>
      <c r="BE42" s="3" t="e">
        <v>#N/A</v>
      </c>
      <c r="BF42" s="3" t="e">
        <v>#N/A</v>
      </c>
      <c r="BG42" s="3" t="e">
        <v>#N/A</v>
      </c>
      <c r="BH42" s="3" t="e">
        <v>#N/A</v>
      </c>
      <c r="BI42" s="3" t="e">
        <v>#N/A</v>
      </c>
      <c r="BJ42" s="3" t="e">
        <v>#N/A</v>
      </c>
      <c r="BK42" s="3" t="e">
        <v>#N/A</v>
      </c>
      <c r="BL42" s="3" t="e">
        <v>#N/A</v>
      </c>
      <c r="BM42" s="3" t="e">
        <v>#N/A</v>
      </c>
      <c r="BN42" s="3" t="e">
        <v>#N/A</v>
      </c>
      <c r="BO42" s="3" t="e">
        <v>#N/A</v>
      </c>
      <c r="BP42" s="3">
        <v>0.99</v>
      </c>
      <c r="BQ42" s="3">
        <v>0.66</v>
      </c>
      <c r="BR42" s="3">
        <v>1.3</v>
      </c>
      <c r="BS42" s="3">
        <v>1.34</v>
      </c>
      <c r="BT42" s="3">
        <v>1.55</v>
      </c>
      <c r="BU42" s="3">
        <v>1.72</v>
      </c>
      <c r="BV42" s="3">
        <v>1.76</v>
      </c>
      <c r="BW42" s="3">
        <v>1.79</v>
      </c>
      <c r="BX42" s="3">
        <v>1.84</v>
      </c>
      <c r="BY42" s="3">
        <v>1.94</v>
      </c>
      <c r="BZ42" s="3">
        <v>1.99</v>
      </c>
      <c r="CA42" s="3">
        <v>2.0299999999999998</v>
      </c>
      <c r="CB42" s="3">
        <v>2.06</v>
      </c>
    </row>
    <row r="43" spans="1:87" x14ac:dyDescent="0.35">
      <c r="A43" s="1"/>
      <c r="B43" s="4">
        <v>43831</v>
      </c>
      <c r="C43" s="5" t="s">
        <v>643</v>
      </c>
      <c r="D43" t="s">
        <v>649</v>
      </c>
      <c r="E43" t="s">
        <v>639</v>
      </c>
      <c r="F43" t="s">
        <v>627</v>
      </c>
      <c r="G43" t="s">
        <v>1009</v>
      </c>
      <c r="H43" t="s">
        <v>647</v>
      </c>
      <c r="I43" s="3" t="e">
        <v>#N/A</v>
      </c>
      <c r="J43" s="3" t="e">
        <v>#N/A</v>
      </c>
      <c r="K43" s="3" t="e">
        <v>#N/A</v>
      </c>
      <c r="L43" s="3" t="e">
        <v>#N/A</v>
      </c>
      <c r="M43" s="3" t="e">
        <v>#N/A</v>
      </c>
      <c r="N43" s="3" t="e">
        <v>#N/A</v>
      </c>
      <c r="O43" s="3" t="e">
        <v>#N/A</v>
      </c>
      <c r="P43" s="3" t="e">
        <v>#N/A</v>
      </c>
      <c r="Q43" s="3" t="e">
        <v>#N/A</v>
      </c>
      <c r="R43" s="3" t="e">
        <v>#N/A</v>
      </c>
      <c r="S43" s="3" t="e">
        <v>#N/A</v>
      </c>
      <c r="T43" s="3" t="e">
        <v>#N/A</v>
      </c>
      <c r="U43" s="3" t="e">
        <v>#N/A</v>
      </c>
      <c r="V43" s="3" t="e">
        <v>#N/A</v>
      </c>
      <c r="W43" s="3" t="e">
        <v>#N/A</v>
      </c>
      <c r="X43" s="3" t="e">
        <v>#N/A</v>
      </c>
      <c r="Y43" s="3" t="e">
        <v>#N/A</v>
      </c>
      <c r="Z43" s="3" t="e">
        <v>#N/A</v>
      </c>
      <c r="AA43" s="3" t="e">
        <v>#N/A</v>
      </c>
      <c r="AB43" s="3" t="e">
        <v>#N/A</v>
      </c>
      <c r="AC43" s="3" t="e">
        <v>#N/A</v>
      </c>
      <c r="AD43" s="3" t="e">
        <v>#N/A</v>
      </c>
      <c r="AE43" s="3" t="e">
        <v>#N/A</v>
      </c>
      <c r="AF43" s="3" t="e">
        <v>#N/A</v>
      </c>
      <c r="AG43" s="3" t="e">
        <v>#N/A</v>
      </c>
      <c r="AH43" s="3" t="e">
        <v>#N/A</v>
      </c>
      <c r="AI43" s="3" t="e">
        <v>#N/A</v>
      </c>
      <c r="AJ43" s="3" t="e">
        <v>#N/A</v>
      </c>
      <c r="AK43" s="3" t="e">
        <v>#N/A</v>
      </c>
      <c r="AL43" s="3" t="e">
        <v>#N/A</v>
      </c>
      <c r="AM43" s="3" t="e">
        <v>#N/A</v>
      </c>
      <c r="AN43" s="3" t="e">
        <v>#N/A</v>
      </c>
      <c r="AO43" s="3" t="e">
        <v>#N/A</v>
      </c>
      <c r="AP43" s="3" t="e">
        <v>#N/A</v>
      </c>
      <c r="AQ43" s="3" t="e">
        <v>#N/A</v>
      </c>
      <c r="AR43" s="3" t="e">
        <v>#N/A</v>
      </c>
      <c r="AS43" s="3" t="e">
        <v>#N/A</v>
      </c>
      <c r="AT43" s="3" t="e">
        <v>#N/A</v>
      </c>
      <c r="AU43" s="3" t="e">
        <v>#N/A</v>
      </c>
      <c r="AV43" s="3" t="e">
        <v>#N/A</v>
      </c>
      <c r="AW43" s="3" t="e">
        <v>#N/A</v>
      </c>
      <c r="AX43" s="3" t="e">
        <v>#N/A</v>
      </c>
      <c r="AY43" s="3" t="e">
        <v>#N/A</v>
      </c>
      <c r="AZ43" s="3" t="e">
        <v>#N/A</v>
      </c>
      <c r="BA43" s="3" t="e">
        <v>#N/A</v>
      </c>
      <c r="BB43" s="3" t="e">
        <v>#N/A</v>
      </c>
      <c r="BC43" s="3" t="e">
        <v>#N/A</v>
      </c>
      <c r="BD43" s="3" t="e">
        <v>#N/A</v>
      </c>
      <c r="BE43" s="3" t="e">
        <v>#N/A</v>
      </c>
      <c r="BF43" s="3" t="e">
        <v>#N/A</v>
      </c>
      <c r="BG43" s="3" t="e">
        <v>#N/A</v>
      </c>
      <c r="BH43" s="3" t="e">
        <v>#N/A</v>
      </c>
      <c r="BI43" s="3" t="e">
        <v>#N/A</v>
      </c>
      <c r="BJ43" s="3" t="e">
        <v>#N/A</v>
      </c>
      <c r="BK43" s="3" t="e">
        <v>#N/A</v>
      </c>
      <c r="BL43" s="3" t="e">
        <v>#N/A</v>
      </c>
      <c r="BM43" s="3" t="e">
        <v>#N/A</v>
      </c>
      <c r="BN43" s="3" t="e">
        <v>#N/A</v>
      </c>
      <c r="BO43" s="3" t="e">
        <v>#N/A</v>
      </c>
      <c r="BP43" s="3" t="e">
        <v>#N/A</v>
      </c>
      <c r="BQ43" s="3">
        <v>0.37</v>
      </c>
      <c r="BR43" s="3">
        <v>0.83</v>
      </c>
      <c r="BS43" s="3">
        <v>0.76</v>
      </c>
      <c r="BT43" s="3">
        <v>1.21</v>
      </c>
      <c r="BU43" s="3">
        <v>1.37</v>
      </c>
      <c r="BV43" s="3">
        <v>1.45</v>
      </c>
      <c r="BW43" s="3">
        <v>1.48</v>
      </c>
      <c r="BX43" s="3">
        <v>1.46</v>
      </c>
      <c r="BY43" s="3">
        <v>1.56</v>
      </c>
      <c r="BZ43" s="3">
        <v>1.68</v>
      </c>
      <c r="CA43" s="3">
        <v>1.79</v>
      </c>
      <c r="CB43" s="3">
        <v>1.88</v>
      </c>
      <c r="CC43" s="3">
        <v>1.95</v>
      </c>
    </row>
    <row r="44" spans="1:87" x14ac:dyDescent="0.35">
      <c r="A44" s="1"/>
      <c r="B44" s="4">
        <v>44044</v>
      </c>
      <c r="C44" s="17"/>
      <c r="D44" t="s">
        <v>649</v>
      </c>
      <c r="E44" t="s">
        <v>639</v>
      </c>
      <c r="F44" t="s">
        <v>627</v>
      </c>
      <c r="G44" t="s">
        <v>481</v>
      </c>
      <c r="H44" t="s">
        <v>647</v>
      </c>
      <c r="I44" s="3" t="e">
        <v>#N/A</v>
      </c>
      <c r="J44" s="3" t="e">
        <v>#N/A</v>
      </c>
      <c r="K44" s="3" t="e">
        <v>#N/A</v>
      </c>
      <c r="L44" s="3" t="e">
        <v>#N/A</v>
      </c>
      <c r="M44" s="3" t="e">
        <v>#N/A</v>
      </c>
      <c r="N44" s="3" t="e">
        <v>#N/A</v>
      </c>
      <c r="O44" s="3" t="e">
        <v>#N/A</v>
      </c>
      <c r="P44" s="3" t="e">
        <v>#N/A</v>
      </c>
      <c r="Q44" s="3" t="e">
        <v>#N/A</v>
      </c>
      <c r="R44" s="3" t="e">
        <v>#N/A</v>
      </c>
      <c r="S44" s="3" t="e">
        <v>#N/A</v>
      </c>
      <c r="T44" s="3" t="e">
        <v>#N/A</v>
      </c>
      <c r="U44" s="3" t="e">
        <v>#N/A</v>
      </c>
      <c r="V44" s="3" t="e">
        <v>#N/A</v>
      </c>
      <c r="W44" s="3" t="e">
        <v>#N/A</v>
      </c>
      <c r="X44" s="3" t="e">
        <v>#N/A</v>
      </c>
      <c r="Y44" s="3" t="e">
        <v>#N/A</v>
      </c>
      <c r="Z44" s="3" t="e">
        <v>#N/A</v>
      </c>
      <c r="AA44" s="3" t="e">
        <v>#N/A</v>
      </c>
      <c r="AB44" s="3" t="e">
        <v>#N/A</v>
      </c>
      <c r="AC44" s="3" t="e">
        <v>#N/A</v>
      </c>
      <c r="AD44" s="3" t="e">
        <v>#N/A</v>
      </c>
      <c r="AE44" s="3" t="e">
        <v>#N/A</v>
      </c>
      <c r="AF44" s="3" t="e">
        <v>#N/A</v>
      </c>
      <c r="AG44" s="3" t="e">
        <v>#N/A</v>
      </c>
      <c r="AH44" s="3" t="e">
        <v>#N/A</v>
      </c>
      <c r="AI44" s="3" t="e">
        <v>#N/A</v>
      </c>
      <c r="AJ44" s="3" t="e">
        <v>#N/A</v>
      </c>
      <c r="AK44" s="3" t="e">
        <v>#N/A</v>
      </c>
      <c r="AL44" s="3" t="e">
        <v>#N/A</v>
      </c>
      <c r="AM44" s="3" t="e">
        <v>#N/A</v>
      </c>
      <c r="AN44" s="3" t="e">
        <v>#N/A</v>
      </c>
      <c r="AO44" s="3" t="e">
        <v>#N/A</v>
      </c>
      <c r="AP44" s="3" t="e">
        <v>#N/A</v>
      </c>
      <c r="AQ44" s="3" t="e">
        <v>#N/A</v>
      </c>
      <c r="AR44" s="3" t="e">
        <v>#N/A</v>
      </c>
      <c r="AS44" s="3" t="e">
        <v>#N/A</v>
      </c>
      <c r="AT44" s="3" t="e">
        <v>#N/A</v>
      </c>
      <c r="AU44" s="3" t="e">
        <v>#N/A</v>
      </c>
      <c r="AV44" s="3" t="e">
        <v>#N/A</v>
      </c>
      <c r="AW44" s="3" t="e">
        <v>#N/A</v>
      </c>
      <c r="AX44" s="3" t="e">
        <v>#N/A</v>
      </c>
      <c r="AY44" s="3" t="e">
        <v>#N/A</v>
      </c>
      <c r="AZ44" s="3" t="e">
        <v>#N/A</v>
      </c>
      <c r="BA44" s="3" t="e">
        <v>#N/A</v>
      </c>
      <c r="BB44" s="3" t="e">
        <v>#N/A</v>
      </c>
      <c r="BC44" s="3" t="e">
        <v>#N/A</v>
      </c>
      <c r="BD44" s="3" t="e">
        <v>#N/A</v>
      </c>
      <c r="BE44" s="3" t="e">
        <v>#N/A</v>
      </c>
      <c r="BF44" s="3" t="e">
        <v>#N/A</v>
      </c>
      <c r="BG44" s="3" t="e">
        <v>#N/A</v>
      </c>
      <c r="BH44" s="3" t="e">
        <v>#N/A</v>
      </c>
      <c r="BI44" s="3" t="e">
        <v>#N/A</v>
      </c>
      <c r="BJ44" s="3" t="e">
        <v>#N/A</v>
      </c>
      <c r="BK44" s="3" t="e">
        <v>#N/A</v>
      </c>
      <c r="BL44" s="3" t="e">
        <v>#N/A</v>
      </c>
      <c r="BM44" s="3" t="e">
        <v>#N/A</v>
      </c>
      <c r="BN44" s="3" t="e">
        <v>#N/A</v>
      </c>
      <c r="BO44" s="3" t="e">
        <v>#N/A</v>
      </c>
      <c r="BP44" s="3" t="e">
        <v>#N/A</v>
      </c>
      <c r="BQ44" s="3">
        <v>0.37</v>
      </c>
      <c r="BR44" s="3">
        <v>0.83</v>
      </c>
      <c r="BS44" s="3">
        <v>0.76</v>
      </c>
      <c r="BT44" s="3">
        <v>1.21</v>
      </c>
      <c r="BU44" s="3">
        <v>1.37</v>
      </c>
      <c r="BV44" s="3">
        <v>1.45</v>
      </c>
      <c r="BW44" s="3">
        <v>1.48</v>
      </c>
      <c r="BX44" s="3">
        <v>1.46</v>
      </c>
      <c r="BY44" s="3">
        <v>1.56</v>
      </c>
      <c r="BZ44" s="3">
        <v>1.68</v>
      </c>
      <c r="CA44" s="3">
        <v>1.79</v>
      </c>
      <c r="CB44" s="3">
        <v>1.88</v>
      </c>
      <c r="CC44" s="3">
        <v>1.95</v>
      </c>
    </row>
    <row r="45" spans="1:87" x14ac:dyDescent="0.35">
      <c r="A45" s="1"/>
      <c r="B45" s="4">
        <v>44136</v>
      </c>
      <c r="C45" s="1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 spans="1:87" x14ac:dyDescent="0.35">
      <c r="A46" s="1"/>
      <c r="B46" s="4">
        <v>44228</v>
      </c>
      <c r="C46" s="1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1:87" x14ac:dyDescent="0.35">
      <c r="A47" s="1"/>
      <c r="B47" s="4">
        <v>44317</v>
      </c>
      <c r="C47" s="1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</row>
    <row r="48" spans="1:87" x14ac:dyDescent="0.35">
      <c r="A48" s="1"/>
      <c r="B48" s="4">
        <v>44409</v>
      </c>
      <c r="C48" s="5" t="s">
        <v>803</v>
      </c>
      <c r="D48" t="s">
        <v>810</v>
      </c>
      <c r="E48" t="s">
        <v>518</v>
      </c>
      <c r="F48" t="s">
        <v>700</v>
      </c>
      <c r="G48" t="s">
        <v>1009</v>
      </c>
      <c r="H48" t="s">
        <v>807</v>
      </c>
      <c r="I48" s="3" t="e">
        <v>#N/A</v>
      </c>
      <c r="J48" s="3" t="e">
        <v>#N/A</v>
      </c>
      <c r="K48" s="3" t="e">
        <v>#N/A</v>
      </c>
      <c r="L48" s="3" t="e">
        <v>#N/A</v>
      </c>
      <c r="M48" s="3" t="e">
        <v>#N/A</v>
      </c>
      <c r="N48" s="3" t="e">
        <v>#N/A</v>
      </c>
      <c r="O48" s="3" t="e">
        <v>#N/A</v>
      </c>
      <c r="P48" s="3" t="e">
        <v>#N/A</v>
      </c>
      <c r="Q48" s="3" t="e">
        <v>#N/A</v>
      </c>
      <c r="R48" s="3" t="e">
        <v>#N/A</v>
      </c>
      <c r="S48" s="3" t="e">
        <v>#N/A</v>
      </c>
      <c r="T48" s="3" t="e">
        <v>#N/A</v>
      </c>
      <c r="U48" s="3" t="e">
        <v>#N/A</v>
      </c>
      <c r="V48" s="3" t="e">
        <v>#N/A</v>
      </c>
      <c r="W48" s="3" t="e">
        <v>#N/A</v>
      </c>
      <c r="X48" s="3" t="e">
        <v>#N/A</v>
      </c>
      <c r="Y48" s="3" t="e">
        <v>#N/A</v>
      </c>
      <c r="Z48" s="3" t="e">
        <v>#N/A</v>
      </c>
      <c r="AA48" s="3" t="e">
        <v>#N/A</v>
      </c>
      <c r="AB48" s="3" t="e">
        <v>#N/A</v>
      </c>
      <c r="AC48" s="3" t="e">
        <v>#N/A</v>
      </c>
      <c r="AD48" s="3" t="e">
        <v>#N/A</v>
      </c>
      <c r="AE48" s="3" t="e">
        <v>#N/A</v>
      </c>
      <c r="AF48" s="3" t="e">
        <v>#N/A</v>
      </c>
      <c r="AG48" s="3" t="e">
        <v>#N/A</v>
      </c>
      <c r="AH48" s="3" t="e">
        <v>#N/A</v>
      </c>
      <c r="AI48" s="3" t="e">
        <v>#N/A</v>
      </c>
      <c r="AJ48" s="3" t="e">
        <v>#N/A</v>
      </c>
      <c r="AK48" s="3" t="e">
        <v>#N/A</v>
      </c>
      <c r="AL48" s="3" t="e">
        <v>#N/A</v>
      </c>
      <c r="AM48" s="3" t="e">
        <v>#N/A</v>
      </c>
      <c r="AN48" s="3" t="e">
        <v>#N/A</v>
      </c>
      <c r="AO48" s="3" t="e">
        <v>#N/A</v>
      </c>
      <c r="AP48" s="3" t="e">
        <v>#N/A</v>
      </c>
      <c r="AQ48" s="3" t="e">
        <v>#N/A</v>
      </c>
      <c r="AR48" s="3" t="e">
        <v>#N/A</v>
      </c>
      <c r="AS48" s="3" t="e">
        <v>#N/A</v>
      </c>
      <c r="AT48" s="3" t="e">
        <v>#N/A</v>
      </c>
      <c r="AU48" s="3" t="e">
        <v>#N/A</v>
      </c>
      <c r="AV48" s="3" t="e">
        <v>#N/A</v>
      </c>
      <c r="AW48" s="3" t="e">
        <v>#N/A</v>
      </c>
      <c r="AX48" s="3" t="e">
        <v>#N/A</v>
      </c>
      <c r="AY48" s="3" t="e">
        <v>#N/A</v>
      </c>
      <c r="AZ48" s="3" t="e">
        <v>#N/A</v>
      </c>
      <c r="BA48" s="3" t="e">
        <v>#N/A</v>
      </c>
      <c r="BB48" s="3" t="e">
        <v>#N/A</v>
      </c>
      <c r="BC48" s="3" t="e">
        <v>#N/A</v>
      </c>
      <c r="BD48" s="3" t="e">
        <v>#N/A</v>
      </c>
      <c r="BE48" s="3" t="e">
        <v>#N/A</v>
      </c>
      <c r="BF48" s="3" t="e">
        <v>#N/A</v>
      </c>
      <c r="BG48" s="3" t="e">
        <v>#N/A</v>
      </c>
      <c r="BH48" s="3" t="e">
        <v>#N/A</v>
      </c>
      <c r="BI48" s="3" t="e">
        <v>#N/A</v>
      </c>
      <c r="BJ48" s="3" t="e">
        <v>#N/A</v>
      </c>
      <c r="BK48" s="3" t="e">
        <v>#N/A</v>
      </c>
      <c r="BL48" s="3" t="e">
        <v>#N/A</v>
      </c>
      <c r="BM48" s="3" t="e">
        <v>#N/A</v>
      </c>
      <c r="BN48" s="3" t="e">
        <v>#N/A</v>
      </c>
      <c r="BO48" s="3" t="e">
        <v>#N/A</v>
      </c>
      <c r="BP48" s="3" t="e">
        <v>#N/A</v>
      </c>
      <c r="BQ48" s="3" t="e">
        <v>#N/A</v>
      </c>
      <c r="BR48" s="3" t="e">
        <v>#N/A</v>
      </c>
      <c r="BS48" s="3" t="e">
        <v>#N/A</v>
      </c>
      <c r="BT48" s="3" t="e">
        <v>#N/A</v>
      </c>
      <c r="BU48" s="3" t="e">
        <v>#N/A</v>
      </c>
      <c r="BV48" s="3">
        <v>22.38</v>
      </c>
      <c r="BW48" s="3">
        <v>7.7</v>
      </c>
      <c r="BX48" s="3">
        <v>8.4700000000000006</v>
      </c>
      <c r="BY48" s="3">
        <v>11.43</v>
      </c>
      <c r="BZ48" s="3">
        <v>6.59</v>
      </c>
      <c r="CA48" s="3">
        <v>4</v>
      </c>
      <c r="CB48" s="3">
        <v>2.25</v>
      </c>
      <c r="CC48" s="3">
        <v>1.6</v>
      </c>
      <c r="CD48" s="3">
        <v>1.53</v>
      </c>
      <c r="CE48" s="3">
        <v>1.3</v>
      </c>
      <c r="CF48" s="3">
        <v>1.3</v>
      </c>
      <c r="CG48" s="3">
        <v>1.17</v>
      </c>
      <c r="CH48" s="3">
        <v>1.0900000000000001</v>
      </c>
      <c r="CI48" s="3">
        <v>1.26</v>
      </c>
    </row>
    <row r="49" spans="1:101" x14ac:dyDescent="0.35">
      <c r="A49" s="1"/>
      <c r="B49" s="4">
        <v>44501</v>
      </c>
      <c r="C49" s="5" t="s">
        <v>841</v>
      </c>
      <c r="D49" t="s">
        <v>847</v>
      </c>
      <c r="E49" t="s">
        <v>522</v>
      </c>
      <c r="F49" t="s">
        <v>811</v>
      </c>
      <c r="G49" t="s">
        <v>1009</v>
      </c>
      <c r="H49" t="s">
        <v>845</v>
      </c>
      <c r="I49" s="3" t="e">
        <v>#N/A</v>
      </c>
      <c r="J49" s="3" t="e">
        <v>#N/A</v>
      </c>
      <c r="K49" s="3" t="e">
        <v>#N/A</v>
      </c>
      <c r="L49" s="3" t="e">
        <v>#N/A</v>
      </c>
      <c r="M49" s="3" t="e">
        <v>#N/A</v>
      </c>
      <c r="N49" s="3" t="e">
        <v>#N/A</v>
      </c>
      <c r="O49" s="3" t="e">
        <v>#N/A</v>
      </c>
      <c r="P49" s="3" t="e">
        <v>#N/A</v>
      </c>
      <c r="Q49" s="3" t="e">
        <v>#N/A</v>
      </c>
      <c r="R49" s="3" t="e">
        <v>#N/A</v>
      </c>
      <c r="S49" s="3" t="e">
        <v>#N/A</v>
      </c>
      <c r="T49" s="3" t="e">
        <v>#N/A</v>
      </c>
      <c r="U49" s="3" t="e">
        <v>#N/A</v>
      </c>
      <c r="V49" s="3" t="e">
        <v>#N/A</v>
      </c>
      <c r="W49" s="3" t="e">
        <v>#N/A</v>
      </c>
      <c r="X49" s="3" t="e">
        <v>#N/A</v>
      </c>
      <c r="Y49" s="3" t="e">
        <v>#N/A</v>
      </c>
      <c r="Z49" s="3" t="e">
        <v>#N/A</v>
      </c>
      <c r="AA49" s="3" t="e">
        <v>#N/A</v>
      </c>
      <c r="AB49" s="3" t="e">
        <v>#N/A</v>
      </c>
      <c r="AC49" s="3" t="e">
        <v>#N/A</v>
      </c>
      <c r="AD49" s="3" t="e">
        <v>#N/A</v>
      </c>
      <c r="AE49" s="3" t="e">
        <v>#N/A</v>
      </c>
      <c r="AF49" s="3" t="e">
        <v>#N/A</v>
      </c>
      <c r="AG49" s="3" t="e">
        <v>#N/A</v>
      </c>
      <c r="AH49" s="3" t="e">
        <v>#N/A</v>
      </c>
      <c r="AI49" s="3" t="e">
        <v>#N/A</v>
      </c>
      <c r="AJ49" s="3" t="e">
        <v>#N/A</v>
      </c>
      <c r="AK49" s="3" t="e">
        <v>#N/A</v>
      </c>
      <c r="AL49" s="3" t="e">
        <v>#N/A</v>
      </c>
      <c r="AM49" s="3" t="e">
        <v>#N/A</v>
      </c>
      <c r="AN49" s="3" t="e">
        <v>#N/A</v>
      </c>
      <c r="AO49" s="3" t="e">
        <v>#N/A</v>
      </c>
      <c r="AP49" s="3" t="e">
        <v>#N/A</v>
      </c>
      <c r="AQ49" s="3" t="e">
        <v>#N/A</v>
      </c>
      <c r="AR49" s="3" t="e">
        <v>#N/A</v>
      </c>
      <c r="AS49" s="3" t="e">
        <v>#N/A</v>
      </c>
      <c r="AT49" s="3" t="e">
        <v>#N/A</v>
      </c>
      <c r="AU49" s="3" t="e">
        <v>#N/A</v>
      </c>
      <c r="AV49" s="3" t="e">
        <v>#N/A</v>
      </c>
      <c r="AW49" s="3" t="e">
        <v>#N/A</v>
      </c>
      <c r="AX49" s="3" t="e">
        <v>#N/A</v>
      </c>
      <c r="AY49" s="3" t="e">
        <v>#N/A</v>
      </c>
      <c r="AZ49" s="3" t="e">
        <v>#N/A</v>
      </c>
      <c r="BA49" s="3" t="e">
        <v>#N/A</v>
      </c>
      <c r="BB49" s="3" t="e">
        <v>#N/A</v>
      </c>
      <c r="BC49" s="3" t="e">
        <v>#N/A</v>
      </c>
      <c r="BD49" s="3" t="e">
        <v>#N/A</v>
      </c>
      <c r="BE49" s="3" t="e">
        <v>#N/A</v>
      </c>
      <c r="BF49" s="3" t="e">
        <v>#N/A</v>
      </c>
      <c r="BG49" s="3" t="e">
        <v>#N/A</v>
      </c>
      <c r="BH49" s="3" t="e">
        <v>#N/A</v>
      </c>
      <c r="BI49" s="3" t="e">
        <v>#N/A</v>
      </c>
      <c r="BJ49" s="3" t="e">
        <v>#N/A</v>
      </c>
      <c r="BK49" s="3" t="e">
        <v>#N/A</v>
      </c>
      <c r="BL49" s="3" t="e">
        <v>#N/A</v>
      </c>
      <c r="BM49" s="3" t="e">
        <v>#N/A</v>
      </c>
      <c r="BN49" s="3" t="e">
        <v>#N/A</v>
      </c>
      <c r="BO49" s="3" t="e">
        <v>#N/A</v>
      </c>
      <c r="BP49" s="3" t="e">
        <v>#N/A</v>
      </c>
      <c r="BQ49" s="3" t="e">
        <v>#N/A</v>
      </c>
      <c r="BR49" s="3" t="e">
        <v>#N/A</v>
      </c>
      <c r="BS49" s="3" t="e">
        <v>#N/A</v>
      </c>
      <c r="BT49" s="3" t="e">
        <v>#N/A</v>
      </c>
      <c r="BU49" s="3" t="e">
        <v>#N/A</v>
      </c>
      <c r="BV49" s="3" t="e">
        <v>#N/A</v>
      </c>
      <c r="BW49" s="3">
        <v>6.84</v>
      </c>
      <c r="BX49" s="3">
        <v>6.68</v>
      </c>
      <c r="BY49" s="3">
        <v>9.49</v>
      </c>
      <c r="BZ49" s="3">
        <v>4.43</v>
      </c>
      <c r="CA49" s="3">
        <v>3.37</v>
      </c>
      <c r="CB49" s="3">
        <v>2.87</v>
      </c>
      <c r="CC49" s="3">
        <v>2.0699999999999998</v>
      </c>
      <c r="CD49" s="3">
        <v>1.73</v>
      </c>
      <c r="CE49" s="3">
        <v>1.34</v>
      </c>
      <c r="CF49" s="3">
        <v>1.1399999999999999</v>
      </c>
      <c r="CG49" s="3">
        <v>0.98</v>
      </c>
      <c r="CH49" s="3">
        <v>0.82</v>
      </c>
      <c r="CI49" s="3">
        <v>0.92</v>
      </c>
      <c r="CJ49" s="3">
        <v>0.93</v>
      </c>
    </row>
    <row r="50" spans="1:101" x14ac:dyDescent="0.35">
      <c r="A50" s="1"/>
      <c r="B50" s="4">
        <v>44593</v>
      </c>
      <c r="C50" s="5" t="s">
        <v>868</v>
      </c>
      <c r="D50" t="s">
        <v>874</v>
      </c>
      <c r="E50" t="s">
        <v>555</v>
      </c>
      <c r="F50" t="s">
        <v>831</v>
      </c>
      <c r="G50" t="s">
        <v>1009</v>
      </c>
      <c r="H50" t="s">
        <v>872</v>
      </c>
      <c r="I50" s="3" t="e">
        <v>#N/A</v>
      </c>
      <c r="J50" s="3" t="e">
        <v>#N/A</v>
      </c>
      <c r="K50" s="3" t="e">
        <v>#N/A</v>
      </c>
      <c r="L50" s="3" t="e">
        <v>#N/A</v>
      </c>
      <c r="M50" s="3" t="e">
        <v>#N/A</v>
      </c>
      <c r="N50" s="3" t="e">
        <v>#N/A</v>
      </c>
      <c r="O50" s="3" t="e">
        <v>#N/A</v>
      </c>
      <c r="P50" s="3" t="e">
        <v>#N/A</v>
      </c>
      <c r="Q50" s="3" t="e">
        <v>#N/A</v>
      </c>
      <c r="R50" s="3" t="e">
        <v>#N/A</v>
      </c>
      <c r="S50" s="3" t="e">
        <v>#N/A</v>
      </c>
      <c r="T50" s="3" t="e">
        <v>#N/A</v>
      </c>
      <c r="U50" s="3" t="e">
        <v>#N/A</v>
      </c>
      <c r="V50" s="3" t="e">
        <v>#N/A</v>
      </c>
      <c r="W50" s="3" t="e">
        <v>#N/A</v>
      </c>
      <c r="X50" s="3" t="e">
        <v>#N/A</v>
      </c>
      <c r="Y50" s="3" t="e">
        <v>#N/A</v>
      </c>
      <c r="Z50" s="3" t="e">
        <v>#N/A</v>
      </c>
      <c r="AA50" s="3" t="e">
        <v>#N/A</v>
      </c>
      <c r="AB50" s="3" t="e">
        <v>#N/A</v>
      </c>
      <c r="AC50" s="3" t="e">
        <v>#N/A</v>
      </c>
      <c r="AD50" s="3" t="e">
        <v>#N/A</v>
      </c>
      <c r="AE50" s="3" t="e">
        <v>#N/A</v>
      </c>
      <c r="AF50" s="3" t="e">
        <v>#N/A</v>
      </c>
      <c r="AG50" s="3" t="e">
        <v>#N/A</v>
      </c>
      <c r="AH50" s="3" t="e">
        <v>#N/A</v>
      </c>
      <c r="AI50" s="3" t="e">
        <v>#N/A</v>
      </c>
      <c r="AJ50" s="3" t="e">
        <v>#N/A</v>
      </c>
      <c r="AK50" s="3" t="e">
        <v>#N/A</v>
      </c>
      <c r="AL50" s="3" t="e">
        <v>#N/A</v>
      </c>
      <c r="AM50" s="3" t="e">
        <v>#N/A</v>
      </c>
      <c r="AN50" s="3" t="e">
        <v>#N/A</v>
      </c>
      <c r="AO50" s="3" t="e">
        <v>#N/A</v>
      </c>
      <c r="AP50" s="3" t="e">
        <v>#N/A</v>
      </c>
      <c r="AQ50" s="3" t="e">
        <v>#N/A</v>
      </c>
      <c r="AR50" s="3" t="e">
        <v>#N/A</v>
      </c>
      <c r="AS50" s="3" t="e">
        <v>#N/A</v>
      </c>
      <c r="AT50" s="3" t="e">
        <v>#N/A</v>
      </c>
      <c r="AU50" s="3" t="e">
        <v>#N/A</v>
      </c>
      <c r="AV50" s="3" t="e">
        <v>#N/A</v>
      </c>
      <c r="AW50" s="3" t="e">
        <v>#N/A</v>
      </c>
      <c r="AX50" s="3" t="e">
        <v>#N/A</v>
      </c>
      <c r="AY50" s="3" t="e">
        <v>#N/A</v>
      </c>
      <c r="AZ50" s="3" t="e">
        <v>#N/A</v>
      </c>
      <c r="BA50" s="3" t="e">
        <v>#N/A</v>
      </c>
      <c r="BB50" s="3" t="e">
        <v>#N/A</v>
      </c>
      <c r="BC50" s="3" t="e">
        <v>#N/A</v>
      </c>
      <c r="BD50" s="3" t="e">
        <v>#N/A</v>
      </c>
      <c r="BE50" s="3" t="e">
        <v>#N/A</v>
      </c>
      <c r="BF50" s="3" t="e">
        <v>#N/A</v>
      </c>
      <c r="BG50" s="3" t="e">
        <v>#N/A</v>
      </c>
      <c r="BH50" s="3" t="e">
        <v>#N/A</v>
      </c>
      <c r="BI50" s="3" t="e">
        <v>#N/A</v>
      </c>
      <c r="BJ50" s="3" t="e">
        <v>#N/A</v>
      </c>
      <c r="BK50" s="3" t="e">
        <v>#N/A</v>
      </c>
      <c r="BL50" s="3" t="e">
        <v>#N/A</v>
      </c>
      <c r="BM50" s="3" t="e">
        <v>#N/A</v>
      </c>
      <c r="BN50" s="3" t="e">
        <v>#N/A</v>
      </c>
      <c r="BO50" s="3" t="e">
        <v>#N/A</v>
      </c>
      <c r="BP50" s="3" t="e">
        <v>#N/A</v>
      </c>
      <c r="BQ50" s="3" t="e">
        <v>#N/A</v>
      </c>
      <c r="BR50" s="3" t="e">
        <v>#N/A</v>
      </c>
      <c r="BS50" s="3" t="e">
        <v>#N/A</v>
      </c>
      <c r="BT50" s="3" t="e">
        <v>#N/A</v>
      </c>
      <c r="BU50" s="3" t="e">
        <v>#N/A</v>
      </c>
      <c r="BV50" s="3" t="e">
        <v>#N/A</v>
      </c>
      <c r="BW50" s="3" t="e">
        <v>#N/A</v>
      </c>
      <c r="BX50" s="3">
        <v>6.4</v>
      </c>
      <c r="BY50" s="3">
        <v>7.81</v>
      </c>
      <c r="BZ50" s="3">
        <v>3.23</v>
      </c>
      <c r="CA50" s="3">
        <v>2.6</v>
      </c>
      <c r="CB50" s="3">
        <v>1.47</v>
      </c>
      <c r="CC50" s="3">
        <v>1.81</v>
      </c>
      <c r="CD50" s="3">
        <v>1.1599999999999999</v>
      </c>
      <c r="CE50" s="3">
        <v>0.88</v>
      </c>
      <c r="CF50" s="3">
        <v>1.17</v>
      </c>
      <c r="CG50" s="3">
        <v>1.1000000000000001</v>
      </c>
      <c r="CH50" s="3">
        <v>0.97</v>
      </c>
      <c r="CI50" s="3">
        <v>1.02</v>
      </c>
      <c r="CJ50" s="3">
        <v>0.98</v>
      </c>
      <c r="CK50" s="3">
        <v>0.93</v>
      </c>
    </row>
    <row r="51" spans="1:101" x14ac:dyDescent="0.35">
      <c r="A51" s="1"/>
      <c r="B51" s="4">
        <v>44682</v>
      </c>
      <c r="C51" s="5" t="s">
        <v>892</v>
      </c>
      <c r="D51" t="s">
        <v>899</v>
      </c>
      <c r="E51" t="s">
        <v>572</v>
      </c>
      <c r="F51" t="s">
        <v>853</v>
      </c>
      <c r="G51" t="s">
        <v>1009</v>
      </c>
      <c r="H51" t="s">
        <v>896</v>
      </c>
      <c r="I51" s="3" t="e">
        <v>#N/A</v>
      </c>
      <c r="J51" s="3" t="e">
        <v>#N/A</v>
      </c>
      <c r="K51" s="3" t="e">
        <v>#N/A</v>
      </c>
      <c r="L51" s="3" t="e">
        <v>#N/A</v>
      </c>
      <c r="M51" s="3" t="e">
        <v>#N/A</v>
      </c>
      <c r="N51" s="3" t="e">
        <v>#N/A</v>
      </c>
      <c r="O51" s="3" t="e">
        <v>#N/A</v>
      </c>
      <c r="P51" s="3" t="e">
        <v>#N/A</v>
      </c>
      <c r="Q51" s="3" t="e">
        <v>#N/A</v>
      </c>
      <c r="R51" s="3" t="e">
        <v>#N/A</v>
      </c>
      <c r="S51" s="3" t="e">
        <v>#N/A</v>
      </c>
      <c r="T51" s="3" t="e">
        <v>#N/A</v>
      </c>
      <c r="U51" s="3" t="e">
        <v>#N/A</v>
      </c>
      <c r="V51" s="3" t="e">
        <v>#N/A</v>
      </c>
      <c r="W51" s="3" t="e">
        <v>#N/A</v>
      </c>
      <c r="X51" s="3" t="e">
        <v>#N/A</v>
      </c>
      <c r="Y51" s="3" t="e">
        <v>#N/A</v>
      </c>
      <c r="Z51" s="3" t="e">
        <v>#N/A</v>
      </c>
      <c r="AA51" s="3" t="e">
        <v>#N/A</v>
      </c>
      <c r="AB51" s="3" t="e">
        <v>#N/A</v>
      </c>
      <c r="AC51" s="3" t="e">
        <v>#N/A</v>
      </c>
      <c r="AD51" s="3" t="e">
        <v>#N/A</v>
      </c>
      <c r="AE51" s="3" t="e">
        <v>#N/A</v>
      </c>
      <c r="AF51" s="3" t="e">
        <v>#N/A</v>
      </c>
      <c r="AG51" s="3" t="e">
        <v>#N/A</v>
      </c>
      <c r="AH51" s="3" t="e">
        <v>#N/A</v>
      </c>
      <c r="AI51" s="3" t="e">
        <v>#N/A</v>
      </c>
      <c r="AJ51" s="3" t="e">
        <v>#N/A</v>
      </c>
      <c r="AK51" s="3" t="e">
        <v>#N/A</v>
      </c>
      <c r="AL51" s="3" t="e">
        <v>#N/A</v>
      </c>
      <c r="AM51" s="3" t="e">
        <v>#N/A</v>
      </c>
      <c r="AN51" s="3" t="e">
        <v>#N/A</v>
      </c>
      <c r="AO51" s="3" t="e">
        <v>#N/A</v>
      </c>
      <c r="AP51" s="3" t="e">
        <v>#N/A</v>
      </c>
      <c r="AQ51" s="3" t="e">
        <v>#N/A</v>
      </c>
      <c r="AR51" s="3" t="e">
        <v>#N/A</v>
      </c>
      <c r="AS51" s="3" t="e">
        <v>#N/A</v>
      </c>
      <c r="AT51" s="3" t="e">
        <v>#N/A</v>
      </c>
      <c r="AU51" s="3" t="e">
        <v>#N/A</v>
      </c>
      <c r="AV51" s="3" t="e">
        <v>#N/A</v>
      </c>
      <c r="AW51" s="3" t="e">
        <v>#N/A</v>
      </c>
      <c r="AX51" s="3" t="e">
        <v>#N/A</v>
      </c>
      <c r="AY51" s="3" t="e">
        <v>#N/A</v>
      </c>
      <c r="AZ51" s="3" t="e">
        <v>#N/A</v>
      </c>
      <c r="BA51" s="3" t="e">
        <v>#N/A</v>
      </c>
      <c r="BB51" s="3" t="e">
        <v>#N/A</v>
      </c>
      <c r="BC51" s="3" t="e">
        <v>#N/A</v>
      </c>
      <c r="BD51" s="3" t="e">
        <v>#N/A</v>
      </c>
      <c r="BE51" s="3" t="e">
        <v>#N/A</v>
      </c>
      <c r="BF51" s="3" t="e">
        <v>#N/A</v>
      </c>
      <c r="BG51" s="3" t="e">
        <v>#N/A</v>
      </c>
      <c r="BH51" s="3" t="e">
        <v>#N/A</v>
      </c>
      <c r="BI51" s="3" t="e">
        <v>#N/A</v>
      </c>
      <c r="BJ51" s="3" t="e">
        <v>#N/A</v>
      </c>
      <c r="BK51" s="3" t="e">
        <v>#N/A</v>
      </c>
      <c r="BL51" s="3" t="e">
        <v>#N/A</v>
      </c>
      <c r="BM51" s="3" t="e">
        <v>#N/A</v>
      </c>
      <c r="BN51" s="3" t="e">
        <v>#N/A</v>
      </c>
      <c r="BO51" s="3" t="e">
        <v>#N/A</v>
      </c>
      <c r="BP51" s="3" t="e">
        <v>#N/A</v>
      </c>
      <c r="BQ51" s="3" t="e">
        <v>#N/A</v>
      </c>
      <c r="BR51" s="3" t="e">
        <v>#N/A</v>
      </c>
      <c r="BS51" s="3" t="e">
        <v>#N/A</v>
      </c>
      <c r="BT51" s="3" t="e">
        <v>#N/A</v>
      </c>
      <c r="BU51" s="3" t="e">
        <v>#N/A</v>
      </c>
      <c r="BV51" s="3" t="e">
        <v>#N/A</v>
      </c>
      <c r="BW51" s="3" t="e">
        <v>#N/A</v>
      </c>
      <c r="BX51" s="3" t="e">
        <v>#N/A</v>
      </c>
      <c r="BY51" s="3">
        <v>8.9</v>
      </c>
      <c r="BZ51" s="3">
        <v>3.22</v>
      </c>
      <c r="CA51" s="3">
        <v>2.86</v>
      </c>
      <c r="CB51" s="3">
        <v>0.66</v>
      </c>
      <c r="CC51" s="3">
        <v>-0.17</v>
      </c>
      <c r="CD51" s="3">
        <v>-0.04</v>
      </c>
      <c r="CE51" s="3">
        <v>-0.81</v>
      </c>
      <c r="CF51" s="3">
        <v>0.24</v>
      </c>
      <c r="CG51" s="3">
        <v>0.25</v>
      </c>
      <c r="CH51" s="3">
        <v>0.21</v>
      </c>
      <c r="CI51" s="3">
        <v>0.43</v>
      </c>
      <c r="CJ51" s="3">
        <v>0.49</v>
      </c>
      <c r="CK51" s="3">
        <v>0.57999999999999996</v>
      </c>
      <c r="CL51" s="3">
        <v>0.65</v>
      </c>
    </row>
    <row r="52" spans="1:101" x14ac:dyDescent="0.35">
      <c r="A52" s="1"/>
      <c r="B52" s="4">
        <v>44774</v>
      </c>
      <c r="C52" s="5" t="s">
        <v>922</v>
      </c>
      <c r="D52" t="s">
        <v>928</v>
      </c>
      <c r="E52" t="s">
        <v>588</v>
      </c>
      <c r="F52" t="s">
        <v>902</v>
      </c>
      <c r="G52" t="s">
        <v>1009</v>
      </c>
      <c r="H52" t="s">
        <v>926</v>
      </c>
      <c r="I52" s="3" t="e">
        <v>#N/A</v>
      </c>
      <c r="J52" s="3" t="e">
        <v>#N/A</v>
      </c>
      <c r="K52" s="3" t="e">
        <v>#N/A</v>
      </c>
      <c r="L52" s="3" t="e">
        <v>#N/A</v>
      </c>
      <c r="M52" s="3" t="e">
        <v>#N/A</v>
      </c>
      <c r="N52" s="3" t="e">
        <v>#N/A</v>
      </c>
      <c r="O52" s="3" t="e">
        <v>#N/A</v>
      </c>
      <c r="P52" s="3" t="e">
        <v>#N/A</v>
      </c>
      <c r="Q52" s="3" t="e">
        <v>#N/A</v>
      </c>
      <c r="R52" s="3" t="e">
        <v>#N/A</v>
      </c>
      <c r="S52" s="3" t="e">
        <v>#N/A</v>
      </c>
      <c r="T52" s="3" t="e">
        <v>#N/A</v>
      </c>
      <c r="U52" s="3" t="e">
        <v>#N/A</v>
      </c>
      <c r="V52" s="3" t="e">
        <v>#N/A</v>
      </c>
      <c r="W52" s="3" t="e">
        <v>#N/A</v>
      </c>
      <c r="X52" s="3" t="e">
        <v>#N/A</v>
      </c>
      <c r="Y52" s="3" t="e">
        <v>#N/A</v>
      </c>
      <c r="Z52" s="3" t="e">
        <v>#N/A</v>
      </c>
      <c r="AA52" s="3" t="e">
        <v>#N/A</v>
      </c>
      <c r="AB52" s="3" t="e">
        <v>#N/A</v>
      </c>
      <c r="AC52" s="3" t="e">
        <v>#N/A</v>
      </c>
      <c r="AD52" s="3" t="e">
        <v>#N/A</v>
      </c>
      <c r="AE52" s="3" t="e">
        <v>#N/A</v>
      </c>
      <c r="AF52" s="3" t="e">
        <v>#N/A</v>
      </c>
      <c r="AG52" s="3" t="e">
        <v>#N/A</v>
      </c>
      <c r="AH52" s="3" t="e">
        <v>#N/A</v>
      </c>
      <c r="AI52" s="3" t="e">
        <v>#N/A</v>
      </c>
      <c r="AJ52" s="3" t="e">
        <v>#N/A</v>
      </c>
      <c r="AK52" s="3" t="e">
        <v>#N/A</v>
      </c>
      <c r="AL52" s="3" t="e">
        <v>#N/A</v>
      </c>
      <c r="AM52" s="3" t="e">
        <v>#N/A</v>
      </c>
      <c r="AN52" s="3" t="e">
        <v>#N/A</v>
      </c>
      <c r="AO52" s="3" t="e">
        <v>#N/A</v>
      </c>
      <c r="AP52" s="3" t="e">
        <v>#N/A</v>
      </c>
      <c r="AQ52" s="3" t="e">
        <v>#N/A</v>
      </c>
      <c r="AR52" s="3" t="e">
        <v>#N/A</v>
      </c>
      <c r="AS52" s="3" t="e">
        <v>#N/A</v>
      </c>
      <c r="AT52" s="3" t="e">
        <v>#N/A</v>
      </c>
      <c r="AU52" s="3" t="e">
        <v>#N/A</v>
      </c>
      <c r="AV52" s="3" t="e">
        <v>#N/A</v>
      </c>
      <c r="AW52" s="3" t="e">
        <v>#N/A</v>
      </c>
      <c r="AX52" s="3" t="e">
        <v>#N/A</v>
      </c>
      <c r="AY52" s="3" t="e">
        <v>#N/A</v>
      </c>
      <c r="AZ52" s="3" t="e">
        <v>#N/A</v>
      </c>
      <c r="BA52" s="3" t="e">
        <v>#N/A</v>
      </c>
      <c r="BB52" s="3" t="e">
        <v>#N/A</v>
      </c>
      <c r="BC52" s="3" t="e">
        <v>#N/A</v>
      </c>
      <c r="BD52" s="3" t="e">
        <v>#N/A</v>
      </c>
      <c r="BE52" s="3" t="e">
        <v>#N/A</v>
      </c>
      <c r="BF52" s="3" t="e">
        <v>#N/A</v>
      </c>
      <c r="BG52" s="3" t="e">
        <v>#N/A</v>
      </c>
      <c r="BH52" s="3" t="e">
        <v>#N/A</v>
      </c>
      <c r="BI52" s="3" t="e">
        <v>#N/A</v>
      </c>
      <c r="BJ52" s="3" t="e">
        <v>#N/A</v>
      </c>
      <c r="BK52" s="3" t="e">
        <v>#N/A</v>
      </c>
      <c r="BL52" s="3" t="e">
        <v>#N/A</v>
      </c>
      <c r="BM52" s="3" t="e">
        <v>#N/A</v>
      </c>
      <c r="BN52" s="3" t="e">
        <v>#N/A</v>
      </c>
      <c r="BO52" s="3" t="e">
        <v>#N/A</v>
      </c>
      <c r="BP52" s="3" t="e">
        <v>#N/A</v>
      </c>
      <c r="BQ52" s="3" t="e">
        <v>#N/A</v>
      </c>
      <c r="BR52" s="3" t="e">
        <v>#N/A</v>
      </c>
      <c r="BS52" s="3" t="e">
        <v>#N/A</v>
      </c>
      <c r="BT52" s="3" t="e">
        <v>#N/A</v>
      </c>
      <c r="BU52" s="3" t="e">
        <v>#N/A</v>
      </c>
      <c r="BV52" s="3" t="e">
        <v>#N/A</v>
      </c>
      <c r="BW52" s="3" t="e">
        <v>#N/A</v>
      </c>
      <c r="BX52" s="3" t="e">
        <v>#N/A</v>
      </c>
      <c r="BY52" s="3" t="e">
        <v>#N/A</v>
      </c>
      <c r="BZ52" s="3">
        <v>2.81</v>
      </c>
      <c r="CA52" s="3">
        <v>2.2599999999999998</v>
      </c>
      <c r="CB52" s="3">
        <v>7.0000000000000007E-2</v>
      </c>
      <c r="CC52" s="3">
        <v>-1.01</v>
      </c>
      <c r="CD52" s="3">
        <v>-1.26</v>
      </c>
      <c r="CE52" s="3">
        <v>-2.0699999999999998</v>
      </c>
      <c r="CF52" s="3">
        <v>-1.24</v>
      </c>
      <c r="CG52" s="3">
        <v>-0.97</v>
      </c>
      <c r="CH52" s="3">
        <v>-0.52</v>
      </c>
      <c r="CI52" s="3">
        <v>-0.04</v>
      </c>
      <c r="CJ52" s="3">
        <v>7.0000000000000007E-2</v>
      </c>
      <c r="CK52" s="3">
        <v>0.19</v>
      </c>
      <c r="CL52" s="3">
        <v>0.32</v>
      </c>
      <c r="CM52" s="3">
        <v>0.38</v>
      </c>
    </row>
    <row r="53" spans="1:101" x14ac:dyDescent="0.35">
      <c r="A53" s="1"/>
      <c r="B53" s="4">
        <v>44866</v>
      </c>
      <c r="C53" s="5" t="s">
        <v>949</v>
      </c>
      <c r="D53" t="s">
        <v>956</v>
      </c>
      <c r="E53" t="s">
        <v>603</v>
      </c>
      <c r="F53" t="s">
        <v>918</v>
      </c>
      <c r="G53" t="s">
        <v>1009</v>
      </c>
      <c r="H53" t="s">
        <v>953</v>
      </c>
      <c r="I53" s="3" t="e">
        <v>#N/A</v>
      </c>
      <c r="J53" s="3" t="e">
        <v>#N/A</v>
      </c>
      <c r="K53" s="3" t="e">
        <v>#N/A</v>
      </c>
      <c r="L53" s="3" t="e">
        <v>#N/A</v>
      </c>
      <c r="M53" s="3" t="e">
        <v>#N/A</v>
      </c>
      <c r="N53" s="3" t="e">
        <v>#N/A</v>
      </c>
      <c r="O53" s="3" t="e">
        <v>#N/A</v>
      </c>
      <c r="P53" s="3" t="e">
        <v>#N/A</v>
      </c>
      <c r="Q53" s="3" t="e">
        <v>#N/A</v>
      </c>
      <c r="R53" s="3" t="e">
        <v>#N/A</v>
      </c>
      <c r="S53" s="3" t="e">
        <v>#N/A</v>
      </c>
      <c r="T53" s="3" t="e">
        <v>#N/A</v>
      </c>
      <c r="U53" s="3" t="e">
        <v>#N/A</v>
      </c>
      <c r="V53" s="3" t="e">
        <v>#N/A</v>
      </c>
      <c r="W53" s="3" t="e">
        <v>#N/A</v>
      </c>
      <c r="X53" s="3" t="e">
        <v>#N/A</v>
      </c>
      <c r="Y53" s="3" t="e">
        <v>#N/A</v>
      </c>
      <c r="Z53" s="3" t="e">
        <v>#N/A</v>
      </c>
      <c r="AA53" s="3" t="e">
        <v>#N/A</v>
      </c>
      <c r="AB53" s="3" t="e">
        <v>#N/A</v>
      </c>
      <c r="AC53" s="3" t="e">
        <v>#N/A</v>
      </c>
      <c r="AD53" s="3" t="e">
        <v>#N/A</v>
      </c>
      <c r="AE53" s="3" t="e">
        <v>#N/A</v>
      </c>
      <c r="AF53" s="3" t="e">
        <v>#N/A</v>
      </c>
      <c r="AG53" s="3" t="e">
        <v>#N/A</v>
      </c>
      <c r="AH53" s="3" t="e">
        <v>#N/A</v>
      </c>
      <c r="AI53" s="3" t="e">
        <v>#N/A</v>
      </c>
      <c r="AJ53" s="3" t="e">
        <v>#N/A</v>
      </c>
      <c r="AK53" s="3" t="e">
        <v>#N/A</v>
      </c>
      <c r="AL53" s="3" t="e">
        <v>#N/A</v>
      </c>
      <c r="AM53" s="3" t="e">
        <v>#N/A</v>
      </c>
      <c r="AN53" s="3" t="e">
        <v>#N/A</v>
      </c>
      <c r="AO53" s="3" t="e">
        <v>#N/A</v>
      </c>
      <c r="AP53" s="3" t="e">
        <v>#N/A</v>
      </c>
      <c r="AQ53" s="3" t="e">
        <v>#N/A</v>
      </c>
      <c r="AR53" s="3" t="e">
        <v>#N/A</v>
      </c>
      <c r="AS53" s="3" t="e">
        <v>#N/A</v>
      </c>
      <c r="AT53" s="3" t="e">
        <v>#N/A</v>
      </c>
      <c r="AU53" s="3" t="e">
        <v>#N/A</v>
      </c>
      <c r="AV53" s="3" t="e">
        <v>#N/A</v>
      </c>
      <c r="AW53" s="3" t="e">
        <v>#N/A</v>
      </c>
      <c r="AX53" s="3" t="e">
        <v>#N/A</v>
      </c>
      <c r="AY53" s="3" t="e">
        <v>#N/A</v>
      </c>
      <c r="AZ53" s="3" t="e">
        <v>#N/A</v>
      </c>
      <c r="BA53" s="3" t="e">
        <v>#N/A</v>
      </c>
      <c r="BB53" s="3" t="e">
        <v>#N/A</v>
      </c>
      <c r="BC53" s="3" t="e">
        <v>#N/A</v>
      </c>
      <c r="BD53" s="3" t="e">
        <v>#N/A</v>
      </c>
      <c r="BE53" s="3" t="e">
        <v>#N/A</v>
      </c>
      <c r="BF53" s="3" t="e">
        <v>#N/A</v>
      </c>
      <c r="BG53" s="3" t="e">
        <v>#N/A</v>
      </c>
      <c r="BH53" s="3" t="e">
        <v>#N/A</v>
      </c>
      <c r="BI53" s="3" t="e">
        <v>#N/A</v>
      </c>
      <c r="BJ53" s="3" t="e">
        <v>#N/A</v>
      </c>
      <c r="BK53" s="3" t="e">
        <v>#N/A</v>
      </c>
      <c r="BL53" s="3" t="e">
        <v>#N/A</v>
      </c>
      <c r="BM53" s="3" t="e">
        <v>#N/A</v>
      </c>
      <c r="BN53" s="3" t="e">
        <v>#N/A</v>
      </c>
      <c r="BO53" s="3" t="e">
        <v>#N/A</v>
      </c>
      <c r="BP53" s="3" t="e">
        <v>#N/A</v>
      </c>
      <c r="BQ53" s="3" t="e">
        <v>#N/A</v>
      </c>
      <c r="BR53" s="3" t="e">
        <v>#N/A</v>
      </c>
      <c r="BS53" s="3" t="e">
        <v>#N/A</v>
      </c>
      <c r="BT53" s="3" t="e">
        <v>#N/A</v>
      </c>
      <c r="BU53" s="3" t="e">
        <v>#N/A</v>
      </c>
      <c r="BV53" s="3" t="e">
        <v>#N/A</v>
      </c>
      <c r="BW53" s="3" t="e">
        <v>#N/A</v>
      </c>
      <c r="BX53" s="3" t="e">
        <v>#N/A</v>
      </c>
      <c r="BY53" s="3" t="e">
        <v>#N/A</v>
      </c>
      <c r="BZ53" s="3" t="e">
        <v>#N/A</v>
      </c>
      <c r="CA53" s="3">
        <v>2.0499999999999998</v>
      </c>
      <c r="CB53" s="3">
        <v>0.17</v>
      </c>
      <c r="CC53" s="3">
        <v>-0.56999999999999995</v>
      </c>
      <c r="CD53" s="3">
        <v>-1.82</v>
      </c>
      <c r="CE53" s="3">
        <v>-1.92</v>
      </c>
      <c r="CF53" s="3">
        <v>-1.94</v>
      </c>
      <c r="CG53" s="3">
        <v>-1.97</v>
      </c>
      <c r="CH53" s="3">
        <v>-1.0900000000000001</v>
      </c>
      <c r="CI53" s="3">
        <v>-0.44</v>
      </c>
      <c r="CJ53" s="3">
        <v>-0.13</v>
      </c>
      <c r="CK53" s="3">
        <v>0.08</v>
      </c>
      <c r="CL53" s="3">
        <v>0.34</v>
      </c>
      <c r="CM53" s="3">
        <v>0.51</v>
      </c>
      <c r="CN53" s="3">
        <v>0.66</v>
      </c>
    </row>
    <row r="54" spans="1:101" x14ac:dyDescent="0.35">
      <c r="A54" s="1"/>
      <c r="B54" s="4">
        <v>44958</v>
      </c>
      <c r="C54" s="5" t="s">
        <v>964</v>
      </c>
      <c r="D54" t="s">
        <v>969</v>
      </c>
      <c r="E54" t="s">
        <v>618</v>
      </c>
      <c r="F54" t="s">
        <v>946</v>
      </c>
      <c r="G54" t="s">
        <v>1009</v>
      </c>
      <c r="H54" t="s">
        <v>967</v>
      </c>
      <c r="I54" s="3" t="e">
        <v>#N/A</v>
      </c>
      <c r="J54" s="3" t="e">
        <v>#N/A</v>
      </c>
      <c r="K54" s="3" t="e">
        <v>#N/A</v>
      </c>
      <c r="L54" s="3" t="e">
        <v>#N/A</v>
      </c>
      <c r="M54" s="3" t="e">
        <v>#N/A</v>
      </c>
      <c r="N54" s="3" t="e">
        <v>#N/A</v>
      </c>
      <c r="O54" s="3" t="e">
        <v>#N/A</v>
      </c>
      <c r="P54" s="3" t="e">
        <v>#N/A</v>
      </c>
      <c r="Q54" s="3" t="e">
        <v>#N/A</v>
      </c>
      <c r="R54" s="3" t="e">
        <v>#N/A</v>
      </c>
      <c r="S54" s="3" t="e">
        <v>#N/A</v>
      </c>
      <c r="T54" s="3" t="e">
        <v>#N/A</v>
      </c>
      <c r="U54" s="3" t="e">
        <v>#N/A</v>
      </c>
      <c r="V54" s="3" t="e">
        <v>#N/A</v>
      </c>
      <c r="W54" s="3" t="e">
        <v>#N/A</v>
      </c>
      <c r="X54" s="3" t="e">
        <v>#N/A</v>
      </c>
      <c r="Y54" s="3" t="e">
        <v>#N/A</v>
      </c>
      <c r="Z54" s="3" t="e">
        <v>#N/A</v>
      </c>
      <c r="AA54" s="3" t="e">
        <v>#N/A</v>
      </c>
      <c r="AB54" s="3" t="e">
        <v>#N/A</v>
      </c>
      <c r="AC54" s="3" t="e">
        <v>#N/A</v>
      </c>
      <c r="AD54" s="3" t="e">
        <v>#N/A</v>
      </c>
      <c r="AE54" s="3" t="e">
        <v>#N/A</v>
      </c>
      <c r="AF54" s="3" t="e">
        <v>#N/A</v>
      </c>
      <c r="AG54" s="3" t="e">
        <v>#N/A</v>
      </c>
      <c r="AH54" s="3" t="e">
        <v>#N/A</v>
      </c>
      <c r="AI54" s="3" t="e">
        <v>#N/A</v>
      </c>
      <c r="AJ54" s="3" t="e">
        <v>#N/A</v>
      </c>
      <c r="AK54" s="3" t="e">
        <v>#N/A</v>
      </c>
      <c r="AL54" s="3" t="e">
        <v>#N/A</v>
      </c>
      <c r="AM54" s="3" t="e">
        <v>#N/A</v>
      </c>
      <c r="AN54" s="3" t="e">
        <v>#N/A</v>
      </c>
      <c r="AO54" s="3" t="e">
        <v>#N/A</v>
      </c>
      <c r="AP54" s="3" t="e">
        <v>#N/A</v>
      </c>
      <c r="AQ54" s="3" t="e">
        <v>#N/A</v>
      </c>
      <c r="AR54" s="3" t="e">
        <v>#N/A</v>
      </c>
      <c r="AS54" s="3" t="e">
        <v>#N/A</v>
      </c>
      <c r="AT54" s="3" t="e">
        <v>#N/A</v>
      </c>
      <c r="AU54" s="3" t="e">
        <v>#N/A</v>
      </c>
      <c r="AV54" s="3" t="e">
        <v>#N/A</v>
      </c>
      <c r="AW54" s="3" t="e">
        <v>#N/A</v>
      </c>
      <c r="AX54" s="3" t="e">
        <v>#N/A</v>
      </c>
      <c r="AY54" s="3" t="e">
        <v>#N/A</v>
      </c>
      <c r="AZ54" s="3" t="e">
        <v>#N/A</v>
      </c>
      <c r="BA54" s="3" t="e">
        <v>#N/A</v>
      </c>
      <c r="BB54" s="3" t="e">
        <v>#N/A</v>
      </c>
      <c r="BC54" s="3" t="e">
        <v>#N/A</v>
      </c>
      <c r="BD54" s="3" t="e">
        <v>#N/A</v>
      </c>
      <c r="BE54" s="3" t="e">
        <v>#N/A</v>
      </c>
      <c r="BF54" s="3" t="e">
        <v>#N/A</v>
      </c>
      <c r="BG54" s="3" t="e">
        <v>#N/A</v>
      </c>
      <c r="BH54" s="3" t="e">
        <v>#N/A</v>
      </c>
      <c r="BI54" s="3" t="e">
        <v>#N/A</v>
      </c>
      <c r="BJ54" s="3" t="e">
        <v>#N/A</v>
      </c>
      <c r="BK54" s="3" t="e">
        <v>#N/A</v>
      </c>
      <c r="BL54" s="3" t="e">
        <v>#N/A</v>
      </c>
      <c r="BM54" s="3" t="e">
        <v>#N/A</v>
      </c>
      <c r="BN54" s="3" t="e">
        <v>#N/A</v>
      </c>
      <c r="BO54" s="3" t="e">
        <v>#N/A</v>
      </c>
      <c r="BP54" s="3" t="e">
        <v>#N/A</v>
      </c>
      <c r="BQ54" s="3" t="e">
        <v>#N/A</v>
      </c>
      <c r="BR54" s="3" t="e">
        <v>#N/A</v>
      </c>
      <c r="BS54" s="3" t="e">
        <v>#N/A</v>
      </c>
      <c r="BT54" s="3" t="e">
        <v>#N/A</v>
      </c>
      <c r="BU54" s="3" t="e">
        <v>#N/A</v>
      </c>
      <c r="BV54" s="3" t="e">
        <v>#N/A</v>
      </c>
      <c r="BW54" s="3" t="e">
        <v>#N/A</v>
      </c>
      <c r="BX54" s="3" t="e">
        <v>#N/A</v>
      </c>
      <c r="BY54" s="3" t="e">
        <v>#N/A</v>
      </c>
      <c r="BZ54" s="3" t="e">
        <v>#N/A</v>
      </c>
      <c r="CA54" s="3" t="e">
        <v>#N/A</v>
      </c>
      <c r="CB54" s="3">
        <v>0.47</v>
      </c>
      <c r="CC54" s="3">
        <v>-0.25</v>
      </c>
      <c r="CD54" s="3">
        <v>-0.69</v>
      </c>
      <c r="CE54" s="3">
        <v>-0.54</v>
      </c>
      <c r="CF54" s="3">
        <v>-0.73</v>
      </c>
      <c r="CG54" s="3">
        <v>-0.71</v>
      </c>
      <c r="CH54" s="3">
        <v>-0.3</v>
      </c>
      <c r="CI54" s="3">
        <v>-0.09</v>
      </c>
      <c r="CJ54" s="3">
        <v>0.05</v>
      </c>
      <c r="CK54" s="3">
        <v>0.18</v>
      </c>
      <c r="CL54" s="3">
        <v>0.21</v>
      </c>
      <c r="CM54" s="3">
        <v>0.37</v>
      </c>
      <c r="CN54" s="3">
        <v>0.64</v>
      </c>
      <c r="CO54" s="3">
        <v>0.91</v>
      </c>
    </row>
    <row r="55" spans="1:101" x14ac:dyDescent="0.35">
      <c r="A55" s="1"/>
      <c r="B55" s="4">
        <v>45047</v>
      </c>
      <c r="C55" s="5" t="s">
        <v>1005</v>
      </c>
      <c r="D55" t="s">
        <v>1012</v>
      </c>
      <c r="E55" t="s">
        <v>627</v>
      </c>
      <c r="F55" t="s">
        <v>960</v>
      </c>
      <c r="G55" t="s">
        <v>1009</v>
      </c>
      <c r="H55" t="s">
        <v>1010</v>
      </c>
      <c r="I55" s="3" t="e">
        <v>#N/A</v>
      </c>
      <c r="J55" s="3" t="e">
        <v>#N/A</v>
      </c>
      <c r="K55" s="3" t="e">
        <v>#N/A</v>
      </c>
      <c r="L55" s="3" t="e">
        <v>#N/A</v>
      </c>
      <c r="M55" s="3" t="e">
        <v>#N/A</v>
      </c>
      <c r="N55" s="3" t="e">
        <v>#N/A</v>
      </c>
      <c r="O55" s="3" t="e">
        <v>#N/A</v>
      </c>
      <c r="P55" s="3" t="e">
        <v>#N/A</v>
      </c>
      <c r="Q55" s="3" t="e">
        <v>#N/A</v>
      </c>
      <c r="R55" s="3" t="e">
        <v>#N/A</v>
      </c>
      <c r="S55" s="3" t="e">
        <v>#N/A</v>
      </c>
      <c r="T55" s="3" t="e">
        <v>#N/A</v>
      </c>
      <c r="U55" s="3" t="e">
        <v>#N/A</v>
      </c>
      <c r="V55" s="3" t="e">
        <v>#N/A</v>
      </c>
      <c r="W55" s="3" t="e">
        <v>#N/A</v>
      </c>
      <c r="X55" s="3" t="e">
        <v>#N/A</v>
      </c>
      <c r="Y55" s="3" t="e">
        <v>#N/A</v>
      </c>
      <c r="Z55" s="3" t="e">
        <v>#N/A</v>
      </c>
      <c r="AA55" s="3" t="e">
        <v>#N/A</v>
      </c>
      <c r="AB55" s="3" t="e">
        <v>#N/A</v>
      </c>
      <c r="AC55" s="3" t="e">
        <v>#N/A</v>
      </c>
      <c r="AD55" s="3" t="e">
        <v>#N/A</v>
      </c>
      <c r="AE55" s="3" t="e">
        <v>#N/A</v>
      </c>
      <c r="AF55" s="3" t="e">
        <v>#N/A</v>
      </c>
      <c r="AG55" s="3" t="e">
        <v>#N/A</v>
      </c>
      <c r="AH55" s="3" t="e">
        <v>#N/A</v>
      </c>
      <c r="AI55" s="3" t="e">
        <v>#N/A</v>
      </c>
      <c r="AJ55" s="3" t="e">
        <v>#N/A</v>
      </c>
      <c r="AK55" s="3" t="e">
        <v>#N/A</v>
      </c>
      <c r="AL55" s="3" t="e">
        <v>#N/A</v>
      </c>
      <c r="AM55" s="3" t="e">
        <v>#N/A</v>
      </c>
      <c r="AN55" s="3" t="e">
        <v>#N/A</v>
      </c>
      <c r="AO55" s="3" t="e">
        <v>#N/A</v>
      </c>
      <c r="AP55" s="3" t="e">
        <v>#N/A</v>
      </c>
      <c r="AQ55" s="3" t="e">
        <v>#N/A</v>
      </c>
      <c r="AR55" s="3" t="e">
        <v>#N/A</v>
      </c>
      <c r="AS55" s="3" t="e">
        <v>#N/A</v>
      </c>
      <c r="AT55" s="3" t="e">
        <v>#N/A</v>
      </c>
      <c r="AU55" s="3" t="e">
        <v>#N/A</v>
      </c>
      <c r="AV55" s="3" t="e">
        <v>#N/A</v>
      </c>
      <c r="AW55" s="3" t="e">
        <v>#N/A</v>
      </c>
      <c r="AX55" s="3" t="e">
        <v>#N/A</v>
      </c>
      <c r="AY55" s="3" t="e">
        <v>#N/A</v>
      </c>
      <c r="AZ55" s="3" t="e">
        <v>#N/A</v>
      </c>
      <c r="BA55" s="3" t="e">
        <v>#N/A</v>
      </c>
      <c r="BB55" s="3" t="e">
        <v>#N/A</v>
      </c>
      <c r="BC55" s="3" t="e">
        <v>#N/A</v>
      </c>
      <c r="BD55" s="3" t="e">
        <v>#N/A</v>
      </c>
      <c r="BE55" s="3" t="e">
        <v>#N/A</v>
      </c>
      <c r="BF55" s="3" t="e">
        <v>#N/A</v>
      </c>
      <c r="BG55" s="3" t="e">
        <v>#N/A</v>
      </c>
      <c r="BH55" s="3" t="e">
        <v>#N/A</v>
      </c>
      <c r="BI55" s="3" t="e">
        <v>#N/A</v>
      </c>
      <c r="BJ55" s="3" t="e">
        <v>#N/A</v>
      </c>
      <c r="BK55" s="3" t="e">
        <v>#N/A</v>
      </c>
      <c r="BL55" s="3" t="e">
        <v>#N/A</v>
      </c>
      <c r="BM55" s="3" t="e">
        <v>#N/A</v>
      </c>
      <c r="BN55" s="3" t="e">
        <v>#N/A</v>
      </c>
      <c r="BO55" s="3" t="e">
        <v>#N/A</v>
      </c>
      <c r="BP55" s="3" t="e">
        <v>#N/A</v>
      </c>
      <c r="BQ55" s="3" t="e">
        <v>#N/A</v>
      </c>
      <c r="BR55" s="3" t="e">
        <v>#N/A</v>
      </c>
      <c r="BS55" s="3" t="e">
        <v>#N/A</v>
      </c>
      <c r="BT55" s="3" t="e">
        <v>#N/A</v>
      </c>
      <c r="BU55" s="3" t="e">
        <v>#N/A</v>
      </c>
      <c r="BV55" s="3" t="e">
        <v>#N/A</v>
      </c>
      <c r="BW55" s="3" t="e">
        <v>#N/A</v>
      </c>
      <c r="BX55" s="3" t="e">
        <v>#N/A</v>
      </c>
      <c r="BY55" s="3" t="e">
        <v>#N/A</v>
      </c>
      <c r="BZ55" s="3" t="e">
        <v>#N/A</v>
      </c>
      <c r="CA55" s="3" t="e">
        <v>#N/A</v>
      </c>
      <c r="CB55" s="3" t="e">
        <v>#N/A</v>
      </c>
      <c r="CC55" s="3">
        <v>0.09</v>
      </c>
      <c r="CD55" s="3">
        <v>0.03</v>
      </c>
      <c r="CE55" s="3">
        <v>0.61</v>
      </c>
      <c r="CF55" s="3">
        <v>0.67</v>
      </c>
      <c r="CG55" s="3">
        <v>0.8</v>
      </c>
      <c r="CH55" s="3">
        <v>0.89</v>
      </c>
      <c r="CI55" s="3">
        <v>0.6</v>
      </c>
      <c r="CJ55" s="3">
        <v>0.56000000000000005</v>
      </c>
      <c r="CK55" s="3">
        <v>0.62</v>
      </c>
      <c r="CL55" s="3">
        <v>0.74</v>
      </c>
      <c r="CM55" s="3">
        <v>0.77</v>
      </c>
      <c r="CN55" s="3">
        <v>0.9</v>
      </c>
      <c r="CO55" s="3">
        <v>1.02</v>
      </c>
      <c r="CP55" s="3">
        <v>1.1399999999999999</v>
      </c>
    </row>
    <row r="56" spans="1:101" x14ac:dyDescent="0.35">
      <c r="A56" s="1"/>
      <c r="B56" s="4">
        <v>45139</v>
      </c>
      <c r="C56" s="5" t="s">
        <v>1034</v>
      </c>
      <c r="D56" t="s">
        <v>1038</v>
      </c>
      <c r="E56" t="s">
        <v>640</v>
      </c>
      <c r="F56" t="s">
        <v>1002</v>
      </c>
      <c r="G56" t="s">
        <v>1009</v>
      </c>
      <c r="H56" t="s">
        <v>1032</v>
      </c>
      <c r="I56" s="3" t="e">
        <v>#N/A</v>
      </c>
      <c r="J56" s="3" t="e">
        <v>#N/A</v>
      </c>
      <c r="K56" s="3" t="e">
        <v>#N/A</v>
      </c>
      <c r="L56" s="3" t="e">
        <v>#N/A</v>
      </c>
      <c r="M56" s="3" t="e">
        <v>#N/A</v>
      </c>
      <c r="N56" s="3" t="e">
        <v>#N/A</v>
      </c>
      <c r="O56" s="3" t="e">
        <v>#N/A</v>
      </c>
      <c r="P56" s="3" t="e">
        <v>#N/A</v>
      </c>
      <c r="Q56" s="3" t="e">
        <v>#N/A</v>
      </c>
      <c r="R56" s="3" t="e">
        <v>#N/A</v>
      </c>
      <c r="S56" s="3" t="e">
        <v>#N/A</v>
      </c>
      <c r="T56" s="3" t="e">
        <v>#N/A</v>
      </c>
      <c r="U56" s="3" t="e">
        <v>#N/A</v>
      </c>
      <c r="V56" s="3" t="e">
        <v>#N/A</v>
      </c>
      <c r="W56" s="3" t="e">
        <v>#N/A</v>
      </c>
      <c r="X56" s="3" t="e">
        <v>#N/A</v>
      </c>
      <c r="Y56" s="3" t="e">
        <v>#N/A</v>
      </c>
      <c r="Z56" s="3" t="e">
        <v>#N/A</v>
      </c>
      <c r="AA56" s="3" t="e">
        <v>#N/A</v>
      </c>
      <c r="AB56" s="3" t="e">
        <v>#N/A</v>
      </c>
      <c r="AC56" s="3" t="e">
        <v>#N/A</v>
      </c>
      <c r="AD56" s="3" t="e">
        <v>#N/A</v>
      </c>
      <c r="AE56" s="3" t="e">
        <v>#N/A</v>
      </c>
      <c r="AF56" s="3" t="e">
        <v>#N/A</v>
      </c>
      <c r="AG56" s="3" t="e">
        <v>#N/A</v>
      </c>
      <c r="AH56" s="3" t="e">
        <v>#N/A</v>
      </c>
      <c r="AI56" s="3" t="e">
        <v>#N/A</v>
      </c>
      <c r="AJ56" s="3" t="e">
        <v>#N/A</v>
      </c>
      <c r="AK56" s="3" t="e">
        <v>#N/A</v>
      </c>
      <c r="AL56" s="3" t="e">
        <v>#N/A</v>
      </c>
      <c r="AM56" s="3" t="e">
        <v>#N/A</v>
      </c>
      <c r="AN56" s="3" t="e">
        <v>#N/A</v>
      </c>
      <c r="AO56" s="3" t="e">
        <v>#N/A</v>
      </c>
      <c r="AP56" s="3" t="e">
        <v>#N/A</v>
      </c>
      <c r="AQ56" s="3" t="e">
        <v>#N/A</v>
      </c>
      <c r="AR56" s="3" t="e">
        <v>#N/A</v>
      </c>
      <c r="AS56" s="3" t="e">
        <v>#N/A</v>
      </c>
      <c r="AT56" s="3" t="e">
        <v>#N/A</v>
      </c>
      <c r="AU56" s="3" t="e">
        <v>#N/A</v>
      </c>
      <c r="AV56" s="3" t="e">
        <v>#N/A</v>
      </c>
      <c r="AW56" s="3" t="e">
        <v>#N/A</v>
      </c>
      <c r="AX56" s="3" t="e">
        <v>#N/A</v>
      </c>
      <c r="AY56" s="3" t="e">
        <v>#N/A</v>
      </c>
      <c r="AZ56" s="3" t="e">
        <v>#N/A</v>
      </c>
      <c r="BA56" s="3" t="e">
        <v>#N/A</v>
      </c>
      <c r="BB56" s="3" t="e">
        <v>#N/A</v>
      </c>
      <c r="BC56" s="3" t="e">
        <v>#N/A</v>
      </c>
      <c r="BD56" s="3" t="e">
        <v>#N/A</v>
      </c>
      <c r="BE56" s="3" t="e">
        <v>#N/A</v>
      </c>
      <c r="BF56" s="3" t="e">
        <v>#N/A</v>
      </c>
      <c r="BG56" s="3" t="e">
        <v>#N/A</v>
      </c>
      <c r="BH56" s="3" t="e">
        <v>#N/A</v>
      </c>
      <c r="BI56" s="3" t="e">
        <v>#N/A</v>
      </c>
      <c r="BJ56" s="3" t="e">
        <v>#N/A</v>
      </c>
      <c r="BK56" s="3" t="e">
        <v>#N/A</v>
      </c>
      <c r="BL56" s="3" t="e">
        <v>#N/A</v>
      </c>
      <c r="BM56" s="3" t="e">
        <v>#N/A</v>
      </c>
      <c r="BN56" s="3" t="e">
        <v>#N/A</v>
      </c>
      <c r="BO56" s="3" t="e">
        <v>#N/A</v>
      </c>
      <c r="BP56" s="3" t="e">
        <v>#N/A</v>
      </c>
      <c r="BQ56" s="3" t="e">
        <v>#N/A</v>
      </c>
      <c r="BR56" s="3" t="e">
        <v>#N/A</v>
      </c>
      <c r="BS56" s="3" t="e">
        <v>#N/A</v>
      </c>
      <c r="BT56" s="3" t="e">
        <v>#N/A</v>
      </c>
      <c r="BU56" s="3" t="e">
        <v>#N/A</v>
      </c>
      <c r="BV56" s="3" t="e">
        <v>#N/A</v>
      </c>
      <c r="BW56" s="3" t="e">
        <v>#N/A</v>
      </c>
      <c r="BX56" s="3" t="e">
        <v>#N/A</v>
      </c>
      <c r="BY56" s="3" t="e">
        <v>#N/A</v>
      </c>
      <c r="BZ56" s="3" t="e">
        <v>#N/A</v>
      </c>
      <c r="CA56" s="3" t="e">
        <v>#N/A</v>
      </c>
      <c r="CB56" s="3" t="e">
        <v>#N/A</v>
      </c>
      <c r="CC56" s="3" t="e">
        <v>#N/A</v>
      </c>
      <c r="CD56" s="3">
        <v>0.28000000000000003</v>
      </c>
      <c r="CE56" s="3">
        <v>0.78</v>
      </c>
      <c r="CF56" s="3">
        <v>0.88</v>
      </c>
      <c r="CG56" s="3">
        <v>0.79</v>
      </c>
      <c r="CH56" s="3">
        <v>0.64</v>
      </c>
      <c r="CI56" s="3">
        <v>0.26</v>
      </c>
      <c r="CJ56" s="3">
        <v>0.05</v>
      </c>
      <c r="CK56" s="3">
        <v>0.06</v>
      </c>
      <c r="CL56" s="3">
        <v>0.21</v>
      </c>
      <c r="CM56" s="3">
        <v>0.34</v>
      </c>
      <c r="CN56" s="3">
        <v>0.54</v>
      </c>
      <c r="CO56" s="3">
        <v>0.78</v>
      </c>
      <c r="CP56" s="3">
        <v>0.99</v>
      </c>
      <c r="CQ56" s="3">
        <v>1.1299999999999999</v>
      </c>
    </row>
    <row r="57" spans="1:101" x14ac:dyDescent="0.35">
      <c r="A57" s="1"/>
      <c r="B57" s="4">
        <v>45231</v>
      </c>
      <c r="C57" s="5" t="s">
        <v>1060</v>
      </c>
      <c r="D57" t="s">
        <v>1066</v>
      </c>
      <c r="E57" t="s">
        <v>655</v>
      </c>
      <c r="F57" t="s">
        <v>1017</v>
      </c>
      <c r="G57" t="s">
        <v>1009</v>
      </c>
      <c r="H57" t="s">
        <v>1064</v>
      </c>
      <c r="I57" s="3" t="e">
        <v>#N/A</v>
      </c>
      <c r="J57" s="3" t="e">
        <v>#N/A</v>
      </c>
      <c r="K57" s="3" t="e">
        <v>#N/A</v>
      </c>
      <c r="L57" s="3" t="e">
        <v>#N/A</v>
      </c>
      <c r="M57" s="3" t="e">
        <v>#N/A</v>
      </c>
      <c r="N57" s="3" t="e">
        <v>#N/A</v>
      </c>
      <c r="O57" s="3" t="e">
        <v>#N/A</v>
      </c>
      <c r="P57" s="3" t="e">
        <v>#N/A</v>
      </c>
      <c r="Q57" s="3" t="e">
        <v>#N/A</v>
      </c>
      <c r="R57" s="3" t="e">
        <v>#N/A</v>
      </c>
      <c r="S57" s="3" t="e">
        <v>#N/A</v>
      </c>
      <c r="T57" s="3" t="e">
        <v>#N/A</v>
      </c>
      <c r="U57" s="3" t="e">
        <v>#N/A</v>
      </c>
      <c r="V57" s="3" t="e">
        <v>#N/A</v>
      </c>
      <c r="W57" s="3" t="e">
        <v>#N/A</v>
      </c>
      <c r="X57" s="3" t="e">
        <v>#N/A</v>
      </c>
      <c r="Y57" s="3" t="e">
        <v>#N/A</v>
      </c>
      <c r="Z57" s="3" t="e">
        <v>#N/A</v>
      </c>
      <c r="AA57" s="3" t="e">
        <v>#N/A</v>
      </c>
      <c r="AB57" s="3" t="e">
        <v>#N/A</v>
      </c>
      <c r="AC57" s="3" t="e">
        <v>#N/A</v>
      </c>
      <c r="AD57" s="3" t="e">
        <v>#N/A</v>
      </c>
      <c r="AE57" s="3" t="e">
        <v>#N/A</v>
      </c>
      <c r="AF57" s="3" t="e">
        <v>#N/A</v>
      </c>
      <c r="AG57" s="3" t="e">
        <v>#N/A</v>
      </c>
      <c r="AH57" s="3" t="e">
        <v>#N/A</v>
      </c>
      <c r="AI57" s="3" t="e">
        <v>#N/A</v>
      </c>
      <c r="AJ57" s="3" t="e">
        <v>#N/A</v>
      </c>
      <c r="AK57" s="3" t="e">
        <v>#N/A</v>
      </c>
      <c r="AL57" s="3" t="e">
        <v>#N/A</v>
      </c>
      <c r="AM57" s="3" t="e">
        <v>#N/A</v>
      </c>
      <c r="AN57" s="3" t="e">
        <v>#N/A</v>
      </c>
      <c r="AO57" s="3" t="e">
        <v>#N/A</v>
      </c>
      <c r="AP57" s="3" t="e">
        <v>#N/A</v>
      </c>
      <c r="AQ57" s="3" t="e">
        <v>#N/A</v>
      </c>
      <c r="AR57" s="3" t="e">
        <v>#N/A</v>
      </c>
      <c r="AS57" s="3" t="e">
        <v>#N/A</v>
      </c>
      <c r="AT57" s="3" t="e">
        <v>#N/A</v>
      </c>
      <c r="AU57" s="3" t="e">
        <v>#N/A</v>
      </c>
      <c r="AV57" s="3" t="e">
        <v>#N/A</v>
      </c>
      <c r="AW57" s="3" t="e">
        <v>#N/A</v>
      </c>
      <c r="AX57" s="3" t="e">
        <v>#N/A</v>
      </c>
      <c r="AY57" s="3" t="e">
        <v>#N/A</v>
      </c>
      <c r="AZ57" s="3" t="e">
        <v>#N/A</v>
      </c>
      <c r="BA57" s="3" t="e">
        <v>#N/A</v>
      </c>
      <c r="BB57" s="3" t="e">
        <v>#N/A</v>
      </c>
      <c r="BC57" s="3" t="e">
        <v>#N/A</v>
      </c>
      <c r="BD57" s="3" t="e">
        <v>#N/A</v>
      </c>
      <c r="BE57" s="3" t="e">
        <v>#N/A</v>
      </c>
      <c r="BF57" s="3" t="e">
        <v>#N/A</v>
      </c>
      <c r="BG57" s="3" t="e">
        <v>#N/A</v>
      </c>
      <c r="BH57" s="3" t="e">
        <v>#N/A</v>
      </c>
      <c r="BI57" s="3" t="e">
        <v>#N/A</v>
      </c>
      <c r="BJ57" s="3" t="e">
        <v>#N/A</v>
      </c>
      <c r="BK57" s="3" t="e">
        <v>#N/A</v>
      </c>
      <c r="BL57" s="3" t="e">
        <v>#N/A</v>
      </c>
      <c r="BM57" s="3" t="e">
        <v>#N/A</v>
      </c>
      <c r="BN57" s="3" t="e">
        <v>#N/A</v>
      </c>
      <c r="BO57" s="3" t="e">
        <v>#N/A</v>
      </c>
      <c r="BP57" s="3" t="e">
        <v>#N/A</v>
      </c>
      <c r="BQ57" s="3" t="e">
        <v>#N/A</v>
      </c>
      <c r="BR57" s="3" t="e">
        <v>#N/A</v>
      </c>
      <c r="BS57" s="3" t="e">
        <v>#N/A</v>
      </c>
      <c r="BT57" s="3" t="e">
        <v>#N/A</v>
      </c>
      <c r="BU57" s="3" t="e">
        <v>#N/A</v>
      </c>
      <c r="BV57" s="3" t="e">
        <v>#N/A</v>
      </c>
      <c r="BW57" s="3" t="e">
        <v>#N/A</v>
      </c>
      <c r="BX57" s="3" t="e">
        <v>#N/A</v>
      </c>
      <c r="BY57" s="3" t="e">
        <v>#N/A</v>
      </c>
      <c r="BZ57" s="3" t="e">
        <v>#N/A</v>
      </c>
      <c r="CA57" s="3" t="e">
        <v>#N/A</v>
      </c>
      <c r="CB57" s="3" t="e">
        <v>#N/A</v>
      </c>
      <c r="CC57" s="3" t="e">
        <v>#N/A</v>
      </c>
      <c r="CD57" s="3" t="e">
        <v>#N/A</v>
      </c>
      <c r="CE57" s="3">
        <v>0.6</v>
      </c>
      <c r="CF57" s="3">
        <v>0.6</v>
      </c>
      <c r="CG57" s="3">
        <v>0.2</v>
      </c>
      <c r="CH57" s="3">
        <v>0</v>
      </c>
      <c r="CI57" s="3">
        <v>0</v>
      </c>
      <c r="CJ57" s="3">
        <v>0</v>
      </c>
      <c r="CK57" s="3">
        <v>0</v>
      </c>
      <c r="CL57" s="3">
        <v>0.1</v>
      </c>
      <c r="CM57" s="3">
        <v>0.3</v>
      </c>
      <c r="CN57" s="3">
        <v>0.4</v>
      </c>
      <c r="CO57" s="3">
        <v>0.6</v>
      </c>
      <c r="CP57" s="3">
        <v>0.8</v>
      </c>
      <c r="CQ57" s="3">
        <v>0.9</v>
      </c>
      <c r="CR57" s="3">
        <v>1.1000000000000001</v>
      </c>
    </row>
    <row r="58" spans="1:101" x14ac:dyDescent="0.35">
      <c r="A58" s="1"/>
      <c r="B58" s="4">
        <v>45323</v>
      </c>
      <c r="C58" s="5" t="s">
        <v>1088</v>
      </c>
      <c r="D58" t="s">
        <v>1094</v>
      </c>
      <c r="E58" t="s">
        <v>656</v>
      </c>
      <c r="F58" t="s">
        <v>1057</v>
      </c>
      <c r="G58" t="s">
        <v>1009</v>
      </c>
      <c r="H58" t="s">
        <v>1092</v>
      </c>
      <c r="I58" s="3" t="e">
        <v>#N/A</v>
      </c>
      <c r="J58" s="3" t="e">
        <v>#N/A</v>
      </c>
      <c r="K58" s="3" t="e">
        <v>#N/A</v>
      </c>
      <c r="L58" s="3" t="e">
        <v>#N/A</v>
      </c>
      <c r="M58" s="3" t="e">
        <v>#N/A</v>
      </c>
      <c r="N58" s="3" t="e">
        <v>#N/A</v>
      </c>
      <c r="O58" s="3" t="e">
        <v>#N/A</v>
      </c>
      <c r="P58" s="3" t="e">
        <v>#N/A</v>
      </c>
      <c r="Q58" s="3" t="e">
        <v>#N/A</v>
      </c>
      <c r="R58" s="3" t="e">
        <v>#N/A</v>
      </c>
      <c r="S58" s="3" t="e">
        <v>#N/A</v>
      </c>
      <c r="T58" s="3" t="e">
        <v>#N/A</v>
      </c>
      <c r="U58" s="3" t="e">
        <v>#N/A</v>
      </c>
      <c r="V58" s="3" t="e">
        <v>#N/A</v>
      </c>
      <c r="W58" s="3" t="e">
        <v>#N/A</v>
      </c>
      <c r="X58" s="3" t="e">
        <v>#N/A</v>
      </c>
      <c r="Y58" s="3" t="e">
        <v>#N/A</v>
      </c>
      <c r="Z58" s="3" t="e">
        <v>#N/A</v>
      </c>
      <c r="AA58" s="3" t="e">
        <v>#N/A</v>
      </c>
      <c r="AB58" s="3" t="e">
        <v>#N/A</v>
      </c>
      <c r="AC58" s="3" t="e">
        <v>#N/A</v>
      </c>
      <c r="AD58" s="3" t="e">
        <v>#N/A</v>
      </c>
      <c r="AE58" s="3" t="e">
        <v>#N/A</v>
      </c>
      <c r="AF58" s="3" t="e">
        <v>#N/A</v>
      </c>
      <c r="AG58" s="3" t="e">
        <v>#N/A</v>
      </c>
      <c r="AH58" s="3" t="e">
        <v>#N/A</v>
      </c>
      <c r="AI58" s="3" t="e">
        <v>#N/A</v>
      </c>
      <c r="AJ58" s="3" t="e">
        <v>#N/A</v>
      </c>
      <c r="AK58" s="3" t="e">
        <v>#N/A</v>
      </c>
      <c r="AL58" s="3" t="e">
        <v>#N/A</v>
      </c>
      <c r="AM58" s="3" t="e">
        <v>#N/A</v>
      </c>
      <c r="AN58" s="3" t="e">
        <v>#N/A</v>
      </c>
      <c r="AO58" s="3" t="e">
        <v>#N/A</v>
      </c>
      <c r="AP58" s="3" t="e">
        <v>#N/A</v>
      </c>
      <c r="AQ58" s="3" t="e">
        <v>#N/A</v>
      </c>
      <c r="AR58" s="3" t="e">
        <v>#N/A</v>
      </c>
      <c r="AS58" s="3" t="e">
        <v>#N/A</v>
      </c>
      <c r="AT58" s="3" t="e">
        <v>#N/A</v>
      </c>
      <c r="AU58" s="3" t="e">
        <v>#N/A</v>
      </c>
      <c r="AV58" s="3" t="e">
        <v>#N/A</v>
      </c>
      <c r="AW58" s="3" t="e">
        <v>#N/A</v>
      </c>
      <c r="AX58" s="3" t="e">
        <v>#N/A</v>
      </c>
      <c r="AY58" s="3" t="e">
        <v>#N/A</v>
      </c>
      <c r="AZ58" s="3" t="e">
        <v>#N/A</v>
      </c>
      <c r="BA58" s="3" t="e">
        <v>#N/A</v>
      </c>
      <c r="BB58" s="3" t="e">
        <v>#N/A</v>
      </c>
      <c r="BC58" s="3" t="e">
        <v>#N/A</v>
      </c>
      <c r="BD58" s="3" t="e">
        <v>#N/A</v>
      </c>
      <c r="BE58" s="3" t="e">
        <v>#N/A</v>
      </c>
      <c r="BF58" s="3" t="e">
        <v>#N/A</v>
      </c>
      <c r="BG58" s="3" t="e">
        <v>#N/A</v>
      </c>
      <c r="BH58" s="3" t="e">
        <v>#N/A</v>
      </c>
      <c r="BI58" s="3" t="e">
        <v>#N/A</v>
      </c>
      <c r="BJ58" s="3" t="e">
        <v>#N/A</v>
      </c>
      <c r="BK58" s="3" t="e">
        <v>#N/A</v>
      </c>
      <c r="BL58" s="3" t="e">
        <v>#N/A</v>
      </c>
      <c r="BM58" s="3" t="e">
        <v>#N/A</v>
      </c>
      <c r="BN58" s="3" t="e">
        <v>#N/A</v>
      </c>
      <c r="BO58" s="3" t="e">
        <v>#N/A</v>
      </c>
      <c r="BP58" s="3" t="e">
        <v>#N/A</v>
      </c>
      <c r="BQ58" s="3" t="e">
        <v>#N/A</v>
      </c>
      <c r="BR58" s="3" t="e">
        <v>#N/A</v>
      </c>
      <c r="BS58" s="3" t="e">
        <v>#N/A</v>
      </c>
      <c r="BT58" s="3" t="e">
        <v>#N/A</v>
      </c>
      <c r="BU58" s="3" t="e">
        <v>#N/A</v>
      </c>
      <c r="BV58" s="3" t="e">
        <v>#N/A</v>
      </c>
      <c r="BW58" s="3" t="e">
        <v>#N/A</v>
      </c>
      <c r="BX58" s="3" t="e">
        <v>#N/A</v>
      </c>
      <c r="BY58" s="3" t="e">
        <v>#N/A</v>
      </c>
      <c r="BZ58" s="3" t="e">
        <v>#N/A</v>
      </c>
      <c r="CA58" s="3" t="e">
        <v>#N/A</v>
      </c>
      <c r="CB58" s="3" t="e">
        <v>#N/A</v>
      </c>
      <c r="CC58" s="3" t="e">
        <v>#N/A</v>
      </c>
      <c r="CD58" s="3" t="e">
        <v>#N/A</v>
      </c>
      <c r="CE58" s="3" t="e">
        <v>#N/A</v>
      </c>
      <c r="CF58" s="3">
        <v>0.2</v>
      </c>
      <c r="CG58" s="3">
        <v>0</v>
      </c>
      <c r="CH58" s="3">
        <v>0.1</v>
      </c>
      <c r="CI58" s="3">
        <v>0.4</v>
      </c>
      <c r="CJ58" s="3">
        <v>0.5</v>
      </c>
      <c r="CK58" s="3">
        <v>0.5</v>
      </c>
      <c r="CL58" s="3">
        <v>0.6</v>
      </c>
      <c r="CM58" s="3">
        <v>0.6</v>
      </c>
      <c r="CN58" s="3">
        <v>0.7</v>
      </c>
      <c r="CO58" s="3">
        <v>0.8</v>
      </c>
      <c r="CP58" s="3">
        <v>1</v>
      </c>
      <c r="CQ58" s="3">
        <v>1.2</v>
      </c>
      <c r="CR58" s="3">
        <v>1.4</v>
      </c>
      <c r="CS58" s="3">
        <v>1.5</v>
      </c>
    </row>
    <row r="59" spans="1:101" x14ac:dyDescent="0.35">
      <c r="A59" s="1"/>
      <c r="B59" s="4">
        <v>45413</v>
      </c>
      <c r="C59" s="5" t="s">
        <v>1116</v>
      </c>
      <c r="D59" t="s">
        <v>1122</v>
      </c>
      <c r="E59" t="s">
        <v>668</v>
      </c>
      <c r="F59" t="s">
        <v>1083</v>
      </c>
      <c r="G59" t="s">
        <v>1009</v>
      </c>
      <c r="H59" t="s">
        <v>1120</v>
      </c>
      <c r="I59" s="3" t="e">
        <v>#N/A</v>
      </c>
      <c r="J59" s="3" t="e">
        <v>#N/A</v>
      </c>
      <c r="K59" s="3" t="e">
        <v>#N/A</v>
      </c>
      <c r="L59" s="3" t="e">
        <v>#N/A</v>
      </c>
      <c r="M59" s="3" t="e">
        <v>#N/A</v>
      </c>
      <c r="N59" s="3" t="e">
        <v>#N/A</v>
      </c>
      <c r="O59" s="3" t="e">
        <v>#N/A</v>
      </c>
      <c r="P59" s="3" t="e">
        <v>#N/A</v>
      </c>
      <c r="Q59" s="3" t="e">
        <v>#N/A</v>
      </c>
      <c r="R59" s="3" t="e">
        <v>#N/A</v>
      </c>
      <c r="S59" s="3" t="e">
        <v>#N/A</v>
      </c>
      <c r="T59" s="3" t="e">
        <v>#N/A</v>
      </c>
      <c r="U59" s="3" t="e">
        <v>#N/A</v>
      </c>
      <c r="V59" s="3" t="e">
        <v>#N/A</v>
      </c>
      <c r="W59" s="3" t="e">
        <v>#N/A</v>
      </c>
      <c r="X59" s="3" t="e">
        <v>#N/A</v>
      </c>
      <c r="Y59" s="3" t="e">
        <v>#N/A</v>
      </c>
      <c r="Z59" s="3" t="e">
        <v>#N/A</v>
      </c>
      <c r="AA59" s="3" t="e">
        <v>#N/A</v>
      </c>
      <c r="AB59" s="3" t="e">
        <v>#N/A</v>
      </c>
      <c r="AC59" s="3" t="e">
        <v>#N/A</v>
      </c>
      <c r="AD59" s="3" t="e">
        <v>#N/A</v>
      </c>
      <c r="AE59" s="3" t="e">
        <v>#N/A</v>
      </c>
      <c r="AF59" s="3" t="e">
        <v>#N/A</v>
      </c>
      <c r="AG59" s="3" t="e">
        <v>#N/A</v>
      </c>
      <c r="AH59" s="3" t="e">
        <v>#N/A</v>
      </c>
      <c r="AI59" s="3" t="e">
        <v>#N/A</v>
      </c>
      <c r="AJ59" s="3" t="e">
        <v>#N/A</v>
      </c>
      <c r="AK59" s="3" t="e">
        <v>#N/A</v>
      </c>
      <c r="AL59" s="3" t="e">
        <v>#N/A</v>
      </c>
      <c r="AM59" s="3" t="e">
        <v>#N/A</v>
      </c>
      <c r="AN59" s="3" t="e">
        <v>#N/A</v>
      </c>
      <c r="AO59" s="3" t="e">
        <v>#N/A</v>
      </c>
      <c r="AP59" s="3" t="e">
        <v>#N/A</v>
      </c>
      <c r="AQ59" s="3" t="e">
        <v>#N/A</v>
      </c>
      <c r="AR59" s="3" t="e">
        <v>#N/A</v>
      </c>
      <c r="AS59" s="3" t="e">
        <v>#N/A</v>
      </c>
      <c r="AT59" s="3" t="e">
        <v>#N/A</v>
      </c>
      <c r="AU59" s="3" t="e">
        <v>#N/A</v>
      </c>
      <c r="AV59" s="3" t="e">
        <v>#N/A</v>
      </c>
      <c r="AW59" s="3" t="e">
        <v>#N/A</v>
      </c>
      <c r="AX59" s="3" t="e">
        <v>#N/A</v>
      </c>
      <c r="AY59" s="3" t="e">
        <v>#N/A</v>
      </c>
      <c r="AZ59" s="3" t="e">
        <v>#N/A</v>
      </c>
      <c r="BA59" s="3" t="e">
        <v>#N/A</v>
      </c>
      <c r="BB59" s="3" t="e">
        <v>#N/A</v>
      </c>
      <c r="BC59" s="3" t="e">
        <v>#N/A</v>
      </c>
      <c r="BD59" s="3" t="e">
        <v>#N/A</v>
      </c>
      <c r="BE59" s="3" t="e">
        <v>#N/A</v>
      </c>
      <c r="BF59" s="3" t="e">
        <v>#N/A</v>
      </c>
      <c r="BG59" s="3" t="e">
        <v>#N/A</v>
      </c>
      <c r="BH59" s="3" t="e">
        <v>#N/A</v>
      </c>
      <c r="BI59" s="3" t="e">
        <v>#N/A</v>
      </c>
      <c r="BJ59" s="3" t="e">
        <v>#N/A</v>
      </c>
      <c r="BK59" s="3" t="e">
        <v>#N/A</v>
      </c>
      <c r="BL59" s="3" t="e">
        <v>#N/A</v>
      </c>
      <c r="BM59" s="3" t="e">
        <v>#N/A</v>
      </c>
      <c r="BN59" s="3" t="e">
        <v>#N/A</v>
      </c>
      <c r="BO59" s="3" t="e">
        <v>#N/A</v>
      </c>
      <c r="BP59" s="3" t="e">
        <v>#N/A</v>
      </c>
      <c r="BQ59" s="3" t="e">
        <v>#N/A</v>
      </c>
      <c r="BR59" s="3" t="e">
        <v>#N/A</v>
      </c>
      <c r="BS59" s="3" t="e">
        <v>#N/A</v>
      </c>
      <c r="BT59" s="3" t="e">
        <v>#N/A</v>
      </c>
      <c r="BU59" s="3" t="e">
        <v>#N/A</v>
      </c>
      <c r="BV59" s="3" t="e">
        <v>#N/A</v>
      </c>
      <c r="BW59" s="3" t="e">
        <v>#N/A</v>
      </c>
      <c r="BX59" s="3" t="e">
        <v>#N/A</v>
      </c>
      <c r="BY59" s="3" t="e">
        <v>#N/A</v>
      </c>
      <c r="BZ59" s="3" t="e">
        <v>#N/A</v>
      </c>
      <c r="CA59" s="3" t="e">
        <v>#N/A</v>
      </c>
      <c r="CB59" s="3" t="e">
        <v>#N/A</v>
      </c>
      <c r="CC59" s="3" t="e">
        <v>#N/A</v>
      </c>
      <c r="CD59" s="3" t="e">
        <v>#N/A</v>
      </c>
      <c r="CE59" s="3" t="e">
        <v>#N/A</v>
      </c>
      <c r="CF59" s="3" t="e">
        <v>#N/A</v>
      </c>
      <c r="CG59" s="3">
        <v>-0.1</v>
      </c>
      <c r="CH59" s="3">
        <v>0.2</v>
      </c>
      <c r="CI59" s="3">
        <v>0.5</v>
      </c>
      <c r="CJ59" s="3">
        <v>1.1000000000000001</v>
      </c>
      <c r="CK59" s="3">
        <v>0.9</v>
      </c>
      <c r="CL59" s="3">
        <v>0.9</v>
      </c>
      <c r="CM59" s="3">
        <v>0.9</v>
      </c>
      <c r="CN59" s="3">
        <v>1</v>
      </c>
      <c r="CO59" s="3">
        <v>1.1000000000000001</v>
      </c>
      <c r="CP59" s="3">
        <v>1.2</v>
      </c>
      <c r="CQ59" s="3">
        <v>1.3</v>
      </c>
      <c r="CR59" s="3">
        <v>1.4</v>
      </c>
      <c r="CS59" s="3">
        <v>1.5</v>
      </c>
      <c r="CT59" s="3">
        <v>1.6</v>
      </c>
    </row>
    <row r="60" spans="1:101" x14ac:dyDescent="0.35">
      <c r="A60" s="1"/>
      <c r="B60" s="4">
        <v>45505</v>
      </c>
      <c r="C60" s="5" t="s">
        <v>1146</v>
      </c>
      <c r="D60" t="s">
        <v>1151</v>
      </c>
      <c r="E60" t="s">
        <v>693</v>
      </c>
      <c r="F60" t="s">
        <v>1113</v>
      </c>
      <c r="G60" t="s">
        <v>1009</v>
      </c>
      <c r="H60" t="s">
        <v>1150</v>
      </c>
      <c r="I60" s="3" t="e">
        <v>#N/A</v>
      </c>
      <c r="J60" s="3" t="e">
        <v>#N/A</v>
      </c>
      <c r="K60" s="3" t="e">
        <v>#N/A</v>
      </c>
      <c r="L60" s="3" t="e">
        <v>#N/A</v>
      </c>
      <c r="M60" s="3" t="e">
        <v>#N/A</v>
      </c>
      <c r="N60" s="3" t="e">
        <v>#N/A</v>
      </c>
      <c r="O60" s="3" t="e">
        <v>#N/A</v>
      </c>
      <c r="P60" s="3" t="e">
        <v>#N/A</v>
      </c>
      <c r="Q60" s="3" t="e">
        <v>#N/A</v>
      </c>
      <c r="R60" s="3" t="e">
        <v>#N/A</v>
      </c>
      <c r="S60" s="3" t="e">
        <v>#N/A</v>
      </c>
      <c r="T60" s="3" t="e">
        <v>#N/A</v>
      </c>
      <c r="U60" s="3" t="e">
        <v>#N/A</v>
      </c>
      <c r="V60" s="3" t="e">
        <v>#N/A</v>
      </c>
      <c r="W60" s="3" t="e">
        <v>#N/A</v>
      </c>
      <c r="X60" s="3" t="e">
        <v>#N/A</v>
      </c>
      <c r="Y60" s="3" t="e">
        <v>#N/A</v>
      </c>
      <c r="Z60" s="3" t="e">
        <v>#N/A</v>
      </c>
      <c r="AA60" s="3" t="e">
        <v>#N/A</v>
      </c>
      <c r="AB60" s="3" t="e">
        <v>#N/A</v>
      </c>
      <c r="AC60" s="3" t="e">
        <v>#N/A</v>
      </c>
      <c r="AD60" s="3" t="e">
        <v>#N/A</v>
      </c>
      <c r="AE60" s="3" t="e">
        <v>#N/A</v>
      </c>
      <c r="AF60" s="3" t="e">
        <v>#N/A</v>
      </c>
      <c r="AG60" s="3" t="e">
        <v>#N/A</v>
      </c>
      <c r="AH60" s="3" t="e">
        <v>#N/A</v>
      </c>
      <c r="AI60" s="3" t="e">
        <v>#N/A</v>
      </c>
      <c r="AJ60" s="3" t="e">
        <v>#N/A</v>
      </c>
      <c r="AK60" s="3" t="e">
        <v>#N/A</v>
      </c>
      <c r="AL60" s="3" t="e">
        <v>#N/A</v>
      </c>
      <c r="AM60" s="3" t="e">
        <v>#N/A</v>
      </c>
      <c r="AN60" s="3" t="e">
        <v>#N/A</v>
      </c>
      <c r="AO60" s="3" t="e">
        <v>#N/A</v>
      </c>
      <c r="AP60" s="3" t="e">
        <v>#N/A</v>
      </c>
      <c r="AQ60" s="3" t="e">
        <v>#N/A</v>
      </c>
      <c r="AR60" s="3" t="e">
        <v>#N/A</v>
      </c>
      <c r="AS60" s="3" t="e">
        <v>#N/A</v>
      </c>
      <c r="AT60" s="3" t="e">
        <v>#N/A</v>
      </c>
      <c r="AU60" s="3" t="e">
        <v>#N/A</v>
      </c>
      <c r="AV60" s="3" t="e">
        <v>#N/A</v>
      </c>
      <c r="AW60" s="3" t="e">
        <v>#N/A</v>
      </c>
      <c r="AX60" s="3" t="e">
        <v>#N/A</v>
      </c>
      <c r="AY60" s="3" t="e">
        <v>#N/A</v>
      </c>
      <c r="AZ60" s="3" t="e">
        <v>#N/A</v>
      </c>
      <c r="BA60" s="3" t="e">
        <v>#N/A</v>
      </c>
      <c r="BB60" s="3" t="e">
        <v>#N/A</v>
      </c>
      <c r="BC60" s="3" t="e">
        <v>#N/A</v>
      </c>
      <c r="BD60" s="3" t="e">
        <v>#N/A</v>
      </c>
      <c r="BE60" s="3" t="e">
        <v>#N/A</v>
      </c>
      <c r="BF60" s="3" t="e">
        <v>#N/A</v>
      </c>
      <c r="BG60" s="3" t="e">
        <v>#N/A</v>
      </c>
      <c r="BH60" s="3" t="e">
        <v>#N/A</v>
      </c>
      <c r="BI60" s="3" t="e">
        <v>#N/A</v>
      </c>
      <c r="BJ60" s="3" t="e">
        <v>#N/A</v>
      </c>
      <c r="BK60" s="3" t="e">
        <v>#N/A</v>
      </c>
      <c r="BL60" s="3" t="e">
        <v>#N/A</v>
      </c>
      <c r="BM60" s="3" t="e">
        <v>#N/A</v>
      </c>
      <c r="BN60" s="3" t="e">
        <v>#N/A</v>
      </c>
      <c r="BO60" s="3" t="e">
        <v>#N/A</v>
      </c>
      <c r="BP60" s="3" t="e">
        <v>#N/A</v>
      </c>
      <c r="BQ60" s="3" t="e">
        <v>#N/A</v>
      </c>
      <c r="BR60" s="3" t="e">
        <v>#N/A</v>
      </c>
      <c r="BS60" s="3" t="e">
        <v>#N/A</v>
      </c>
      <c r="BT60" s="3" t="e">
        <v>#N/A</v>
      </c>
      <c r="BU60" s="3" t="e">
        <v>#N/A</v>
      </c>
      <c r="BV60" s="3" t="e">
        <v>#N/A</v>
      </c>
      <c r="BW60" s="3" t="e">
        <v>#N/A</v>
      </c>
      <c r="BX60" s="3" t="e">
        <v>#N/A</v>
      </c>
      <c r="BY60" s="3" t="e">
        <v>#N/A</v>
      </c>
      <c r="BZ60" s="3" t="e">
        <v>#N/A</v>
      </c>
      <c r="CA60" s="3" t="e">
        <v>#N/A</v>
      </c>
      <c r="CB60" s="3" t="e">
        <v>#N/A</v>
      </c>
      <c r="CC60" s="3" t="e">
        <v>#N/A</v>
      </c>
      <c r="CD60" s="3" t="e">
        <v>#N/A</v>
      </c>
      <c r="CE60" s="3" t="e">
        <v>#N/A</v>
      </c>
      <c r="CF60" s="3" t="e">
        <v>#N/A</v>
      </c>
      <c r="CG60" s="3" t="e">
        <v>#N/A</v>
      </c>
      <c r="CH60" s="3">
        <v>1</v>
      </c>
      <c r="CI60" s="3">
        <v>1.5</v>
      </c>
      <c r="CJ60" s="3">
        <v>2</v>
      </c>
      <c r="CK60" s="3">
        <v>1.4</v>
      </c>
      <c r="CL60" s="3">
        <v>1</v>
      </c>
      <c r="CM60" s="3">
        <v>0.8</v>
      </c>
      <c r="CN60" s="3">
        <v>0.9</v>
      </c>
      <c r="CO60" s="3">
        <v>1.1000000000000001</v>
      </c>
      <c r="CP60" s="3">
        <v>1.3</v>
      </c>
      <c r="CQ60" s="3">
        <v>1.4</v>
      </c>
      <c r="CR60" s="3">
        <v>1.5</v>
      </c>
      <c r="CS60" s="3">
        <v>1.6</v>
      </c>
      <c r="CT60" s="3">
        <v>1.7</v>
      </c>
      <c r="CU60" s="3">
        <v>1.7</v>
      </c>
    </row>
    <row r="61" spans="1:101" x14ac:dyDescent="0.35">
      <c r="A61" s="1"/>
      <c r="B61" s="4">
        <v>45597</v>
      </c>
      <c r="C61" s="5" t="s">
        <v>1178</v>
      </c>
      <c r="D61" t="s">
        <v>1183</v>
      </c>
      <c r="E61" t="s">
        <v>700</v>
      </c>
      <c r="F61" t="s">
        <v>1140</v>
      </c>
      <c r="G61" t="s">
        <v>1009</v>
      </c>
      <c r="H61" t="s">
        <v>1182</v>
      </c>
      <c r="I61" s="3" t="e">
        <v>#N/A</v>
      </c>
      <c r="J61" s="3" t="e">
        <v>#N/A</v>
      </c>
      <c r="K61" s="3" t="e">
        <v>#N/A</v>
      </c>
      <c r="L61" s="3" t="e">
        <v>#N/A</v>
      </c>
      <c r="M61" s="3" t="e">
        <v>#N/A</v>
      </c>
      <c r="N61" s="3" t="e">
        <v>#N/A</v>
      </c>
      <c r="O61" s="3" t="e">
        <v>#N/A</v>
      </c>
      <c r="P61" s="3" t="e">
        <v>#N/A</v>
      </c>
      <c r="Q61" s="3" t="e">
        <v>#N/A</v>
      </c>
      <c r="R61" s="3" t="e">
        <v>#N/A</v>
      </c>
      <c r="S61" s="3" t="e">
        <v>#N/A</v>
      </c>
      <c r="T61" s="3" t="e">
        <v>#N/A</v>
      </c>
      <c r="U61" s="3" t="e">
        <v>#N/A</v>
      </c>
      <c r="V61" s="3" t="e">
        <v>#N/A</v>
      </c>
      <c r="W61" s="3" t="e">
        <v>#N/A</v>
      </c>
      <c r="X61" s="3" t="e">
        <v>#N/A</v>
      </c>
      <c r="Y61" s="3" t="e">
        <v>#N/A</v>
      </c>
      <c r="Z61" s="3" t="e">
        <v>#N/A</v>
      </c>
      <c r="AA61" s="3" t="e">
        <v>#N/A</v>
      </c>
      <c r="AB61" s="3" t="e">
        <v>#N/A</v>
      </c>
      <c r="AC61" s="3" t="e">
        <v>#N/A</v>
      </c>
      <c r="AD61" s="3" t="e">
        <v>#N/A</v>
      </c>
      <c r="AE61" s="3" t="e">
        <v>#N/A</v>
      </c>
      <c r="AF61" s="3" t="e">
        <v>#N/A</v>
      </c>
      <c r="AG61" s="3" t="e">
        <v>#N/A</v>
      </c>
      <c r="AH61" s="3" t="e">
        <v>#N/A</v>
      </c>
      <c r="AI61" s="3" t="e">
        <v>#N/A</v>
      </c>
      <c r="AJ61" s="3" t="e">
        <v>#N/A</v>
      </c>
      <c r="AK61" s="3" t="e">
        <v>#N/A</v>
      </c>
      <c r="AL61" s="3" t="e">
        <v>#N/A</v>
      </c>
      <c r="AM61" s="3" t="e">
        <v>#N/A</v>
      </c>
      <c r="AN61" s="3" t="e">
        <v>#N/A</v>
      </c>
      <c r="AO61" s="3" t="e">
        <v>#N/A</v>
      </c>
      <c r="AP61" s="3" t="e">
        <v>#N/A</v>
      </c>
      <c r="AQ61" s="3" t="e">
        <v>#N/A</v>
      </c>
      <c r="AR61" s="3" t="e">
        <v>#N/A</v>
      </c>
      <c r="AS61" s="3" t="e">
        <v>#N/A</v>
      </c>
      <c r="AT61" s="3" t="e">
        <v>#N/A</v>
      </c>
      <c r="AU61" s="3" t="e">
        <v>#N/A</v>
      </c>
      <c r="AV61" s="3" t="e">
        <v>#N/A</v>
      </c>
      <c r="AW61" s="3" t="e">
        <v>#N/A</v>
      </c>
      <c r="AX61" s="3" t="e">
        <v>#N/A</v>
      </c>
      <c r="AY61" s="3" t="e">
        <v>#N/A</v>
      </c>
      <c r="AZ61" s="3" t="e">
        <v>#N/A</v>
      </c>
      <c r="BA61" s="3" t="e">
        <v>#N/A</v>
      </c>
      <c r="BB61" s="3" t="e">
        <v>#N/A</v>
      </c>
      <c r="BC61" s="3" t="e">
        <v>#N/A</v>
      </c>
      <c r="BD61" s="3" t="e">
        <v>#N/A</v>
      </c>
      <c r="BE61" s="3" t="e">
        <v>#N/A</v>
      </c>
      <c r="BF61" s="3" t="e">
        <v>#N/A</v>
      </c>
      <c r="BG61" s="3" t="e">
        <v>#N/A</v>
      </c>
      <c r="BH61" s="3" t="e">
        <v>#N/A</v>
      </c>
      <c r="BI61" s="3" t="e">
        <v>#N/A</v>
      </c>
      <c r="BJ61" s="3" t="e">
        <v>#N/A</v>
      </c>
      <c r="BK61" s="3" t="e">
        <v>#N/A</v>
      </c>
      <c r="BL61" s="3" t="e">
        <v>#N/A</v>
      </c>
      <c r="BM61" s="3" t="e">
        <v>#N/A</v>
      </c>
      <c r="BN61" s="3" t="e">
        <v>#N/A</v>
      </c>
      <c r="BO61" s="3" t="e">
        <v>#N/A</v>
      </c>
      <c r="BP61" s="3" t="e">
        <v>#N/A</v>
      </c>
      <c r="BQ61" s="3" t="e">
        <v>#N/A</v>
      </c>
      <c r="BR61" s="3" t="e">
        <v>#N/A</v>
      </c>
      <c r="BS61" s="3" t="e">
        <v>#N/A</v>
      </c>
      <c r="BT61" s="3" t="e">
        <v>#N/A</v>
      </c>
      <c r="BU61" s="3" t="e">
        <v>#N/A</v>
      </c>
      <c r="BV61" s="3" t="e">
        <v>#N/A</v>
      </c>
      <c r="BW61" s="3" t="e">
        <v>#N/A</v>
      </c>
      <c r="BX61" s="3" t="e">
        <v>#N/A</v>
      </c>
      <c r="BY61" s="3" t="e">
        <v>#N/A</v>
      </c>
      <c r="BZ61" s="3" t="e">
        <v>#N/A</v>
      </c>
      <c r="CA61" s="3" t="e">
        <v>#N/A</v>
      </c>
      <c r="CB61" s="3" t="e">
        <v>#N/A</v>
      </c>
      <c r="CC61" s="3" t="e">
        <v>#N/A</v>
      </c>
      <c r="CD61" s="3" t="e">
        <v>#N/A</v>
      </c>
      <c r="CE61" s="3" t="e">
        <v>#N/A</v>
      </c>
      <c r="CF61" s="3" t="e">
        <v>#N/A</v>
      </c>
      <c r="CG61" s="3" t="e">
        <v>#N/A</v>
      </c>
      <c r="CH61" s="3" t="e">
        <v>#N/A</v>
      </c>
      <c r="CI61" s="3">
        <v>1</v>
      </c>
      <c r="CJ61" s="3">
        <v>1.7</v>
      </c>
      <c r="CK61" s="3">
        <v>1.4</v>
      </c>
      <c r="CL61" s="3">
        <v>1.4</v>
      </c>
      <c r="CM61" s="3">
        <v>1.6</v>
      </c>
      <c r="CN61" s="3">
        <v>1.7</v>
      </c>
      <c r="CO61" s="3">
        <v>1.6</v>
      </c>
      <c r="CP61" s="3">
        <v>1.4</v>
      </c>
      <c r="CQ61" s="3">
        <v>1.3</v>
      </c>
      <c r="CR61" s="3">
        <v>1.1000000000000001</v>
      </c>
      <c r="CS61" s="3">
        <v>1.1000000000000001</v>
      </c>
      <c r="CT61" s="3">
        <v>1.2</v>
      </c>
      <c r="CU61" s="3">
        <v>1.3</v>
      </c>
      <c r="CV61" s="3">
        <v>1.4</v>
      </c>
    </row>
    <row r="62" spans="1:101" x14ac:dyDescent="0.35">
      <c r="A62" s="1"/>
      <c r="B62" s="4">
        <v>45689</v>
      </c>
      <c r="C62" s="5" t="s">
        <v>106</v>
      </c>
      <c r="D62" t="s">
        <v>812</v>
      </c>
      <c r="E62" t="s">
        <v>811</v>
      </c>
      <c r="F62" t="s">
        <v>1175</v>
      </c>
      <c r="G62" t="s">
        <v>481</v>
      </c>
      <c r="H62" t="s">
        <v>1217</v>
      </c>
      <c r="I62" s="3" t="e">
        <v>#N/A</v>
      </c>
      <c r="J62" s="3" t="e">
        <v>#N/A</v>
      </c>
      <c r="K62" s="3" t="e">
        <v>#N/A</v>
      </c>
      <c r="L62" s="3" t="e">
        <v>#N/A</v>
      </c>
      <c r="M62" s="3" t="e">
        <v>#N/A</v>
      </c>
      <c r="N62" s="3" t="e">
        <v>#N/A</v>
      </c>
      <c r="O62" s="3" t="e">
        <v>#N/A</v>
      </c>
      <c r="P62" s="3" t="e">
        <v>#N/A</v>
      </c>
      <c r="Q62" s="3" t="e">
        <v>#N/A</v>
      </c>
      <c r="R62" s="3" t="e">
        <v>#N/A</v>
      </c>
      <c r="S62" s="3" t="e">
        <v>#N/A</v>
      </c>
      <c r="T62" s="3" t="e">
        <v>#N/A</v>
      </c>
      <c r="U62" s="3" t="e">
        <v>#N/A</v>
      </c>
      <c r="V62" s="3" t="e">
        <v>#N/A</v>
      </c>
      <c r="W62" s="3" t="e">
        <v>#N/A</v>
      </c>
      <c r="X62" s="3" t="e">
        <v>#N/A</v>
      </c>
      <c r="Y62" s="3" t="e">
        <v>#N/A</v>
      </c>
      <c r="Z62" s="3" t="e">
        <v>#N/A</v>
      </c>
      <c r="AA62" s="3" t="e">
        <v>#N/A</v>
      </c>
      <c r="AB62" s="3" t="e">
        <v>#N/A</v>
      </c>
      <c r="AC62" s="3" t="e">
        <v>#N/A</v>
      </c>
      <c r="AD62" s="3" t="e">
        <v>#N/A</v>
      </c>
      <c r="AE62" s="3" t="e">
        <v>#N/A</v>
      </c>
      <c r="AF62" s="3" t="e">
        <v>#N/A</v>
      </c>
      <c r="AG62" s="3" t="e">
        <v>#N/A</v>
      </c>
      <c r="AH62" s="3" t="e">
        <v>#N/A</v>
      </c>
      <c r="AI62" s="3" t="e">
        <v>#N/A</v>
      </c>
      <c r="AJ62" s="3" t="e">
        <v>#N/A</v>
      </c>
      <c r="AK62" s="3" t="e">
        <v>#N/A</v>
      </c>
      <c r="AL62" s="3" t="e">
        <v>#N/A</v>
      </c>
      <c r="AM62" s="3" t="e">
        <v>#N/A</v>
      </c>
      <c r="AN62" s="3" t="e">
        <v>#N/A</v>
      </c>
      <c r="AO62" s="3" t="e">
        <v>#N/A</v>
      </c>
      <c r="AP62" s="3" t="e">
        <v>#N/A</v>
      </c>
      <c r="AQ62" s="3" t="e">
        <v>#N/A</v>
      </c>
      <c r="AR62" s="3" t="e">
        <v>#N/A</v>
      </c>
      <c r="AS62" s="3" t="e">
        <v>#N/A</v>
      </c>
      <c r="AT62" s="3" t="e">
        <v>#N/A</v>
      </c>
      <c r="AU62" s="3" t="e">
        <v>#N/A</v>
      </c>
      <c r="AV62" s="3" t="e">
        <v>#N/A</v>
      </c>
      <c r="AW62" s="3" t="e">
        <v>#N/A</v>
      </c>
      <c r="AX62" s="3" t="e">
        <v>#N/A</v>
      </c>
      <c r="AY62" s="3" t="e">
        <v>#N/A</v>
      </c>
      <c r="AZ62" s="3" t="e">
        <v>#N/A</v>
      </c>
      <c r="BA62" s="3" t="e">
        <v>#N/A</v>
      </c>
      <c r="BB62" s="3" t="e">
        <v>#N/A</v>
      </c>
      <c r="BC62" s="3" t="e">
        <v>#N/A</v>
      </c>
      <c r="BD62" s="3" t="e">
        <v>#N/A</v>
      </c>
      <c r="BE62" s="3" t="e">
        <v>#N/A</v>
      </c>
      <c r="BF62" s="3" t="e">
        <v>#N/A</v>
      </c>
      <c r="BG62" s="3" t="e">
        <v>#N/A</v>
      </c>
      <c r="BH62" s="3" t="e">
        <v>#N/A</v>
      </c>
      <c r="BI62" s="3" t="e">
        <v>#N/A</v>
      </c>
      <c r="BJ62" s="3" t="e">
        <v>#N/A</v>
      </c>
      <c r="BK62" s="3" t="e">
        <v>#N/A</v>
      </c>
      <c r="BL62" s="3" t="e">
        <v>#N/A</v>
      </c>
      <c r="BM62" s="3" t="e">
        <v>#N/A</v>
      </c>
      <c r="BN62" s="3" t="e">
        <v>#N/A</v>
      </c>
      <c r="BO62" s="3" t="e">
        <v>#N/A</v>
      </c>
      <c r="BP62" s="3" t="e">
        <v>#N/A</v>
      </c>
      <c r="BQ62" s="3" t="e">
        <v>#N/A</v>
      </c>
      <c r="BR62" s="3" t="e">
        <v>#N/A</v>
      </c>
      <c r="BS62" s="3" t="e">
        <v>#N/A</v>
      </c>
      <c r="BT62" s="3" t="e">
        <v>#N/A</v>
      </c>
      <c r="BU62" s="3" t="e">
        <v>#N/A</v>
      </c>
      <c r="BV62" s="3" t="e">
        <v>#N/A</v>
      </c>
      <c r="BW62" s="3" t="e">
        <v>#N/A</v>
      </c>
      <c r="BX62" s="3" t="e">
        <v>#N/A</v>
      </c>
      <c r="BY62" s="3" t="e">
        <v>#N/A</v>
      </c>
      <c r="BZ62" s="3" t="e">
        <v>#N/A</v>
      </c>
      <c r="CA62" s="3" t="e">
        <v>#N/A</v>
      </c>
      <c r="CB62" s="3" t="e">
        <v>#N/A</v>
      </c>
      <c r="CC62" s="3" t="e">
        <v>#N/A</v>
      </c>
      <c r="CD62" s="3" t="e">
        <v>#N/A</v>
      </c>
      <c r="CE62" s="3" t="e">
        <v>#N/A</v>
      </c>
      <c r="CF62" s="3" t="e">
        <v>#N/A</v>
      </c>
      <c r="CG62" s="3" t="e">
        <v>#N/A</v>
      </c>
      <c r="CH62" s="3" t="e">
        <v>#N/A</v>
      </c>
      <c r="CI62" s="3" t="e">
        <v>#N/A</v>
      </c>
      <c r="CJ62" s="3">
        <v>1</v>
      </c>
      <c r="CK62" s="3">
        <v>0.4</v>
      </c>
      <c r="CL62" s="3">
        <v>0.3</v>
      </c>
      <c r="CM62" s="3">
        <v>0.7</v>
      </c>
      <c r="CN62" s="3">
        <v>1.2</v>
      </c>
      <c r="CO62" s="3">
        <v>1.5</v>
      </c>
      <c r="CP62" s="3">
        <v>1.5</v>
      </c>
      <c r="CQ62" s="3">
        <v>1.5</v>
      </c>
      <c r="CR62" s="3">
        <v>1.4</v>
      </c>
      <c r="CS62" s="3">
        <v>1.3</v>
      </c>
      <c r="CT62" s="3">
        <v>1.4</v>
      </c>
      <c r="CU62" s="3">
        <v>1.5</v>
      </c>
      <c r="CV62" s="3">
        <v>1.7</v>
      </c>
      <c r="CW62" s="3">
        <v>1.8</v>
      </c>
    </row>
    <row r="63" spans="1:101" x14ac:dyDescent="0.35">
      <c r="A63" s="1" t="s">
        <v>78</v>
      </c>
      <c r="B63" s="2"/>
      <c r="C63" s="5" t="s">
        <v>79</v>
      </c>
      <c r="D63" t="s">
        <v>526</v>
      </c>
      <c r="E63" t="s">
        <v>848</v>
      </c>
      <c r="F63" t="s">
        <v>1185</v>
      </c>
      <c r="G63" t="s">
        <v>525</v>
      </c>
      <c r="H63" t="s">
        <v>1184</v>
      </c>
      <c r="I63" s="6">
        <v>77.233333333333334</v>
      </c>
      <c r="J63" s="6">
        <v>77.999999999999986</v>
      </c>
      <c r="K63" s="6">
        <v>78.400000000000006</v>
      </c>
      <c r="L63" s="6">
        <v>78.766666666666666</v>
      </c>
      <c r="M63" s="6">
        <v>78.733333333333334</v>
      </c>
      <c r="N63" s="6">
        <v>79.8</v>
      </c>
      <c r="O63" s="6">
        <v>80.3</v>
      </c>
      <c r="P63" s="6">
        <v>80.899999999999991</v>
      </c>
      <c r="Q63" s="6">
        <v>81</v>
      </c>
      <c r="R63" s="6">
        <v>81.8</v>
      </c>
      <c r="S63" s="6">
        <v>81.733333333333334</v>
      </c>
      <c r="T63" s="6">
        <v>82.600000000000009</v>
      </c>
      <c r="U63" s="6">
        <v>82.933333333333337</v>
      </c>
      <c r="V63" s="6">
        <v>84.600000000000009</v>
      </c>
      <c r="W63" s="6">
        <v>85.633333333333326</v>
      </c>
      <c r="X63" s="6">
        <v>85.733333333333334</v>
      </c>
      <c r="Y63" s="6">
        <v>85.433333333333337</v>
      </c>
      <c r="Z63" s="6">
        <v>86.366666666666674</v>
      </c>
      <c r="AA63" s="6">
        <v>86.933333333333323</v>
      </c>
      <c r="AB63" s="6">
        <v>87.566666666666663</v>
      </c>
      <c r="AC63" s="6">
        <v>88.233333333333334</v>
      </c>
      <c r="AD63" s="6">
        <v>89.366666666666674</v>
      </c>
      <c r="AE63" s="6">
        <v>89.633333333333326</v>
      </c>
      <c r="AF63" s="6">
        <v>90.5</v>
      </c>
      <c r="AG63" s="6">
        <v>91.833333333333329</v>
      </c>
      <c r="AH63" s="6">
        <v>93.300000000000011</v>
      </c>
      <c r="AI63" s="6">
        <v>93.833333333333329</v>
      </c>
      <c r="AJ63" s="6">
        <v>94.733333333333334</v>
      </c>
      <c r="AK63" s="6">
        <v>95.033333333333346</v>
      </c>
      <c r="AL63" s="6">
        <v>95.8</v>
      </c>
      <c r="AM63" s="6">
        <v>96.066666666666663</v>
      </c>
      <c r="AN63" s="6">
        <v>97.266666666666652</v>
      </c>
      <c r="AO63" s="6">
        <v>97.666666666666671</v>
      </c>
      <c r="AP63" s="6">
        <v>98.366666666666674</v>
      </c>
      <c r="AQ63" s="6">
        <v>98.7</v>
      </c>
      <c r="AR63" s="6">
        <v>99.3</v>
      </c>
      <c r="AS63" s="6">
        <v>99.399999999999991</v>
      </c>
      <c r="AT63" s="6">
        <v>100.10000000000001</v>
      </c>
      <c r="AU63" s="6">
        <v>100.13333333333334</v>
      </c>
      <c r="AV63" s="6">
        <v>100.2</v>
      </c>
      <c r="AW63" s="6">
        <v>99.5</v>
      </c>
      <c r="AX63" s="6">
        <v>100.06666666666666</v>
      </c>
      <c r="AY63" s="6">
        <v>100.16666666666667</v>
      </c>
      <c r="AZ63" s="6">
        <v>100.3</v>
      </c>
      <c r="BA63" s="6">
        <v>99.833333333333329</v>
      </c>
      <c r="BB63" s="6">
        <v>100.40000000000002</v>
      </c>
      <c r="BC63" s="6">
        <v>100.86666666666667</v>
      </c>
      <c r="BD63" s="6">
        <v>101.5</v>
      </c>
      <c r="BE63" s="6">
        <v>102</v>
      </c>
      <c r="BF63" s="6">
        <v>103.16666666666667</v>
      </c>
      <c r="BG63" s="6">
        <v>103.7</v>
      </c>
      <c r="BH63" s="6">
        <v>104.56666666666668</v>
      </c>
      <c r="BI63" s="6">
        <v>104.76666666666667</v>
      </c>
      <c r="BJ63" s="6">
        <v>105.66666666666667</v>
      </c>
      <c r="BK63" s="6">
        <v>106.3</v>
      </c>
      <c r="BL63" s="6">
        <v>106.93333333333332</v>
      </c>
      <c r="BM63" s="6">
        <v>106.7</v>
      </c>
      <c r="BN63" s="6">
        <v>107.8</v>
      </c>
      <c r="BO63" s="6">
        <v>108.26666666666667</v>
      </c>
      <c r="BP63" s="6">
        <v>108.43333333333334</v>
      </c>
      <c r="BQ63" s="6">
        <v>108.46666666666665</v>
      </c>
      <c r="BR63" s="6">
        <v>108.53333333333335</v>
      </c>
      <c r="BS63" s="6">
        <v>108.93333333333332</v>
      </c>
      <c r="BT63" s="6">
        <v>109.06666666666666</v>
      </c>
      <c r="BU63" s="6">
        <v>109.16666666666667</v>
      </c>
      <c r="BV63" s="6">
        <v>110.73333333333333</v>
      </c>
      <c r="BW63" s="6">
        <v>111.93333333333332</v>
      </c>
      <c r="BX63" s="6">
        <v>114.39999999999999</v>
      </c>
      <c r="BY63" s="6">
        <v>115.93333333333332</v>
      </c>
      <c r="BZ63" s="6">
        <v>120.86666666666667</v>
      </c>
      <c r="CA63" s="6">
        <v>123.13333333333333</v>
      </c>
      <c r="CB63" s="6">
        <v>126.7</v>
      </c>
      <c r="CC63" s="6">
        <v>127.73333333333335</v>
      </c>
      <c r="CD63" s="6">
        <v>131.06666666666669</v>
      </c>
      <c r="CE63" s="6">
        <v>131.4</v>
      </c>
      <c r="CF63" s="6">
        <v>131.96666666666667</v>
      </c>
      <c r="CG63" s="6">
        <v>132.26666666666668</v>
      </c>
      <c r="CH63" s="6">
        <v>133.83333333333334</v>
      </c>
      <c r="CI63" s="6">
        <v>134.1</v>
      </c>
      <c r="CJ63" s="6">
        <v>135.23333333333335</v>
      </c>
    </row>
    <row r="64" spans="1:101" x14ac:dyDescent="0.35">
      <c r="A64" s="1" t="s">
        <v>80</v>
      </c>
      <c r="B64" s="2">
        <v>42856</v>
      </c>
      <c r="C64" s="5" t="s">
        <v>81</v>
      </c>
      <c r="D64" t="s">
        <v>527</v>
      </c>
      <c r="E64" t="s">
        <v>486</v>
      </c>
      <c r="F64" t="s">
        <v>506</v>
      </c>
      <c r="G64" t="s">
        <v>1009</v>
      </c>
      <c r="H64" t="s">
        <v>505</v>
      </c>
      <c r="I64" s="3" t="e">
        <v>#N/A</v>
      </c>
      <c r="J64" s="3" t="e">
        <v>#N/A</v>
      </c>
      <c r="K64" s="3" t="e">
        <v>#N/A</v>
      </c>
      <c r="L64" s="3" t="e">
        <v>#N/A</v>
      </c>
      <c r="M64" s="3" t="e">
        <v>#N/A</v>
      </c>
      <c r="N64" s="3" t="e">
        <v>#N/A</v>
      </c>
      <c r="O64" s="3" t="e">
        <v>#N/A</v>
      </c>
      <c r="P64" s="3" t="e">
        <v>#N/A</v>
      </c>
      <c r="Q64" s="3" t="e">
        <v>#N/A</v>
      </c>
      <c r="R64" s="3" t="e">
        <v>#N/A</v>
      </c>
      <c r="S64" s="3" t="e">
        <v>#N/A</v>
      </c>
      <c r="T64" s="3" t="e">
        <v>#N/A</v>
      </c>
      <c r="U64" s="3" t="e">
        <v>#N/A</v>
      </c>
      <c r="V64" s="3" t="e">
        <v>#N/A</v>
      </c>
      <c r="W64" s="3" t="e">
        <v>#N/A</v>
      </c>
      <c r="X64" s="3" t="e">
        <v>#N/A</v>
      </c>
      <c r="Y64" s="3" t="e">
        <v>#N/A</v>
      </c>
      <c r="Z64" s="3" t="e">
        <v>#N/A</v>
      </c>
      <c r="AA64" s="3" t="e">
        <v>#N/A</v>
      </c>
      <c r="AB64" s="3" t="e">
        <v>#N/A</v>
      </c>
      <c r="AC64" s="3" t="e">
        <v>#N/A</v>
      </c>
      <c r="AD64" s="3" t="e">
        <v>#N/A</v>
      </c>
      <c r="AE64" s="3" t="e">
        <v>#N/A</v>
      </c>
      <c r="AF64" s="3" t="e">
        <v>#N/A</v>
      </c>
      <c r="AG64" s="3" t="e">
        <v>#N/A</v>
      </c>
      <c r="AH64" s="3" t="e">
        <v>#N/A</v>
      </c>
      <c r="AI64" s="3" t="e">
        <v>#N/A</v>
      </c>
      <c r="AJ64" s="3" t="e">
        <v>#N/A</v>
      </c>
      <c r="AK64" s="3" t="e">
        <v>#N/A</v>
      </c>
      <c r="AL64" s="3" t="e">
        <v>#N/A</v>
      </c>
      <c r="AM64" s="3" t="e">
        <v>#N/A</v>
      </c>
      <c r="AN64" s="3" t="e">
        <v>#N/A</v>
      </c>
      <c r="AO64" s="3" t="e">
        <v>#N/A</v>
      </c>
      <c r="AP64" s="3" t="e">
        <v>#N/A</v>
      </c>
      <c r="AQ64" s="3" t="e">
        <v>#N/A</v>
      </c>
      <c r="AR64" s="3" t="e">
        <v>#N/A</v>
      </c>
      <c r="AS64" s="3" t="e">
        <v>#N/A</v>
      </c>
      <c r="AT64" s="3" t="e">
        <v>#N/A</v>
      </c>
      <c r="AU64" s="3" t="e">
        <v>#N/A</v>
      </c>
      <c r="AV64" s="3" t="e">
        <v>#N/A</v>
      </c>
      <c r="AW64" s="3" t="e">
        <v>#N/A</v>
      </c>
      <c r="AX64" s="3" t="e">
        <v>#N/A</v>
      </c>
      <c r="AY64" s="3" t="e">
        <v>#N/A</v>
      </c>
      <c r="AZ64" s="3" t="e">
        <v>#N/A</v>
      </c>
      <c r="BA64" s="3" t="e">
        <v>#N/A</v>
      </c>
      <c r="BB64" s="3" t="e">
        <v>#N/A</v>
      </c>
      <c r="BC64" s="3" t="e">
        <v>#N/A</v>
      </c>
      <c r="BD64" s="3" t="e">
        <v>#N/A</v>
      </c>
      <c r="BE64" s="3" t="e">
        <v>#N/A</v>
      </c>
      <c r="BF64" s="3">
        <v>2.65</v>
      </c>
      <c r="BG64" s="3">
        <v>2.64</v>
      </c>
      <c r="BH64" s="3">
        <v>2.82</v>
      </c>
      <c r="BI64" s="3">
        <v>2.67</v>
      </c>
      <c r="BJ64" s="3">
        <v>2.64</v>
      </c>
      <c r="BK64" s="3">
        <v>2.58</v>
      </c>
      <c r="BL64" s="3">
        <v>2.4300000000000002</v>
      </c>
      <c r="BM64" s="3">
        <v>2.33</v>
      </c>
      <c r="BN64" s="3">
        <v>2.2000000000000002</v>
      </c>
      <c r="BO64" s="3">
        <v>2.16</v>
      </c>
      <c r="BP64" s="3">
        <v>2.23</v>
      </c>
      <c r="BQ64" s="3">
        <v>2.2599999999999998</v>
      </c>
      <c r="BR64" s="3">
        <v>2.2599999999999998</v>
      </c>
    </row>
    <row r="65" spans="1:87" x14ac:dyDescent="0.35">
      <c r="B65" s="2">
        <v>42948</v>
      </c>
      <c r="C65" s="5" t="s">
        <v>82</v>
      </c>
      <c r="D65" t="s">
        <v>528</v>
      </c>
      <c r="E65" t="s">
        <v>490</v>
      </c>
      <c r="F65" t="s">
        <v>509</v>
      </c>
      <c r="G65" t="s">
        <v>1009</v>
      </c>
      <c r="H65" t="s">
        <v>508</v>
      </c>
      <c r="I65" s="3" t="e">
        <v>#N/A</v>
      </c>
      <c r="J65" s="3" t="e">
        <v>#N/A</v>
      </c>
      <c r="K65" s="3" t="e">
        <v>#N/A</v>
      </c>
      <c r="L65" s="3" t="e">
        <v>#N/A</v>
      </c>
      <c r="M65" s="3" t="e">
        <v>#N/A</v>
      </c>
      <c r="N65" s="3" t="e">
        <v>#N/A</v>
      </c>
      <c r="O65" s="3" t="e">
        <v>#N/A</v>
      </c>
      <c r="P65" s="3" t="e">
        <v>#N/A</v>
      </c>
      <c r="Q65" s="3" t="e">
        <v>#N/A</v>
      </c>
      <c r="R65" s="3" t="e">
        <v>#N/A</v>
      </c>
      <c r="S65" s="3" t="e">
        <v>#N/A</v>
      </c>
      <c r="T65" s="3" t="e">
        <v>#N/A</v>
      </c>
      <c r="U65" s="3" t="e">
        <v>#N/A</v>
      </c>
      <c r="V65" s="3" t="e">
        <v>#N/A</v>
      </c>
      <c r="W65" s="3" t="e">
        <v>#N/A</v>
      </c>
      <c r="X65" s="3" t="e">
        <v>#N/A</v>
      </c>
      <c r="Y65" s="3" t="e">
        <v>#N/A</v>
      </c>
      <c r="Z65" s="3" t="e">
        <v>#N/A</v>
      </c>
      <c r="AA65" s="3" t="e">
        <v>#N/A</v>
      </c>
      <c r="AB65" s="3" t="e">
        <v>#N/A</v>
      </c>
      <c r="AC65" s="3" t="e">
        <v>#N/A</v>
      </c>
      <c r="AD65" s="3" t="e">
        <v>#N/A</v>
      </c>
      <c r="AE65" s="3" t="e">
        <v>#N/A</v>
      </c>
      <c r="AF65" s="3" t="e">
        <v>#N/A</v>
      </c>
      <c r="AG65" s="3" t="e">
        <v>#N/A</v>
      </c>
      <c r="AH65" s="3" t="e">
        <v>#N/A</v>
      </c>
      <c r="AI65" s="3" t="e">
        <v>#N/A</v>
      </c>
      <c r="AJ65" s="3" t="e">
        <v>#N/A</v>
      </c>
      <c r="AK65" s="3" t="e">
        <v>#N/A</v>
      </c>
      <c r="AL65" s="3" t="e">
        <v>#N/A</v>
      </c>
      <c r="AM65" s="3" t="e">
        <v>#N/A</v>
      </c>
      <c r="AN65" s="3" t="e">
        <v>#N/A</v>
      </c>
      <c r="AO65" s="3" t="e">
        <v>#N/A</v>
      </c>
      <c r="AP65" s="3" t="e">
        <v>#N/A</v>
      </c>
      <c r="AQ65" s="3" t="e">
        <v>#N/A</v>
      </c>
      <c r="AR65" s="3" t="e">
        <v>#N/A</v>
      </c>
      <c r="AS65" s="3" t="e">
        <v>#N/A</v>
      </c>
      <c r="AT65" s="3" t="e">
        <v>#N/A</v>
      </c>
      <c r="AU65" s="3" t="e">
        <v>#N/A</v>
      </c>
      <c r="AV65" s="3" t="e">
        <v>#N/A</v>
      </c>
      <c r="AW65" s="3" t="e">
        <v>#N/A</v>
      </c>
      <c r="AX65" s="3" t="e">
        <v>#N/A</v>
      </c>
      <c r="AY65" s="3" t="e">
        <v>#N/A</v>
      </c>
      <c r="AZ65" s="3" t="e">
        <v>#N/A</v>
      </c>
      <c r="BA65" s="3" t="e">
        <v>#N/A</v>
      </c>
      <c r="BB65" s="3" t="e">
        <v>#N/A</v>
      </c>
      <c r="BC65" s="3" t="e">
        <v>#N/A</v>
      </c>
      <c r="BD65" s="3" t="e">
        <v>#N/A</v>
      </c>
      <c r="BE65" s="3" t="e">
        <v>#N/A</v>
      </c>
      <c r="BF65" s="3" t="e">
        <v>#N/A</v>
      </c>
      <c r="BG65" s="3">
        <v>2.68</v>
      </c>
      <c r="BH65" s="3">
        <v>2.75</v>
      </c>
      <c r="BI65" s="3">
        <v>2.73</v>
      </c>
      <c r="BJ65" s="3">
        <v>2.68</v>
      </c>
      <c r="BK65" s="3">
        <v>2.58</v>
      </c>
      <c r="BL65" s="3">
        <v>2.46</v>
      </c>
      <c r="BM65" s="3">
        <v>2.37</v>
      </c>
      <c r="BN65" s="3">
        <v>2.25</v>
      </c>
      <c r="BO65" s="3">
        <v>2.19</v>
      </c>
      <c r="BP65" s="3">
        <v>2.25</v>
      </c>
      <c r="BQ65" s="3">
        <v>2.2599999999999998</v>
      </c>
      <c r="BR65" s="3">
        <v>2.2400000000000002</v>
      </c>
      <c r="BS65" s="3">
        <v>2.2200000000000002</v>
      </c>
    </row>
    <row r="66" spans="1:87" x14ac:dyDescent="0.35">
      <c r="B66" s="4">
        <v>43040</v>
      </c>
      <c r="C66" s="5" t="s">
        <v>83</v>
      </c>
      <c r="D66" t="s">
        <v>529</v>
      </c>
      <c r="E66" t="s">
        <v>494</v>
      </c>
      <c r="F66" t="s">
        <v>512</v>
      </c>
      <c r="G66" t="s">
        <v>1009</v>
      </c>
      <c r="H66" t="s">
        <v>511</v>
      </c>
      <c r="I66" s="3" t="e">
        <v>#N/A</v>
      </c>
      <c r="J66" s="3" t="e">
        <v>#N/A</v>
      </c>
      <c r="K66" s="3" t="e">
        <v>#N/A</v>
      </c>
      <c r="L66" s="3" t="e">
        <v>#N/A</v>
      </c>
      <c r="M66" s="3" t="e">
        <v>#N/A</v>
      </c>
      <c r="N66" s="3" t="e">
        <v>#N/A</v>
      </c>
      <c r="O66" s="3" t="e">
        <v>#N/A</v>
      </c>
      <c r="P66" s="3" t="e">
        <v>#N/A</v>
      </c>
      <c r="Q66" s="3" t="e">
        <v>#N/A</v>
      </c>
      <c r="R66" s="3" t="e">
        <v>#N/A</v>
      </c>
      <c r="S66" s="3" t="e">
        <v>#N/A</v>
      </c>
      <c r="T66" s="3" t="e">
        <v>#N/A</v>
      </c>
      <c r="U66" s="3" t="e">
        <v>#N/A</v>
      </c>
      <c r="V66" s="3" t="e">
        <v>#N/A</v>
      </c>
      <c r="W66" s="3" t="e">
        <v>#N/A</v>
      </c>
      <c r="X66" s="3" t="e">
        <v>#N/A</v>
      </c>
      <c r="Y66" s="3" t="e">
        <v>#N/A</v>
      </c>
      <c r="Z66" s="3" t="e">
        <v>#N/A</v>
      </c>
      <c r="AA66" s="3" t="e">
        <v>#N/A</v>
      </c>
      <c r="AB66" s="3" t="e">
        <v>#N/A</v>
      </c>
      <c r="AC66" s="3" t="e">
        <v>#N/A</v>
      </c>
      <c r="AD66" s="3" t="e">
        <v>#N/A</v>
      </c>
      <c r="AE66" s="3" t="e">
        <v>#N/A</v>
      </c>
      <c r="AF66" s="3" t="e">
        <v>#N/A</v>
      </c>
      <c r="AG66" s="3" t="e">
        <v>#N/A</v>
      </c>
      <c r="AH66" s="3" t="e">
        <v>#N/A</v>
      </c>
      <c r="AI66" s="3" t="e">
        <v>#N/A</v>
      </c>
      <c r="AJ66" s="3" t="e">
        <v>#N/A</v>
      </c>
      <c r="AK66" s="3" t="e">
        <v>#N/A</v>
      </c>
      <c r="AL66" s="3" t="e">
        <v>#N/A</v>
      </c>
      <c r="AM66" s="3" t="e">
        <v>#N/A</v>
      </c>
      <c r="AN66" s="3" t="e">
        <v>#N/A</v>
      </c>
      <c r="AO66" s="3" t="e">
        <v>#N/A</v>
      </c>
      <c r="AP66" s="3" t="e">
        <v>#N/A</v>
      </c>
      <c r="AQ66" s="3" t="e">
        <v>#N/A</v>
      </c>
      <c r="AR66" s="3" t="e">
        <v>#N/A</v>
      </c>
      <c r="AS66" s="3" t="e">
        <v>#N/A</v>
      </c>
      <c r="AT66" s="3" t="e">
        <v>#N/A</v>
      </c>
      <c r="AU66" s="3" t="e">
        <v>#N/A</v>
      </c>
      <c r="AV66" s="3" t="e">
        <v>#N/A</v>
      </c>
      <c r="AW66" s="3" t="e">
        <v>#N/A</v>
      </c>
      <c r="AX66" s="3" t="e">
        <v>#N/A</v>
      </c>
      <c r="AY66" s="3" t="e">
        <v>#N/A</v>
      </c>
      <c r="AZ66" s="3" t="e">
        <v>#N/A</v>
      </c>
      <c r="BA66" s="3" t="e">
        <v>#N/A</v>
      </c>
      <c r="BB66" s="3" t="e">
        <v>#N/A</v>
      </c>
      <c r="BC66" s="3" t="e">
        <v>#N/A</v>
      </c>
      <c r="BD66" s="3" t="e">
        <v>#N/A</v>
      </c>
      <c r="BE66" s="3" t="e">
        <v>#N/A</v>
      </c>
      <c r="BF66" s="3" t="e">
        <v>#N/A</v>
      </c>
      <c r="BG66" s="3" t="e">
        <v>#N/A</v>
      </c>
      <c r="BH66" s="3">
        <v>2.97</v>
      </c>
      <c r="BI66" s="3">
        <v>2.6</v>
      </c>
      <c r="BJ66" s="3">
        <v>2.57</v>
      </c>
      <c r="BK66" s="3">
        <v>2.46</v>
      </c>
      <c r="BL66" s="3">
        <v>2.37</v>
      </c>
      <c r="BM66" s="3">
        <v>2.2799999999999998</v>
      </c>
      <c r="BN66" s="3">
        <v>2.2200000000000002</v>
      </c>
      <c r="BO66" s="3">
        <v>2.19</v>
      </c>
      <c r="BP66" s="3">
        <v>2.21</v>
      </c>
      <c r="BQ66" s="3">
        <v>2.2000000000000002</v>
      </c>
      <c r="BR66" s="3">
        <v>2.1800000000000002</v>
      </c>
      <c r="BS66" s="3">
        <v>2.15</v>
      </c>
      <c r="BT66" s="3">
        <v>2.15</v>
      </c>
    </row>
    <row r="67" spans="1:87" x14ac:dyDescent="0.35">
      <c r="B67" s="4">
        <v>43132</v>
      </c>
      <c r="C67" s="5" t="s">
        <v>113</v>
      </c>
      <c r="D67" t="s">
        <v>530</v>
      </c>
      <c r="E67" t="s">
        <v>498</v>
      </c>
      <c r="F67" t="s">
        <v>515</v>
      </c>
      <c r="G67" t="s">
        <v>1009</v>
      </c>
      <c r="H67" t="s">
        <v>514</v>
      </c>
      <c r="I67" s="3" t="e">
        <v>#N/A</v>
      </c>
      <c r="J67" s="3" t="e">
        <v>#N/A</v>
      </c>
      <c r="K67" s="3" t="e">
        <v>#N/A</v>
      </c>
      <c r="L67" s="3" t="e">
        <v>#N/A</v>
      </c>
      <c r="M67" s="3" t="e">
        <v>#N/A</v>
      </c>
      <c r="N67" s="3" t="e">
        <v>#N/A</v>
      </c>
      <c r="O67" s="3" t="e">
        <v>#N/A</v>
      </c>
      <c r="P67" s="3" t="e">
        <v>#N/A</v>
      </c>
      <c r="Q67" s="3" t="e">
        <v>#N/A</v>
      </c>
      <c r="R67" s="3" t="e">
        <v>#N/A</v>
      </c>
      <c r="S67" s="3" t="e">
        <v>#N/A</v>
      </c>
      <c r="T67" s="3" t="e">
        <v>#N/A</v>
      </c>
      <c r="U67" s="3" t="e">
        <v>#N/A</v>
      </c>
      <c r="V67" s="3" t="e">
        <v>#N/A</v>
      </c>
      <c r="W67" s="3" t="e">
        <v>#N/A</v>
      </c>
      <c r="X67" s="3" t="e">
        <v>#N/A</v>
      </c>
      <c r="Y67" s="3" t="e">
        <v>#N/A</v>
      </c>
      <c r="Z67" s="3" t="e">
        <v>#N/A</v>
      </c>
      <c r="AA67" s="3" t="e">
        <v>#N/A</v>
      </c>
      <c r="AB67" s="3" t="e">
        <v>#N/A</v>
      </c>
      <c r="AC67" s="3" t="e">
        <v>#N/A</v>
      </c>
      <c r="AD67" s="3" t="e">
        <v>#N/A</v>
      </c>
      <c r="AE67" s="3" t="e">
        <v>#N/A</v>
      </c>
      <c r="AF67" s="3" t="e">
        <v>#N/A</v>
      </c>
      <c r="AG67" s="3" t="e">
        <v>#N/A</v>
      </c>
      <c r="AH67" s="3" t="e">
        <v>#N/A</v>
      </c>
      <c r="AI67" s="3" t="e">
        <v>#N/A</v>
      </c>
      <c r="AJ67" s="3" t="e">
        <v>#N/A</v>
      </c>
      <c r="AK67" s="3" t="e">
        <v>#N/A</v>
      </c>
      <c r="AL67" s="3" t="e">
        <v>#N/A</v>
      </c>
      <c r="AM67" s="3" t="e">
        <v>#N/A</v>
      </c>
      <c r="AN67" s="3" t="e">
        <v>#N/A</v>
      </c>
      <c r="AO67" s="3" t="e">
        <v>#N/A</v>
      </c>
      <c r="AP67" s="3" t="e">
        <v>#N/A</v>
      </c>
      <c r="AQ67" s="3" t="e">
        <v>#N/A</v>
      </c>
      <c r="AR67" s="3" t="e">
        <v>#N/A</v>
      </c>
      <c r="AS67" s="3" t="e">
        <v>#N/A</v>
      </c>
      <c r="AT67" s="3" t="e">
        <v>#N/A</v>
      </c>
      <c r="AU67" s="3" t="e">
        <v>#N/A</v>
      </c>
      <c r="AV67" s="3" t="e">
        <v>#N/A</v>
      </c>
      <c r="AW67" s="3" t="e">
        <v>#N/A</v>
      </c>
      <c r="AX67" s="3" t="e">
        <v>#N/A</v>
      </c>
      <c r="AY67" s="3" t="e">
        <v>#N/A</v>
      </c>
      <c r="AZ67" s="3" t="e">
        <v>#N/A</v>
      </c>
      <c r="BA67" s="3" t="e">
        <v>#N/A</v>
      </c>
      <c r="BB67" s="3" t="e">
        <v>#N/A</v>
      </c>
      <c r="BC67" s="3" t="e">
        <v>#N/A</v>
      </c>
      <c r="BD67" s="3" t="e">
        <v>#N/A</v>
      </c>
      <c r="BE67" s="3" t="e">
        <v>#N/A</v>
      </c>
      <c r="BF67" s="3" t="e">
        <v>#N/A</v>
      </c>
      <c r="BG67" s="3" t="e">
        <v>#N/A</v>
      </c>
      <c r="BH67" s="3" t="e">
        <v>#N/A</v>
      </c>
      <c r="BI67" s="3">
        <v>2.92</v>
      </c>
      <c r="BJ67" s="3">
        <v>2.7</v>
      </c>
      <c r="BK67" s="3">
        <v>2.54</v>
      </c>
      <c r="BL67" s="3">
        <v>2.42</v>
      </c>
      <c r="BM67" s="3">
        <v>2.2799999999999998</v>
      </c>
      <c r="BN67" s="3">
        <v>2.19</v>
      </c>
      <c r="BO67" s="3">
        <v>2.19</v>
      </c>
      <c r="BP67" s="3">
        <v>2.1800000000000002</v>
      </c>
      <c r="BQ67" s="3">
        <v>2.16</v>
      </c>
      <c r="BR67" s="3">
        <v>2.14</v>
      </c>
      <c r="BS67" s="3">
        <v>2.11</v>
      </c>
      <c r="BT67" s="3">
        <v>2.11</v>
      </c>
      <c r="BU67" s="3">
        <v>2.11</v>
      </c>
    </row>
    <row r="68" spans="1:87" x14ac:dyDescent="0.35">
      <c r="A68" s="1"/>
      <c r="B68" s="4">
        <v>43221</v>
      </c>
      <c r="C68" s="5" t="s">
        <v>119</v>
      </c>
      <c r="D68" t="s">
        <v>531</v>
      </c>
      <c r="E68" t="s">
        <v>519</v>
      </c>
      <c r="F68" t="s">
        <v>518</v>
      </c>
      <c r="G68" t="s">
        <v>1009</v>
      </c>
      <c r="H68" t="s">
        <v>517</v>
      </c>
      <c r="I68" s="3" t="e">
        <v>#N/A</v>
      </c>
      <c r="J68" s="3" t="e">
        <v>#N/A</v>
      </c>
      <c r="K68" s="3" t="e">
        <v>#N/A</v>
      </c>
      <c r="L68" s="3" t="e">
        <v>#N/A</v>
      </c>
      <c r="M68" s="3" t="e">
        <v>#N/A</v>
      </c>
      <c r="N68" s="3" t="e">
        <v>#N/A</v>
      </c>
      <c r="O68" s="3" t="e">
        <v>#N/A</v>
      </c>
      <c r="P68" s="3" t="e">
        <v>#N/A</v>
      </c>
      <c r="Q68" s="3" t="e">
        <v>#N/A</v>
      </c>
      <c r="R68" s="3" t="e">
        <v>#N/A</v>
      </c>
      <c r="S68" s="3" t="e">
        <v>#N/A</v>
      </c>
      <c r="T68" s="3" t="e">
        <v>#N/A</v>
      </c>
      <c r="U68" s="3" t="e">
        <v>#N/A</v>
      </c>
      <c r="V68" s="3" t="e">
        <v>#N/A</v>
      </c>
      <c r="W68" s="3" t="e">
        <v>#N/A</v>
      </c>
      <c r="X68" s="3" t="e">
        <v>#N/A</v>
      </c>
      <c r="Y68" s="3" t="e">
        <v>#N/A</v>
      </c>
      <c r="Z68" s="3" t="e">
        <v>#N/A</v>
      </c>
      <c r="AA68" s="3" t="e">
        <v>#N/A</v>
      </c>
      <c r="AB68" s="3" t="e">
        <v>#N/A</v>
      </c>
      <c r="AC68" s="3" t="e">
        <v>#N/A</v>
      </c>
      <c r="AD68" s="3" t="e">
        <v>#N/A</v>
      </c>
      <c r="AE68" s="3" t="e">
        <v>#N/A</v>
      </c>
      <c r="AF68" s="3" t="e">
        <v>#N/A</v>
      </c>
      <c r="AG68" s="3" t="e">
        <v>#N/A</v>
      </c>
      <c r="AH68" s="3" t="e">
        <v>#N/A</v>
      </c>
      <c r="AI68" s="3" t="e">
        <v>#N/A</v>
      </c>
      <c r="AJ68" s="3" t="e">
        <v>#N/A</v>
      </c>
      <c r="AK68" s="3" t="e">
        <v>#N/A</v>
      </c>
      <c r="AL68" s="3" t="e">
        <v>#N/A</v>
      </c>
      <c r="AM68" s="3" t="e">
        <v>#N/A</v>
      </c>
      <c r="AN68" s="3" t="e">
        <v>#N/A</v>
      </c>
      <c r="AO68" s="3" t="e">
        <v>#N/A</v>
      </c>
      <c r="AP68" s="3" t="e">
        <v>#N/A</v>
      </c>
      <c r="AQ68" s="3" t="e">
        <v>#N/A</v>
      </c>
      <c r="AR68" s="3" t="e">
        <v>#N/A</v>
      </c>
      <c r="AS68" s="3" t="e">
        <v>#N/A</v>
      </c>
      <c r="AT68" s="3" t="e">
        <v>#N/A</v>
      </c>
      <c r="AU68" s="3" t="e">
        <v>#N/A</v>
      </c>
      <c r="AV68" s="3" t="e">
        <v>#N/A</v>
      </c>
      <c r="AW68" s="3" t="e">
        <v>#N/A</v>
      </c>
      <c r="AX68" s="3" t="e">
        <v>#N/A</v>
      </c>
      <c r="AY68" s="3" t="e">
        <v>#N/A</v>
      </c>
      <c r="AZ68" s="3" t="e">
        <v>#N/A</v>
      </c>
      <c r="BA68" s="3" t="e">
        <v>#N/A</v>
      </c>
      <c r="BB68" s="3" t="e">
        <v>#N/A</v>
      </c>
      <c r="BC68" s="3" t="e">
        <v>#N/A</v>
      </c>
      <c r="BD68" s="3" t="e">
        <v>#N/A</v>
      </c>
      <c r="BE68" s="3" t="e">
        <v>#N/A</v>
      </c>
      <c r="BF68" s="3" t="e">
        <v>#N/A</v>
      </c>
      <c r="BG68" s="3" t="e">
        <v>#N/A</v>
      </c>
      <c r="BH68" s="3" t="e">
        <v>#N/A</v>
      </c>
      <c r="BI68" s="3" t="e">
        <v>#N/A</v>
      </c>
      <c r="BJ68" s="3">
        <v>2.4300000000000002</v>
      </c>
      <c r="BK68" s="3">
        <v>2.35</v>
      </c>
      <c r="BL68" s="3">
        <v>2.16</v>
      </c>
      <c r="BM68" s="3">
        <v>2.14</v>
      </c>
      <c r="BN68" s="3">
        <v>2.13</v>
      </c>
      <c r="BO68" s="3">
        <v>2.06</v>
      </c>
      <c r="BP68" s="3">
        <v>2.08</v>
      </c>
      <c r="BQ68" s="3">
        <v>2.06</v>
      </c>
      <c r="BR68" s="3">
        <v>2.0299999999999998</v>
      </c>
      <c r="BS68" s="3">
        <v>2</v>
      </c>
      <c r="BT68" s="3">
        <v>2.0099999999999998</v>
      </c>
      <c r="BU68" s="3">
        <v>2</v>
      </c>
      <c r="BV68" s="3">
        <v>2</v>
      </c>
    </row>
    <row r="69" spans="1:87" x14ac:dyDescent="0.35">
      <c r="A69" s="1"/>
      <c r="B69" s="4">
        <v>43313</v>
      </c>
      <c r="C69" s="5" t="s">
        <v>477</v>
      </c>
      <c r="D69" t="s">
        <v>532</v>
      </c>
      <c r="E69" t="s">
        <v>523</v>
      </c>
      <c r="F69" t="s">
        <v>522</v>
      </c>
      <c r="G69" t="s">
        <v>1009</v>
      </c>
      <c r="H69" t="s">
        <v>521</v>
      </c>
      <c r="I69" s="3" t="e">
        <v>#N/A</v>
      </c>
      <c r="J69" s="3" t="e">
        <v>#N/A</v>
      </c>
      <c r="K69" s="3" t="e">
        <v>#N/A</v>
      </c>
      <c r="L69" s="3" t="e">
        <v>#N/A</v>
      </c>
      <c r="M69" s="3" t="e">
        <v>#N/A</v>
      </c>
      <c r="N69" s="3" t="e">
        <v>#N/A</v>
      </c>
      <c r="O69" s="3" t="e">
        <v>#N/A</v>
      </c>
      <c r="P69" s="3" t="e">
        <v>#N/A</v>
      </c>
      <c r="Q69" s="3" t="e">
        <v>#N/A</v>
      </c>
      <c r="R69" s="3" t="e">
        <v>#N/A</v>
      </c>
      <c r="S69" s="3" t="e">
        <v>#N/A</v>
      </c>
      <c r="T69" s="3" t="e">
        <v>#N/A</v>
      </c>
      <c r="U69" s="3" t="e">
        <v>#N/A</v>
      </c>
      <c r="V69" s="3" t="e">
        <v>#N/A</v>
      </c>
      <c r="W69" s="3" t="e">
        <v>#N/A</v>
      </c>
      <c r="X69" s="3" t="e">
        <v>#N/A</v>
      </c>
      <c r="Y69" s="3" t="e">
        <v>#N/A</v>
      </c>
      <c r="Z69" s="3" t="e">
        <v>#N/A</v>
      </c>
      <c r="AA69" s="3" t="e">
        <v>#N/A</v>
      </c>
      <c r="AB69" s="3" t="e">
        <v>#N/A</v>
      </c>
      <c r="AC69" s="3" t="e">
        <v>#N/A</v>
      </c>
      <c r="AD69" s="3" t="e">
        <v>#N/A</v>
      </c>
      <c r="AE69" s="3" t="e">
        <v>#N/A</v>
      </c>
      <c r="AF69" s="3" t="e">
        <v>#N/A</v>
      </c>
      <c r="AG69" s="3" t="e">
        <v>#N/A</v>
      </c>
      <c r="AH69" s="3" t="e">
        <v>#N/A</v>
      </c>
      <c r="AI69" s="3" t="e">
        <v>#N/A</v>
      </c>
      <c r="AJ69" s="3" t="e">
        <v>#N/A</v>
      </c>
      <c r="AK69" s="3" t="e">
        <v>#N/A</v>
      </c>
      <c r="AL69" s="3" t="e">
        <v>#N/A</v>
      </c>
      <c r="AM69" s="3" t="e">
        <v>#N/A</v>
      </c>
      <c r="AN69" s="3" t="e">
        <v>#N/A</v>
      </c>
      <c r="AO69" s="3" t="e">
        <v>#N/A</v>
      </c>
      <c r="AP69" s="3" t="e">
        <v>#N/A</v>
      </c>
      <c r="AQ69" s="3" t="e">
        <v>#N/A</v>
      </c>
      <c r="AR69" s="3" t="e">
        <v>#N/A</v>
      </c>
      <c r="AS69" s="3" t="e">
        <v>#N/A</v>
      </c>
      <c r="AT69" s="3" t="e">
        <v>#N/A</v>
      </c>
      <c r="AU69" s="3" t="e">
        <v>#N/A</v>
      </c>
      <c r="AV69" s="3" t="e">
        <v>#N/A</v>
      </c>
      <c r="AW69" s="3" t="e">
        <v>#N/A</v>
      </c>
      <c r="AX69" s="3" t="e">
        <v>#N/A</v>
      </c>
      <c r="AY69" s="3" t="e">
        <v>#N/A</v>
      </c>
      <c r="AZ69" s="3" t="e">
        <v>#N/A</v>
      </c>
      <c r="BA69" s="3" t="e">
        <v>#N/A</v>
      </c>
      <c r="BB69" s="3" t="e">
        <v>#N/A</v>
      </c>
      <c r="BC69" s="3" t="e">
        <v>#N/A</v>
      </c>
      <c r="BD69" s="3" t="e">
        <v>#N/A</v>
      </c>
      <c r="BE69" s="3" t="e">
        <v>#N/A</v>
      </c>
      <c r="BF69" s="3" t="e">
        <v>#N/A</v>
      </c>
      <c r="BG69" s="3" t="e">
        <v>#N/A</v>
      </c>
      <c r="BH69" s="3" t="e">
        <v>#N/A</v>
      </c>
      <c r="BI69" s="3" t="e">
        <v>#N/A</v>
      </c>
      <c r="BJ69" s="3" t="e">
        <v>#N/A</v>
      </c>
      <c r="BK69" s="3">
        <v>2.48</v>
      </c>
      <c r="BL69" s="3">
        <v>2.29</v>
      </c>
      <c r="BM69" s="3">
        <v>2.3199999999999998</v>
      </c>
      <c r="BN69" s="3">
        <v>2.34</v>
      </c>
      <c r="BO69" s="3">
        <v>2.15</v>
      </c>
      <c r="BP69" s="3">
        <v>2.17</v>
      </c>
      <c r="BQ69" s="3">
        <v>2.15</v>
      </c>
      <c r="BR69" s="3">
        <v>2.13</v>
      </c>
      <c r="BS69" s="3">
        <v>2.09</v>
      </c>
      <c r="BT69" s="3">
        <v>2.04</v>
      </c>
      <c r="BU69" s="3">
        <v>2.0299999999999998</v>
      </c>
      <c r="BV69" s="3">
        <v>2.04</v>
      </c>
      <c r="BW69" s="3">
        <v>2.0299999999999998</v>
      </c>
    </row>
    <row r="70" spans="1:87" x14ac:dyDescent="0.35">
      <c r="A70" s="1"/>
      <c r="B70" s="4">
        <v>43405</v>
      </c>
      <c r="C70" s="5" t="s">
        <v>560</v>
      </c>
      <c r="D70" t="s">
        <v>569</v>
      </c>
      <c r="E70" t="s">
        <v>567</v>
      </c>
      <c r="F70" t="s">
        <v>555</v>
      </c>
      <c r="G70" t="s">
        <v>1009</v>
      </c>
      <c r="H70" t="s">
        <v>566</v>
      </c>
      <c r="I70" s="3" t="e">
        <v>#N/A</v>
      </c>
      <c r="J70" s="3" t="e">
        <v>#N/A</v>
      </c>
      <c r="K70" s="3" t="e">
        <v>#N/A</v>
      </c>
      <c r="L70" s="3" t="e">
        <v>#N/A</v>
      </c>
      <c r="M70" s="3" t="e">
        <v>#N/A</v>
      </c>
      <c r="N70" s="3" t="e">
        <v>#N/A</v>
      </c>
      <c r="O70" s="3" t="e">
        <v>#N/A</v>
      </c>
      <c r="P70" s="3" t="e">
        <v>#N/A</v>
      </c>
      <c r="Q70" s="3" t="e">
        <v>#N/A</v>
      </c>
      <c r="R70" s="3" t="e">
        <v>#N/A</v>
      </c>
      <c r="S70" s="3" t="e">
        <v>#N/A</v>
      </c>
      <c r="T70" s="3" t="e">
        <v>#N/A</v>
      </c>
      <c r="U70" s="3" t="e">
        <v>#N/A</v>
      </c>
      <c r="V70" s="3" t="e">
        <v>#N/A</v>
      </c>
      <c r="W70" s="3" t="e">
        <v>#N/A</v>
      </c>
      <c r="X70" s="3" t="e">
        <v>#N/A</v>
      </c>
      <c r="Y70" s="3" t="e">
        <v>#N/A</v>
      </c>
      <c r="Z70" s="3" t="e">
        <v>#N/A</v>
      </c>
      <c r="AA70" s="3" t="e">
        <v>#N/A</v>
      </c>
      <c r="AB70" s="3" t="e">
        <v>#N/A</v>
      </c>
      <c r="AC70" s="3" t="e">
        <v>#N/A</v>
      </c>
      <c r="AD70" s="3" t="e">
        <v>#N/A</v>
      </c>
      <c r="AE70" s="3" t="e">
        <v>#N/A</v>
      </c>
      <c r="AF70" s="3" t="e">
        <v>#N/A</v>
      </c>
      <c r="AG70" s="3" t="e">
        <v>#N/A</v>
      </c>
      <c r="AH70" s="3" t="e">
        <v>#N/A</v>
      </c>
      <c r="AI70" s="3" t="e">
        <v>#N/A</v>
      </c>
      <c r="AJ70" s="3" t="e">
        <v>#N/A</v>
      </c>
      <c r="AK70" s="3" t="e">
        <v>#N/A</v>
      </c>
      <c r="AL70" s="3" t="e">
        <v>#N/A</v>
      </c>
      <c r="AM70" s="3" t="e">
        <v>#N/A</v>
      </c>
      <c r="AN70" s="3" t="e">
        <v>#N/A</v>
      </c>
      <c r="AO70" s="3" t="e">
        <v>#N/A</v>
      </c>
      <c r="AP70" s="3" t="e">
        <v>#N/A</v>
      </c>
      <c r="AQ70" s="3" t="e">
        <v>#N/A</v>
      </c>
      <c r="AR70" s="3" t="e">
        <v>#N/A</v>
      </c>
      <c r="AS70" s="3" t="e">
        <v>#N/A</v>
      </c>
      <c r="AT70" s="3" t="e">
        <v>#N/A</v>
      </c>
      <c r="AU70" s="3" t="e">
        <v>#N/A</v>
      </c>
      <c r="AV70" s="3" t="e">
        <v>#N/A</v>
      </c>
      <c r="AW70" s="3" t="e">
        <v>#N/A</v>
      </c>
      <c r="AX70" s="3" t="e">
        <v>#N/A</v>
      </c>
      <c r="AY70" s="3" t="e">
        <v>#N/A</v>
      </c>
      <c r="AZ70" s="3" t="e">
        <v>#N/A</v>
      </c>
      <c r="BA70" s="3" t="e">
        <v>#N/A</v>
      </c>
      <c r="BB70" s="3" t="e">
        <v>#N/A</v>
      </c>
      <c r="BC70" s="3" t="e">
        <v>#N/A</v>
      </c>
      <c r="BD70" s="3" t="e">
        <v>#N/A</v>
      </c>
      <c r="BE70" s="3" t="e">
        <v>#N/A</v>
      </c>
      <c r="BF70" s="3" t="e">
        <v>#N/A</v>
      </c>
      <c r="BG70" s="3" t="e">
        <v>#N/A</v>
      </c>
      <c r="BH70" s="3" t="e">
        <v>#N/A</v>
      </c>
      <c r="BI70" s="3" t="e">
        <v>#N/A</v>
      </c>
      <c r="BJ70" s="3" t="e">
        <v>#N/A</v>
      </c>
      <c r="BK70" s="3" t="e">
        <v>#N/A</v>
      </c>
      <c r="BL70" s="3">
        <v>2.46</v>
      </c>
      <c r="BM70" s="3">
        <v>2.1800000000000002</v>
      </c>
      <c r="BN70" s="3">
        <v>2.3199999999999998</v>
      </c>
      <c r="BO70" s="3">
        <v>2.13</v>
      </c>
      <c r="BP70" s="3">
        <v>2.1</v>
      </c>
      <c r="BQ70" s="3">
        <v>2.4</v>
      </c>
      <c r="BR70" s="3">
        <v>2.31</v>
      </c>
      <c r="BS70" s="3">
        <v>2.2400000000000002</v>
      </c>
      <c r="BT70" s="3">
        <v>2.12</v>
      </c>
      <c r="BU70" s="3">
        <v>2.1</v>
      </c>
      <c r="BV70" s="3">
        <v>2.06</v>
      </c>
      <c r="BW70" s="3">
        <v>2.04</v>
      </c>
      <c r="BX70" s="3">
        <v>2.0299999999999998</v>
      </c>
    </row>
    <row r="71" spans="1:87" x14ac:dyDescent="0.35">
      <c r="A71" s="1"/>
      <c r="B71" s="4">
        <v>43497</v>
      </c>
      <c r="C71" s="5" t="s">
        <v>578</v>
      </c>
      <c r="D71" t="s">
        <v>586</v>
      </c>
      <c r="E71" t="s">
        <v>584</v>
      </c>
      <c r="F71" t="s">
        <v>572</v>
      </c>
      <c r="G71" t="s">
        <v>1009</v>
      </c>
      <c r="H71" t="s">
        <v>581</v>
      </c>
      <c r="I71" s="3" t="e">
        <v>#N/A</v>
      </c>
      <c r="J71" s="3" t="e">
        <v>#N/A</v>
      </c>
      <c r="K71" s="3" t="e">
        <v>#N/A</v>
      </c>
      <c r="L71" s="3" t="e">
        <v>#N/A</v>
      </c>
      <c r="M71" s="3" t="e">
        <v>#N/A</v>
      </c>
      <c r="N71" s="3" t="e">
        <v>#N/A</v>
      </c>
      <c r="O71" s="3" t="e">
        <v>#N/A</v>
      </c>
      <c r="P71" s="3" t="e">
        <v>#N/A</v>
      </c>
      <c r="Q71" s="3" t="e">
        <v>#N/A</v>
      </c>
      <c r="R71" s="3" t="e">
        <v>#N/A</v>
      </c>
      <c r="S71" s="3" t="e">
        <v>#N/A</v>
      </c>
      <c r="T71" s="3" t="e">
        <v>#N/A</v>
      </c>
      <c r="U71" s="3" t="e">
        <v>#N/A</v>
      </c>
      <c r="V71" s="3" t="e">
        <v>#N/A</v>
      </c>
      <c r="W71" s="3" t="e">
        <v>#N/A</v>
      </c>
      <c r="X71" s="3" t="e">
        <v>#N/A</v>
      </c>
      <c r="Y71" s="3" t="e">
        <v>#N/A</v>
      </c>
      <c r="Z71" s="3" t="e">
        <v>#N/A</v>
      </c>
      <c r="AA71" s="3" t="e">
        <v>#N/A</v>
      </c>
      <c r="AB71" s="3" t="e">
        <v>#N/A</v>
      </c>
      <c r="AC71" s="3" t="e">
        <v>#N/A</v>
      </c>
      <c r="AD71" s="3" t="e">
        <v>#N/A</v>
      </c>
      <c r="AE71" s="3" t="e">
        <v>#N/A</v>
      </c>
      <c r="AF71" s="3" t="e">
        <v>#N/A</v>
      </c>
      <c r="AG71" s="3" t="e">
        <v>#N/A</v>
      </c>
      <c r="AH71" s="3" t="e">
        <v>#N/A</v>
      </c>
      <c r="AI71" s="3" t="e">
        <v>#N/A</v>
      </c>
      <c r="AJ71" s="3" t="e">
        <v>#N/A</v>
      </c>
      <c r="AK71" s="3" t="e">
        <v>#N/A</v>
      </c>
      <c r="AL71" s="3" t="e">
        <v>#N/A</v>
      </c>
      <c r="AM71" s="3" t="e">
        <v>#N/A</v>
      </c>
      <c r="AN71" s="3" t="e">
        <v>#N/A</v>
      </c>
      <c r="AO71" s="3" t="e">
        <v>#N/A</v>
      </c>
      <c r="AP71" s="3" t="e">
        <v>#N/A</v>
      </c>
      <c r="AQ71" s="3" t="e">
        <v>#N/A</v>
      </c>
      <c r="AR71" s="3" t="e">
        <v>#N/A</v>
      </c>
      <c r="AS71" s="3" t="e">
        <v>#N/A</v>
      </c>
      <c r="AT71" s="3" t="e">
        <v>#N/A</v>
      </c>
      <c r="AU71" s="3" t="e">
        <v>#N/A</v>
      </c>
      <c r="AV71" s="3" t="e">
        <v>#N/A</v>
      </c>
      <c r="AW71" s="3" t="e">
        <v>#N/A</v>
      </c>
      <c r="AX71" s="3" t="e">
        <v>#N/A</v>
      </c>
      <c r="AY71" s="3" t="e">
        <v>#N/A</v>
      </c>
      <c r="AZ71" s="3" t="e">
        <v>#N/A</v>
      </c>
      <c r="BA71" s="3" t="e">
        <v>#N/A</v>
      </c>
      <c r="BB71" s="3" t="e">
        <v>#N/A</v>
      </c>
      <c r="BC71" s="3" t="e">
        <v>#N/A</v>
      </c>
      <c r="BD71" s="3" t="e">
        <v>#N/A</v>
      </c>
      <c r="BE71" s="3" t="e">
        <v>#N/A</v>
      </c>
      <c r="BF71" s="3" t="e">
        <v>#N/A</v>
      </c>
      <c r="BG71" s="3" t="e">
        <v>#N/A</v>
      </c>
      <c r="BH71" s="3" t="e">
        <v>#N/A</v>
      </c>
      <c r="BI71" s="3" t="e">
        <v>#N/A</v>
      </c>
      <c r="BJ71" s="3" t="e">
        <v>#N/A</v>
      </c>
      <c r="BK71" s="3" t="e">
        <v>#N/A</v>
      </c>
      <c r="BL71" s="3" t="e">
        <v>#N/A</v>
      </c>
      <c r="BM71" s="3">
        <v>1.82</v>
      </c>
      <c r="BN71" s="3">
        <v>1.94</v>
      </c>
      <c r="BO71" s="3">
        <v>1.76</v>
      </c>
      <c r="BP71" s="3">
        <v>1.97</v>
      </c>
      <c r="BQ71" s="3">
        <v>2.35</v>
      </c>
      <c r="BR71" s="3">
        <v>2.17</v>
      </c>
      <c r="BS71" s="3">
        <v>2.15</v>
      </c>
      <c r="BT71" s="3">
        <v>2.0499999999999998</v>
      </c>
      <c r="BU71" s="3">
        <v>2.0699999999999998</v>
      </c>
      <c r="BV71" s="3">
        <v>2.09</v>
      </c>
      <c r="BW71" s="3">
        <v>2.1</v>
      </c>
      <c r="BX71" s="3">
        <v>2.09</v>
      </c>
      <c r="BY71" s="3">
        <v>2.11</v>
      </c>
    </row>
    <row r="72" spans="1:87" x14ac:dyDescent="0.35">
      <c r="A72" s="1"/>
      <c r="B72" s="4">
        <v>43586</v>
      </c>
      <c r="C72" s="5" t="s">
        <v>593</v>
      </c>
      <c r="D72" t="s">
        <v>601</v>
      </c>
      <c r="E72" t="s">
        <v>599</v>
      </c>
      <c r="F72" t="s">
        <v>588</v>
      </c>
      <c r="G72" t="s">
        <v>1009</v>
      </c>
      <c r="H72" t="s">
        <v>596</v>
      </c>
      <c r="I72" s="3" t="e">
        <v>#N/A</v>
      </c>
      <c r="J72" s="3" t="e">
        <v>#N/A</v>
      </c>
      <c r="K72" s="3" t="e">
        <v>#N/A</v>
      </c>
      <c r="L72" s="3" t="e">
        <v>#N/A</v>
      </c>
      <c r="M72" s="3" t="e">
        <v>#N/A</v>
      </c>
      <c r="N72" s="3" t="e">
        <v>#N/A</v>
      </c>
      <c r="O72" s="3" t="e">
        <v>#N/A</v>
      </c>
      <c r="P72" s="3" t="e">
        <v>#N/A</v>
      </c>
      <c r="Q72" s="3" t="e">
        <v>#N/A</v>
      </c>
      <c r="R72" s="3" t="e">
        <v>#N/A</v>
      </c>
      <c r="S72" s="3" t="e">
        <v>#N/A</v>
      </c>
      <c r="T72" s="3" t="e">
        <v>#N/A</v>
      </c>
      <c r="U72" s="3" t="e">
        <v>#N/A</v>
      </c>
      <c r="V72" s="3" t="e">
        <v>#N/A</v>
      </c>
      <c r="W72" s="3" t="e">
        <v>#N/A</v>
      </c>
      <c r="X72" s="3" t="e">
        <v>#N/A</v>
      </c>
      <c r="Y72" s="3" t="e">
        <v>#N/A</v>
      </c>
      <c r="Z72" s="3" t="e">
        <v>#N/A</v>
      </c>
      <c r="AA72" s="3" t="e">
        <v>#N/A</v>
      </c>
      <c r="AB72" s="3" t="e">
        <v>#N/A</v>
      </c>
      <c r="AC72" s="3" t="e">
        <v>#N/A</v>
      </c>
      <c r="AD72" s="3" t="e">
        <v>#N/A</v>
      </c>
      <c r="AE72" s="3" t="e">
        <v>#N/A</v>
      </c>
      <c r="AF72" s="3" t="e">
        <v>#N/A</v>
      </c>
      <c r="AG72" s="3" t="e">
        <v>#N/A</v>
      </c>
      <c r="AH72" s="3" t="e">
        <v>#N/A</v>
      </c>
      <c r="AI72" s="3" t="e">
        <v>#N/A</v>
      </c>
      <c r="AJ72" s="3" t="e">
        <v>#N/A</v>
      </c>
      <c r="AK72" s="3" t="e">
        <v>#N/A</v>
      </c>
      <c r="AL72" s="3" t="e">
        <v>#N/A</v>
      </c>
      <c r="AM72" s="3" t="e">
        <v>#N/A</v>
      </c>
      <c r="AN72" s="3" t="e">
        <v>#N/A</v>
      </c>
      <c r="AO72" s="3" t="e">
        <v>#N/A</v>
      </c>
      <c r="AP72" s="3" t="e">
        <v>#N/A</v>
      </c>
      <c r="AQ72" s="3" t="e">
        <v>#N/A</v>
      </c>
      <c r="AR72" s="3" t="e">
        <v>#N/A</v>
      </c>
      <c r="AS72" s="3" t="e">
        <v>#N/A</v>
      </c>
      <c r="AT72" s="3" t="e">
        <v>#N/A</v>
      </c>
      <c r="AU72" s="3" t="e">
        <v>#N/A</v>
      </c>
      <c r="AV72" s="3" t="e">
        <v>#N/A</v>
      </c>
      <c r="AW72" s="3" t="e">
        <v>#N/A</v>
      </c>
      <c r="AX72" s="3" t="e">
        <v>#N/A</v>
      </c>
      <c r="AY72" s="3" t="e">
        <v>#N/A</v>
      </c>
      <c r="AZ72" s="3" t="e">
        <v>#N/A</v>
      </c>
      <c r="BA72" s="3" t="e">
        <v>#N/A</v>
      </c>
      <c r="BB72" s="3" t="e">
        <v>#N/A</v>
      </c>
      <c r="BC72" s="3" t="e">
        <v>#N/A</v>
      </c>
      <c r="BD72" s="3" t="e">
        <v>#N/A</v>
      </c>
      <c r="BE72" s="3" t="e">
        <v>#N/A</v>
      </c>
      <c r="BF72" s="3" t="e">
        <v>#N/A</v>
      </c>
      <c r="BG72" s="3" t="e">
        <v>#N/A</v>
      </c>
      <c r="BH72" s="3" t="e">
        <v>#N/A</v>
      </c>
      <c r="BI72" s="3" t="e">
        <v>#N/A</v>
      </c>
      <c r="BJ72" s="3" t="e">
        <v>#N/A</v>
      </c>
      <c r="BK72" s="3" t="e">
        <v>#N/A</v>
      </c>
      <c r="BL72" s="3" t="e">
        <v>#N/A</v>
      </c>
      <c r="BM72" s="3" t="e">
        <v>#N/A</v>
      </c>
      <c r="BN72" s="3">
        <v>2.08</v>
      </c>
      <c r="BO72" s="3">
        <v>1.83</v>
      </c>
      <c r="BP72" s="3">
        <v>1.63</v>
      </c>
      <c r="BQ72" s="3">
        <v>1.98</v>
      </c>
      <c r="BR72" s="3">
        <v>1.72</v>
      </c>
      <c r="BS72" s="3">
        <v>1.74</v>
      </c>
      <c r="BT72" s="3">
        <v>1.98</v>
      </c>
      <c r="BU72" s="3">
        <v>2.04</v>
      </c>
      <c r="BV72" s="3">
        <v>2.0499999999999998</v>
      </c>
      <c r="BW72" s="3">
        <v>2.09</v>
      </c>
      <c r="BX72" s="3">
        <v>2.1</v>
      </c>
      <c r="BY72" s="3">
        <v>2.13</v>
      </c>
      <c r="BZ72" s="3">
        <v>2.16</v>
      </c>
    </row>
    <row r="73" spans="1:87" x14ac:dyDescent="0.35">
      <c r="A73" s="1"/>
      <c r="B73" s="4">
        <v>43678</v>
      </c>
      <c r="C73" s="5" t="s">
        <v>608</v>
      </c>
      <c r="D73" t="s">
        <v>616</v>
      </c>
      <c r="E73" t="s">
        <v>614</v>
      </c>
      <c r="F73" t="s">
        <v>603</v>
      </c>
      <c r="G73" t="s">
        <v>1009</v>
      </c>
      <c r="H73" t="s">
        <v>611</v>
      </c>
      <c r="I73" s="3" t="e">
        <v>#N/A</v>
      </c>
      <c r="J73" s="3" t="e">
        <v>#N/A</v>
      </c>
      <c r="K73" s="3" t="e">
        <v>#N/A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e">
        <v>#N/A</v>
      </c>
      <c r="Q73" s="3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 t="e">
        <v>#N/A</v>
      </c>
      <c r="AE73" s="3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e">
        <v>#N/A</v>
      </c>
      <c r="AK73" s="3" t="e">
        <v>#N/A</v>
      </c>
      <c r="AL73" s="3" t="e">
        <v>#N/A</v>
      </c>
      <c r="AM73" s="3" t="e">
        <v>#N/A</v>
      </c>
      <c r="AN73" s="3" t="e">
        <v>#N/A</v>
      </c>
      <c r="AO73" s="3" t="e">
        <v>#N/A</v>
      </c>
      <c r="AP73" s="3" t="e">
        <v>#N/A</v>
      </c>
      <c r="AQ73" s="3" t="e">
        <v>#N/A</v>
      </c>
      <c r="AR73" s="3" t="e">
        <v>#N/A</v>
      </c>
      <c r="AS73" s="3" t="e">
        <v>#N/A</v>
      </c>
      <c r="AT73" s="3" t="e">
        <v>#N/A</v>
      </c>
      <c r="AU73" s="3" t="e">
        <v>#N/A</v>
      </c>
      <c r="AV73" s="3" t="e">
        <v>#N/A</v>
      </c>
      <c r="AW73" s="3" t="e">
        <v>#N/A</v>
      </c>
      <c r="AX73" s="3" t="e">
        <v>#N/A</v>
      </c>
      <c r="AY73" s="3" t="e">
        <v>#N/A</v>
      </c>
      <c r="AZ73" s="3" t="e">
        <v>#N/A</v>
      </c>
      <c r="BA73" s="3" t="e">
        <v>#N/A</v>
      </c>
      <c r="BB73" s="3" t="e">
        <v>#N/A</v>
      </c>
      <c r="BC73" s="3" t="e">
        <v>#N/A</v>
      </c>
      <c r="BD73" s="3" t="e">
        <v>#N/A</v>
      </c>
      <c r="BE73" s="3" t="e">
        <v>#N/A</v>
      </c>
      <c r="BF73" s="3" t="e">
        <v>#N/A</v>
      </c>
      <c r="BG73" s="3" t="e">
        <v>#N/A</v>
      </c>
      <c r="BH73" s="3" t="e">
        <v>#N/A</v>
      </c>
      <c r="BI73" s="3" t="e">
        <v>#N/A</v>
      </c>
      <c r="BJ73" s="3" t="e">
        <v>#N/A</v>
      </c>
      <c r="BK73" s="3" t="e">
        <v>#N/A</v>
      </c>
      <c r="BL73" s="3" t="e">
        <v>#N/A</v>
      </c>
      <c r="BM73" s="3" t="e">
        <v>#N/A</v>
      </c>
      <c r="BN73" s="3" t="e">
        <v>#N/A</v>
      </c>
      <c r="BO73" s="3">
        <v>1.68</v>
      </c>
      <c r="BP73" s="3">
        <v>1.56</v>
      </c>
      <c r="BQ73" s="3">
        <v>1.95</v>
      </c>
      <c r="BR73" s="3">
        <v>1.77</v>
      </c>
      <c r="BS73" s="3">
        <v>1.9</v>
      </c>
      <c r="BT73" s="3">
        <v>2.11</v>
      </c>
      <c r="BU73" s="3">
        <v>2.15</v>
      </c>
      <c r="BV73" s="3">
        <v>2.19</v>
      </c>
      <c r="BW73" s="3">
        <v>2.23</v>
      </c>
      <c r="BX73" s="3">
        <v>2.2400000000000002</v>
      </c>
      <c r="BY73" s="3">
        <v>2.29</v>
      </c>
      <c r="BZ73" s="3">
        <v>2.33</v>
      </c>
      <c r="CA73" s="3">
        <v>2.37</v>
      </c>
    </row>
    <row r="74" spans="1:87" x14ac:dyDescent="0.35">
      <c r="A74" s="1"/>
      <c r="B74" s="4">
        <v>43770</v>
      </c>
      <c r="C74" s="5" t="s">
        <v>630</v>
      </c>
      <c r="D74" t="s">
        <v>634</v>
      </c>
      <c r="E74" t="s">
        <v>626</v>
      </c>
      <c r="F74" t="s">
        <v>618</v>
      </c>
      <c r="G74" t="s">
        <v>1009</v>
      </c>
      <c r="H74" t="s">
        <v>623</v>
      </c>
      <c r="I74" s="3" t="e">
        <v>#N/A</v>
      </c>
      <c r="J74" s="3" t="e">
        <v>#N/A</v>
      </c>
      <c r="K74" s="3" t="e">
        <v>#N/A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e">
        <v>#N/A</v>
      </c>
      <c r="Q74" s="3" t="e">
        <v>#N/A</v>
      </c>
      <c r="R74" s="3" t="e">
        <v>#N/A</v>
      </c>
      <c r="S74" s="3" t="e">
        <v>#N/A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 t="e">
        <v>#N/A</v>
      </c>
      <c r="AE74" s="3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e">
        <v>#N/A</v>
      </c>
      <c r="AK74" s="3" t="e">
        <v>#N/A</v>
      </c>
      <c r="AL74" s="3" t="e">
        <v>#N/A</v>
      </c>
      <c r="AM74" s="3" t="e">
        <v>#N/A</v>
      </c>
      <c r="AN74" s="3" t="e">
        <v>#N/A</v>
      </c>
      <c r="AO74" s="3" t="e">
        <v>#N/A</v>
      </c>
      <c r="AP74" s="3" t="e">
        <v>#N/A</v>
      </c>
      <c r="AQ74" s="3" t="e">
        <v>#N/A</v>
      </c>
      <c r="AR74" s="3" t="e">
        <v>#N/A</v>
      </c>
      <c r="AS74" s="3" t="e">
        <v>#N/A</v>
      </c>
      <c r="AT74" s="3" t="e">
        <v>#N/A</v>
      </c>
      <c r="AU74" s="3" t="e">
        <v>#N/A</v>
      </c>
      <c r="AV74" s="3" t="e">
        <v>#N/A</v>
      </c>
      <c r="AW74" s="3" t="e">
        <v>#N/A</v>
      </c>
      <c r="AX74" s="3" t="e">
        <v>#N/A</v>
      </c>
      <c r="AY74" s="3" t="e">
        <v>#N/A</v>
      </c>
      <c r="AZ74" s="3" t="e">
        <v>#N/A</v>
      </c>
      <c r="BA74" s="3" t="e">
        <v>#N/A</v>
      </c>
      <c r="BB74" s="3" t="e">
        <v>#N/A</v>
      </c>
      <c r="BC74" s="3" t="e">
        <v>#N/A</v>
      </c>
      <c r="BD74" s="3" t="e">
        <v>#N/A</v>
      </c>
      <c r="BE74" s="3" t="e">
        <v>#N/A</v>
      </c>
      <c r="BF74" s="3" t="e">
        <v>#N/A</v>
      </c>
      <c r="BG74" s="3" t="e">
        <v>#N/A</v>
      </c>
      <c r="BH74" s="3" t="e">
        <v>#N/A</v>
      </c>
      <c r="BI74" s="3" t="e">
        <v>#N/A</v>
      </c>
      <c r="BJ74" s="3" t="e">
        <v>#N/A</v>
      </c>
      <c r="BK74" s="3" t="e">
        <v>#N/A</v>
      </c>
      <c r="BL74" s="3" t="e">
        <v>#N/A</v>
      </c>
      <c r="BM74" s="3" t="e">
        <v>#N/A</v>
      </c>
      <c r="BN74" s="3" t="e">
        <v>#N/A</v>
      </c>
      <c r="BO74" s="3" t="e">
        <v>#N/A</v>
      </c>
      <c r="BP74" s="3">
        <v>1.43</v>
      </c>
      <c r="BQ74" s="3">
        <v>1.67</v>
      </c>
      <c r="BR74" s="3">
        <v>1.2</v>
      </c>
      <c r="BS74" s="3">
        <v>1.17</v>
      </c>
      <c r="BT74" s="3">
        <v>1.51</v>
      </c>
      <c r="BU74" s="3">
        <v>1.67</v>
      </c>
      <c r="BV74" s="3">
        <v>1.95</v>
      </c>
      <c r="BW74" s="3">
        <v>2</v>
      </c>
      <c r="BX74" s="3">
        <v>2.0299999999999998</v>
      </c>
      <c r="BY74" s="3">
        <v>2.0699999999999998</v>
      </c>
      <c r="BZ74" s="3">
        <v>2.14</v>
      </c>
      <c r="CA74" s="3">
        <v>2.1800000000000002</v>
      </c>
      <c r="CB74" s="3">
        <v>2.25</v>
      </c>
    </row>
    <row r="75" spans="1:87" x14ac:dyDescent="0.35">
      <c r="A75" s="1"/>
      <c r="B75" s="4">
        <v>43831</v>
      </c>
      <c r="C75" s="5" t="s">
        <v>644</v>
      </c>
      <c r="D75" t="s">
        <v>650</v>
      </c>
      <c r="E75" t="s">
        <v>639</v>
      </c>
      <c r="F75" t="s">
        <v>627</v>
      </c>
      <c r="G75" t="s">
        <v>1009</v>
      </c>
      <c r="H75" t="s">
        <v>647</v>
      </c>
      <c r="I75" s="3" t="e">
        <v>#N/A</v>
      </c>
      <c r="J75" s="3" t="e">
        <v>#N/A</v>
      </c>
      <c r="K75" s="3" t="e">
        <v>#N/A</v>
      </c>
      <c r="L75" s="3" t="e">
        <v>#N/A</v>
      </c>
      <c r="M75" s="3" t="e">
        <v>#N/A</v>
      </c>
      <c r="N75" s="3" t="e">
        <v>#N/A</v>
      </c>
      <c r="O75" s="3" t="e">
        <v>#N/A</v>
      </c>
      <c r="P75" s="3" t="e">
        <v>#N/A</v>
      </c>
      <c r="Q75" s="3" t="e">
        <v>#N/A</v>
      </c>
      <c r="R75" s="3" t="e">
        <v>#N/A</v>
      </c>
      <c r="S75" s="3" t="e">
        <v>#N/A</v>
      </c>
      <c r="T75" s="3" t="e">
        <v>#N/A</v>
      </c>
      <c r="U75" s="3" t="e">
        <v>#N/A</v>
      </c>
      <c r="V75" s="3" t="e">
        <v>#N/A</v>
      </c>
      <c r="W75" s="3" t="e">
        <v>#N/A</v>
      </c>
      <c r="X75" s="3" t="e">
        <v>#N/A</v>
      </c>
      <c r="Y75" s="3" t="e">
        <v>#N/A</v>
      </c>
      <c r="Z75" s="3" t="e">
        <v>#N/A</v>
      </c>
      <c r="AA75" s="3" t="e">
        <v>#N/A</v>
      </c>
      <c r="AB75" s="3" t="e">
        <v>#N/A</v>
      </c>
      <c r="AC75" s="3" t="e">
        <v>#N/A</v>
      </c>
      <c r="AD75" s="3" t="e">
        <v>#N/A</v>
      </c>
      <c r="AE75" s="3" t="e">
        <v>#N/A</v>
      </c>
      <c r="AF75" s="3" t="e">
        <v>#N/A</v>
      </c>
      <c r="AG75" s="3" t="e">
        <v>#N/A</v>
      </c>
      <c r="AH75" s="3" t="e">
        <v>#N/A</v>
      </c>
      <c r="AI75" s="3" t="e">
        <v>#N/A</v>
      </c>
      <c r="AJ75" s="3" t="e">
        <v>#N/A</v>
      </c>
      <c r="AK75" s="3" t="e">
        <v>#N/A</v>
      </c>
      <c r="AL75" s="3" t="e">
        <v>#N/A</v>
      </c>
      <c r="AM75" s="3" t="e">
        <v>#N/A</v>
      </c>
      <c r="AN75" s="3" t="e">
        <v>#N/A</v>
      </c>
      <c r="AO75" s="3" t="e">
        <v>#N/A</v>
      </c>
      <c r="AP75" s="3" t="e">
        <v>#N/A</v>
      </c>
      <c r="AQ75" s="3" t="e">
        <v>#N/A</v>
      </c>
      <c r="AR75" s="3" t="e">
        <v>#N/A</v>
      </c>
      <c r="AS75" s="3" t="e">
        <v>#N/A</v>
      </c>
      <c r="AT75" s="3" t="e">
        <v>#N/A</v>
      </c>
      <c r="AU75" s="3" t="e">
        <v>#N/A</v>
      </c>
      <c r="AV75" s="3" t="e">
        <v>#N/A</v>
      </c>
      <c r="AW75" s="3" t="e">
        <v>#N/A</v>
      </c>
      <c r="AX75" s="3" t="e">
        <v>#N/A</v>
      </c>
      <c r="AY75" s="3" t="e">
        <v>#N/A</v>
      </c>
      <c r="AZ75" s="3" t="e">
        <v>#N/A</v>
      </c>
      <c r="BA75" s="3" t="e">
        <v>#N/A</v>
      </c>
      <c r="BB75" s="3" t="e">
        <v>#N/A</v>
      </c>
      <c r="BC75" s="3" t="e">
        <v>#N/A</v>
      </c>
      <c r="BD75" s="3" t="e">
        <v>#N/A</v>
      </c>
      <c r="BE75" s="3" t="e">
        <v>#N/A</v>
      </c>
      <c r="BF75" s="3" t="e">
        <v>#N/A</v>
      </c>
      <c r="BG75" s="3" t="e">
        <v>#N/A</v>
      </c>
      <c r="BH75" s="3" t="e">
        <v>#N/A</v>
      </c>
      <c r="BI75" s="3" t="e">
        <v>#N/A</v>
      </c>
      <c r="BJ75" s="3" t="e">
        <v>#N/A</v>
      </c>
      <c r="BK75" s="3" t="e">
        <v>#N/A</v>
      </c>
      <c r="BL75" s="3" t="e">
        <v>#N/A</v>
      </c>
      <c r="BM75" s="3" t="e">
        <v>#N/A</v>
      </c>
      <c r="BN75" s="3" t="e">
        <v>#N/A</v>
      </c>
      <c r="BO75" s="3" t="e">
        <v>#N/A</v>
      </c>
      <c r="BP75" s="3" t="e">
        <v>#N/A</v>
      </c>
      <c r="BQ75" s="3">
        <v>1.8</v>
      </c>
      <c r="BR75" s="3">
        <v>1.32</v>
      </c>
      <c r="BS75" s="3">
        <v>1.24</v>
      </c>
      <c r="BT75" s="3">
        <v>1.43</v>
      </c>
      <c r="BU75" s="3">
        <v>1.53</v>
      </c>
      <c r="BV75" s="3">
        <v>1.84</v>
      </c>
      <c r="BW75" s="3">
        <v>1.91</v>
      </c>
      <c r="BX75" s="3">
        <v>1.99</v>
      </c>
      <c r="BY75" s="3">
        <v>2.0099999999999998</v>
      </c>
      <c r="BZ75" s="3">
        <v>2.0699999999999998</v>
      </c>
      <c r="CA75" s="3">
        <v>2.1</v>
      </c>
      <c r="CB75" s="3">
        <v>2.15</v>
      </c>
      <c r="CC75" s="3">
        <v>2.15</v>
      </c>
    </row>
    <row r="76" spans="1:87" x14ac:dyDescent="0.35">
      <c r="A76" s="1"/>
      <c r="B76" s="4">
        <v>44044</v>
      </c>
      <c r="C76" s="5" t="s">
        <v>662</v>
      </c>
      <c r="D76" t="s">
        <v>665</v>
      </c>
      <c r="E76" t="s">
        <v>509</v>
      </c>
      <c r="F76" t="s">
        <v>655</v>
      </c>
      <c r="G76" t="s">
        <v>1009</v>
      </c>
      <c r="H76" t="s">
        <v>660</v>
      </c>
      <c r="I76" s="3" t="e">
        <v>#N/A</v>
      </c>
      <c r="J76" s="3" t="e">
        <v>#N/A</v>
      </c>
      <c r="K76" s="3" t="e">
        <v>#N/A</v>
      </c>
      <c r="L76" s="3" t="e">
        <v>#N/A</v>
      </c>
      <c r="M76" s="3" t="e">
        <v>#N/A</v>
      </c>
      <c r="N76" s="3" t="e">
        <v>#N/A</v>
      </c>
      <c r="O76" s="3" t="e">
        <v>#N/A</v>
      </c>
      <c r="P76" s="3" t="e">
        <v>#N/A</v>
      </c>
      <c r="Q76" s="3" t="e">
        <v>#N/A</v>
      </c>
      <c r="R76" s="3" t="e">
        <v>#N/A</v>
      </c>
      <c r="S76" s="3" t="e">
        <v>#N/A</v>
      </c>
      <c r="T76" s="3" t="e">
        <v>#N/A</v>
      </c>
      <c r="U76" s="3" t="e">
        <v>#N/A</v>
      </c>
      <c r="V76" s="3" t="e">
        <v>#N/A</v>
      </c>
      <c r="W76" s="3" t="e">
        <v>#N/A</v>
      </c>
      <c r="X76" s="3" t="e">
        <v>#N/A</v>
      </c>
      <c r="Y76" s="3" t="e">
        <v>#N/A</v>
      </c>
      <c r="Z76" s="3" t="e">
        <v>#N/A</v>
      </c>
      <c r="AA76" s="3" t="e">
        <v>#N/A</v>
      </c>
      <c r="AB76" s="3" t="e">
        <v>#N/A</v>
      </c>
      <c r="AC76" s="3" t="e">
        <v>#N/A</v>
      </c>
      <c r="AD76" s="3" t="e">
        <v>#N/A</v>
      </c>
      <c r="AE76" s="3" t="e">
        <v>#N/A</v>
      </c>
      <c r="AF76" s="3" t="e">
        <v>#N/A</v>
      </c>
      <c r="AG76" s="3" t="e">
        <v>#N/A</v>
      </c>
      <c r="AH76" s="3" t="e">
        <v>#N/A</v>
      </c>
      <c r="AI76" s="3" t="e">
        <v>#N/A</v>
      </c>
      <c r="AJ76" s="3" t="e">
        <v>#N/A</v>
      </c>
      <c r="AK76" s="3" t="e">
        <v>#N/A</v>
      </c>
      <c r="AL76" s="3" t="e">
        <v>#N/A</v>
      </c>
      <c r="AM76" s="3" t="e">
        <v>#N/A</v>
      </c>
      <c r="AN76" s="3" t="e">
        <v>#N/A</v>
      </c>
      <c r="AO76" s="3" t="e">
        <v>#N/A</v>
      </c>
      <c r="AP76" s="3" t="e">
        <v>#N/A</v>
      </c>
      <c r="AQ76" s="3" t="e">
        <v>#N/A</v>
      </c>
      <c r="AR76" s="3" t="e">
        <v>#N/A</v>
      </c>
      <c r="AS76" s="3" t="e">
        <v>#N/A</v>
      </c>
      <c r="AT76" s="3" t="e">
        <v>#N/A</v>
      </c>
      <c r="AU76" s="3" t="e">
        <v>#N/A</v>
      </c>
      <c r="AV76" s="3" t="e">
        <v>#N/A</v>
      </c>
      <c r="AW76" s="3" t="e">
        <v>#N/A</v>
      </c>
      <c r="AX76" s="3" t="e">
        <v>#N/A</v>
      </c>
      <c r="AY76" s="3" t="e">
        <v>#N/A</v>
      </c>
      <c r="AZ76" s="3" t="e">
        <v>#N/A</v>
      </c>
      <c r="BA76" s="3" t="e">
        <v>#N/A</v>
      </c>
      <c r="BB76" s="3" t="e">
        <v>#N/A</v>
      </c>
      <c r="BC76" s="3" t="e">
        <v>#N/A</v>
      </c>
      <c r="BD76" s="3" t="e">
        <v>#N/A</v>
      </c>
      <c r="BE76" s="3" t="e">
        <v>#N/A</v>
      </c>
      <c r="BF76" s="3" t="e">
        <v>#N/A</v>
      </c>
      <c r="BG76" s="3" t="e">
        <v>#N/A</v>
      </c>
      <c r="BH76" s="3" t="e">
        <v>#N/A</v>
      </c>
      <c r="BI76" s="3" t="e">
        <v>#N/A</v>
      </c>
      <c r="BJ76" s="3" t="e">
        <v>#N/A</v>
      </c>
      <c r="BK76" s="3" t="e">
        <v>#N/A</v>
      </c>
      <c r="BL76" s="3" t="e">
        <v>#N/A</v>
      </c>
      <c r="BM76" s="3" t="e">
        <v>#N/A</v>
      </c>
      <c r="BN76" s="3" t="e">
        <v>#N/A</v>
      </c>
      <c r="BO76" s="3" t="e">
        <v>#N/A</v>
      </c>
      <c r="BP76" s="3" t="e">
        <v>#N/A</v>
      </c>
      <c r="BQ76" s="3" t="e">
        <v>#N/A</v>
      </c>
      <c r="BR76" s="3" t="e">
        <v>#N/A</v>
      </c>
      <c r="BS76" s="3">
        <v>0.25</v>
      </c>
      <c r="BT76" s="3">
        <v>0.26</v>
      </c>
      <c r="BU76" s="3">
        <v>0.48</v>
      </c>
      <c r="BV76" s="3">
        <v>1.48</v>
      </c>
      <c r="BW76" s="3">
        <v>1.81</v>
      </c>
      <c r="BX76" s="3">
        <v>1.81</v>
      </c>
      <c r="BY76" s="3">
        <v>1.75</v>
      </c>
      <c r="BZ76" s="3">
        <v>1.89</v>
      </c>
      <c r="CA76" s="3">
        <v>1.97</v>
      </c>
      <c r="CB76" s="3">
        <v>2.06</v>
      </c>
      <c r="CC76" s="3">
        <v>2.16</v>
      </c>
      <c r="CD76" s="3">
        <v>2.21</v>
      </c>
      <c r="CE76" s="3">
        <v>2.2200000000000002</v>
      </c>
    </row>
    <row r="77" spans="1:87" x14ac:dyDescent="0.35">
      <c r="A77" s="1"/>
      <c r="B77" s="4">
        <v>44136</v>
      </c>
      <c r="C77" s="5" t="s">
        <v>673</v>
      </c>
      <c r="D77" t="s">
        <v>691</v>
      </c>
      <c r="E77" t="s">
        <v>512</v>
      </c>
      <c r="F77" t="s">
        <v>656</v>
      </c>
      <c r="G77" t="s">
        <v>1009</v>
      </c>
      <c r="H77" t="s">
        <v>682</v>
      </c>
      <c r="I77" s="3" t="e">
        <v>#N/A</v>
      </c>
      <c r="J77" s="3" t="e">
        <v>#N/A</v>
      </c>
      <c r="K77" s="3" t="e">
        <v>#N/A</v>
      </c>
      <c r="L77" s="3" t="e">
        <v>#N/A</v>
      </c>
      <c r="M77" s="3" t="e">
        <v>#N/A</v>
      </c>
      <c r="N77" s="3" t="e">
        <v>#N/A</v>
      </c>
      <c r="O77" s="3" t="e">
        <v>#N/A</v>
      </c>
      <c r="P77" s="3" t="e">
        <v>#N/A</v>
      </c>
      <c r="Q77" s="3" t="e">
        <v>#N/A</v>
      </c>
      <c r="R77" s="3" t="e">
        <v>#N/A</v>
      </c>
      <c r="S77" s="3" t="e">
        <v>#N/A</v>
      </c>
      <c r="T77" s="3" t="e">
        <v>#N/A</v>
      </c>
      <c r="U77" s="3" t="e">
        <v>#N/A</v>
      </c>
      <c r="V77" s="3" t="e">
        <v>#N/A</v>
      </c>
      <c r="W77" s="3" t="e">
        <v>#N/A</v>
      </c>
      <c r="X77" s="3" t="e">
        <v>#N/A</v>
      </c>
      <c r="Y77" s="3" t="e">
        <v>#N/A</v>
      </c>
      <c r="Z77" s="3" t="e">
        <v>#N/A</v>
      </c>
      <c r="AA77" s="3" t="e">
        <v>#N/A</v>
      </c>
      <c r="AB77" s="3" t="e">
        <v>#N/A</v>
      </c>
      <c r="AC77" s="3" t="e">
        <v>#N/A</v>
      </c>
      <c r="AD77" s="3" t="e">
        <v>#N/A</v>
      </c>
      <c r="AE77" s="3" t="e">
        <v>#N/A</v>
      </c>
      <c r="AF77" s="3" t="e">
        <v>#N/A</v>
      </c>
      <c r="AG77" s="3" t="e">
        <v>#N/A</v>
      </c>
      <c r="AH77" s="3" t="e">
        <v>#N/A</v>
      </c>
      <c r="AI77" s="3" t="e">
        <v>#N/A</v>
      </c>
      <c r="AJ77" s="3" t="e">
        <v>#N/A</v>
      </c>
      <c r="AK77" s="3" t="e">
        <v>#N/A</v>
      </c>
      <c r="AL77" s="3" t="e">
        <v>#N/A</v>
      </c>
      <c r="AM77" s="3" t="e">
        <v>#N/A</v>
      </c>
      <c r="AN77" s="3" t="e">
        <v>#N/A</v>
      </c>
      <c r="AO77" s="3" t="e">
        <v>#N/A</v>
      </c>
      <c r="AP77" s="3" t="e">
        <v>#N/A</v>
      </c>
      <c r="AQ77" s="3" t="e">
        <v>#N/A</v>
      </c>
      <c r="AR77" s="3" t="e">
        <v>#N/A</v>
      </c>
      <c r="AS77" s="3" t="e">
        <v>#N/A</v>
      </c>
      <c r="AT77" s="3" t="e">
        <v>#N/A</v>
      </c>
      <c r="AU77" s="3" t="e">
        <v>#N/A</v>
      </c>
      <c r="AV77" s="3" t="e">
        <v>#N/A</v>
      </c>
      <c r="AW77" s="3" t="e">
        <v>#N/A</v>
      </c>
      <c r="AX77" s="3" t="e">
        <v>#N/A</v>
      </c>
      <c r="AY77" s="3" t="e">
        <v>#N/A</v>
      </c>
      <c r="AZ77" s="3" t="e">
        <v>#N/A</v>
      </c>
      <c r="BA77" s="3" t="e">
        <v>#N/A</v>
      </c>
      <c r="BB77" s="3" t="e">
        <v>#N/A</v>
      </c>
      <c r="BC77" s="3" t="e">
        <v>#N/A</v>
      </c>
      <c r="BD77" s="3" t="e">
        <v>#N/A</v>
      </c>
      <c r="BE77" s="3" t="e">
        <v>#N/A</v>
      </c>
      <c r="BF77" s="3" t="e">
        <v>#N/A</v>
      </c>
      <c r="BG77" s="3" t="e">
        <v>#N/A</v>
      </c>
      <c r="BH77" s="3" t="e">
        <v>#N/A</v>
      </c>
      <c r="BI77" s="3" t="e">
        <v>#N/A</v>
      </c>
      <c r="BJ77" s="3" t="e">
        <v>#N/A</v>
      </c>
      <c r="BK77" s="3" t="e">
        <v>#N/A</v>
      </c>
      <c r="BL77" s="3" t="e">
        <v>#N/A</v>
      </c>
      <c r="BM77" s="3" t="e">
        <v>#N/A</v>
      </c>
      <c r="BN77" s="3" t="e">
        <v>#N/A</v>
      </c>
      <c r="BO77" s="3" t="e">
        <v>#N/A</v>
      </c>
      <c r="BP77" s="3" t="e">
        <v>#N/A</v>
      </c>
      <c r="BQ77" s="3" t="e">
        <v>#N/A</v>
      </c>
      <c r="BR77" s="3" t="e">
        <v>#N/A</v>
      </c>
      <c r="BS77" s="3" t="e">
        <v>#N/A</v>
      </c>
      <c r="BT77" s="3">
        <v>0.56999999999999995</v>
      </c>
      <c r="BU77" s="3">
        <v>0.72</v>
      </c>
      <c r="BV77" s="3">
        <v>1.72</v>
      </c>
      <c r="BW77" s="3">
        <v>1.75</v>
      </c>
      <c r="BX77" s="3">
        <v>2.12</v>
      </c>
      <c r="BY77" s="3">
        <v>2.13</v>
      </c>
      <c r="BZ77" s="3">
        <v>1.82</v>
      </c>
      <c r="CA77" s="3">
        <v>1.86</v>
      </c>
      <c r="CB77" s="3">
        <v>1.95</v>
      </c>
      <c r="CC77" s="3">
        <v>2.02</v>
      </c>
      <c r="CD77" s="3">
        <v>2.04</v>
      </c>
      <c r="CE77" s="3">
        <v>2.0499999999999998</v>
      </c>
      <c r="CF77" s="3">
        <v>2.0499999999999998</v>
      </c>
    </row>
    <row r="78" spans="1:87" x14ac:dyDescent="0.35">
      <c r="A78" s="1"/>
      <c r="B78" s="4">
        <v>44228</v>
      </c>
      <c r="C78" s="5" t="s">
        <v>674</v>
      </c>
      <c r="D78" t="s">
        <v>692</v>
      </c>
      <c r="E78" t="s">
        <v>515</v>
      </c>
      <c r="F78" t="s">
        <v>668</v>
      </c>
      <c r="G78" t="s">
        <v>1009</v>
      </c>
      <c r="H78" t="s">
        <v>685</v>
      </c>
      <c r="I78" s="3" t="e">
        <v>#N/A</v>
      </c>
      <c r="J78" s="3" t="e">
        <v>#N/A</v>
      </c>
      <c r="K78" s="3" t="e">
        <v>#N/A</v>
      </c>
      <c r="L78" s="3" t="e">
        <v>#N/A</v>
      </c>
      <c r="M78" s="3" t="e">
        <v>#N/A</v>
      </c>
      <c r="N78" s="3" t="e">
        <v>#N/A</v>
      </c>
      <c r="O78" s="3" t="e">
        <v>#N/A</v>
      </c>
      <c r="P78" s="3" t="e">
        <v>#N/A</v>
      </c>
      <c r="Q78" s="3" t="e">
        <v>#N/A</v>
      </c>
      <c r="R78" s="3" t="e">
        <v>#N/A</v>
      </c>
      <c r="S78" s="3" t="e">
        <v>#N/A</v>
      </c>
      <c r="T78" s="3" t="e">
        <v>#N/A</v>
      </c>
      <c r="U78" s="3" t="e">
        <v>#N/A</v>
      </c>
      <c r="V78" s="3" t="e">
        <v>#N/A</v>
      </c>
      <c r="W78" s="3" t="e">
        <v>#N/A</v>
      </c>
      <c r="X78" s="3" t="e">
        <v>#N/A</v>
      </c>
      <c r="Y78" s="3" t="e">
        <v>#N/A</v>
      </c>
      <c r="Z78" s="3" t="e">
        <v>#N/A</v>
      </c>
      <c r="AA78" s="3" t="e">
        <v>#N/A</v>
      </c>
      <c r="AB78" s="3" t="e">
        <v>#N/A</v>
      </c>
      <c r="AC78" s="3" t="e">
        <v>#N/A</v>
      </c>
      <c r="AD78" s="3" t="e">
        <v>#N/A</v>
      </c>
      <c r="AE78" s="3" t="e">
        <v>#N/A</v>
      </c>
      <c r="AF78" s="3" t="e">
        <v>#N/A</v>
      </c>
      <c r="AG78" s="3" t="e">
        <v>#N/A</v>
      </c>
      <c r="AH78" s="3" t="e">
        <v>#N/A</v>
      </c>
      <c r="AI78" s="3" t="e">
        <v>#N/A</v>
      </c>
      <c r="AJ78" s="3" t="e">
        <v>#N/A</v>
      </c>
      <c r="AK78" s="3" t="e">
        <v>#N/A</v>
      </c>
      <c r="AL78" s="3" t="e">
        <v>#N/A</v>
      </c>
      <c r="AM78" s="3" t="e">
        <v>#N/A</v>
      </c>
      <c r="AN78" s="3" t="e">
        <v>#N/A</v>
      </c>
      <c r="AO78" s="3" t="e">
        <v>#N/A</v>
      </c>
      <c r="AP78" s="3" t="e">
        <v>#N/A</v>
      </c>
      <c r="AQ78" s="3" t="e">
        <v>#N/A</v>
      </c>
      <c r="AR78" s="3" t="e">
        <v>#N/A</v>
      </c>
      <c r="AS78" s="3" t="e">
        <v>#N/A</v>
      </c>
      <c r="AT78" s="3" t="e">
        <v>#N/A</v>
      </c>
      <c r="AU78" s="3" t="e">
        <v>#N/A</v>
      </c>
      <c r="AV78" s="3" t="e">
        <v>#N/A</v>
      </c>
      <c r="AW78" s="3" t="e">
        <v>#N/A</v>
      </c>
      <c r="AX78" s="3" t="e">
        <v>#N/A</v>
      </c>
      <c r="AY78" s="3" t="e">
        <v>#N/A</v>
      </c>
      <c r="AZ78" s="3" t="e">
        <v>#N/A</v>
      </c>
      <c r="BA78" s="3" t="e">
        <v>#N/A</v>
      </c>
      <c r="BB78" s="3" t="e">
        <v>#N/A</v>
      </c>
      <c r="BC78" s="3" t="e">
        <v>#N/A</v>
      </c>
      <c r="BD78" s="3" t="e">
        <v>#N/A</v>
      </c>
      <c r="BE78" s="3" t="e">
        <v>#N/A</v>
      </c>
      <c r="BF78" s="3" t="e">
        <v>#N/A</v>
      </c>
      <c r="BG78" s="3" t="e">
        <v>#N/A</v>
      </c>
      <c r="BH78" s="3" t="e">
        <v>#N/A</v>
      </c>
      <c r="BI78" s="3" t="e">
        <v>#N/A</v>
      </c>
      <c r="BJ78" s="3" t="e">
        <v>#N/A</v>
      </c>
      <c r="BK78" s="3" t="e">
        <v>#N/A</v>
      </c>
      <c r="BL78" s="3" t="e">
        <v>#N/A</v>
      </c>
      <c r="BM78" s="3" t="e">
        <v>#N/A</v>
      </c>
      <c r="BN78" s="3" t="e">
        <v>#N/A</v>
      </c>
      <c r="BO78" s="3" t="e">
        <v>#N/A</v>
      </c>
      <c r="BP78" s="3" t="e">
        <v>#N/A</v>
      </c>
      <c r="BQ78" s="3" t="e">
        <v>#N/A</v>
      </c>
      <c r="BR78" s="3" t="e">
        <v>#N/A</v>
      </c>
      <c r="BS78" s="3" t="e">
        <v>#N/A</v>
      </c>
      <c r="BT78" s="3" t="e">
        <v>#N/A</v>
      </c>
      <c r="BU78" s="3">
        <v>0.82</v>
      </c>
      <c r="BV78" s="3">
        <v>1.57</v>
      </c>
      <c r="BW78" s="3">
        <v>1.46</v>
      </c>
      <c r="BX78" s="3">
        <v>1.94</v>
      </c>
      <c r="BY78" s="3">
        <v>2.0699999999999998</v>
      </c>
      <c r="BZ78" s="3">
        <v>2</v>
      </c>
      <c r="CA78" s="3">
        <v>2.15</v>
      </c>
      <c r="CB78" s="3">
        <v>2.15</v>
      </c>
      <c r="CC78" s="3">
        <v>2.11</v>
      </c>
      <c r="CD78" s="3">
        <v>2.09</v>
      </c>
      <c r="CE78" s="3">
        <v>2.0299999999999998</v>
      </c>
      <c r="CF78" s="3">
        <v>2.02</v>
      </c>
      <c r="CG78" s="3">
        <v>1.98</v>
      </c>
    </row>
    <row r="79" spans="1:87" x14ac:dyDescent="0.35">
      <c r="A79" s="1"/>
      <c r="B79" s="4">
        <v>44317</v>
      </c>
      <c r="C79" s="5" t="s">
        <v>675</v>
      </c>
      <c r="D79" t="s">
        <v>694</v>
      </c>
      <c r="E79" t="s">
        <v>518</v>
      </c>
      <c r="F79" t="s">
        <v>693</v>
      </c>
      <c r="G79" t="s">
        <v>1009</v>
      </c>
      <c r="H79" t="s">
        <v>688</v>
      </c>
      <c r="I79" s="3" t="e">
        <v>#N/A</v>
      </c>
      <c r="J79" s="3" t="e">
        <v>#N/A</v>
      </c>
      <c r="K79" s="3" t="e">
        <v>#N/A</v>
      </c>
      <c r="L79" s="3" t="e">
        <v>#N/A</v>
      </c>
      <c r="M79" s="3" t="e">
        <v>#N/A</v>
      </c>
      <c r="N79" s="3" t="e">
        <v>#N/A</v>
      </c>
      <c r="O79" s="3" t="e">
        <v>#N/A</v>
      </c>
      <c r="P79" s="3" t="e">
        <v>#N/A</v>
      </c>
      <c r="Q79" s="3" t="e">
        <v>#N/A</v>
      </c>
      <c r="R79" s="3" t="e">
        <v>#N/A</v>
      </c>
      <c r="S79" s="3" t="e">
        <v>#N/A</v>
      </c>
      <c r="T79" s="3" t="e">
        <v>#N/A</v>
      </c>
      <c r="U79" s="3" t="e">
        <v>#N/A</v>
      </c>
      <c r="V79" s="3" t="e">
        <v>#N/A</v>
      </c>
      <c r="W79" s="3" t="e">
        <v>#N/A</v>
      </c>
      <c r="X79" s="3" t="e">
        <v>#N/A</v>
      </c>
      <c r="Y79" s="3" t="e">
        <v>#N/A</v>
      </c>
      <c r="Z79" s="3" t="e">
        <v>#N/A</v>
      </c>
      <c r="AA79" s="3" t="e">
        <v>#N/A</v>
      </c>
      <c r="AB79" s="3" t="e">
        <v>#N/A</v>
      </c>
      <c r="AC79" s="3" t="e">
        <v>#N/A</v>
      </c>
      <c r="AD79" s="3" t="e">
        <v>#N/A</v>
      </c>
      <c r="AE79" s="3" t="e">
        <v>#N/A</v>
      </c>
      <c r="AF79" s="3" t="e">
        <v>#N/A</v>
      </c>
      <c r="AG79" s="3" t="e">
        <v>#N/A</v>
      </c>
      <c r="AH79" s="3" t="e">
        <v>#N/A</v>
      </c>
      <c r="AI79" s="3" t="e">
        <v>#N/A</v>
      </c>
      <c r="AJ79" s="3" t="e">
        <v>#N/A</v>
      </c>
      <c r="AK79" s="3" t="e">
        <v>#N/A</v>
      </c>
      <c r="AL79" s="3" t="e">
        <v>#N/A</v>
      </c>
      <c r="AM79" s="3" t="e">
        <v>#N/A</v>
      </c>
      <c r="AN79" s="3" t="e">
        <v>#N/A</v>
      </c>
      <c r="AO79" s="3" t="e">
        <v>#N/A</v>
      </c>
      <c r="AP79" s="3" t="e">
        <v>#N/A</v>
      </c>
      <c r="AQ79" s="3" t="e">
        <v>#N/A</v>
      </c>
      <c r="AR79" s="3" t="e">
        <v>#N/A</v>
      </c>
      <c r="AS79" s="3" t="e">
        <v>#N/A</v>
      </c>
      <c r="AT79" s="3" t="e">
        <v>#N/A</v>
      </c>
      <c r="AU79" s="3" t="e">
        <v>#N/A</v>
      </c>
      <c r="AV79" s="3" t="e">
        <v>#N/A</v>
      </c>
      <c r="AW79" s="3" t="e">
        <v>#N/A</v>
      </c>
      <c r="AX79" s="3" t="e">
        <v>#N/A</v>
      </c>
      <c r="AY79" s="3" t="e">
        <v>#N/A</v>
      </c>
      <c r="AZ79" s="3" t="e">
        <v>#N/A</v>
      </c>
      <c r="BA79" s="3" t="e">
        <v>#N/A</v>
      </c>
      <c r="BB79" s="3" t="e">
        <v>#N/A</v>
      </c>
      <c r="BC79" s="3" t="e">
        <v>#N/A</v>
      </c>
      <c r="BD79" s="3" t="e">
        <v>#N/A</v>
      </c>
      <c r="BE79" s="3" t="e">
        <v>#N/A</v>
      </c>
      <c r="BF79" s="3" t="e">
        <v>#N/A</v>
      </c>
      <c r="BG79" s="3" t="e">
        <v>#N/A</v>
      </c>
      <c r="BH79" s="3" t="e">
        <v>#N/A</v>
      </c>
      <c r="BI79" s="3" t="e">
        <v>#N/A</v>
      </c>
      <c r="BJ79" s="3" t="e">
        <v>#N/A</v>
      </c>
      <c r="BK79" s="3" t="e">
        <v>#N/A</v>
      </c>
      <c r="BL79" s="3" t="e">
        <v>#N/A</v>
      </c>
      <c r="BM79" s="3" t="e">
        <v>#N/A</v>
      </c>
      <c r="BN79" s="3" t="e">
        <v>#N/A</v>
      </c>
      <c r="BO79" s="3" t="e">
        <v>#N/A</v>
      </c>
      <c r="BP79" s="3" t="e">
        <v>#N/A</v>
      </c>
      <c r="BQ79" s="3" t="e">
        <v>#N/A</v>
      </c>
      <c r="BR79" s="3" t="e">
        <v>#N/A</v>
      </c>
      <c r="BS79" s="3" t="e">
        <v>#N/A</v>
      </c>
      <c r="BT79" s="3" t="e">
        <v>#N/A</v>
      </c>
      <c r="BU79" s="3" t="e">
        <v>#N/A</v>
      </c>
      <c r="BV79" s="3">
        <v>1.69</v>
      </c>
      <c r="BW79" s="3">
        <v>1.86</v>
      </c>
      <c r="BX79" s="3">
        <v>2.4700000000000002</v>
      </c>
      <c r="BY79" s="3">
        <v>2.42</v>
      </c>
      <c r="BZ79" s="3">
        <v>2.31</v>
      </c>
      <c r="CA79" s="3">
        <v>2.2000000000000002</v>
      </c>
      <c r="CB79" s="3">
        <v>2.02</v>
      </c>
      <c r="CC79" s="3">
        <v>1.99</v>
      </c>
      <c r="CD79" s="3">
        <v>1.96</v>
      </c>
      <c r="CE79" s="3">
        <v>1.92</v>
      </c>
      <c r="CF79" s="3">
        <v>1.93</v>
      </c>
      <c r="CG79" s="3">
        <v>1.94</v>
      </c>
      <c r="CH79" s="3">
        <v>1.93</v>
      </c>
    </row>
    <row r="80" spans="1:87" ht="15.75" customHeight="1" x14ac:dyDescent="0.35">
      <c r="A80" s="1"/>
      <c r="B80" s="4">
        <v>44409</v>
      </c>
      <c r="C80" s="5" t="s">
        <v>804</v>
      </c>
      <c r="D80" t="s">
        <v>813</v>
      </c>
      <c r="E80" t="s">
        <v>522</v>
      </c>
      <c r="F80" t="s">
        <v>700</v>
      </c>
      <c r="G80" t="s">
        <v>1009</v>
      </c>
      <c r="H80" t="s">
        <v>807</v>
      </c>
      <c r="I80" s="3" t="e">
        <v>#N/A</v>
      </c>
      <c r="J80" s="3" t="e">
        <v>#N/A</v>
      </c>
      <c r="K80" s="3" t="e">
        <v>#N/A</v>
      </c>
      <c r="L80" s="3" t="e">
        <v>#N/A</v>
      </c>
      <c r="M80" s="3" t="e">
        <v>#N/A</v>
      </c>
      <c r="N80" s="3" t="e">
        <v>#N/A</v>
      </c>
      <c r="O80" s="3" t="e">
        <v>#N/A</v>
      </c>
      <c r="P80" s="3" t="e">
        <v>#N/A</v>
      </c>
      <c r="Q80" s="3" t="e">
        <v>#N/A</v>
      </c>
      <c r="R80" s="3" t="e">
        <v>#N/A</v>
      </c>
      <c r="S80" s="3" t="e">
        <v>#N/A</v>
      </c>
      <c r="T80" s="3" t="e">
        <v>#N/A</v>
      </c>
      <c r="U80" s="3" t="e">
        <v>#N/A</v>
      </c>
      <c r="V80" s="3" t="e">
        <v>#N/A</v>
      </c>
      <c r="W80" s="3" t="e">
        <v>#N/A</v>
      </c>
      <c r="X80" s="3" t="e">
        <v>#N/A</v>
      </c>
      <c r="Y80" s="3" t="e">
        <v>#N/A</v>
      </c>
      <c r="Z80" s="3" t="e">
        <v>#N/A</v>
      </c>
      <c r="AA80" s="3" t="e">
        <v>#N/A</v>
      </c>
      <c r="AB80" s="3" t="e">
        <v>#N/A</v>
      </c>
      <c r="AC80" s="3" t="e">
        <v>#N/A</v>
      </c>
      <c r="AD80" s="3" t="e">
        <v>#N/A</v>
      </c>
      <c r="AE80" s="3" t="e">
        <v>#N/A</v>
      </c>
      <c r="AF80" s="3" t="e">
        <v>#N/A</v>
      </c>
      <c r="AG80" s="3" t="e">
        <v>#N/A</v>
      </c>
      <c r="AH80" s="3" t="e">
        <v>#N/A</v>
      </c>
      <c r="AI80" s="3" t="e">
        <v>#N/A</v>
      </c>
      <c r="AJ80" s="3" t="e">
        <v>#N/A</v>
      </c>
      <c r="AK80" s="3" t="e">
        <v>#N/A</v>
      </c>
      <c r="AL80" s="3" t="e">
        <v>#N/A</v>
      </c>
      <c r="AM80" s="3" t="e">
        <v>#N/A</v>
      </c>
      <c r="AN80" s="3" t="e">
        <v>#N/A</v>
      </c>
      <c r="AO80" s="3" t="e">
        <v>#N/A</v>
      </c>
      <c r="AP80" s="3" t="e">
        <v>#N/A</v>
      </c>
      <c r="AQ80" s="3" t="e">
        <v>#N/A</v>
      </c>
      <c r="AR80" s="3" t="e">
        <v>#N/A</v>
      </c>
      <c r="AS80" s="3" t="e">
        <v>#N/A</v>
      </c>
      <c r="AT80" s="3" t="e">
        <v>#N/A</v>
      </c>
      <c r="AU80" s="3" t="e">
        <v>#N/A</v>
      </c>
      <c r="AV80" s="3" t="e">
        <v>#N/A</v>
      </c>
      <c r="AW80" s="3" t="e">
        <v>#N/A</v>
      </c>
      <c r="AX80" s="3" t="e">
        <v>#N/A</v>
      </c>
      <c r="AY80" s="3" t="e">
        <v>#N/A</v>
      </c>
      <c r="AZ80" s="3" t="e">
        <v>#N/A</v>
      </c>
      <c r="BA80" s="3" t="e">
        <v>#N/A</v>
      </c>
      <c r="BB80" s="3" t="e">
        <v>#N/A</v>
      </c>
      <c r="BC80" s="3" t="e">
        <v>#N/A</v>
      </c>
      <c r="BD80" s="3" t="e">
        <v>#N/A</v>
      </c>
      <c r="BE80" s="3" t="e">
        <v>#N/A</v>
      </c>
      <c r="BF80" s="3" t="e">
        <v>#N/A</v>
      </c>
      <c r="BG80" s="3" t="e">
        <v>#N/A</v>
      </c>
      <c r="BH80" s="3" t="e">
        <v>#N/A</v>
      </c>
      <c r="BI80" s="3" t="e">
        <v>#N/A</v>
      </c>
      <c r="BJ80" s="3" t="e">
        <v>#N/A</v>
      </c>
      <c r="BK80" s="3" t="e">
        <v>#N/A</v>
      </c>
      <c r="BL80" s="3" t="e">
        <v>#N/A</v>
      </c>
      <c r="BM80" s="3" t="e">
        <v>#N/A</v>
      </c>
      <c r="BN80" s="3" t="e">
        <v>#N/A</v>
      </c>
      <c r="BO80" s="3" t="e">
        <v>#N/A</v>
      </c>
      <c r="BP80" s="3" t="e">
        <v>#N/A</v>
      </c>
      <c r="BQ80" s="3" t="e">
        <v>#N/A</v>
      </c>
      <c r="BR80" s="3" t="e">
        <v>#N/A</v>
      </c>
      <c r="BS80" s="3" t="e">
        <v>#N/A</v>
      </c>
      <c r="BT80" s="3" t="e">
        <v>#N/A</v>
      </c>
      <c r="BU80" s="3" t="e">
        <v>#N/A</v>
      </c>
      <c r="BV80" s="3" t="e">
        <v>#N/A</v>
      </c>
      <c r="BW80" s="3">
        <v>2.7</v>
      </c>
      <c r="BX80" s="3">
        <v>4</v>
      </c>
      <c r="BY80" s="3">
        <v>4.0199999999999996</v>
      </c>
      <c r="BZ80" s="3">
        <v>3.78</v>
      </c>
      <c r="CA80" s="3">
        <v>3.28</v>
      </c>
      <c r="CB80" s="3">
        <v>2.54</v>
      </c>
      <c r="CC80" s="3">
        <v>2.42</v>
      </c>
      <c r="CD80" s="3">
        <v>2.19</v>
      </c>
      <c r="CE80" s="3">
        <v>2.0699999999999998</v>
      </c>
      <c r="CF80" s="3">
        <v>1.99</v>
      </c>
      <c r="CG80" s="3">
        <v>1.96</v>
      </c>
      <c r="CH80" s="3">
        <v>1.93</v>
      </c>
      <c r="CI80" s="3">
        <v>1.89</v>
      </c>
    </row>
    <row r="81" spans="1:101" ht="15.75" customHeight="1" x14ac:dyDescent="0.35">
      <c r="A81" s="1"/>
      <c r="B81" s="4">
        <v>44501</v>
      </c>
      <c r="C81" s="5" t="s">
        <v>842</v>
      </c>
      <c r="D81" t="s">
        <v>849</v>
      </c>
      <c r="E81" t="s">
        <v>555</v>
      </c>
      <c r="F81" t="s">
        <v>811</v>
      </c>
      <c r="G81" t="s">
        <v>1009</v>
      </c>
      <c r="H81" t="s">
        <v>845</v>
      </c>
      <c r="I81" s="3" t="e">
        <v>#N/A</v>
      </c>
      <c r="J81" s="3" t="e">
        <v>#N/A</v>
      </c>
      <c r="K81" s="3" t="e">
        <v>#N/A</v>
      </c>
      <c r="L81" s="3" t="e">
        <v>#N/A</v>
      </c>
      <c r="M81" s="3" t="e">
        <v>#N/A</v>
      </c>
      <c r="N81" s="3" t="e">
        <v>#N/A</v>
      </c>
      <c r="O81" s="3" t="e">
        <v>#N/A</v>
      </c>
      <c r="P81" s="3" t="e">
        <v>#N/A</v>
      </c>
      <c r="Q81" s="3" t="e">
        <v>#N/A</v>
      </c>
      <c r="R81" s="3" t="e">
        <v>#N/A</v>
      </c>
      <c r="S81" s="3" t="e">
        <v>#N/A</v>
      </c>
      <c r="T81" s="3" t="e">
        <v>#N/A</v>
      </c>
      <c r="U81" s="3" t="e">
        <v>#N/A</v>
      </c>
      <c r="V81" s="3" t="e">
        <v>#N/A</v>
      </c>
      <c r="W81" s="3" t="e">
        <v>#N/A</v>
      </c>
      <c r="X81" s="3" t="e">
        <v>#N/A</v>
      </c>
      <c r="Y81" s="3" t="e">
        <v>#N/A</v>
      </c>
      <c r="Z81" s="3" t="e">
        <v>#N/A</v>
      </c>
      <c r="AA81" s="3" t="e">
        <v>#N/A</v>
      </c>
      <c r="AB81" s="3" t="e">
        <v>#N/A</v>
      </c>
      <c r="AC81" s="3" t="e">
        <v>#N/A</v>
      </c>
      <c r="AD81" s="3" t="e">
        <v>#N/A</v>
      </c>
      <c r="AE81" s="3" t="e">
        <v>#N/A</v>
      </c>
      <c r="AF81" s="3" t="e">
        <v>#N/A</v>
      </c>
      <c r="AG81" s="3" t="e">
        <v>#N/A</v>
      </c>
      <c r="AH81" s="3" t="e">
        <v>#N/A</v>
      </c>
      <c r="AI81" s="3" t="e">
        <v>#N/A</v>
      </c>
      <c r="AJ81" s="3" t="e">
        <v>#N/A</v>
      </c>
      <c r="AK81" s="3" t="e">
        <v>#N/A</v>
      </c>
      <c r="AL81" s="3" t="e">
        <v>#N/A</v>
      </c>
      <c r="AM81" s="3" t="e">
        <v>#N/A</v>
      </c>
      <c r="AN81" s="3" t="e">
        <v>#N/A</v>
      </c>
      <c r="AO81" s="3" t="e">
        <v>#N/A</v>
      </c>
      <c r="AP81" s="3" t="e">
        <v>#N/A</v>
      </c>
      <c r="AQ81" s="3" t="e">
        <v>#N/A</v>
      </c>
      <c r="AR81" s="3" t="e">
        <v>#N/A</v>
      </c>
      <c r="AS81" s="3" t="e">
        <v>#N/A</v>
      </c>
      <c r="AT81" s="3" t="e">
        <v>#N/A</v>
      </c>
      <c r="AU81" s="3" t="e">
        <v>#N/A</v>
      </c>
      <c r="AV81" s="3" t="e">
        <v>#N/A</v>
      </c>
      <c r="AW81" s="3" t="e">
        <v>#N/A</v>
      </c>
      <c r="AX81" s="3" t="e">
        <v>#N/A</v>
      </c>
      <c r="AY81" s="3" t="e">
        <v>#N/A</v>
      </c>
      <c r="AZ81" s="3" t="e">
        <v>#N/A</v>
      </c>
      <c r="BA81" s="3" t="e">
        <v>#N/A</v>
      </c>
      <c r="BB81" s="3" t="e">
        <v>#N/A</v>
      </c>
      <c r="BC81" s="3" t="e">
        <v>#N/A</v>
      </c>
      <c r="BD81" s="3" t="e">
        <v>#N/A</v>
      </c>
      <c r="BE81" s="3" t="e">
        <v>#N/A</v>
      </c>
      <c r="BF81" s="3" t="e">
        <v>#N/A</v>
      </c>
      <c r="BG81" s="3" t="e">
        <v>#N/A</v>
      </c>
      <c r="BH81" s="3" t="e">
        <v>#N/A</v>
      </c>
      <c r="BI81" s="3" t="e">
        <v>#N/A</v>
      </c>
      <c r="BJ81" s="3" t="e">
        <v>#N/A</v>
      </c>
      <c r="BK81" s="3" t="e">
        <v>#N/A</v>
      </c>
      <c r="BL81" s="3" t="e">
        <v>#N/A</v>
      </c>
      <c r="BM81" s="3" t="e">
        <v>#N/A</v>
      </c>
      <c r="BN81" s="3" t="e">
        <v>#N/A</v>
      </c>
      <c r="BO81" s="3" t="e">
        <v>#N/A</v>
      </c>
      <c r="BP81" s="3" t="e">
        <v>#N/A</v>
      </c>
      <c r="BQ81" s="3" t="e">
        <v>#N/A</v>
      </c>
      <c r="BR81" s="3" t="e">
        <v>#N/A</v>
      </c>
      <c r="BS81" s="3" t="e">
        <v>#N/A</v>
      </c>
      <c r="BT81" s="3" t="e">
        <v>#N/A</v>
      </c>
      <c r="BU81" s="3" t="e">
        <v>#N/A</v>
      </c>
      <c r="BV81" s="3" t="e">
        <v>#N/A</v>
      </c>
      <c r="BW81" s="3" t="e">
        <v>#N/A</v>
      </c>
      <c r="BX81" s="3">
        <v>4.33</v>
      </c>
      <c r="BY81" s="3">
        <v>4.5599999999999996</v>
      </c>
      <c r="BZ81" s="3">
        <v>4.8</v>
      </c>
      <c r="CA81" s="3">
        <v>4.42</v>
      </c>
      <c r="CB81" s="3">
        <v>3.4</v>
      </c>
      <c r="CC81" s="3">
        <v>3.26</v>
      </c>
      <c r="CD81" s="3">
        <v>2.58</v>
      </c>
      <c r="CE81" s="3">
        <v>2.4</v>
      </c>
      <c r="CF81" s="3">
        <v>2.23</v>
      </c>
      <c r="CG81" s="3">
        <v>2.11</v>
      </c>
      <c r="CH81" s="3">
        <v>1.99</v>
      </c>
      <c r="CI81" s="3">
        <v>1.96</v>
      </c>
      <c r="CJ81" s="3">
        <v>1.95</v>
      </c>
    </row>
    <row r="82" spans="1:101" ht="15.75" customHeight="1" x14ac:dyDescent="0.35">
      <c r="A82" s="1"/>
      <c r="B82" s="4">
        <v>44593</v>
      </c>
      <c r="C82" s="5" t="s">
        <v>869</v>
      </c>
      <c r="D82" t="s">
        <v>875</v>
      </c>
      <c r="E82" t="s">
        <v>572</v>
      </c>
      <c r="F82" t="s">
        <v>831</v>
      </c>
      <c r="G82" t="s">
        <v>1009</v>
      </c>
      <c r="H82" t="s">
        <v>872</v>
      </c>
      <c r="I82" s="3" t="e">
        <v>#N/A</v>
      </c>
      <c r="J82" s="3" t="e">
        <v>#N/A</v>
      </c>
      <c r="K82" s="3" t="e">
        <v>#N/A</v>
      </c>
      <c r="L82" s="3" t="e">
        <v>#N/A</v>
      </c>
      <c r="M82" s="3" t="e">
        <v>#N/A</v>
      </c>
      <c r="N82" s="3" t="e">
        <v>#N/A</v>
      </c>
      <c r="O82" s="3" t="e">
        <v>#N/A</v>
      </c>
      <c r="P82" s="3" t="e">
        <v>#N/A</v>
      </c>
      <c r="Q82" s="3" t="e">
        <v>#N/A</v>
      </c>
      <c r="R82" s="3" t="e">
        <v>#N/A</v>
      </c>
      <c r="S82" s="3" t="e">
        <v>#N/A</v>
      </c>
      <c r="T82" s="3" t="e">
        <v>#N/A</v>
      </c>
      <c r="U82" s="3" t="e">
        <v>#N/A</v>
      </c>
      <c r="V82" s="3" t="e">
        <v>#N/A</v>
      </c>
      <c r="W82" s="3" t="e">
        <v>#N/A</v>
      </c>
      <c r="X82" s="3" t="e">
        <v>#N/A</v>
      </c>
      <c r="Y82" s="3" t="e">
        <v>#N/A</v>
      </c>
      <c r="Z82" s="3" t="e">
        <v>#N/A</v>
      </c>
      <c r="AA82" s="3" t="e">
        <v>#N/A</v>
      </c>
      <c r="AB82" s="3" t="e">
        <v>#N/A</v>
      </c>
      <c r="AC82" s="3" t="e">
        <v>#N/A</v>
      </c>
      <c r="AD82" s="3" t="e">
        <v>#N/A</v>
      </c>
      <c r="AE82" s="3" t="e">
        <v>#N/A</v>
      </c>
      <c r="AF82" s="3" t="e">
        <v>#N/A</v>
      </c>
      <c r="AG82" s="3" t="e">
        <v>#N/A</v>
      </c>
      <c r="AH82" s="3" t="e">
        <v>#N/A</v>
      </c>
      <c r="AI82" s="3" t="e">
        <v>#N/A</v>
      </c>
      <c r="AJ82" s="3" t="e">
        <v>#N/A</v>
      </c>
      <c r="AK82" s="3" t="e">
        <v>#N/A</v>
      </c>
      <c r="AL82" s="3" t="e">
        <v>#N/A</v>
      </c>
      <c r="AM82" s="3" t="e">
        <v>#N/A</v>
      </c>
      <c r="AN82" s="3" t="e">
        <v>#N/A</v>
      </c>
      <c r="AO82" s="3" t="e">
        <v>#N/A</v>
      </c>
      <c r="AP82" s="3" t="e">
        <v>#N/A</v>
      </c>
      <c r="AQ82" s="3" t="e">
        <v>#N/A</v>
      </c>
      <c r="AR82" s="3" t="e">
        <v>#N/A</v>
      </c>
      <c r="AS82" s="3" t="e">
        <v>#N/A</v>
      </c>
      <c r="AT82" s="3" t="e">
        <v>#N/A</v>
      </c>
      <c r="AU82" s="3" t="e">
        <v>#N/A</v>
      </c>
      <c r="AV82" s="3" t="e">
        <v>#N/A</v>
      </c>
      <c r="AW82" s="3" t="e">
        <v>#N/A</v>
      </c>
      <c r="AX82" s="3" t="e">
        <v>#N/A</v>
      </c>
      <c r="AY82" s="3" t="e">
        <v>#N/A</v>
      </c>
      <c r="AZ82" s="3" t="e">
        <v>#N/A</v>
      </c>
      <c r="BA82" s="3" t="e">
        <v>#N/A</v>
      </c>
      <c r="BB82" s="3" t="e">
        <v>#N/A</v>
      </c>
      <c r="BC82" s="3" t="e">
        <v>#N/A</v>
      </c>
      <c r="BD82" s="3" t="e">
        <v>#N/A</v>
      </c>
      <c r="BE82" s="3" t="e">
        <v>#N/A</v>
      </c>
      <c r="BF82" s="3" t="e">
        <v>#N/A</v>
      </c>
      <c r="BG82" s="3" t="e">
        <v>#N/A</v>
      </c>
      <c r="BH82" s="3" t="e">
        <v>#N/A</v>
      </c>
      <c r="BI82" s="3" t="e">
        <v>#N/A</v>
      </c>
      <c r="BJ82" s="3" t="e">
        <v>#N/A</v>
      </c>
      <c r="BK82" s="3" t="e">
        <v>#N/A</v>
      </c>
      <c r="BL82" s="3" t="e">
        <v>#N/A</v>
      </c>
      <c r="BM82" s="3" t="e">
        <v>#N/A</v>
      </c>
      <c r="BN82" s="3" t="e">
        <v>#N/A</v>
      </c>
      <c r="BO82" s="3" t="e">
        <v>#N/A</v>
      </c>
      <c r="BP82" s="3" t="e">
        <v>#N/A</v>
      </c>
      <c r="BQ82" s="3" t="e">
        <v>#N/A</v>
      </c>
      <c r="BR82" s="3" t="e">
        <v>#N/A</v>
      </c>
      <c r="BS82" s="3" t="e">
        <v>#N/A</v>
      </c>
      <c r="BT82" s="3" t="e">
        <v>#N/A</v>
      </c>
      <c r="BU82" s="3" t="e">
        <v>#N/A</v>
      </c>
      <c r="BV82" s="3" t="e">
        <v>#N/A</v>
      </c>
      <c r="BW82" s="3" t="e">
        <v>#N/A</v>
      </c>
      <c r="BX82" s="3" t="e">
        <v>#N/A</v>
      </c>
      <c r="BY82" s="3">
        <v>5.73</v>
      </c>
      <c r="BZ82" s="3">
        <v>7.03</v>
      </c>
      <c r="CA82" s="3">
        <v>6.7</v>
      </c>
      <c r="CB82" s="3">
        <v>5.81</v>
      </c>
      <c r="CC82" s="3">
        <v>5.21</v>
      </c>
      <c r="CD82" s="3">
        <v>3.49</v>
      </c>
      <c r="CE82" s="3">
        <v>3.25</v>
      </c>
      <c r="CF82" s="3">
        <v>2.4500000000000002</v>
      </c>
      <c r="CG82" s="3">
        <v>2.15</v>
      </c>
      <c r="CH82" s="3">
        <v>1.89</v>
      </c>
      <c r="CI82" s="3">
        <v>1.77</v>
      </c>
      <c r="CJ82" s="3">
        <v>1.66</v>
      </c>
      <c r="CK82" s="3">
        <v>1.6</v>
      </c>
    </row>
    <row r="83" spans="1:101" ht="15.75" customHeight="1" x14ac:dyDescent="0.35">
      <c r="A83" s="1"/>
      <c r="B83" s="4">
        <v>44682</v>
      </c>
      <c r="C83" s="5" t="s">
        <v>893</v>
      </c>
      <c r="D83" t="s">
        <v>900</v>
      </c>
      <c r="E83" t="s">
        <v>588</v>
      </c>
      <c r="F83" t="s">
        <v>853</v>
      </c>
      <c r="G83" t="s">
        <v>1009</v>
      </c>
      <c r="H83" t="s">
        <v>896</v>
      </c>
      <c r="I83" s="3" t="e">
        <v>#N/A</v>
      </c>
      <c r="J83" s="3" t="e">
        <v>#N/A</v>
      </c>
      <c r="K83" s="3" t="e">
        <v>#N/A</v>
      </c>
      <c r="L83" s="3" t="e">
        <v>#N/A</v>
      </c>
      <c r="M83" s="3" t="e">
        <v>#N/A</v>
      </c>
      <c r="N83" s="3" t="e">
        <v>#N/A</v>
      </c>
      <c r="O83" s="3" t="e">
        <v>#N/A</v>
      </c>
      <c r="P83" s="3" t="e">
        <v>#N/A</v>
      </c>
      <c r="Q83" s="3" t="e">
        <v>#N/A</v>
      </c>
      <c r="R83" s="3" t="e">
        <v>#N/A</v>
      </c>
      <c r="S83" s="3" t="e">
        <v>#N/A</v>
      </c>
      <c r="T83" s="3" t="e">
        <v>#N/A</v>
      </c>
      <c r="U83" s="3" t="e">
        <v>#N/A</v>
      </c>
      <c r="V83" s="3" t="e">
        <v>#N/A</v>
      </c>
      <c r="W83" s="3" t="e">
        <v>#N/A</v>
      </c>
      <c r="X83" s="3" t="e">
        <v>#N/A</v>
      </c>
      <c r="Y83" s="3" t="e">
        <v>#N/A</v>
      </c>
      <c r="Z83" s="3" t="e">
        <v>#N/A</v>
      </c>
      <c r="AA83" s="3" t="e">
        <v>#N/A</v>
      </c>
      <c r="AB83" s="3" t="e">
        <v>#N/A</v>
      </c>
      <c r="AC83" s="3" t="e">
        <v>#N/A</v>
      </c>
      <c r="AD83" s="3" t="e">
        <v>#N/A</v>
      </c>
      <c r="AE83" s="3" t="e">
        <v>#N/A</v>
      </c>
      <c r="AF83" s="3" t="e">
        <v>#N/A</v>
      </c>
      <c r="AG83" s="3" t="e">
        <v>#N/A</v>
      </c>
      <c r="AH83" s="3" t="e">
        <v>#N/A</v>
      </c>
      <c r="AI83" s="3" t="e">
        <v>#N/A</v>
      </c>
      <c r="AJ83" s="3" t="e">
        <v>#N/A</v>
      </c>
      <c r="AK83" s="3" t="e">
        <v>#N/A</v>
      </c>
      <c r="AL83" s="3" t="e">
        <v>#N/A</v>
      </c>
      <c r="AM83" s="3" t="e">
        <v>#N/A</v>
      </c>
      <c r="AN83" s="3" t="e">
        <v>#N/A</v>
      </c>
      <c r="AO83" s="3" t="e">
        <v>#N/A</v>
      </c>
      <c r="AP83" s="3" t="e">
        <v>#N/A</v>
      </c>
      <c r="AQ83" s="3" t="e">
        <v>#N/A</v>
      </c>
      <c r="AR83" s="3" t="e">
        <v>#N/A</v>
      </c>
      <c r="AS83" s="3" t="e">
        <v>#N/A</v>
      </c>
      <c r="AT83" s="3" t="e">
        <v>#N/A</v>
      </c>
      <c r="AU83" s="3" t="e">
        <v>#N/A</v>
      </c>
      <c r="AV83" s="3" t="e">
        <v>#N/A</v>
      </c>
      <c r="AW83" s="3" t="e">
        <v>#N/A</v>
      </c>
      <c r="AX83" s="3" t="e">
        <v>#N/A</v>
      </c>
      <c r="AY83" s="3" t="e">
        <v>#N/A</v>
      </c>
      <c r="AZ83" s="3" t="e">
        <v>#N/A</v>
      </c>
      <c r="BA83" s="3" t="e">
        <v>#N/A</v>
      </c>
      <c r="BB83" s="3" t="e">
        <v>#N/A</v>
      </c>
      <c r="BC83" s="3" t="e">
        <v>#N/A</v>
      </c>
      <c r="BD83" s="3" t="e">
        <v>#N/A</v>
      </c>
      <c r="BE83" s="3" t="e">
        <v>#N/A</v>
      </c>
      <c r="BF83" s="3" t="e">
        <v>#N/A</v>
      </c>
      <c r="BG83" s="3" t="e">
        <v>#N/A</v>
      </c>
      <c r="BH83" s="3" t="e">
        <v>#N/A</v>
      </c>
      <c r="BI83" s="3" t="e">
        <v>#N/A</v>
      </c>
      <c r="BJ83" s="3" t="e">
        <v>#N/A</v>
      </c>
      <c r="BK83" s="3" t="e">
        <v>#N/A</v>
      </c>
      <c r="BL83" s="3" t="e">
        <v>#N/A</v>
      </c>
      <c r="BM83" s="3" t="e">
        <v>#N/A</v>
      </c>
      <c r="BN83" s="3" t="e">
        <v>#N/A</v>
      </c>
      <c r="BO83" s="3" t="e">
        <v>#N/A</v>
      </c>
      <c r="BP83" s="3" t="e">
        <v>#N/A</v>
      </c>
      <c r="BQ83" s="3" t="e">
        <v>#N/A</v>
      </c>
      <c r="BR83" s="3" t="e">
        <v>#N/A</v>
      </c>
      <c r="BS83" s="3" t="e">
        <v>#N/A</v>
      </c>
      <c r="BT83" s="3" t="e">
        <v>#N/A</v>
      </c>
      <c r="BU83" s="3" t="e">
        <v>#N/A</v>
      </c>
      <c r="BV83" s="3" t="e">
        <v>#N/A</v>
      </c>
      <c r="BW83" s="3" t="e">
        <v>#N/A</v>
      </c>
      <c r="BX83" s="3" t="e">
        <v>#N/A</v>
      </c>
      <c r="BY83" s="3" t="e">
        <v>#N/A</v>
      </c>
      <c r="BZ83" s="3">
        <v>9.1300000000000008</v>
      </c>
      <c r="CA83" s="3">
        <v>9.4600000000000009</v>
      </c>
      <c r="CB83" s="3">
        <v>10.19</v>
      </c>
      <c r="CC83" s="3">
        <v>9.31</v>
      </c>
      <c r="CD83" s="3">
        <v>6.65</v>
      </c>
      <c r="CE83" s="3">
        <v>5.88</v>
      </c>
      <c r="CF83" s="3">
        <v>3.56</v>
      </c>
      <c r="CG83" s="3">
        <v>2.91</v>
      </c>
      <c r="CH83" s="3">
        <v>2.14</v>
      </c>
      <c r="CI83" s="3">
        <v>1.85</v>
      </c>
      <c r="CJ83" s="3">
        <v>1.51</v>
      </c>
      <c r="CK83" s="3">
        <v>1.37</v>
      </c>
      <c r="CL83" s="3">
        <v>1.3</v>
      </c>
    </row>
    <row r="84" spans="1:101" ht="15.75" customHeight="1" x14ac:dyDescent="0.35">
      <c r="A84" s="1"/>
      <c r="B84" s="4">
        <v>44774</v>
      </c>
      <c r="C84" s="5" t="s">
        <v>923</v>
      </c>
      <c r="D84" t="s">
        <v>929</v>
      </c>
      <c r="E84" t="s">
        <v>603</v>
      </c>
      <c r="F84" t="s">
        <v>902</v>
      </c>
      <c r="G84" t="s">
        <v>1009</v>
      </c>
      <c r="H84" t="s">
        <v>926</v>
      </c>
      <c r="I84" s="3" t="e">
        <v>#N/A</v>
      </c>
      <c r="J84" s="3" t="e">
        <v>#N/A</v>
      </c>
      <c r="K84" s="3" t="e">
        <v>#N/A</v>
      </c>
      <c r="L84" s="3" t="e">
        <v>#N/A</v>
      </c>
      <c r="M84" s="3" t="e">
        <v>#N/A</v>
      </c>
      <c r="N84" s="3" t="e">
        <v>#N/A</v>
      </c>
      <c r="O84" s="3" t="e">
        <v>#N/A</v>
      </c>
      <c r="P84" s="3" t="e">
        <v>#N/A</v>
      </c>
      <c r="Q84" s="3" t="e">
        <v>#N/A</v>
      </c>
      <c r="R84" s="3" t="e">
        <v>#N/A</v>
      </c>
      <c r="S84" s="3" t="e">
        <v>#N/A</v>
      </c>
      <c r="T84" s="3" t="e">
        <v>#N/A</v>
      </c>
      <c r="U84" s="3" t="e">
        <v>#N/A</v>
      </c>
      <c r="V84" s="3" t="e">
        <v>#N/A</v>
      </c>
      <c r="W84" s="3" t="e">
        <v>#N/A</v>
      </c>
      <c r="X84" s="3" t="e">
        <v>#N/A</v>
      </c>
      <c r="Y84" s="3" t="e">
        <v>#N/A</v>
      </c>
      <c r="Z84" s="3" t="e">
        <v>#N/A</v>
      </c>
      <c r="AA84" s="3" t="e">
        <v>#N/A</v>
      </c>
      <c r="AB84" s="3" t="e">
        <v>#N/A</v>
      </c>
      <c r="AC84" s="3" t="e">
        <v>#N/A</v>
      </c>
      <c r="AD84" s="3" t="e">
        <v>#N/A</v>
      </c>
      <c r="AE84" s="3" t="e">
        <v>#N/A</v>
      </c>
      <c r="AF84" s="3" t="e">
        <v>#N/A</v>
      </c>
      <c r="AG84" s="3" t="e">
        <v>#N/A</v>
      </c>
      <c r="AH84" s="3" t="e">
        <v>#N/A</v>
      </c>
      <c r="AI84" s="3" t="e">
        <v>#N/A</v>
      </c>
      <c r="AJ84" s="3" t="e">
        <v>#N/A</v>
      </c>
      <c r="AK84" s="3" t="e">
        <v>#N/A</v>
      </c>
      <c r="AL84" s="3" t="e">
        <v>#N/A</v>
      </c>
      <c r="AM84" s="3" t="e">
        <v>#N/A</v>
      </c>
      <c r="AN84" s="3" t="e">
        <v>#N/A</v>
      </c>
      <c r="AO84" s="3" t="e">
        <v>#N/A</v>
      </c>
      <c r="AP84" s="3" t="e">
        <v>#N/A</v>
      </c>
      <c r="AQ84" s="3" t="e">
        <v>#N/A</v>
      </c>
      <c r="AR84" s="3" t="e">
        <v>#N/A</v>
      </c>
      <c r="AS84" s="3" t="e">
        <v>#N/A</v>
      </c>
      <c r="AT84" s="3" t="e">
        <v>#N/A</v>
      </c>
      <c r="AU84" s="3" t="e">
        <v>#N/A</v>
      </c>
      <c r="AV84" s="3" t="e">
        <v>#N/A</v>
      </c>
      <c r="AW84" s="3" t="e">
        <v>#N/A</v>
      </c>
      <c r="AX84" s="3" t="e">
        <v>#N/A</v>
      </c>
      <c r="AY84" s="3" t="e">
        <v>#N/A</v>
      </c>
      <c r="AZ84" s="3" t="e">
        <v>#N/A</v>
      </c>
      <c r="BA84" s="3" t="e">
        <v>#N/A</v>
      </c>
      <c r="BB84" s="3" t="e">
        <v>#N/A</v>
      </c>
      <c r="BC84" s="3" t="e">
        <v>#N/A</v>
      </c>
      <c r="BD84" s="3" t="e">
        <v>#N/A</v>
      </c>
      <c r="BE84" s="3" t="e">
        <v>#N/A</v>
      </c>
      <c r="BF84" s="3" t="e">
        <v>#N/A</v>
      </c>
      <c r="BG84" s="3" t="e">
        <v>#N/A</v>
      </c>
      <c r="BH84" s="3" t="e">
        <v>#N/A</v>
      </c>
      <c r="BI84" s="3" t="e">
        <v>#N/A</v>
      </c>
      <c r="BJ84" s="3" t="e">
        <v>#N/A</v>
      </c>
      <c r="BK84" s="3" t="e">
        <v>#N/A</v>
      </c>
      <c r="BL84" s="3" t="e">
        <v>#N/A</v>
      </c>
      <c r="BM84" s="3" t="e">
        <v>#N/A</v>
      </c>
      <c r="BN84" s="3" t="e">
        <v>#N/A</v>
      </c>
      <c r="BO84" s="3" t="e">
        <v>#N/A</v>
      </c>
      <c r="BP84" s="3" t="e">
        <v>#N/A</v>
      </c>
      <c r="BQ84" s="3" t="e">
        <v>#N/A</v>
      </c>
      <c r="BR84" s="3" t="e">
        <v>#N/A</v>
      </c>
      <c r="BS84" s="3" t="e">
        <v>#N/A</v>
      </c>
      <c r="BT84" s="3" t="e">
        <v>#N/A</v>
      </c>
      <c r="BU84" s="3" t="e">
        <v>#N/A</v>
      </c>
      <c r="BV84" s="3" t="e">
        <v>#N/A</v>
      </c>
      <c r="BW84" s="3" t="e">
        <v>#N/A</v>
      </c>
      <c r="BX84" s="3" t="e">
        <v>#N/A</v>
      </c>
      <c r="BY84" s="3" t="e">
        <v>#N/A</v>
      </c>
      <c r="BZ84" s="3" t="e">
        <v>#N/A</v>
      </c>
      <c r="CA84" s="3">
        <v>9.93</v>
      </c>
      <c r="CB84" s="3">
        <v>13.1</v>
      </c>
      <c r="CC84" s="3">
        <v>12.56</v>
      </c>
      <c r="CD84" s="3">
        <v>10.79</v>
      </c>
      <c r="CE84" s="3">
        <v>9.5299999999999994</v>
      </c>
      <c r="CF84" s="3">
        <v>5.46</v>
      </c>
      <c r="CG84" s="3">
        <v>4.33</v>
      </c>
      <c r="CH84" s="3">
        <v>2.64</v>
      </c>
      <c r="CI84" s="3">
        <v>2</v>
      </c>
      <c r="CJ84" s="3">
        <v>1.4</v>
      </c>
      <c r="CK84" s="3">
        <v>1.1599999999999999</v>
      </c>
      <c r="CL84" s="3">
        <v>0.93</v>
      </c>
      <c r="CM84" s="3">
        <v>0.76</v>
      </c>
    </row>
    <row r="85" spans="1:101" ht="15.75" customHeight="1" x14ac:dyDescent="0.35">
      <c r="A85" s="1"/>
      <c r="B85" s="4">
        <v>44866</v>
      </c>
      <c r="C85" s="5" t="s">
        <v>950</v>
      </c>
      <c r="D85" t="s">
        <v>957</v>
      </c>
      <c r="E85" t="s">
        <v>618</v>
      </c>
      <c r="F85" t="s">
        <v>918</v>
      </c>
      <c r="G85" t="s">
        <v>1009</v>
      </c>
      <c r="H85" t="s">
        <v>953</v>
      </c>
      <c r="I85" s="3" t="e">
        <v>#N/A</v>
      </c>
      <c r="J85" s="3" t="e">
        <v>#N/A</v>
      </c>
      <c r="K85" s="3" t="e">
        <v>#N/A</v>
      </c>
      <c r="L85" s="3" t="e">
        <v>#N/A</v>
      </c>
      <c r="M85" s="3" t="e">
        <v>#N/A</v>
      </c>
      <c r="N85" s="3" t="e">
        <v>#N/A</v>
      </c>
      <c r="O85" s="3" t="e">
        <v>#N/A</v>
      </c>
      <c r="P85" s="3" t="e">
        <v>#N/A</v>
      </c>
      <c r="Q85" s="3" t="e">
        <v>#N/A</v>
      </c>
      <c r="R85" s="3" t="e">
        <v>#N/A</v>
      </c>
      <c r="S85" s="3" t="e">
        <v>#N/A</v>
      </c>
      <c r="T85" s="3" t="e">
        <v>#N/A</v>
      </c>
      <c r="U85" s="3" t="e">
        <v>#N/A</v>
      </c>
      <c r="V85" s="3" t="e">
        <v>#N/A</v>
      </c>
      <c r="W85" s="3" t="e">
        <v>#N/A</v>
      </c>
      <c r="X85" s="3" t="e">
        <v>#N/A</v>
      </c>
      <c r="Y85" s="3" t="e">
        <v>#N/A</v>
      </c>
      <c r="Z85" s="3" t="e">
        <v>#N/A</v>
      </c>
      <c r="AA85" s="3" t="e">
        <v>#N/A</v>
      </c>
      <c r="AB85" s="3" t="e">
        <v>#N/A</v>
      </c>
      <c r="AC85" s="3" t="e">
        <v>#N/A</v>
      </c>
      <c r="AD85" s="3" t="e">
        <v>#N/A</v>
      </c>
      <c r="AE85" s="3" t="e">
        <v>#N/A</v>
      </c>
      <c r="AF85" s="3" t="e">
        <v>#N/A</v>
      </c>
      <c r="AG85" s="3" t="e">
        <v>#N/A</v>
      </c>
      <c r="AH85" s="3" t="e">
        <v>#N/A</v>
      </c>
      <c r="AI85" s="3" t="e">
        <v>#N/A</v>
      </c>
      <c r="AJ85" s="3" t="e">
        <v>#N/A</v>
      </c>
      <c r="AK85" s="3" t="e">
        <v>#N/A</v>
      </c>
      <c r="AL85" s="3" t="e">
        <v>#N/A</v>
      </c>
      <c r="AM85" s="3" t="e">
        <v>#N/A</v>
      </c>
      <c r="AN85" s="3" t="e">
        <v>#N/A</v>
      </c>
      <c r="AO85" s="3" t="e">
        <v>#N/A</v>
      </c>
      <c r="AP85" s="3" t="e">
        <v>#N/A</v>
      </c>
      <c r="AQ85" s="3" t="e">
        <v>#N/A</v>
      </c>
      <c r="AR85" s="3" t="e">
        <v>#N/A</v>
      </c>
      <c r="AS85" s="3" t="e">
        <v>#N/A</v>
      </c>
      <c r="AT85" s="3" t="e">
        <v>#N/A</v>
      </c>
      <c r="AU85" s="3" t="e">
        <v>#N/A</v>
      </c>
      <c r="AV85" s="3" t="e">
        <v>#N/A</v>
      </c>
      <c r="AW85" s="3" t="e">
        <v>#N/A</v>
      </c>
      <c r="AX85" s="3" t="e">
        <v>#N/A</v>
      </c>
      <c r="AY85" s="3" t="e">
        <v>#N/A</v>
      </c>
      <c r="AZ85" s="3" t="e">
        <v>#N/A</v>
      </c>
      <c r="BA85" s="3" t="e">
        <v>#N/A</v>
      </c>
      <c r="BB85" s="3" t="e">
        <v>#N/A</v>
      </c>
      <c r="BC85" s="3" t="e">
        <v>#N/A</v>
      </c>
      <c r="BD85" s="3" t="e">
        <v>#N/A</v>
      </c>
      <c r="BE85" s="3" t="e">
        <v>#N/A</v>
      </c>
      <c r="BF85" s="3" t="e">
        <v>#N/A</v>
      </c>
      <c r="BG85" s="3" t="e">
        <v>#N/A</v>
      </c>
      <c r="BH85" s="3" t="e">
        <v>#N/A</v>
      </c>
      <c r="BI85" s="3" t="e">
        <v>#N/A</v>
      </c>
      <c r="BJ85" s="3" t="e">
        <v>#N/A</v>
      </c>
      <c r="BK85" s="3" t="e">
        <v>#N/A</v>
      </c>
      <c r="BL85" s="3" t="e">
        <v>#N/A</v>
      </c>
      <c r="BM85" s="3" t="e">
        <v>#N/A</v>
      </c>
      <c r="BN85" s="3" t="e">
        <v>#N/A</v>
      </c>
      <c r="BO85" s="3" t="e">
        <v>#N/A</v>
      </c>
      <c r="BP85" s="3" t="e">
        <v>#N/A</v>
      </c>
      <c r="BQ85" s="3" t="e">
        <v>#N/A</v>
      </c>
      <c r="BR85" s="3" t="e">
        <v>#N/A</v>
      </c>
      <c r="BS85" s="3" t="e">
        <v>#N/A</v>
      </c>
      <c r="BT85" s="3" t="e">
        <v>#N/A</v>
      </c>
      <c r="BU85" s="3" t="e">
        <v>#N/A</v>
      </c>
      <c r="BV85" s="3" t="e">
        <v>#N/A</v>
      </c>
      <c r="BW85" s="3" t="e">
        <v>#N/A</v>
      </c>
      <c r="BX85" s="3" t="e">
        <v>#N/A</v>
      </c>
      <c r="BY85" s="3" t="e">
        <v>#N/A</v>
      </c>
      <c r="BZ85" s="3" t="e">
        <v>#N/A</v>
      </c>
      <c r="CA85" s="3" t="e">
        <v>#N/A</v>
      </c>
      <c r="CB85" s="3">
        <v>10.86</v>
      </c>
      <c r="CC85" s="3">
        <v>10.119999999999999</v>
      </c>
      <c r="CD85" s="3">
        <v>9.5399999999999991</v>
      </c>
      <c r="CE85" s="3">
        <v>7.87</v>
      </c>
      <c r="CF85" s="3">
        <v>5.2</v>
      </c>
      <c r="CG85" s="3">
        <v>3.96</v>
      </c>
      <c r="CH85" s="3">
        <v>1.0900000000000001</v>
      </c>
      <c r="CI85" s="3">
        <v>1.1599999999999999</v>
      </c>
      <c r="CJ85" s="3">
        <v>1.43</v>
      </c>
      <c r="CK85" s="3">
        <v>1.1599999999999999</v>
      </c>
      <c r="CL85" s="3">
        <v>0.84</v>
      </c>
      <c r="CM85" s="3">
        <v>0.56999999999999995</v>
      </c>
      <c r="CN85" s="3">
        <v>0.02</v>
      </c>
    </row>
    <row r="86" spans="1:101" ht="15.75" customHeight="1" x14ac:dyDescent="0.35">
      <c r="A86" s="1"/>
      <c r="B86" s="4">
        <v>44958</v>
      </c>
      <c r="C86" s="5" t="s">
        <v>999</v>
      </c>
      <c r="D86" t="s">
        <v>1000</v>
      </c>
      <c r="E86" t="s">
        <v>627</v>
      </c>
      <c r="F86" t="s">
        <v>946</v>
      </c>
      <c r="G86" t="s">
        <v>1009</v>
      </c>
      <c r="H86" t="s">
        <v>967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 t="e">
        <v>#N/A</v>
      </c>
      <c r="Q86" s="3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e">
        <v>#N/A</v>
      </c>
      <c r="AK86" s="3" t="e">
        <v>#N/A</v>
      </c>
      <c r="AL86" s="3" t="e">
        <v>#N/A</v>
      </c>
      <c r="AM86" s="3" t="e">
        <v>#N/A</v>
      </c>
      <c r="AN86" s="3" t="e">
        <v>#N/A</v>
      </c>
      <c r="AO86" s="3" t="e">
        <v>#N/A</v>
      </c>
      <c r="AP86" s="3" t="e">
        <v>#N/A</v>
      </c>
      <c r="AQ86" s="3" t="e">
        <v>#N/A</v>
      </c>
      <c r="AR86" s="3" t="e">
        <v>#N/A</v>
      </c>
      <c r="AS86" s="3" t="e">
        <v>#N/A</v>
      </c>
      <c r="AT86" s="3" t="e">
        <v>#N/A</v>
      </c>
      <c r="AU86" s="3" t="e">
        <v>#N/A</v>
      </c>
      <c r="AV86" s="3" t="e">
        <v>#N/A</v>
      </c>
      <c r="AW86" s="3" t="e">
        <v>#N/A</v>
      </c>
      <c r="AX86" s="3" t="e">
        <v>#N/A</v>
      </c>
      <c r="AY86" s="3" t="e">
        <v>#N/A</v>
      </c>
      <c r="AZ86" s="3" t="e">
        <v>#N/A</v>
      </c>
      <c r="BA86" s="3" t="e">
        <v>#N/A</v>
      </c>
      <c r="BB86" s="3" t="e">
        <v>#N/A</v>
      </c>
      <c r="BC86" s="3" t="e">
        <v>#N/A</v>
      </c>
      <c r="BD86" s="3" t="e">
        <v>#N/A</v>
      </c>
      <c r="BE86" s="3" t="e">
        <v>#N/A</v>
      </c>
      <c r="BF86" s="3" t="e">
        <v>#N/A</v>
      </c>
      <c r="BG86" s="3" t="e">
        <v>#N/A</v>
      </c>
      <c r="BH86" s="3" t="e">
        <v>#N/A</v>
      </c>
      <c r="BI86" s="3" t="e">
        <v>#N/A</v>
      </c>
      <c r="BJ86" s="3" t="e">
        <v>#N/A</v>
      </c>
      <c r="BK86" s="3" t="e">
        <v>#N/A</v>
      </c>
      <c r="BL86" s="3" t="e">
        <v>#N/A</v>
      </c>
      <c r="BM86" s="3" t="e">
        <v>#N/A</v>
      </c>
      <c r="BN86" s="3" t="e">
        <v>#N/A</v>
      </c>
      <c r="BO86" s="3" t="e">
        <v>#N/A</v>
      </c>
      <c r="BP86" s="3" t="e">
        <v>#N/A</v>
      </c>
      <c r="BQ86" s="3" t="e">
        <v>#N/A</v>
      </c>
      <c r="BR86" s="3" t="e">
        <v>#N/A</v>
      </c>
      <c r="BS86" s="3" t="e">
        <v>#N/A</v>
      </c>
      <c r="BT86" s="3" t="e">
        <v>#N/A</v>
      </c>
      <c r="BU86" s="3" t="e">
        <v>#N/A</v>
      </c>
      <c r="BV86" s="3" t="e">
        <v>#N/A</v>
      </c>
      <c r="BW86" s="3" t="e">
        <v>#N/A</v>
      </c>
      <c r="BX86" s="3" t="e">
        <v>#N/A</v>
      </c>
      <c r="BY86" s="3" t="e">
        <v>#N/A</v>
      </c>
      <c r="BZ86" s="3" t="e">
        <v>#N/A</v>
      </c>
      <c r="CA86" s="3" t="e">
        <v>#N/A</v>
      </c>
      <c r="CB86" s="3" t="e">
        <v>#N/A</v>
      </c>
      <c r="CC86" s="3">
        <v>9.73</v>
      </c>
      <c r="CD86" s="3">
        <v>8.48</v>
      </c>
      <c r="CE86" s="3">
        <v>6.2</v>
      </c>
      <c r="CF86" s="3">
        <v>3.92</v>
      </c>
      <c r="CG86" s="3">
        <v>3.01</v>
      </c>
      <c r="CH86" s="3">
        <v>0.96</v>
      </c>
      <c r="CI86" s="3">
        <v>1.67</v>
      </c>
      <c r="CJ86" s="3">
        <v>1.42</v>
      </c>
      <c r="CK86" s="3">
        <v>0.95</v>
      </c>
      <c r="CL86" s="3">
        <v>0.76</v>
      </c>
      <c r="CM86" s="3">
        <v>0.59</v>
      </c>
      <c r="CN86" s="3">
        <v>0.47</v>
      </c>
      <c r="CO86" s="3">
        <v>0.37</v>
      </c>
    </row>
    <row r="87" spans="1:101" ht="15.75" customHeight="1" x14ac:dyDescent="0.35">
      <c r="A87" s="1"/>
      <c r="B87" s="4">
        <v>45047</v>
      </c>
      <c r="C87" s="5" t="s">
        <v>1006</v>
      </c>
      <c r="D87" t="s">
        <v>1013</v>
      </c>
      <c r="E87" t="s">
        <v>640</v>
      </c>
      <c r="F87" t="s">
        <v>960</v>
      </c>
      <c r="G87" t="s">
        <v>1009</v>
      </c>
      <c r="H87" t="s">
        <v>1010</v>
      </c>
      <c r="I87" s="3" t="e">
        <v>#N/A</v>
      </c>
      <c r="J87" s="3" t="e">
        <v>#N/A</v>
      </c>
      <c r="K87" s="3" t="e">
        <v>#N/A</v>
      </c>
      <c r="L87" s="3" t="e">
        <v>#N/A</v>
      </c>
      <c r="M87" s="3" t="e">
        <v>#N/A</v>
      </c>
      <c r="N87" s="3" t="e">
        <v>#N/A</v>
      </c>
      <c r="O87" s="3" t="e">
        <v>#N/A</v>
      </c>
      <c r="P87" s="3" t="e">
        <v>#N/A</v>
      </c>
      <c r="Q87" s="3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 t="e">
        <v>#N/A</v>
      </c>
      <c r="AE87" s="3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e">
        <v>#N/A</v>
      </c>
      <c r="AK87" s="3" t="e">
        <v>#N/A</v>
      </c>
      <c r="AL87" s="3" t="e">
        <v>#N/A</v>
      </c>
      <c r="AM87" s="3" t="e">
        <v>#N/A</v>
      </c>
      <c r="AN87" s="3" t="e">
        <v>#N/A</v>
      </c>
      <c r="AO87" s="3" t="e">
        <v>#N/A</v>
      </c>
      <c r="AP87" s="3" t="e">
        <v>#N/A</v>
      </c>
      <c r="AQ87" s="3" t="e">
        <v>#N/A</v>
      </c>
      <c r="AR87" s="3" t="e">
        <v>#N/A</v>
      </c>
      <c r="AS87" s="3" t="e">
        <v>#N/A</v>
      </c>
      <c r="AT87" s="3" t="e">
        <v>#N/A</v>
      </c>
      <c r="AU87" s="3" t="e">
        <v>#N/A</v>
      </c>
      <c r="AV87" s="3" t="e">
        <v>#N/A</v>
      </c>
      <c r="AW87" s="3" t="e">
        <v>#N/A</v>
      </c>
      <c r="AX87" s="3" t="e">
        <v>#N/A</v>
      </c>
      <c r="AY87" s="3" t="e">
        <v>#N/A</v>
      </c>
      <c r="AZ87" s="3" t="e">
        <v>#N/A</v>
      </c>
      <c r="BA87" s="3" t="e">
        <v>#N/A</v>
      </c>
      <c r="BB87" s="3" t="e">
        <v>#N/A</v>
      </c>
      <c r="BC87" s="3" t="e">
        <v>#N/A</v>
      </c>
      <c r="BD87" s="3" t="e">
        <v>#N/A</v>
      </c>
      <c r="BE87" s="3" t="e">
        <v>#N/A</v>
      </c>
      <c r="BF87" s="3" t="e">
        <v>#N/A</v>
      </c>
      <c r="BG87" s="3" t="e">
        <v>#N/A</v>
      </c>
      <c r="BH87" s="3" t="e">
        <v>#N/A</v>
      </c>
      <c r="BI87" s="3" t="e">
        <v>#N/A</v>
      </c>
      <c r="BJ87" s="3" t="e">
        <v>#N/A</v>
      </c>
      <c r="BK87" s="3" t="e">
        <v>#N/A</v>
      </c>
      <c r="BL87" s="3" t="e">
        <v>#N/A</v>
      </c>
      <c r="BM87" s="3" t="e">
        <v>#N/A</v>
      </c>
      <c r="BN87" s="3" t="e">
        <v>#N/A</v>
      </c>
      <c r="BO87" s="3" t="e">
        <v>#N/A</v>
      </c>
      <c r="BP87" s="3" t="e">
        <v>#N/A</v>
      </c>
      <c r="BQ87" s="3" t="e">
        <v>#N/A</v>
      </c>
      <c r="BR87" s="3" t="e">
        <v>#N/A</v>
      </c>
      <c r="BS87" s="3" t="e">
        <v>#N/A</v>
      </c>
      <c r="BT87" s="3" t="e">
        <v>#N/A</v>
      </c>
      <c r="BU87" s="3" t="e">
        <v>#N/A</v>
      </c>
      <c r="BV87" s="3" t="e">
        <v>#N/A</v>
      </c>
      <c r="BW87" s="3" t="e">
        <v>#N/A</v>
      </c>
      <c r="BX87" s="3" t="e">
        <v>#N/A</v>
      </c>
      <c r="BY87" s="3" t="e">
        <v>#N/A</v>
      </c>
      <c r="BZ87" s="3" t="e">
        <v>#N/A</v>
      </c>
      <c r="CA87" s="3" t="e">
        <v>#N/A</v>
      </c>
      <c r="CB87" s="3" t="e">
        <v>#N/A</v>
      </c>
      <c r="CC87" s="3" t="e">
        <v>#N/A</v>
      </c>
      <c r="CD87" s="3">
        <v>8.2200000000000006</v>
      </c>
      <c r="CE87" s="3">
        <v>6.97</v>
      </c>
      <c r="CF87" s="3">
        <v>5.12</v>
      </c>
      <c r="CG87" s="3">
        <v>4.41</v>
      </c>
      <c r="CH87" s="3">
        <v>3.38</v>
      </c>
      <c r="CI87" s="3">
        <v>2.91</v>
      </c>
      <c r="CJ87" s="3">
        <v>2.2799999999999998</v>
      </c>
      <c r="CK87" s="3">
        <v>1.52</v>
      </c>
      <c r="CL87" s="3">
        <v>1.1000000000000001</v>
      </c>
      <c r="CM87" s="3">
        <v>1.01</v>
      </c>
      <c r="CN87" s="3">
        <v>1.02</v>
      </c>
      <c r="CO87" s="3">
        <v>1.07</v>
      </c>
      <c r="CP87" s="3">
        <v>1.2</v>
      </c>
    </row>
    <row r="88" spans="1:101" ht="15.75" customHeight="1" x14ac:dyDescent="0.35">
      <c r="A88" s="1"/>
      <c r="B88" s="4">
        <v>45139</v>
      </c>
      <c r="C88" s="5" t="s">
        <v>1035</v>
      </c>
      <c r="D88" t="s">
        <v>1039</v>
      </c>
      <c r="E88" t="s">
        <v>655</v>
      </c>
      <c r="F88" t="s">
        <v>1002</v>
      </c>
      <c r="G88" t="s">
        <v>1009</v>
      </c>
      <c r="H88" t="s">
        <v>1032</v>
      </c>
      <c r="I88" s="3" t="e">
        <v>#N/A</v>
      </c>
      <c r="J88" s="3" t="e">
        <v>#N/A</v>
      </c>
      <c r="K88" s="3" t="e">
        <v>#N/A</v>
      </c>
      <c r="L88" s="3" t="e">
        <v>#N/A</v>
      </c>
      <c r="M88" s="3" t="e">
        <v>#N/A</v>
      </c>
      <c r="N88" s="3" t="e">
        <v>#N/A</v>
      </c>
      <c r="O88" s="3" t="e">
        <v>#N/A</v>
      </c>
      <c r="P88" s="3" t="e">
        <v>#N/A</v>
      </c>
      <c r="Q88" s="3" t="e">
        <v>#N/A</v>
      </c>
      <c r="R88" s="3" t="e">
        <v>#N/A</v>
      </c>
      <c r="S88" s="3" t="e">
        <v>#N/A</v>
      </c>
      <c r="T88" s="3" t="e">
        <v>#N/A</v>
      </c>
      <c r="U88" s="3" t="e">
        <v>#N/A</v>
      </c>
      <c r="V88" s="3" t="e">
        <v>#N/A</v>
      </c>
      <c r="W88" s="3" t="e">
        <v>#N/A</v>
      </c>
      <c r="X88" s="3" t="e">
        <v>#N/A</v>
      </c>
      <c r="Y88" s="3" t="e">
        <v>#N/A</v>
      </c>
      <c r="Z88" s="3" t="e">
        <v>#N/A</v>
      </c>
      <c r="AA88" s="3" t="e">
        <v>#N/A</v>
      </c>
      <c r="AB88" s="3" t="e">
        <v>#N/A</v>
      </c>
      <c r="AC88" s="3" t="e">
        <v>#N/A</v>
      </c>
      <c r="AD88" s="3" t="e">
        <v>#N/A</v>
      </c>
      <c r="AE88" s="3" t="e">
        <v>#N/A</v>
      </c>
      <c r="AF88" s="3" t="e">
        <v>#N/A</v>
      </c>
      <c r="AG88" s="3" t="e">
        <v>#N/A</v>
      </c>
      <c r="AH88" s="3" t="e">
        <v>#N/A</v>
      </c>
      <c r="AI88" s="3" t="e">
        <v>#N/A</v>
      </c>
      <c r="AJ88" s="3" t="e">
        <v>#N/A</v>
      </c>
      <c r="AK88" s="3" t="e">
        <v>#N/A</v>
      </c>
      <c r="AL88" s="3" t="e">
        <v>#N/A</v>
      </c>
      <c r="AM88" s="3" t="e">
        <v>#N/A</v>
      </c>
      <c r="AN88" s="3" t="e">
        <v>#N/A</v>
      </c>
      <c r="AO88" s="3" t="e">
        <v>#N/A</v>
      </c>
      <c r="AP88" s="3" t="e">
        <v>#N/A</v>
      </c>
      <c r="AQ88" s="3" t="e">
        <v>#N/A</v>
      </c>
      <c r="AR88" s="3" t="e">
        <v>#N/A</v>
      </c>
      <c r="AS88" s="3" t="e">
        <v>#N/A</v>
      </c>
      <c r="AT88" s="3" t="e">
        <v>#N/A</v>
      </c>
      <c r="AU88" s="3" t="e">
        <v>#N/A</v>
      </c>
      <c r="AV88" s="3" t="e">
        <v>#N/A</v>
      </c>
      <c r="AW88" s="3" t="e">
        <v>#N/A</v>
      </c>
      <c r="AX88" s="3" t="e">
        <v>#N/A</v>
      </c>
      <c r="AY88" s="3" t="e">
        <v>#N/A</v>
      </c>
      <c r="AZ88" s="3" t="e">
        <v>#N/A</v>
      </c>
      <c r="BA88" s="3" t="e">
        <v>#N/A</v>
      </c>
      <c r="BB88" s="3" t="e">
        <v>#N/A</v>
      </c>
      <c r="BC88" s="3" t="e">
        <v>#N/A</v>
      </c>
      <c r="BD88" s="3" t="e">
        <v>#N/A</v>
      </c>
      <c r="BE88" s="3" t="e">
        <v>#N/A</v>
      </c>
      <c r="BF88" s="3" t="e">
        <v>#N/A</v>
      </c>
      <c r="BG88" s="3" t="e">
        <v>#N/A</v>
      </c>
      <c r="BH88" s="3" t="e">
        <v>#N/A</v>
      </c>
      <c r="BI88" s="3" t="e">
        <v>#N/A</v>
      </c>
      <c r="BJ88" s="3" t="e">
        <v>#N/A</v>
      </c>
      <c r="BK88" s="3" t="e">
        <v>#N/A</v>
      </c>
      <c r="BL88" s="3" t="e">
        <v>#N/A</v>
      </c>
      <c r="BM88" s="3" t="e">
        <v>#N/A</v>
      </c>
      <c r="BN88" s="3" t="e">
        <v>#N/A</v>
      </c>
      <c r="BO88" s="3" t="e">
        <v>#N/A</v>
      </c>
      <c r="BP88" s="3" t="e">
        <v>#N/A</v>
      </c>
      <c r="BQ88" s="3" t="e">
        <v>#N/A</v>
      </c>
      <c r="BR88" s="3" t="e">
        <v>#N/A</v>
      </c>
      <c r="BS88" s="3" t="e">
        <v>#N/A</v>
      </c>
      <c r="BT88" s="3" t="e">
        <v>#N/A</v>
      </c>
      <c r="BU88" s="3" t="e">
        <v>#N/A</v>
      </c>
      <c r="BV88" s="3" t="e">
        <v>#N/A</v>
      </c>
      <c r="BW88" s="3" t="e">
        <v>#N/A</v>
      </c>
      <c r="BX88" s="3" t="e">
        <v>#N/A</v>
      </c>
      <c r="BY88" s="3" t="e">
        <v>#N/A</v>
      </c>
      <c r="BZ88" s="3" t="e">
        <v>#N/A</v>
      </c>
      <c r="CA88" s="3" t="e">
        <v>#N/A</v>
      </c>
      <c r="CB88" s="3" t="e">
        <v>#N/A</v>
      </c>
      <c r="CC88" s="3" t="e">
        <v>#N/A</v>
      </c>
      <c r="CD88" s="3" t="e">
        <v>#N/A</v>
      </c>
      <c r="CE88" s="3">
        <v>6.93</v>
      </c>
      <c r="CF88" s="3">
        <v>4.93</v>
      </c>
      <c r="CG88" s="3">
        <v>4.32</v>
      </c>
      <c r="CH88" s="3">
        <v>3.3</v>
      </c>
      <c r="CI88" s="3">
        <v>2.82</v>
      </c>
      <c r="CJ88" s="3">
        <v>2.52</v>
      </c>
      <c r="CK88" s="3">
        <v>2.16</v>
      </c>
      <c r="CL88" s="3">
        <v>1.74</v>
      </c>
      <c r="CM88" s="3">
        <v>1.65</v>
      </c>
      <c r="CN88" s="3">
        <v>1.58</v>
      </c>
      <c r="CO88" s="3">
        <v>1.52</v>
      </c>
      <c r="CP88" s="3">
        <v>1.48</v>
      </c>
      <c r="CQ88" s="3">
        <v>1.46</v>
      </c>
    </row>
    <row r="89" spans="1:101" ht="15.75" customHeight="1" x14ac:dyDescent="0.35">
      <c r="A89" s="1"/>
      <c r="B89" s="4">
        <v>45231</v>
      </c>
      <c r="C89" s="5" t="s">
        <v>1061</v>
      </c>
      <c r="D89" t="s">
        <v>1067</v>
      </c>
      <c r="E89" t="s">
        <v>656</v>
      </c>
      <c r="F89" t="s">
        <v>1017</v>
      </c>
      <c r="G89" t="s">
        <v>1009</v>
      </c>
      <c r="H89" t="s">
        <v>1064</v>
      </c>
      <c r="I89" s="3" t="e">
        <v>#N/A</v>
      </c>
      <c r="J89" s="3" t="e">
        <v>#N/A</v>
      </c>
      <c r="K89" s="3" t="e">
        <v>#N/A</v>
      </c>
      <c r="L89" s="3" t="e">
        <v>#N/A</v>
      </c>
      <c r="M89" s="3" t="e">
        <v>#N/A</v>
      </c>
      <c r="N89" s="3" t="e">
        <v>#N/A</v>
      </c>
      <c r="O89" s="3" t="e">
        <v>#N/A</v>
      </c>
      <c r="P89" s="3" t="e">
        <v>#N/A</v>
      </c>
      <c r="Q89" s="3" t="e">
        <v>#N/A</v>
      </c>
      <c r="R89" s="3" t="e">
        <v>#N/A</v>
      </c>
      <c r="S89" s="3" t="e">
        <v>#N/A</v>
      </c>
      <c r="T89" s="3" t="e">
        <v>#N/A</v>
      </c>
      <c r="U89" s="3" t="e">
        <v>#N/A</v>
      </c>
      <c r="V89" s="3" t="e">
        <v>#N/A</v>
      </c>
      <c r="W89" s="3" t="e">
        <v>#N/A</v>
      </c>
      <c r="X89" s="3" t="e">
        <v>#N/A</v>
      </c>
      <c r="Y89" s="3" t="e">
        <v>#N/A</v>
      </c>
      <c r="Z89" s="3" t="e">
        <v>#N/A</v>
      </c>
      <c r="AA89" s="3" t="e">
        <v>#N/A</v>
      </c>
      <c r="AB89" s="3" t="e">
        <v>#N/A</v>
      </c>
      <c r="AC89" s="3" t="e">
        <v>#N/A</v>
      </c>
      <c r="AD89" s="3" t="e">
        <v>#N/A</v>
      </c>
      <c r="AE89" s="3" t="e">
        <v>#N/A</v>
      </c>
      <c r="AF89" s="3" t="e">
        <v>#N/A</v>
      </c>
      <c r="AG89" s="3" t="e">
        <v>#N/A</v>
      </c>
      <c r="AH89" s="3" t="e">
        <v>#N/A</v>
      </c>
      <c r="AI89" s="3" t="e">
        <v>#N/A</v>
      </c>
      <c r="AJ89" s="3" t="e">
        <v>#N/A</v>
      </c>
      <c r="AK89" s="3" t="e">
        <v>#N/A</v>
      </c>
      <c r="AL89" s="3" t="e">
        <v>#N/A</v>
      </c>
      <c r="AM89" s="3" t="e">
        <v>#N/A</v>
      </c>
      <c r="AN89" s="3" t="e">
        <v>#N/A</v>
      </c>
      <c r="AO89" s="3" t="e">
        <v>#N/A</v>
      </c>
      <c r="AP89" s="3" t="e">
        <v>#N/A</v>
      </c>
      <c r="AQ89" s="3" t="e">
        <v>#N/A</v>
      </c>
      <c r="AR89" s="3" t="e">
        <v>#N/A</v>
      </c>
      <c r="AS89" s="3" t="e">
        <v>#N/A</v>
      </c>
      <c r="AT89" s="3" t="e">
        <v>#N/A</v>
      </c>
      <c r="AU89" s="3" t="e">
        <v>#N/A</v>
      </c>
      <c r="AV89" s="3" t="e">
        <v>#N/A</v>
      </c>
      <c r="AW89" s="3" t="e">
        <v>#N/A</v>
      </c>
      <c r="AX89" s="3" t="e">
        <v>#N/A</v>
      </c>
      <c r="AY89" s="3" t="e">
        <v>#N/A</v>
      </c>
      <c r="AZ89" s="3" t="e">
        <v>#N/A</v>
      </c>
      <c r="BA89" s="3" t="e">
        <v>#N/A</v>
      </c>
      <c r="BB89" s="3" t="e">
        <v>#N/A</v>
      </c>
      <c r="BC89" s="3" t="e">
        <v>#N/A</v>
      </c>
      <c r="BD89" s="3" t="e">
        <v>#N/A</v>
      </c>
      <c r="BE89" s="3" t="e">
        <v>#N/A</v>
      </c>
      <c r="BF89" s="3" t="e">
        <v>#N/A</v>
      </c>
      <c r="BG89" s="3" t="e">
        <v>#N/A</v>
      </c>
      <c r="BH89" s="3" t="e">
        <v>#N/A</v>
      </c>
      <c r="BI89" s="3" t="e">
        <v>#N/A</v>
      </c>
      <c r="BJ89" s="3" t="e">
        <v>#N/A</v>
      </c>
      <c r="BK89" s="3" t="e">
        <v>#N/A</v>
      </c>
      <c r="BL89" s="3" t="e">
        <v>#N/A</v>
      </c>
      <c r="BM89" s="3" t="e">
        <v>#N/A</v>
      </c>
      <c r="BN89" s="3" t="e">
        <v>#N/A</v>
      </c>
      <c r="BO89" s="3" t="e">
        <v>#N/A</v>
      </c>
      <c r="BP89" s="3" t="e">
        <v>#N/A</v>
      </c>
      <c r="BQ89" s="3" t="e">
        <v>#N/A</v>
      </c>
      <c r="BR89" s="3" t="e">
        <v>#N/A</v>
      </c>
      <c r="BS89" s="3" t="e">
        <v>#N/A</v>
      </c>
      <c r="BT89" s="3" t="e">
        <v>#N/A</v>
      </c>
      <c r="BU89" s="3" t="e">
        <v>#N/A</v>
      </c>
      <c r="BV89" s="3" t="e">
        <v>#N/A</v>
      </c>
      <c r="BW89" s="3" t="e">
        <v>#N/A</v>
      </c>
      <c r="BX89" s="3" t="e">
        <v>#N/A</v>
      </c>
      <c r="BY89" s="3" t="e">
        <v>#N/A</v>
      </c>
      <c r="BZ89" s="3" t="e">
        <v>#N/A</v>
      </c>
      <c r="CA89" s="3" t="e">
        <v>#N/A</v>
      </c>
      <c r="CB89" s="3" t="e">
        <v>#N/A</v>
      </c>
      <c r="CC89" s="3" t="e">
        <v>#N/A</v>
      </c>
      <c r="CD89" s="3" t="e">
        <v>#N/A</v>
      </c>
      <c r="CE89" s="3" t="e">
        <v>#N/A</v>
      </c>
      <c r="CF89" s="3">
        <v>4.5999999999999996</v>
      </c>
      <c r="CG89" s="3">
        <v>4.4000000000000004</v>
      </c>
      <c r="CH89" s="3">
        <v>3.6</v>
      </c>
      <c r="CI89" s="3">
        <v>3.3</v>
      </c>
      <c r="CJ89" s="3">
        <v>3.1</v>
      </c>
      <c r="CK89" s="3">
        <v>2.5</v>
      </c>
      <c r="CL89" s="3">
        <v>2.1</v>
      </c>
      <c r="CM89" s="3">
        <v>2.1</v>
      </c>
      <c r="CN89" s="3">
        <v>1.9</v>
      </c>
      <c r="CO89" s="3">
        <v>1.9</v>
      </c>
      <c r="CP89" s="3">
        <v>1.7</v>
      </c>
      <c r="CQ89" s="3">
        <v>1.6</v>
      </c>
      <c r="CR89" s="3">
        <v>1.5</v>
      </c>
    </row>
    <row r="90" spans="1:101" ht="15.75" customHeight="1" x14ac:dyDescent="0.35">
      <c r="A90" s="1"/>
      <c r="B90" s="4">
        <v>45323</v>
      </c>
      <c r="C90" s="5" t="s">
        <v>1089</v>
      </c>
      <c r="D90" t="s">
        <v>1095</v>
      </c>
      <c r="E90" t="s">
        <v>668</v>
      </c>
      <c r="F90" t="s">
        <v>1057</v>
      </c>
      <c r="G90" t="s">
        <v>1009</v>
      </c>
      <c r="H90" t="s">
        <v>1092</v>
      </c>
      <c r="I90" s="3" t="e">
        <v>#N/A</v>
      </c>
      <c r="J90" s="3" t="e">
        <v>#N/A</v>
      </c>
      <c r="K90" s="3" t="e">
        <v>#N/A</v>
      </c>
      <c r="L90" s="3" t="e">
        <v>#N/A</v>
      </c>
      <c r="M90" s="3" t="e">
        <v>#N/A</v>
      </c>
      <c r="N90" s="3" t="e">
        <v>#N/A</v>
      </c>
      <c r="O90" s="3" t="e">
        <v>#N/A</v>
      </c>
      <c r="P90" s="3" t="e">
        <v>#N/A</v>
      </c>
      <c r="Q90" s="3" t="e">
        <v>#N/A</v>
      </c>
      <c r="R90" s="3" t="e">
        <v>#N/A</v>
      </c>
      <c r="S90" s="3" t="e">
        <v>#N/A</v>
      </c>
      <c r="T90" s="3" t="e">
        <v>#N/A</v>
      </c>
      <c r="U90" s="3" t="e">
        <v>#N/A</v>
      </c>
      <c r="V90" s="3" t="e">
        <v>#N/A</v>
      </c>
      <c r="W90" s="3" t="e">
        <v>#N/A</v>
      </c>
      <c r="X90" s="3" t="e">
        <v>#N/A</v>
      </c>
      <c r="Y90" s="3" t="e">
        <v>#N/A</v>
      </c>
      <c r="Z90" s="3" t="e">
        <v>#N/A</v>
      </c>
      <c r="AA90" s="3" t="e">
        <v>#N/A</v>
      </c>
      <c r="AB90" s="3" t="e">
        <v>#N/A</v>
      </c>
      <c r="AC90" s="3" t="e">
        <v>#N/A</v>
      </c>
      <c r="AD90" s="3" t="e">
        <v>#N/A</v>
      </c>
      <c r="AE90" s="3" t="e">
        <v>#N/A</v>
      </c>
      <c r="AF90" s="3" t="e">
        <v>#N/A</v>
      </c>
      <c r="AG90" s="3" t="e">
        <v>#N/A</v>
      </c>
      <c r="AH90" s="3" t="e">
        <v>#N/A</v>
      </c>
      <c r="AI90" s="3" t="e">
        <v>#N/A</v>
      </c>
      <c r="AJ90" s="3" t="e">
        <v>#N/A</v>
      </c>
      <c r="AK90" s="3" t="e">
        <v>#N/A</v>
      </c>
      <c r="AL90" s="3" t="e">
        <v>#N/A</v>
      </c>
      <c r="AM90" s="3" t="e">
        <v>#N/A</v>
      </c>
      <c r="AN90" s="3" t="e">
        <v>#N/A</v>
      </c>
      <c r="AO90" s="3" t="e">
        <v>#N/A</v>
      </c>
      <c r="AP90" s="3" t="e">
        <v>#N/A</v>
      </c>
      <c r="AQ90" s="3" t="e">
        <v>#N/A</v>
      </c>
      <c r="AR90" s="3" t="e">
        <v>#N/A</v>
      </c>
      <c r="AS90" s="3" t="e">
        <v>#N/A</v>
      </c>
      <c r="AT90" s="3" t="e">
        <v>#N/A</v>
      </c>
      <c r="AU90" s="3" t="e">
        <v>#N/A</v>
      </c>
      <c r="AV90" s="3" t="e">
        <v>#N/A</v>
      </c>
      <c r="AW90" s="3" t="e">
        <v>#N/A</v>
      </c>
      <c r="AX90" s="3" t="e">
        <v>#N/A</v>
      </c>
      <c r="AY90" s="3" t="e">
        <v>#N/A</v>
      </c>
      <c r="AZ90" s="3" t="e">
        <v>#N/A</v>
      </c>
      <c r="BA90" s="3" t="e">
        <v>#N/A</v>
      </c>
      <c r="BB90" s="3" t="e">
        <v>#N/A</v>
      </c>
      <c r="BC90" s="3" t="e">
        <v>#N/A</v>
      </c>
      <c r="BD90" s="3" t="e">
        <v>#N/A</v>
      </c>
      <c r="BE90" s="3" t="e">
        <v>#N/A</v>
      </c>
      <c r="BF90" s="3" t="e">
        <v>#N/A</v>
      </c>
      <c r="BG90" s="3" t="e">
        <v>#N/A</v>
      </c>
      <c r="BH90" s="3" t="e">
        <v>#N/A</v>
      </c>
      <c r="BI90" s="3" t="e">
        <v>#N/A</v>
      </c>
      <c r="BJ90" s="3" t="e">
        <v>#N/A</v>
      </c>
      <c r="BK90" s="3" t="e">
        <v>#N/A</v>
      </c>
      <c r="BL90" s="3" t="e">
        <v>#N/A</v>
      </c>
      <c r="BM90" s="3" t="e">
        <v>#N/A</v>
      </c>
      <c r="BN90" s="3" t="e">
        <v>#N/A</v>
      </c>
      <c r="BO90" s="3" t="e">
        <v>#N/A</v>
      </c>
      <c r="BP90" s="3" t="e">
        <v>#N/A</v>
      </c>
      <c r="BQ90" s="3" t="e">
        <v>#N/A</v>
      </c>
      <c r="BR90" s="3" t="e">
        <v>#N/A</v>
      </c>
      <c r="BS90" s="3" t="e">
        <v>#N/A</v>
      </c>
      <c r="BT90" s="3" t="e">
        <v>#N/A</v>
      </c>
      <c r="BU90" s="3" t="e">
        <v>#N/A</v>
      </c>
      <c r="BV90" s="3" t="e">
        <v>#N/A</v>
      </c>
      <c r="BW90" s="3" t="e">
        <v>#N/A</v>
      </c>
      <c r="BX90" s="3" t="e">
        <v>#N/A</v>
      </c>
      <c r="BY90" s="3" t="e">
        <v>#N/A</v>
      </c>
      <c r="BZ90" s="3" t="e">
        <v>#N/A</v>
      </c>
      <c r="CA90" s="3" t="e">
        <v>#N/A</v>
      </c>
      <c r="CB90" s="3" t="e">
        <v>#N/A</v>
      </c>
      <c r="CC90" s="3" t="e">
        <v>#N/A</v>
      </c>
      <c r="CD90" s="3" t="e">
        <v>#N/A</v>
      </c>
      <c r="CE90" s="3" t="e">
        <v>#N/A</v>
      </c>
      <c r="CF90" s="3" t="e">
        <v>#N/A</v>
      </c>
      <c r="CG90" s="3">
        <v>3.6</v>
      </c>
      <c r="CH90" s="3">
        <v>2</v>
      </c>
      <c r="CI90" s="3">
        <v>2.2000000000000002</v>
      </c>
      <c r="CJ90" s="3">
        <v>2.7</v>
      </c>
      <c r="CK90" s="3">
        <v>2.8</v>
      </c>
      <c r="CL90" s="3">
        <v>2.7</v>
      </c>
      <c r="CM90" s="3">
        <v>2.7</v>
      </c>
      <c r="CN90" s="3">
        <v>2.5</v>
      </c>
      <c r="CO90" s="3">
        <v>2.2999999999999998</v>
      </c>
      <c r="CP90" s="3">
        <v>2.2000000000000002</v>
      </c>
      <c r="CQ90" s="3">
        <v>2.1</v>
      </c>
      <c r="CR90" s="3">
        <v>2</v>
      </c>
      <c r="CS90" s="3">
        <v>1.9</v>
      </c>
    </row>
    <row r="91" spans="1:101" ht="15.75" customHeight="1" x14ac:dyDescent="0.35">
      <c r="A91" s="1"/>
      <c r="B91" s="4">
        <v>45413</v>
      </c>
      <c r="C91" s="5" t="s">
        <v>1117</v>
      </c>
      <c r="D91" t="s">
        <v>1123</v>
      </c>
      <c r="E91" t="s">
        <v>693</v>
      </c>
      <c r="F91" t="s">
        <v>1083</v>
      </c>
      <c r="G91" t="s">
        <v>1009</v>
      </c>
      <c r="H91" t="s">
        <v>1120</v>
      </c>
      <c r="I91" s="3" t="e">
        <v>#N/A</v>
      </c>
      <c r="J91" s="3" t="e">
        <v>#N/A</v>
      </c>
      <c r="K91" s="3" t="e">
        <v>#N/A</v>
      </c>
      <c r="L91" s="3" t="e">
        <v>#N/A</v>
      </c>
      <c r="M91" s="3" t="e">
        <v>#N/A</v>
      </c>
      <c r="N91" s="3" t="e">
        <v>#N/A</v>
      </c>
      <c r="O91" s="3" t="e">
        <v>#N/A</v>
      </c>
      <c r="P91" s="3" t="e">
        <v>#N/A</v>
      </c>
      <c r="Q91" s="3" t="e">
        <v>#N/A</v>
      </c>
      <c r="R91" s="3" t="e">
        <v>#N/A</v>
      </c>
      <c r="S91" s="3" t="e">
        <v>#N/A</v>
      </c>
      <c r="T91" s="3" t="e">
        <v>#N/A</v>
      </c>
      <c r="U91" s="3" t="e">
        <v>#N/A</v>
      </c>
      <c r="V91" s="3" t="e">
        <v>#N/A</v>
      </c>
      <c r="W91" s="3" t="e">
        <v>#N/A</v>
      </c>
      <c r="X91" s="3" t="e">
        <v>#N/A</v>
      </c>
      <c r="Y91" s="3" t="e">
        <v>#N/A</v>
      </c>
      <c r="Z91" s="3" t="e">
        <v>#N/A</v>
      </c>
      <c r="AA91" s="3" t="e">
        <v>#N/A</v>
      </c>
      <c r="AB91" s="3" t="e">
        <v>#N/A</v>
      </c>
      <c r="AC91" s="3" t="e">
        <v>#N/A</v>
      </c>
      <c r="AD91" s="3" t="e">
        <v>#N/A</v>
      </c>
      <c r="AE91" s="3" t="e">
        <v>#N/A</v>
      </c>
      <c r="AF91" s="3" t="e">
        <v>#N/A</v>
      </c>
      <c r="AG91" s="3" t="e">
        <v>#N/A</v>
      </c>
      <c r="AH91" s="3" t="e">
        <v>#N/A</v>
      </c>
      <c r="AI91" s="3" t="e">
        <v>#N/A</v>
      </c>
      <c r="AJ91" s="3" t="e">
        <v>#N/A</v>
      </c>
      <c r="AK91" s="3" t="e">
        <v>#N/A</v>
      </c>
      <c r="AL91" s="3" t="e">
        <v>#N/A</v>
      </c>
      <c r="AM91" s="3" t="e">
        <v>#N/A</v>
      </c>
      <c r="AN91" s="3" t="e">
        <v>#N/A</v>
      </c>
      <c r="AO91" s="3" t="e">
        <v>#N/A</v>
      </c>
      <c r="AP91" s="3" t="e">
        <v>#N/A</v>
      </c>
      <c r="AQ91" s="3" t="e">
        <v>#N/A</v>
      </c>
      <c r="AR91" s="3" t="e">
        <v>#N/A</v>
      </c>
      <c r="AS91" s="3" t="e">
        <v>#N/A</v>
      </c>
      <c r="AT91" s="3" t="e">
        <v>#N/A</v>
      </c>
      <c r="AU91" s="3" t="e">
        <v>#N/A</v>
      </c>
      <c r="AV91" s="3" t="e">
        <v>#N/A</v>
      </c>
      <c r="AW91" s="3" t="e">
        <v>#N/A</v>
      </c>
      <c r="AX91" s="3" t="e">
        <v>#N/A</v>
      </c>
      <c r="AY91" s="3" t="e">
        <v>#N/A</v>
      </c>
      <c r="AZ91" s="3" t="e">
        <v>#N/A</v>
      </c>
      <c r="BA91" s="3" t="e">
        <v>#N/A</v>
      </c>
      <c r="BB91" s="3" t="e">
        <v>#N/A</v>
      </c>
      <c r="BC91" s="3" t="e">
        <v>#N/A</v>
      </c>
      <c r="BD91" s="3" t="e">
        <v>#N/A</v>
      </c>
      <c r="BE91" s="3" t="e">
        <v>#N/A</v>
      </c>
      <c r="BF91" s="3" t="e">
        <v>#N/A</v>
      </c>
      <c r="BG91" s="3" t="e">
        <v>#N/A</v>
      </c>
      <c r="BH91" s="3" t="e">
        <v>#N/A</v>
      </c>
      <c r="BI91" s="3" t="e">
        <v>#N/A</v>
      </c>
      <c r="BJ91" s="3" t="e">
        <v>#N/A</v>
      </c>
      <c r="BK91" s="3" t="e">
        <v>#N/A</v>
      </c>
      <c r="BL91" s="3" t="e">
        <v>#N/A</v>
      </c>
      <c r="BM91" s="3" t="e">
        <v>#N/A</v>
      </c>
      <c r="BN91" s="3" t="e">
        <v>#N/A</v>
      </c>
      <c r="BO91" s="3" t="e">
        <v>#N/A</v>
      </c>
      <c r="BP91" s="3" t="e">
        <v>#N/A</v>
      </c>
      <c r="BQ91" s="3" t="e">
        <v>#N/A</v>
      </c>
      <c r="BR91" s="3" t="e">
        <v>#N/A</v>
      </c>
      <c r="BS91" s="3" t="e">
        <v>#N/A</v>
      </c>
      <c r="BT91" s="3" t="e">
        <v>#N/A</v>
      </c>
      <c r="BU91" s="3" t="e">
        <v>#N/A</v>
      </c>
      <c r="BV91" s="3" t="e">
        <v>#N/A</v>
      </c>
      <c r="BW91" s="3" t="e">
        <v>#N/A</v>
      </c>
      <c r="BX91" s="3" t="e">
        <v>#N/A</v>
      </c>
      <c r="BY91" s="3" t="e">
        <v>#N/A</v>
      </c>
      <c r="BZ91" s="3" t="e">
        <v>#N/A</v>
      </c>
      <c r="CA91" s="3" t="e">
        <v>#N/A</v>
      </c>
      <c r="CB91" s="3" t="e">
        <v>#N/A</v>
      </c>
      <c r="CC91" s="3" t="e">
        <v>#N/A</v>
      </c>
      <c r="CD91" s="3" t="e">
        <v>#N/A</v>
      </c>
      <c r="CE91" s="3" t="e">
        <v>#N/A</v>
      </c>
      <c r="CF91" s="3" t="e">
        <v>#N/A</v>
      </c>
      <c r="CG91" s="3" t="e">
        <v>#N/A</v>
      </c>
      <c r="CH91" s="3">
        <v>2</v>
      </c>
      <c r="CI91" s="3">
        <v>2.2000000000000002</v>
      </c>
      <c r="CJ91" s="3">
        <v>2.6</v>
      </c>
      <c r="CK91" s="3">
        <v>2.6</v>
      </c>
      <c r="CL91" s="3">
        <v>2.6</v>
      </c>
      <c r="CM91" s="3">
        <v>2.5</v>
      </c>
      <c r="CN91" s="3">
        <v>2.2999999999999998</v>
      </c>
      <c r="CO91" s="3">
        <v>2.1</v>
      </c>
      <c r="CP91" s="3">
        <v>1.9</v>
      </c>
      <c r="CQ91" s="3">
        <v>1.8</v>
      </c>
      <c r="CR91" s="3">
        <v>1.6</v>
      </c>
      <c r="CS91" s="3">
        <v>1.5</v>
      </c>
      <c r="CT91" s="3">
        <v>1.6</v>
      </c>
    </row>
    <row r="92" spans="1:101" ht="15.75" customHeight="1" x14ac:dyDescent="0.35">
      <c r="A92" s="1"/>
      <c r="B92" s="4">
        <v>45505</v>
      </c>
      <c r="C92" s="5" t="s">
        <v>1147</v>
      </c>
      <c r="D92" t="s">
        <v>1152</v>
      </c>
      <c r="E92" t="s">
        <v>700</v>
      </c>
      <c r="F92" t="s">
        <v>1113</v>
      </c>
      <c r="G92" t="s">
        <v>1009</v>
      </c>
      <c r="H92" t="s">
        <v>1150</v>
      </c>
      <c r="I92" s="3" t="e">
        <v>#N/A</v>
      </c>
      <c r="J92" s="3" t="e">
        <v>#N/A</v>
      </c>
      <c r="K92" s="3" t="e">
        <v>#N/A</v>
      </c>
      <c r="L92" s="3" t="e">
        <v>#N/A</v>
      </c>
      <c r="M92" s="3" t="e">
        <v>#N/A</v>
      </c>
      <c r="N92" s="3" t="e">
        <v>#N/A</v>
      </c>
      <c r="O92" s="3" t="e">
        <v>#N/A</v>
      </c>
      <c r="P92" s="3" t="e">
        <v>#N/A</v>
      </c>
      <c r="Q92" s="3" t="e">
        <v>#N/A</v>
      </c>
      <c r="R92" s="3" t="e">
        <v>#N/A</v>
      </c>
      <c r="S92" s="3" t="e">
        <v>#N/A</v>
      </c>
      <c r="T92" s="3" t="e">
        <v>#N/A</v>
      </c>
      <c r="U92" s="3" t="e">
        <v>#N/A</v>
      </c>
      <c r="V92" s="3" t="e">
        <v>#N/A</v>
      </c>
      <c r="W92" s="3" t="e">
        <v>#N/A</v>
      </c>
      <c r="X92" s="3" t="e">
        <v>#N/A</v>
      </c>
      <c r="Y92" s="3" t="e">
        <v>#N/A</v>
      </c>
      <c r="Z92" s="3" t="e">
        <v>#N/A</v>
      </c>
      <c r="AA92" s="3" t="e">
        <v>#N/A</v>
      </c>
      <c r="AB92" s="3" t="e">
        <v>#N/A</v>
      </c>
      <c r="AC92" s="3" t="e">
        <v>#N/A</v>
      </c>
      <c r="AD92" s="3" t="e">
        <v>#N/A</v>
      </c>
      <c r="AE92" s="3" t="e">
        <v>#N/A</v>
      </c>
      <c r="AF92" s="3" t="e">
        <v>#N/A</v>
      </c>
      <c r="AG92" s="3" t="e">
        <v>#N/A</v>
      </c>
      <c r="AH92" s="3" t="e">
        <v>#N/A</v>
      </c>
      <c r="AI92" s="3" t="e">
        <v>#N/A</v>
      </c>
      <c r="AJ92" s="3" t="e">
        <v>#N/A</v>
      </c>
      <c r="AK92" s="3" t="e">
        <v>#N/A</v>
      </c>
      <c r="AL92" s="3" t="e">
        <v>#N/A</v>
      </c>
      <c r="AM92" s="3" t="e">
        <v>#N/A</v>
      </c>
      <c r="AN92" s="3" t="e">
        <v>#N/A</v>
      </c>
      <c r="AO92" s="3" t="e">
        <v>#N/A</v>
      </c>
      <c r="AP92" s="3" t="e">
        <v>#N/A</v>
      </c>
      <c r="AQ92" s="3" t="e">
        <v>#N/A</v>
      </c>
      <c r="AR92" s="3" t="e">
        <v>#N/A</v>
      </c>
      <c r="AS92" s="3" t="e">
        <v>#N/A</v>
      </c>
      <c r="AT92" s="3" t="e">
        <v>#N/A</v>
      </c>
      <c r="AU92" s="3" t="e">
        <v>#N/A</v>
      </c>
      <c r="AV92" s="3" t="e">
        <v>#N/A</v>
      </c>
      <c r="AW92" s="3" t="e">
        <v>#N/A</v>
      </c>
      <c r="AX92" s="3" t="e">
        <v>#N/A</v>
      </c>
      <c r="AY92" s="3" t="e">
        <v>#N/A</v>
      </c>
      <c r="AZ92" s="3" t="e">
        <v>#N/A</v>
      </c>
      <c r="BA92" s="3" t="e">
        <v>#N/A</v>
      </c>
      <c r="BB92" s="3" t="e">
        <v>#N/A</v>
      </c>
      <c r="BC92" s="3" t="e">
        <v>#N/A</v>
      </c>
      <c r="BD92" s="3" t="e">
        <v>#N/A</v>
      </c>
      <c r="BE92" s="3" t="e">
        <v>#N/A</v>
      </c>
      <c r="BF92" s="3" t="e">
        <v>#N/A</v>
      </c>
      <c r="BG92" s="3" t="e">
        <v>#N/A</v>
      </c>
      <c r="BH92" s="3" t="e">
        <v>#N/A</v>
      </c>
      <c r="BI92" s="3" t="e">
        <v>#N/A</v>
      </c>
      <c r="BJ92" s="3" t="e">
        <v>#N/A</v>
      </c>
      <c r="BK92" s="3" t="e">
        <v>#N/A</v>
      </c>
      <c r="BL92" s="3" t="e">
        <v>#N/A</v>
      </c>
      <c r="BM92" s="3" t="e">
        <v>#N/A</v>
      </c>
      <c r="BN92" s="3" t="e">
        <v>#N/A</v>
      </c>
      <c r="BO92" s="3" t="e">
        <v>#N/A</v>
      </c>
      <c r="BP92" s="3" t="e">
        <v>#N/A</v>
      </c>
      <c r="BQ92" s="3" t="e">
        <v>#N/A</v>
      </c>
      <c r="BR92" s="3" t="e">
        <v>#N/A</v>
      </c>
      <c r="BS92" s="3" t="e">
        <v>#N/A</v>
      </c>
      <c r="BT92" s="3" t="e">
        <v>#N/A</v>
      </c>
      <c r="BU92" s="3" t="e">
        <v>#N/A</v>
      </c>
      <c r="BV92" s="3" t="e">
        <v>#N/A</v>
      </c>
      <c r="BW92" s="3" t="e">
        <v>#N/A</v>
      </c>
      <c r="BX92" s="3" t="e">
        <v>#N/A</v>
      </c>
      <c r="BY92" s="3" t="e">
        <v>#N/A</v>
      </c>
      <c r="BZ92" s="3" t="e">
        <v>#N/A</v>
      </c>
      <c r="CA92" s="3" t="e">
        <v>#N/A</v>
      </c>
      <c r="CB92" s="3" t="e">
        <v>#N/A</v>
      </c>
      <c r="CC92" s="3" t="e">
        <v>#N/A</v>
      </c>
      <c r="CD92" s="3" t="e">
        <v>#N/A</v>
      </c>
      <c r="CE92" s="3" t="e">
        <v>#N/A</v>
      </c>
      <c r="CF92" s="3" t="e">
        <v>#N/A</v>
      </c>
      <c r="CG92" s="3" t="e">
        <v>#N/A</v>
      </c>
      <c r="CH92" s="3" t="e">
        <v>#N/A</v>
      </c>
      <c r="CI92" s="3">
        <v>2.2999999999999998</v>
      </c>
      <c r="CJ92" s="3">
        <v>2.7</v>
      </c>
      <c r="CK92" s="3">
        <v>2.7</v>
      </c>
      <c r="CL92" s="3">
        <v>2.6</v>
      </c>
      <c r="CM92" s="3">
        <v>2.4</v>
      </c>
      <c r="CN92" s="3">
        <v>2.2000000000000002</v>
      </c>
      <c r="CO92" s="3">
        <v>2</v>
      </c>
      <c r="CP92" s="3">
        <v>1.7</v>
      </c>
      <c r="CQ92" s="3">
        <v>1.7</v>
      </c>
      <c r="CR92" s="3">
        <v>1.6</v>
      </c>
      <c r="CS92" s="3">
        <v>1.5</v>
      </c>
      <c r="CT92" s="3">
        <v>1.5</v>
      </c>
      <c r="CU92" s="3">
        <v>1.5</v>
      </c>
    </row>
    <row r="93" spans="1:101" ht="15.75" customHeight="1" x14ac:dyDescent="0.35">
      <c r="A93" s="1"/>
      <c r="B93" s="4">
        <v>45597</v>
      </c>
      <c r="C93" s="5" t="s">
        <v>1179</v>
      </c>
      <c r="D93" t="s">
        <v>1186</v>
      </c>
      <c r="E93" t="s">
        <v>811</v>
      </c>
      <c r="F93" t="s">
        <v>1140</v>
      </c>
      <c r="G93" t="s">
        <v>1009</v>
      </c>
      <c r="H93" t="s">
        <v>1182</v>
      </c>
      <c r="I93" s="3" t="e">
        <v>#N/A</v>
      </c>
      <c r="J93" s="3" t="e">
        <v>#N/A</v>
      </c>
      <c r="K93" s="3" t="e">
        <v>#N/A</v>
      </c>
      <c r="L93" s="3" t="e">
        <v>#N/A</v>
      </c>
      <c r="M93" s="3" t="e">
        <v>#N/A</v>
      </c>
      <c r="N93" s="3" t="e">
        <v>#N/A</v>
      </c>
      <c r="O93" s="3" t="e">
        <v>#N/A</v>
      </c>
      <c r="P93" s="3" t="e">
        <v>#N/A</v>
      </c>
      <c r="Q93" s="3" t="e">
        <v>#N/A</v>
      </c>
      <c r="R93" s="3" t="e">
        <v>#N/A</v>
      </c>
      <c r="S93" s="3" t="e">
        <v>#N/A</v>
      </c>
      <c r="T93" s="3" t="e">
        <v>#N/A</v>
      </c>
      <c r="U93" s="3" t="e">
        <v>#N/A</v>
      </c>
      <c r="V93" s="3" t="e">
        <v>#N/A</v>
      </c>
      <c r="W93" s="3" t="e">
        <v>#N/A</v>
      </c>
      <c r="X93" s="3" t="e">
        <v>#N/A</v>
      </c>
      <c r="Y93" s="3" t="e">
        <v>#N/A</v>
      </c>
      <c r="Z93" s="3" t="e">
        <v>#N/A</v>
      </c>
      <c r="AA93" s="3" t="e">
        <v>#N/A</v>
      </c>
      <c r="AB93" s="3" t="e">
        <v>#N/A</v>
      </c>
      <c r="AC93" s="3" t="e">
        <v>#N/A</v>
      </c>
      <c r="AD93" s="3" t="e">
        <v>#N/A</v>
      </c>
      <c r="AE93" s="3" t="e">
        <v>#N/A</v>
      </c>
      <c r="AF93" s="3" t="e">
        <v>#N/A</v>
      </c>
      <c r="AG93" s="3" t="e">
        <v>#N/A</v>
      </c>
      <c r="AH93" s="3" t="e">
        <v>#N/A</v>
      </c>
      <c r="AI93" s="3" t="e">
        <v>#N/A</v>
      </c>
      <c r="AJ93" s="3" t="e">
        <v>#N/A</v>
      </c>
      <c r="AK93" s="3" t="e">
        <v>#N/A</v>
      </c>
      <c r="AL93" s="3" t="e">
        <v>#N/A</v>
      </c>
      <c r="AM93" s="3" t="e">
        <v>#N/A</v>
      </c>
      <c r="AN93" s="3" t="e">
        <v>#N/A</v>
      </c>
      <c r="AO93" s="3" t="e">
        <v>#N/A</v>
      </c>
      <c r="AP93" s="3" t="e">
        <v>#N/A</v>
      </c>
      <c r="AQ93" s="3" t="e">
        <v>#N/A</v>
      </c>
      <c r="AR93" s="3" t="e">
        <v>#N/A</v>
      </c>
      <c r="AS93" s="3" t="e">
        <v>#N/A</v>
      </c>
      <c r="AT93" s="3" t="e">
        <v>#N/A</v>
      </c>
      <c r="AU93" s="3" t="e">
        <v>#N/A</v>
      </c>
      <c r="AV93" s="3" t="e">
        <v>#N/A</v>
      </c>
      <c r="AW93" s="3" t="e">
        <v>#N/A</v>
      </c>
      <c r="AX93" s="3" t="e">
        <v>#N/A</v>
      </c>
      <c r="AY93" s="3" t="e">
        <v>#N/A</v>
      </c>
      <c r="AZ93" s="3" t="e">
        <v>#N/A</v>
      </c>
      <c r="BA93" s="3" t="e">
        <v>#N/A</v>
      </c>
      <c r="BB93" s="3" t="e">
        <v>#N/A</v>
      </c>
      <c r="BC93" s="3" t="e">
        <v>#N/A</v>
      </c>
      <c r="BD93" s="3" t="e">
        <v>#N/A</v>
      </c>
      <c r="BE93" s="3" t="e">
        <v>#N/A</v>
      </c>
      <c r="BF93" s="3" t="e">
        <v>#N/A</v>
      </c>
      <c r="BG93" s="3" t="e">
        <v>#N/A</v>
      </c>
      <c r="BH93" s="3" t="e">
        <v>#N/A</v>
      </c>
      <c r="BI93" s="3" t="e">
        <v>#N/A</v>
      </c>
      <c r="BJ93" s="3" t="e">
        <v>#N/A</v>
      </c>
      <c r="BK93" s="3" t="e">
        <v>#N/A</v>
      </c>
      <c r="BL93" s="3" t="e">
        <v>#N/A</v>
      </c>
      <c r="BM93" s="3" t="e">
        <v>#N/A</v>
      </c>
      <c r="BN93" s="3" t="e">
        <v>#N/A</v>
      </c>
      <c r="BO93" s="3" t="e">
        <v>#N/A</v>
      </c>
      <c r="BP93" s="3" t="e">
        <v>#N/A</v>
      </c>
      <c r="BQ93" s="3" t="e">
        <v>#N/A</v>
      </c>
      <c r="BR93" s="3" t="e">
        <v>#N/A</v>
      </c>
      <c r="BS93" s="3" t="e">
        <v>#N/A</v>
      </c>
      <c r="BT93" s="3" t="e">
        <v>#N/A</v>
      </c>
      <c r="BU93" s="3" t="e">
        <v>#N/A</v>
      </c>
      <c r="BV93" s="3" t="e">
        <v>#N/A</v>
      </c>
      <c r="BW93" s="3" t="e">
        <v>#N/A</v>
      </c>
      <c r="BX93" s="3" t="e">
        <v>#N/A</v>
      </c>
      <c r="BY93" s="3" t="e">
        <v>#N/A</v>
      </c>
      <c r="BZ93" s="3" t="e">
        <v>#N/A</v>
      </c>
      <c r="CA93" s="3" t="e">
        <v>#N/A</v>
      </c>
      <c r="CB93" s="3" t="e">
        <v>#N/A</v>
      </c>
      <c r="CC93" s="3" t="e">
        <v>#N/A</v>
      </c>
      <c r="CD93" s="3" t="e">
        <v>#N/A</v>
      </c>
      <c r="CE93" s="3" t="e">
        <v>#N/A</v>
      </c>
      <c r="CF93" s="3" t="e">
        <v>#N/A</v>
      </c>
      <c r="CG93" s="3" t="e">
        <v>#N/A</v>
      </c>
      <c r="CH93" s="3" t="e">
        <v>#N/A</v>
      </c>
      <c r="CI93" s="3" t="e">
        <v>#N/A</v>
      </c>
      <c r="CJ93" s="3">
        <v>2.4</v>
      </c>
      <c r="CK93" s="3">
        <v>2.4</v>
      </c>
      <c r="CL93" s="3">
        <v>2.6</v>
      </c>
      <c r="CM93" s="3">
        <v>2.8</v>
      </c>
      <c r="CN93" s="3">
        <v>2.7</v>
      </c>
      <c r="CO93" s="3">
        <v>2.6</v>
      </c>
      <c r="CP93" s="3">
        <v>2.4</v>
      </c>
      <c r="CQ93" s="3">
        <v>2.2999999999999998</v>
      </c>
      <c r="CR93" s="3">
        <v>2.2000000000000002</v>
      </c>
      <c r="CS93" s="3">
        <v>2.1</v>
      </c>
      <c r="CT93" s="3">
        <v>1.9</v>
      </c>
      <c r="CU93" s="3">
        <v>1.9</v>
      </c>
      <c r="CV93" s="3">
        <v>1.8</v>
      </c>
    </row>
    <row r="94" spans="1:101" ht="15.75" customHeight="1" x14ac:dyDescent="0.35">
      <c r="A94" s="1"/>
      <c r="B94" s="4">
        <v>45689</v>
      </c>
      <c r="C94" s="5" t="s">
        <v>107</v>
      </c>
      <c r="D94" t="s">
        <v>533</v>
      </c>
      <c r="E94" t="s">
        <v>831</v>
      </c>
      <c r="F94" t="s">
        <v>1175</v>
      </c>
      <c r="G94" t="s">
        <v>481</v>
      </c>
      <c r="H94" t="s">
        <v>1217</v>
      </c>
      <c r="I94" s="3" t="e">
        <v>#N/A</v>
      </c>
      <c r="J94" s="3" t="e">
        <v>#N/A</v>
      </c>
      <c r="K94" s="3" t="e">
        <v>#N/A</v>
      </c>
      <c r="L94" s="3" t="e">
        <v>#N/A</v>
      </c>
      <c r="M94" s="3" t="e">
        <v>#N/A</v>
      </c>
      <c r="N94" s="3" t="e">
        <v>#N/A</v>
      </c>
      <c r="O94" s="3" t="e">
        <v>#N/A</v>
      </c>
      <c r="P94" s="3" t="e">
        <v>#N/A</v>
      </c>
      <c r="Q94" s="3" t="e">
        <v>#N/A</v>
      </c>
      <c r="R94" s="3" t="e">
        <v>#N/A</v>
      </c>
      <c r="S94" s="3" t="e">
        <v>#N/A</v>
      </c>
      <c r="T94" s="3" t="e">
        <v>#N/A</v>
      </c>
      <c r="U94" s="3" t="e">
        <v>#N/A</v>
      </c>
      <c r="V94" s="3" t="e">
        <v>#N/A</v>
      </c>
      <c r="W94" s="3" t="e">
        <v>#N/A</v>
      </c>
      <c r="X94" s="3" t="e">
        <v>#N/A</v>
      </c>
      <c r="Y94" s="3" t="e">
        <v>#N/A</v>
      </c>
      <c r="Z94" s="3" t="e">
        <v>#N/A</v>
      </c>
      <c r="AA94" s="3" t="e">
        <v>#N/A</v>
      </c>
      <c r="AB94" s="3" t="e">
        <v>#N/A</v>
      </c>
      <c r="AC94" s="3" t="e">
        <v>#N/A</v>
      </c>
      <c r="AD94" s="3" t="e">
        <v>#N/A</v>
      </c>
      <c r="AE94" s="3" t="e">
        <v>#N/A</v>
      </c>
      <c r="AF94" s="3" t="e">
        <v>#N/A</v>
      </c>
      <c r="AG94" s="3" t="e">
        <v>#N/A</v>
      </c>
      <c r="AH94" s="3" t="e">
        <v>#N/A</v>
      </c>
      <c r="AI94" s="3" t="e">
        <v>#N/A</v>
      </c>
      <c r="AJ94" s="3" t="e">
        <v>#N/A</v>
      </c>
      <c r="AK94" s="3" t="e">
        <v>#N/A</v>
      </c>
      <c r="AL94" s="3" t="e">
        <v>#N/A</v>
      </c>
      <c r="AM94" s="3" t="e">
        <v>#N/A</v>
      </c>
      <c r="AN94" s="3" t="e">
        <v>#N/A</v>
      </c>
      <c r="AO94" s="3" t="e">
        <v>#N/A</v>
      </c>
      <c r="AP94" s="3" t="e">
        <v>#N/A</v>
      </c>
      <c r="AQ94" s="3" t="e">
        <v>#N/A</v>
      </c>
      <c r="AR94" s="3" t="e">
        <v>#N/A</v>
      </c>
      <c r="AS94" s="3" t="e">
        <v>#N/A</v>
      </c>
      <c r="AT94" s="3" t="e">
        <v>#N/A</v>
      </c>
      <c r="AU94" s="3" t="e">
        <v>#N/A</v>
      </c>
      <c r="AV94" s="3" t="e">
        <v>#N/A</v>
      </c>
      <c r="AW94" s="3" t="e">
        <v>#N/A</v>
      </c>
      <c r="AX94" s="3" t="e">
        <v>#N/A</v>
      </c>
      <c r="AY94" s="3" t="e">
        <v>#N/A</v>
      </c>
      <c r="AZ94" s="3" t="e">
        <v>#N/A</v>
      </c>
      <c r="BA94" s="3" t="e">
        <v>#N/A</v>
      </c>
      <c r="BB94" s="3" t="e">
        <v>#N/A</v>
      </c>
      <c r="BC94" s="3" t="e">
        <v>#N/A</v>
      </c>
      <c r="BD94" s="3" t="e">
        <v>#N/A</v>
      </c>
      <c r="BE94" s="3" t="e">
        <v>#N/A</v>
      </c>
      <c r="BF94" s="3" t="e">
        <v>#N/A</v>
      </c>
      <c r="BG94" s="3" t="e">
        <v>#N/A</v>
      </c>
      <c r="BH94" s="3" t="e">
        <v>#N/A</v>
      </c>
      <c r="BI94" s="3" t="e">
        <v>#N/A</v>
      </c>
      <c r="BJ94" s="3" t="e">
        <v>#N/A</v>
      </c>
      <c r="BK94" s="3" t="e">
        <v>#N/A</v>
      </c>
      <c r="BL94" s="3" t="e">
        <v>#N/A</v>
      </c>
      <c r="BM94" s="3" t="e">
        <v>#N/A</v>
      </c>
      <c r="BN94" s="3" t="e">
        <v>#N/A</v>
      </c>
      <c r="BO94" s="3" t="e">
        <v>#N/A</v>
      </c>
      <c r="BP94" s="3" t="e">
        <v>#N/A</v>
      </c>
      <c r="BQ94" s="3" t="e">
        <v>#N/A</v>
      </c>
      <c r="BR94" s="3" t="e">
        <v>#N/A</v>
      </c>
      <c r="BS94" s="3" t="e">
        <v>#N/A</v>
      </c>
      <c r="BT94" s="3" t="e">
        <v>#N/A</v>
      </c>
      <c r="BU94" s="3" t="e">
        <v>#N/A</v>
      </c>
      <c r="BV94" s="3" t="e">
        <v>#N/A</v>
      </c>
      <c r="BW94" s="3" t="e">
        <v>#N/A</v>
      </c>
      <c r="BX94" s="3" t="e">
        <v>#N/A</v>
      </c>
      <c r="BY94" s="3" t="e">
        <v>#N/A</v>
      </c>
      <c r="BZ94" s="3" t="e">
        <v>#N/A</v>
      </c>
      <c r="CA94" s="3" t="e">
        <v>#N/A</v>
      </c>
      <c r="CB94" s="3" t="e">
        <v>#N/A</v>
      </c>
      <c r="CC94" s="3" t="e">
        <v>#N/A</v>
      </c>
      <c r="CD94" s="3" t="e">
        <v>#N/A</v>
      </c>
      <c r="CE94" s="3" t="e">
        <v>#N/A</v>
      </c>
      <c r="CF94" s="3" t="e">
        <v>#N/A</v>
      </c>
      <c r="CG94" s="3" t="e">
        <v>#N/A</v>
      </c>
      <c r="CH94" s="3" t="e">
        <v>#N/A</v>
      </c>
      <c r="CI94" s="3" t="e">
        <v>#N/A</v>
      </c>
      <c r="CJ94" s="3" t="e">
        <v>#N/A</v>
      </c>
      <c r="CK94" s="3">
        <v>2.8</v>
      </c>
      <c r="CL94" s="3">
        <v>3.5</v>
      </c>
      <c r="CM94" s="3">
        <v>3.7</v>
      </c>
      <c r="CN94" s="3">
        <v>3.5</v>
      </c>
      <c r="CO94" s="3">
        <v>3</v>
      </c>
      <c r="CP94" s="3">
        <v>2.6</v>
      </c>
      <c r="CQ94" s="3">
        <v>2.6</v>
      </c>
      <c r="CR94" s="3">
        <v>2.4</v>
      </c>
      <c r="CS94" s="3">
        <v>2.2999999999999998</v>
      </c>
      <c r="CT94" s="3">
        <v>2.2000000000000002</v>
      </c>
      <c r="CU94" s="3">
        <v>2.1</v>
      </c>
      <c r="CV94" s="3">
        <v>2</v>
      </c>
      <c r="CW94" s="3">
        <v>1.9</v>
      </c>
    </row>
    <row r="95" spans="1:101" x14ac:dyDescent="0.35">
      <c r="A95" s="1" t="s">
        <v>91</v>
      </c>
      <c r="B95" s="2"/>
      <c r="C95" s="5" t="s">
        <v>93</v>
      </c>
      <c r="D95" t="s">
        <v>535</v>
      </c>
      <c r="E95" t="s">
        <v>534</v>
      </c>
      <c r="F95" t="s">
        <v>700</v>
      </c>
      <c r="G95" t="s">
        <v>525</v>
      </c>
      <c r="H95" t="s">
        <v>1187</v>
      </c>
      <c r="I95" s="6">
        <v>4.7</v>
      </c>
      <c r="J95" s="6">
        <v>4.8</v>
      </c>
      <c r="K95" s="6">
        <v>4.7</v>
      </c>
      <c r="L95" s="6">
        <v>5.0999999999999996</v>
      </c>
      <c r="M95" s="6">
        <v>5.2</v>
      </c>
      <c r="N95" s="6">
        <v>5.5</v>
      </c>
      <c r="O95" s="6">
        <v>5.5</v>
      </c>
      <c r="P95" s="6">
        <v>5.5</v>
      </c>
      <c r="Q95" s="6">
        <v>5.5</v>
      </c>
      <c r="R95" s="6">
        <v>5.4</v>
      </c>
      <c r="S95" s="6">
        <v>5.3</v>
      </c>
      <c r="T95" s="6">
        <v>5.2</v>
      </c>
      <c r="U95" s="6">
        <v>5.2</v>
      </c>
      <c r="V95" s="6">
        <v>5.4</v>
      </c>
      <c r="W95" s="6">
        <v>5.9</v>
      </c>
      <c r="X95" s="6">
        <v>6.4</v>
      </c>
      <c r="Y95" s="6">
        <v>7.1</v>
      </c>
      <c r="Z95" s="6">
        <v>7.8</v>
      </c>
      <c r="AA95" s="6">
        <v>7.8</v>
      </c>
      <c r="AB95" s="6">
        <v>7.8</v>
      </c>
      <c r="AC95" s="6">
        <v>8</v>
      </c>
      <c r="AD95" s="6">
        <v>7.9</v>
      </c>
      <c r="AE95" s="6">
        <v>7.8</v>
      </c>
      <c r="AF95" s="6">
        <v>7.9</v>
      </c>
      <c r="AG95" s="6">
        <v>7.8</v>
      </c>
      <c r="AH95" s="6">
        <v>7.9</v>
      </c>
      <c r="AI95" s="6">
        <v>8.3000000000000007</v>
      </c>
      <c r="AJ95" s="6">
        <v>8.4</v>
      </c>
      <c r="AK95" s="6">
        <v>8.1999999999999993</v>
      </c>
      <c r="AL95" s="6">
        <v>8</v>
      </c>
      <c r="AM95" s="6">
        <v>7.8</v>
      </c>
      <c r="AN95" s="6">
        <v>7.8</v>
      </c>
      <c r="AO95" s="6">
        <v>7.8</v>
      </c>
      <c r="AP95" s="6">
        <v>7.7</v>
      </c>
      <c r="AQ95" s="6">
        <v>7.6</v>
      </c>
      <c r="AR95" s="6">
        <v>7.2</v>
      </c>
      <c r="AS95" s="6">
        <v>6.7</v>
      </c>
      <c r="AT95" s="6">
        <v>6.3</v>
      </c>
      <c r="AU95" s="6">
        <v>6</v>
      </c>
      <c r="AV95" s="6">
        <v>5.7</v>
      </c>
      <c r="AW95" s="6">
        <v>5.5</v>
      </c>
      <c r="AX95" s="6">
        <v>5.6</v>
      </c>
      <c r="AY95" s="6">
        <v>5.3</v>
      </c>
      <c r="AZ95" s="6">
        <v>5.0999999999999996</v>
      </c>
      <c r="BA95" s="6">
        <v>5.0999999999999996</v>
      </c>
      <c r="BB95" s="6">
        <v>4.9000000000000004</v>
      </c>
      <c r="BC95" s="6">
        <v>4.8</v>
      </c>
      <c r="BD95" s="6">
        <v>4.7</v>
      </c>
      <c r="BE95" s="6">
        <v>4.5999999999999996</v>
      </c>
      <c r="BF95" s="6">
        <v>4.4000000000000004</v>
      </c>
      <c r="BG95" s="6">
        <v>4.3</v>
      </c>
      <c r="BH95" s="6">
        <v>4.4000000000000004</v>
      </c>
      <c r="BI95" s="6">
        <v>4.2</v>
      </c>
      <c r="BJ95" s="6">
        <v>4</v>
      </c>
      <c r="BK95" s="6">
        <v>4.0999999999999996</v>
      </c>
      <c r="BL95" s="6">
        <v>4</v>
      </c>
      <c r="BM95" s="6">
        <v>3.8</v>
      </c>
      <c r="BN95" s="6">
        <v>3.9</v>
      </c>
      <c r="BO95" s="6">
        <v>3.9</v>
      </c>
      <c r="BP95" s="6">
        <v>3.7</v>
      </c>
      <c r="BQ95" s="6">
        <v>4.0999999999999996</v>
      </c>
      <c r="BR95" s="6">
        <v>4.0999999999999996</v>
      </c>
      <c r="BS95" s="6">
        <v>5</v>
      </c>
      <c r="BT95" s="6">
        <v>5.3</v>
      </c>
      <c r="BU95" s="6">
        <v>4.9000000000000004</v>
      </c>
      <c r="BV95" s="6">
        <v>4.7</v>
      </c>
      <c r="BW95" s="6">
        <v>4.4000000000000004</v>
      </c>
      <c r="BX95" s="6">
        <v>4.2</v>
      </c>
      <c r="BY95" s="6">
        <v>3.8</v>
      </c>
      <c r="BZ95" s="6">
        <v>3.8</v>
      </c>
      <c r="CA95" s="6">
        <v>3.7</v>
      </c>
      <c r="CB95" s="6">
        <v>3.9</v>
      </c>
      <c r="CC95" s="6">
        <v>4</v>
      </c>
      <c r="CD95" s="6">
        <v>4.2</v>
      </c>
      <c r="CE95" s="6">
        <v>4.0999999999999996</v>
      </c>
      <c r="CF95" s="6">
        <v>3.9</v>
      </c>
      <c r="CG95" s="6">
        <v>4.3</v>
      </c>
      <c r="CH95" s="6">
        <v>4.2</v>
      </c>
      <c r="CI95" s="6">
        <v>4.3</v>
      </c>
    </row>
    <row r="96" spans="1:101" x14ac:dyDescent="0.35">
      <c r="A96" s="1" t="s">
        <v>92</v>
      </c>
      <c r="B96" s="2">
        <v>42856</v>
      </c>
      <c r="C96" s="5" t="s">
        <v>94</v>
      </c>
      <c r="D96" t="s">
        <v>536</v>
      </c>
      <c r="E96" t="s">
        <v>482</v>
      </c>
      <c r="F96" t="s">
        <v>506</v>
      </c>
      <c r="G96" t="s">
        <v>1009</v>
      </c>
      <c r="H96" t="s">
        <v>505</v>
      </c>
      <c r="I96" s="6" t="e">
        <v>#N/A</v>
      </c>
      <c r="J96" s="6" t="e">
        <v>#N/A</v>
      </c>
      <c r="K96" s="6" t="e">
        <v>#N/A</v>
      </c>
      <c r="L96" s="6" t="e">
        <v>#N/A</v>
      </c>
      <c r="M96" s="6" t="e">
        <v>#N/A</v>
      </c>
      <c r="N96" s="6" t="e">
        <v>#N/A</v>
      </c>
      <c r="O96" s="6" t="e">
        <v>#N/A</v>
      </c>
      <c r="P96" s="6" t="e">
        <v>#N/A</v>
      </c>
      <c r="Q96" s="6" t="e">
        <v>#N/A</v>
      </c>
      <c r="R96" s="6" t="e">
        <v>#N/A</v>
      </c>
      <c r="S96" s="6" t="e">
        <v>#N/A</v>
      </c>
      <c r="T96" s="6" t="e">
        <v>#N/A</v>
      </c>
      <c r="U96" s="6" t="e">
        <v>#N/A</v>
      </c>
      <c r="V96" s="6" t="e">
        <v>#N/A</v>
      </c>
      <c r="W96" s="6" t="e">
        <v>#N/A</v>
      </c>
      <c r="X96" s="6" t="e">
        <v>#N/A</v>
      </c>
      <c r="Y96" s="6" t="e">
        <v>#N/A</v>
      </c>
      <c r="Z96" s="6" t="e">
        <v>#N/A</v>
      </c>
      <c r="AA96" s="6" t="e">
        <v>#N/A</v>
      </c>
      <c r="AB96" s="6" t="e">
        <v>#N/A</v>
      </c>
      <c r="AC96" s="6" t="e">
        <v>#N/A</v>
      </c>
      <c r="AD96" s="6" t="e">
        <v>#N/A</v>
      </c>
      <c r="AE96" s="6" t="e">
        <v>#N/A</v>
      </c>
      <c r="AF96" s="6" t="e">
        <v>#N/A</v>
      </c>
      <c r="AG96" s="6" t="e">
        <v>#N/A</v>
      </c>
      <c r="AH96" s="6" t="e">
        <v>#N/A</v>
      </c>
      <c r="AI96" s="6" t="e">
        <v>#N/A</v>
      </c>
      <c r="AJ96" s="6" t="e">
        <v>#N/A</v>
      </c>
      <c r="AK96" s="6" t="e">
        <v>#N/A</v>
      </c>
      <c r="AL96" s="6" t="e">
        <v>#N/A</v>
      </c>
      <c r="AM96" s="6" t="e">
        <v>#N/A</v>
      </c>
      <c r="AN96" s="6" t="e">
        <v>#N/A</v>
      </c>
      <c r="AO96" s="6" t="e">
        <v>#N/A</v>
      </c>
      <c r="AP96" s="6" t="e">
        <v>#N/A</v>
      </c>
      <c r="AQ96" s="6" t="e">
        <v>#N/A</v>
      </c>
      <c r="AR96" s="6" t="e">
        <v>#N/A</v>
      </c>
      <c r="AS96" s="6" t="e">
        <v>#N/A</v>
      </c>
      <c r="AT96" s="6" t="e">
        <v>#N/A</v>
      </c>
      <c r="AU96" s="6" t="e">
        <v>#N/A</v>
      </c>
      <c r="AV96" s="6" t="e">
        <v>#N/A</v>
      </c>
      <c r="AW96" s="6" t="e">
        <v>#N/A</v>
      </c>
      <c r="AX96" s="6" t="e">
        <v>#N/A</v>
      </c>
      <c r="AY96" s="6" t="e">
        <v>#N/A</v>
      </c>
      <c r="AZ96" s="6" t="e">
        <v>#N/A</v>
      </c>
      <c r="BA96" s="6" t="e">
        <v>#N/A</v>
      </c>
      <c r="BB96" s="6" t="e">
        <v>#N/A</v>
      </c>
      <c r="BC96" s="6" t="e">
        <v>#N/A</v>
      </c>
      <c r="BD96" s="6" t="e">
        <v>#N/A</v>
      </c>
      <c r="BE96" s="6">
        <v>4.7</v>
      </c>
      <c r="BF96" s="6">
        <v>4.7</v>
      </c>
      <c r="BG96" s="6">
        <v>4.7</v>
      </c>
      <c r="BH96" s="6">
        <v>4.7</v>
      </c>
      <c r="BI96" s="6">
        <v>4.7</v>
      </c>
      <c r="BJ96" s="6">
        <v>4.7</v>
      </c>
      <c r="BK96" s="6">
        <v>4.7</v>
      </c>
      <c r="BL96" s="6">
        <v>4.7</v>
      </c>
      <c r="BM96" s="6">
        <v>4.7</v>
      </c>
      <c r="BN96" s="6">
        <v>4.5999999999999996</v>
      </c>
      <c r="BO96" s="6">
        <v>4.5999999999999996</v>
      </c>
      <c r="BP96" s="6">
        <v>4.5</v>
      </c>
      <c r="BQ96" s="6">
        <v>4.5</v>
      </c>
      <c r="BR96" s="6">
        <v>4.5</v>
      </c>
    </row>
    <row r="97" spans="1:87" x14ac:dyDescent="0.35">
      <c r="B97" s="2">
        <v>42948</v>
      </c>
      <c r="C97" s="5" t="s">
        <v>95</v>
      </c>
      <c r="D97" t="s">
        <v>537</v>
      </c>
      <c r="E97" t="s">
        <v>486</v>
      </c>
      <c r="F97" t="s">
        <v>509</v>
      </c>
      <c r="G97" t="s">
        <v>1009</v>
      </c>
      <c r="H97" t="s">
        <v>508</v>
      </c>
      <c r="I97" s="6" t="e">
        <v>#N/A</v>
      </c>
      <c r="J97" s="6" t="e">
        <v>#N/A</v>
      </c>
      <c r="K97" s="6" t="e">
        <v>#N/A</v>
      </c>
      <c r="L97" s="6" t="e">
        <v>#N/A</v>
      </c>
      <c r="M97" s="6" t="e">
        <v>#N/A</v>
      </c>
      <c r="N97" s="6" t="e">
        <v>#N/A</v>
      </c>
      <c r="O97" s="6" t="e">
        <v>#N/A</v>
      </c>
      <c r="P97" s="6" t="e">
        <v>#N/A</v>
      </c>
      <c r="Q97" s="6" t="e">
        <v>#N/A</v>
      </c>
      <c r="R97" s="6" t="e">
        <v>#N/A</v>
      </c>
      <c r="S97" s="6" t="e">
        <v>#N/A</v>
      </c>
      <c r="T97" s="6" t="e">
        <v>#N/A</v>
      </c>
      <c r="U97" s="6" t="e">
        <v>#N/A</v>
      </c>
      <c r="V97" s="6" t="e">
        <v>#N/A</v>
      </c>
      <c r="W97" s="6" t="e">
        <v>#N/A</v>
      </c>
      <c r="X97" s="6" t="e">
        <v>#N/A</v>
      </c>
      <c r="Y97" s="6" t="e">
        <v>#N/A</v>
      </c>
      <c r="Z97" s="6" t="e">
        <v>#N/A</v>
      </c>
      <c r="AA97" s="6" t="e">
        <v>#N/A</v>
      </c>
      <c r="AB97" s="6" t="e">
        <v>#N/A</v>
      </c>
      <c r="AC97" s="6" t="e">
        <v>#N/A</v>
      </c>
      <c r="AD97" s="6" t="e">
        <v>#N/A</v>
      </c>
      <c r="AE97" s="6" t="e">
        <v>#N/A</v>
      </c>
      <c r="AF97" s="6" t="e">
        <v>#N/A</v>
      </c>
      <c r="AG97" s="6" t="e">
        <v>#N/A</v>
      </c>
      <c r="AH97" s="6" t="e">
        <v>#N/A</v>
      </c>
      <c r="AI97" s="6" t="e">
        <v>#N/A</v>
      </c>
      <c r="AJ97" s="6" t="e">
        <v>#N/A</v>
      </c>
      <c r="AK97" s="6" t="e">
        <v>#N/A</v>
      </c>
      <c r="AL97" s="6" t="e">
        <v>#N/A</v>
      </c>
      <c r="AM97" s="6" t="e">
        <v>#N/A</v>
      </c>
      <c r="AN97" s="6" t="e">
        <v>#N/A</v>
      </c>
      <c r="AO97" s="6" t="e">
        <v>#N/A</v>
      </c>
      <c r="AP97" s="6" t="e">
        <v>#N/A</v>
      </c>
      <c r="AQ97" s="6" t="e">
        <v>#N/A</v>
      </c>
      <c r="AR97" s="6" t="e">
        <v>#N/A</v>
      </c>
      <c r="AS97" s="6" t="e">
        <v>#N/A</v>
      </c>
      <c r="AT97" s="6" t="e">
        <v>#N/A</v>
      </c>
      <c r="AU97" s="6" t="e">
        <v>#N/A</v>
      </c>
      <c r="AV97" s="6" t="e">
        <v>#N/A</v>
      </c>
      <c r="AW97" s="6" t="e">
        <v>#N/A</v>
      </c>
      <c r="AX97" s="6" t="e">
        <v>#N/A</v>
      </c>
      <c r="AY97" s="6" t="e">
        <v>#N/A</v>
      </c>
      <c r="AZ97" s="6" t="e">
        <v>#N/A</v>
      </c>
      <c r="BA97" s="6" t="e">
        <v>#N/A</v>
      </c>
      <c r="BB97" s="6" t="e">
        <v>#N/A</v>
      </c>
      <c r="BC97" s="6" t="e">
        <v>#N/A</v>
      </c>
      <c r="BD97" s="6" t="e">
        <v>#N/A</v>
      </c>
      <c r="BE97" s="6" t="e">
        <v>#N/A</v>
      </c>
      <c r="BF97" s="6">
        <v>4.4000000000000004</v>
      </c>
      <c r="BG97" s="6">
        <v>4.4000000000000004</v>
      </c>
      <c r="BH97" s="6">
        <v>4.4000000000000004</v>
      </c>
      <c r="BI97" s="6">
        <v>4.5</v>
      </c>
      <c r="BJ97" s="6">
        <v>4.5</v>
      </c>
      <c r="BK97" s="6">
        <v>4.5</v>
      </c>
      <c r="BL97" s="6">
        <v>4.5</v>
      </c>
      <c r="BM97" s="6">
        <v>4.5</v>
      </c>
      <c r="BN97" s="6">
        <v>4.5</v>
      </c>
      <c r="BO97" s="6">
        <v>4.5</v>
      </c>
      <c r="BP97" s="6">
        <v>4.5</v>
      </c>
      <c r="BQ97" s="6">
        <v>4.4000000000000004</v>
      </c>
      <c r="BR97" s="6">
        <v>4.4000000000000004</v>
      </c>
      <c r="BS97" s="6">
        <v>4.4000000000000004</v>
      </c>
    </row>
    <row r="98" spans="1:87" x14ac:dyDescent="0.35">
      <c r="B98" s="4">
        <v>43040</v>
      </c>
      <c r="C98" s="5" t="s">
        <v>96</v>
      </c>
      <c r="D98" t="s">
        <v>538</v>
      </c>
      <c r="E98" t="s">
        <v>490</v>
      </c>
      <c r="F98" t="s">
        <v>512</v>
      </c>
      <c r="G98" t="s">
        <v>1009</v>
      </c>
      <c r="H98" t="s">
        <v>511</v>
      </c>
      <c r="I98" s="6" t="e">
        <v>#N/A</v>
      </c>
      <c r="J98" s="6" t="e">
        <v>#N/A</v>
      </c>
      <c r="K98" s="6" t="e">
        <v>#N/A</v>
      </c>
      <c r="L98" s="6" t="e">
        <v>#N/A</v>
      </c>
      <c r="M98" s="6" t="e">
        <v>#N/A</v>
      </c>
      <c r="N98" s="6" t="e">
        <v>#N/A</v>
      </c>
      <c r="O98" s="6" t="e">
        <v>#N/A</v>
      </c>
      <c r="P98" s="6" t="e">
        <v>#N/A</v>
      </c>
      <c r="Q98" s="6" t="e">
        <v>#N/A</v>
      </c>
      <c r="R98" s="6" t="e">
        <v>#N/A</v>
      </c>
      <c r="S98" s="6" t="e">
        <v>#N/A</v>
      </c>
      <c r="T98" s="6" t="e">
        <v>#N/A</v>
      </c>
      <c r="U98" s="6" t="e">
        <v>#N/A</v>
      </c>
      <c r="V98" s="6" t="e">
        <v>#N/A</v>
      </c>
      <c r="W98" s="6" t="e">
        <v>#N/A</v>
      </c>
      <c r="X98" s="6" t="e">
        <v>#N/A</v>
      </c>
      <c r="Y98" s="6" t="e">
        <v>#N/A</v>
      </c>
      <c r="Z98" s="6" t="e">
        <v>#N/A</v>
      </c>
      <c r="AA98" s="6" t="e">
        <v>#N/A</v>
      </c>
      <c r="AB98" s="6" t="e">
        <v>#N/A</v>
      </c>
      <c r="AC98" s="6" t="e">
        <v>#N/A</v>
      </c>
      <c r="AD98" s="6" t="e">
        <v>#N/A</v>
      </c>
      <c r="AE98" s="6" t="e">
        <v>#N/A</v>
      </c>
      <c r="AF98" s="6" t="e">
        <v>#N/A</v>
      </c>
      <c r="AG98" s="6" t="e">
        <v>#N/A</v>
      </c>
      <c r="AH98" s="6" t="e">
        <v>#N/A</v>
      </c>
      <c r="AI98" s="6" t="e">
        <v>#N/A</v>
      </c>
      <c r="AJ98" s="6" t="e">
        <v>#N/A</v>
      </c>
      <c r="AK98" s="6" t="e">
        <v>#N/A</v>
      </c>
      <c r="AL98" s="6" t="e">
        <v>#N/A</v>
      </c>
      <c r="AM98" s="6" t="e">
        <v>#N/A</v>
      </c>
      <c r="AN98" s="6" t="e">
        <v>#N/A</v>
      </c>
      <c r="AO98" s="6" t="e">
        <v>#N/A</v>
      </c>
      <c r="AP98" s="6" t="e">
        <v>#N/A</v>
      </c>
      <c r="AQ98" s="6" t="e">
        <v>#N/A</v>
      </c>
      <c r="AR98" s="6" t="e">
        <v>#N/A</v>
      </c>
      <c r="AS98" s="6" t="e">
        <v>#N/A</v>
      </c>
      <c r="AT98" s="6" t="e">
        <v>#N/A</v>
      </c>
      <c r="AU98" s="6" t="e">
        <v>#N/A</v>
      </c>
      <c r="AV98" s="6" t="e">
        <v>#N/A</v>
      </c>
      <c r="AW98" s="6" t="e">
        <v>#N/A</v>
      </c>
      <c r="AX98" s="6" t="e">
        <v>#N/A</v>
      </c>
      <c r="AY98" s="6" t="e">
        <v>#N/A</v>
      </c>
      <c r="AZ98" s="6" t="e">
        <v>#N/A</v>
      </c>
      <c r="BA98" s="6" t="e">
        <v>#N/A</v>
      </c>
      <c r="BB98" s="6" t="e">
        <v>#N/A</v>
      </c>
      <c r="BC98" s="6" t="e">
        <v>#N/A</v>
      </c>
      <c r="BD98" s="6" t="e">
        <v>#N/A</v>
      </c>
      <c r="BE98" s="6" t="e">
        <v>#N/A</v>
      </c>
      <c r="BF98" s="6" t="e">
        <v>#N/A</v>
      </c>
      <c r="BG98" s="6">
        <v>4.3</v>
      </c>
      <c r="BH98" s="6">
        <v>4.2</v>
      </c>
      <c r="BI98" s="6">
        <v>4.2</v>
      </c>
      <c r="BJ98" s="6">
        <v>4.2</v>
      </c>
      <c r="BK98" s="6">
        <v>4.2</v>
      </c>
      <c r="BL98" s="6">
        <v>4.2</v>
      </c>
      <c r="BM98" s="6">
        <v>4.2</v>
      </c>
      <c r="BN98" s="6">
        <v>4.2</v>
      </c>
      <c r="BO98" s="6">
        <v>4.2</v>
      </c>
      <c r="BP98" s="6">
        <v>4.2</v>
      </c>
      <c r="BQ98" s="6">
        <v>4.2</v>
      </c>
      <c r="BR98" s="6">
        <v>4.3</v>
      </c>
      <c r="BS98" s="6">
        <v>4.3</v>
      </c>
      <c r="BT98" s="6">
        <v>4.3</v>
      </c>
    </row>
    <row r="99" spans="1:87" x14ac:dyDescent="0.35">
      <c r="B99" s="4">
        <v>43132</v>
      </c>
      <c r="C99" s="5" t="s">
        <v>114</v>
      </c>
      <c r="D99" t="s">
        <v>539</v>
      </c>
      <c r="E99" t="s">
        <v>494</v>
      </c>
      <c r="F99" t="s">
        <v>515</v>
      </c>
      <c r="G99" t="s">
        <v>1009</v>
      </c>
      <c r="H99" t="s">
        <v>514</v>
      </c>
      <c r="I99" s="6" t="e">
        <v>#N/A</v>
      </c>
      <c r="J99" s="6" t="e">
        <v>#N/A</v>
      </c>
      <c r="K99" s="6" t="e">
        <v>#N/A</v>
      </c>
      <c r="L99" s="6" t="e">
        <v>#N/A</v>
      </c>
      <c r="M99" s="6" t="e">
        <v>#N/A</v>
      </c>
      <c r="N99" s="6" t="e">
        <v>#N/A</v>
      </c>
      <c r="O99" s="6" t="e">
        <v>#N/A</v>
      </c>
      <c r="P99" s="6" t="e">
        <v>#N/A</v>
      </c>
      <c r="Q99" s="6" t="e">
        <v>#N/A</v>
      </c>
      <c r="R99" s="6" t="e">
        <v>#N/A</v>
      </c>
      <c r="S99" s="6" t="e">
        <v>#N/A</v>
      </c>
      <c r="T99" s="6" t="e">
        <v>#N/A</v>
      </c>
      <c r="U99" s="6" t="e">
        <v>#N/A</v>
      </c>
      <c r="V99" s="6" t="e">
        <v>#N/A</v>
      </c>
      <c r="W99" s="6" t="e">
        <v>#N/A</v>
      </c>
      <c r="X99" s="6" t="e">
        <v>#N/A</v>
      </c>
      <c r="Y99" s="6" t="e">
        <v>#N/A</v>
      </c>
      <c r="Z99" s="6" t="e">
        <v>#N/A</v>
      </c>
      <c r="AA99" s="6" t="e">
        <v>#N/A</v>
      </c>
      <c r="AB99" s="6" t="e">
        <v>#N/A</v>
      </c>
      <c r="AC99" s="6" t="e">
        <v>#N/A</v>
      </c>
      <c r="AD99" s="6" t="e">
        <v>#N/A</v>
      </c>
      <c r="AE99" s="6" t="e">
        <v>#N/A</v>
      </c>
      <c r="AF99" s="6" t="e">
        <v>#N/A</v>
      </c>
      <c r="AG99" s="6" t="e">
        <v>#N/A</v>
      </c>
      <c r="AH99" s="6" t="e">
        <v>#N/A</v>
      </c>
      <c r="AI99" s="6" t="e">
        <v>#N/A</v>
      </c>
      <c r="AJ99" s="6" t="e">
        <v>#N/A</v>
      </c>
      <c r="AK99" s="6" t="e">
        <v>#N/A</v>
      </c>
      <c r="AL99" s="6" t="e">
        <v>#N/A</v>
      </c>
      <c r="AM99" s="6" t="e">
        <v>#N/A</v>
      </c>
      <c r="AN99" s="6" t="e">
        <v>#N/A</v>
      </c>
      <c r="AO99" s="6" t="e">
        <v>#N/A</v>
      </c>
      <c r="AP99" s="6" t="e">
        <v>#N/A</v>
      </c>
      <c r="AQ99" s="6" t="e">
        <v>#N/A</v>
      </c>
      <c r="AR99" s="6" t="e">
        <v>#N/A</v>
      </c>
      <c r="AS99" s="6" t="e">
        <v>#N/A</v>
      </c>
      <c r="AT99" s="6" t="e">
        <v>#N/A</v>
      </c>
      <c r="AU99" s="6" t="e">
        <v>#N/A</v>
      </c>
      <c r="AV99" s="6" t="e">
        <v>#N/A</v>
      </c>
      <c r="AW99" s="6" t="e">
        <v>#N/A</v>
      </c>
      <c r="AX99" s="6" t="e">
        <v>#N/A</v>
      </c>
      <c r="AY99" s="6" t="e">
        <v>#N/A</v>
      </c>
      <c r="AZ99" s="6" t="e">
        <v>#N/A</v>
      </c>
      <c r="BA99" s="6" t="e">
        <v>#N/A</v>
      </c>
      <c r="BB99" s="6" t="e">
        <v>#N/A</v>
      </c>
      <c r="BC99" s="6" t="e">
        <v>#N/A</v>
      </c>
      <c r="BD99" s="6" t="e">
        <v>#N/A</v>
      </c>
      <c r="BE99" s="6" t="e">
        <v>#N/A</v>
      </c>
      <c r="BF99" s="6" t="e">
        <v>#N/A</v>
      </c>
      <c r="BG99" s="6" t="e">
        <v>#N/A</v>
      </c>
      <c r="BH99" s="6">
        <v>4.3</v>
      </c>
      <c r="BI99" s="6">
        <v>4.3</v>
      </c>
      <c r="BJ99" s="6">
        <v>4.2</v>
      </c>
      <c r="BK99" s="6">
        <v>4.2</v>
      </c>
      <c r="BL99" s="6">
        <v>4.2</v>
      </c>
      <c r="BM99" s="6">
        <v>4.2</v>
      </c>
      <c r="BN99" s="6">
        <v>4.2</v>
      </c>
      <c r="BO99" s="6">
        <v>4.0999999999999996</v>
      </c>
      <c r="BP99" s="6">
        <v>4.0999999999999996</v>
      </c>
      <c r="BQ99" s="6">
        <v>4.0999999999999996</v>
      </c>
      <c r="BR99" s="6">
        <v>4.0999999999999996</v>
      </c>
      <c r="BS99" s="6">
        <v>4.0999999999999996</v>
      </c>
      <c r="BT99" s="6">
        <v>4.0999999999999996</v>
      </c>
      <c r="BU99" s="6">
        <v>4.0999999999999996</v>
      </c>
    </row>
    <row r="100" spans="1:87" x14ac:dyDescent="0.35">
      <c r="A100" s="1"/>
      <c r="B100" s="4">
        <v>43221</v>
      </c>
      <c r="C100" s="5" t="s">
        <v>120</v>
      </c>
      <c r="D100" t="s">
        <v>540</v>
      </c>
      <c r="E100" t="s">
        <v>498</v>
      </c>
      <c r="F100" t="s">
        <v>518</v>
      </c>
      <c r="G100" t="s">
        <v>1009</v>
      </c>
      <c r="H100" t="s">
        <v>517</v>
      </c>
      <c r="I100" s="6" t="e">
        <v>#N/A</v>
      </c>
      <c r="J100" s="6" t="e">
        <v>#N/A</v>
      </c>
      <c r="K100" s="6" t="e">
        <v>#N/A</v>
      </c>
      <c r="L100" s="6" t="e">
        <v>#N/A</v>
      </c>
      <c r="M100" s="6" t="e">
        <v>#N/A</v>
      </c>
      <c r="N100" s="6" t="e">
        <v>#N/A</v>
      </c>
      <c r="O100" s="6" t="e">
        <v>#N/A</v>
      </c>
      <c r="P100" s="6" t="e">
        <v>#N/A</v>
      </c>
      <c r="Q100" s="6" t="e">
        <v>#N/A</v>
      </c>
      <c r="R100" s="6" t="e">
        <v>#N/A</v>
      </c>
      <c r="S100" s="6" t="e">
        <v>#N/A</v>
      </c>
      <c r="T100" s="6" t="e">
        <v>#N/A</v>
      </c>
      <c r="U100" s="6" t="e">
        <v>#N/A</v>
      </c>
      <c r="V100" s="6" t="e">
        <v>#N/A</v>
      </c>
      <c r="W100" s="6" t="e">
        <v>#N/A</v>
      </c>
      <c r="X100" s="6" t="e">
        <v>#N/A</v>
      </c>
      <c r="Y100" s="6" t="e">
        <v>#N/A</v>
      </c>
      <c r="Z100" s="6" t="e">
        <v>#N/A</v>
      </c>
      <c r="AA100" s="6" t="e">
        <v>#N/A</v>
      </c>
      <c r="AB100" s="6" t="e">
        <v>#N/A</v>
      </c>
      <c r="AC100" s="6" t="e">
        <v>#N/A</v>
      </c>
      <c r="AD100" s="6" t="e">
        <v>#N/A</v>
      </c>
      <c r="AE100" s="6" t="e">
        <v>#N/A</v>
      </c>
      <c r="AF100" s="6" t="e">
        <v>#N/A</v>
      </c>
      <c r="AG100" s="6" t="e">
        <v>#N/A</v>
      </c>
      <c r="AH100" s="6" t="e">
        <v>#N/A</v>
      </c>
      <c r="AI100" s="6" t="e">
        <v>#N/A</v>
      </c>
      <c r="AJ100" s="6" t="e">
        <v>#N/A</v>
      </c>
      <c r="AK100" s="6" t="e">
        <v>#N/A</v>
      </c>
      <c r="AL100" s="6" t="e">
        <v>#N/A</v>
      </c>
      <c r="AM100" s="6" t="e">
        <v>#N/A</v>
      </c>
      <c r="AN100" s="6" t="e">
        <v>#N/A</v>
      </c>
      <c r="AO100" s="6" t="e">
        <v>#N/A</v>
      </c>
      <c r="AP100" s="6" t="e">
        <v>#N/A</v>
      </c>
      <c r="AQ100" s="6" t="e">
        <v>#N/A</v>
      </c>
      <c r="AR100" s="6" t="e">
        <v>#N/A</v>
      </c>
      <c r="AS100" s="6" t="e">
        <v>#N/A</v>
      </c>
      <c r="AT100" s="6" t="e">
        <v>#N/A</v>
      </c>
      <c r="AU100" s="6" t="e">
        <v>#N/A</v>
      </c>
      <c r="AV100" s="6" t="e">
        <v>#N/A</v>
      </c>
      <c r="AW100" s="6" t="e">
        <v>#N/A</v>
      </c>
      <c r="AX100" s="6" t="e">
        <v>#N/A</v>
      </c>
      <c r="AY100" s="6" t="e">
        <v>#N/A</v>
      </c>
      <c r="AZ100" s="6" t="e">
        <v>#N/A</v>
      </c>
      <c r="BA100" s="6" t="e">
        <v>#N/A</v>
      </c>
      <c r="BB100" s="6" t="e">
        <v>#N/A</v>
      </c>
      <c r="BC100" s="6" t="e">
        <v>#N/A</v>
      </c>
      <c r="BD100" s="6" t="e">
        <v>#N/A</v>
      </c>
      <c r="BE100" s="6" t="e">
        <v>#N/A</v>
      </c>
      <c r="BF100" s="6" t="e">
        <v>#N/A</v>
      </c>
      <c r="BG100" s="6" t="e">
        <v>#N/A</v>
      </c>
      <c r="BH100" s="6" t="e">
        <v>#N/A</v>
      </c>
      <c r="BI100" s="6">
        <v>4.2</v>
      </c>
      <c r="BJ100" s="6">
        <v>4.0999999999999996</v>
      </c>
      <c r="BK100" s="6">
        <v>4.0999999999999996</v>
      </c>
      <c r="BL100" s="6">
        <v>4.0999999999999996</v>
      </c>
      <c r="BM100" s="6">
        <v>4</v>
      </c>
      <c r="BN100" s="6">
        <v>4</v>
      </c>
      <c r="BO100" s="6">
        <v>4</v>
      </c>
      <c r="BP100" s="6">
        <v>4</v>
      </c>
      <c r="BQ100" s="6">
        <v>4</v>
      </c>
      <c r="BR100" s="6">
        <v>4</v>
      </c>
      <c r="BS100" s="6">
        <v>4</v>
      </c>
      <c r="BT100" s="6">
        <v>4</v>
      </c>
      <c r="BU100" s="6">
        <v>4</v>
      </c>
      <c r="BV100" s="6">
        <v>4</v>
      </c>
    </row>
    <row r="101" spans="1:87" x14ac:dyDescent="0.35">
      <c r="A101" s="1"/>
      <c r="B101" s="4">
        <v>43313</v>
      </c>
      <c r="C101" s="5" t="s">
        <v>479</v>
      </c>
      <c r="D101" t="s">
        <v>541</v>
      </c>
      <c r="E101" t="s">
        <v>519</v>
      </c>
      <c r="F101" t="s">
        <v>522</v>
      </c>
      <c r="G101" t="s">
        <v>1009</v>
      </c>
      <c r="H101" t="s">
        <v>521</v>
      </c>
      <c r="I101" s="6" t="e">
        <v>#N/A</v>
      </c>
      <c r="J101" s="6" t="e">
        <v>#N/A</v>
      </c>
      <c r="K101" s="6" t="e">
        <v>#N/A</v>
      </c>
      <c r="L101" s="6" t="e">
        <v>#N/A</v>
      </c>
      <c r="M101" s="6" t="e">
        <v>#N/A</v>
      </c>
      <c r="N101" s="6" t="e">
        <v>#N/A</v>
      </c>
      <c r="O101" s="6" t="e">
        <v>#N/A</v>
      </c>
      <c r="P101" s="6" t="e">
        <v>#N/A</v>
      </c>
      <c r="Q101" s="6" t="e">
        <v>#N/A</v>
      </c>
      <c r="R101" s="6" t="e">
        <v>#N/A</v>
      </c>
      <c r="S101" s="6" t="e">
        <v>#N/A</v>
      </c>
      <c r="T101" s="6" t="e">
        <v>#N/A</v>
      </c>
      <c r="U101" s="6" t="e">
        <v>#N/A</v>
      </c>
      <c r="V101" s="6" t="e">
        <v>#N/A</v>
      </c>
      <c r="W101" s="6" t="e">
        <v>#N/A</v>
      </c>
      <c r="X101" s="6" t="e">
        <v>#N/A</v>
      </c>
      <c r="Y101" s="6" t="e">
        <v>#N/A</v>
      </c>
      <c r="Z101" s="6" t="e">
        <v>#N/A</v>
      </c>
      <c r="AA101" s="6" t="e">
        <v>#N/A</v>
      </c>
      <c r="AB101" s="6" t="e">
        <v>#N/A</v>
      </c>
      <c r="AC101" s="6" t="e">
        <v>#N/A</v>
      </c>
      <c r="AD101" s="6" t="e">
        <v>#N/A</v>
      </c>
      <c r="AE101" s="6" t="e">
        <v>#N/A</v>
      </c>
      <c r="AF101" s="6" t="e">
        <v>#N/A</v>
      </c>
      <c r="AG101" s="6" t="e">
        <v>#N/A</v>
      </c>
      <c r="AH101" s="6" t="e">
        <v>#N/A</v>
      </c>
      <c r="AI101" s="6" t="e">
        <v>#N/A</v>
      </c>
      <c r="AJ101" s="6" t="e">
        <v>#N/A</v>
      </c>
      <c r="AK101" s="6" t="e">
        <v>#N/A</v>
      </c>
      <c r="AL101" s="6" t="e">
        <v>#N/A</v>
      </c>
      <c r="AM101" s="6" t="e">
        <v>#N/A</v>
      </c>
      <c r="AN101" s="6" t="e">
        <v>#N/A</v>
      </c>
      <c r="AO101" s="6" t="e">
        <v>#N/A</v>
      </c>
      <c r="AP101" s="6" t="e">
        <v>#N/A</v>
      </c>
      <c r="AQ101" s="6" t="e">
        <v>#N/A</v>
      </c>
      <c r="AR101" s="6" t="e">
        <v>#N/A</v>
      </c>
      <c r="AS101" s="6" t="e">
        <v>#N/A</v>
      </c>
      <c r="AT101" s="6" t="e">
        <v>#N/A</v>
      </c>
      <c r="AU101" s="6" t="e">
        <v>#N/A</v>
      </c>
      <c r="AV101" s="6" t="e">
        <v>#N/A</v>
      </c>
      <c r="AW101" s="6" t="e">
        <v>#N/A</v>
      </c>
      <c r="AX101" s="6" t="e">
        <v>#N/A</v>
      </c>
      <c r="AY101" s="6" t="e">
        <v>#N/A</v>
      </c>
      <c r="AZ101" s="6" t="e">
        <v>#N/A</v>
      </c>
      <c r="BA101" s="6" t="e">
        <v>#N/A</v>
      </c>
      <c r="BB101" s="6" t="e">
        <v>#N/A</v>
      </c>
      <c r="BC101" s="6" t="e">
        <v>#N/A</v>
      </c>
      <c r="BD101" s="6" t="e">
        <v>#N/A</v>
      </c>
      <c r="BE101" s="6" t="e">
        <v>#N/A</v>
      </c>
      <c r="BF101" s="6" t="e">
        <v>#N/A</v>
      </c>
      <c r="BG101" s="6" t="e">
        <v>#N/A</v>
      </c>
      <c r="BH101" s="6" t="e">
        <v>#N/A</v>
      </c>
      <c r="BI101" s="6" t="e">
        <v>#N/A</v>
      </c>
      <c r="BJ101" s="6">
        <v>4.0999999999999996</v>
      </c>
      <c r="BK101" s="6">
        <v>4</v>
      </c>
      <c r="BL101" s="6">
        <v>3.9</v>
      </c>
      <c r="BM101" s="6">
        <v>3.9</v>
      </c>
      <c r="BN101" s="6">
        <v>3.9</v>
      </c>
      <c r="BO101" s="6">
        <v>3.9</v>
      </c>
      <c r="BP101" s="6">
        <v>3.9</v>
      </c>
      <c r="BQ101" s="6">
        <v>3.9</v>
      </c>
      <c r="BR101" s="6">
        <v>3.9</v>
      </c>
      <c r="BS101" s="6">
        <v>3.9</v>
      </c>
      <c r="BT101" s="6">
        <v>3.9</v>
      </c>
      <c r="BU101" s="6">
        <v>3.9</v>
      </c>
      <c r="BV101" s="6">
        <v>3.9</v>
      </c>
      <c r="BW101" s="6">
        <v>3.9</v>
      </c>
    </row>
    <row r="102" spans="1:87" x14ac:dyDescent="0.35">
      <c r="A102" s="1"/>
      <c r="B102" s="4">
        <v>43405</v>
      </c>
      <c r="C102" s="5" t="s">
        <v>561</v>
      </c>
      <c r="D102" t="s">
        <v>570</v>
      </c>
      <c r="E102" t="s">
        <v>523</v>
      </c>
      <c r="F102" t="s">
        <v>555</v>
      </c>
      <c r="G102" t="s">
        <v>1009</v>
      </c>
      <c r="H102" t="s">
        <v>566</v>
      </c>
      <c r="I102" s="6" t="e">
        <v>#N/A</v>
      </c>
      <c r="J102" s="6" t="e">
        <v>#N/A</v>
      </c>
      <c r="K102" s="6" t="e">
        <v>#N/A</v>
      </c>
      <c r="L102" s="6" t="e">
        <v>#N/A</v>
      </c>
      <c r="M102" s="6" t="e">
        <v>#N/A</v>
      </c>
      <c r="N102" s="6" t="e">
        <v>#N/A</v>
      </c>
      <c r="O102" s="6" t="e">
        <v>#N/A</v>
      </c>
      <c r="P102" s="6" t="e">
        <v>#N/A</v>
      </c>
      <c r="Q102" s="6" t="e">
        <v>#N/A</v>
      </c>
      <c r="R102" s="6" t="e">
        <v>#N/A</v>
      </c>
      <c r="S102" s="6" t="e">
        <v>#N/A</v>
      </c>
      <c r="T102" s="6" t="e">
        <v>#N/A</v>
      </c>
      <c r="U102" s="6" t="e">
        <v>#N/A</v>
      </c>
      <c r="V102" s="6" t="e">
        <v>#N/A</v>
      </c>
      <c r="W102" s="6" t="e">
        <v>#N/A</v>
      </c>
      <c r="X102" s="6" t="e">
        <v>#N/A</v>
      </c>
      <c r="Y102" s="6" t="e">
        <v>#N/A</v>
      </c>
      <c r="Z102" s="6" t="e">
        <v>#N/A</v>
      </c>
      <c r="AA102" s="6" t="e">
        <v>#N/A</v>
      </c>
      <c r="AB102" s="6" t="e">
        <v>#N/A</v>
      </c>
      <c r="AC102" s="6" t="e">
        <v>#N/A</v>
      </c>
      <c r="AD102" s="6" t="e">
        <v>#N/A</v>
      </c>
      <c r="AE102" s="6" t="e">
        <v>#N/A</v>
      </c>
      <c r="AF102" s="6" t="e">
        <v>#N/A</v>
      </c>
      <c r="AG102" s="6" t="e">
        <v>#N/A</v>
      </c>
      <c r="AH102" s="6" t="e">
        <v>#N/A</v>
      </c>
      <c r="AI102" s="6" t="e">
        <v>#N/A</v>
      </c>
      <c r="AJ102" s="6" t="e">
        <v>#N/A</v>
      </c>
      <c r="AK102" s="6" t="e">
        <v>#N/A</v>
      </c>
      <c r="AL102" s="6" t="e">
        <v>#N/A</v>
      </c>
      <c r="AM102" s="6" t="e">
        <v>#N/A</v>
      </c>
      <c r="AN102" s="6" t="e">
        <v>#N/A</v>
      </c>
      <c r="AO102" s="6" t="e">
        <v>#N/A</v>
      </c>
      <c r="AP102" s="6" t="e">
        <v>#N/A</v>
      </c>
      <c r="AQ102" s="6" t="e">
        <v>#N/A</v>
      </c>
      <c r="AR102" s="6" t="e">
        <v>#N/A</v>
      </c>
      <c r="AS102" s="6" t="e">
        <v>#N/A</v>
      </c>
      <c r="AT102" s="6" t="e">
        <v>#N/A</v>
      </c>
      <c r="AU102" s="6" t="e">
        <v>#N/A</v>
      </c>
      <c r="AV102" s="6" t="e">
        <v>#N/A</v>
      </c>
      <c r="AW102" s="6" t="e">
        <v>#N/A</v>
      </c>
      <c r="AX102" s="6" t="e">
        <v>#N/A</v>
      </c>
      <c r="AY102" s="6" t="e">
        <v>#N/A</v>
      </c>
      <c r="AZ102" s="6" t="e">
        <v>#N/A</v>
      </c>
      <c r="BA102" s="6" t="e">
        <v>#N/A</v>
      </c>
      <c r="BB102" s="6" t="e">
        <v>#N/A</v>
      </c>
      <c r="BC102" s="6" t="e">
        <v>#N/A</v>
      </c>
      <c r="BD102" s="6" t="e">
        <v>#N/A</v>
      </c>
      <c r="BE102" s="6" t="e">
        <v>#N/A</v>
      </c>
      <c r="BF102" s="6" t="e">
        <v>#N/A</v>
      </c>
      <c r="BG102" s="6" t="e">
        <v>#N/A</v>
      </c>
      <c r="BH102" s="6" t="e">
        <v>#N/A</v>
      </c>
      <c r="BI102" s="6" t="e">
        <v>#N/A</v>
      </c>
      <c r="BJ102" s="6" t="e">
        <v>#N/A</v>
      </c>
      <c r="BK102" s="6">
        <v>4</v>
      </c>
      <c r="BL102" s="6">
        <v>3.9</v>
      </c>
      <c r="BM102" s="6">
        <v>3.9</v>
      </c>
      <c r="BN102" s="6">
        <v>3.9</v>
      </c>
      <c r="BO102" s="6">
        <v>3.9</v>
      </c>
      <c r="BP102" s="6">
        <v>3.9</v>
      </c>
      <c r="BQ102" s="6">
        <v>3.9</v>
      </c>
      <c r="BR102" s="6">
        <v>3.9</v>
      </c>
      <c r="BS102" s="6">
        <v>3.9</v>
      </c>
      <c r="BT102" s="6">
        <v>3.9</v>
      </c>
      <c r="BU102" s="6">
        <v>3.9</v>
      </c>
      <c r="BV102" s="6">
        <v>3.9</v>
      </c>
      <c r="BW102" s="6">
        <v>3.9</v>
      </c>
      <c r="BX102" s="6">
        <v>3.9</v>
      </c>
    </row>
    <row r="103" spans="1:87" x14ac:dyDescent="0.35">
      <c r="A103" s="1"/>
      <c r="B103" s="4">
        <v>43497</v>
      </c>
      <c r="C103" s="5" t="s">
        <v>579</v>
      </c>
      <c r="D103" t="s">
        <v>587</v>
      </c>
      <c r="E103" t="s">
        <v>567</v>
      </c>
      <c r="F103" t="s">
        <v>572</v>
      </c>
      <c r="G103" t="s">
        <v>1009</v>
      </c>
      <c r="H103" t="s">
        <v>581</v>
      </c>
      <c r="I103" s="6" t="e">
        <v>#N/A</v>
      </c>
      <c r="J103" s="6" t="e">
        <v>#N/A</v>
      </c>
      <c r="K103" s="6" t="e">
        <v>#N/A</v>
      </c>
      <c r="L103" s="6" t="e">
        <v>#N/A</v>
      </c>
      <c r="M103" s="6" t="e">
        <v>#N/A</v>
      </c>
      <c r="N103" s="6" t="e">
        <v>#N/A</v>
      </c>
      <c r="O103" s="6" t="e">
        <v>#N/A</v>
      </c>
      <c r="P103" s="6" t="e">
        <v>#N/A</v>
      </c>
      <c r="Q103" s="6" t="e">
        <v>#N/A</v>
      </c>
      <c r="R103" s="6" t="e">
        <v>#N/A</v>
      </c>
      <c r="S103" s="6" t="e">
        <v>#N/A</v>
      </c>
      <c r="T103" s="6" t="e">
        <v>#N/A</v>
      </c>
      <c r="U103" s="6" t="e">
        <v>#N/A</v>
      </c>
      <c r="V103" s="6" t="e">
        <v>#N/A</v>
      </c>
      <c r="W103" s="6" t="e">
        <v>#N/A</v>
      </c>
      <c r="X103" s="6" t="e">
        <v>#N/A</v>
      </c>
      <c r="Y103" s="6" t="e">
        <v>#N/A</v>
      </c>
      <c r="Z103" s="6" t="e">
        <v>#N/A</v>
      </c>
      <c r="AA103" s="6" t="e">
        <v>#N/A</v>
      </c>
      <c r="AB103" s="6" t="e">
        <v>#N/A</v>
      </c>
      <c r="AC103" s="6" t="e">
        <v>#N/A</v>
      </c>
      <c r="AD103" s="6" t="e">
        <v>#N/A</v>
      </c>
      <c r="AE103" s="6" t="e">
        <v>#N/A</v>
      </c>
      <c r="AF103" s="6" t="e">
        <v>#N/A</v>
      </c>
      <c r="AG103" s="6" t="e">
        <v>#N/A</v>
      </c>
      <c r="AH103" s="6" t="e">
        <v>#N/A</v>
      </c>
      <c r="AI103" s="6" t="e">
        <v>#N/A</v>
      </c>
      <c r="AJ103" s="6" t="e">
        <v>#N/A</v>
      </c>
      <c r="AK103" s="6" t="e">
        <v>#N/A</v>
      </c>
      <c r="AL103" s="6" t="e">
        <v>#N/A</v>
      </c>
      <c r="AM103" s="6" t="e">
        <v>#N/A</v>
      </c>
      <c r="AN103" s="6" t="e">
        <v>#N/A</v>
      </c>
      <c r="AO103" s="6" t="e">
        <v>#N/A</v>
      </c>
      <c r="AP103" s="6" t="e">
        <v>#N/A</v>
      </c>
      <c r="AQ103" s="6" t="e">
        <v>#N/A</v>
      </c>
      <c r="AR103" s="6" t="e">
        <v>#N/A</v>
      </c>
      <c r="AS103" s="6" t="e">
        <v>#N/A</v>
      </c>
      <c r="AT103" s="6" t="e">
        <v>#N/A</v>
      </c>
      <c r="AU103" s="6" t="e">
        <v>#N/A</v>
      </c>
      <c r="AV103" s="6" t="e">
        <v>#N/A</v>
      </c>
      <c r="AW103" s="6" t="e">
        <v>#N/A</v>
      </c>
      <c r="AX103" s="6" t="e">
        <v>#N/A</v>
      </c>
      <c r="AY103" s="6" t="e">
        <v>#N/A</v>
      </c>
      <c r="AZ103" s="6" t="e">
        <v>#N/A</v>
      </c>
      <c r="BA103" s="6" t="e">
        <v>#N/A</v>
      </c>
      <c r="BB103" s="6" t="e">
        <v>#N/A</v>
      </c>
      <c r="BC103" s="6" t="e">
        <v>#N/A</v>
      </c>
      <c r="BD103" s="6" t="e">
        <v>#N/A</v>
      </c>
      <c r="BE103" s="6" t="e">
        <v>#N/A</v>
      </c>
      <c r="BF103" s="6" t="e">
        <v>#N/A</v>
      </c>
      <c r="BG103" s="6" t="e">
        <v>#N/A</v>
      </c>
      <c r="BH103" s="6" t="e">
        <v>#N/A</v>
      </c>
      <c r="BI103" s="6" t="e">
        <v>#N/A</v>
      </c>
      <c r="BJ103" s="6" t="e">
        <v>#N/A</v>
      </c>
      <c r="BK103" s="6" t="e">
        <v>#N/A</v>
      </c>
      <c r="BL103" s="6">
        <v>4</v>
      </c>
      <c r="BM103" s="6">
        <v>3.9</v>
      </c>
      <c r="BN103" s="6">
        <v>4</v>
      </c>
      <c r="BO103" s="6">
        <v>4.0999999999999996</v>
      </c>
      <c r="BP103" s="6">
        <v>4.0999999999999996</v>
      </c>
      <c r="BQ103" s="6">
        <v>4.0999999999999996</v>
      </c>
      <c r="BR103" s="6">
        <v>4.0999999999999996</v>
      </c>
      <c r="BS103" s="6">
        <v>4.0999999999999996</v>
      </c>
      <c r="BT103" s="6">
        <v>4.0999999999999996</v>
      </c>
      <c r="BU103" s="6">
        <v>4.0999999999999996</v>
      </c>
      <c r="BV103" s="6">
        <v>4</v>
      </c>
      <c r="BW103" s="6">
        <v>4</v>
      </c>
      <c r="BX103" s="6">
        <v>3.9</v>
      </c>
      <c r="BY103" s="6">
        <v>3.8</v>
      </c>
    </row>
    <row r="104" spans="1:87" x14ac:dyDescent="0.35">
      <c r="A104" s="1"/>
      <c r="B104" s="4">
        <v>43586</v>
      </c>
      <c r="C104" s="5" t="s">
        <v>594</v>
      </c>
      <c r="D104" t="s">
        <v>602</v>
      </c>
      <c r="E104" t="s">
        <v>584</v>
      </c>
      <c r="F104" t="s">
        <v>588</v>
      </c>
      <c r="G104" t="s">
        <v>1009</v>
      </c>
      <c r="H104" t="s">
        <v>596</v>
      </c>
      <c r="I104" s="6" t="e">
        <v>#N/A</v>
      </c>
      <c r="J104" s="6" t="e">
        <v>#N/A</v>
      </c>
      <c r="K104" s="6" t="e">
        <v>#N/A</v>
      </c>
      <c r="L104" s="6" t="e">
        <v>#N/A</v>
      </c>
      <c r="M104" s="6" t="e">
        <v>#N/A</v>
      </c>
      <c r="N104" s="6" t="e">
        <v>#N/A</v>
      </c>
      <c r="O104" s="6" t="e">
        <v>#N/A</v>
      </c>
      <c r="P104" s="6" t="e">
        <v>#N/A</v>
      </c>
      <c r="Q104" s="6" t="e">
        <v>#N/A</v>
      </c>
      <c r="R104" s="6" t="e">
        <v>#N/A</v>
      </c>
      <c r="S104" s="6" t="e">
        <v>#N/A</v>
      </c>
      <c r="T104" s="6" t="e">
        <v>#N/A</v>
      </c>
      <c r="U104" s="6" t="e">
        <v>#N/A</v>
      </c>
      <c r="V104" s="6" t="e">
        <v>#N/A</v>
      </c>
      <c r="W104" s="6" t="e">
        <v>#N/A</v>
      </c>
      <c r="X104" s="6" t="e">
        <v>#N/A</v>
      </c>
      <c r="Y104" s="6" t="e">
        <v>#N/A</v>
      </c>
      <c r="Z104" s="6" t="e">
        <v>#N/A</v>
      </c>
      <c r="AA104" s="6" t="e">
        <v>#N/A</v>
      </c>
      <c r="AB104" s="6" t="e">
        <v>#N/A</v>
      </c>
      <c r="AC104" s="6" t="e">
        <v>#N/A</v>
      </c>
      <c r="AD104" s="6" t="e">
        <v>#N/A</v>
      </c>
      <c r="AE104" s="6" t="e">
        <v>#N/A</v>
      </c>
      <c r="AF104" s="6" t="e">
        <v>#N/A</v>
      </c>
      <c r="AG104" s="6" t="e">
        <v>#N/A</v>
      </c>
      <c r="AH104" s="6" t="e">
        <v>#N/A</v>
      </c>
      <c r="AI104" s="6" t="e">
        <v>#N/A</v>
      </c>
      <c r="AJ104" s="6" t="e">
        <v>#N/A</v>
      </c>
      <c r="AK104" s="6" t="e">
        <v>#N/A</v>
      </c>
      <c r="AL104" s="6" t="e">
        <v>#N/A</v>
      </c>
      <c r="AM104" s="6" t="e">
        <v>#N/A</v>
      </c>
      <c r="AN104" s="6" t="e">
        <v>#N/A</v>
      </c>
      <c r="AO104" s="6" t="e">
        <v>#N/A</v>
      </c>
      <c r="AP104" s="6" t="e">
        <v>#N/A</v>
      </c>
      <c r="AQ104" s="6" t="e">
        <v>#N/A</v>
      </c>
      <c r="AR104" s="6" t="e">
        <v>#N/A</v>
      </c>
      <c r="AS104" s="6" t="e">
        <v>#N/A</v>
      </c>
      <c r="AT104" s="6" t="e">
        <v>#N/A</v>
      </c>
      <c r="AU104" s="6" t="e">
        <v>#N/A</v>
      </c>
      <c r="AV104" s="6" t="e">
        <v>#N/A</v>
      </c>
      <c r="AW104" s="6" t="e">
        <v>#N/A</v>
      </c>
      <c r="AX104" s="6" t="e">
        <v>#N/A</v>
      </c>
      <c r="AY104" s="6" t="e">
        <v>#N/A</v>
      </c>
      <c r="AZ104" s="6" t="e">
        <v>#N/A</v>
      </c>
      <c r="BA104" s="6" t="e">
        <v>#N/A</v>
      </c>
      <c r="BB104" s="6" t="e">
        <v>#N/A</v>
      </c>
      <c r="BC104" s="6" t="e">
        <v>#N/A</v>
      </c>
      <c r="BD104" s="6" t="e">
        <v>#N/A</v>
      </c>
      <c r="BE104" s="6" t="e">
        <v>#N/A</v>
      </c>
      <c r="BF104" s="6" t="e">
        <v>#N/A</v>
      </c>
      <c r="BG104" s="6" t="e">
        <v>#N/A</v>
      </c>
      <c r="BH104" s="6" t="e">
        <v>#N/A</v>
      </c>
      <c r="BI104" s="6" t="e">
        <v>#N/A</v>
      </c>
      <c r="BJ104" s="6" t="e">
        <v>#N/A</v>
      </c>
      <c r="BK104" s="6" t="e">
        <v>#N/A</v>
      </c>
      <c r="BL104" s="6" t="e">
        <v>#N/A</v>
      </c>
      <c r="BM104" s="6">
        <v>3.9</v>
      </c>
      <c r="BN104" s="6">
        <v>3.8</v>
      </c>
      <c r="BO104" s="6">
        <v>3.7</v>
      </c>
      <c r="BP104" s="6">
        <v>3.8</v>
      </c>
      <c r="BQ104" s="6">
        <v>3.8</v>
      </c>
      <c r="BR104" s="6">
        <v>3.9</v>
      </c>
      <c r="BS104" s="6">
        <v>3.9</v>
      </c>
      <c r="BT104" s="6">
        <v>3.8</v>
      </c>
      <c r="BU104" s="6">
        <v>3.8</v>
      </c>
      <c r="BV104" s="6">
        <v>3.7</v>
      </c>
      <c r="BW104" s="6">
        <v>3.6</v>
      </c>
      <c r="BX104" s="6">
        <v>3.6</v>
      </c>
      <c r="BY104" s="6">
        <v>3.5</v>
      </c>
      <c r="BZ104" s="6">
        <v>3.5</v>
      </c>
    </row>
    <row r="105" spans="1:87" x14ac:dyDescent="0.35">
      <c r="A105" s="1"/>
      <c r="B105" s="4">
        <v>43678</v>
      </c>
      <c r="C105" s="5" t="s">
        <v>609</v>
      </c>
      <c r="D105" t="s">
        <v>617</v>
      </c>
      <c r="E105" t="s">
        <v>599</v>
      </c>
      <c r="F105" t="s">
        <v>603</v>
      </c>
      <c r="G105" t="s">
        <v>1009</v>
      </c>
      <c r="H105" t="s">
        <v>611</v>
      </c>
      <c r="I105" s="6" t="e">
        <v>#N/A</v>
      </c>
      <c r="J105" s="6" t="e">
        <v>#N/A</v>
      </c>
      <c r="K105" s="6" t="e">
        <v>#N/A</v>
      </c>
      <c r="L105" s="6" t="e">
        <v>#N/A</v>
      </c>
      <c r="M105" s="6" t="e">
        <v>#N/A</v>
      </c>
      <c r="N105" s="6" t="e">
        <v>#N/A</v>
      </c>
      <c r="O105" s="6" t="e">
        <v>#N/A</v>
      </c>
      <c r="P105" s="6" t="e">
        <v>#N/A</v>
      </c>
      <c r="Q105" s="6" t="e">
        <v>#N/A</v>
      </c>
      <c r="R105" s="6" t="e">
        <v>#N/A</v>
      </c>
      <c r="S105" s="6" t="e">
        <v>#N/A</v>
      </c>
      <c r="T105" s="6" t="e">
        <v>#N/A</v>
      </c>
      <c r="U105" s="6" t="e">
        <v>#N/A</v>
      </c>
      <c r="V105" s="6" t="e">
        <v>#N/A</v>
      </c>
      <c r="W105" s="6" t="e">
        <v>#N/A</v>
      </c>
      <c r="X105" s="6" t="e">
        <v>#N/A</v>
      </c>
      <c r="Y105" s="6" t="e">
        <v>#N/A</v>
      </c>
      <c r="Z105" s="6" t="e">
        <v>#N/A</v>
      </c>
      <c r="AA105" s="6" t="e">
        <v>#N/A</v>
      </c>
      <c r="AB105" s="6" t="e">
        <v>#N/A</v>
      </c>
      <c r="AC105" s="6" t="e">
        <v>#N/A</v>
      </c>
      <c r="AD105" s="6" t="e">
        <v>#N/A</v>
      </c>
      <c r="AE105" s="6" t="e">
        <v>#N/A</v>
      </c>
      <c r="AF105" s="6" t="e">
        <v>#N/A</v>
      </c>
      <c r="AG105" s="6" t="e">
        <v>#N/A</v>
      </c>
      <c r="AH105" s="6" t="e">
        <v>#N/A</v>
      </c>
      <c r="AI105" s="6" t="e">
        <v>#N/A</v>
      </c>
      <c r="AJ105" s="6" t="e">
        <v>#N/A</v>
      </c>
      <c r="AK105" s="6" t="e">
        <v>#N/A</v>
      </c>
      <c r="AL105" s="6" t="e">
        <v>#N/A</v>
      </c>
      <c r="AM105" s="6" t="e">
        <v>#N/A</v>
      </c>
      <c r="AN105" s="6" t="e">
        <v>#N/A</v>
      </c>
      <c r="AO105" s="6" t="e">
        <v>#N/A</v>
      </c>
      <c r="AP105" s="6" t="e">
        <v>#N/A</v>
      </c>
      <c r="AQ105" s="6" t="e">
        <v>#N/A</v>
      </c>
      <c r="AR105" s="6" t="e">
        <v>#N/A</v>
      </c>
      <c r="AS105" s="6" t="e">
        <v>#N/A</v>
      </c>
      <c r="AT105" s="6" t="e">
        <v>#N/A</v>
      </c>
      <c r="AU105" s="6" t="e">
        <v>#N/A</v>
      </c>
      <c r="AV105" s="6" t="e">
        <v>#N/A</v>
      </c>
      <c r="AW105" s="6" t="e">
        <v>#N/A</v>
      </c>
      <c r="AX105" s="6" t="e">
        <v>#N/A</v>
      </c>
      <c r="AY105" s="6" t="e">
        <v>#N/A</v>
      </c>
      <c r="AZ105" s="6" t="e">
        <v>#N/A</v>
      </c>
      <c r="BA105" s="6" t="e">
        <v>#N/A</v>
      </c>
      <c r="BB105" s="6" t="e">
        <v>#N/A</v>
      </c>
      <c r="BC105" s="6" t="e">
        <v>#N/A</v>
      </c>
      <c r="BD105" s="6" t="e">
        <v>#N/A</v>
      </c>
      <c r="BE105" s="6" t="e">
        <v>#N/A</v>
      </c>
      <c r="BF105" s="6" t="e">
        <v>#N/A</v>
      </c>
      <c r="BG105" s="6" t="e">
        <v>#N/A</v>
      </c>
      <c r="BH105" s="6" t="e">
        <v>#N/A</v>
      </c>
      <c r="BI105" s="6" t="e">
        <v>#N/A</v>
      </c>
      <c r="BJ105" s="6" t="e">
        <v>#N/A</v>
      </c>
      <c r="BK105" s="6" t="e">
        <v>#N/A</v>
      </c>
      <c r="BL105" s="6" t="e">
        <v>#N/A</v>
      </c>
      <c r="BM105" s="6" t="e">
        <v>#N/A</v>
      </c>
      <c r="BN105" s="6">
        <v>3.8</v>
      </c>
      <c r="BO105" s="6">
        <v>3.7</v>
      </c>
      <c r="BP105" s="6">
        <v>3.8</v>
      </c>
      <c r="BQ105" s="6">
        <v>3.9</v>
      </c>
      <c r="BR105" s="6">
        <v>4</v>
      </c>
      <c r="BS105" s="6">
        <v>4</v>
      </c>
      <c r="BT105" s="6">
        <v>3.9</v>
      </c>
      <c r="BU105" s="6">
        <v>3.9</v>
      </c>
      <c r="BV105" s="6">
        <v>3.8</v>
      </c>
      <c r="BW105" s="6">
        <v>3.7</v>
      </c>
      <c r="BX105" s="6">
        <v>3.6</v>
      </c>
      <c r="BY105" s="6">
        <v>3.5</v>
      </c>
      <c r="BZ105" s="6">
        <v>3.4</v>
      </c>
      <c r="CA105" s="6">
        <v>3.3</v>
      </c>
    </row>
    <row r="106" spans="1:87" x14ac:dyDescent="0.35">
      <c r="A106" s="1"/>
      <c r="B106" s="4">
        <v>43770</v>
      </c>
      <c r="C106" s="5" t="s">
        <v>631</v>
      </c>
      <c r="D106" t="s">
        <v>635</v>
      </c>
      <c r="E106" t="s">
        <v>614</v>
      </c>
      <c r="F106" t="s">
        <v>618</v>
      </c>
      <c r="G106" t="s">
        <v>1009</v>
      </c>
      <c r="H106" t="s">
        <v>623</v>
      </c>
      <c r="I106" s="6" t="e">
        <v>#N/A</v>
      </c>
      <c r="J106" s="6" t="e">
        <v>#N/A</v>
      </c>
      <c r="K106" s="6" t="e">
        <v>#N/A</v>
      </c>
      <c r="L106" s="6" t="e">
        <v>#N/A</v>
      </c>
      <c r="M106" s="6" t="e">
        <v>#N/A</v>
      </c>
      <c r="N106" s="6" t="e">
        <v>#N/A</v>
      </c>
      <c r="O106" s="6" t="e">
        <v>#N/A</v>
      </c>
      <c r="P106" s="6" t="e">
        <v>#N/A</v>
      </c>
      <c r="Q106" s="6" t="e">
        <v>#N/A</v>
      </c>
      <c r="R106" s="6" t="e">
        <v>#N/A</v>
      </c>
      <c r="S106" s="6" t="e">
        <v>#N/A</v>
      </c>
      <c r="T106" s="6" t="e">
        <v>#N/A</v>
      </c>
      <c r="U106" s="6" t="e">
        <v>#N/A</v>
      </c>
      <c r="V106" s="6" t="e">
        <v>#N/A</v>
      </c>
      <c r="W106" s="6" t="e">
        <v>#N/A</v>
      </c>
      <c r="X106" s="6" t="e">
        <v>#N/A</v>
      </c>
      <c r="Y106" s="6" t="e">
        <v>#N/A</v>
      </c>
      <c r="Z106" s="6" t="e">
        <v>#N/A</v>
      </c>
      <c r="AA106" s="6" t="e">
        <v>#N/A</v>
      </c>
      <c r="AB106" s="6" t="e">
        <v>#N/A</v>
      </c>
      <c r="AC106" s="6" t="e">
        <v>#N/A</v>
      </c>
      <c r="AD106" s="6" t="e">
        <v>#N/A</v>
      </c>
      <c r="AE106" s="6" t="e">
        <v>#N/A</v>
      </c>
      <c r="AF106" s="6" t="e">
        <v>#N/A</v>
      </c>
      <c r="AG106" s="6" t="e">
        <v>#N/A</v>
      </c>
      <c r="AH106" s="6" t="e">
        <v>#N/A</v>
      </c>
      <c r="AI106" s="6" t="e">
        <v>#N/A</v>
      </c>
      <c r="AJ106" s="6" t="e">
        <v>#N/A</v>
      </c>
      <c r="AK106" s="6" t="e">
        <v>#N/A</v>
      </c>
      <c r="AL106" s="6" t="e">
        <v>#N/A</v>
      </c>
      <c r="AM106" s="6" t="e">
        <v>#N/A</v>
      </c>
      <c r="AN106" s="6" t="e">
        <v>#N/A</v>
      </c>
      <c r="AO106" s="6" t="e">
        <v>#N/A</v>
      </c>
      <c r="AP106" s="6" t="e">
        <v>#N/A</v>
      </c>
      <c r="AQ106" s="6" t="e">
        <v>#N/A</v>
      </c>
      <c r="AR106" s="6" t="e">
        <v>#N/A</v>
      </c>
      <c r="AS106" s="6" t="e">
        <v>#N/A</v>
      </c>
      <c r="AT106" s="6" t="e">
        <v>#N/A</v>
      </c>
      <c r="AU106" s="6" t="e">
        <v>#N/A</v>
      </c>
      <c r="AV106" s="6" t="e">
        <v>#N/A</v>
      </c>
      <c r="AW106" s="6" t="e">
        <v>#N/A</v>
      </c>
      <c r="AX106" s="6" t="e">
        <v>#N/A</v>
      </c>
      <c r="AY106" s="6" t="e">
        <v>#N/A</v>
      </c>
      <c r="AZ106" s="6" t="e">
        <v>#N/A</v>
      </c>
      <c r="BA106" s="6" t="e">
        <v>#N/A</v>
      </c>
      <c r="BB106" s="6" t="e">
        <v>#N/A</v>
      </c>
      <c r="BC106" s="6" t="e">
        <v>#N/A</v>
      </c>
      <c r="BD106" s="6" t="e">
        <v>#N/A</v>
      </c>
      <c r="BE106" s="6" t="e">
        <v>#N/A</v>
      </c>
      <c r="BF106" s="6" t="e">
        <v>#N/A</v>
      </c>
      <c r="BG106" s="6" t="e">
        <v>#N/A</v>
      </c>
      <c r="BH106" s="6" t="e">
        <v>#N/A</v>
      </c>
      <c r="BI106" s="6" t="e">
        <v>#N/A</v>
      </c>
      <c r="BJ106" s="6" t="e">
        <v>#N/A</v>
      </c>
      <c r="BK106" s="6" t="e">
        <v>#N/A</v>
      </c>
      <c r="BL106" s="6" t="e">
        <v>#N/A</v>
      </c>
      <c r="BM106" s="6" t="e">
        <v>#N/A</v>
      </c>
      <c r="BN106" s="6" t="e">
        <v>#N/A</v>
      </c>
      <c r="BO106" s="6">
        <v>3.8</v>
      </c>
      <c r="BP106" s="6">
        <v>3.9</v>
      </c>
      <c r="BQ106" s="6">
        <v>4</v>
      </c>
      <c r="BR106" s="6">
        <v>4</v>
      </c>
      <c r="BS106" s="6">
        <v>4</v>
      </c>
      <c r="BT106" s="6">
        <v>4</v>
      </c>
      <c r="BU106" s="6">
        <v>3.9</v>
      </c>
      <c r="BV106" s="6">
        <v>3.9</v>
      </c>
      <c r="BW106" s="6">
        <v>3.8</v>
      </c>
      <c r="BX106" s="6">
        <v>3.8</v>
      </c>
      <c r="BY106" s="6">
        <v>3.7</v>
      </c>
      <c r="BZ106" s="6">
        <v>3.7</v>
      </c>
      <c r="CA106" s="6">
        <v>3.6</v>
      </c>
      <c r="CB106" s="6">
        <v>3.5</v>
      </c>
    </row>
    <row r="107" spans="1:87" x14ac:dyDescent="0.35">
      <c r="A107" s="1"/>
      <c r="B107" s="4">
        <v>43831</v>
      </c>
      <c r="C107" s="5" t="s">
        <v>645</v>
      </c>
      <c r="D107" t="s">
        <v>651</v>
      </c>
      <c r="E107" t="s">
        <v>626</v>
      </c>
      <c r="F107" t="s">
        <v>627</v>
      </c>
      <c r="G107" t="s">
        <v>1009</v>
      </c>
      <c r="H107" t="s">
        <v>647</v>
      </c>
      <c r="I107" s="6" t="e">
        <v>#N/A</v>
      </c>
      <c r="J107" s="6" t="e">
        <v>#N/A</v>
      </c>
      <c r="K107" s="6" t="e">
        <v>#N/A</v>
      </c>
      <c r="L107" s="6" t="e">
        <v>#N/A</v>
      </c>
      <c r="M107" s="6" t="e">
        <v>#N/A</v>
      </c>
      <c r="N107" s="6" t="e">
        <v>#N/A</v>
      </c>
      <c r="O107" s="6" t="e">
        <v>#N/A</v>
      </c>
      <c r="P107" s="6" t="e">
        <v>#N/A</v>
      </c>
      <c r="Q107" s="6" t="e">
        <v>#N/A</v>
      </c>
      <c r="R107" s="6" t="e">
        <v>#N/A</v>
      </c>
      <c r="S107" s="6" t="e">
        <v>#N/A</v>
      </c>
      <c r="T107" s="6" t="e">
        <v>#N/A</v>
      </c>
      <c r="U107" s="6" t="e">
        <v>#N/A</v>
      </c>
      <c r="V107" s="6" t="e">
        <v>#N/A</v>
      </c>
      <c r="W107" s="6" t="e">
        <v>#N/A</v>
      </c>
      <c r="X107" s="6" t="e">
        <v>#N/A</v>
      </c>
      <c r="Y107" s="6" t="e">
        <v>#N/A</v>
      </c>
      <c r="Z107" s="6" t="e">
        <v>#N/A</v>
      </c>
      <c r="AA107" s="6" t="e">
        <v>#N/A</v>
      </c>
      <c r="AB107" s="6" t="e">
        <v>#N/A</v>
      </c>
      <c r="AC107" s="6" t="e">
        <v>#N/A</v>
      </c>
      <c r="AD107" s="6" t="e">
        <v>#N/A</v>
      </c>
      <c r="AE107" s="6" t="e">
        <v>#N/A</v>
      </c>
      <c r="AF107" s="6" t="e">
        <v>#N/A</v>
      </c>
      <c r="AG107" s="6" t="e">
        <v>#N/A</v>
      </c>
      <c r="AH107" s="6" t="e">
        <v>#N/A</v>
      </c>
      <c r="AI107" s="6" t="e">
        <v>#N/A</v>
      </c>
      <c r="AJ107" s="6" t="e">
        <v>#N/A</v>
      </c>
      <c r="AK107" s="6" t="e">
        <v>#N/A</v>
      </c>
      <c r="AL107" s="6" t="e">
        <v>#N/A</v>
      </c>
      <c r="AM107" s="6" t="e">
        <v>#N/A</v>
      </c>
      <c r="AN107" s="6" t="e">
        <v>#N/A</v>
      </c>
      <c r="AO107" s="6" t="e">
        <v>#N/A</v>
      </c>
      <c r="AP107" s="6" t="e">
        <v>#N/A</v>
      </c>
      <c r="AQ107" s="6" t="e">
        <v>#N/A</v>
      </c>
      <c r="AR107" s="6" t="e">
        <v>#N/A</v>
      </c>
      <c r="AS107" s="6" t="e">
        <v>#N/A</v>
      </c>
      <c r="AT107" s="6" t="e">
        <v>#N/A</v>
      </c>
      <c r="AU107" s="6" t="e">
        <v>#N/A</v>
      </c>
      <c r="AV107" s="6" t="e">
        <v>#N/A</v>
      </c>
      <c r="AW107" s="6" t="e">
        <v>#N/A</v>
      </c>
      <c r="AX107" s="6" t="e">
        <v>#N/A</v>
      </c>
      <c r="AY107" s="6" t="e">
        <v>#N/A</v>
      </c>
      <c r="AZ107" s="6" t="e">
        <v>#N/A</v>
      </c>
      <c r="BA107" s="6" t="e">
        <v>#N/A</v>
      </c>
      <c r="BB107" s="6" t="e">
        <v>#N/A</v>
      </c>
      <c r="BC107" s="6" t="e">
        <v>#N/A</v>
      </c>
      <c r="BD107" s="6" t="e">
        <v>#N/A</v>
      </c>
      <c r="BE107" s="6" t="e">
        <v>#N/A</v>
      </c>
      <c r="BF107" s="6" t="e">
        <v>#N/A</v>
      </c>
      <c r="BG107" s="6" t="e">
        <v>#N/A</v>
      </c>
      <c r="BH107" s="6" t="e">
        <v>#N/A</v>
      </c>
      <c r="BI107" s="6" t="e">
        <v>#N/A</v>
      </c>
      <c r="BJ107" s="6" t="e">
        <v>#N/A</v>
      </c>
      <c r="BK107" s="6" t="e">
        <v>#N/A</v>
      </c>
      <c r="BL107" s="6" t="e">
        <v>#N/A</v>
      </c>
      <c r="BM107" s="6" t="e">
        <v>#N/A</v>
      </c>
      <c r="BN107" s="6" t="e">
        <v>#N/A</v>
      </c>
      <c r="BO107" s="6" t="e">
        <v>#N/A</v>
      </c>
      <c r="BP107" s="6">
        <v>3.8</v>
      </c>
      <c r="BQ107" s="6">
        <v>3.8</v>
      </c>
      <c r="BR107" s="6">
        <v>3.9</v>
      </c>
      <c r="BS107" s="6">
        <v>3.9</v>
      </c>
      <c r="BT107" s="6">
        <v>3.9</v>
      </c>
      <c r="BU107" s="6">
        <v>3.9</v>
      </c>
      <c r="BV107" s="6">
        <v>3.8</v>
      </c>
      <c r="BW107" s="6">
        <v>3.8</v>
      </c>
      <c r="BX107" s="6">
        <v>3.7</v>
      </c>
      <c r="BY107" s="6">
        <v>3.7</v>
      </c>
      <c r="BZ107" s="6">
        <v>3.7</v>
      </c>
      <c r="CA107" s="6">
        <v>3.6</v>
      </c>
      <c r="CB107" s="6">
        <v>3.6</v>
      </c>
      <c r="CC107" s="6">
        <v>3.5</v>
      </c>
    </row>
    <row r="108" spans="1:87" x14ac:dyDescent="0.35">
      <c r="A108" s="1"/>
      <c r="B108" s="4">
        <v>44044</v>
      </c>
      <c r="C108" s="5" t="s">
        <v>663</v>
      </c>
      <c r="D108" t="s">
        <v>666</v>
      </c>
      <c r="E108" t="s">
        <v>506</v>
      </c>
      <c r="F108" t="s">
        <v>655</v>
      </c>
      <c r="G108" t="s">
        <v>1009</v>
      </c>
      <c r="H108" t="s">
        <v>660</v>
      </c>
      <c r="I108" s="6" t="e">
        <v>#N/A</v>
      </c>
      <c r="J108" s="6" t="e">
        <v>#N/A</v>
      </c>
      <c r="K108" s="6" t="e">
        <v>#N/A</v>
      </c>
      <c r="L108" s="6" t="e">
        <v>#N/A</v>
      </c>
      <c r="M108" s="6" t="e">
        <v>#N/A</v>
      </c>
      <c r="N108" s="6" t="e">
        <v>#N/A</v>
      </c>
      <c r="O108" s="6" t="e">
        <v>#N/A</v>
      </c>
      <c r="P108" s="6" t="e">
        <v>#N/A</v>
      </c>
      <c r="Q108" s="6" t="e">
        <v>#N/A</v>
      </c>
      <c r="R108" s="6" t="e">
        <v>#N/A</v>
      </c>
      <c r="S108" s="6" t="e">
        <v>#N/A</v>
      </c>
      <c r="T108" s="6" t="e">
        <v>#N/A</v>
      </c>
      <c r="U108" s="6" t="e">
        <v>#N/A</v>
      </c>
      <c r="V108" s="6" t="e">
        <v>#N/A</v>
      </c>
      <c r="W108" s="6" t="e">
        <v>#N/A</v>
      </c>
      <c r="X108" s="6" t="e">
        <v>#N/A</v>
      </c>
      <c r="Y108" s="6" t="e">
        <v>#N/A</v>
      </c>
      <c r="Z108" s="6" t="e">
        <v>#N/A</v>
      </c>
      <c r="AA108" s="6" t="e">
        <v>#N/A</v>
      </c>
      <c r="AB108" s="6" t="e">
        <v>#N/A</v>
      </c>
      <c r="AC108" s="6" t="e">
        <v>#N/A</v>
      </c>
      <c r="AD108" s="6" t="e">
        <v>#N/A</v>
      </c>
      <c r="AE108" s="6" t="e">
        <v>#N/A</v>
      </c>
      <c r="AF108" s="6" t="e">
        <v>#N/A</v>
      </c>
      <c r="AG108" s="6" t="e">
        <v>#N/A</v>
      </c>
      <c r="AH108" s="6" t="e">
        <v>#N/A</v>
      </c>
      <c r="AI108" s="6" t="e">
        <v>#N/A</v>
      </c>
      <c r="AJ108" s="6" t="e">
        <v>#N/A</v>
      </c>
      <c r="AK108" s="6" t="e">
        <v>#N/A</v>
      </c>
      <c r="AL108" s="6" t="e">
        <v>#N/A</v>
      </c>
      <c r="AM108" s="6" t="e">
        <v>#N/A</v>
      </c>
      <c r="AN108" s="6" t="e">
        <v>#N/A</v>
      </c>
      <c r="AO108" s="6" t="e">
        <v>#N/A</v>
      </c>
      <c r="AP108" s="6" t="e">
        <v>#N/A</v>
      </c>
      <c r="AQ108" s="6" t="e">
        <v>#N/A</v>
      </c>
      <c r="AR108" s="6" t="e">
        <v>#N/A</v>
      </c>
      <c r="AS108" s="6" t="e">
        <v>#N/A</v>
      </c>
      <c r="AT108" s="6" t="e">
        <v>#N/A</v>
      </c>
      <c r="AU108" s="6" t="e">
        <v>#N/A</v>
      </c>
      <c r="AV108" s="6" t="e">
        <v>#N/A</v>
      </c>
      <c r="AW108" s="6" t="e">
        <v>#N/A</v>
      </c>
      <c r="AX108" s="6" t="e">
        <v>#N/A</v>
      </c>
      <c r="AY108" s="6" t="e">
        <v>#N/A</v>
      </c>
      <c r="AZ108" s="6" t="e">
        <v>#N/A</v>
      </c>
      <c r="BA108" s="6" t="e">
        <v>#N/A</v>
      </c>
      <c r="BB108" s="6" t="e">
        <v>#N/A</v>
      </c>
      <c r="BC108" s="6" t="e">
        <v>#N/A</v>
      </c>
      <c r="BD108" s="6" t="e">
        <v>#N/A</v>
      </c>
      <c r="BE108" s="6" t="e">
        <v>#N/A</v>
      </c>
      <c r="BF108" s="6" t="e">
        <v>#N/A</v>
      </c>
      <c r="BG108" s="6" t="e">
        <v>#N/A</v>
      </c>
      <c r="BH108" s="6" t="e">
        <v>#N/A</v>
      </c>
      <c r="BI108" s="6" t="e">
        <v>#N/A</v>
      </c>
      <c r="BJ108" s="6" t="e">
        <v>#N/A</v>
      </c>
      <c r="BK108" s="6" t="e">
        <v>#N/A</v>
      </c>
      <c r="BL108" s="6" t="e">
        <v>#N/A</v>
      </c>
      <c r="BM108" s="6" t="e">
        <v>#N/A</v>
      </c>
      <c r="BN108" s="6" t="e">
        <v>#N/A</v>
      </c>
      <c r="BO108" s="6" t="e">
        <v>#N/A</v>
      </c>
      <c r="BP108" s="6" t="e">
        <v>#N/A</v>
      </c>
      <c r="BQ108" s="6" t="e">
        <v>#N/A</v>
      </c>
      <c r="BR108" s="6">
        <v>4.0999999999999996</v>
      </c>
      <c r="BS108" s="6">
        <v>5.5</v>
      </c>
      <c r="BT108" s="6">
        <v>7.5</v>
      </c>
      <c r="BU108" s="6">
        <v>7.4</v>
      </c>
      <c r="BV108" s="6">
        <v>7.2</v>
      </c>
      <c r="BW108" s="6">
        <v>6.6</v>
      </c>
      <c r="BX108" s="6">
        <v>5.9</v>
      </c>
      <c r="BY108" s="6">
        <v>5.4</v>
      </c>
      <c r="BZ108" s="6">
        <v>5</v>
      </c>
      <c r="CA108" s="6">
        <v>4.7</v>
      </c>
      <c r="CB108" s="6">
        <v>4.5</v>
      </c>
      <c r="CC108" s="6">
        <v>4.3</v>
      </c>
      <c r="CD108" s="6">
        <v>4.0999999999999996</v>
      </c>
      <c r="CE108" s="6">
        <v>4</v>
      </c>
    </row>
    <row r="109" spans="1:87" x14ac:dyDescent="0.35">
      <c r="A109" s="1"/>
      <c r="B109" s="4">
        <v>44136</v>
      </c>
      <c r="C109" s="5" t="s">
        <v>676</v>
      </c>
      <c r="D109" t="s">
        <v>695</v>
      </c>
      <c r="E109" t="s">
        <v>509</v>
      </c>
      <c r="F109" t="s">
        <v>656</v>
      </c>
      <c r="G109" t="s">
        <v>1009</v>
      </c>
      <c r="H109" t="s">
        <v>682</v>
      </c>
      <c r="I109" s="6" t="e">
        <v>#N/A</v>
      </c>
      <c r="J109" s="6" t="e">
        <v>#N/A</v>
      </c>
      <c r="K109" s="6" t="e">
        <v>#N/A</v>
      </c>
      <c r="L109" s="6" t="e">
        <v>#N/A</v>
      </c>
      <c r="M109" s="6" t="e">
        <v>#N/A</v>
      </c>
      <c r="N109" s="6" t="e">
        <v>#N/A</v>
      </c>
      <c r="O109" s="6" t="e">
        <v>#N/A</v>
      </c>
      <c r="P109" s="6" t="e">
        <v>#N/A</v>
      </c>
      <c r="Q109" s="6" t="e">
        <v>#N/A</v>
      </c>
      <c r="R109" s="6" t="e">
        <v>#N/A</v>
      </c>
      <c r="S109" s="6" t="e">
        <v>#N/A</v>
      </c>
      <c r="T109" s="6" t="e">
        <v>#N/A</v>
      </c>
      <c r="U109" s="6" t="e">
        <v>#N/A</v>
      </c>
      <c r="V109" s="6" t="e">
        <v>#N/A</v>
      </c>
      <c r="W109" s="6" t="e">
        <v>#N/A</v>
      </c>
      <c r="X109" s="6" t="e">
        <v>#N/A</v>
      </c>
      <c r="Y109" s="6" t="e">
        <v>#N/A</v>
      </c>
      <c r="Z109" s="6" t="e">
        <v>#N/A</v>
      </c>
      <c r="AA109" s="6" t="e">
        <v>#N/A</v>
      </c>
      <c r="AB109" s="6" t="e">
        <v>#N/A</v>
      </c>
      <c r="AC109" s="6" t="e">
        <v>#N/A</v>
      </c>
      <c r="AD109" s="6" t="e">
        <v>#N/A</v>
      </c>
      <c r="AE109" s="6" t="e">
        <v>#N/A</v>
      </c>
      <c r="AF109" s="6" t="e">
        <v>#N/A</v>
      </c>
      <c r="AG109" s="6" t="e">
        <v>#N/A</v>
      </c>
      <c r="AH109" s="6" t="e">
        <v>#N/A</v>
      </c>
      <c r="AI109" s="6" t="e">
        <v>#N/A</v>
      </c>
      <c r="AJ109" s="6" t="e">
        <v>#N/A</v>
      </c>
      <c r="AK109" s="6" t="e">
        <v>#N/A</v>
      </c>
      <c r="AL109" s="6" t="e">
        <v>#N/A</v>
      </c>
      <c r="AM109" s="6" t="e">
        <v>#N/A</v>
      </c>
      <c r="AN109" s="6" t="e">
        <v>#N/A</v>
      </c>
      <c r="AO109" s="6" t="e">
        <v>#N/A</v>
      </c>
      <c r="AP109" s="6" t="e">
        <v>#N/A</v>
      </c>
      <c r="AQ109" s="6" t="e">
        <v>#N/A</v>
      </c>
      <c r="AR109" s="6" t="e">
        <v>#N/A</v>
      </c>
      <c r="AS109" s="6" t="e">
        <v>#N/A</v>
      </c>
      <c r="AT109" s="6" t="e">
        <v>#N/A</v>
      </c>
      <c r="AU109" s="6" t="e">
        <v>#N/A</v>
      </c>
      <c r="AV109" s="6" t="e">
        <v>#N/A</v>
      </c>
      <c r="AW109" s="6" t="e">
        <v>#N/A</v>
      </c>
      <c r="AX109" s="6" t="e">
        <v>#N/A</v>
      </c>
      <c r="AY109" s="6" t="e">
        <v>#N/A</v>
      </c>
      <c r="AZ109" s="6" t="e">
        <v>#N/A</v>
      </c>
      <c r="BA109" s="6" t="e">
        <v>#N/A</v>
      </c>
      <c r="BB109" s="6" t="e">
        <v>#N/A</v>
      </c>
      <c r="BC109" s="6" t="e">
        <v>#N/A</v>
      </c>
      <c r="BD109" s="6" t="e">
        <v>#N/A</v>
      </c>
      <c r="BE109" s="6" t="e">
        <v>#N/A</v>
      </c>
      <c r="BF109" s="6" t="e">
        <v>#N/A</v>
      </c>
      <c r="BG109" s="6" t="e">
        <v>#N/A</v>
      </c>
      <c r="BH109" s="6" t="e">
        <v>#N/A</v>
      </c>
      <c r="BI109" s="6" t="e">
        <v>#N/A</v>
      </c>
      <c r="BJ109" s="6" t="e">
        <v>#N/A</v>
      </c>
      <c r="BK109" s="6" t="e">
        <v>#N/A</v>
      </c>
      <c r="BL109" s="6" t="e">
        <v>#N/A</v>
      </c>
      <c r="BM109" s="6" t="e">
        <v>#N/A</v>
      </c>
      <c r="BN109" s="6" t="e">
        <v>#N/A</v>
      </c>
      <c r="BO109" s="6" t="e">
        <v>#N/A</v>
      </c>
      <c r="BP109" s="6" t="e">
        <v>#N/A</v>
      </c>
      <c r="BQ109" s="6" t="e">
        <v>#N/A</v>
      </c>
      <c r="BR109" s="6" t="e">
        <v>#N/A</v>
      </c>
      <c r="BS109" s="6">
        <v>4.8</v>
      </c>
      <c r="BT109" s="6">
        <v>6.3</v>
      </c>
      <c r="BU109" s="6">
        <v>6.7</v>
      </c>
      <c r="BV109" s="6">
        <v>7.7</v>
      </c>
      <c r="BW109" s="6">
        <v>7.3</v>
      </c>
      <c r="BX109" s="6">
        <v>6.7</v>
      </c>
      <c r="BY109" s="6">
        <v>6.1</v>
      </c>
      <c r="BZ109" s="6">
        <v>5.5</v>
      </c>
      <c r="CA109" s="6">
        <v>5.2</v>
      </c>
      <c r="CB109" s="6">
        <v>4.9000000000000004</v>
      </c>
      <c r="CC109" s="6">
        <v>4.7</v>
      </c>
      <c r="CD109" s="6">
        <v>4.5</v>
      </c>
      <c r="CE109" s="6">
        <v>4.4000000000000004</v>
      </c>
      <c r="CF109" s="6">
        <v>4.3</v>
      </c>
    </row>
    <row r="110" spans="1:87" x14ac:dyDescent="0.35">
      <c r="A110" s="1"/>
      <c r="B110" s="4">
        <v>44228</v>
      </c>
      <c r="C110" s="5" t="s">
        <v>677</v>
      </c>
      <c r="D110" t="s">
        <v>696</v>
      </c>
      <c r="E110" t="s">
        <v>512</v>
      </c>
      <c r="F110" t="s">
        <v>668</v>
      </c>
      <c r="G110" t="s">
        <v>1009</v>
      </c>
      <c r="H110" t="s">
        <v>685</v>
      </c>
      <c r="I110" s="6" t="e">
        <v>#N/A</v>
      </c>
      <c r="J110" s="6" t="e">
        <v>#N/A</v>
      </c>
      <c r="K110" s="6" t="e">
        <v>#N/A</v>
      </c>
      <c r="L110" s="6" t="e">
        <v>#N/A</v>
      </c>
      <c r="M110" s="6" t="e">
        <v>#N/A</v>
      </c>
      <c r="N110" s="6" t="e">
        <v>#N/A</v>
      </c>
      <c r="O110" s="6" t="e">
        <v>#N/A</v>
      </c>
      <c r="P110" s="6" t="e">
        <v>#N/A</v>
      </c>
      <c r="Q110" s="6" t="e">
        <v>#N/A</v>
      </c>
      <c r="R110" s="6" t="e">
        <v>#N/A</v>
      </c>
      <c r="S110" s="6" t="e">
        <v>#N/A</v>
      </c>
      <c r="T110" s="6" t="e">
        <v>#N/A</v>
      </c>
      <c r="U110" s="6" t="e">
        <v>#N/A</v>
      </c>
      <c r="V110" s="6" t="e">
        <v>#N/A</v>
      </c>
      <c r="W110" s="6" t="e">
        <v>#N/A</v>
      </c>
      <c r="X110" s="6" t="e">
        <v>#N/A</v>
      </c>
      <c r="Y110" s="6" t="e">
        <v>#N/A</v>
      </c>
      <c r="Z110" s="6" t="e">
        <v>#N/A</v>
      </c>
      <c r="AA110" s="6" t="e">
        <v>#N/A</v>
      </c>
      <c r="AB110" s="6" t="e">
        <v>#N/A</v>
      </c>
      <c r="AC110" s="6" t="e">
        <v>#N/A</v>
      </c>
      <c r="AD110" s="6" t="e">
        <v>#N/A</v>
      </c>
      <c r="AE110" s="6" t="e">
        <v>#N/A</v>
      </c>
      <c r="AF110" s="6" t="e">
        <v>#N/A</v>
      </c>
      <c r="AG110" s="6" t="e">
        <v>#N/A</v>
      </c>
      <c r="AH110" s="6" t="e">
        <v>#N/A</v>
      </c>
      <c r="AI110" s="6" t="e">
        <v>#N/A</v>
      </c>
      <c r="AJ110" s="6" t="e">
        <v>#N/A</v>
      </c>
      <c r="AK110" s="6" t="e">
        <v>#N/A</v>
      </c>
      <c r="AL110" s="6" t="e">
        <v>#N/A</v>
      </c>
      <c r="AM110" s="6" t="e">
        <v>#N/A</v>
      </c>
      <c r="AN110" s="6" t="e">
        <v>#N/A</v>
      </c>
      <c r="AO110" s="6" t="e">
        <v>#N/A</v>
      </c>
      <c r="AP110" s="6" t="e">
        <v>#N/A</v>
      </c>
      <c r="AQ110" s="6" t="e">
        <v>#N/A</v>
      </c>
      <c r="AR110" s="6" t="e">
        <v>#N/A</v>
      </c>
      <c r="AS110" s="6" t="e">
        <v>#N/A</v>
      </c>
      <c r="AT110" s="6" t="e">
        <v>#N/A</v>
      </c>
      <c r="AU110" s="6" t="e">
        <v>#N/A</v>
      </c>
      <c r="AV110" s="6" t="e">
        <v>#N/A</v>
      </c>
      <c r="AW110" s="6" t="e">
        <v>#N/A</v>
      </c>
      <c r="AX110" s="6" t="e">
        <v>#N/A</v>
      </c>
      <c r="AY110" s="6" t="e">
        <v>#N/A</v>
      </c>
      <c r="AZ110" s="6" t="e">
        <v>#N/A</v>
      </c>
      <c r="BA110" s="6" t="e">
        <v>#N/A</v>
      </c>
      <c r="BB110" s="6" t="e">
        <v>#N/A</v>
      </c>
      <c r="BC110" s="6" t="e">
        <v>#N/A</v>
      </c>
      <c r="BD110" s="6" t="e">
        <v>#N/A</v>
      </c>
      <c r="BE110" s="6" t="e">
        <v>#N/A</v>
      </c>
      <c r="BF110" s="6" t="e">
        <v>#N/A</v>
      </c>
      <c r="BG110" s="6" t="e">
        <v>#N/A</v>
      </c>
      <c r="BH110" s="6" t="e">
        <v>#N/A</v>
      </c>
      <c r="BI110" s="6" t="e">
        <v>#N/A</v>
      </c>
      <c r="BJ110" s="6" t="e">
        <v>#N/A</v>
      </c>
      <c r="BK110" s="6" t="e">
        <v>#N/A</v>
      </c>
      <c r="BL110" s="6" t="e">
        <v>#N/A</v>
      </c>
      <c r="BM110" s="6" t="e">
        <v>#N/A</v>
      </c>
      <c r="BN110" s="6" t="e">
        <v>#N/A</v>
      </c>
      <c r="BO110" s="6" t="e">
        <v>#N/A</v>
      </c>
      <c r="BP110" s="6" t="e">
        <v>#N/A</v>
      </c>
      <c r="BQ110" s="6" t="e">
        <v>#N/A</v>
      </c>
      <c r="BR110" s="6" t="e">
        <v>#N/A</v>
      </c>
      <c r="BS110" s="6" t="e">
        <v>#N/A</v>
      </c>
      <c r="BT110" s="6">
        <v>5.0999999999999996</v>
      </c>
      <c r="BU110" s="6">
        <v>5.5</v>
      </c>
      <c r="BV110" s="6">
        <v>7.7</v>
      </c>
      <c r="BW110" s="6">
        <v>7.8</v>
      </c>
      <c r="BX110" s="6">
        <v>6.4</v>
      </c>
      <c r="BY110" s="6">
        <v>5.7</v>
      </c>
      <c r="BZ110" s="6">
        <v>5.4</v>
      </c>
      <c r="CA110" s="6">
        <v>5.3</v>
      </c>
      <c r="CB110" s="6">
        <v>5.0999999999999996</v>
      </c>
      <c r="CC110" s="6">
        <v>5</v>
      </c>
      <c r="CD110" s="6">
        <v>4.9000000000000004</v>
      </c>
      <c r="CE110" s="6">
        <v>4.8</v>
      </c>
      <c r="CF110" s="6">
        <v>4.5999999999999996</v>
      </c>
      <c r="CG110" s="6">
        <v>4.5</v>
      </c>
    </row>
    <row r="111" spans="1:87" x14ac:dyDescent="0.35">
      <c r="A111" s="1"/>
      <c r="B111" s="4">
        <v>44317</v>
      </c>
      <c r="C111" s="5" t="s">
        <v>678</v>
      </c>
      <c r="D111" t="s">
        <v>697</v>
      </c>
      <c r="E111" t="s">
        <v>515</v>
      </c>
      <c r="F111" t="s">
        <v>693</v>
      </c>
      <c r="G111" t="s">
        <v>1009</v>
      </c>
      <c r="H111" t="s">
        <v>688</v>
      </c>
      <c r="I111" s="6" t="e">
        <v>#N/A</v>
      </c>
      <c r="J111" s="6" t="e">
        <v>#N/A</v>
      </c>
      <c r="K111" s="6" t="e">
        <v>#N/A</v>
      </c>
      <c r="L111" s="6" t="e">
        <v>#N/A</v>
      </c>
      <c r="M111" s="6" t="e">
        <v>#N/A</v>
      </c>
      <c r="N111" s="6" t="e">
        <v>#N/A</v>
      </c>
      <c r="O111" s="6" t="e">
        <v>#N/A</v>
      </c>
      <c r="P111" s="6" t="e">
        <v>#N/A</v>
      </c>
      <c r="Q111" s="6" t="e">
        <v>#N/A</v>
      </c>
      <c r="R111" s="6" t="e">
        <v>#N/A</v>
      </c>
      <c r="S111" s="6" t="e">
        <v>#N/A</v>
      </c>
      <c r="T111" s="6" t="e">
        <v>#N/A</v>
      </c>
      <c r="U111" s="6" t="e">
        <v>#N/A</v>
      </c>
      <c r="V111" s="6" t="e">
        <v>#N/A</v>
      </c>
      <c r="W111" s="6" t="e">
        <v>#N/A</v>
      </c>
      <c r="X111" s="6" t="e">
        <v>#N/A</v>
      </c>
      <c r="Y111" s="6" t="e">
        <v>#N/A</v>
      </c>
      <c r="Z111" s="6" t="e">
        <v>#N/A</v>
      </c>
      <c r="AA111" s="6" t="e">
        <v>#N/A</v>
      </c>
      <c r="AB111" s="6" t="e">
        <v>#N/A</v>
      </c>
      <c r="AC111" s="6" t="e">
        <v>#N/A</v>
      </c>
      <c r="AD111" s="6" t="e">
        <v>#N/A</v>
      </c>
      <c r="AE111" s="6" t="e">
        <v>#N/A</v>
      </c>
      <c r="AF111" s="6" t="e">
        <v>#N/A</v>
      </c>
      <c r="AG111" s="6" t="e">
        <v>#N/A</v>
      </c>
      <c r="AH111" s="6" t="e">
        <v>#N/A</v>
      </c>
      <c r="AI111" s="6" t="e">
        <v>#N/A</v>
      </c>
      <c r="AJ111" s="6" t="e">
        <v>#N/A</v>
      </c>
      <c r="AK111" s="6" t="e">
        <v>#N/A</v>
      </c>
      <c r="AL111" s="6" t="e">
        <v>#N/A</v>
      </c>
      <c r="AM111" s="6" t="e">
        <v>#N/A</v>
      </c>
      <c r="AN111" s="6" t="e">
        <v>#N/A</v>
      </c>
      <c r="AO111" s="6" t="e">
        <v>#N/A</v>
      </c>
      <c r="AP111" s="6" t="e">
        <v>#N/A</v>
      </c>
      <c r="AQ111" s="6" t="e">
        <v>#N/A</v>
      </c>
      <c r="AR111" s="6" t="e">
        <v>#N/A</v>
      </c>
      <c r="AS111" s="6" t="e">
        <v>#N/A</v>
      </c>
      <c r="AT111" s="6" t="e">
        <v>#N/A</v>
      </c>
      <c r="AU111" s="6" t="e">
        <v>#N/A</v>
      </c>
      <c r="AV111" s="6" t="e">
        <v>#N/A</v>
      </c>
      <c r="AW111" s="6" t="e">
        <v>#N/A</v>
      </c>
      <c r="AX111" s="6" t="e">
        <v>#N/A</v>
      </c>
      <c r="AY111" s="6" t="e">
        <v>#N/A</v>
      </c>
      <c r="AZ111" s="6" t="e">
        <v>#N/A</v>
      </c>
      <c r="BA111" s="6" t="e">
        <v>#N/A</v>
      </c>
      <c r="BB111" s="6" t="e">
        <v>#N/A</v>
      </c>
      <c r="BC111" s="6" t="e">
        <v>#N/A</v>
      </c>
      <c r="BD111" s="6" t="e">
        <v>#N/A</v>
      </c>
      <c r="BE111" s="6" t="e">
        <v>#N/A</v>
      </c>
      <c r="BF111" s="6" t="e">
        <v>#N/A</v>
      </c>
      <c r="BG111" s="6" t="e">
        <v>#N/A</v>
      </c>
      <c r="BH111" s="6" t="e">
        <v>#N/A</v>
      </c>
      <c r="BI111" s="6" t="e">
        <v>#N/A</v>
      </c>
      <c r="BJ111" s="6" t="e">
        <v>#N/A</v>
      </c>
      <c r="BK111" s="6" t="e">
        <v>#N/A</v>
      </c>
      <c r="BL111" s="6" t="e">
        <v>#N/A</v>
      </c>
      <c r="BM111" s="6" t="e">
        <v>#N/A</v>
      </c>
      <c r="BN111" s="6" t="e">
        <v>#N/A</v>
      </c>
      <c r="BO111" s="6" t="e">
        <v>#N/A</v>
      </c>
      <c r="BP111" s="6" t="e">
        <v>#N/A</v>
      </c>
      <c r="BQ111" s="6" t="e">
        <v>#N/A</v>
      </c>
      <c r="BR111" s="6" t="e">
        <v>#N/A</v>
      </c>
      <c r="BS111" s="6" t="e">
        <v>#N/A</v>
      </c>
      <c r="BT111" s="6" t="e">
        <v>#N/A</v>
      </c>
      <c r="BU111" s="6">
        <v>4.9000000000000004</v>
      </c>
      <c r="BV111" s="6">
        <v>5.2</v>
      </c>
      <c r="BW111" s="6">
        <v>5.4</v>
      </c>
      <c r="BX111" s="6">
        <v>5.0999999999999996</v>
      </c>
      <c r="BY111" s="6">
        <v>4.9000000000000004</v>
      </c>
      <c r="BZ111" s="6">
        <v>4.7</v>
      </c>
      <c r="CA111" s="6">
        <v>4.5</v>
      </c>
      <c r="CB111" s="6">
        <v>4.4000000000000004</v>
      </c>
      <c r="CC111" s="6">
        <v>4.3</v>
      </c>
      <c r="CD111" s="6">
        <v>4.3</v>
      </c>
      <c r="CE111" s="6">
        <v>4.3</v>
      </c>
      <c r="CF111" s="6">
        <v>4.3</v>
      </c>
      <c r="CG111" s="6">
        <v>4.3</v>
      </c>
      <c r="CH111" s="6">
        <v>4.3</v>
      </c>
    </row>
    <row r="112" spans="1:87" x14ac:dyDescent="0.35">
      <c r="A112" s="1"/>
      <c r="B112" s="4">
        <v>44409</v>
      </c>
      <c r="C112" s="5" t="s">
        <v>805</v>
      </c>
      <c r="D112" t="s">
        <v>814</v>
      </c>
      <c r="E112" t="s">
        <v>518</v>
      </c>
      <c r="F112" t="s">
        <v>700</v>
      </c>
      <c r="G112" t="s">
        <v>1009</v>
      </c>
      <c r="H112" t="s">
        <v>807</v>
      </c>
      <c r="I112" s="6" t="e">
        <v>#N/A</v>
      </c>
      <c r="J112" s="6" t="e">
        <v>#N/A</v>
      </c>
      <c r="K112" s="6" t="e">
        <v>#N/A</v>
      </c>
      <c r="L112" s="6" t="e">
        <v>#N/A</v>
      </c>
      <c r="M112" s="6" t="e">
        <v>#N/A</v>
      </c>
      <c r="N112" s="6" t="e">
        <v>#N/A</v>
      </c>
      <c r="O112" s="6" t="e">
        <v>#N/A</v>
      </c>
      <c r="P112" s="6" t="e">
        <v>#N/A</v>
      </c>
      <c r="Q112" s="6" t="e">
        <v>#N/A</v>
      </c>
      <c r="R112" s="6" t="e">
        <v>#N/A</v>
      </c>
      <c r="S112" s="6" t="e">
        <v>#N/A</v>
      </c>
      <c r="T112" s="6" t="e">
        <v>#N/A</v>
      </c>
      <c r="U112" s="6" t="e">
        <v>#N/A</v>
      </c>
      <c r="V112" s="6" t="e">
        <v>#N/A</v>
      </c>
      <c r="W112" s="6" t="e">
        <v>#N/A</v>
      </c>
      <c r="X112" s="6" t="e">
        <v>#N/A</v>
      </c>
      <c r="Y112" s="6" t="e">
        <v>#N/A</v>
      </c>
      <c r="Z112" s="6" t="e">
        <v>#N/A</v>
      </c>
      <c r="AA112" s="6" t="e">
        <v>#N/A</v>
      </c>
      <c r="AB112" s="6" t="e">
        <v>#N/A</v>
      </c>
      <c r="AC112" s="6" t="e">
        <v>#N/A</v>
      </c>
      <c r="AD112" s="6" t="e">
        <v>#N/A</v>
      </c>
      <c r="AE112" s="6" t="e">
        <v>#N/A</v>
      </c>
      <c r="AF112" s="6" t="e">
        <v>#N/A</v>
      </c>
      <c r="AG112" s="6" t="e">
        <v>#N/A</v>
      </c>
      <c r="AH112" s="6" t="e">
        <v>#N/A</v>
      </c>
      <c r="AI112" s="6" t="e">
        <v>#N/A</v>
      </c>
      <c r="AJ112" s="6" t="e">
        <v>#N/A</v>
      </c>
      <c r="AK112" s="6" t="e">
        <v>#N/A</v>
      </c>
      <c r="AL112" s="6" t="e">
        <v>#N/A</v>
      </c>
      <c r="AM112" s="6" t="e">
        <v>#N/A</v>
      </c>
      <c r="AN112" s="6" t="e">
        <v>#N/A</v>
      </c>
      <c r="AO112" s="6" t="e">
        <v>#N/A</v>
      </c>
      <c r="AP112" s="6" t="e">
        <v>#N/A</v>
      </c>
      <c r="AQ112" s="6" t="e">
        <v>#N/A</v>
      </c>
      <c r="AR112" s="6" t="e">
        <v>#N/A</v>
      </c>
      <c r="AS112" s="6" t="e">
        <v>#N/A</v>
      </c>
      <c r="AT112" s="6" t="e">
        <v>#N/A</v>
      </c>
      <c r="AU112" s="6" t="e">
        <v>#N/A</v>
      </c>
      <c r="AV112" s="6" t="e">
        <v>#N/A</v>
      </c>
      <c r="AW112" s="6" t="e">
        <v>#N/A</v>
      </c>
      <c r="AX112" s="6" t="e">
        <v>#N/A</v>
      </c>
      <c r="AY112" s="6" t="e">
        <v>#N/A</v>
      </c>
      <c r="AZ112" s="6" t="e">
        <v>#N/A</v>
      </c>
      <c r="BA112" s="6" t="e">
        <v>#N/A</v>
      </c>
      <c r="BB112" s="6" t="e">
        <v>#N/A</v>
      </c>
      <c r="BC112" s="6" t="e">
        <v>#N/A</v>
      </c>
      <c r="BD112" s="6" t="e">
        <v>#N/A</v>
      </c>
      <c r="BE112" s="6" t="e">
        <v>#N/A</v>
      </c>
      <c r="BF112" s="6" t="e">
        <v>#N/A</v>
      </c>
      <c r="BG112" s="6" t="e">
        <v>#N/A</v>
      </c>
      <c r="BH112" s="6" t="e">
        <v>#N/A</v>
      </c>
      <c r="BI112" s="6" t="e">
        <v>#N/A</v>
      </c>
      <c r="BJ112" s="6" t="e">
        <v>#N/A</v>
      </c>
      <c r="BK112" s="6" t="e">
        <v>#N/A</v>
      </c>
      <c r="BL112" s="6" t="e">
        <v>#N/A</v>
      </c>
      <c r="BM112" s="6" t="e">
        <v>#N/A</v>
      </c>
      <c r="BN112" s="6" t="e">
        <v>#N/A</v>
      </c>
      <c r="BO112" s="6" t="e">
        <v>#N/A</v>
      </c>
      <c r="BP112" s="6" t="e">
        <v>#N/A</v>
      </c>
      <c r="BQ112" s="6" t="e">
        <v>#N/A</v>
      </c>
      <c r="BR112" s="6" t="e">
        <v>#N/A</v>
      </c>
      <c r="BS112" s="6" t="e">
        <v>#N/A</v>
      </c>
      <c r="BT112" s="6" t="e">
        <v>#N/A</v>
      </c>
      <c r="BU112" s="6" t="e">
        <v>#N/A</v>
      </c>
      <c r="BV112" s="6">
        <v>4.8</v>
      </c>
      <c r="BW112" s="6">
        <v>4.7</v>
      </c>
      <c r="BX112" s="6">
        <v>4.8</v>
      </c>
      <c r="BY112" s="6">
        <v>4.7</v>
      </c>
      <c r="BZ112" s="6">
        <v>4.5</v>
      </c>
      <c r="CA112" s="6">
        <v>4.4000000000000004</v>
      </c>
      <c r="CB112" s="6">
        <v>4.3</v>
      </c>
      <c r="CC112" s="6">
        <v>4.3</v>
      </c>
      <c r="CD112" s="6">
        <v>4.3</v>
      </c>
      <c r="CE112" s="6">
        <v>4.3</v>
      </c>
      <c r="CF112" s="6">
        <v>4.3</v>
      </c>
      <c r="CG112" s="6">
        <v>4.3</v>
      </c>
      <c r="CH112" s="6">
        <v>4.3</v>
      </c>
      <c r="CI112" s="6">
        <v>4.3</v>
      </c>
    </row>
    <row r="113" spans="1:101" x14ac:dyDescent="0.35">
      <c r="A113" s="1"/>
      <c r="B113" s="4">
        <v>44501</v>
      </c>
      <c r="C113" s="5" t="s">
        <v>843</v>
      </c>
      <c r="D113" t="s">
        <v>850</v>
      </c>
      <c r="E113" t="s">
        <v>522</v>
      </c>
      <c r="F113" t="s">
        <v>811</v>
      </c>
      <c r="G113" t="s">
        <v>1009</v>
      </c>
      <c r="H113" t="s">
        <v>845</v>
      </c>
      <c r="I113" s="3" t="e">
        <v>#N/A</v>
      </c>
      <c r="J113" s="3" t="e">
        <v>#N/A</v>
      </c>
      <c r="K113" s="3" t="e">
        <v>#N/A</v>
      </c>
      <c r="L113" s="3" t="e">
        <v>#N/A</v>
      </c>
      <c r="M113" s="3" t="e">
        <v>#N/A</v>
      </c>
      <c r="N113" s="3" t="e">
        <v>#N/A</v>
      </c>
      <c r="O113" s="3" t="e">
        <v>#N/A</v>
      </c>
      <c r="P113" s="3" t="e">
        <v>#N/A</v>
      </c>
      <c r="Q113" s="3" t="e">
        <v>#N/A</v>
      </c>
      <c r="R113" s="3" t="e">
        <v>#N/A</v>
      </c>
      <c r="S113" s="3" t="e">
        <v>#N/A</v>
      </c>
      <c r="T113" s="3" t="e">
        <v>#N/A</v>
      </c>
      <c r="U113" s="3" t="e">
        <v>#N/A</v>
      </c>
      <c r="V113" s="3" t="e">
        <v>#N/A</v>
      </c>
      <c r="W113" s="3" t="e">
        <v>#N/A</v>
      </c>
      <c r="X113" s="3" t="e">
        <v>#N/A</v>
      </c>
      <c r="Y113" s="3" t="e">
        <v>#N/A</v>
      </c>
      <c r="Z113" s="3" t="e">
        <v>#N/A</v>
      </c>
      <c r="AA113" s="3" t="e">
        <v>#N/A</v>
      </c>
      <c r="AB113" s="3" t="e">
        <v>#N/A</v>
      </c>
      <c r="AC113" s="3" t="e">
        <v>#N/A</v>
      </c>
      <c r="AD113" s="3" t="e">
        <v>#N/A</v>
      </c>
      <c r="AE113" s="3" t="e">
        <v>#N/A</v>
      </c>
      <c r="AF113" s="3" t="e">
        <v>#N/A</v>
      </c>
      <c r="AG113" s="3" t="e">
        <v>#N/A</v>
      </c>
      <c r="AH113" s="3" t="e">
        <v>#N/A</v>
      </c>
      <c r="AI113" s="3" t="e">
        <v>#N/A</v>
      </c>
      <c r="AJ113" s="3" t="e">
        <v>#N/A</v>
      </c>
      <c r="AK113" s="3" t="e">
        <v>#N/A</v>
      </c>
      <c r="AL113" s="3" t="e">
        <v>#N/A</v>
      </c>
      <c r="AM113" s="3" t="e">
        <v>#N/A</v>
      </c>
      <c r="AN113" s="3" t="e">
        <v>#N/A</v>
      </c>
      <c r="AO113" s="3" t="e">
        <v>#N/A</v>
      </c>
      <c r="AP113" s="3" t="e">
        <v>#N/A</v>
      </c>
      <c r="AQ113" s="3" t="e">
        <v>#N/A</v>
      </c>
      <c r="AR113" s="3" t="e">
        <v>#N/A</v>
      </c>
      <c r="AS113" s="3" t="e">
        <v>#N/A</v>
      </c>
      <c r="AT113" s="3" t="e">
        <v>#N/A</v>
      </c>
      <c r="AU113" s="3" t="e">
        <v>#N/A</v>
      </c>
      <c r="AV113" s="3" t="e">
        <v>#N/A</v>
      </c>
      <c r="AW113" s="3" t="e">
        <v>#N/A</v>
      </c>
      <c r="AX113" s="3" t="e">
        <v>#N/A</v>
      </c>
      <c r="AY113" s="3" t="e">
        <v>#N/A</v>
      </c>
      <c r="AZ113" s="3" t="e">
        <v>#N/A</v>
      </c>
      <c r="BA113" s="3" t="e">
        <v>#N/A</v>
      </c>
      <c r="BB113" s="3" t="e">
        <v>#N/A</v>
      </c>
      <c r="BC113" s="3" t="e">
        <v>#N/A</v>
      </c>
      <c r="BD113" s="3" t="e">
        <v>#N/A</v>
      </c>
      <c r="BE113" s="3" t="e">
        <v>#N/A</v>
      </c>
      <c r="BF113" s="3" t="e">
        <v>#N/A</v>
      </c>
      <c r="BG113" s="3" t="e">
        <v>#N/A</v>
      </c>
      <c r="BH113" s="3" t="e">
        <v>#N/A</v>
      </c>
      <c r="BI113" s="3" t="e">
        <v>#N/A</v>
      </c>
      <c r="BJ113" s="3" t="e">
        <v>#N/A</v>
      </c>
      <c r="BK113" s="3" t="e">
        <v>#N/A</v>
      </c>
      <c r="BL113" s="3" t="e">
        <v>#N/A</v>
      </c>
      <c r="BM113" s="3" t="e">
        <v>#N/A</v>
      </c>
      <c r="BN113" s="3" t="e">
        <v>#N/A</v>
      </c>
      <c r="BO113" s="3" t="e">
        <v>#N/A</v>
      </c>
      <c r="BP113" s="3" t="e">
        <v>#N/A</v>
      </c>
      <c r="BQ113" s="3" t="e">
        <v>#N/A</v>
      </c>
      <c r="BR113" s="3" t="e">
        <v>#N/A</v>
      </c>
      <c r="BS113" s="3" t="e">
        <v>#N/A</v>
      </c>
      <c r="BT113" s="3" t="e">
        <v>#N/A</v>
      </c>
      <c r="BU113" s="3" t="e">
        <v>#N/A</v>
      </c>
      <c r="BV113" s="3" t="e">
        <v>#N/A</v>
      </c>
      <c r="BW113" s="3">
        <v>4.4000000000000004</v>
      </c>
      <c r="BX113" s="3">
        <v>4.5</v>
      </c>
      <c r="BY113" s="3">
        <v>4.2</v>
      </c>
      <c r="BZ113" s="3">
        <v>4.0999999999999996</v>
      </c>
      <c r="CA113" s="3">
        <v>4.0999999999999996</v>
      </c>
      <c r="CB113" s="3">
        <v>4</v>
      </c>
      <c r="CC113" s="3">
        <v>4</v>
      </c>
      <c r="CD113" s="3">
        <v>4.0999999999999996</v>
      </c>
      <c r="CE113" s="3">
        <v>4.0999999999999996</v>
      </c>
      <c r="CF113" s="3">
        <v>4.0999999999999996</v>
      </c>
      <c r="CG113" s="3">
        <v>4.2</v>
      </c>
      <c r="CH113" s="3">
        <v>4.2</v>
      </c>
      <c r="CI113" s="3">
        <v>4.3</v>
      </c>
      <c r="CJ113" s="3">
        <v>4.4000000000000004</v>
      </c>
    </row>
    <row r="114" spans="1:101" x14ac:dyDescent="0.35">
      <c r="A114" s="1"/>
      <c r="B114" s="4">
        <v>44593</v>
      </c>
      <c r="C114" s="5" t="s">
        <v>870</v>
      </c>
      <c r="D114" t="s">
        <v>876</v>
      </c>
      <c r="E114" t="s">
        <v>555</v>
      </c>
      <c r="F114" t="s">
        <v>831</v>
      </c>
      <c r="G114" t="s">
        <v>1009</v>
      </c>
      <c r="H114" t="s">
        <v>872</v>
      </c>
      <c r="I114" s="3" t="e">
        <v>#N/A</v>
      </c>
      <c r="J114" s="3" t="e">
        <v>#N/A</v>
      </c>
      <c r="K114" s="3" t="e">
        <v>#N/A</v>
      </c>
      <c r="L114" s="3" t="e">
        <v>#N/A</v>
      </c>
      <c r="M114" s="3" t="e">
        <v>#N/A</v>
      </c>
      <c r="N114" s="3" t="e">
        <v>#N/A</v>
      </c>
      <c r="O114" s="3" t="e">
        <v>#N/A</v>
      </c>
      <c r="P114" s="3" t="e">
        <v>#N/A</v>
      </c>
      <c r="Q114" s="3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 t="e">
        <v>#N/A</v>
      </c>
      <c r="AE114" s="3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e">
        <v>#N/A</v>
      </c>
      <c r="AK114" s="3" t="e">
        <v>#N/A</v>
      </c>
      <c r="AL114" s="3" t="e">
        <v>#N/A</v>
      </c>
      <c r="AM114" s="3" t="e">
        <v>#N/A</v>
      </c>
      <c r="AN114" s="3" t="e">
        <v>#N/A</v>
      </c>
      <c r="AO114" s="3" t="e">
        <v>#N/A</v>
      </c>
      <c r="AP114" s="3" t="e">
        <v>#N/A</v>
      </c>
      <c r="AQ114" s="3" t="e">
        <v>#N/A</v>
      </c>
      <c r="AR114" s="3" t="e">
        <v>#N/A</v>
      </c>
      <c r="AS114" s="3" t="e">
        <v>#N/A</v>
      </c>
      <c r="AT114" s="3" t="e">
        <v>#N/A</v>
      </c>
      <c r="AU114" s="3" t="e">
        <v>#N/A</v>
      </c>
      <c r="AV114" s="3" t="e">
        <v>#N/A</v>
      </c>
      <c r="AW114" s="3" t="e">
        <v>#N/A</v>
      </c>
      <c r="AX114" s="3" t="e">
        <v>#N/A</v>
      </c>
      <c r="AY114" s="3" t="e">
        <v>#N/A</v>
      </c>
      <c r="AZ114" s="3" t="e">
        <v>#N/A</v>
      </c>
      <c r="BA114" s="3" t="e">
        <v>#N/A</v>
      </c>
      <c r="BB114" s="3" t="e">
        <v>#N/A</v>
      </c>
      <c r="BC114" s="3" t="e">
        <v>#N/A</v>
      </c>
      <c r="BD114" s="3" t="e">
        <v>#N/A</v>
      </c>
      <c r="BE114" s="3" t="e">
        <v>#N/A</v>
      </c>
      <c r="BF114" s="3" t="e">
        <v>#N/A</v>
      </c>
      <c r="BG114" s="3" t="e">
        <v>#N/A</v>
      </c>
      <c r="BH114" s="3" t="e">
        <v>#N/A</v>
      </c>
      <c r="BI114" s="3" t="e">
        <v>#N/A</v>
      </c>
      <c r="BJ114" s="3" t="e">
        <v>#N/A</v>
      </c>
      <c r="BK114" s="3" t="e">
        <v>#N/A</v>
      </c>
      <c r="BL114" s="3" t="e">
        <v>#N/A</v>
      </c>
      <c r="BM114" s="3" t="e">
        <v>#N/A</v>
      </c>
      <c r="BN114" s="3" t="e">
        <v>#N/A</v>
      </c>
      <c r="BO114" s="3" t="e">
        <v>#N/A</v>
      </c>
      <c r="BP114" s="3" t="e">
        <v>#N/A</v>
      </c>
      <c r="BQ114" s="3" t="e">
        <v>#N/A</v>
      </c>
      <c r="BR114" s="3" t="e">
        <v>#N/A</v>
      </c>
      <c r="BS114" s="3" t="e">
        <v>#N/A</v>
      </c>
      <c r="BT114" s="3" t="e">
        <v>#N/A</v>
      </c>
      <c r="BU114" s="3" t="e">
        <v>#N/A</v>
      </c>
      <c r="BV114" s="3" t="e">
        <v>#N/A</v>
      </c>
      <c r="BW114" s="3" t="e">
        <v>#N/A</v>
      </c>
      <c r="BX114" s="3">
        <v>4.0199999999999996</v>
      </c>
      <c r="BY114" s="3">
        <v>3.83</v>
      </c>
      <c r="BZ114" s="3">
        <v>3.88</v>
      </c>
      <c r="CA114" s="3">
        <v>3.95</v>
      </c>
      <c r="CB114" s="3">
        <v>4.0999999999999996</v>
      </c>
      <c r="CC114" s="3">
        <v>4.25</v>
      </c>
      <c r="CD114" s="3">
        <v>4.3600000000000003</v>
      </c>
      <c r="CE114" s="3">
        <v>4.46</v>
      </c>
      <c r="CF114" s="3">
        <v>4.55</v>
      </c>
      <c r="CG114" s="3">
        <v>4.62</v>
      </c>
      <c r="CH114" s="3">
        <v>4.71</v>
      </c>
      <c r="CI114" s="3">
        <v>4.79</v>
      </c>
      <c r="CJ114" s="3">
        <v>4.8899999999999997</v>
      </c>
      <c r="CK114" s="3">
        <v>5</v>
      </c>
    </row>
    <row r="115" spans="1:101" x14ac:dyDescent="0.35">
      <c r="A115" s="1"/>
      <c r="B115" s="4">
        <v>44682</v>
      </c>
      <c r="C115" s="5" t="s">
        <v>894</v>
      </c>
      <c r="D115" t="s">
        <v>901</v>
      </c>
      <c r="E115" t="s">
        <v>572</v>
      </c>
      <c r="F115" t="s">
        <v>853</v>
      </c>
      <c r="G115" t="s">
        <v>1009</v>
      </c>
      <c r="H115" t="s">
        <v>896</v>
      </c>
      <c r="I115" s="3" t="e">
        <v>#N/A</v>
      </c>
      <c r="J115" s="3" t="e">
        <v>#N/A</v>
      </c>
      <c r="K115" s="3" t="e">
        <v>#N/A</v>
      </c>
      <c r="L115" s="3" t="e">
        <v>#N/A</v>
      </c>
      <c r="M115" s="3" t="e">
        <v>#N/A</v>
      </c>
      <c r="N115" s="3" t="e">
        <v>#N/A</v>
      </c>
      <c r="O115" s="3" t="e">
        <v>#N/A</v>
      </c>
      <c r="P115" s="3" t="e">
        <v>#N/A</v>
      </c>
      <c r="Q115" s="3" t="e">
        <v>#N/A</v>
      </c>
      <c r="R115" s="3" t="e">
        <v>#N/A</v>
      </c>
      <c r="S115" s="3" t="e">
        <v>#N/A</v>
      </c>
      <c r="T115" s="3" t="e">
        <v>#N/A</v>
      </c>
      <c r="U115" s="3" t="e">
        <v>#N/A</v>
      </c>
      <c r="V115" s="3" t="e">
        <v>#N/A</v>
      </c>
      <c r="W115" s="3" t="e">
        <v>#N/A</v>
      </c>
      <c r="X115" s="3" t="e">
        <v>#N/A</v>
      </c>
      <c r="Y115" s="3" t="e">
        <v>#N/A</v>
      </c>
      <c r="Z115" s="3" t="e">
        <v>#N/A</v>
      </c>
      <c r="AA115" s="3" t="e">
        <v>#N/A</v>
      </c>
      <c r="AB115" s="3" t="e">
        <v>#N/A</v>
      </c>
      <c r="AC115" s="3" t="e">
        <v>#N/A</v>
      </c>
      <c r="AD115" s="3" t="e">
        <v>#N/A</v>
      </c>
      <c r="AE115" s="3" t="e">
        <v>#N/A</v>
      </c>
      <c r="AF115" s="3" t="e">
        <v>#N/A</v>
      </c>
      <c r="AG115" s="3" t="e">
        <v>#N/A</v>
      </c>
      <c r="AH115" s="3" t="e">
        <v>#N/A</v>
      </c>
      <c r="AI115" s="3" t="e">
        <v>#N/A</v>
      </c>
      <c r="AJ115" s="3" t="e">
        <v>#N/A</v>
      </c>
      <c r="AK115" s="3" t="e">
        <v>#N/A</v>
      </c>
      <c r="AL115" s="3" t="e">
        <v>#N/A</v>
      </c>
      <c r="AM115" s="3" t="e">
        <v>#N/A</v>
      </c>
      <c r="AN115" s="3" t="e">
        <v>#N/A</v>
      </c>
      <c r="AO115" s="3" t="e">
        <v>#N/A</v>
      </c>
      <c r="AP115" s="3" t="e">
        <v>#N/A</v>
      </c>
      <c r="AQ115" s="3" t="e">
        <v>#N/A</v>
      </c>
      <c r="AR115" s="3" t="e">
        <v>#N/A</v>
      </c>
      <c r="AS115" s="3" t="e">
        <v>#N/A</v>
      </c>
      <c r="AT115" s="3" t="e">
        <v>#N/A</v>
      </c>
      <c r="AU115" s="3" t="e">
        <v>#N/A</v>
      </c>
      <c r="AV115" s="3" t="e">
        <v>#N/A</v>
      </c>
      <c r="AW115" s="3" t="e">
        <v>#N/A</v>
      </c>
      <c r="AX115" s="3" t="e">
        <v>#N/A</v>
      </c>
      <c r="AY115" s="3" t="e">
        <v>#N/A</v>
      </c>
      <c r="AZ115" s="3" t="e">
        <v>#N/A</v>
      </c>
      <c r="BA115" s="3" t="e">
        <v>#N/A</v>
      </c>
      <c r="BB115" s="3" t="e">
        <v>#N/A</v>
      </c>
      <c r="BC115" s="3" t="e">
        <v>#N/A</v>
      </c>
      <c r="BD115" s="3" t="e">
        <v>#N/A</v>
      </c>
      <c r="BE115" s="3" t="e">
        <v>#N/A</v>
      </c>
      <c r="BF115" s="3" t="e">
        <v>#N/A</v>
      </c>
      <c r="BG115" s="3" t="e">
        <v>#N/A</v>
      </c>
      <c r="BH115" s="3" t="e">
        <v>#N/A</v>
      </c>
      <c r="BI115" s="3" t="e">
        <v>#N/A</v>
      </c>
      <c r="BJ115" s="3" t="e">
        <v>#N/A</v>
      </c>
      <c r="BK115" s="3" t="e">
        <v>#N/A</v>
      </c>
      <c r="BL115" s="3" t="e">
        <v>#N/A</v>
      </c>
      <c r="BM115" s="3" t="e">
        <v>#N/A</v>
      </c>
      <c r="BN115" s="3" t="e">
        <v>#N/A</v>
      </c>
      <c r="BO115" s="3" t="e">
        <v>#N/A</v>
      </c>
      <c r="BP115" s="3" t="e">
        <v>#N/A</v>
      </c>
      <c r="BQ115" s="3" t="e">
        <v>#N/A</v>
      </c>
      <c r="BR115" s="3" t="e">
        <v>#N/A</v>
      </c>
      <c r="BS115" s="3" t="e">
        <v>#N/A</v>
      </c>
      <c r="BT115" s="3" t="e">
        <v>#N/A</v>
      </c>
      <c r="BU115" s="3" t="e">
        <v>#N/A</v>
      </c>
      <c r="BV115" s="3" t="e">
        <v>#N/A</v>
      </c>
      <c r="BW115" s="3" t="e">
        <v>#N/A</v>
      </c>
      <c r="BX115" s="3" t="e">
        <v>#N/A</v>
      </c>
      <c r="BY115" s="3">
        <v>3.77</v>
      </c>
      <c r="BZ115" s="3">
        <v>3.55</v>
      </c>
      <c r="CA115" s="3">
        <v>3.48</v>
      </c>
      <c r="CB115" s="3">
        <v>3.61</v>
      </c>
      <c r="CC115" s="3">
        <v>3.75</v>
      </c>
      <c r="CD115" s="3">
        <v>3.92</v>
      </c>
      <c r="CE115" s="3">
        <v>4.08</v>
      </c>
      <c r="CF115" s="3">
        <v>4.26</v>
      </c>
      <c r="CG115" s="3">
        <v>4.4400000000000004</v>
      </c>
      <c r="CH115" s="3">
        <v>4.6399999999999997</v>
      </c>
      <c r="CI115" s="3">
        <v>4.84</v>
      </c>
      <c r="CJ115" s="3">
        <v>5.05</v>
      </c>
      <c r="CK115" s="3">
        <v>5.27</v>
      </c>
      <c r="CL115" s="3">
        <v>5.49</v>
      </c>
    </row>
    <row r="116" spans="1:101" x14ac:dyDescent="0.35">
      <c r="A116" s="1"/>
      <c r="B116" s="4">
        <v>44774</v>
      </c>
      <c r="C116" s="5" t="s">
        <v>924</v>
      </c>
      <c r="D116" t="s">
        <v>930</v>
      </c>
      <c r="E116" t="s">
        <v>588</v>
      </c>
      <c r="F116" t="s">
        <v>902</v>
      </c>
      <c r="G116" t="s">
        <v>1009</v>
      </c>
      <c r="H116" t="s">
        <v>926</v>
      </c>
      <c r="I116" s="3" t="e">
        <v>#N/A</v>
      </c>
      <c r="J116" s="3" t="e">
        <v>#N/A</v>
      </c>
      <c r="K116" s="3" t="e">
        <v>#N/A</v>
      </c>
      <c r="L116" s="3" t="e">
        <v>#N/A</v>
      </c>
      <c r="M116" s="3" t="e">
        <v>#N/A</v>
      </c>
      <c r="N116" s="3" t="e">
        <v>#N/A</v>
      </c>
      <c r="O116" s="3" t="e">
        <v>#N/A</v>
      </c>
      <c r="P116" s="3" t="e">
        <v>#N/A</v>
      </c>
      <c r="Q116" s="3" t="e">
        <v>#N/A</v>
      </c>
      <c r="R116" s="3" t="e">
        <v>#N/A</v>
      </c>
      <c r="S116" s="3" t="e">
        <v>#N/A</v>
      </c>
      <c r="T116" s="3" t="e">
        <v>#N/A</v>
      </c>
      <c r="U116" s="3" t="e">
        <v>#N/A</v>
      </c>
      <c r="V116" s="3" t="e">
        <v>#N/A</v>
      </c>
      <c r="W116" s="3" t="e">
        <v>#N/A</v>
      </c>
      <c r="X116" s="3" t="e">
        <v>#N/A</v>
      </c>
      <c r="Y116" s="3" t="e">
        <v>#N/A</v>
      </c>
      <c r="Z116" s="3" t="e">
        <v>#N/A</v>
      </c>
      <c r="AA116" s="3" t="e">
        <v>#N/A</v>
      </c>
      <c r="AB116" s="3" t="e">
        <v>#N/A</v>
      </c>
      <c r="AC116" s="3" t="e">
        <v>#N/A</v>
      </c>
      <c r="AD116" s="3" t="e">
        <v>#N/A</v>
      </c>
      <c r="AE116" s="3" t="e">
        <v>#N/A</v>
      </c>
      <c r="AF116" s="3" t="e">
        <v>#N/A</v>
      </c>
      <c r="AG116" s="3" t="e">
        <v>#N/A</v>
      </c>
      <c r="AH116" s="3" t="e">
        <v>#N/A</v>
      </c>
      <c r="AI116" s="3" t="e">
        <v>#N/A</v>
      </c>
      <c r="AJ116" s="3" t="e">
        <v>#N/A</v>
      </c>
      <c r="AK116" s="3" t="e">
        <v>#N/A</v>
      </c>
      <c r="AL116" s="3" t="e">
        <v>#N/A</v>
      </c>
      <c r="AM116" s="3" t="e">
        <v>#N/A</v>
      </c>
      <c r="AN116" s="3" t="e">
        <v>#N/A</v>
      </c>
      <c r="AO116" s="3" t="e">
        <v>#N/A</v>
      </c>
      <c r="AP116" s="3" t="e">
        <v>#N/A</v>
      </c>
      <c r="AQ116" s="3" t="e">
        <v>#N/A</v>
      </c>
      <c r="AR116" s="3" t="e">
        <v>#N/A</v>
      </c>
      <c r="AS116" s="3" t="e">
        <v>#N/A</v>
      </c>
      <c r="AT116" s="3" t="e">
        <v>#N/A</v>
      </c>
      <c r="AU116" s="3" t="e">
        <v>#N/A</v>
      </c>
      <c r="AV116" s="3" t="e">
        <v>#N/A</v>
      </c>
      <c r="AW116" s="3" t="e">
        <v>#N/A</v>
      </c>
      <c r="AX116" s="3" t="e">
        <v>#N/A</v>
      </c>
      <c r="AY116" s="3" t="e">
        <v>#N/A</v>
      </c>
      <c r="AZ116" s="3" t="e">
        <v>#N/A</v>
      </c>
      <c r="BA116" s="3" t="e">
        <v>#N/A</v>
      </c>
      <c r="BB116" s="3" t="e">
        <v>#N/A</v>
      </c>
      <c r="BC116" s="3" t="e">
        <v>#N/A</v>
      </c>
      <c r="BD116" s="3" t="e">
        <v>#N/A</v>
      </c>
      <c r="BE116" s="3" t="e">
        <v>#N/A</v>
      </c>
      <c r="BF116" s="3" t="e">
        <v>#N/A</v>
      </c>
      <c r="BG116" s="3" t="e">
        <v>#N/A</v>
      </c>
      <c r="BH116" s="3" t="e">
        <v>#N/A</v>
      </c>
      <c r="BI116" s="3" t="e">
        <v>#N/A</v>
      </c>
      <c r="BJ116" s="3" t="e">
        <v>#N/A</v>
      </c>
      <c r="BK116" s="3" t="e">
        <v>#N/A</v>
      </c>
      <c r="BL116" s="3" t="e">
        <v>#N/A</v>
      </c>
      <c r="BM116" s="3" t="e">
        <v>#N/A</v>
      </c>
      <c r="BN116" s="3" t="e">
        <v>#N/A</v>
      </c>
      <c r="BO116" s="3" t="e">
        <v>#N/A</v>
      </c>
      <c r="BP116" s="3" t="e">
        <v>#N/A</v>
      </c>
      <c r="BQ116" s="3" t="e">
        <v>#N/A</v>
      </c>
      <c r="BR116" s="3" t="e">
        <v>#N/A</v>
      </c>
      <c r="BS116" s="3" t="e">
        <v>#N/A</v>
      </c>
      <c r="BT116" s="3" t="e">
        <v>#N/A</v>
      </c>
      <c r="BU116" s="3" t="e">
        <v>#N/A</v>
      </c>
      <c r="BV116" s="3" t="e">
        <v>#N/A</v>
      </c>
      <c r="BW116" s="3" t="e">
        <v>#N/A</v>
      </c>
      <c r="BX116" s="3" t="e">
        <v>#N/A</v>
      </c>
      <c r="BY116" s="3" t="e">
        <v>#N/A</v>
      </c>
      <c r="BZ116" s="3">
        <v>3.76</v>
      </c>
      <c r="CA116" s="3">
        <v>3.67</v>
      </c>
      <c r="CB116" s="3">
        <v>3.67</v>
      </c>
      <c r="CC116" s="3">
        <v>3.78</v>
      </c>
      <c r="CD116" s="3">
        <v>3.96</v>
      </c>
      <c r="CE116" s="3">
        <v>4.37</v>
      </c>
      <c r="CF116" s="3">
        <v>4.68</v>
      </c>
      <c r="CG116" s="3">
        <v>5.01</v>
      </c>
      <c r="CH116" s="3">
        <v>5.23</v>
      </c>
      <c r="CI116" s="3">
        <v>5.46</v>
      </c>
      <c r="CJ116" s="3">
        <v>5.68</v>
      </c>
      <c r="CK116" s="3">
        <v>5.88</v>
      </c>
      <c r="CL116" s="3">
        <v>6.1</v>
      </c>
      <c r="CM116" s="3">
        <v>6.32</v>
      </c>
    </row>
    <row r="117" spans="1:101" x14ac:dyDescent="0.35">
      <c r="A117" s="1"/>
      <c r="B117" s="4">
        <v>44866</v>
      </c>
      <c r="C117" s="5" t="s">
        <v>951</v>
      </c>
      <c r="D117" t="s">
        <v>958</v>
      </c>
      <c r="E117" t="s">
        <v>603</v>
      </c>
      <c r="F117" t="s">
        <v>918</v>
      </c>
      <c r="G117" t="s">
        <v>1009</v>
      </c>
      <c r="H117" t="s">
        <v>953</v>
      </c>
      <c r="I117" s="3" t="e">
        <v>#N/A</v>
      </c>
      <c r="J117" s="3" t="e">
        <v>#N/A</v>
      </c>
      <c r="K117" s="3" t="e">
        <v>#N/A</v>
      </c>
      <c r="L117" s="3" t="e">
        <v>#N/A</v>
      </c>
      <c r="M117" s="3" t="e">
        <v>#N/A</v>
      </c>
      <c r="N117" s="3" t="e">
        <v>#N/A</v>
      </c>
      <c r="O117" s="3" t="e">
        <v>#N/A</v>
      </c>
      <c r="P117" s="3" t="e">
        <v>#N/A</v>
      </c>
      <c r="Q117" s="3" t="e">
        <v>#N/A</v>
      </c>
      <c r="R117" s="3" t="e">
        <v>#N/A</v>
      </c>
      <c r="S117" s="3" t="e">
        <v>#N/A</v>
      </c>
      <c r="T117" s="3" t="e">
        <v>#N/A</v>
      </c>
      <c r="U117" s="3" t="e">
        <v>#N/A</v>
      </c>
      <c r="V117" s="3" t="e">
        <v>#N/A</v>
      </c>
      <c r="W117" s="3" t="e">
        <v>#N/A</v>
      </c>
      <c r="X117" s="3" t="e">
        <v>#N/A</v>
      </c>
      <c r="Y117" s="3" t="e">
        <v>#N/A</v>
      </c>
      <c r="Z117" s="3" t="e">
        <v>#N/A</v>
      </c>
      <c r="AA117" s="3" t="e">
        <v>#N/A</v>
      </c>
      <c r="AB117" s="3" t="e">
        <v>#N/A</v>
      </c>
      <c r="AC117" s="3" t="e">
        <v>#N/A</v>
      </c>
      <c r="AD117" s="3" t="e">
        <v>#N/A</v>
      </c>
      <c r="AE117" s="3" t="e">
        <v>#N/A</v>
      </c>
      <c r="AF117" s="3" t="e">
        <v>#N/A</v>
      </c>
      <c r="AG117" s="3" t="e">
        <v>#N/A</v>
      </c>
      <c r="AH117" s="3" t="e">
        <v>#N/A</v>
      </c>
      <c r="AI117" s="3" t="e">
        <v>#N/A</v>
      </c>
      <c r="AJ117" s="3" t="e">
        <v>#N/A</v>
      </c>
      <c r="AK117" s="3" t="e">
        <v>#N/A</v>
      </c>
      <c r="AL117" s="3" t="e">
        <v>#N/A</v>
      </c>
      <c r="AM117" s="3" t="e">
        <v>#N/A</v>
      </c>
      <c r="AN117" s="3" t="e">
        <v>#N/A</v>
      </c>
      <c r="AO117" s="3" t="e">
        <v>#N/A</v>
      </c>
      <c r="AP117" s="3" t="e">
        <v>#N/A</v>
      </c>
      <c r="AQ117" s="3" t="e">
        <v>#N/A</v>
      </c>
      <c r="AR117" s="3" t="e">
        <v>#N/A</v>
      </c>
      <c r="AS117" s="3" t="e">
        <v>#N/A</v>
      </c>
      <c r="AT117" s="3" t="e">
        <v>#N/A</v>
      </c>
      <c r="AU117" s="3" t="e">
        <v>#N/A</v>
      </c>
      <c r="AV117" s="3" t="e">
        <v>#N/A</v>
      </c>
      <c r="AW117" s="3" t="e">
        <v>#N/A</v>
      </c>
      <c r="AX117" s="3" t="e">
        <v>#N/A</v>
      </c>
      <c r="AY117" s="3" t="e">
        <v>#N/A</v>
      </c>
      <c r="AZ117" s="3" t="e">
        <v>#N/A</v>
      </c>
      <c r="BA117" s="3" t="e">
        <v>#N/A</v>
      </c>
      <c r="BB117" s="3" t="e">
        <v>#N/A</v>
      </c>
      <c r="BC117" s="3" t="e">
        <v>#N/A</v>
      </c>
      <c r="BD117" s="3" t="e">
        <v>#N/A</v>
      </c>
      <c r="BE117" s="3" t="e">
        <v>#N/A</v>
      </c>
      <c r="BF117" s="3" t="e">
        <v>#N/A</v>
      </c>
      <c r="BG117" s="3" t="e">
        <v>#N/A</v>
      </c>
      <c r="BH117" s="3" t="e">
        <v>#N/A</v>
      </c>
      <c r="BI117" s="3" t="e">
        <v>#N/A</v>
      </c>
      <c r="BJ117" s="3" t="e">
        <v>#N/A</v>
      </c>
      <c r="BK117" s="3" t="e">
        <v>#N/A</v>
      </c>
      <c r="BL117" s="3" t="e">
        <v>#N/A</v>
      </c>
      <c r="BM117" s="3" t="e">
        <v>#N/A</v>
      </c>
      <c r="BN117" s="3" t="e">
        <v>#N/A</v>
      </c>
      <c r="BO117" s="3" t="e">
        <v>#N/A</v>
      </c>
      <c r="BP117" s="3" t="e">
        <v>#N/A</v>
      </c>
      <c r="BQ117" s="3" t="e">
        <v>#N/A</v>
      </c>
      <c r="BR117" s="3" t="e">
        <v>#N/A</v>
      </c>
      <c r="BS117" s="3" t="e">
        <v>#N/A</v>
      </c>
      <c r="BT117" s="3" t="e">
        <v>#N/A</v>
      </c>
      <c r="BU117" s="3" t="e">
        <v>#N/A</v>
      </c>
      <c r="BV117" s="3" t="e">
        <v>#N/A</v>
      </c>
      <c r="BW117" s="3" t="e">
        <v>#N/A</v>
      </c>
      <c r="BX117" s="3" t="e">
        <v>#N/A</v>
      </c>
      <c r="BY117" s="3" t="e">
        <v>#N/A</v>
      </c>
      <c r="BZ117" s="3" t="e">
        <v>#N/A</v>
      </c>
      <c r="CA117" s="3">
        <v>3.47</v>
      </c>
      <c r="CB117" s="3">
        <v>3.65</v>
      </c>
      <c r="CC117" s="3">
        <v>3.84</v>
      </c>
      <c r="CD117" s="3">
        <v>4.3</v>
      </c>
      <c r="CE117" s="3">
        <v>4.6399999999999997</v>
      </c>
      <c r="CF117" s="3">
        <v>4.9400000000000004</v>
      </c>
      <c r="CG117" s="3">
        <v>5.19</v>
      </c>
      <c r="CH117" s="3">
        <v>5.47</v>
      </c>
      <c r="CI117" s="3">
        <v>5.69</v>
      </c>
      <c r="CJ117" s="3">
        <v>5.86</v>
      </c>
      <c r="CK117" s="3">
        <v>6.01</v>
      </c>
      <c r="CL117" s="3">
        <v>6.16</v>
      </c>
      <c r="CM117" s="3">
        <v>6.28</v>
      </c>
      <c r="CN117" s="3">
        <v>6.4</v>
      </c>
    </row>
    <row r="118" spans="1:101" x14ac:dyDescent="0.35">
      <c r="A118" s="1"/>
      <c r="B118" s="4">
        <v>44958</v>
      </c>
      <c r="C118" s="5" t="s">
        <v>965</v>
      </c>
      <c r="D118" t="s">
        <v>970</v>
      </c>
      <c r="E118" t="s">
        <v>618</v>
      </c>
      <c r="F118" t="s">
        <v>946</v>
      </c>
      <c r="G118" t="s">
        <v>1009</v>
      </c>
      <c r="H118" t="s">
        <v>967</v>
      </c>
      <c r="I118" s="3" t="e">
        <v>#N/A</v>
      </c>
      <c r="J118" s="3" t="e">
        <v>#N/A</v>
      </c>
      <c r="K118" s="3" t="e">
        <v>#N/A</v>
      </c>
      <c r="L118" s="3" t="e">
        <v>#N/A</v>
      </c>
      <c r="M118" s="3" t="e">
        <v>#N/A</v>
      </c>
      <c r="N118" s="3" t="e">
        <v>#N/A</v>
      </c>
      <c r="O118" s="3" t="e">
        <v>#N/A</v>
      </c>
      <c r="P118" s="3" t="e">
        <v>#N/A</v>
      </c>
      <c r="Q118" s="3" t="e">
        <v>#N/A</v>
      </c>
      <c r="R118" s="3" t="e">
        <v>#N/A</v>
      </c>
      <c r="S118" s="3" t="e">
        <v>#N/A</v>
      </c>
      <c r="T118" s="3" t="e">
        <v>#N/A</v>
      </c>
      <c r="U118" s="3" t="e">
        <v>#N/A</v>
      </c>
      <c r="V118" s="3" t="e">
        <v>#N/A</v>
      </c>
      <c r="W118" s="3" t="e">
        <v>#N/A</v>
      </c>
      <c r="X118" s="3" t="e">
        <v>#N/A</v>
      </c>
      <c r="Y118" s="3" t="e">
        <v>#N/A</v>
      </c>
      <c r="Z118" s="3" t="e">
        <v>#N/A</v>
      </c>
      <c r="AA118" s="3" t="e">
        <v>#N/A</v>
      </c>
      <c r="AB118" s="3" t="e">
        <v>#N/A</v>
      </c>
      <c r="AC118" s="3" t="e">
        <v>#N/A</v>
      </c>
      <c r="AD118" s="3" t="e">
        <v>#N/A</v>
      </c>
      <c r="AE118" s="3" t="e">
        <v>#N/A</v>
      </c>
      <c r="AF118" s="3" t="e">
        <v>#N/A</v>
      </c>
      <c r="AG118" s="3" t="e">
        <v>#N/A</v>
      </c>
      <c r="AH118" s="3" t="e">
        <v>#N/A</v>
      </c>
      <c r="AI118" s="3" t="e">
        <v>#N/A</v>
      </c>
      <c r="AJ118" s="3" t="e">
        <v>#N/A</v>
      </c>
      <c r="AK118" s="3" t="e">
        <v>#N/A</v>
      </c>
      <c r="AL118" s="3" t="e">
        <v>#N/A</v>
      </c>
      <c r="AM118" s="3" t="e">
        <v>#N/A</v>
      </c>
      <c r="AN118" s="3" t="e">
        <v>#N/A</v>
      </c>
      <c r="AO118" s="3" t="e">
        <v>#N/A</v>
      </c>
      <c r="AP118" s="3" t="e">
        <v>#N/A</v>
      </c>
      <c r="AQ118" s="3" t="e">
        <v>#N/A</v>
      </c>
      <c r="AR118" s="3" t="e">
        <v>#N/A</v>
      </c>
      <c r="AS118" s="3" t="e">
        <v>#N/A</v>
      </c>
      <c r="AT118" s="3" t="e">
        <v>#N/A</v>
      </c>
      <c r="AU118" s="3" t="e">
        <v>#N/A</v>
      </c>
      <c r="AV118" s="3" t="e">
        <v>#N/A</v>
      </c>
      <c r="AW118" s="3" t="e">
        <v>#N/A</v>
      </c>
      <c r="AX118" s="3" t="e">
        <v>#N/A</v>
      </c>
      <c r="AY118" s="3" t="e">
        <v>#N/A</v>
      </c>
      <c r="AZ118" s="3" t="e">
        <v>#N/A</v>
      </c>
      <c r="BA118" s="3" t="e">
        <v>#N/A</v>
      </c>
      <c r="BB118" s="3" t="e">
        <v>#N/A</v>
      </c>
      <c r="BC118" s="3" t="e">
        <v>#N/A</v>
      </c>
      <c r="BD118" s="3" t="e">
        <v>#N/A</v>
      </c>
      <c r="BE118" s="3" t="e">
        <v>#N/A</v>
      </c>
      <c r="BF118" s="3" t="e">
        <v>#N/A</v>
      </c>
      <c r="BG118" s="3" t="e">
        <v>#N/A</v>
      </c>
      <c r="BH118" s="3" t="e">
        <v>#N/A</v>
      </c>
      <c r="BI118" s="3" t="e">
        <v>#N/A</v>
      </c>
      <c r="BJ118" s="3" t="e">
        <v>#N/A</v>
      </c>
      <c r="BK118" s="3" t="e">
        <v>#N/A</v>
      </c>
      <c r="BL118" s="3" t="e">
        <v>#N/A</v>
      </c>
      <c r="BM118" s="3" t="e">
        <v>#N/A</v>
      </c>
      <c r="BN118" s="3" t="e">
        <v>#N/A</v>
      </c>
      <c r="BO118" s="3" t="e">
        <v>#N/A</v>
      </c>
      <c r="BP118" s="3" t="e">
        <v>#N/A</v>
      </c>
      <c r="BQ118" s="3" t="e">
        <v>#N/A</v>
      </c>
      <c r="BR118" s="3" t="e">
        <v>#N/A</v>
      </c>
      <c r="BS118" s="3" t="e">
        <v>#N/A</v>
      </c>
      <c r="BT118" s="3" t="e">
        <v>#N/A</v>
      </c>
      <c r="BU118" s="3" t="e">
        <v>#N/A</v>
      </c>
      <c r="BV118" s="3" t="e">
        <v>#N/A</v>
      </c>
      <c r="BW118" s="3" t="e">
        <v>#N/A</v>
      </c>
      <c r="BX118" s="3" t="e">
        <v>#N/A</v>
      </c>
      <c r="BY118" s="3" t="e">
        <v>#N/A</v>
      </c>
      <c r="BZ118" s="3" t="e">
        <v>#N/A</v>
      </c>
      <c r="CA118" s="3" t="e">
        <v>#N/A</v>
      </c>
      <c r="CB118" s="3">
        <v>3.69</v>
      </c>
      <c r="CC118" s="3">
        <v>3.82</v>
      </c>
      <c r="CD118" s="3">
        <v>4.08</v>
      </c>
      <c r="CE118" s="3">
        <v>4.18</v>
      </c>
      <c r="CF118" s="3">
        <v>4.28</v>
      </c>
      <c r="CG118" s="3">
        <v>4.43</v>
      </c>
      <c r="CH118" s="3">
        <v>4.57</v>
      </c>
      <c r="CI118" s="3">
        <v>4.7</v>
      </c>
      <c r="CJ118" s="3">
        <v>4.8099999999999996</v>
      </c>
      <c r="CK118" s="3">
        <v>4.96</v>
      </c>
      <c r="CL118" s="3">
        <v>5.12</v>
      </c>
      <c r="CM118" s="3">
        <v>5.22</v>
      </c>
      <c r="CN118" s="3">
        <v>5.27</v>
      </c>
      <c r="CO118" s="3">
        <v>5.31</v>
      </c>
    </row>
    <row r="119" spans="1:101" x14ac:dyDescent="0.35">
      <c r="A119" s="1"/>
      <c r="B119" s="4">
        <v>45047</v>
      </c>
      <c r="C119" s="5" t="s">
        <v>1007</v>
      </c>
      <c r="D119" t="s">
        <v>1014</v>
      </c>
      <c r="E119" t="s">
        <v>627</v>
      </c>
      <c r="F119" t="s">
        <v>960</v>
      </c>
      <c r="G119" t="s">
        <v>1009</v>
      </c>
      <c r="H119" t="s">
        <v>1010</v>
      </c>
      <c r="I119" s="3" t="e">
        <v>#N/A</v>
      </c>
      <c r="J119" s="3" t="e">
        <v>#N/A</v>
      </c>
      <c r="K119" s="3" t="e">
        <v>#N/A</v>
      </c>
      <c r="L119" s="3" t="e">
        <v>#N/A</v>
      </c>
      <c r="M119" s="3" t="e">
        <v>#N/A</v>
      </c>
      <c r="N119" s="3" t="e">
        <v>#N/A</v>
      </c>
      <c r="O119" s="3" t="e">
        <v>#N/A</v>
      </c>
      <c r="P119" s="3" t="e">
        <v>#N/A</v>
      </c>
      <c r="Q119" s="3" t="e">
        <v>#N/A</v>
      </c>
      <c r="R119" s="3" t="e">
        <v>#N/A</v>
      </c>
      <c r="S119" s="3" t="e">
        <v>#N/A</v>
      </c>
      <c r="T119" s="3" t="e">
        <v>#N/A</v>
      </c>
      <c r="U119" s="3" t="e">
        <v>#N/A</v>
      </c>
      <c r="V119" s="3" t="e">
        <v>#N/A</v>
      </c>
      <c r="W119" s="3" t="e">
        <v>#N/A</v>
      </c>
      <c r="X119" s="3" t="e">
        <v>#N/A</v>
      </c>
      <c r="Y119" s="3" t="e">
        <v>#N/A</v>
      </c>
      <c r="Z119" s="3" t="e">
        <v>#N/A</v>
      </c>
      <c r="AA119" s="3" t="e">
        <v>#N/A</v>
      </c>
      <c r="AB119" s="3" t="e">
        <v>#N/A</v>
      </c>
      <c r="AC119" s="3" t="e">
        <v>#N/A</v>
      </c>
      <c r="AD119" s="3" t="e">
        <v>#N/A</v>
      </c>
      <c r="AE119" s="3" t="e">
        <v>#N/A</v>
      </c>
      <c r="AF119" s="3" t="e">
        <v>#N/A</v>
      </c>
      <c r="AG119" s="3" t="e">
        <v>#N/A</v>
      </c>
      <c r="AH119" s="3" t="e">
        <v>#N/A</v>
      </c>
      <c r="AI119" s="3" t="e">
        <v>#N/A</v>
      </c>
      <c r="AJ119" s="3" t="e">
        <v>#N/A</v>
      </c>
      <c r="AK119" s="3" t="e">
        <v>#N/A</v>
      </c>
      <c r="AL119" s="3" t="e">
        <v>#N/A</v>
      </c>
      <c r="AM119" s="3" t="e">
        <v>#N/A</v>
      </c>
      <c r="AN119" s="3" t="e">
        <v>#N/A</v>
      </c>
      <c r="AO119" s="3" t="e">
        <v>#N/A</v>
      </c>
      <c r="AP119" s="3" t="e">
        <v>#N/A</v>
      </c>
      <c r="AQ119" s="3" t="e">
        <v>#N/A</v>
      </c>
      <c r="AR119" s="3" t="e">
        <v>#N/A</v>
      </c>
      <c r="AS119" s="3" t="e">
        <v>#N/A</v>
      </c>
      <c r="AT119" s="3" t="e">
        <v>#N/A</v>
      </c>
      <c r="AU119" s="3" t="e">
        <v>#N/A</v>
      </c>
      <c r="AV119" s="3" t="e">
        <v>#N/A</v>
      </c>
      <c r="AW119" s="3" t="e">
        <v>#N/A</v>
      </c>
      <c r="AX119" s="3" t="e">
        <v>#N/A</v>
      </c>
      <c r="AY119" s="3" t="e">
        <v>#N/A</v>
      </c>
      <c r="AZ119" s="3" t="e">
        <v>#N/A</v>
      </c>
      <c r="BA119" s="3" t="e">
        <v>#N/A</v>
      </c>
      <c r="BB119" s="3" t="e">
        <v>#N/A</v>
      </c>
      <c r="BC119" s="3" t="e">
        <v>#N/A</v>
      </c>
      <c r="BD119" s="3" t="e">
        <v>#N/A</v>
      </c>
      <c r="BE119" s="3" t="e">
        <v>#N/A</v>
      </c>
      <c r="BF119" s="3" t="e">
        <v>#N/A</v>
      </c>
      <c r="BG119" s="3" t="e">
        <v>#N/A</v>
      </c>
      <c r="BH119" s="3" t="e">
        <v>#N/A</v>
      </c>
      <c r="BI119" s="3" t="e">
        <v>#N/A</v>
      </c>
      <c r="BJ119" s="3" t="e">
        <v>#N/A</v>
      </c>
      <c r="BK119" s="3" t="e">
        <v>#N/A</v>
      </c>
      <c r="BL119" s="3" t="e">
        <v>#N/A</v>
      </c>
      <c r="BM119" s="3" t="e">
        <v>#N/A</v>
      </c>
      <c r="BN119" s="3" t="e">
        <v>#N/A</v>
      </c>
      <c r="BO119" s="3" t="e">
        <v>#N/A</v>
      </c>
      <c r="BP119" s="3" t="e">
        <v>#N/A</v>
      </c>
      <c r="BQ119" s="3" t="e">
        <v>#N/A</v>
      </c>
      <c r="BR119" s="3" t="e">
        <v>#N/A</v>
      </c>
      <c r="BS119" s="3" t="e">
        <v>#N/A</v>
      </c>
      <c r="BT119" s="3" t="e">
        <v>#N/A</v>
      </c>
      <c r="BU119" s="3" t="e">
        <v>#N/A</v>
      </c>
      <c r="BV119" s="3" t="e">
        <v>#N/A</v>
      </c>
      <c r="BW119" s="3" t="e">
        <v>#N/A</v>
      </c>
      <c r="BX119" s="3" t="e">
        <v>#N/A</v>
      </c>
      <c r="BY119" s="3" t="e">
        <v>#N/A</v>
      </c>
      <c r="BZ119" s="3" t="e">
        <v>#N/A</v>
      </c>
      <c r="CA119" s="3" t="e">
        <v>#N/A</v>
      </c>
      <c r="CB119" s="3" t="e">
        <v>#N/A</v>
      </c>
      <c r="CC119" s="3">
        <v>3.78</v>
      </c>
      <c r="CD119" s="3">
        <v>3.83</v>
      </c>
      <c r="CE119" s="3">
        <v>3.83</v>
      </c>
      <c r="CF119" s="3">
        <v>3.84</v>
      </c>
      <c r="CG119" s="3">
        <v>3.84</v>
      </c>
      <c r="CH119" s="3">
        <v>3.87</v>
      </c>
      <c r="CI119" s="3">
        <v>3.92</v>
      </c>
      <c r="CJ119" s="3">
        <v>4.0199999999999996</v>
      </c>
      <c r="CK119" s="3">
        <v>4.1500000000000004</v>
      </c>
      <c r="CL119" s="3">
        <v>4.2699999999999996</v>
      </c>
      <c r="CM119" s="3">
        <v>4.38</v>
      </c>
      <c r="CN119" s="3">
        <v>4.4400000000000004</v>
      </c>
      <c r="CO119" s="3">
        <v>4.51</v>
      </c>
      <c r="CP119" s="3">
        <v>4.54</v>
      </c>
    </row>
    <row r="120" spans="1:101" x14ac:dyDescent="0.35">
      <c r="A120" s="1"/>
      <c r="B120" s="4">
        <v>45139</v>
      </c>
      <c r="C120" s="5" t="s">
        <v>1036</v>
      </c>
      <c r="D120" t="s">
        <v>1040</v>
      </c>
      <c r="E120" t="s">
        <v>640</v>
      </c>
      <c r="F120" t="s">
        <v>1002</v>
      </c>
      <c r="G120" t="s">
        <v>1009</v>
      </c>
      <c r="H120" t="s">
        <v>1032</v>
      </c>
      <c r="I120" s="3" t="e">
        <v>#N/A</v>
      </c>
      <c r="J120" s="3" t="e">
        <v>#N/A</v>
      </c>
      <c r="K120" s="3" t="e">
        <v>#N/A</v>
      </c>
      <c r="L120" s="3" t="e">
        <v>#N/A</v>
      </c>
      <c r="M120" s="3" t="e">
        <v>#N/A</v>
      </c>
      <c r="N120" s="3" t="e">
        <v>#N/A</v>
      </c>
      <c r="O120" s="3" t="e">
        <v>#N/A</v>
      </c>
      <c r="P120" s="3" t="e">
        <v>#N/A</v>
      </c>
      <c r="Q120" s="3" t="e">
        <v>#N/A</v>
      </c>
      <c r="R120" s="3" t="e">
        <v>#N/A</v>
      </c>
      <c r="S120" s="3" t="e">
        <v>#N/A</v>
      </c>
      <c r="T120" s="3" t="e">
        <v>#N/A</v>
      </c>
      <c r="U120" s="3" t="e">
        <v>#N/A</v>
      </c>
      <c r="V120" s="3" t="e">
        <v>#N/A</v>
      </c>
      <c r="W120" s="3" t="e">
        <v>#N/A</v>
      </c>
      <c r="X120" s="3" t="e">
        <v>#N/A</v>
      </c>
      <c r="Y120" s="3" t="e">
        <v>#N/A</v>
      </c>
      <c r="Z120" s="3" t="e">
        <v>#N/A</v>
      </c>
      <c r="AA120" s="3" t="e">
        <v>#N/A</v>
      </c>
      <c r="AB120" s="3" t="e">
        <v>#N/A</v>
      </c>
      <c r="AC120" s="3" t="e">
        <v>#N/A</v>
      </c>
      <c r="AD120" s="3" t="e">
        <v>#N/A</v>
      </c>
      <c r="AE120" s="3" t="e">
        <v>#N/A</v>
      </c>
      <c r="AF120" s="3" t="e">
        <v>#N/A</v>
      </c>
      <c r="AG120" s="3" t="e">
        <v>#N/A</v>
      </c>
      <c r="AH120" s="3" t="e">
        <v>#N/A</v>
      </c>
      <c r="AI120" s="3" t="e">
        <v>#N/A</v>
      </c>
      <c r="AJ120" s="3" t="e">
        <v>#N/A</v>
      </c>
      <c r="AK120" s="3" t="e">
        <v>#N/A</v>
      </c>
      <c r="AL120" s="3" t="e">
        <v>#N/A</v>
      </c>
      <c r="AM120" s="3" t="e">
        <v>#N/A</v>
      </c>
      <c r="AN120" s="3" t="e">
        <v>#N/A</v>
      </c>
      <c r="AO120" s="3" t="e">
        <v>#N/A</v>
      </c>
      <c r="AP120" s="3" t="e">
        <v>#N/A</v>
      </c>
      <c r="AQ120" s="3" t="e">
        <v>#N/A</v>
      </c>
      <c r="AR120" s="3" t="e">
        <v>#N/A</v>
      </c>
      <c r="AS120" s="3" t="e">
        <v>#N/A</v>
      </c>
      <c r="AT120" s="3" t="e">
        <v>#N/A</v>
      </c>
      <c r="AU120" s="3" t="e">
        <v>#N/A</v>
      </c>
      <c r="AV120" s="3" t="e">
        <v>#N/A</v>
      </c>
      <c r="AW120" s="3" t="e">
        <v>#N/A</v>
      </c>
      <c r="AX120" s="3" t="e">
        <v>#N/A</v>
      </c>
      <c r="AY120" s="3" t="e">
        <v>#N/A</v>
      </c>
      <c r="AZ120" s="3" t="e">
        <v>#N/A</v>
      </c>
      <c r="BA120" s="3" t="e">
        <v>#N/A</v>
      </c>
      <c r="BB120" s="3" t="e">
        <v>#N/A</v>
      </c>
      <c r="BC120" s="3" t="e">
        <v>#N/A</v>
      </c>
      <c r="BD120" s="3" t="e">
        <v>#N/A</v>
      </c>
      <c r="BE120" s="3" t="e">
        <v>#N/A</v>
      </c>
      <c r="BF120" s="3" t="e">
        <v>#N/A</v>
      </c>
      <c r="BG120" s="3" t="e">
        <v>#N/A</v>
      </c>
      <c r="BH120" s="3" t="e">
        <v>#N/A</v>
      </c>
      <c r="BI120" s="3" t="e">
        <v>#N/A</v>
      </c>
      <c r="BJ120" s="3" t="e">
        <v>#N/A</v>
      </c>
      <c r="BK120" s="3" t="e">
        <v>#N/A</v>
      </c>
      <c r="BL120" s="3" t="e">
        <v>#N/A</v>
      </c>
      <c r="BM120" s="3" t="e">
        <v>#N/A</v>
      </c>
      <c r="BN120" s="3" t="e">
        <v>#N/A</v>
      </c>
      <c r="BO120" s="3" t="e">
        <v>#N/A</v>
      </c>
      <c r="BP120" s="3" t="e">
        <v>#N/A</v>
      </c>
      <c r="BQ120" s="3" t="e">
        <v>#N/A</v>
      </c>
      <c r="BR120" s="3" t="e">
        <v>#N/A</v>
      </c>
      <c r="BS120" s="3" t="e">
        <v>#N/A</v>
      </c>
      <c r="BT120" s="3" t="e">
        <v>#N/A</v>
      </c>
      <c r="BU120" s="3" t="e">
        <v>#N/A</v>
      </c>
      <c r="BV120" s="3" t="e">
        <v>#N/A</v>
      </c>
      <c r="BW120" s="3" t="e">
        <v>#N/A</v>
      </c>
      <c r="BX120" s="3" t="e">
        <v>#N/A</v>
      </c>
      <c r="BY120" s="3" t="e">
        <v>#N/A</v>
      </c>
      <c r="BZ120" s="3" t="e">
        <v>#N/A</v>
      </c>
      <c r="CA120" s="3" t="e">
        <v>#N/A</v>
      </c>
      <c r="CB120" s="3" t="e">
        <v>#N/A</v>
      </c>
      <c r="CC120" s="3" t="e">
        <v>#N/A</v>
      </c>
      <c r="CD120" s="3">
        <v>4.04</v>
      </c>
      <c r="CE120" s="3">
        <v>4.07</v>
      </c>
      <c r="CF120" s="3">
        <v>4.09</v>
      </c>
      <c r="CG120" s="3">
        <v>4.1399999999999997</v>
      </c>
      <c r="CH120" s="3">
        <v>4.2300000000000004</v>
      </c>
      <c r="CI120" s="3">
        <v>4.34</v>
      </c>
      <c r="CJ120" s="3">
        <v>4.5</v>
      </c>
      <c r="CK120" s="3">
        <v>4.6100000000000003</v>
      </c>
      <c r="CL120" s="3">
        <v>4.7</v>
      </c>
      <c r="CM120" s="3">
        <v>4.76</v>
      </c>
      <c r="CN120" s="3">
        <v>4.8</v>
      </c>
      <c r="CO120" s="3">
        <v>4.83</v>
      </c>
      <c r="CP120" s="3">
        <v>4.84</v>
      </c>
      <c r="CQ120" s="3">
        <v>4.84</v>
      </c>
    </row>
    <row r="121" spans="1:101" x14ac:dyDescent="0.35">
      <c r="A121" s="1"/>
      <c r="B121" s="4">
        <v>45231</v>
      </c>
      <c r="C121" s="5" t="s">
        <v>1062</v>
      </c>
      <c r="D121" t="s">
        <v>1068</v>
      </c>
      <c r="E121" t="s">
        <v>655</v>
      </c>
      <c r="F121" t="s">
        <v>1017</v>
      </c>
      <c r="G121" t="s">
        <v>1009</v>
      </c>
      <c r="H121" t="s">
        <v>1064</v>
      </c>
      <c r="I121" s="3" t="e">
        <v>#N/A</v>
      </c>
      <c r="J121" s="3" t="e">
        <v>#N/A</v>
      </c>
      <c r="K121" s="3" t="e">
        <v>#N/A</v>
      </c>
      <c r="L121" s="3" t="e">
        <v>#N/A</v>
      </c>
      <c r="M121" s="3" t="e">
        <v>#N/A</v>
      </c>
      <c r="N121" s="3" t="e">
        <v>#N/A</v>
      </c>
      <c r="O121" s="3" t="e">
        <v>#N/A</v>
      </c>
      <c r="P121" s="3" t="e">
        <v>#N/A</v>
      </c>
      <c r="Q121" s="3" t="e">
        <v>#N/A</v>
      </c>
      <c r="R121" s="3" t="e">
        <v>#N/A</v>
      </c>
      <c r="S121" s="3" t="e">
        <v>#N/A</v>
      </c>
      <c r="T121" s="3" t="e">
        <v>#N/A</v>
      </c>
      <c r="U121" s="3" t="e">
        <v>#N/A</v>
      </c>
      <c r="V121" s="3" t="e">
        <v>#N/A</v>
      </c>
      <c r="W121" s="3" t="e">
        <v>#N/A</v>
      </c>
      <c r="X121" s="3" t="e">
        <v>#N/A</v>
      </c>
      <c r="Y121" s="3" t="e">
        <v>#N/A</v>
      </c>
      <c r="Z121" s="3" t="e">
        <v>#N/A</v>
      </c>
      <c r="AA121" s="3" t="e">
        <v>#N/A</v>
      </c>
      <c r="AB121" s="3" t="e">
        <v>#N/A</v>
      </c>
      <c r="AC121" s="3" t="e">
        <v>#N/A</v>
      </c>
      <c r="AD121" s="3" t="e">
        <v>#N/A</v>
      </c>
      <c r="AE121" s="3" t="e">
        <v>#N/A</v>
      </c>
      <c r="AF121" s="3" t="e">
        <v>#N/A</v>
      </c>
      <c r="AG121" s="3" t="e">
        <v>#N/A</v>
      </c>
      <c r="AH121" s="3" t="e">
        <v>#N/A</v>
      </c>
      <c r="AI121" s="3" t="e">
        <v>#N/A</v>
      </c>
      <c r="AJ121" s="3" t="e">
        <v>#N/A</v>
      </c>
      <c r="AK121" s="3" t="e">
        <v>#N/A</v>
      </c>
      <c r="AL121" s="3" t="e">
        <v>#N/A</v>
      </c>
      <c r="AM121" s="3" t="e">
        <v>#N/A</v>
      </c>
      <c r="AN121" s="3" t="e">
        <v>#N/A</v>
      </c>
      <c r="AO121" s="3" t="e">
        <v>#N/A</v>
      </c>
      <c r="AP121" s="3" t="e">
        <v>#N/A</v>
      </c>
      <c r="AQ121" s="3" t="e">
        <v>#N/A</v>
      </c>
      <c r="AR121" s="3" t="e">
        <v>#N/A</v>
      </c>
      <c r="AS121" s="3" t="e">
        <v>#N/A</v>
      </c>
      <c r="AT121" s="3" t="e">
        <v>#N/A</v>
      </c>
      <c r="AU121" s="3" t="e">
        <v>#N/A</v>
      </c>
      <c r="AV121" s="3" t="e">
        <v>#N/A</v>
      </c>
      <c r="AW121" s="3" t="e">
        <v>#N/A</v>
      </c>
      <c r="AX121" s="3" t="e">
        <v>#N/A</v>
      </c>
      <c r="AY121" s="3" t="e">
        <v>#N/A</v>
      </c>
      <c r="AZ121" s="3" t="e">
        <v>#N/A</v>
      </c>
      <c r="BA121" s="3" t="e">
        <v>#N/A</v>
      </c>
      <c r="BB121" s="3" t="e">
        <v>#N/A</v>
      </c>
      <c r="BC121" s="3" t="e">
        <v>#N/A</v>
      </c>
      <c r="BD121" s="3" t="e">
        <v>#N/A</v>
      </c>
      <c r="BE121" s="3" t="e">
        <v>#N/A</v>
      </c>
      <c r="BF121" s="3" t="e">
        <v>#N/A</v>
      </c>
      <c r="BG121" s="3" t="e">
        <v>#N/A</v>
      </c>
      <c r="BH121" s="3" t="e">
        <v>#N/A</v>
      </c>
      <c r="BI121" s="3" t="e">
        <v>#N/A</v>
      </c>
      <c r="BJ121" s="3" t="e">
        <v>#N/A</v>
      </c>
      <c r="BK121" s="3" t="e">
        <v>#N/A</v>
      </c>
      <c r="BL121" s="3" t="e">
        <v>#N/A</v>
      </c>
      <c r="BM121" s="3" t="e">
        <v>#N/A</v>
      </c>
      <c r="BN121" s="3" t="e">
        <v>#N/A</v>
      </c>
      <c r="BO121" s="3" t="e">
        <v>#N/A</v>
      </c>
      <c r="BP121" s="3" t="e">
        <v>#N/A</v>
      </c>
      <c r="BQ121" s="3" t="e">
        <v>#N/A</v>
      </c>
      <c r="BR121" s="3" t="e">
        <v>#N/A</v>
      </c>
      <c r="BS121" s="3" t="e">
        <v>#N/A</v>
      </c>
      <c r="BT121" s="3" t="e">
        <v>#N/A</v>
      </c>
      <c r="BU121" s="3" t="e">
        <v>#N/A</v>
      </c>
      <c r="BV121" s="3" t="e">
        <v>#N/A</v>
      </c>
      <c r="BW121" s="3" t="e">
        <v>#N/A</v>
      </c>
      <c r="BX121" s="3" t="e">
        <v>#N/A</v>
      </c>
      <c r="BY121" s="3" t="e">
        <v>#N/A</v>
      </c>
      <c r="BZ121" s="3" t="e">
        <v>#N/A</v>
      </c>
      <c r="CA121" s="3" t="e">
        <v>#N/A</v>
      </c>
      <c r="CB121" s="3" t="e">
        <v>#N/A</v>
      </c>
      <c r="CC121" s="3" t="e">
        <v>#N/A</v>
      </c>
      <c r="CD121" s="3" t="e">
        <v>#N/A</v>
      </c>
      <c r="CE121" s="3">
        <v>4.2</v>
      </c>
      <c r="CF121" s="3">
        <v>4.3</v>
      </c>
      <c r="CG121" s="3">
        <v>4.4000000000000004</v>
      </c>
      <c r="CH121" s="3">
        <v>4.5</v>
      </c>
      <c r="CI121" s="3">
        <v>4.5999999999999996</v>
      </c>
      <c r="CJ121" s="3">
        <v>4.7</v>
      </c>
      <c r="CK121" s="3">
        <v>4.8</v>
      </c>
      <c r="CL121" s="3">
        <v>4.9000000000000004</v>
      </c>
      <c r="CM121" s="3">
        <v>4.9000000000000004</v>
      </c>
      <c r="CN121" s="3">
        <v>5</v>
      </c>
      <c r="CO121" s="3">
        <v>5</v>
      </c>
      <c r="CP121" s="3">
        <v>5.0999999999999996</v>
      </c>
      <c r="CQ121" s="3">
        <v>5.0999999999999996</v>
      </c>
      <c r="CR121" s="3">
        <v>5.0999999999999996</v>
      </c>
    </row>
    <row r="122" spans="1:101" x14ac:dyDescent="0.35">
      <c r="A122" s="1"/>
      <c r="B122" s="4">
        <v>45323</v>
      </c>
      <c r="C122" s="5" t="s">
        <v>1090</v>
      </c>
      <c r="D122" t="s">
        <v>1096</v>
      </c>
      <c r="E122" t="s">
        <v>656</v>
      </c>
      <c r="F122" t="s">
        <v>1057</v>
      </c>
      <c r="G122" t="s">
        <v>1009</v>
      </c>
      <c r="H122" t="s">
        <v>1092</v>
      </c>
      <c r="I122" s="3" t="e">
        <v>#N/A</v>
      </c>
      <c r="J122" s="3" t="e">
        <v>#N/A</v>
      </c>
      <c r="K122" s="3" t="e">
        <v>#N/A</v>
      </c>
      <c r="L122" s="3" t="e">
        <v>#N/A</v>
      </c>
      <c r="M122" s="3" t="e">
        <v>#N/A</v>
      </c>
      <c r="N122" s="3" t="e">
        <v>#N/A</v>
      </c>
      <c r="O122" s="3" t="e">
        <v>#N/A</v>
      </c>
      <c r="P122" s="3" t="e">
        <v>#N/A</v>
      </c>
      <c r="Q122" s="3" t="e">
        <v>#N/A</v>
      </c>
      <c r="R122" s="3" t="e">
        <v>#N/A</v>
      </c>
      <c r="S122" s="3" t="e">
        <v>#N/A</v>
      </c>
      <c r="T122" s="3" t="e">
        <v>#N/A</v>
      </c>
      <c r="U122" s="3" t="e">
        <v>#N/A</v>
      </c>
      <c r="V122" s="3" t="e">
        <v>#N/A</v>
      </c>
      <c r="W122" s="3" t="e">
        <v>#N/A</v>
      </c>
      <c r="X122" s="3" t="e">
        <v>#N/A</v>
      </c>
      <c r="Y122" s="3" t="e">
        <v>#N/A</v>
      </c>
      <c r="Z122" s="3" t="e">
        <v>#N/A</v>
      </c>
      <c r="AA122" s="3" t="e">
        <v>#N/A</v>
      </c>
      <c r="AB122" s="3" t="e">
        <v>#N/A</v>
      </c>
      <c r="AC122" s="3" t="e">
        <v>#N/A</v>
      </c>
      <c r="AD122" s="3" t="e">
        <v>#N/A</v>
      </c>
      <c r="AE122" s="3" t="e">
        <v>#N/A</v>
      </c>
      <c r="AF122" s="3" t="e">
        <v>#N/A</v>
      </c>
      <c r="AG122" s="3" t="e">
        <v>#N/A</v>
      </c>
      <c r="AH122" s="3" t="e">
        <v>#N/A</v>
      </c>
      <c r="AI122" s="3" t="e">
        <v>#N/A</v>
      </c>
      <c r="AJ122" s="3" t="e">
        <v>#N/A</v>
      </c>
      <c r="AK122" s="3" t="e">
        <v>#N/A</v>
      </c>
      <c r="AL122" s="3" t="e">
        <v>#N/A</v>
      </c>
      <c r="AM122" s="3" t="e">
        <v>#N/A</v>
      </c>
      <c r="AN122" s="3" t="e">
        <v>#N/A</v>
      </c>
      <c r="AO122" s="3" t="e">
        <v>#N/A</v>
      </c>
      <c r="AP122" s="3" t="e">
        <v>#N/A</v>
      </c>
      <c r="AQ122" s="3" t="e">
        <v>#N/A</v>
      </c>
      <c r="AR122" s="3" t="e">
        <v>#N/A</v>
      </c>
      <c r="AS122" s="3" t="e">
        <v>#N/A</v>
      </c>
      <c r="AT122" s="3" t="e">
        <v>#N/A</v>
      </c>
      <c r="AU122" s="3" t="e">
        <v>#N/A</v>
      </c>
      <c r="AV122" s="3" t="e">
        <v>#N/A</v>
      </c>
      <c r="AW122" s="3" t="e">
        <v>#N/A</v>
      </c>
      <c r="AX122" s="3" t="e">
        <v>#N/A</v>
      </c>
      <c r="AY122" s="3" t="e">
        <v>#N/A</v>
      </c>
      <c r="AZ122" s="3" t="e">
        <v>#N/A</v>
      </c>
      <c r="BA122" s="3" t="e">
        <v>#N/A</v>
      </c>
      <c r="BB122" s="3" t="e">
        <v>#N/A</v>
      </c>
      <c r="BC122" s="3" t="e">
        <v>#N/A</v>
      </c>
      <c r="BD122" s="3" t="e">
        <v>#N/A</v>
      </c>
      <c r="BE122" s="3" t="e">
        <v>#N/A</v>
      </c>
      <c r="BF122" s="3" t="e">
        <v>#N/A</v>
      </c>
      <c r="BG122" s="3" t="e">
        <v>#N/A</v>
      </c>
      <c r="BH122" s="3" t="e">
        <v>#N/A</v>
      </c>
      <c r="BI122" s="3" t="e">
        <v>#N/A</v>
      </c>
      <c r="BJ122" s="3" t="e">
        <v>#N/A</v>
      </c>
      <c r="BK122" s="3" t="e">
        <v>#N/A</v>
      </c>
      <c r="BL122" s="3" t="e">
        <v>#N/A</v>
      </c>
      <c r="BM122" s="3" t="e">
        <v>#N/A</v>
      </c>
      <c r="BN122" s="3" t="e">
        <v>#N/A</v>
      </c>
      <c r="BO122" s="3" t="e">
        <v>#N/A</v>
      </c>
      <c r="BP122" s="3" t="e">
        <v>#N/A</v>
      </c>
      <c r="BQ122" s="3" t="e">
        <v>#N/A</v>
      </c>
      <c r="BR122" s="3" t="e">
        <v>#N/A</v>
      </c>
      <c r="BS122" s="3" t="e">
        <v>#N/A</v>
      </c>
      <c r="BT122" s="3" t="e">
        <v>#N/A</v>
      </c>
      <c r="BU122" s="3" t="e">
        <v>#N/A</v>
      </c>
      <c r="BV122" s="3" t="e">
        <v>#N/A</v>
      </c>
      <c r="BW122" s="3" t="e">
        <v>#N/A</v>
      </c>
      <c r="BX122" s="3" t="e">
        <v>#N/A</v>
      </c>
      <c r="BY122" s="3" t="e">
        <v>#N/A</v>
      </c>
      <c r="BZ122" s="3" t="e">
        <v>#N/A</v>
      </c>
      <c r="CA122" s="3" t="e">
        <v>#N/A</v>
      </c>
      <c r="CB122" s="3" t="e">
        <v>#N/A</v>
      </c>
      <c r="CC122" s="3" t="e">
        <v>#N/A</v>
      </c>
      <c r="CD122" s="3" t="e">
        <v>#N/A</v>
      </c>
      <c r="CE122" s="3" t="e">
        <v>#N/A</v>
      </c>
      <c r="CF122" s="3">
        <v>4.3</v>
      </c>
      <c r="CG122" s="3">
        <v>4.4000000000000004</v>
      </c>
      <c r="CH122" s="3">
        <v>4.4000000000000004</v>
      </c>
      <c r="CI122" s="3">
        <v>4.5</v>
      </c>
      <c r="CJ122" s="3">
        <v>4.5999999999999996</v>
      </c>
      <c r="CK122" s="3">
        <v>4.7</v>
      </c>
      <c r="CL122" s="3">
        <v>4.8</v>
      </c>
      <c r="CM122" s="3">
        <v>4.8</v>
      </c>
      <c r="CN122" s="3">
        <v>4.9000000000000004</v>
      </c>
      <c r="CO122" s="3">
        <v>4.9000000000000004</v>
      </c>
      <c r="CP122" s="3">
        <v>5</v>
      </c>
      <c r="CQ122" s="3">
        <v>5</v>
      </c>
      <c r="CR122" s="3">
        <v>5</v>
      </c>
      <c r="CS122" s="3">
        <v>4.9000000000000004</v>
      </c>
    </row>
    <row r="123" spans="1:101" x14ac:dyDescent="0.35">
      <c r="A123" s="1"/>
      <c r="B123" s="4">
        <v>45413</v>
      </c>
      <c r="C123" s="5" t="s">
        <v>1118</v>
      </c>
      <c r="D123" t="s">
        <v>1124</v>
      </c>
      <c r="E123" t="s">
        <v>668</v>
      </c>
      <c r="F123" t="s">
        <v>1083</v>
      </c>
      <c r="G123" t="s">
        <v>1009</v>
      </c>
      <c r="H123" t="s">
        <v>1120</v>
      </c>
      <c r="I123" s="3" t="e">
        <v>#N/A</v>
      </c>
      <c r="J123" s="3" t="e">
        <v>#N/A</v>
      </c>
      <c r="K123" s="3" t="e">
        <v>#N/A</v>
      </c>
      <c r="L123" s="3" t="e">
        <v>#N/A</v>
      </c>
      <c r="M123" s="3" t="e">
        <v>#N/A</v>
      </c>
      <c r="N123" s="3" t="e">
        <v>#N/A</v>
      </c>
      <c r="O123" s="3" t="e">
        <v>#N/A</v>
      </c>
      <c r="P123" s="3" t="e">
        <v>#N/A</v>
      </c>
      <c r="Q123" s="3" t="e">
        <v>#N/A</v>
      </c>
      <c r="R123" s="3" t="e">
        <v>#N/A</v>
      </c>
      <c r="S123" s="3" t="e">
        <v>#N/A</v>
      </c>
      <c r="T123" s="3" t="e">
        <v>#N/A</v>
      </c>
      <c r="U123" s="3" t="e">
        <v>#N/A</v>
      </c>
      <c r="V123" s="3" t="e">
        <v>#N/A</v>
      </c>
      <c r="W123" s="3" t="e">
        <v>#N/A</v>
      </c>
      <c r="X123" s="3" t="e">
        <v>#N/A</v>
      </c>
      <c r="Y123" s="3" t="e">
        <v>#N/A</v>
      </c>
      <c r="Z123" s="3" t="e">
        <v>#N/A</v>
      </c>
      <c r="AA123" s="3" t="e">
        <v>#N/A</v>
      </c>
      <c r="AB123" s="3" t="e">
        <v>#N/A</v>
      </c>
      <c r="AC123" s="3" t="e">
        <v>#N/A</v>
      </c>
      <c r="AD123" s="3" t="e">
        <v>#N/A</v>
      </c>
      <c r="AE123" s="3" t="e">
        <v>#N/A</v>
      </c>
      <c r="AF123" s="3" t="e">
        <v>#N/A</v>
      </c>
      <c r="AG123" s="3" t="e">
        <v>#N/A</v>
      </c>
      <c r="AH123" s="3" t="e">
        <v>#N/A</v>
      </c>
      <c r="AI123" s="3" t="e">
        <v>#N/A</v>
      </c>
      <c r="AJ123" s="3" t="e">
        <v>#N/A</v>
      </c>
      <c r="AK123" s="3" t="e">
        <v>#N/A</v>
      </c>
      <c r="AL123" s="3" t="e">
        <v>#N/A</v>
      </c>
      <c r="AM123" s="3" t="e">
        <v>#N/A</v>
      </c>
      <c r="AN123" s="3" t="e">
        <v>#N/A</v>
      </c>
      <c r="AO123" s="3" t="e">
        <v>#N/A</v>
      </c>
      <c r="AP123" s="3" t="e">
        <v>#N/A</v>
      </c>
      <c r="AQ123" s="3" t="e">
        <v>#N/A</v>
      </c>
      <c r="AR123" s="3" t="e">
        <v>#N/A</v>
      </c>
      <c r="AS123" s="3" t="e">
        <v>#N/A</v>
      </c>
      <c r="AT123" s="3" t="e">
        <v>#N/A</v>
      </c>
      <c r="AU123" s="3" t="e">
        <v>#N/A</v>
      </c>
      <c r="AV123" s="3" t="e">
        <v>#N/A</v>
      </c>
      <c r="AW123" s="3" t="e">
        <v>#N/A</v>
      </c>
      <c r="AX123" s="3" t="e">
        <v>#N/A</v>
      </c>
      <c r="AY123" s="3" t="e">
        <v>#N/A</v>
      </c>
      <c r="AZ123" s="3" t="e">
        <v>#N/A</v>
      </c>
      <c r="BA123" s="3" t="e">
        <v>#N/A</v>
      </c>
      <c r="BB123" s="3" t="e">
        <v>#N/A</v>
      </c>
      <c r="BC123" s="3" t="e">
        <v>#N/A</v>
      </c>
      <c r="BD123" s="3" t="e">
        <v>#N/A</v>
      </c>
      <c r="BE123" s="3" t="e">
        <v>#N/A</v>
      </c>
      <c r="BF123" s="3" t="e">
        <v>#N/A</v>
      </c>
      <c r="BG123" s="3" t="e">
        <v>#N/A</v>
      </c>
      <c r="BH123" s="3" t="e">
        <v>#N/A</v>
      </c>
      <c r="BI123" s="3" t="e">
        <v>#N/A</v>
      </c>
      <c r="BJ123" s="3" t="e">
        <v>#N/A</v>
      </c>
      <c r="BK123" s="3" t="e">
        <v>#N/A</v>
      </c>
      <c r="BL123" s="3" t="e">
        <v>#N/A</v>
      </c>
      <c r="BM123" s="3" t="e">
        <v>#N/A</v>
      </c>
      <c r="BN123" s="3" t="e">
        <v>#N/A</v>
      </c>
      <c r="BO123" s="3" t="e">
        <v>#N/A</v>
      </c>
      <c r="BP123" s="3" t="e">
        <v>#N/A</v>
      </c>
      <c r="BQ123" s="3" t="e">
        <v>#N/A</v>
      </c>
      <c r="BR123" s="3" t="e">
        <v>#N/A</v>
      </c>
      <c r="BS123" s="3" t="e">
        <v>#N/A</v>
      </c>
      <c r="BT123" s="3" t="e">
        <v>#N/A</v>
      </c>
      <c r="BU123" s="3" t="e">
        <v>#N/A</v>
      </c>
      <c r="BV123" s="3" t="e">
        <v>#N/A</v>
      </c>
      <c r="BW123" s="3" t="e">
        <v>#N/A</v>
      </c>
      <c r="BX123" s="3" t="e">
        <v>#N/A</v>
      </c>
      <c r="BY123" s="3" t="e">
        <v>#N/A</v>
      </c>
      <c r="BZ123" s="3" t="e">
        <v>#N/A</v>
      </c>
      <c r="CA123" s="3" t="e">
        <v>#N/A</v>
      </c>
      <c r="CB123" s="3" t="e">
        <v>#N/A</v>
      </c>
      <c r="CC123" s="3" t="e">
        <v>#N/A</v>
      </c>
      <c r="CD123" s="3" t="e">
        <v>#N/A</v>
      </c>
      <c r="CE123" s="3" t="e">
        <v>#N/A</v>
      </c>
      <c r="CF123" s="3" t="e">
        <v>#N/A</v>
      </c>
      <c r="CG123" s="3">
        <v>4.3</v>
      </c>
      <c r="CH123" s="3">
        <v>4.3</v>
      </c>
      <c r="CI123" s="3">
        <v>4.3</v>
      </c>
      <c r="CJ123" s="3">
        <v>4.4000000000000004</v>
      </c>
      <c r="CK123" s="3">
        <v>4.5</v>
      </c>
      <c r="CL123" s="3">
        <v>4.5999999999999996</v>
      </c>
      <c r="CM123" s="3">
        <v>4.7</v>
      </c>
      <c r="CN123" s="3">
        <v>4.7</v>
      </c>
      <c r="CO123" s="3">
        <v>4.8</v>
      </c>
      <c r="CP123" s="3">
        <v>4.8</v>
      </c>
      <c r="CQ123" s="3">
        <v>4.9000000000000004</v>
      </c>
      <c r="CR123" s="3">
        <v>4.8</v>
      </c>
      <c r="CS123" s="3">
        <v>4.8</v>
      </c>
      <c r="CT123" s="3">
        <v>4.8</v>
      </c>
    </row>
    <row r="124" spans="1:101" x14ac:dyDescent="0.35">
      <c r="A124" s="1"/>
      <c r="B124" s="4">
        <v>45505</v>
      </c>
      <c r="C124" s="5" t="s">
        <v>1148</v>
      </c>
      <c r="D124" t="s">
        <v>1153</v>
      </c>
      <c r="E124" t="s">
        <v>693</v>
      </c>
      <c r="F124" t="s">
        <v>1113</v>
      </c>
      <c r="G124" t="s">
        <v>1009</v>
      </c>
      <c r="H124" t="s">
        <v>1150</v>
      </c>
      <c r="I124" s="3" t="e">
        <v>#N/A</v>
      </c>
      <c r="J124" s="3" t="e">
        <v>#N/A</v>
      </c>
      <c r="K124" s="3" t="e">
        <v>#N/A</v>
      </c>
      <c r="L124" s="3" t="e">
        <v>#N/A</v>
      </c>
      <c r="M124" s="3" t="e">
        <v>#N/A</v>
      </c>
      <c r="N124" s="3" t="e">
        <v>#N/A</v>
      </c>
      <c r="O124" s="3" t="e">
        <v>#N/A</v>
      </c>
      <c r="P124" s="3" t="e">
        <v>#N/A</v>
      </c>
      <c r="Q124" s="3" t="e">
        <v>#N/A</v>
      </c>
      <c r="R124" s="3" t="e">
        <v>#N/A</v>
      </c>
      <c r="S124" s="3" t="e">
        <v>#N/A</v>
      </c>
      <c r="T124" s="3" t="e">
        <v>#N/A</v>
      </c>
      <c r="U124" s="3" t="e">
        <v>#N/A</v>
      </c>
      <c r="V124" s="3" t="e">
        <v>#N/A</v>
      </c>
      <c r="W124" s="3" t="e">
        <v>#N/A</v>
      </c>
      <c r="X124" s="3" t="e">
        <v>#N/A</v>
      </c>
      <c r="Y124" s="3" t="e">
        <v>#N/A</v>
      </c>
      <c r="Z124" s="3" t="e">
        <v>#N/A</v>
      </c>
      <c r="AA124" s="3" t="e">
        <v>#N/A</v>
      </c>
      <c r="AB124" s="3" t="e">
        <v>#N/A</v>
      </c>
      <c r="AC124" s="3" t="e">
        <v>#N/A</v>
      </c>
      <c r="AD124" s="3" t="e">
        <v>#N/A</v>
      </c>
      <c r="AE124" s="3" t="e">
        <v>#N/A</v>
      </c>
      <c r="AF124" s="3" t="e">
        <v>#N/A</v>
      </c>
      <c r="AG124" s="3" t="e">
        <v>#N/A</v>
      </c>
      <c r="AH124" s="3" t="e">
        <v>#N/A</v>
      </c>
      <c r="AI124" s="3" t="e">
        <v>#N/A</v>
      </c>
      <c r="AJ124" s="3" t="e">
        <v>#N/A</v>
      </c>
      <c r="AK124" s="3" t="e">
        <v>#N/A</v>
      </c>
      <c r="AL124" s="3" t="e">
        <v>#N/A</v>
      </c>
      <c r="AM124" s="3" t="e">
        <v>#N/A</v>
      </c>
      <c r="AN124" s="3" t="e">
        <v>#N/A</v>
      </c>
      <c r="AO124" s="3" t="e">
        <v>#N/A</v>
      </c>
      <c r="AP124" s="3" t="e">
        <v>#N/A</v>
      </c>
      <c r="AQ124" s="3" t="e">
        <v>#N/A</v>
      </c>
      <c r="AR124" s="3" t="e">
        <v>#N/A</v>
      </c>
      <c r="AS124" s="3" t="e">
        <v>#N/A</v>
      </c>
      <c r="AT124" s="3" t="e">
        <v>#N/A</v>
      </c>
      <c r="AU124" s="3" t="e">
        <v>#N/A</v>
      </c>
      <c r="AV124" s="3" t="e">
        <v>#N/A</v>
      </c>
      <c r="AW124" s="3" t="e">
        <v>#N/A</v>
      </c>
      <c r="AX124" s="3" t="e">
        <v>#N/A</v>
      </c>
      <c r="AY124" s="3" t="e">
        <v>#N/A</v>
      </c>
      <c r="AZ124" s="3" t="e">
        <v>#N/A</v>
      </c>
      <c r="BA124" s="3" t="e">
        <v>#N/A</v>
      </c>
      <c r="BB124" s="3" t="e">
        <v>#N/A</v>
      </c>
      <c r="BC124" s="3" t="e">
        <v>#N/A</v>
      </c>
      <c r="BD124" s="3" t="e">
        <v>#N/A</v>
      </c>
      <c r="BE124" s="3" t="e">
        <v>#N/A</v>
      </c>
      <c r="BF124" s="3" t="e">
        <v>#N/A</v>
      </c>
      <c r="BG124" s="3" t="e">
        <v>#N/A</v>
      </c>
      <c r="BH124" s="3" t="e">
        <v>#N/A</v>
      </c>
      <c r="BI124" s="3" t="e">
        <v>#N/A</v>
      </c>
      <c r="BJ124" s="3" t="e">
        <v>#N/A</v>
      </c>
      <c r="BK124" s="3" t="e">
        <v>#N/A</v>
      </c>
      <c r="BL124" s="3" t="e">
        <v>#N/A</v>
      </c>
      <c r="BM124" s="3" t="e">
        <v>#N/A</v>
      </c>
      <c r="BN124" s="3" t="e">
        <v>#N/A</v>
      </c>
      <c r="BO124" s="3" t="e">
        <v>#N/A</v>
      </c>
      <c r="BP124" s="3" t="e">
        <v>#N/A</v>
      </c>
      <c r="BQ124" s="3" t="e">
        <v>#N/A</v>
      </c>
      <c r="BR124" s="3" t="e">
        <v>#N/A</v>
      </c>
      <c r="BS124" s="3" t="e">
        <v>#N/A</v>
      </c>
      <c r="BT124" s="3" t="e">
        <v>#N/A</v>
      </c>
      <c r="BU124" s="3" t="e">
        <v>#N/A</v>
      </c>
      <c r="BV124" s="3" t="e">
        <v>#N/A</v>
      </c>
      <c r="BW124" s="3" t="e">
        <v>#N/A</v>
      </c>
      <c r="BX124" s="3" t="e">
        <v>#N/A</v>
      </c>
      <c r="BY124" s="3" t="e">
        <v>#N/A</v>
      </c>
      <c r="BZ124" s="3" t="e">
        <v>#N/A</v>
      </c>
      <c r="CA124" s="3" t="e">
        <v>#N/A</v>
      </c>
      <c r="CB124" s="3" t="e">
        <v>#N/A</v>
      </c>
      <c r="CC124" s="3" t="e">
        <v>#N/A</v>
      </c>
      <c r="CD124" s="3" t="e">
        <v>#N/A</v>
      </c>
      <c r="CE124" s="3" t="e">
        <v>#N/A</v>
      </c>
      <c r="CF124" s="3" t="e">
        <v>#N/A</v>
      </c>
      <c r="CG124" s="3" t="e">
        <v>#N/A</v>
      </c>
      <c r="CH124" s="3">
        <v>4.4000000000000004</v>
      </c>
      <c r="CI124" s="3">
        <v>4.4000000000000004</v>
      </c>
      <c r="CJ124" s="3">
        <v>4.4000000000000004</v>
      </c>
      <c r="CK124" s="3">
        <v>4.4000000000000004</v>
      </c>
      <c r="CL124" s="3">
        <v>4.5</v>
      </c>
      <c r="CM124" s="3">
        <v>4.5999999999999996</v>
      </c>
      <c r="CN124" s="3">
        <v>4.7</v>
      </c>
      <c r="CO124" s="3">
        <v>4.7</v>
      </c>
      <c r="CP124" s="3">
        <v>4.8</v>
      </c>
      <c r="CQ124" s="3">
        <v>4.8</v>
      </c>
      <c r="CR124" s="3">
        <v>4.7</v>
      </c>
      <c r="CS124" s="3">
        <v>4.7</v>
      </c>
      <c r="CT124" s="3">
        <v>4.7</v>
      </c>
      <c r="CU124" s="3">
        <v>4.5999999999999996</v>
      </c>
    </row>
    <row r="125" spans="1:101" x14ac:dyDescent="0.35">
      <c r="A125" s="1"/>
      <c r="B125" s="4">
        <v>45597</v>
      </c>
      <c r="C125" s="5" t="s">
        <v>1180</v>
      </c>
      <c r="D125" t="s">
        <v>1188</v>
      </c>
      <c r="E125" t="s">
        <v>700</v>
      </c>
      <c r="F125" t="s">
        <v>1140</v>
      </c>
      <c r="G125" t="s">
        <v>1009</v>
      </c>
      <c r="H125" t="s">
        <v>1182</v>
      </c>
      <c r="I125" s="3" t="e">
        <v>#N/A</v>
      </c>
      <c r="J125" s="3" t="e">
        <v>#N/A</v>
      </c>
      <c r="K125" s="3" t="e">
        <v>#N/A</v>
      </c>
      <c r="L125" s="3" t="e">
        <v>#N/A</v>
      </c>
      <c r="M125" s="3" t="e">
        <v>#N/A</v>
      </c>
      <c r="N125" s="3" t="e">
        <v>#N/A</v>
      </c>
      <c r="O125" s="3" t="e">
        <v>#N/A</v>
      </c>
      <c r="P125" s="3" t="e">
        <v>#N/A</v>
      </c>
      <c r="Q125" s="3" t="e">
        <v>#N/A</v>
      </c>
      <c r="R125" s="3" t="e">
        <v>#N/A</v>
      </c>
      <c r="S125" s="3" t="e">
        <v>#N/A</v>
      </c>
      <c r="T125" s="3" t="e">
        <v>#N/A</v>
      </c>
      <c r="U125" s="3" t="e">
        <v>#N/A</v>
      </c>
      <c r="V125" s="3" t="e">
        <v>#N/A</v>
      </c>
      <c r="W125" s="3" t="e">
        <v>#N/A</v>
      </c>
      <c r="X125" s="3" t="e">
        <v>#N/A</v>
      </c>
      <c r="Y125" s="3" t="e">
        <v>#N/A</v>
      </c>
      <c r="Z125" s="3" t="e">
        <v>#N/A</v>
      </c>
      <c r="AA125" s="3" t="e">
        <v>#N/A</v>
      </c>
      <c r="AB125" s="3" t="e">
        <v>#N/A</v>
      </c>
      <c r="AC125" s="3" t="e">
        <v>#N/A</v>
      </c>
      <c r="AD125" s="3" t="e">
        <v>#N/A</v>
      </c>
      <c r="AE125" s="3" t="e">
        <v>#N/A</v>
      </c>
      <c r="AF125" s="3" t="e">
        <v>#N/A</v>
      </c>
      <c r="AG125" s="3" t="e">
        <v>#N/A</v>
      </c>
      <c r="AH125" s="3" t="e">
        <v>#N/A</v>
      </c>
      <c r="AI125" s="3" t="e">
        <v>#N/A</v>
      </c>
      <c r="AJ125" s="3" t="e">
        <v>#N/A</v>
      </c>
      <c r="AK125" s="3" t="e">
        <v>#N/A</v>
      </c>
      <c r="AL125" s="3" t="e">
        <v>#N/A</v>
      </c>
      <c r="AM125" s="3" t="e">
        <v>#N/A</v>
      </c>
      <c r="AN125" s="3" t="e">
        <v>#N/A</v>
      </c>
      <c r="AO125" s="3" t="e">
        <v>#N/A</v>
      </c>
      <c r="AP125" s="3" t="e">
        <v>#N/A</v>
      </c>
      <c r="AQ125" s="3" t="e">
        <v>#N/A</v>
      </c>
      <c r="AR125" s="3" t="e">
        <v>#N/A</v>
      </c>
      <c r="AS125" s="3" t="e">
        <v>#N/A</v>
      </c>
      <c r="AT125" s="3" t="e">
        <v>#N/A</v>
      </c>
      <c r="AU125" s="3" t="e">
        <v>#N/A</v>
      </c>
      <c r="AV125" s="3" t="e">
        <v>#N/A</v>
      </c>
      <c r="AW125" s="3" t="e">
        <v>#N/A</v>
      </c>
      <c r="AX125" s="3" t="e">
        <v>#N/A</v>
      </c>
      <c r="AY125" s="3" t="e">
        <v>#N/A</v>
      </c>
      <c r="AZ125" s="3" t="e">
        <v>#N/A</v>
      </c>
      <c r="BA125" s="3" t="e">
        <v>#N/A</v>
      </c>
      <c r="BB125" s="3" t="e">
        <v>#N/A</v>
      </c>
      <c r="BC125" s="3" t="e">
        <v>#N/A</v>
      </c>
      <c r="BD125" s="3" t="e">
        <v>#N/A</v>
      </c>
      <c r="BE125" s="3" t="e">
        <v>#N/A</v>
      </c>
      <c r="BF125" s="3" t="e">
        <v>#N/A</v>
      </c>
      <c r="BG125" s="3" t="e">
        <v>#N/A</v>
      </c>
      <c r="BH125" s="3" t="e">
        <v>#N/A</v>
      </c>
      <c r="BI125" s="3" t="e">
        <v>#N/A</v>
      </c>
      <c r="BJ125" s="3" t="e">
        <v>#N/A</v>
      </c>
      <c r="BK125" s="3" t="e">
        <v>#N/A</v>
      </c>
      <c r="BL125" s="3" t="e">
        <v>#N/A</v>
      </c>
      <c r="BM125" s="3" t="e">
        <v>#N/A</v>
      </c>
      <c r="BN125" s="3" t="e">
        <v>#N/A</v>
      </c>
      <c r="BO125" s="3" t="e">
        <v>#N/A</v>
      </c>
      <c r="BP125" s="3" t="e">
        <v>#N/A</v>
      </c>
      <c r="BQ125" s="3" t="e">
        <v>#N/A</v>
      </c>
      <c r="BR125" s="3" t="e">
        <v>#N/A</v>
      </c>
      <c r="BS125" s="3" t="e">
        <v>#N/A</v>
      </c>
      <c r="BT125" s="3" t="e">
        <v>#N/A</v>
      </c>
      <c r="BU125" s="3" t="e">
        <v>#N/A</v>
      </c>
      <c r="BV125" s="3" t="e">
        <v>#N/A</v>
      </c>
      <c r="BW125" s="3" t="e">
        <v>#N/A</v>
      </c>
      <c r="BX125" s="3" t="e">
        <v>#N/A</v>
      </c>
      <c r="BY125" s="3" t="e">
        <v>#N/A</v>
      </c>
      <c r="BZ125" s="3" t="e">
        <v>#N/A</v>
      </c>
      <c r="CA125" s="3" t="e">
        <v>#N/A</v>
      </c>
      <c r="CB125" s="3" t="e">
        <v>#N/A</v>
      </c>
      <c r="CC125" s="3" t="e">
        <v>#N/A</v>
      </c>
      <c r="CD125" s="3" t="e">
        <v>#N/A</v>
      </c>
      <c r="CE125" s="3" t="e">
        <v>#N/A</v>
      </c>
      <c r="CF125" s="3" t="e">
        <v>#N/A</v>
      </c>
      <c r="CG125" s="3" t="e">
        <v>#N/A</v>
      </c>
      <c r="CH125" s="3" t="e">
        <v>#N/A</v>
      </c>
      <c r="CI125" s="3">
        <v>4.2</v>
      </c>
      <c r="CJ125" s="3">
        <v>4.2</v>
      </c>
      <c r="CK125" s="3">
        <v>4.0999999999999996</v>
      </c>
      <c r="CL125" s="3">
        <v>4.0999999999999996</v>
      </c>
      <c r="CM125" s="3">
        <v>4.0999999999999996</v>
      </c>
      <c r="CN125" s="3">
        <v>4.0999999999999996</v>
      </c>
      <c r="CO125" s="3">
        <v>4.2</v>
      </c>
      <c r="CP125" s="3">
        <v>4.2</v>
      </c>
      <c r="CQ125" s="3">
        <v>4.2</v>
      </c>
      <c r="CR125" s="3">
        <v>4.3</v>
      </c>
      <c r="CS125" s="3">
        <v>4.3</v>
      </c>
      <c r="CT125" s="3">
        <v>4.4000000000000004</v>
      </c>
      <c r="CU125" s="3">
        <v>4.4000000000000004</v>
      </c>
      <c r="CV125" s="3">
        <v>4.4000000000000004</v>
      </c>
    </row>
    <row r="126" spans="1:101" x14ac:dyDescent="0.35">
      <c r="A126" s="1"/>
      <c r="B126" s="4">
        <v>45597</v>
      </c>
      <c r="C126" s="5" t="s">
        <v>108</v>
      </c>
      <c r="D126" t="s">
        <v>542</v>
      </c>
      <c r="E126" t="s">
        <v>811</v>
      </c>
      <c r="F126" t="s">
        <v>1175</v>
      </c>
      <c r="G126" t="s">
        <v>481</v>
      </c>
      <c r="H126" t="s">
        <v>1217</v>
      </c>
      <c r="I126" s="3" t="e">
        <v>#N/A</v>
      </c>
      <c r="J126" s="3" t="e">
        <v>#N/A</v>
      </c>
      <c r="K126" s="3" t="e">
        <v>#N/A</v>
      </c>
      <c r="L126" s="3" t="e">
        <v>#N/A</v>
      </c>
      <c r="M126" s="3" t="e">
        <v>#N/A</v>
      </c>
      <c r="N126" s="3" t="e">
        <v>#N/A</v>
      </c>
      <c r="O126" s="3" t="e">
        <v>#N/A</v>
      </c>
      <c r="P126" s="3" t="e">
        <v>#N/A</v>
      </c>
      <c r="Q126" s="3" t="e">
        <v>#N/A</v>
      </c>
      <c r="R126" s="3" t="e">
        <v>#N/A</v>
      </c>
      <c r="S126" s="3" t="e">
        <v>#N/A</v>
      </c>
      <c r="T126" s="3" t="e">
        <v>#N/A</v>
      </c>
      <c r="U126" s="3" t="e">
        <v>#N/A</v>
      </c>
      <c r="V126" s="3" t="e">
        <v>#N/A</v>
      </c>
      <c r="W126" s="3" t="e">
        <v>#N/A</v>
      </c>
      <c r="X126" s="3" t="e">
        <v>#N/A</v>
      </c>
      <c r="Y126" s="3" t="e">
        <v>#N/A</v>
      </c>
      <c r="Z126" s="3" t="e">
        <v>#N/A</v>
      </c>
      <c r="AA126" s="3" t="e">
        <v>#N/A</v>
      </c>
      <c r="AB126" s="3" t="e">
        <v>#N/A</v>
      </c>
      <c r="AC126" s="3" t="e">
        <v>#N/A</v>
      </c>
      <c r="AD126" s="3" t="e">
        <v>#N/A</v>
      </c>
      <c r="AE126" s="3" t="e">
        <v>#N/A</v>
      </c>
      <c r="AF126" s="3" t="e">
        <v>#N/A</v>
      </c>
      <c r="AG126" s="3" t="e">
        <v>#N/A</v>
      </c>
      <c r="AH126" s="3" t="e">
        <v>#N/A</v>
      </c>
      <c r="AI126" s="3" t="e">
        <v>#N/A</v>
      </c>
      <c r="AJ126" s="3" t="e">
        <v>#N/A</v>
      </c>
      <c r="AK126" s="3" t="e">
        <v>#N/A</v>
      </c>
      <c r="AL126" s="3" t="e">
        <v>#N/A</v>
      </c>
      <c r="AM126" s="3" t="e">
        <v>#N/A</v>
      </c>
      <c r="AN126" s="3" t="e">
        <v>#N/A</v>
      </c>
      <c r="AO126" s="3" t="e">
        <v>#N/A</v>
      </c>
      <c r="AP126" s="3" t="e">
        <v>#N/A</v>
      </c>
      <c r="AQ126" s="3" t="e">
        <v>#N/A</v>
      </c>
      <c r="AR126" s="3" t="e">
        <v>#N/A</v>
      </c>
      <c r="AS126" s="3" t="e">
        <v>#N/A</v>
      </c>
      <c r="AT126" s="3" t="e">
        <v>#N/A</v>
      </c>
      <c r="AU126" s="3" t="e">
        <v>#N/A</v>
      </c>
      <c r="AV126" s="3" t="e">
        <v>#N/A</v>
      </c>
      <c r="AW126" s="3" t="e">
        <v>#N/A</v>
      </c>
      <c r="AX126" s="3" t="e">
        <v>#N/A</v>
      </c>
      <c r="AY126" s="3" t="e">
        <v>#N/A</v>
      </c>
      <c r="AZ126" s="3" t="e">
        <v>#N/A</v>
      </c>
      <c r="BA126" s="3" t="e">
        <v>#N/A</v>
      </c>
      <c r="BB126" s="3" t="e">
        <v>#N/A</v>
      </c>
      <c r="BC126" s="3" t="e">
        <v>#N/A</v>
      </c>
      <c r="BD126" s="3" t="e">
        <v>#N/A</v>
      </c>
      <c r="BE126" s="3" t="e">
        <v>#N/A</v>
      </c>
      <c r="BF126" s="3" t="e">
        <v>#N/A</v>
      </c>
      <c r="BG126" s="3" t="e">
        <v>#N/A</v>
      </c>
      <c r="BH126" s="3" t="e">
        <v>#N/A</v>
      </c>
      <c r="BI126" s="3" t="e">
        <v>#N/A</v>
      </c>
      <c r="BJ126" s="3" t="e">
        <v>#N/A</v>
      </c>
      <c r="BK126" s="3" t="e">
        <v>#N/A</v>
      </c>
      <c r="BL126" s="3" t="e">
        <v>#N/A</v>
      </c>
      <c r="BM126" s="3" t="e">
        <v>#N/A</v>
      </c>
      <c r="BN126" s="3" t="e">
        <v>#N/A</v>
      </c>
      <c r="BO126" s="3" t="e">
        <v>#N/A</v>
      </c>
      <c r="BP126" s="3" t="e">
        <v>#N/A</v>
      </c>
      <c r="BQ126" s="3" t="e">
        <v>#N/A</v>
      </c>
      <c r="BR126" s="3" t="e">
        <v>#N/A</v>
      </c>
      <c r="BS126" s="3" t="e">
        <v>#N/A</v>
      </c>
      <c r="BT126" s="3" t="e">
        <v>#N/A</v>
      </c>
      <c r="BU126" s="3" t="e">
        <v>#N/A</v>
      </c>
      <c r="BV126" s="3" t="e">
        <v>#N/A</v>
      </c>
      <c r="BW126" s="3" t="e">
        <v>#N/A</v>
      </c>
      <c r="BX126" s="3" t="e">
        <v>#N/A</v>
      </c>
      <c r="BY126" s="3" t="e">
        <v>#N/A</v>
      </c>
      <c r="BZ126" s="3" t="e">
        <v>#N/A</v>
      </c>
      <c r="CA126" s="3" t="e">
        <v>#N/A</v>
      </c>
      <c r="CB126" s="3" t="e">
        <v>#N/A</v>
      </c>
      <c r="CC126" s="3" t="e">
        <v>#N/A</v>
      </c>
      <c r="CD126" s="3" t="e">
        <v>#N/A</v>
      </c>
      <c r="CE126" s="3" t="e">
        <v>#N/A</v>
      </c>
      <c r="CF126" s="3" t="e">
        <v>#N/A</v>
      </c>
      <c r="CG126" s="3" t="e">
        <v>#N/A</v>
      </c>
      <c r="CH126" s="3" t="e">
        <v>#N/A</v>
      </c>
      <c r="CI126" s="3" t="e">
        <v>#N/A</v>
      </c>
      <c r="CJ126" s="3">
        <v>4.4000000000000004</v>
      </c>
      <c r="CK126" s="3">
        <v>4.5</v>
      </c>
      <c r="CL126" s="3">
        <v>4.5</v>
      </c>
      <c r="CM126" s="3">
        <v>4.5</v>
      </c>
      <c r="CN126" s="3">
        <v>4.5</v>
      </c>
      <c r="CO126" s="3">
        <v>4.5</v>
      </c>
      <c r="CP126" s="3">
        <v>4.5999999999999996</v>
      </c>
      <c r="CQ126" s="3">
        <v>4.5999999999999996</v>
      </c>
      <c r="CR126" s="3">
        <v>4.7</v>
      </c>
      <c r="CS126" s="3">
        <v>4.8</v>
      </c>
      <c r="CT126" s="3">
        <v>4.8</v>
      </c>
      <c r="CU126" s="3">
        <v>4.8</v>
      </c>
      <c r="CV126" s="3">
        <v>4.8</v>
      </c>
      <c r="CW126" s="3">
        <v>4.8</v>
      </c>
    </row>
    <row r="127" spans="1:101" x14ac:dyDescent="0.35">
      <c r="A127" s="1" t="s">
        <v>98</v>
      </c>
      <c r="B127" s="2"/>
      <c r="C127" s="5" t="s">
        <v>100</v>
      </c>
      <c r="D127" t="s">
        <v>543</v>
      </c>
      <c r="E127" t="s">
        <v>1192</v>
      </c>
      <c r="F127" t="s">
        <v>1191</v>
      </c>
      <c r="G127" t="s">
        <v>1190</v>
      </c>
      <c r="H127" t="s">
        <v>1189</v>
      </c>
      <c r="I127" s="8">
        <v>4.75</v>
      </c>
      <c r="J127" s="8">
        <v>4.75</v>
      </c>
      <c r="K127" s="8">
        <v>4.5</v>
      </c>
      <c r="L127" s="8">
        <v>4.5</v>
      </c>
      <c r="M127" s="8">
        <v>4.5</v>
      </c>
      <c r="N127" s="8">
        <v>4.5</v>
      </c>
      <c r="O127" s="8">
        <v>4.75</v>
      </c>
      <c r="P127" s="8">
        <v>5</v>
      </c>
      <c r="Q127" s="8">
        <v>5.25</v>
      </c>
      <c r="R127" s="8">
        <v>5.5</v>
      </c>
      <c r="S127" s="8">
        <v>5.75</v>
      </c>
      <c r="T127" s="8">
        <v>5.5</v>
      </c>
      <c r="U127" s="8">
        <v>5.25</v>
      </c>
      <c r="V127" s="8">
        <v>5</v>
      </c>
      <c r="W127" s="8">
        <v>5</v>
      </c>
      <c r="X127" s="8">
        <v>2</v>
      </c>
      <c r="Y127" s="8">
        <v>0.5</v>
      </c>
      <c r="Z127" s="8">
        <v>0.5</v>
      </c>
      <c r="AA127" s="8">
        <v>0.5</v>
      </c>
      <c r="AB127" s="8">
        <v>0.5</v>
      </c>
      <c r="AC127" s="8">
        <v>0.5</v>
      </c>
      <c r="AD127" s="8">
        <v>0.5</v>
      </c>
      <c r="AE127" s="8">
        <v>0.5</v>
      </c>
      <c r="AF127" s="8">
        <v>0.5</v>
      </c>
      <c r="AG127" s="8">
        <v>0.5</v>
      </c>
      <c r="AH127" s="8">
        <v>0.5</v>
      </c>
      <c r="AI127" s="8">
        <v>0.5</v>
      </c>
      <c r="AJ127" s="8">
        <v>0.5</v>
      </c>
      <c r="AK127" s="8">
        <v>0.5</v>
      </c>
      <c r="AL127" s="8">
        <v>0.5</v>
      </c>
      <c r="AM127" s="8">
        <v>0.5</v>
      </c>
      <c r="AN127" s="8">
        <v>0.5</v>
      </c>
      <c r="AO127" s="8">
        <v>0.5</v>
      </c>
      <c r="AP127" s="8">
        <v>0.5</v>
      </c>
      <c r="AQ127" s="8">
        <v>0.5</v>
      </c>
      <c r="AR127" s="8">
        <v>0.5</v>
      </c>
      <c r="AS127" s="8">
        <v>0.5</v>
      </c>
      <c r="AT127" s="8">
        <v>0.5</v>
      </c>
      <c r="AU127" s="8">
        <v>0.5</v>
      </c>
      <c r="AV127" s="8">
        <v>0.5</v>
      </c>
      <c r="AW127" s="8">
        <v>0.5</v>
      </c>
      <c r="AX127" s="8">
        <v>0.5</v>
      </c>
      <c r="AY127" s="8">
        <v>0.5</v>
      </c>
      <c r="AZ127" s="8">
        <v>0.5</v>
      </c>
      <c r="BA127" s="8">
        <v>0.5</v>
      </c>
      <c r="BB127" s="8">
        <v>0.5</v>
      </c>
      <c r="BC127" s="8">
        <v>0.25</v>
      </c>
      <c r="BD127" s="8">
        <v>0.25</v>
      </c>
      <c r="BE127" s="8">
        <v>0.25</v>
      </c>
      <c r="BF127" s="8">
        <v>0.25</v>
      </c>
      <c r="BG127" s="8">
        <v>0.25</v>
      </c>
      <c r="BH127" s="8">
        <v>0.5</v>
      </c>
      <c r="BI127" s="8">
        <v>0.5</v>
      </c>
      <c r="BJ127" s="8">
        <v>0.5</v>
      </c>
      <c r="BK127" s="8">
        <v>0.75</v>
      </c>
      <c r="BL127" s="8">
        <v>0.75</v>
      </c>
      <c r="BM127" s="8">
        <v>0.75</v>
      </c>
      <c r="BN127" s="8">
        <v>0.75</v>
      </c>
      <c r="BO127" s="8">
        <v>0.75</v>
      </c>
      <c r="BP127" s="8">
        <v>0.75</v>
      </c>
      <c r="BQ127" s="8">
        <v>0.1</v>
      </c>
      <c r="BR127" s="8">
        <v>0.1</v>
      </c>
      <c r="BS127" s="8">
        <v>0.1</v>
      </c>
      <c r="BT127" s="8">
        <v>0.1</v>
      </c>
      <c r="BU127" s="8">
        <v>0.1</v>
      </c>
      <c r="BV127" s="8">
        <v>0.1</v>
      </c>
      <c r="BW127" s="8">
        <v>0.1</v>
      </c>
      <c r="BX127" s="8">
        <v>0.25</v>
      </c>
      <c r="BY127" s="8">
        <v>0.75</v>
      </c>
      <c r="BZ127" s="8">
        <v>1.25</v>
      </c>
      <c r="CA127" s="8">
        <v>2.25</v>
      </c>
      <c r="CB127" s="8">
        <v>3.5</v>
      </c>
      <c r="CC127" s="8">
        <v>4.25</v>
      </c>
      <c r="CD127" s="8">
        <v>5</v>
      </c>
      <c r="CE127" s="8">
        <v>5.25</v>
      </c>
      <c r="CF127" s="8">
        <v>5.25</v>
      </c>
      <c r="CG127" s="8">
        <v>5.25</v>
      </c>
      <c r="CH127" s="8">
        <v>5.25</v>
      </c>
      <c r="CI127" s="8">
        <v>5</v>
      </c>
      <c r="CJ127" s="8">
        <v>4.75</v>
      </c>
    </row>
    <row r="128" spans="1:101" x14ac:dyDescent="0.35">
      <c r="A128" s="1" t="s">
        <v>99</v>
      </c>
      <c r="B128" s="2">
        <v>42856</v>
      </c>
      <c r="C128" s="5" t="s">
        <v>101</v>
      </c>
      <c r="D128" t="s">
        <v>545</v>
      </c>
      <c r="E128" t="s">
        <v>486</v>
      </c>
      <c r="F128" t="s">
        <v>509</v>
      </c>
      <c r="G128" t="s">
        <v>1009</v>
      </c>
      <c r="H128" t="s">
        <v>544</v>
      </c>
      <c r="I128" s="3" t="e">
        <v>#N/A</v>
      </c>
      <c r="J128" s="3" t="e">
        <v>#N/A</v>
      </c>
      <c r="K128" s="3" t="e">
        <v>#N/A</v>
      </c>
      <c r="L128" s="3" t="e">
        <v>#N/A</v>
      </c>
      <c r="M128" s="3" t="e">
        <v>#N/A</v>
      </c>
      <c r="N128" s="3" t="e">
        <v>#N/A</v>
      </c>
      <c r="O128" s="3" t="e">
        <v>#N/A</v>
      </c>
      <c r="P128" s="3" t="e">
        <v>#N/A</v>
      </c>
      <c r="Q128" s="3" t="e">
        <v>#N/A</v>
      </c>
      <c r="R128" s="3" t="e">
        <v>#N/A</v>
      </c>
      <c r="S128" s="3" t="e">
        <v>#N/A</v>
      </c>
      <c r="T128" s="3" t="e">
        <v>#N/A</v>
      </c>
      <c r="U128" s="3" t="e">
        <v>#N/A</v>
      </c>
      <c r="V128" s="3" t="e">
        <v>#N/A</v>
      </c>
      <c r="W128" s="3" t="e">
        <v>#N/A</v>
      </c>
      <c r="X128" s="3" t="e">
        <v>#N/A</v>
      </c>
      <c r="Y128" s="3" t="e">
        <v>#N/A</v>
      </c>
      <c r="Z128" s="3" t="e">
        <v>#N/A</v>
      </c>
      <c r="AA128" s="3" t="e">
        <v>#N/A</v>
      </c>
      <c r="AB128" s="3" t="e">
        <v>#N/A</v>
      </c>
      <c r="AC128" s="3" t="e">
        <v>#N/A</v>
      </c>
      <c r="AD128" s="3" t="e">
        <v>#N/A</v>
      </c>
      <c r="AE128" s="3" t="e">
        <v>#N/A</v>
      </c>
      <c r="AF128" s="3" t="e">
        <v>#N/A</v>
      </c>
      <c r="AG128" s="3" t="e">
        <v>#N/A</v>
      </c>
      <c r="AH128" s="3" t="e">
        <v>#N/A</v>
      </c>
      <c r="AI128" s="3" t="e">
        <v>#N/A</v>
      </c>
      <c r="AJ128" s="3" t="e">
        <v>#N/A</v>
      </c>
      <c r="AK128" s="3" t="e">
        <v>#N/A</v>
      </c>
      <c r="AL128" s="3" t="e">
        <v>#N/A</v>
      </c>
      <c r="AM128" s="3" t="e">
        <v>#N/A</v>
      </c>
      <c r="AN128" s="3" t="e">
        <v>#N/A</v>
      </c>
      <c r="AO128" s="3" t="e">
        <v>#N/A</v>
      </c>
      <c r="AP128" s="3" t="e">
        <v>#N/A</v>
      </c>
      <c r="AQ128" s="3" t="e">
        <v>#N/A</v>
      </c>
      <c r="AR128" s="3" t="e">
        <v>#N/A</v>
      </c>
      <c r="AS128" s="3" t="e">
        <v>#N/A</v>
      </c>
      <c r="AT128" s="3" t="e">
        <v>#N/A</v>
      </c>
      <c r="AU128" s="3" t="e">
        <v>#N/A</v>
      </c>
      <c r="AV128" s="3" t="e">
        <v>#N/A</v>
      </c>
      <c r="AW128" s="3" t="e">
        <v>#N/A</v>
      </c>
      <c r="AX128" s="3" t="e">
        <v>#N/A</v>
      </c>
      <c r="AY128" s="3" t="e">
        <v>#N/A</v>
      </c>
      <c r="AZ128" s="3" t="e">
        <v>#N/A</v>
      </c>
      <c r="BA128" s="3" t="e">
        <v>#N/A</v>
      </c>
      <c r="BB128" s="3" t="e">
        <v>#N/A</v>
      </c>
      <c r="BC128" s="3" t="e">
        <v>#N/A</v>
      </c>
      <c r="BD128" s="3" t="e">
        <v>#N/A</v>
      </c>
      <c r="BE128" s="3" t="e">
        <v>#N/A</v>
      </c>
      <c r="BF128" s="3">
        <v>0.22</v>
      </c>
      <c r="BG128" s="3">
        <v>0.22</v>
      </c>
      <c r="BH128" s="3">
        <v>0.24</v>
      </c>
      <c r="BI128" s="3">
        <v>0.26</v>
      </c>
      <c r="BJ128" s="3">
        <v>0.27</v>
      </c>
      <c r="BK128" s="3">
        <v>0.3</v>
      </c>
      <c r="BL128" s="3">
        <v>0.32</v>
      </c>
      <c r="BM128" s="3">
        <v>0.35</v>
      </c>
      <c r="BN128" s="3">
        <v>0.38</v>
      </c>
      <c r="BO128" s="3">
        <v>0.42</v>
      </c>
      <c r="BP128" s="3">
        <v>0.45</v>
      </c>
      <c r="BQ128" s="3">
        <v>0.49</v>
      </c>
      <c r="BR128" s="3">
        <v>0.52</v>
      </c>
      <c r="BS128" s="3">
        <v>0.56000000000000005</v>
      </c>
    </row>
    <row r="129" spans="1:88" x14ac:dyDescent="0.35">
      <c r="B129" s="2">
        <v>42948</v>
      </c>
      <c r="C129" s="5" t="s">
        <v>102</v>
      </c>
      <c r="D129" t="s">
        <v>547</v>
      </c>
      <c r="E129" t="s">
        <v>490</v>
      </c>
      <c r="F129" t="s">
        <v>512</v>
      </c>
      <c r="G129" t="s">
        <v>1009</v>
      </c>
      <c r="H129" t="s">
        <v>546</v>
      </c>
      <c r="I129" s="3" t="e">
        <v>#N/A</v>
      </c>
      <c r="J129" s="3" t="e">
        <v>#N/A</v>
      </c>
      <c r="K129" s="3" t="e">
        <v>#N/A</v>
      </c>
      <c r="L129" s="3" t="e">
        <v>#N/A</v>
      </c>
      <c r="M129" s="3" t="e">
        <v>#N/A</v>
      </c>
      <c r="N129" s="3" t="e">
        <v>#N/A</v>
      </c>
      <c r="O129" s="3" t="e">
        <v>#N/A</v>
      </c>
      <c r="P129" s="3" t="e">
        <v>#N/A</v>
      </c>
      <c r="Q129" s="3" t="e">
        <v>#N/A</v>
      </c>
      <c r="R129" s="3" t="e">
        <v>#N/A</v>
      </c>
      <c r="S129" s="3" t="e">
        <v>#N/A</v>
      </c>
      <c r="T129" s="3" t="e">
        <v>#N/A</v>
      </c>
      <c r="U129" s="3" t="e">
        <v>#N/A</v>
      </c>
      <c r="V129" s="3" t="e">
        <v>#N/A</v>
      </c>
      <c r="W129" s="3" t="e">
        <v>#N/A</v>
      </c>
      <c r="X129" s="3" t="e">
        <v>#N/A</v>
      </c>
      <c r="Y129" s="3" t="e">
        <v>#N/A</v>
      </c>
      <c r="Z129" s="3" t="e">
        <v>#N/A</v>
      </c>
      <c r="AA129" s="3" t="e">
        <v>#N/A</v>
      </c>
      <c r="AB129" s="3" t="e">
        <v>#N/A</v>
      </c>
      <c r="AC129" s="3" t="e">
        <v>#N/A</v>
      </c>
      <c r="AD129" s="3" t="e">
        <v>#N/A</v>
      </c>
      <c r="AE129" s="3" t="e">
        <v>#N/A</v>
      </c>
      <c r="AF129" s="3" t="e">
        <v>#N/A</v>
      </c>
      <c r="AG129" s="3" t="e">
        <v>#N/A</v>
      </c>
      <c r="AH129" s="3" t="e">
        <v>#N/A</v>
      </c>
      <c r="AI129" s="3" t="e">
        <v>#N/A</v>
      </c>
      <c r="AJ129" s="3" t="e">
        <v>#N/A</v>
      </c>
      <c r="AK129" s="3" t="e">
        <v>#N/A</v>
      </c>
      <c r="AL129" s="3" t="e">
        <v>#N/A</v>
      </c>
      <c r="AM129" s="3" t="e">
        <v>#N/A</v>
      </c>
      <c r="AN129" s="3" t="e">
        <v>#N/A</v>
      </c>
      <c r="AO129" s="3" t="e">
        <v>#N/A</v>
      </c>
      <c r="AP129" s="3" t="e">
        <v>#N/A</v>
      </c>
      <c r="AQ129" s="3" t="e">
        <v>#N/A</v>
      </c>
      <c r="AR129" s="3" t="e">
        <v>#N/A</v>
      </c>
      <c r="AS129" s="3" t="e">
        <v>#N/A</v>
      </c>
      <c r="AT129" s="3" t="e">
        <v>#N/A</v>
      </c>
      <c r="AU129" s="3" t="e">
        <v>#N/A</v>
      </c>
      <c r="AV129" s="3" t="e">
        <v>#N/A</v>
      </c>
      <c r="AW129" s="3" t="e">
        <v>#N/A</v>
      </c>
      <c r="AX129" s="3" t="e">
        <v>#N/A</v>
      </c>
      <c r="AY129" s="3" t="e">
        <v>#N/A</v>
      </c>
      <c r="AZ129" s="3" t="e">
        <v>#N/A</v>
      </c>
      <c r="BA129" s="3" t="e">
        <v>#N/A</v>
      </c>
      <c r="BB129" s="3" t="e">
        <v>#N/A</v>
      </c>
      <c r="BC129" s="3" t="e">
        <v>#N/A</v>
      </c>
      <c r="BD129" s="3" t="e">
        <v>#N/A</v>
      </c>
      <c r="BE129" s="3" t="e">
        <v>#N/A</v>
      </c>
      <c r="BF129" s="3" t="e">
        <v>#N/A</v>
      </c>
      <c r="BG129" s="3">
        <v>0.24</v>
      </c>
      <c r="BH129" s="3">
        <v>0.31</v>
      </c>
      <c r="BI129" s="3">
        <v>0.38</v>
      </c>
      <c r="BJ129" s="3">
        <v>0.43</v>
      </c>
      <c r="BK129" s="3">
        <v>0.47</v>
      </c>
      <c r="BL129" s="3">
        <v>0.51</v>
      </c>
      <c r="BM129" s="3">
        <v>0.54</v>
      </c>
      <c r="BN129" s="3">
        <v>0.57999999999999996</v>
      </c>
      <c r="BO129" s="3">
        <v>0.62</v>
      </c>
      <c r="BP129" s="3">
        <v>0.66</v>
      </c>
      <c r="BQ129" s="3">
        <v>0.7</v>
      </c>
      <c r="BR129" s="3">
        <v>0.74</v>
      </c>
      <c r="BS129" s="3">
        <v>0.79</v>
      </c>
      <c r="BT129" s="3">
        <v>0.83</v>
      </c>
    </row>
    <row r="130" spans="1:88" x14ac:dyDescent="0.35">
      <c r="B130" s="4">
        <v>43040</v>
      </c>
      <c r="C130" s="5" t="s">
        <v>103</v>
      </c>
      <c r="D130" t="s">
        <v>549</v>
      </c>
      <c r="E130" t="s">
        <v>494</v>
      </c>
      <c r="F130" t="s">
        <v>515</v>
      </c>
      <c r="G130" t="s">
        <v>1009</v>
      </c>
      <c r="H130" t="s">
        <v>548</v>
      </c>
      <c r="I130" s="3" t="e">
        <v>#N/A</v>
      </c>
      <c r="J130" s="3" t="e">
        <v>#N/A</v>
      </c>
      <c r="K130" s="3" t="e">
        <v>#N/A</v>
      </c>
      <c r="L130" s="3" t="e">
        <v>#N/A</v>
      </c>
      <c r="M130" s="3" t="e">
        <v>#N/A</v>
      </c>
      <c r="N130" s="3" t="e">
        <v>#N/A</v>
      </c>
      <c r="O130" s="3" t="e">
        <v>#N/A</v>
      </c>
      <c r="P130" s="3" t="e">
        <v>#N/A</v>
      </c>
      <c r="Q130" s="3" t="e">
        <v>#N/A</v>
      </c>
      <c r="R130" s="3" t="e">
        <v>#N/A</v>
      </c>
      <c r="S130" s="3" t="e">
        <v>#N/A</v>
      </c>
      <c r="T130" s="3" t="e">
        <v>#N/A</v>
      </c>
      <c r="U130" s="3" t="e">
        <v>#N/A</v>
      </c>
      <c r="V130" s="3" t="e">
        <v>#N/A</v>
      </c>
      <c r="W130" s="3" t="e">
        <v>#N/A</v>
      </c>
      <c r="X130" s="3" t="e">
        <v>#N/A</v>
      </c>
      <c r="Y130" s="3" t="e">
        <v>#N/A</v>
      </c>
      <c r="Z130" s="3" t="e">
        <v>#N/A</v>
      </c>
      <c r="AA130" s="3" t="e">
        <v>#N/A</v>
      </c>
      <c r="AB130" s="3" t="e">
        <v>#N/A</v>
      </c>
      <c r="AC130" s="3" t="e">
        <v>#N/A</v>
      </c>
      <c r="AD130" s="3" t="e">
        <v>#N/A</v>
      </c>
      <c r="AE130" s="3" t="e">
        <v>#N/A</v>
      </c>
      <c r="AF130" s="3" t="e">
        <v>#N/A</v>
      </c>
      <c r="AG130" s="3" t="e">
        <v>#N/A</v>
      </c>
      <c r="AH130" s="3" t="e">
        <v>#N/A</v>
      </c>
      <c r="AI130" s="3" t="e">
        <v>#N/A</v>
      </c>
      <c r="AJ130" s="3" t="e">
        <v>#N/A</v>
      </c>
      <c r="AK130" s="3" t="e">
        <v>#N/A</v>
      </c>
      <c r="AL130" s="3" t="e">
        <v>#N/A</v>
      </c>
      <c r="AM130" s="3" t="e">
        <v>#N/A</v>
      </c>
      <c r="AN130" s="3" t="e">
        <v>#N/A</v>
      </c>
      <c r="AO130" s="3" t="e">
        <v>#N/A</v>
      </c>
      <c r="AP130" s="3" t="e">
        <v>#N/A</v>
      </c>
      <c r="AQ130" s="3" t="e">
        <v>#N/A</v>
      </c>
      <c r="AR130" s="3" t="e">
        <v>#N/A</v>
      </c>
      <c r="AS130" s="3" t="e">
        <v>#N/A</v>
      </c>
      <c r="AT130" s="3" t="e">
        <v>#N/A</v>
      </c>
      <c r="AU130" s="3" t="e">
        <v>#N/A</v>
      </c>
      <c r="AV130" s="3" t="e">
        <v>#N/A</v>
      </c>
      <c r="AW130" s="3" t="e">
        <v>#N/A</v>
      </c>
      <c r="AX130" s="3" t="e">
        <v>#N/A</v>
      </c>
      <c r="AY130" s="3" t="e">
        <v>#N/A</v>
      </c>
      <c r="AZ130" s="3" t="e">
        <v>#N/A</v>
      </c>
      <c r="BA130" s="3" t="e">
        <v>#N/A</v>
      </c>
      <c r="BB130" s="3" t="e">
        <v>#N/A</v>
      </c>
      <c r="BC130" s="3" t="e">
        <v>#N/A</v>
      </c>
      <c r="BD130" s="3" t="e">
        <v>#N/A</v>
      </c>
      <c r="BE130" s="3" t="e">
        <v>#N/A</v>
      </c>
      <c r="BF130" s="3" t="e">
        <v>#N/A</v>
      </c>
      <c r="BG130" s="3" t="e">
        <v>#N/A</v>
      </c>
      <c r="BH130" s="3">
        <v>0.38</v>
      </c>
      <c r="BI130" s="3">
        <v>0.5</v>
      </c>
      <c r="BJ130" s="3">
        <v>0.6</v>
      </c>
      <c r="BK130" s="3">
        <v>0.68</v>
      </c>
      <c r="BL130" s="3">
        <v>0.73</v>
      </c>
      <c r="BM130" s="3">
        <v>0.77</v>
      </c>
      <c r="BN130" s="3">
        <v>0.8</v>
      </c>
      <c r="BO130" s="3">
        <v>0.84</v>
      </c>
      <c r="BP130" s="3">
        <v>0.87</v>
      </c>
      <c r="BQ130" s="3">
        <v>0.89</v>
      </c>
      <c r="BR130" s="3">
        <v>0.92</v>
      </c>
      <c r="BS130" s="3">
        <v>0.95</v>
      </c>
      <c r="BT130" s="3">
        <v>0.98</v>
      </c>
      <c r="BU130" s="3">
        <v>1.01</v>
      </c>
    </row>
    <row r="131" spans="1:88" x14ac:dyDescent="0.35">
      <c r="A131" s="1"/>
      <c r="B131" s="4">
        <v>43132</v>
      </c>
      <c r="C131" s="5" t="s">
        <v>115</v>
      </c>
      <c r="D131" t="s">
        <v>551</v>
      </c>
      <c r="E131" t="s">
        <v>498</v>
      </c>
      <c r="F131" t="s">
        <v>518</v>
      </c>
      <c r="G131" t="s">
        <v>1009</v>
      </c>
      <c r="H131" t="s">
        <v>550</v>
      </c>
      <c r="I131" s="3" t="e">
        <v>#N/A</v>
      </c>
      <c r="J131" s="3" t="e">
        <v>#N/A</v>
      </c>
      <c r="K131" s="3" t="e">
        <v>#N/A</v>
      </c>
      <c r="L131" s="3" t="e">
        <v>#N/A</v>
      </c>
      <c r="M131" s="3" t="e">
        <v>#N/A</v>
      </c>
      <c r="N131" s="3" t="e">
        <v>#N/A</v>
      </c>
      <c r="O131" s="3" t="e">
        <v>#N/A</v>
      </c>
      <c r="P131" s="3" t="e">
        <v>#N/A</v>
      </c>
      <c r="Q131" s="3" t="e">
        <v>#N/A</v>
      </c>
      <c r="R131" s="3" t="e">
        <v>#N/A</v>
      </c>
      <c r="S131" s="3" t="e">
        <v>#N/A</v>
      </c>
      <c r="T131" s="3" t="e">
        <v>#N/A</v>
      </c>
      <c r="U131" s="3" t="e">
        <v>#N/A</v>
      </c>
      <c r="V131" s="3" t="e">
        <v>#N/A</v>
      </c>
      <c r="W131" s="3" t="e">
        <v>#N/A</v>
      </c>
      <c r="X131" s="3" t="e">
        <v>#N/A</v>
      </c>
      <c r="Y131" s="3" t="e">
        <v>#N/A</v>
      </c>
      <c r="Z131" s="3" t="e">
        <v>#N/A</v>
      </c>
      <c r="AA131" s="3" t="e">
        <v>#N/A</v>
      </c>
      <c r="AB131" s="3" t="e">
        <v>#N/A</v>
      </c>
      <c r="AC131" s="3" t="e">
        <v>#N/A</v>
      </c>
      <c r="AD131" s="3" t="e">
        <v>#N/A</v>
      </c>
      <c r="AE131" s="3" t="e">
        <v>#N/A</v>
      </c>
      <c r="AF131" s="3" t="e">
        <v>#N/A</v>
      </c>
      <c r="AG131" s="3" t="e">
        <v>#N/A</v>
      </c>
      <c r="AH131" s="3" t="e">
        <v>#N/A</v>
      </c>
      <c r="AI131" s="3" t="e">
        <v>#N/A</v>
      </c>
      <c r="AJ131" s="3" t="e">
        <v>#N/A</v>
      </c>
      <c r="AK131" s="3" t="e">
        <v>#N/A</v>
      </c>
      <c r="AL131" s="3" t="e">
        <v>#N/A</v>
      </c>
      <c r="AM131" s="3" t="e">
        <v>#N/A</v>
      </c>
      <c r="AN131" s="3" t="e">
        <v>#N/A</v>
      </c>
      <c r="AO131" s="3" t="e">
        <v>#N/A</v>
      </c>
      <c r="AP131" s="3" t="e">
        <v>#N/A</v>
      </c>
      <c r="AQ131" s="3" t="e">
        <v>#N/A</v>
      </c>
      <c r="AR131" s="3" t="e">
        <v>#N/A</v>
      </c>
      <c r="AS131" s="3" t="e">
        <v>#N/A</v>
      </c>
      <c r="AT131" s="3" t="e">
        <v>#N/A</v>
      </c>
      <c r="AU131" s="3" t="e">
        <v>#N/A</v>
      </c>
      <c r="AV131" s="3" t="e">
        <v>#N/A</v>
      </c>
      <c r="AW131" s="3" t="e">
        <v>#N/A</v>
      </c>
      <c r="AX131" s="3" t="e">
        <v>#N/A</v>
      </c>
      <c r="AY131" s="3" t="e">
        <v>#N/A</v>
      </c>
      <c r="AZ131" s="3" t="e">
        <v>#N/A</v>
      </c>
      <c r="BA131" s="3" t="e">
        <v>#N/A</v>
      </c>
      <c r="BB131" s="3" t="e">
        <v>#N/A</v>
      </c>
      <c r="BC131" s="3" t="e">
        <v>#N/A</v>
      </c>
      <c r="BD131" s="3" t="e">
        <v>#N/A</v>
      </c>
      <c r="BE131" s="3" t="e">
        <v>#N/A</v>
      </c>
      <c r="BF131" s="3" t="e">
        <v>#N/A</v>
      </c>
      <c r="BG131" s="3" t="e">
        <v>#N/A</v>
      </c>
      <c r="BH131" s="3" t="e">
        <v>#N/A</v>
      </c>
      <c r="BI131" s="3">
        <v>0.47</v>
      </c>
      <c r="BJ131" s="3">
        <v>0.53</v>
      </c>
      <c r="BK131" s="3">
        <v>0.64</v>
      </c>
      <c r="BL131" s="3">
        <v>0.73</v>
      </c>
      <c r="BM131" s="3">
        <v>0.81</v>
      </c>
      <c r="BN131" s="3">
        <v>0.87</v>
      </c>
      <c r="BO131" s="3">
        <v>0.93</v>
      </c>
      <c r="BP131" s="3">
        <v>0.98</v>
      </c>
      <c r="BQ131" s="3">
        <v>1.03</v>
      </c>
      <c r="BR131" s="3">
        <v>1.07</v>
      </c>
      <c r="BS131" s="3">
        <v>1.1100000000000001</v>
      </c>
      <c r="BT131" s="3">
        <v>1.1399999999999999</v>
      </c>
      <c r="BU131" s="3">
        <v>1.1599999999999999</v>
      </c>
      <c r="BV131" s="3">
        <v>1.19</v>
      </c>
    </row>
    <row r="132" spans="1:88" x14ac:dyDescent="0.35">
      <c r="A132" s="1"/>
      <c r="B132" s="4">
        <v>43221</v>
      </c>
      <c r="C132" s="5" t="s">
        <v>121</v>
      </c>
      <c r="D132" t="s">
        <v>553</v>
      </c>
      <c r="E132" t="s">
        <v>519</v>
      </c>
      <c r="F132" t="s">
        <v>522</v>
      </c>
      <c r="G132" t="s">
        <v>1009</v>
      </c>
      <c r="H132" t="s">
        <v>552</v>
      </c>
      <c r="I132" s="3" t="e">
        <v>#N/A</v>
      </c>
      <c r="J132" s="3" t="e">
        <v>#N/A</v>
      </c>
      <c r="K132" s="3" t="e">
        <v>#N/A</v>
      </c>
      <c r="L132" s="3" t="e">
        <v>#N/A</v>
      </c>
      <c r="M132" s="3" t="e">
        <v>#N/A</v>
      </c>
      <c r="N132" s="3" t="e">
        <v>#N/A</v>
      </c>
      <c r="O132" s="3" t="e">
        <v>#N/A</v>
      </c>
      <c r="P132" s="3" t="e">
        <v>#N/A</v>
      </c>
      <c r="Q132" s="3" t="e">
        <v>#N/A</v>
      </c>
      <c r="R132" s="3" t="e">
        <v>#N/A</v>
      </c>
      <c r="S132" s="3" t="e">
        <v>#N/A</v>
      </c>
      <c r="T132" s="3" t="e">
        <v>#N/A</v>
      </c>
      <c r="U132" s="3" t="e">
        <v>#N/A</v>
      </c>
      <c r="V132" s="3" t="e">
        <v>#N/A</v>
      </c>
      <c r="W132" s="3" t="e">
        <v>#N/A</v>
      </c>
      <c r="X132" s="3" t="e">
        <v>#N/A</v>
      </c>
      <c r="Y132" s="3" t="e">
        <v>#N/A</v>
      </c>
      <c r="Z132" s="3" t="e">
        <v>#N/A</v>
      </c>
      <c r="AA132" s="3" t="e">
        <v>#N/A</v>
      </c>
      <c r="AB132" s="3" t="e">
        <v>#N/A</v>
      </c>
      <c r="AC132" s="3" t="e">
        <v>#N/A</v>
      </c>
      <c r="AD132" s="3" t="e">
        <v>#N/A</v>
      </c>
      <c r="AE132" s="3" t="e">
        <v>#N/A</v>
      </c>
      <c r="AF132" s="3" t="e">
        <v>#N/A</v>
      </c>
      <c r="AG132" s="3" t="e">
        <v>#N/A</v>
      </c>
      <c r="AH132" s="3" t="e">
        <v>#N/A</v>
      </c>
      <c r="AI132" s="3" t="e">
        <v>#N/A</v>
      </c>
      <c r="AJ132" s="3" t="e">
        <v>#N/A</v>
      </c>
      <c r="AK132" s="3" t="e">
        <v>#N/A</v>
      </c>
      <c r="AL132" s="3" t="e">
        <v>#N/A</v>
      </c>
      <c r="AM132" s="3" t="e">
        <v>#N/A</v>
      </c>
      <c r="AN132" s="3" t="e">
        <v>#N/A</v>
      </c>
      <c r="AO132" s="3" t="e">
        <v>#N/A</v>
      </c>
      <c r="AP132" s="3" t="e">
        <v>#N/A</v>
      </c>
      <c r="AQ132" s="3" t="e">
        <v>#N/A</v>
      </c>
      <c r="AR132" s="3" t="e">
        <v>#N/A</v>
      </c>
      <c r="AS132" s="3" t="e">
        <v>#N/A</v>
      </c>
      <c r="AT132" s="3" t="e">
        <v>#N/A</v>
      </c>
      <c r="AU132" s="3" t="e">
        <v>#N/A</v>
      </c>
      <c r="AV132" s="3" t="e">
        <v>#N/A</v>
      </c>
      <c r="AW132" s="3" t="e">
        <v>#N/A</v>
      </c>
      <c r="AX132" s="3" t="e">
        <v>#N/A</v>
      </c>
      <c r="AY132" s="3" t="e">
        <v>#N/A</v>
      </c>
      <c r="AZ132" s="3" t="e">
        <v>#N/A</v>
      </c>
      <c r="BA132" s="3" t="e">
        <v>#N/A</v>
      </c>
      <c r="BB132" s="3" t="e">
        <v>#N/A</v>
      </c>
      <c r="BC132" s="3" t="e">
        <v>#N/A</v>
      </c>
      <c r="BD132" s="3" t="e">
        <v>#N/A</v>
      </c>
      <c r="BE132" s="3" t="e">
        <v>#N/A</v>
      </c>
      <c r="BF132" s="3" t="e">
        <v>#N/A</v>
      </c>
      <c r="BG132" s="3" t="e">
        <v>#N/A</v>
      </c>
      <c r="BH132" s="3" t="e">
        <v>#N/A</v>
      </c>
      <c r="BI132" s="3" t="e">
        <v>#N/A</v>
      </c>
      <c r="BJ132" s="3">
        <v>0.56000000000000005</v>
      </c>
      <c r="BK132" s="3">
        <v>0.66</v>
      </c>
      <c r="BL132" s="3">
        <v>0.74</v>
      </c>
      <c r="BM132" s="3">
        <v>0.82</v>
      </c>
      <c r="BN132" s="3">
        <v>0.9</v>
      </c>
      <c r="BO132" s="3">
        <v>0.97</v>
      </c>
      <c r="BP132" s="3">
        <v>1.04</v>
      </c>
      <c r="BQ132" s="3">
        <v>1.1000000000000001</v>
      </c>
      <c r="BR132" s="3">
        <v>1.1399999999999999</v>
      </c>
      <c r="BS132" s="3">
        <v>1.18</v>
      </c>
      <c r="BT132" s="3">
        <v>1.21</v>
      </c>
      <c r="BU132" s="3">
        <v>1.23</v>
      </c>
      <c r="BV132" s="3">
        <v>1.24</v>
      </c>
      <c r="BW132" s="3">
        <v>1.26</v>
      </c>
    </row>
    <row r="133" spans="1:88" x14ac:dyDescent="0.35">
      <c r="A133" s="1"/>
      <c r="B133" s="4">
        <v>43313</v>
      </c>
      <c r="C133" s="5" t="s">
        <v>478</v>
      </c>
      <c r="D133" t="s">
        <v>556</v>
      </c>
      <c r="E133" t="s">
        <v>523</v>
      </c>
      <c r="F133" t="s">
        <v>555</v>
      </c>
      <c r="G133" t="s">
        <v>1009</v>
      </c>
      <c r="H133" t="s">
        <v>554</v>
      </c>
      <c r="I133" s="3" t="e">
        <v>#N/A</v>
      </c>
      <c r="J133" s="3" t="e">
        <v>#N/A</v>
      </c>
      <c r="K133" s="3" t="e">
        <v>#N/A</v>
      </c>
      <c r="L133" s="3" t="e">
        <v>#N/A</v>
      </c>
      <c r="M133" s="3" t="e">
        <v>#N/A</v>
      </c>
      <c r="N133" s="3" t="e">
        <v>#N/A</v>
      </c>
      <c r="O133" s="3" t="e">
        <v>#N/A</v>
      </c>
      <c r="P133" s="3" t="e">
        <v>#N/A</v>
      </c>
      <c r="Q133" s="3" t="e">
        <v>#N/A</v>
      </c>
      <c r="R133" s="3" t="e">
        <v>#N/A</v>
      </c>
      <c r="S133" s="3" t="e">
        <v>#N/A</v>
      </c>
      <c r="T133" s="3" t="e">
        <v>#N/A</v>
      </c>
      <c r="U133" s="3" t="e">
        <v>#N/A</v>
      </c>
      <c r="V133" s="3" t="e">
        <v>#N/A</v>
      </c>
      <c r="W133" s="3" t="e">
        <v>#N/A</v>
      </c>
      <c r="X133" s="3" t="e">
        <v>#N/A</v>
      </c>
      <c r="Y133" s="3" t="e">
        <v>#N/A</v>
      </c>
      <c r="Z133" s="3" t="e">
        <v>#N/A</v>
      </c>
      <c r="AA133" s="3" t="e">
        <v>#N/A</v>
      </c>
      <c r="AB133" s="3" t="e">
        <v>#N/A</v>
      </c>
      <c r="AC133" s="3" t="e">
        <v>#N/A</v>
      </c>
      <c r="AD133" s="3" t="e">
        <v>#N/A</v>
      </c>
      <c r="AE133" s="3" t="e">
        <v>#N/A</v>
      </c>
      <c r="AF133" s="3" t="e">
        <v>#N/A</v>
      </c>
      <c r="AG133" s="3" t="e">
        <v>#N/A</v>
      </c>
      <c r="AH133" s="3" t="e">
        <v>#N/A</v>
      </c>
      <c r="AI133" s="3" t="e">
        <v>#N/A</v>
      </c>
      <c r="AJ133" s="3" t="e">
        <v>#N/A</v>
      </c>
      <c r="AK133" s="3" t="e">
        <v>#N/A</v>
      </c>
      <c r="AL133" s="3" t="e">
        <v>#N/A</v>
      </c>
      <c r="AM133" s="3" t="e">
        <v>#N/A</v>
      </c>
      <c r="AN133" s="3" t="e">
        <v>#N/A</v>
      </c>
      <c r="AO133" s="3" t="e">
        <v>#N/A</v>
      </c>
      <c r="AP133" s="3" t="e">
        <v>#N/A</v>
      </c>
      <c r="AQ133" s="3" t="e">
        <v>#N/A</v>
      </c>
      <c r="AR133" s="3" t="e">
        <v>#N/A</v>
      </c>
      <c r="AS133" s="3" t="e">
        <v>#N/A</v>
      </c>
      <c r="AT133" s="3" t="e">
        <v>#N/A</v>
      </c>
      <c r="AU133" s="3" t="e">
        <v>#N/A</v>
      </c>
      <c r="AV133" s="3" t="e">
        <v>#N/A</v>
      </c>
      <c r="AW133" s="3" t="e">
        <v>#N/A</v>
      </c>
      <c r="AX133" s="3" t="e">
        <v>#N/A</v>
      </c>
      <c r="AY133" s="3" t="e">
        <v>#N/A</v>
      </c>
      <c r="AZ133" s="3" t="e">
        <v>#N/A</v>
      </c>
      <c r="BA133" s="3" t="e">
        <v>#N/A</v>
      </c>
      <c r="BB133" s="3" t="e">
        <v>#N/A</v>
      </c>
      <c r="BC133" s="3" t="e">
        <v>#N/A</v>
      </c>
      <c r="BD133" s="3" t="e">
        <v>#N/A</v>
      </c>
      <c r="BE133" s="3" t="e">
        <v>#N/A</v>
      </c>
      <c r="BF133" s="3" t="e">
        <v>#N/A</v>
      </c>
      <c r="BG133" s="3" t="e">
        <v>#N/A</v>
      </c>
      <c r="BH133" s="3" t="e">
        <v>#N/A</v>
      </c>
      <c r="BI133" s="3" t="e">
        <v>#N/A</v>
      </c>
      <c r="BJ133" s="3" t="e">
        <v>#N/A</v>
      </c>
      <c r="BK133" s="3">
        <v>0.61</v>
      </c>
      <c r="BL133" s="3">
        <v>0.69</v>
      </c>
      <c r="BM133" s="3">
        <v>0.73</v>
      </c>
      <c r="BN133" s="3">
        <v>0.8</v>
      </c>
      <c r="BO133" s="3">
        <v>0.86</v>
      </c>
      <c r="BP133" s="3">
        <v>0.92</v>
      </c>
      <c r="BQ133" s="3">
        <v>0.97</v>
      </c>
      <c r="BR133" s="3">
        <v>1.01</v>
      </c>
      <c r="BS133" s="3">
        <v>1.04</v>
      </c>
      <c r="BT133" s="3">
        <v>1.07</v>
      </c>
      <c r="BU133" s="3">
        <v>1.0900000000000001</v>
      </c>
      <c r="BV133" s="3">
        <v>1.1100000000000001</v>
      </c>
      <c r="BW133" s="3">
        <v>1.1299999999999999</v>
      </c>
      <c r="BX133" s="3">
        <v>1.1499999999999999</v>
      </c>
    </row>
    <row r="134" spans="1:88" x14ac:dyDescent="0.35">
      <c r="B134" s="4">
        <v>43405</v>
      </c>
      <c r="C134" s="5" t="s">
        <v>562</v>
      </c>
      <c r="D134" t="s">
        <v>573</v>
      </c>
      <c r="E134" t="s">
        <v>567</v>
      </c>
      <c r="F134" t="s">
        <v>572</v>
      </c>
      <c r="G134" t="s">
        <v>1009</v>
      </c>
      <c r="H134" t="s">
        <v>571</v>
      </c>
      <c r="I134" s="3" t="e">
        <v>#N/A</v>
      </c>
      <c r="J134" s="3" t="e">
        <v>#N/A</v>
      </c>
      <c r="K134" s="3" t="e">
        <v>#N/A</v>
      </c>
      <c r="L134" s="3" t="e">
        <v>#N/A</v>
      </c>
      <c r="M134" s="3" t="e">
        <v>#N/A</v>
      </c>
      <c r="N134" s="3" t="e">
        <v>#N/A</v>
      </c>
      <c r="O134" s="3" t="e">
        <v>#N/A</v>
      </c>
      <c r="P134" s="3" t="e">
        <v>#N/A</v>
      </c>
      <c r="Q134" s="3" t="e">
        <v>#N/A</v>
      </c>
      <c r="R134" s="3" t="e">
        <v>#N/A</v>
      </c>
      <c r="S134" s="3" t="e">
        <v>#N/A</v>
      </c>
      <c r="T134" s="3" t="e">
        <v>#N/A</v>
      </c>
      <c r="U134" s="3" t="e">
        <v>#N/A</v>
      </c>
      <c r="V134" s="3" t="e">
        <v>#N/A</v>
      </c>
      <c r="W134" s="3" t="e">
        <v>#N/A</v>
      </c>
      <c r="X134" s="3" t="e">
        <v>#N/A</v>
      </c>
      <c r="Y134" s="3" t="e">
        <v>#N/A</v>
      </c>
      <c r="Z134" s="3" t="e">
        <v>#N/A</v>
      </c>
      <c r="AA134" s="3" t="e">
        <v>#N/A</v>
      </c>
      <c r="AB134" s="3" t="e">
        <v>#N/A</v>
      </c>
      <c r="AC134" s="3" t="e">
        <v>#N/A</v>
      </c>
      <c r="AD134" s="3" t="e">
        <v>#N/A</v>
      </c>
      <c r="AE134" s="3" t="e">
        <v>#N/A</v>
      </c>
      <c r="AF134" s="3" t="e">
        <v>#N/A</v>
      </c>
      <c r="AG134" s="3" t="e">
        <v>#N/A</v>
      </c>
      <c r="AH134" s="3" t="e">
        <v>#N/A</v>
      </c>
      <c r="AI134" s="3" t="e">
        <v>#N/A</v>
      </c>
      <c r="AJ134" s="3" t="e">
        <v>#N/A</v>
      </c>
      <c r="AK134" s="3" t="e">
        <v>#N/A</v>
      </c>
      <c r="AL134" s="3" t="e">
        <v>#N/A</v>
      </c>
      <c r="AM134" s="3" t="e">
        <v>#N/A</v>
      </c>
      <c r="AN134" s="3" t="e">
        <v>#N/A</v>
      </c>
      <c r="AO134" s="3" t="e">
        <v>#N/A</v>
      </c>
      <c r="AP134" s="3" t="e">
        <v>#N/A</v>
      </c>
      <c r="AQ134" s="3" t="e">
        <v>#N/A</v>
      </c>
      <c r="AR134" s="3" t="e">
        <v>#N/A</v>
      </c>
      <c r="AS134" s="3" t="e">
        <v>#N/A</v>
      </c>
      <c r="AT134" s="3" t="e">
        <v>#N/A</v>
      </c>
      <c r="AU134" s="3" t="e">
        <v>#N/A</v>
      </c>
      <c r="AV134" s="3" t="e">
        <v>#N/A</v>
      </c>
      <c r="AW134" s="3" t="e">
        <v>#N/A</v>
      </c>
      <c r="AX134" s="3" t="e">
        <v>#N/A</v>
      </c>
      <c r="AY134" s="3" t="e">
        <v>#N/A</v>
      </c>
      <c r="AZ134" s="3" t="e">
        <v>#N/A</v>
      </c>
      <c r="BA134" s="3" t="e">
        <v>#N/A</v>
      </c>
      <c r="BB134" s="3" t="e">
        <v>#N/A</v>
      </c>
      <c r="BC134" s="3" t="e">
        <v>#N/A</v>
      </c>
      <c r="BD134" s="3" t="e">
        <v>#N/A</v>
      </c>
      <c r="BE134" s="3" t="e">
        <v>#N/A</v>
      </c>
      <c r="BF134" s="3" t="e">
        <v>#N/A</v>
      </c>
      <c r="BG134" s="3" t="e">
        <v>#N/A</v>
      </c>
      <c r="BH134" s="3" t="e">
        <v>#N/A</v>
      </c>
      <c r="BI134" s="3" t="e">
        <v>#N/A</v>
      </c>
      <c r="BJ134" s="3" t="e">
        <v>#N/A</v>
      </c>
      <c r="BK134" s="3" t="e">
        <v>#N/A</v>
      </c>
      <c r="BL134" s="3">
        <v>0.72</v>
      </c>
      <c r="BM134" s="3">
        <v>0.76</v>
      </c>
      <c r="BN134" s="3">
        <v>0.85</v>
      </c>
      <c r="BO134" s="3">
        <v>0.93</v>
      </c>
      <c r="BP134" s="3">
        <v>1.01</v>
      </c>
      <c r="BQ134" s="3">
        <v>1.08</v>
      </c>
      <c r="BR134" s="3">
        <v>1.1399999999999999</v>
      </c>
      <c r="BS134" s="3">
        <v>1.2</v>
      </c>
      <c r="BT134" s="3">
        <v>1.25</v>
      </c>
      <c r="BU134" s="3">
        <v>1.29</v>
      </c>
      <c r="BV134" s="3">
        <v>1.32</v>
      </c>
      <c r="BW134" s="3">
        <v>1.35</v>
      </c>
      <c r="BX134" s="3">
        <v>1.38</v>
      </c>
      <c r="BY134" s="3">
        <v>1.4</v>
      </c>
    </row>
    <row r="135" spans="1:88" x14ac:dyDescent="0.35">
      <c r="B135" s="4">
        <v>43497</v>
      </c>
      <c r="C135" s="5" t="s">
        <v>580</v>
      </c>
      <c r="D135" t="s">
        <v>589</v>
      </c>
      <c r="E135" t="s">
        <v>584</v>
      </c>
      <c r="F135" t="s">
        <v>588</v>
      </c>
      <c r="G135" t="s">
        <v>1009</v>
      </c>
      <c r="H135" t="s">
        <v>581</v>
      </c>
      <c r="I135" s="3" t="e">
        <v>#N/A</v>
      </c>
      <c r="J135" s="3" t="e">
        <v>#N/A</v>
      </c>
      <c r="K135" s="3" t="e">
        <v>#N/A</v>
      </c>
      <c r="L135" s="3" t="e">
        <v>#N/A</v>
      </c>
      <c r="M135" s="3" t="e">
        <v>#N/A</v>
      </c>
      <c r="N135" s="3" t="e">
        <v>#N/A</v>
      </c>
      <c r="O135" s="3" t="e">
        <v>#N/A</v>
      </c>
      <c r="P135" s="3" t="e">
        <v>#N/A</v>
      </c>
      <c r="Q135" s="3" t="e">
        <v>#N/A</v>
      </c>
      <c r="R135" s="3" t="e">
        <v>#N/A</v>
      </c>
      <c r="S135" s="3" t="e">
        <v>#N/A</v>
      </c>
      <c r="T135" s="3" t="e">
        <v>#N/A</v>
      </c>
      <c r="U135" s="3" t="e">
        <v>#N/A</v>
      </c>
      <c r="V135" s="3" t="e">
        <v>#N/A</v>
      </c>
      <c r="W135" s="3" t="e">
        <v>#N/A</v>
      </c>
      <c r="X135" s="3" t="e">
        <v>#N/A</v>
      </c>
      <c r="Y135" s="3" t="e">
        <v>#N/A</v>
      </c>
      <c r="Z135" s="3" t="e">
        <v>#N/A</v>
      </c>
      <c r="AA135" s="3" t="e">
        <v>#N/A</v>
      </c>
      <c r="AB135" s="3" t="e">
        <v>#N/A</v>
      </c>
      <c r="AC135" s="3" t="e">
        <v>#N/A</v>
      </c>
      <c r="AD135" s="3" t="e">
        <v>#N/A</v>
      </c>
      <c r="AE135" s="3" t="e">
        <v>#N/A</v>
      </c>
      <c r="AF135" s="3" t="e">
        <v>#N/A</v>
      </c>
      <c r="AG135" s="3" t="e">
        <v>#N/A</v>
      </c>
      <c r="AH135" s="3" t="e">
        <v>#N/A</v>
      </c>
      <c r="AI135" s="3" t="e">
        <v>#N/A</v>
      </c>
      <c r="AJ135" s="3" t="e">
        <v>#N/A</v>
      </c>
      <c r="AK135" s="3" t="e">
        <v>#N/A</v>
      </c>
      <c r="AL135" s="3" t="e">
        <v>#N/A</v>
      </c>
      <c r="AM135" s="3" t="e">
        <v>#N/A</v>
      </c>
      <c r="AN135" s="3" t="e">
        <v>#N/A</v>
      </c>
      <c r="AO135" s="3" t="e">
        <v>#N/A</v>
      </c>
      <c r="AP135" s="3" t="e">
        <v>#N/A</v>
      </c>
      <c r="AQ135" s="3" t="e">
        <v>#N/A</v>
      </c>
      <c r="AR135" s="3" t="e">
        <v>#N/A</v>
      </c>
      <c r="AS135" s="3" t="e">
        <v>#N/A</v>
      </c>
      <c r="AT135" s="3" t="e">
        <v>#N/A</v>
      </c>
      <c r="AU135" s="3" t="e">
        <v>#N/A</v>
      </c>
      <c r="AV135" s="3" t="e">
        <v>#N/A</v>
      </c>
      <c r="AW135" s="3" t="e">
        <v>#N/A</v>
      </c>
      <c r="AX135" s="3" t="e">
        <v>#N/A</v>
      </c>
      <c r="AY135" s="3" t="e">
        <v>#N/A</v>
      </c>
      <c r="AZ135" s="3" t="e">
        <v>#N/A</v>
      </c>
      <c r="BA135" s="3" t="e">
        <v>#N/A</v>
      </c>
      <c r="BB135" s="3" t="e">
        <v>#N/A</v>
      </c>
      <c r="BC135" s="3" t="e">
        <v>#N/A</v>
      </c>
      <c r="BD135" s="3" t="e">
        <v>#N/A</v>
      </c>
      <c r="BE135" s="3" t="e">
        <v>#N/A</v>
      </c>
      <c r="BF135" s="3" t="e">
        <v>#N/A</v>
      </c>
      <c r="BG135" s="3" t="e">
        <v>#N/A</v>
      </c>
      <c r="BH135" s="3" t="e">
        <v>#N/A</v>
      </c>
      <c r="BI135" s="3" t="e">
        <v>#N/A</v>
      </c>
      <c r="BJ135" s="3" t="e">
        <v>#N/A</v>
      </c>
      <c r="BK135" s="3" t="e">
        <v>#N/A</v>
      </c>
      <c r="BL135" s="3" t="e">
        <v>#N/A</v>
      </c>
      <c r="BM135" s="3">
        <v>0.72</v>
      </c>
      <c r="BN135" s="3">
        <v>0.75</v>
      </c>
      <c r="BO135" s="3">
        <v>0.8</v>
      </c>
      <c r="BP135" s="3">
        <v>0.86</v>
      </c>
      <c r="BQ135" s="3">
        <v>0.9</v>
      </c>
      <c r="BR135" s="3">
        <v>0.95</v>
      </c>
      <c r="BS135" s="3">
        <v>0.98</v>
      </c>
      <c r="BT135" s="3">
        <v>1.01</v>
      </c>
      <c r="BU135" s="3">
        <v>1.04</v>
      </c>
      <c r="BV135" s="3">
        <v>1.07</v>
      </c>
      <c r="BW135" s="3">
        <v>1.0900000000000001</v>
      </c>
      <c r="BX135" s="3">
        <v>1.1100000000000001</v>
      </c>
      <c r="BY135" s="3">
        <v>1.1299999999999999</v>
      </c>
      <c r="BZ135" s="3">
        <v>1.1399999999999999</v>
      </c>
    </row>
    <row r="136" spans="1:88" x14ac:dyDescent="0.35">
      <c r="B136" s="4">
        <v>43586</v>
      </c>
      <c r="C136" s="5" t="s">
        <v>595</v>
      </c>
      <c r="D136" t="s">
        <v>604</v>
      </c>
      <c r="E136" t="s">
        <v>599</v>
      </c>
      <c r="F136" t="s">
        <v>603</v>
      </c>
      <c r="G136" t="s">
        <v>1009</v>
      </c>
      <c r="H136" t="s">
        <v>596</v>
      </c>
      <c r="I136" s="3" t="e">
        <v>#N/A</v>
      </c>
      <c r="J136" s="3" t="e">
        <v>#N/A</v>
      </c>
      <c r="K136" s="3" t="e">
        <v>#N/A</v>
      </c>
      <c r="L136" s="3" t="e">
        <v>#N/A</v>
      </c>
      <c r="M136" s="3" t="e">
        <v>#N/A</v>
      </c>
      <c r="N136" s="3" t="e">
        <v>#N/A</v>
      </c>
      <c r="O136" s="3" t="e">
        <v>#N/A</v>
      </c>
      <c r="P136" s="3" t="e">
        <v>#N/A</v>
      </c>
      <c r="Q136" s="3" t="e">
        <v>#N/A</v>
      </c>
      <c r="R136" s="3" t="e">
        <v>#N/A</v>
      </c>
      <c r="S136" s="3" t="e">
        <v>#N/A</v>
      </c>
      <c r="T136" s="3" t="e">
        <v>#N/A</v>
      </c>
      <c r="U136" s="3" t="e">
        <v>#N/A</v>
      </c>
      <c r="V136" s="3" t="e">
        <v>#N/A</v>
      </c>
      <c r="W136" s="3" t="e">
        <v>#N/A</v>
      </c>
      <c r="X136" s="3" t="e">
        <v>#N/A</v>
      </c>
      <c r="Y136" s="3" t="e">
        <v>#N/A</v>
      </c>
      <c r="Z136" s="3" t="e">
        <v>#N/A</v>
      </c>
      <c r="AA136" s="3" t="e">
        <v>#N/A</v>
      </c>
      <c r="AB136" s="3" t="e">
        <v>#N/A</v>
      </c>
      <c r="AC136" s="3" t="e">
        <v>#N/A</v>
      </c>
      <c r="AD136" s="3" t="e">
        <v>#N/A</v>
      </c>
      <c r="AE136" s="3" t="e">
        <v>#N/A</v>
      </c>
      <c r="AF136" s="3" t="e">
        <v>#N/A</v>
      </c>
      <c r="AG136" s="3" t="e">
        <v>#N/A</v>
      </c>
      <c r="AH136" s="3" t="e">
        <v>#N/A</v>
      </c>
      <c r="AI136" s="3" t="e">
        <v>#N/A</v>
      </c>
      <c r="AJ136" s="3" t="e">
        <v>#N/A</v>
      </c>
      <c r="AK136" s="3" t="e">
        <v>#N/A</v>
      </c>
      <c r="AL136" s="3" t="e">
        <v>#N/A</v>
      </c>
      <c r="AM136" s="3" t="e">
        <v>#N/A</v>
      </c>
      <c r="AN136" s="3" t="e">
        <v>#N/A</v>
      </c>
      <c r="AO136" s="3" t="e">
        <v>#N/A</v>
      </c>
      <c r="AP136" s="3" t="e">
        <v>#N/A</v>
      </c>
      <c r="AQ136" s="3" t="e">
        <v>#N/A</v>
      </c>
      <c r="AR136" s="3" t="e">
        <v>#N/A</v>
      </c>
      <c r="AS136" s="3" t="e">
        <v>#N/A</v>
      </c>
      <c r="AT136" s="3" t="e">
        <v>#N/A</v>
      </c>
      <c r="AU136" s="3" t="e">
        <v>#N/A</v>
      </c>
      <c r="AV136" s="3" t="e">
        <v>#N/A</v>
      </c>
      <c r="AW136" s="3" t="e">
        <v>#N/A</v>
      </c>
      <c r="AX136" s="3" t="e">
        <v>#N/A</v>
      </c>
      <c r="AY136" s="3" t="e">
        <v>#N/A</v>
      </c>
      <c r="AZ136" s="3" t="e">
        <v>#N/A</v>
      </c>
      <c r="BA136" s="3" t="e">
        <v>#N/A</v>
      </c>
      <c r="BB136" s="3" t="e">
        <v>#N/A</v>
      </c>
      <c r="BC136" s="3" t="e">
        <v>#N/A</v>
      </c>
      <c r="BD136" s="3" t="e">
        <v>#N/A</v>
      </c>
      <c r="BE136" s="3" t="e">
        <v>#N/A</v>
      </c>
      <c r="BF136" s="3" t="e">
        <v>#N/A</v>
      </c>
      <c r="BG136" s="3" t="e">
        <v>#N/A</v>
      </c>
      <c r="BH136" s="3" t="e">
        <v>#N/A</v>
      </c>
      <c r="BI136" s="3" t="e">
        <v>#N/A</v>
      </c>
      <c r="BJ136" s="3" t="e">
        <v>#N/A</v>
      </c>
      <c r="BK136" s="3" t="e">
        <v>#N/A</v>
      </c>
      <c r="BL136" s="3" t="e">
        <v>#N/A</v>
      </c>
      <c r="BM136" s="3" t="e">
        <v>#N/A</v>
      </c>
      <c r="BN136" s="3">
        <v>0.72</v>
      </c>
      <c r="BO136" s="3">
        <v>0.71</v>
      </c>
      <c r="BP136" s="3">
        <v>0.73</v>
      </c>
      <c r="BQ136" s="3">
        <v>0.76</v>
      </c>
      <c r="BR136" s="3">
        <v>0.79</v>
      </c>
      <c r="BS136" s="3">
        <v>0.82</v>
      </c>
      <c r="BT136" s="3">
        <v>0.86</v>
      </c>
      <c r="BU136" s="3">
        <v>0.89</v>
      </c>
      <c r="BV136" s="3">
        <v>0.92</v>
      </c>
      <c r="BW136" s="3">
        <v>0.95</v>
      </c>
      <c r="BX136" s="3">
        <v>0.97</v>
      </c>
      <c r="BY136" s="3">
        <v>0.99</v>
      </c>
      <c r="BZ136" s="3">
        <v>1.01</v>
      </c>
      <c r="CA136" s="3">
        <v>1.03</v>
      </c>
    </row>
    <row r="137" spans="1:88" x14ac:dyDescent="0.35">
      <c r="B137" s="4">
        <v>43678</v>
      </c>
      <c r="C137" s="5" t="s">
        <v>610</v>
      </c>
      <c r="D137" t="s">
        <v>619</v>
      </c>
      <c r="E137" t="s">
        <v>614</v>
      </c>
      <c r="F137" t="s">
        <v>618</v>
      </c>
      <c r="G137" t="s">
        <v>1009</v>
      </c>
      <c r="H137" t="s">
        <v>611</v>
      </c>
      <c r="I137" s="3" t="e">
        <v>#N/A</v>
      </c>
      <c r="J137" s="3" t="e">
        <v>#N/A</v>
      </c>
      <c r="K137" s="3" t="e">
        <v>#N/A</v>
      </c>
      <c r="L137" s="3" t="e">
        <v>#N/A</v>
      </c>
      <c r="M137" s="3" t="e">
        <v>#N/A</v>
      </c>
      <c r="N137" s="3" t="e">
        <v>#N/A</v>
      </c>
      <c r="O137" s="3" t="e">
        <v>#N/A</v>
      </c>
      <c r="P137" s="3" t="e">
        <v>#N/A</v>
      </c>
      <c r="Q137" s="3" t="e">
        <v>#N/A</v>
      </c>
      <c r="R137" s="3" t="e">
        <v>#N/A</v>
      </c>
      <c r="S137" s="3" t="e">
        <v>#N/A</v>
      </c>
      <c r="T137" s="3" t="e">
        <v>#N/A</v>
      </c>
      <c r="U137" s="3" t="e">
        <v>#N/A</v>
      </c>
      <c r="V137" s="3" t="e">
        <v>#N/A</v>
      </c>
      <c r="W137" s="3" t="e">
        <v>#N/A</v>
      </c>
      <c r="X137" s="3" t="e">
        <v>#N/A</v>
      </c>
      <c r="Y137" s="3" t="e">
        <v>#N/A</v>
      </c>
      <c r="Z137" s="3" t="e">
        <v>#N/A</v>
      </c>
      <c r="AA137" s="3" t="e">
        <v>#N/A</v>
      </c>
      <c r="AB137" s="3" t="e">
        <v>#N/A</v>
      </c>
      <c r="AC137" s="3" t="e">
        <v>#N/A</v>
      </c>
      <c r="AD137" s="3" t="e">
        <v>#N/A</v>
      </c>
      <c r="AE137" s="3" t="e">
        <v>#N/A</v>
      </c>
      <c r="AF137" s="3" t="e">
        <v>#N/A</v>
      </c>
      <c r="AG137" s="3" t="e">
        <v>#N/A</v>
      </c>
      <c r="AH137" s="3" t="e">
        <v>#N/A</v>
      </c>
      <c r="AI137" s="3" t="e">
        <v>#N/A</v>
      </c>
      <c r="AJ137" s="3" t="e">
        <v>#N/A</v>
      </c>
      <c r="AK137" s="3" t="e">
        <v>#N/A</v>
      </c>
      <c r="AL137" s="3" t="e">
        <v>#N/A</v>
      </c>
      <c r="AM137" s="3" t="e">
        <v>#N/A</v>
      </c>
      <c r="AN137" s="3" t="e">
        <v>#N/A</v>
      </c>
      <c r="AO137" s="3" t="e">
        <v>#N/A</v>
      </c>
      <c r="AP137" s="3" t="e">
        <v>#N/A</v>
      </c>
      <c r="AQ137" s="3" t="e">
        <v>#N/A</v>
      </c>
      <c r="AR137" s="3" t="e">
        <v>#N/A</v>
      </c>
      <c r="AS137" s="3" t="e">
        <v>#N/A</v>
      </c>
      <c r="AT137" s="3" t="e">
        <v>#N/A</v>
      </c>
      <c r="AU137" s="3" t="e">
        <v>#N/A</v>
      </c>
      <c r="AV137" s="3" t="e">
        <v>#N/A</v>
      </c>
      <c r="AW137" s="3" t="e">
        <v>#N/A</v>
      </c>
      <c r="AX137" s="3" t="e">
        <v>#N/A</v>
      </c>
      <c r="AY137" s="3" t="e">
        <v>#N/A</v>
      </c>
      <c r="AZ137" s="3" t="e">
        <v>#N/A</v>
      </c>
      <c r="BA137" s="3" t="e">
        <v>#N/A</v>
      </c>
      <c r="BB137" s="3" t="e">
        <v>#N/A</v>
      </c>
      <c r="BC137" s="3" t="e">
        <v>#N/A</v>
      </c>
      <c r="BD137" s="3" t="e">
        <v>#N/A</v>
      </c>
      <c r="BE137" s="3" t="e">
        <v>#N/A</v>
      </c>
      <c r="BF137" s="3" t="e">
        <v>#N/A</v>
      </c>
      <c r="BG137" s="3" t="e">
        <v>#N/A</v>
      </c>
      <c r="BH137" s="3" t="e">
        <v>#N/A</v>
      </c>
      <c r="BI137" s="3" t="e">
        <v>#N/A</v>
      </c>
      <c r="BJ137" s="3" t="e">
        <v>#N/A</v>
      </c>
      <c r="BK137" s="3" t="e">
        <v>#N/A</v>
      </c>
      <c r="BL137" s="3" t="e">
        <v>#N/A</v>
      </c>
      <c r="BM137" s="3" t="e">
        <v>#N/A</v>
      </c>
      <c r="BN137" s="3" t="e">
        <v>#N/A</v>
      </c>
      <c r="BO137" s="3">
        <v>0.71</v>
      </c>
      <c r="BP137" s="3">
        <v>0.63</v>
      </c>
      <c r="BQ137" s="3">
        <v>0.55000000000000004</v>
      </c>
      <c r="BR137" s="3">
        <v>0.5</v>
      </c>
      <c r="BS137" s="3">
        <v>0.49</v>
      </c>
      <c r="BT137" s="3">
        <v>0.49</v>
      </c>
      <c r="BU137" s="3">
        <v>0.5</v>
      </c>
      <c r="BV137" s="3">
        <v>0.52</v>
      </c>
      <c r="BW137" s="3">
        <v>0.53</v>
      </c>
      <c r="BX137" s="3">
        <v>0.55000000000000004</v>
      </c>
      <c r="BY137" s="3">
        <v>0.56000000000000005</v>
      </c>
      <c r="BZ137" s="3">
        <v>0.57999999999999996</v>
      </c>
      <c r="CA137" s="3">
        <v>0.59</v>
      </c>
      <c r="CB137" s="3">
        <v>0.61</v>
      </c>
    </row>
    <row r="138" spans="1:88" x14ac:dyDescent="0.35">
      <c r="B138" s="4">
        <v>43770</v>
      </c>
      <c r="C138" s="5" t="s">
        <v>632</v>
      </c>
      <c r="D138" t="s">
        <v>636</v>
      </c>
      <c r="E138" t="s">
        <v>626</v>
      </c>
      <c r="F138" t="s">
        <v>627</v>
      </c>
      <c r="G138" t="s">
        <v>1009</v>
      </c>
      <c r="H138" t="s">
        <v>623</v>
      </c>
      <c r="I138" s="3" t="e">
        <v>#N/A</v>
      </c>
      <c r="J138" s="3" t="e">
        <v>#N/A</v>
      </c>
      <c r="K138" s="3" t="e">
        <v>#N/A</v>
      </c>
      <c r="L138" s="3" t="e">
        <v>#N/A</v>
      </c>
      <c r="M138" s="3" t="e">
        <v>#N/A</v>
      </c>
      <c r="N138" s="3" t="e">
        <v>#N/A</v>
      </c>
      <c r="O138" s="3" t="e">
        <v>#N/A</v>
      </c>
      <c r="P138" s="3" t="e">
        <v>#N/A</v>
      </c>
      <c r="Q138" s="3" t="e">
        <v>#N/A</v>
      </c>
      <c r="R138" s="3" t="e">
        <v>#N/A</v>
      </c>
      <c r="S138" s="3" t="e">
        <v>#N/A</v>
      </c>
      <c r="T138" s="3" t="e">
        <v>#N/A</v>
      </c>
      <c r="U138" s="3" t="e">
        <v>#N/A</v>
      </c>
      <c r="V138" s="3" t="e">
        <v>#N/A</v>
      </c>
      <c r="W138" s="3" t="e">
        <v>#N/A</v>
      </c>
      <c r="X138" s="3" t="e">
        <v>#N/A</v>
      </c>
      <c r="Y138" s="3" t="e">
        <v>#N/A</v>
      </c>
      <c r="Z138" s="3" t="e">
        <v>#N/A</v>
      </c>
      <c r="AA138" s="3" t="e">
        <v>#N/A</v>
      </c>
      <c r="AB138" s="3" t="e">
        <v>#N/A</v>
      </c>
      <c r="AC138" s="3" t="e">
        <v>#N/A</v>
      </c>
      <c r="AD138" s="3" t="e">
        <v>#N/A</v>
      </c>
      <c r="AE138" s="3" t="e">
        <v>#N/A</v>
      </c>
      <c r="AF138" s="3" t="e">
        <v>#N/A</v>
      </c>
      <c r="AG138" s="3" t="e">
        <v>#N/A</v>
      </c>
      <c r="AH138" s="3" t="e">
        <v>#N/A</v>
      </c>
      <c r="AI138" s="3" t="e">
        <v>#N/A</v>
      </c>
      <c r="AJ138" s="3" t="e">
        <v>#N/A</v>
      </c>
      <c r="AK138" s="3" t="e">
        <v>#N/A</v>
      </c>
      <c r="AL138" s="3" t="e">
        <v>#N/A</v>
      </c>
      <c r="AM138" s="3" t="e">
        <v>#N/A</v>
      </c>
      <c r="AN138" s="3" t="e">
        <v>#N/A</v>
      </c>
      <c r="AO138" s="3" t="e">
        <v>#N/A</v>
      </c>
      <c r="AP138" s="3" t="e">
        <v>#N/A</v>
      </c>
      <c r="AQ138" s="3" t="e">
        <v>#N/A</v>
      </c>
      <c r="AR138" s="3" t="e">
        <v>#N/A</v>
      </c>
      <c r="AS138" s="3" t="e">
        <v>#N/A</v>
      </c>
      <c r="AT138" s="3" t="e">
        <v>#N/A</v>
      </c>
      <c r="AU138" s="3" t="e">
        <v>#N/A</v>
      </c>
      <c r="AV138" s="3" t="e">
        <v>#N/A</v>
      </c>
      <c r="AW138" s="3" t="e">
        <v>#N/A</v>
      </c>
      <c r="AX138" s="3" t="e">
        <v>#N/A</v>
      </c>
      <c r="AY138" s="3" t="e">
        <v>#N/A</v>
      </c>
      <c r="AZ138" s="3" t="e">
        <v>#N/A</v>
      </c>
      <c r="BA138" s="3" t="e">
        <v>#N/A</v>
      </c>
      <c r="BB138" s="3" t="e">
        <v>#N/A</v>
      </c>
      <c r="BC138" s="3" t="e">
        <v>#N/A</v>
      </c>
      <c r="BD138" s="3" t="e">
        <v>#N/A</v>
      </c>
      <c r="BE138" s="3" t="e">
        <v>#N/A</v>
      </c>
      <c r="BF138" s="3" t="e">
        <v>#N/A</v>
      </c>
      <c r="BG138" s="3" t="e">
        <v>#N/A</v>
      </c>
      <c r="BH138" s="3" t="e">
        <v>#N/A</v>
      </c>
      <c r="BI138" s="3" t="e">
        <v>#N/A</v>
      </c>
      <c r="BJ138" s="3" t="e">
        <v>#N/A</v>
      </c>
      <c r="BK138" s="3" t="e">
        <v>#N/A</v>
      </c>
      <c r="BL138" s="3" t="e">
        <v>#N/A</v>
      </c>
      <c r="BM138" s="3" t="e">
        <v>#N/A</v>
      </c>
      <c r="BN138" s="3" t="e">
        <v>#N/A</v>
      </c>
      <c r="BO138" s="3" t="e">
        <v>#N/A</v>
      </c>
      <c r="BP138" s="3">
        <v>0.7</v>
      </c>
      <c r="BQ138" s="3">
        <v>0.63</v>
      </c>
      <c r="BR138" s="3">
        <v>0.59</v>
      </c>
      <c r="BS138" s="3">
        <v>0.56000000000000005</v>
      </c>
      <c r="BT138" s="3">
        <v>0.54</v>
      </c>
      <c r="BU138" s="3">
        <v>0.53</v>
      </c>
      <c r="BV138" s="3">
        <v>0.53</v>
      </c>
      <c r="BW138" s="3">
        <v>0.53</v>
      </c>
      <c r="BX138" s="3">
        <v>0.53</v>
      </c>
      <c r="BY138" s="3">
        <v>0.53</v>
      </c>
      <c r="BZ138" s="3">
        <v>0.53</v>
      </c>
      <c r="CA138" s="3">
        <v>0.53</v>
      </c>
      <c r="CB138" s="3">
        <v>0.54</v>
      </c>
      <c r="CC138" s="3">
        <v>0.54</v>
      </c>
    </row>
    <row r="139" spans="1:88" x14ac:dyDescent="0.35">
      <c r="B139" s="4">
        <v>43831</v>
      </c>
      <c r="C139" s="5" t="s">
        <v>646</v>
      </c>
      <c r="D139" t="s">
        <v>652</v>
      </c>
      <c r="E139" t="s">
        <v>639</v>
      </c>
      <c r="F139" t="s">
        <v>640</v>
      </c>
      <c r="G139" t="s">
        <v>1009</v>
      </c>
      <c r="H139" t="s">
        <v>647</v>
      </c>
      <c r="I139" s="3" t="e">
        <v>#N/A</v>
      </c>
      <c r="J139" s="3" t="e">
        <v>#N/A</v>
      </c>
      <c r="K139" s="3" t="e">
        <v>#N/A</v>
      </c>
      <c r="L139" s="3" t="e">
        <v>#N/A</v>
      </c>
      <c r="M139" s="3" t="e">
        <v>#N/A</v>
      </c>
      <c r="N139" s="3" t="e">
        <v>#N/A</v>
      </c>
      <c r="O139" s="3" t="e">
        <v>#N/A</v>
      </c>
      <c r="P139" s="3" t="e">
        <v>#N/A</v>
      </c>
      <c r="Q139" s="3" t="e">
        <v>#N/A</v>
      </c>
      <c r="R139" s="3" t="e">
        <v>#N/A</v>
      </c>
      <c r="S139" s="3" t="e">
        <v>#N/A</v>
      </c>
      <c r="T139" s="3" t="e">
        <v>#N/A</v>
      </c>
      <c r="U139" s="3" t="e">
        <v>#N/A</v>
      </c>
      <c r="V139" s="3" t="e">
        <v>#N/A</v>
      </c>
      <c r="W139" s="3" t="e">
        <v>#N/A</v>
      </c>
      <c r="X139" s="3" t="e">
        <v>#N/A</v>
      </c>
      <c r="Y139" s="3" t="e">
        <v>#N/A</v>
      </c>
      <c r="Z139" s="3" t="e">
        <v>#N/A</v>
      </c>
      <c r="AA139" s="3" t="e">
        <v>#N/A</v>
      </c>
      <c r="AB139" s="3" t="e">
        <v>#N/A</v>
      </c>
      <c r="AC139" s="3" t="e">
        <v>#N/A</v>
      </c>
      <c r="AD139" s="3" t="e">
        <v>#N/A</v>
      </c>
      <c r="AE139" s="3" t="e">
        <v>#N/A</v>
      </c>
      <c r="AF139" s="3" t="e">
        <v>#N/A</v>
      </c>
      <c r="AG139" s="3" t="e">
        <v>#N/A</v>
      </c>
      <c r="AH139" s="3" t="e">
        <v>#N/A</v>
      </c>
      <c r="AI139" s="3" t="e">
        <v>#N/A</v>
      </c>
      <c r="AJ139" s="3" t="e">
        <v>#N/A</v>
      </c>
      <c r="AK139" s="3" t="e">
        <v>#N/A</v>
      </c>
      <c r="AL139" s="3" t="e">
        <v>#N/A</v>
      </c>
      <c r="AM139" s="3" t="e">
        <v>#N/A</v>
      </c>
      <c r="AN139" s="3" t="e">
        <v>#N/A</v>
      </c>
      <c r="AO139" s="3" t="e">
        <v>#N/A</v>
      </c>
      <c r="AP139" s="3" t="e">
        <v>#N/A</v>
      </c>
      <c r="AQ139" s="3" t="e">
        <v>#N/A</v>
      </c>
      <c r="AR139" s="3" t="e">
        <v>#N/A</v>
      </c>
      <c r="AS139" s="3" t="e">
        <v>#N/A</v>
      </c>
      <c r="AT139" s="3" t="e">
        <v>#N/A</v>
      </c>
      <c r="AU139" s="3" t="e">
        <v>#N/A</v>
      </c>
      <c r="AV139" s="3" t="e">
        <v>#N/A</v>
      </c>
      <c r="AW139" s="3" t="e">
        <v>#N/A</v>
      </c>
      <c r="AX139" s="3" t="e">
        <v>#N/A</v>
      </c>
      <c r="AY139" s="3" t="e">
        <v>#N/A</v>
      </c>
      <c r="AZ139" s="3" t="e">
        <v>#N/A</v>
      </c>
      <c r="BA139" s="3" t="e">
        <v>#N/A</v>
      </c>
      <c r="BB139" s="3" t="e">
        <v>#N/A</v>
      </c>
      <c r="BC139" s="3" t="e">
        <v>#N/A</v>
      </c>
      <c r="BD139" s="3" t="e">
        <v>#N/A</v>
      </c>
      <c r="BE139" s="3" t="e">
        <v>#N/A</v>
      </c>
      <c r="BF139" s="3" t="e">
        <v>#N/A</v>
      </c>
      <c r="BG139" s="3" t="e">
        <v>#N/A</v>
      </c>
      <c r="BH139" s="3" t="e">
        <v>#N/A</v>
      </c>
      <c r="BI139" s="3" t="e">
        <v>#N/A</v>
      </c>
      <c r="BJ139" s="3" t="e">
        <v>#N/A</v>
      </c>
      <c r="BK139" s="3" t="e">
        <v>#N/A</v>
      </c>
      <c r="BL139" s="3" t="e">
        <v>#N/A</v>
      </c>
      <c r="BM139" s="3" t="e">
        <v>#N/A</v>
      </c>
      <c r="BN139" s="3" t="e">
        <v>#N/A</v>
      </c>
      <c r="BO139" s="3" t="e">
        <v>#N/A</v>
      </c>
      <c r="BP139" s="3" t="e">
        <v>#N/A</v>
      </c>
      <c r="BQ139" s="3">
        <v>0.61</v>
      </c>
      <c r="BR139" s="3">
        <v>0.55000000000000004</v>
      </c>
      <c r="BS139" s="3">
        <v>0.5</v>
      </c>
      <c r="BT139" s="3">
        <v>0.48</v>
      </c>
      <c r="BU139" s="3">
        <v>0.47</v>
      </c>
      <c r="BV139" s="3">
        <v>0.47</v>
      </c>
      <c r="BW139" s="3">
        <v>0.48</v>
      </c>
      <c r="BX139" s="3">
        <v>0.5</v>
      </c>
      <c r="BY139" s="3">
        <v>0.51</v>
      </c>
      <c r="BZ139" s="3">
        <v>0.53</v>
      </c>
      <c r="CA139" s="3">
        <v>0.54</v>
      </c>
      <c r="CB139" s="3">
        <v>0.56000000000000005</v>
      </c>
      <c r="CC139" s="3">
        <v>0.56999999999999995</v>
      </c>
      <c r="CD139" s="3">
        <v>0.59</v>
      </c>
    </row>
    <row r="140" spans="1:88" x14ac:dyDescent="0.35">
      <c r="B140" s="4">
        <v>44044</v>
      </c>
      <c r="C140" s="5" t="s">
        <v>664</v>
      </c>
      <c r="D140" t="s">
        <v>667</v>
      </c>
      <c r="E140" t="s">
        <v>509</v>
      </c>
      <c r="F140" t="s">
        <v>656</v>
      </c>
      <c r="G140" t="s">
        <v>1009</v>
      </c>
      <c r="H140" t="s">
        <v>660</v>
      </c>
      <c r="I140" s="3" t="e">
        <v>#N/A</v>
      </c>
      <c r="J140" s="3" t="e">
        <v>#N/A</v>
      </c>
      <c r="K140" s="3" t="e">
        <v>#N/A</v>
      </c>
      <c r="L140" s="3" t="e">
        <v>#N/A</v>
      </c>
      <c r="M140" s="3" t="e">
        <v>#N/A</v>
      </c>
      <c r="N140" s="3" t="e">
        <v>#N/A</v>
      </c>
      <c r="O140" s="3" t="e">
        <v>#N/A</v>
      </c>
      <c r="P140" s="3" t="e">
        <v>#N/A</v>
      </c>
      <c r="Q140" s="3" t="e">
        <v>#N/A</v>
      </c>
      <c r="R140" s="3" t="e">
        <v>#N/A</v>
      </c>
      <c r="S140" s="3" t="e">
        <v>#N/A</v>
      </c>
      <c r="T140" s="3" t="e">
        <v>#N/A</v>
      </c>
      <c r="U140" s="3" t="e">
        <v>#N/A</v>
      </c>
      <c r="V140" s="3" t="e">
        <v>#N/A</v>
      </c>
      <c r="W140" s="3" t="e">
        <v>#N/A</v>
      </c>
      <c r="X140" s="3" t="e">
        <v>#N/A</v>
      </c>
      <c r="Y140" s="3" t="e">
        <v>#N/A</v>
      </c>
      <c r="Z140" s="3" t="e">
        <v>#N/A</v>
      </c>
      <c r="AA140" s="3" t="e">
        <v>#N/A</v>
      </c>
      <c r="AB140" s="3" t="e">
        <v>#N/A</v>
      </c>
      <c r="AC140" s="3" t="e">
        <v>#N/A</v>
      </c>
      <c r="AD140" s="3" t="e">
        <v>#N/A</v>
      </c>
      <c r="AE140" s="3" t="e">
        <v>#N/A</v>
      </c>
      <c r="AF140" s="3" t="e">
        <v>#N/A</v>
      </c>
      <c r="AG140" s="3" t="e">
        <v>#N/A</v>
      </c>
      <c r="AH140" s="3" t="e">
        <v>#N/A</v>
      </c>
      <c r="AI140" s="3" t="e">
        <v>#N/A</v>
      </c>
      <c r="AJ140" s="3" t="e">
        <v>#N/A</v>
      </c>
      <c r="AK140" s="3" t="e">
        <v>#N/A</v>
      </c>
      <c r="AL140" s="3" t="e">
        <v>#N/A</v>
      </c>
      <c r="AM140" s="3" t="e">
        <v>#N/A</v>
      </c>
      <c r="AN140" s="3" t="e">
        <v>#N/A</v>
      </c>
      <c r="AO140" s="3" t="e">
        <v>#N/A</v>
      </c>
      <c r="AP140" s="3" t="e">
        <v>#N/A</v>
      </c>
      <c r="AQ140" s="3" t="e">
        <v>#N/A</v>
      </c>
      <c r="AR140" s="3" t="e">
        <v>#N/A</v>
      </c>
      <c r="AS140" s="3" t="e">
        <v>#N/A</v>
      </c>
      <c r="AT140" s="3" t="e">
        <v>#N/A</v>
      </c>
      <c r="AU140" s="3" t="e">
        <v>#N/A</v>
      </c>
      <c r="AV140" s="3" t="e">
        <v>#N/A</v>
      </c>
      <c r="AW140" s="3" t="e">
        <v>#N/A</v>
      </c>
      <c r="AX140" s="3" t="e">
        <v>#N/A</v>
      </c>
      <c r="AY140" s="3" t="e">
        <v>#N/A</v>
      </c>
      <c r="AZ140" s="3" t="e">
        <v>#N/A</v>
      </c>
      <c r="BA140" s="3" t="e">
        <v>#N/A</v>
      </c>
      <c r="BB140" s="3" t="e">
        <v>#N/A</v>
      </c>
      <c r="BC140" s="3" t="e">
        <v>#N/A</v>
      </c>
      <c r="BD140" s="3" t="e">
        <v>#N/A</v>
      </c>
      <c r="BE140" s="3" t="e">
        <v>#N/A</v>
      </c>
      <c r="BF140" s="3" t="e">
        <v>#N/A</v>
      </c>
      <c r="BG140" s="3" t="e">
        <v>#N/A</v>
      </c>
      <c r="BH140" s="3" t="e">
        <v>#N/A</v>
      </c>
      <c r="BI140" s="3" t="e">
        <v>#N/A</v>
      </c>
      <c r="BJ140" s="3" t="e">
        <v>#N/A</v>
      </c>
      <c r="BK140" s="3" t="e">
        <v>#N/A</v>
      </c>
      <c r="BL140" s="3" t="e">
        <v>#N/A</v>
      </c>
      <c r="BM140" s="3" t="e">
        <v>#N/A</v>
      </c>
      <c r="BN140" s="3" t="e">
        <v>#N/A</v>
      </c>
      <c r="BO140" s="3" t="e">
        <v>#N/A</v>
      </c>
      <c r="BP140" s="3" t="e">
        <v>#N/A</v>
      </c>
      <c r="BQ140" s="3" t="e">
        <v>#N/A</v>
      </c>
      <c r="BR140" s="3" t="e">
        <v>#N/A</v>
      </c>
      <c r="BS140" s="3">
        <v>0.06</v>
      </c>
      <c r="BT140" s="3">
        <v>0.03</v>
      </c>
      <c r="BU140" s="3">
        <v>-0.01</v>
      </c>
      <c r="BV140" s="3">
        <v>-0.05</v>
      </c>
      <c r="BW140" s="3">
        <v>-7.0000000000000007E-2</v>
      </c>
      <c r="BX140" s="3">
        <v>-0.09</v>
      </c>
      <c r="BY140" s="3">
        <v>-0.11</v>
      </c>
      <c r="BZ140" s="3">
        <v>-0.11</v>
      </c>
      <c r="CA140" s="3">
        <v>-0.11</v>
      </c>
      <c r="CB140" s="3">
        <v>-0.11</v>
      </c>
      <c r="CC140" s="3">
        <v>-0.1</v>
      </c>
      <c r="CD140" s="3">
        <v>-0.08</v>
      </c>
      <c r="CE140" s="3">
        <v>-7.0000000000000007E-2</v>
      </c>
      <c r="CF140" s="3">
        <v>-0.05</v>
      </c>
    </row>
    <row r="141" spans="1:88" x14ac:dyDescent="0.35">
      <c r="B141" s="4">
        <v>44136</v>
      </c>
      <c r="C141" s="5" t="s">
        <v>679</v>
      </c>
      <c r="D141" t="s">
        <v>698</v>
      </c>
      <c r="E141" t="s">
        <v>512</v>
      </c>
      <c r="F141" t="s">
        <v>668</v>
      </c>
      <c r="G141" t="s">
        <v>1009</v>
      </c>
      <c r="H141" t="s">
        <v>682</v>
      </c>
      <c r="I141" s="3" t="e">
        <v>#N/A</v>
      </c>
      <c r="J141" s="3" t="e">
        <v>#N/A</v>
      </c>
      <c r="K141" s="3" t="e">
        <v>#N/A</v>
      </c>
      <c r="L141" s="3" t="e">
        <v>#N/A</v>
      </c>
      <c r="M141" s="3" t="e">
        <v>#N/A</v>
      </c>
      <c r="N141" s="3" t="e">
        <v>#N/A</v>
      </c>
      <c r="O141" s="3" t="e">
        <v>#N/A</v>
      </c>
      <c r="P141" s="3" t="e">
        <v>#N/A</v>
      </c>
      <c r="Q141" s="3" t="e">
        <v>#N/A</v>
      </c>
      <c r="R141" s="3" t="e">
        <v>#N/A</v>
      </c>
      <c r="S141" s="3" t="e">
        <v>#N/A</v>
      </c>
      <c r="T141" s="3" t="e">
        <v>#N/A</v>
      </c>
      <c r="U141" s="3" t="e">
        <v>#N/A</v>
      </c>
      <c r="V141" s="3" t="e">
        <v>#N/A</v>
      </c>
      <c r="W141" s="3" t="e">
        <v>#N/A</v>
      </c>
      <c r="X141" s="3" t="e">
        <v>#N/A</v>
      </c>
      <c r="Y141" s="3" t="e">
        <v>#N/A</v>
      </c>
      <c r="Z141" s="3" t="e">
        <v>#N/A</v>
      </c>
      <c r="AA141" s="3" t="e">
        <v>#N/A</v>
      </c>
      <c r="AB141" s="3" t="e">
        <v>#N/A</v>
      </c>
      <c r="AC141" s="3" t="e">
        <v>#N/A</v>
      </c>
      <c r="AD141" s="3" t="e">
        <v>#N/A</v>
      </c>
      <c r="AE141" s="3" t="e">
        <v>#N/A</v>
      </c>
      <c r="AF141" s="3" t="e">
        <v>#N/A</v>
      </c>
      <c r="AG141" s="3" t="e">
        <v>#N/A</v>
      </c>
      <c r="AH141" s="3" t="e">
        <v>#N/A</v>
      </c>
      <c r="AI141" s="3" t="e">
        <v>#N/A</v>
      </c>
      <c r="AJ141" s="3" t="e">
        <v>#N/A</v>
      </c>
      <c r="AK141" s="3" t="e">
        <v>#N/A</v>
      </c>
      <c r="AL141" s="3" t="e">
        <v>#N/A</v>
      </c>
      <c r="AM141" s="3" t="e">
        <v>#N/A</v>
      </c>
      <c r="AN141" s="3" t="e">
        <v>#N/A</v>
      </c>
      <c r="AO141" s="3" t="e">
        <v>#N/A</v>
      </c>
      <c r="AP141" s="3" t="e">
        <v>#N/A</v>
      </c>
      <c r="AQ141" s="3" t="e">
        <v>#N/A</v>
      </c>
      <c r="AR141" s="3" t="e">
        <v>#N/A</v>
      </c>
      <c r="AS141" s="3" t="e">
        <v>#N/A</v>
      </c>
      <c r="AT141" s="3" t="e">
        <v>#N/A</v>
      </c>
      <c r="AU141" s="3" t="e">
        <v>#N/A</v>
      </c>
      <c r="AV141" s="3" t="e">
        <v>#N/A</v>
      </c>
      <c r="AW141" s="3" t="e">
        <v>#N/A</v>
      </c>
      <c r="AX141" s="3" t="e">
        <v>#N/A</v>
      </c>
      <c r="AY141" s="3" t="e">
        <v>#N/A</v>
      </c>
      <c r="AZ141" s="3" t="e">
        <v>#N/A</v>
      </c>
      <c r="BA141" s="3" t="e">
        <v>#N/A</v>
      </c>
      <c r="BB141" s="3" t="e">
        <v>#N/A</v>
      </c>
      <c r="BC141" s="3" t="e">
        <v>#N/A</v>
      </c>
      <c r="BD141" s="3" t="e">
        <v>#N/A</v>
      </c>
      <c r="BE141" s="3" t="e">
        <v>#N/A</v>
      </c>
      <c r="BF141" s="3" t="e">
        <v>#N/A</v>
      </c>
      <c r="BG141" s="3" t="e">
        <v>#N/A</v>
      </c>
      <c r="BH141" s="3" t="e">
        <v>#N/A</v>
      </c>
      <c r="BI141" s="3" t="e">
        <v>#N/A</v>
      </c>
      <c r="BJ141" s="3" t="e">
        <v>#N/A</v>
      </c>
      <c r="BK141" s="3" t="e">
        <v>#N/A</v>
      </c>
      <c r="BL141" s="3" t="e">
        <v>#N/A</v>
      </c>
      <c r="BM141" s="3" t="e">
        <v>#N/A</v>
      </c>
      <c r="BN141" s="3" t="e">
        <v>#N/A</v>
      </c>
      <c r="BO141" s="3" t="e">
        <v>#N/A</v>
      </c>
      <c r="BP141" s="3" t="e">
        <v>#N/A</v>
      </c>
      <c r="BQ141" s="3" t="e">
        <v>#N/A</v>
      </c>
      <c r="BR141" s="3" t="e">
        <v>#N/A</v>
      </c>
      <c r="BS141" s="3" t="e">
        <v>#N/A</v>
      </c>
      <c r="BT141" s="3">
        <v>7.0000000000000007E-2</v>
      </c>
      <c r="BU141" s="3">
        <v>0.03</v>
      </c>
      <c r="BV141" s="3">
        <v>-0.02</v>
      </c>
      <c r="BW141" s="3">
        <v>-0.06</v>
      </c>
      <c r="BX141" s="3">
        <v>-0.08</v>
      </c>
      <c r="BY141" s="3">
        <v>-0.09</v>
      </c>
      <c r="BZ141" s="3">
        <v>-0.1</v>
      </c>
      <c r="CA141" s="3">
        <v>-0.09</v>
      </c>
      <c r="CB141" s="3">
        <v>-0.09</v>
      </c>
      <c r="CC141" s="3">
        <v>-7.0000000000000007E-2</v>
      </c>
      <c r="CD141" s="3">
        <v>-0.06</v>
      </c>
      <c r="CE141" s="3">
        <v>-0.04</v>
      </c>
      <c r="CF141" s="3">
        <v>-0.02</v>
      </c>
      <c r="CG141" s="3">
        <v>0</v>
      </c>
    </row>
    <row r="142" spans="1:88" x14ac:dyDescent="0.35">
      <c r="B142" s="4">
        <v>44228</v>
      </c>
      <c r="C142" s="5" t="s">
        <v>680</v>
      </c>
      <c r="D142" t="s">
        <v>699</v>
      </c>
      <c r="E142" t="s">
        <v>515</v>
      </c>
      <c r="F142" t="s">
        <v>693</v>
      </c>
      <c r="G142" t="s">
        <v>1009</v>
      </c>
      <c r="H142" t="s">
        <v>685</v>
      </c>
      <c r="I142" s="3" t="e">
        <v>#N/A</v>
      </c>
      <c r="J142" s="3" t="e">
        <v>#N/A</v>
      </c>
      <c r="K142" s="3" t="e">
        <v>#N/A</v>
      </c>
      <c r="L142" s="3" t="e">
        <v>#N/A</v>
      </c>
      <c r="M142" s="3" t="e">
        <v>#N/A</v>
      </c>
      <c r="N142" s="3" t="e">
        <v>#N/A</v>
      </c>
      <c r="O142" s="3" t="e">
        <v>#N/A</v>
      </c>
      <c r="P142" s="3" t="e">
        <v>#N/A</v>
      </c>
      <c r="Q142" s="3" t="e">
        <v>#N/A</v>
      </c>
      <c r="R142" s="3" t="e">
        <v>#N/A</v>
      </c>
      <c r="S142" s="3" t="e">
        <v>#N/A</v>
      </c>
      <c r="T142" s="3" t="e">
        <v>#N/A</v>
      </c>
      <c r="U142" s="3" t="e">
        <v>#N/A</v>
      </c>
      <c r="V142" s="3" t="e">
        <v>#N/A</v>
      </c>
      <c r="W142" s="3" t="e">
        <v>#N/A</v>
      </c>
      <c r="X142" s="3" t="e">
        <v>#N/A</v>
      </c>
      <c r="Y142" s="3" t="e">
        <v>#N/A</v>
      </c>
      <c r="Z142" s="3" t="e">
        <v>#N/A</v>
      </c>
      <c r="AA142" s="3" t="e">
        <v>#N/A</v>
      </c>
      <c r="AB142" s="3" t="e">
        <v>#N/A</v>
      </c>
      <c r="AC142" s="3" t="e">
        <v>#N/A</v>
      </c>
      <c r="AD142" s="3" t="e">
        <v>#N/A</v>
      </c>
      <c r="AE142" s="3" t="e">
        <v>#N/A</v>
      </c>
      <c r="AF142" s="3" t="e">
        <v>#N/A</v>
      </c>
      <c r="AG142" s="3" t="e">
        <v>#N/A</v>
      </c>
      <c r="AH142" s="3" t="e">
        <v>#N/A</v>
      </c>
      <c r="AI142" s="3" t="e">
        <v>#N/A</v>
      </c>
      <c r="AJ142" s="3" t="e">
        <v>#N/A</v>
      </c>
      <c r="AK142" s="3" t="e">
        <v>#N/A</v>
      </c>
      <c r="AL142" s="3" t="e">
        <v>#N/A</v>
      </c>
      <c r="AM142" s="3" t="e">
        <v>#N/A</v>
      </c>
      <c r="AN142" s="3" t="e">
        <v>#N/A</v>
      </c>
      <c r="AO142" s="3" t="e">
        <v>#N/A</v>
      </c>
      <c r="AP142" s="3" t="e">
        <v>#N/A</v>
      </c>
      <c r="AQ142" s="3" t="e">
        <v>#N/A</v>
      </c>
      <c r="AR142" s="3" t="e">
        <v>#N/A</v>
      </c>
      <c r="AS142" s="3" t="e">
        <v>#N/A</v>
      </c>
      <c r="AT142" s="3" t="e">
        <v>#N/A</v>
      </c>
      <c r="AU142" s="3" t="e">
        <v>#N/A</v>
      </c>
      <c r="AV142" s="3" t="e">
        <v>#N/A</v>
      </c>
      <c r="AW142" s="3" t="e">
        <v>#N/A</v>
      </c>
      <c r="AX142" s="3" t="e">
        <v>#N/A</v>
      </c>
      <c r="AY142" s="3" t="e">
        <v>#N/A</v>
      </c>
      <c r="AZ142" s="3" t="e">
        <v>#N/A</v>
      </c>
      <c r="BA142" s="3" t="e">
        <v>#N/A</v>
      </c>
      <c r="BB142" s="3" t="e">
        <v>#N/A</v>
      </c>
      <c r="BC142" s="3" t="e">
        <v>#N/A</v>
      </c>
      <c r="BD142" s="3" t="e">
        <v>#N/A</v>
      </c>
      <c r="BE142" s="3" t="e">
        <v>#N/A</v>
      </c>
      <c r="BF142" s="3" t="e">
        <v>#N/A</v>
      </c>
      <c r="BG142" s="3" t="e">
        <v>#N/A</v>
      </c>
      <c r="BH142" s="3" t="e">
        <v>#N/A</v>
      </c>
      <c r="BI142" s="3" t="e">
        <v>#N/A</v>
      </c>
      <c r="BJ142" s="3" t="e">
        <v>#N/A</v>
      </c>
      <c r="BK142" s="3" t="e">
        <v>#N/A</v>
      </c>
      <c r="BL142" s="3" t="e">
        <v>#N/A</v>
      </c>
      <c r="BM142" s="3" t="e">
        <v>#N/A</v>
      </c>
      <c r="BN142" s="3" t="e">
        <v>#N/A</v>
      </c>
      <c r="BO142" s="3" t="e">
        <v>#N/A</v>
      </c>
      <c r="BP142" s="3" t="e">
        <v>#N/A</v>
      </c>
      <c r="BQ142" s="3" t="e">
        <v>#N/A</v>
      </c>
      <c r="BR142" s="3" t="e">
        <v>#N/A</v>
      </c>
      <c r="BS142" s="3" t="e">
        <v>#N/A</v>
      </c>
      <c r="BT142" s="3" t="e">
        <v>#N/A</v>
      </c>
      <c r="BU142" s="3">
        <v>0.06</v>
      </c>
      <c r="BV142" s="3">
        <v>0</v>
      </c>
      <c r="BW142" s="3">
        <v>-0.03</v>
      </c>
      <c r="BX142" s="3">
        <v>-0.06</v>
      </c>
      <c r="BY142" s="3">
        <v>-0.08</v>
      </c>
      <c r="BZ142" s="3">
        <v>-0.09</v>
      </c>
      <c r="CA142" s="3">
        <v>-0.08</v>
      </c>
      <c r="CB142" s="3">
        <v>-7.0000000000000007E-2</v>
      </c>
      <c r="CC142" s="3">
        <v>-0.05</v>
      </c>
      <c r="CD142" s="3">
        <v>-0.03</v>
      </c>
      <c r="CE142" s="3">
        <v>0</v>
      </c>
      <c r="CF142" s="3">
        <v>0.02</v>
      </c>
      <c r="CG142" s="3">
        <v>0.05</v>
      </c>
      <c r="CH142" s="3">
        <v>0.08</v>
      </c>
    </row>
    <row r="143" spans="1:88" x14ac:dyDescent="0.35">
      <c r="B143" s="4">
        <v>44317</v>
      </c>
      <c r="C143" s="5" t="s">
        <v>681</v>
      </c>
      <c r="D143" t="s">
        <v>701</v>
      </c>
      <c r="E143" t="s">
        <v>518</v>
      </c>
      <c r="F143" t="s">
        <v>700</v>
      </c>
      <c r="G143" t="s">
        <v>1009</v>
      </c>
      <c r="H143" t="s">
        <v>688</v>
      </c>
      <c r="I143" s="3" t="e">
        <v>#N/A</v>
      </c>
      <c r="J143" s="3" t="e">
        <v>#N/A</v>
      </c>
      <c r="K143" s="3" t="e">
        <v>#N/A</v>
      </c>
      <c r="L143" s="3" t="e">
        <v>#N/A</v>
      </c>
      <c r="M143" s="3" t="e">
        <v>#N/A</v>
      </c>
      <c r="N143" s="3" t="e">
        <v>#N/A</v>
      </c>
      <c r="O143" s="3" t="e">
        <v>#N/A</v>
      </c>
      <c r="P143" s="3" t="e">
        <v>#N/A</v>
      </c>
      <c r="Q143" s="3" t="e">
        <v>#N/A</v>
      </c>
      <c r="R143" s="3" t="e">
        <v>#N/A</v>
      </c>
      <c r="S143" s="3" t="e">
        <v>#N/A</v>
      </c>
      <c r="T143" s="3" t="e">
        <v>#N/A</v>
      </c>
      <c r="U143" s="3" t="e">
        <v>#N/A</v>
      </c>
      <c r="V143" s="3" t="e">
        <v>#N/A</v>
      </c>
      <c r="W143" s="3" t="e">
        <v>#N/A</v>
      </c>
      <c r="X143" s="3" t="e">
        <v>#N/A</v>
      </c>
      <c r="Y143" s="3" t="e">
        <v>#N/A</v>
      </c>
      <c r="Z143" s="3" t="e">
        <v>#N/A</v>
      </c>
      <c r="AA143" s="3" t="e">
        <v>#N/A</v>
      </c>
      <c r="AB143" s="3" t="e">
        <v>#N/A</v>
      </c>
      <c r="AC143" s="3" t="e">
        <v>#N/A</v>
      </c>
      <c r="AD143" s="3" t="e">
        <v>#N/A</v>
      </c>
      <c r="AE143" s="3" t="e">
        <v>#N/A</v>
      </c>
      <c r="AF143" s="3" t="e">
        <v>#N/A</v>
      </c>
      <c r="AG143" s="3" t="e">
        <v>#N/A</v>
      </c>
      <c r="AH143" s="3" t="e">
        <v>#N/A</v>
      </c>
      <c r="AI143" s="3" t="e">
        <v>#N/A</v>
      </c>
      <c r="AJ143" s="3" t="e">
        <v>#N/A</v>
      </c>
      <c r="AK143" s="3" t="e">
        <v>#N/A</v>
      </c>
      <c r="AL143" s="3" t="e">
        <v>#N/A</v>
      </c>
      <c r="AM143" s="3" t="e">
        <v>#N/A</v>
      </c>
      <c r="AN143" s="3" t="e">
        <v>#N/A</v>
      </c>
      <c r="AO143" s="3" t="e">
        <v>#N/A</v>
      </c>
      <c r="AP143" s="3" t="e">
        <v>#N/A</v>
      </c>
      <c r="AQ143" s="3" t="e">
        <v>#N/A</v>
      </c>
      <c r="AR143" s="3" t="e">
        <v>#N/A</v>
      </c>
      <c r="AS143" s="3" t="e">
        <v>#N/A</v>
      </c>
      <c r="AT143" s="3" t="e">
        <v>#N/A</v>
      </c>
      <c r="AU143" s="3" t="e">
        <v>#N/A</v>
      </c>
      <c r="AV143" s="3" t="e">
        <v>#N/A</v>
      </c>
      <c r="AW143" s="3" t="e">
        <v>#N/A</v>
      </c>
      <c r="AX143" s="3" t="e">
        <v>#N/A</v>
      </c>
      <c r="AY143" s="3" t="e">
        <v>#N/A</v>
      </c>
      <c r="AZ143" s="3" t="e">
        <v>#N/A</v>
      </c>
      <c r="BA143" s="3" t="e">
        <v>#N/A</v>
      </c>
      <c r="BB143" s="3" t="e">
        <v>#N/A</v>
      </c>
      <c r="BC143" s="3" t="e">
        <v>#N/A</v>
      </c>
      <c r="BD143" s="3" t="e">
        <v>#N/A</v>
      </c>
      <c r="BE143" s="3" t="e">
        <v>#N/A</v>
      </c>
      <c r="BF143" s="3" t="e">
        <v>#N/A</v>
      </c>
      <c r="BG143" s="3" t="e">
        <v>#N/A</v>
      </c>
      <c r="BH143" s="3" t="e">
        <v>#N/A</v>
      </c>
      <c r="BI143" s="3" t="e">
        <v>#N/A</v>
      </c>
      <c r="BJ143" s="3" t="e">
        <v>#N/A</v>
      </c>
      <c r="BK143" s="3" t="e">
        <v>#N/A</v>
      </c>
      <c r="BL143" s="3" t="e">
        <v>#N/A</v>
      </c>
      <c r="BM143" s="3" t="e">
        <v>#N/A</v>
      </c>
      <c r="BN143" s="3" t="e">
        <v>#N/A</v>
      </c>
      <c r="BO143" s="3" t="e">
        <v>#N/A</v>
      </c>
      <c r="BP143" s="3" t="e">
        <v>#N/A</v>
      </c>
      <c r="BQ143" s="3" t="e">
        <v>#N/A</v>
      </c>
      <c r="BR143" s="3" t="e">
        <v>#N/A</v>
      </c>
      <c r="BS143" s="3" t="e">
        <v>#N/A</v>
      </c>
      <c r="BT143" s="3" t="e">
        <v>#N/A</v>
      </c>
      <c r="BU143" s="3" t="e">
        <v>#N/A</v>
      </c>
      <c r="BV143" s="3">
        <v>0.06</v>
      </c>
      <c r="BW143" s="3">
        <v>0.05</v>
      </c>
      <c r="BX143" s="3">
        <v>0.05</v>
      </c>
      <c r="BY143" s="3">
        <v>0.06</v>
      </c>
      <c r="BZ143" s="3">
        <v>0.08</v>
      </c>
      <c r="CA143" s="3">
        <v>0.12</v>
      </c>
      <c r="CB143" s="3">
        <v>0.18</v>
      </c>
      <c r="CC143" s="3">
        <v>0.24</v>
      </c>
      <c r="CD143" s="3">
        <v>0.31</v>
      </c>
      <c r="CE143" s="3">
        <v>0.38</v>
      </c>
      <c r="CF143" s="3">
        <v>0.45</v>
      </c>
      <c r="CG143" s="3">
        <v>0.51</v>
      </c>
      <c r="CH143" s="3">
        <v>0.56999999999999995</v>
      </c>
      <c r="CI143" s="3">
        <v>0.62</v>
      </c>
    </row>
    <row r="144" spans="1:88" x14ac:dyDescent="0.35">
      <c r="B144" s="4">
        <v>44409</v>
      </c>
      <c r="C144" s="5" t="s">
        <v>806</v>
      </c>
      <c r="D144" t="s">
        <v>815</v>
      </c>
      <c r="E144" t="s">
        <v>522</v>
      </c>
      <c r="F144" t="s">
        <v>811</v>
      </c>
      <c r="G144" t="s">
        <v>1009</v>
      </c>
      <c r="H144" t="s">
        <v>807</v>
      </c>
      <c r="I144" s="3" t="e">
        <v>#N/A</v>
      </c>
      <c r="J144" s="3" t="e">
        <v>#N/A</v>
      </c>
      <c r="K144" s="3" t="e">
        <v>#N/A</v>
      </c>
      <c r="L144" s="3" t="e">
        <v>#N/A</v>
      </c>
      <c r="M144" s="3" t="e">
        <v>#N/A</v>
      </c>
      <c r="N144" s="3" t="e">
        <v>#N/A</v>
      </c>
      <c r="O144" s="3" t="e">
        <v>#N/A</v>
      </c>
      <c r="P144" s="3" t="e">
        <v>#N/A</v>
      </c>
      <c r="Q144" s="3" t="e">
        <v>#N/A</v>
      </c>
      <c r="R144" s="3" t="e">
        <v>#N/A</v>
      </c>
      <c r="S144" s="3" t="e">
        <v>#N/A</v>
      </c>
      <c r="T144" s="3" t="e">
        <v>#N/A</v>
      </c>
      <c r="U144" s="3" t="e">
        <v>#N/A</v>
      </c>
      <c r="V144" s="3" t="e">
        <v>#N/A</v>
      </c>
      <c r="W144" s="3" t="e">
        <v>#N/A</v>
      </c>
      <c r="X144" s="3" t="e">
        <v>#N/A</v>
      </c>
      <c r="Y144" s="3" t="e">
        <v>#N/A</v>
      </c>
      <c r="Z144" s="3" t="e">
        <v>#N/A</v>
      </c>
      <c r="AA144" s="3" t="e">
        <v>#N/A</v>
      </c>
      <c r="AB144" s="3" t="e">
        <v>#N/A</v>
      </c>
      <c r="AC144" s="3" t="e">
        <v>#N/A</v>
      </c>
      <c r="AD144" s="3" t="e">
        <v>#N/A</v>
      </c>
      <c r="AE144" s="3" t="e">
        <v>#N/A</v>
      </c>
      <c r="AF144" s="3" t="e">
        <v>#N/A</v>
      </c>
      <c r="AG144" s="3" t="e">
        <v>#N/A</v>
      </c>
      <c r="AH144" s="3" t="e">
        <v>#N/A</v>
      </c>
      <c r="AI144" s="3" t="e">
        <v>#N/A</v>
      </c>
      <c r="AJ144" s="3" t="e">
        <v>#N/A</v>
      </c>
      <c r="AK144" s="3" t="e">
        <v>#N/A</v>
      </c>
      <c r="AL144" s="3" t="e">
        <v>#N/A</v>
      </c>
      <c r="AM144" s="3" t="e">
        <v>#N/A</v>
      </c>
      <c r="AN144" s="3" t="e">
        <v>#N/A</v>
      </c>
      <c r="AO144" s="3" t="e">
        <v>#N/A</v>
      </c>
      <c r="AP144" s="3" t="e">
        <v>#N/A</v>
      </c>
      <c r="AQ144" s="3" t="e">
        <v>#N/A</v>
      </c>
      <c r="AR144" s="3" t="e">
        <v>#N/A</v>
      </c>
      <c r="AS144" s="3" t="e">
        <v>#N/A</v>
      </c>
      <c r="AT144" s="3" t="e">
        <v>#N/A</v>
      </c>
      <c r="AU144" s="3" t="e">
        <v>#N/A</v>
      </c>
      <c r="AV144" s="3" t="e">
        <v>#N/A</v>
      </c>
      <c r="AW144" s="3" t="e">
        <v>#N/A</v>
      </c>
      <c r="AX144" s="3" t="e">
        <v>#N/A</v>
      </c>
      <c r="AY144" s="3" t="e">
        <v>#N/A</v>
      </c>
      <c r="AZ144" s="3" t="e">
        <v>#N/A</v>
      </c>
      <c r="BA144" s="3" t="e">
        <v>#N/A</v>
      </c>
      <c r="BB144" s="3" t="e">
        <v>#N/A</v>
      </c>
      <c r="BC144" s="3" t="e">
        <v>#N/A</v>
      </c>
      <c r="BD144" s="3" t="e">
        <v>#N/A</v>
      </c>
      <c r="BE144" s="3" t="e">
        <v>#N/A</v>
      </c>
      <c r="BF144" s="3" t="e">
        <v>#N/A</v>
      </c>
      <c r="BG144" s="3" t="e">
        <v>#N/A</v>
      </c>
      <c r="BH144" s="3" t="e">
        <v>#N/A</v>
      </c>
      <c r="BI144" s="3" t="e">
        <v>#N/A</v>
      </c>
      <c r="BJ144" s="3" t="e">
        <v>#N/A</v>
      </c>
      <c r="BK144" s="3" t="e">
        <v>#N/A</v>
      </c>
      <c r="BL144" s="3" t="e">
        <v>#N/A</v>
      </c>
      <c r="BM144" s="3" t="e">
        <v>#N/A</v>
      </c>
      <c r="BN144" s="3" t="e">
        <v>#N/A</v>
      </c>
      <c r="BO144" s="3" t="e">
        <v>#N/A</v>
      </c>
      <c r="BP144" s="3" t="e">
        <v>#N/A</v>
      </c>
      <c r="BQ144" s="3" t="e">
        <v>#N/A</v>
      </c>
      <c r="BR144" s="3" t="e">
        <v>#N/A</v>
      </c>
      <c r="BS144" s="3" t="e">
        <v>#N/A</v>
      </c>
      <c r="BT144" s="3" t="e">
        <v>#N/A</v>
      </c>
      <c r="BU144" s="3" t="e">
        <v>#N/A</v>
      </c>
      <c r="BV144" s="3" t="e">
        <v>#N/A</v>
      </c>
      <c r="BW144" s="3">
        <v>7.0000000000000007E-2</v>
      </c>
      <c r="BX144" s="3">
        <v>0.06</v>
      </c>
      <c r="BY144" s="3">
        <v>0.09</v>
      </c>
      <c r="BZ144" s="3">
        <v>0.16</v>
      </c>
      <c r="CA144" s="3">
        <v>0.23</v>
      </c>
      <c r="CB144" s="3">
        <v>0.3</v>
      </c>
      <c r="CC144" s="3">
        <v>0.36</v>
      </c>
      <c r="CD144" s="3">
        <v>0.41</v>
      </c>
      <c r="CE144" s="3">
        <v>0.45</v>
      </c>
      <c r="CF144" s="3">
        <v>0.48</v>
      </c>
      <c r="CG144" s="3">
        <v>0.51</v>
      </c>
      <c r="CH144" s="3">
        <v>0.53</v>
      </c>
      <c r="CI144" s="3">
        <v>0.55000000000000004</v>
      </c>
      <c r="CJ144" s="3">
        <v>0.56999999999999995</v>
      </c>
    </row>
    <row r="145" spans="1:102" x14ac:dyDescent="0.35">
      <c r="B145" s="4">
        <v>44501</v>
      </c>
      <c r="C145" s="5" t="s">
        <v>844</v>
      </c>
      <c r="D145" t="s">
        <v>851</v>
      </c>
      <c r="E145" t="s">
        <v>555</v>
      </c>
      <c r="F145" t="s">
        <v>831</v>
      </c>
      <c r="G145" t="s">
        <v>1009</v>
      </c>
      <c r="H145" t="s">
        <v>845</v>
      </c>
      <c r="I145" s="3" t="e">
        <v>#N/A</v>
      </c>
      <c r="J145" s="3" t="e">
        <v>#N/A</v>
      </c>
      <c r="K145" s="3" t="e">
        <v>#N/A</v>
      </c>
      <c r="L145" s="3" t="e">
        <v>#N/A</v>
      </c>
      <c r="M145" s="3" t="e">
        <v>#N/A</v>
      </c>
      <c r="N145" s="3" t="e">
        <v>#N/A</v>
      </c>
      <c r="O145" s="3" t="e">
        <v>#N/A</v>
      </c>
      <c r="P145" s="3" t="e">
        <v>#N/A</v>
      </c>
      <c r="Q145" s="3" t="e">
        <v>#N/A</v>
      </c>
      <c r="R145" s="3" t="e">
        <v>#N/A</v>
      </c>
      <c r="S145" s="3" t="e">
        <v>#N/A</v>
      </c>
      <c r="T145" s="3" t="e">
        <v>#N/A</v>
      </c>
      <c r="U145" s="3" t="e">
        <v>#N/A</v>
      </c>
      <c r="V145" s="3" t="e">
        <v>#N/A</v>
      </c>
      <c r="W145" s="3" t="e">
        <v>#N/A</v>
      </c>
      <c r="X145" s="3" t="e">
        <v>#N/A</v>
      </c>
      <c r="Y145" s="3" t="e">
        <v>#N/A</v>
      </c>
      <c r="Z145" s="3" t="e">
        <v>#N/A</v>
      </c>
      <c r="AA145" s="3" t="e">
        <v>#N/A</v>
      </c>
      <c r="AB145" s="3" t="e">
        <v>#N/A</v>
      </c>
      <c r="AC145" s="3" t="e">
        <v>#N/A</v>
      </c>
      <c r="AD145" s="3" t="e">
        <v>#N/A</v>
      </c>
      <c r="AE145" s="3" t="e">
        <v>#N/A</v>
      </c>
      <c r="AF145" s="3" t="e">
        <v>#N/A</v>
      </c>
      <c r="AG145" s="3" t="e">
        <v>#N/A</v>
      </c>
      <c r="AH145" s="3" t="e">
        <v>#N/A</v>
      </c>
      <c r="AI145" s="3" t="e">
        <v>#N/A</v>
      </c>
      <c r="AJ145" s="3" t="e">
        <v>#N/A</v>
      </c>
      <c r="AK145" s="3" t="e">
        <v>#N/A</v>
      </c>
      <c r="AL145" s="3" t="e">
        <v>#N/A</v>
      </c>
      <c r="AM145" s="3" t="e">
        <v>#N/A</v>
      </c>
      <c r="AN145" s="3" t="e">
        <v>#N/A</v>
      </c>
      <c r="AO145" s="3" t="e">
        <v>#N/A</v>
      </c>
      <c r="AP145" s="3" t="e">
        <v>#N/A</v>
      </c>
      <c r="AQ145" s="3" t="e">
        <v>#N/A</v>
      </c>
      <c r="AR145" s="3" t="e">
        <v>#N/A</v>
      </c>
      <c r="AS145" s="3" t="e">
        <v>#N/A</v>
      </c>
      <c r="AT145" s="3" t="e">
        <v>#N/A</v>
      </c>
      <c r="AU145" s="3" t="e">
        <v>#N/A</v>
      </c>
      <c r="AV145" s="3" t="e">
        <v>#N/A</v>
      </c>
      <c r="AW145" s="3" t="e">
        <v>#N/A</v>
      </c>
      <c r="AX145" s="3" t="e">
        <v>#N/A</v>
      </c>
      <c r="AY145" s="3" t="e">
        <v>#N/A</v>
      </c>
      <c r="AZ145" s="3" t="e">
        <v>#N/A</v>
      </c>
      <c r="BA145" s="3" t="e">
        <v>#N/A</v>
      </c>
      <c r="BB145" s="3" t="e">
        <v>#N/A</v>
      </c>
      <c r="BC145" s="3" t="e">
        <v>#N/A</v>
      </c>
      <c r="BD145" s="3" t="e">
        <v>#N/A</v>
      </c>
      <c r="BE145" s="3" t="e">
        <v>#N/A</v>
      </c>
      <c r="BF145" s="3" t="e">
        <v>#N/A</v>
      </c>
      <c r="BG145" s="3" t="e">
        <v>#N/A</v>
      </c>
      <c r="BH145" s="3" t="e">
        <v>#N/A</v>
      </c>
      <c r="BI145" s="3" t="e">
        <v>#N/A</v>
      </c>
      <c r="BJ145" s="3" t="e">
        <v>#N/A</v>
      </c>
      <c r="BK145" s="3" t="e">
        <v>#N/A</v>
      </c>
      <c r="BL145" s="3" t="e">
        <v>#N/A</v>
      </c>
      <c r="BM145" s="3" t="e">
        <v>#N/A</v>
      </c>
      <c r="BN145" s="3" t="e">
        <v>#N/A</v>
      </c>
      <c r="BO145" s="3" t="e">
        <v>#N/A</v>
      </c>
      <c r="BP145" s="3" t="e">
        <v>#N/A</v>
      </c>
      <c r="BQ145" s="3" t="e">
        <v>#N/A</v>
      </c>
      <c r="BR145" s="3" t="e">
        <v>#N/A</v>
      </c>
      <c r="BS145" s="3" t="e">
        <v>#N/A</v>
      </c>
      <c r="BT145" s="3" t="e">
        <v>#N/A</v>
      </c>
      <c r="BU145" s="3" t="e">
        <v>#N/A</v>
      </c>
      <c r="BV145" s="3" t="e">
        <v>#N/A</v>
      </c>
      <c r="BW145" s="3" t="e">
        <v>#N/A</v>
      </c>
      <c r="BX145" s="3">
        <v>0.17</v>
      </c>
      <c r="BY145" s="3">
        <v>0.45</v>
      </c>
      <c r="BZ145" s="3">
        <v>0.7</v>
      </c>
      <c r="CA145" s="3">
        <v>0.87</v>
      </c>
      <c r="CB145" s="3">
        <v>0.98</v>
      </c>
      <c r="CC145" s="3">
        <v>1.04</v>
      </c>
      <c r="CD145" s="3">
        <v>1.06</v>
      </c>
      <c r="CE145" s="3">
        <v>1.07</v>
      </c>
      <c r="CF145" s="3">
        <v>1.06</v>
      </c>
      <c r="CG145" s="3">
        <v>1.05</v>
      </c>
      <c r="CH145" s="3">
        <v>1.03</v>
      </c>
      <c r="CI145" s="3">
        <v>1.02</v>
      </c>
      <c r="CJ145" s="3">
        <v>1</v>
      </c>
      <c r="CK145" s="3">
        <v>0.99</v>
      </c>
    </row>
    <row r="146" spans="1:102" x14ac:dyDescent="0.35">
      <c r="B146" s="4">
        <v>44593</v>
      </c>
      <c r="C146" s="5" t="s">
        <v>871</v>
      </c>
      <c r="D146" t="s">
        <v>877</v>
      </c>
      <c r="E146" t="s">
        <v>572</v>
      </c>
      <c r="F146" t="s">
        <v>853</v>
      </c>
      <c r="G146" t="s">
        <v>1009</v>
      </c>
      <c r="H146" t="s">
        <v>872</v>
      </c>
      <c r="I146" s="3" t="e">
        <v>#N/A</v>
      </c>
      <c r="J146" s="3" t="e">
        <v>#N/A</v>
      </c>
      <c r="K146" s="3" t="e">
        <v>#N/A</v>
      </c>
      <c r="L146" s="3" t="e">
        <v>#N/A</v>
      </c>
      <c r="M146" s="3" t="e">
        <v>#N/A</v>
      </c>
      <c r="N146" s="3" t="e">
        <v>#N/A</v>
      </c>
      <c r="O146" s="3" t="e">
        <v>#N/A</v>
      </c>
      <c r="P146" s="3" t="e">
        <v>#N/A</v>
      </c>
      <c r="Q146" s="3" t="e">
        <v>#N/A</v>
      </c>
      <c r="R146" s="3" t="e">
        <v>#N/A</v>
      </c>
      <c r="S146" s="3" t="e">
        <v>#N/A</v>
      </c>
      <c r="T146" s="3" t="e">
        <v>#N/A</v>
      </c>
      <c r="U146" s="3" t="e">
        <v>#N/A</v>
      </c>
      <c r="V146" s="3" t="e">
        <v>#N/A</v>
      </c>
      <c r="W146" s="3" t="e">
        <v>#N/A</v>
      </c>
      <c r="X146" s="3" t="e">
        <v>#N/A</v>
      </c>
      <c r="Y146" s="3" t="e">
        <v>#N/A</v>
      </c>
      <c r="Z146" s="3" t="e">
        <v>#N/A</v>
      </c>
      <c r="AA146" s="3" t="e">
        <v>#N/A</v>
      </c>
      <c r="AB146" s="3" t="e">
        <v>#N/A</v>
      </c>
      <c r="AC146" s="3" t="e">
        <v>#N/A</v>
      </c>
      <c r="AD146" s="3" t="e">
        <v>#N/A</v>
      </c>
      <c r="AE146" s="3" t="e">
        <v>#N/A</v>
      </c>
      <c r="AF146" s="3" t="e">
        <v>#N/A</v>
      </c>
      <c r="AG146" s="3" t="e">
        <v>#N/A</v>
      </c>
      <c r="AH146" s="3" t="e">
        <v>#N/A</v>
      </c>
      <c r="AI146" s="3" t="e">
        <v>#N/A</v>
      </c>
      <c r="AJ146" s="3" t="e">
        <v>#N/A</v>
      </c>
      <c r="AK146" s="3" t="e">
        <v>#N/A</v>
      </c>
      <c r="AL146" s="3" t="e">
        <v>#N/A</v>
      </c>
      <c r="AM146" s="3" t="e">
        <v>#N/A</v>
      </c>
      <c r="AN146" s="3" t="e">
        <v>#N/A</v>
      </c>
      <c r="AO146" s="3" t="e">
        <v>#N/A</v>
      </c>
      <c r="AP146" s="3" t="e">
        <v>#N/A</v>
      </c>
      <c r="AQ146" s="3" t="e">
        <v>#N/A</v>
      </c>
      <c r="AR146" s="3" t="e">
        <v>#N/A</v>
      </c>
      <c r="AS146" s="3" t="e">
        <v>#N/A</v>
      </c>
      <c r="AT146" s="3" t="e">
        <v>#N/A</v>
      </c>
      <c r="AU146" s="3" t="e">
        <v>#N/A</v>
      </c>
      <c r="AV146" s="3" t="e">
        <v>#N/A</v>
      </c>
      <c r="AW146" s="3" t="e">
        <v>#N/A</v>
      </c>
      <c r="AX146" s="3" t="e">
        <v>#N/A</v>
      </c>
      <c r="AY146" s="3" t="e">
        <v>#N/A</v>
      </c>
      <c r="AZ146" s="3" t="e">
        <v>#N/A</v>
      </c>
      <c r="BA146" s="3" t="e">
        <v>#N/A</v>
      </c>
      <c r="BB146" s="3" t="e">
        <v>#N/A</v>
      </c>
      <c r="BC146" s="3" t="e">
        <v>#N/A</v>
      </c>
      <c r="BD146" s="3" t="e">
        <v>#N/A</v>
      </c>
      <c r="BE146" s="3" t="e">
        <v>#N/A</v>
      </c>
      <c r="BF146" s="3" t="e">
        <v>#N/A</v>
      </c>
      <c r="BG146" s="3" t="e">
        <v>#N/A</v>
      </c>
      <c r="BH146" s="3" t="e">
        <v>#N/A</v>
      </c>
      <c r="BI146" s="3" t="e">
        <v>#N/A</v>
      </c>
      <c r="BJ146" s="3" t="e">
        <v>#N/A</v>
      </c>
      <c r="BK146" s="3" t="e">
        <v>#N/A</v>
      </c>
      <c r="BL146" s="3" t="e">
        <v>#N/A</v>
      </c>
      <c r="BM146" s="3" t="e">
        <v>#N/A</v>
      </c>
      <c r="BN146" s="3" t="e">
        <v>#N/A</v>
      </c>
      <c r="BO146" s="3" t="e">
        <v>#N/A</v>
      </c>
      <c r="BP146" s="3" t="e">
        <v>#N/A</v>
      </c>
      <c r="BQ146" s="3" t="e">
        <v>#N/A</v>
      </c>
      <c r="BR146" s="3" t="e">
        <v>#N/A</v>
      </c>
      <c r="BS146" s="3" t="e">
        <v>#N/A</v>
      </c>
      <c r="BT146" s="3" t="e">
        <v>#N/A</v>
      </c>
      <c r="BU146" s="3" t="e">
        <v>#N/A</v>
      </c>
      <c r="BV146" s="3" t="e">
        <v>#N/A</v>
      </c>
      <c r="BW146" s="3" t="e">
        <v>#N/A</v>
      </c>
      <c r="BX146" s="3" t="e">
        <v>#N/A</v>
      </c>
      <c r="BY146" s="3">
        <v>0.39</v>
      </c>
      <c r="BZ146" s="3">
        <v>0.69</v>
      </c>
      <c r="CA146" s="3">
        <v>1</v>
      </c>
      <c r="CB146" s="3">
        <v>1.2</v>
      </c>
      <c r="CC146" s="3">
        <v>1.31</v>
      </c>
      <c r="CD146" s="3">
        <v>1.38</v>
      </c>
      <c r="CE146" s="3">
        <v>1.41</v>
      </c>
      <c r="CF146" s="3">
        <v>1.41</v>
      </c>
      <c r="CG146" s="3">
        <v>1.4</v>
      </c>
      <c r="CH146" s="3">
        <v>1.37</v>
      </c>
      <c r="CI146" s="3">
        <v>1.34</v>
      </c>
      <c r="CJ146" s="3">
        <v>1.31</v>
      </c>
      <c r="CK146" s="3">
        <v>1.28</v>
      </c>
      <c r="CL146" s="3">
        <v>1.25</v>
      </c>
    </row>
    <row r="147" spans="1:102" x14ac:dyDescent="0.35">
      <c r="B147" s="4">
        <v>44682</v>
      </c>
      <c r="C147" s="5" t="s">
        <v>895</v>
      </c>
      <c r="D147" t="s">
        <v>903</v>
      </c>
      <c r="E147" t="s">
        <v>588</v>
      </c>
      <c r="F147" t="s">
        <v>902</v>
      </c>
      <c r="G147" t="s">
        <v>1009</v>
      </c>
      <c r="H147" t="s">
        <v>896</v>
      </c>
      <c r="I147" s="3" t="e">
        <v>#N/A</v>
      </c>
      <c r="J147" s="3" t="e">
        <v>#N/A</v>
      </c>
      <c r="K147" s="3" t="e">
        <v>#N/A</v>
      </c>
      <c r="L147" s="3" t="e">
        <v>#N/A</v>
      </c>
      <c r="M147" s="3" t="e">
        <v>#N/A</v>
      </c>
      <c r="N147" s="3" t="e">
        <v>#N/A</v>
      </c>
      <c r="O147" s="3" t="e">
        <v>#N/A</v>
      </c>
      <c r="P147" s="3" t="e">
        <v>#N/A</v>
      </c>
      <c r="Q147" s="3" t="e">
        <v>#N/A</v>
      </c>
      <c r="R147" s="3" t="e">
        <v>#N/A</v>
      </c>
      <c r="S147" s="3" t="e">
        <v>#N/A</v>
      </c>
      <c r="T147" s="3" t="e">
        <v>#N/A</v>
      </c>
      <c r="U147" s="3" t="e">
        <v>#N/A</v>
      </c>
      <c r="V147" s="3" t="e">
        <v>#N/A</v>
      </c>
      <c r="W147" s="3" t="e">
        <v>#N/A</v>
      </c>
      <c r="X147" s="3" t="e">
        <v>#N/A</v>
      </c>
      <c r="Y147" s="3" t="e">
        <v>#N/A</v>
      </c>
      <c r="Z147" s="3" t="e">
        <v>#N/A</v>
      </c>
      <c r="AA147" s="3" t="e">
        <v>#N/A</v>
      </c>
      <c r="AB147" s="3" t="e">
        <v>#N/A</v>
      </c>
      <c r="AC147" s="3" t="e">
        <v>#N/A</v>
      </c>
      <c r="AD147" s="3" t="e">
        <v>#N/A</v>
      </c>
      <c r="AE147" s="3" t="e">
        <v>#N/A</v>
      </c>
      <c r="AF147" s="3" t="e">
        <v>#N/A</v>
      </c>
      <c r="AG147" s="3" t="e">
        <v>#N/A</v>
      </c>
      <c r="AH147" s="3" t="e">
        <v>#N/A</v>
      </c>
      <c r="AI147" s="3" t="e">
        <v>#N/A</v>
      </c>
      <c r="AJ147" s="3" t="e">
        <v>#N/A</v>
      </c>
      <c r="AK147" s="3" t="e">
        <v>#N/A</v>
      </c>
      <c r="AL147" s="3" t="e">
        <v>#N/A</v>
      </c>
      <c r="AM147" s="3" t="e">
        <v>#N/A</v>
      </c>
      <c r="AN147" s="3" t="e">
        <v>#N/A</v>
      </c>
      <c r="AO147" s="3" t="e">
        <v>#N/A</v>
      </c>
      <c r="AP147" s="3" t="e">
        <v>#N/A</v>
      </c>
      <c r="AQ147" s="3" t="e">
        <v>#N/A</v>
      </c>
      <c r="AR147" s="3" t="e">
        <v>#N/A</v>
      </c>
      <c r="AS147" s="3" t="e">
        <v>#N/A</v>
      </c>
      <c r="AT147" s="3" t="e">
        <v>#N/A</v>
      </c>
      <c r="AU147" s="3" t="e">
        <v>#N/A</v>
      </c>
      <c r="AV147" s="3" t="e">
        <v>#N/A</v>
      </c>
      <c r="AW147" s="3" t="e">
        <v>#N/A</v>
      </c>
      <c r="AX147" s="3" t="e">
        <v>#N/A</v>
      </c>
      <c r="AY147" s="3" t="e">
        <v>#N/A</v>
      </c>
      <c r="AZ147" s="3" t="e">
        <v>#N/A</v>
      </c>
      <c r="BA147" s="3" t="e">
        <v>#N/A</v>
      </c>
      <c r="BB147" s="3" t="e">
        <v>#N/A</v>
      </c>
      <c r="BC147" s="3" t="e">
        <v>#N/A</v>
      </c>
      <c r="BD147" s="3" t="e">
        <v>#N/A</v>
      </c>
      <c r="BE147" s="3" t="e">
        <v>#N/A</v>
      </c>
      <c r="BF147" s="3" t="e">
        <v>#N/A</v>
      </c>
      <c r="BG147" s="3" t="e">
        <v>#N/A</v>
      </c>
      <c r="BH147" s="3" t="e">
        <v>#N/A</v>
      </c>
      <c r="BI147" s="3" t="e">
        <v>#N/A</v>
      </c>
      <c r="BJ147" s="3" t="e">
        <v>#N/A</v>
      </c>
      <c r="BK147" s="3" t="e">
        <v>#N/A</v>
      </c>
      <c r="BL147" s="3" t="e">
        <v>#N/A</v>
      </c>
      <c r="BM147" s="3" t="e">
        <v>#N/A</v>
      </c>
      <c r="BN147" s="3" t="e">
        <v>#N/A</v>
      </c>
      <c r="BO147" s="3" t="e">
        <v>#N/A</v>
      </c>
      <c r="BP147" s="3" t="e">
        <v>#N/A</v>
      </c>
      <c r="BQ147" s="3" t="e">
        <v>#N/A</v>
      </c>
      <c r="BR147" s="3" t="e">
        <v>#N/A</v>
      </c>
      <c r="BS147" s="3" t="e">
        <v>#N/A</v>
      </c>
      <c r="BT147" s="3" t="e">
        <v>#N/A</v>
      </c>
      <c r="BU147" s="3" t="e">
        <v>#N/A</v>
      </c>
      <c r="BV147" s="3" t="e">
        <v>#N/A</v>
      </c>
      <c r="BW147" s="3" t="e">
        <v>#N/A</v>
      </c>
      <c r="BX147" s="3" t="e">
        <v>#N/A</v>
      </c>
      <c r="BY147" s="3" t="e">
        <v>#N/A</v>
      </c>
      <c r="BZ147" s="3">
        <v>0.95</v>
      </c>
      <c r="CA147" s="3">
        <v>1.46</v>
      </c>
      <c r="CB147" s="3">
        <v>1.94</v>
      </c>
      <c r="CC147" s="3">
        <v>2.29</v>
      </c>
      <c r="CD147" s="3">
        <v>2.52</v>
      </c>
      <c r="CE147" s="3">
        <v>2.62</v>
      </c>
      <c r="CF147" s="3">
        <v>2.61</v>
      </c>
      <c r="CG147" s="3">
        <v>2.5299999999999998</v>
      </c>
      <c r="CH147" s="3">
        <v>2.42</v>
      </c>
      <c r="CI147" s="3">
        <v>2.31</v>
      </c>
      <c r="CJ147" s="3">
        <v>2.21</v>
      </c>
      <c r="CK147" s="3">
        <v>2.12</v>
      </c>
      <c r="CL147" s="3">
        <v>2.04</v>
      </c>
      <c r="CM147" s="3">
        <v>1.97</v>
      </c>
    </row>
    <row r="148" spans="1:102" x14ac:dyDescent="0.35">
      <c r="B148" s="4">
        <v>44774</v>
      </c>
      <c r="C148" s="5" t="s">
        <v>925</v>
      </c>
      <c r="D148" t="s">
        <v>931</v>
      </c>
      <c r="E148" t="s">
        <v>603</v>
      </c>
      <c r="F148" t="s">
        <v>918</v>
      </c>
      <c r="G148" t="s">
        <v>1009</v>
      </c>
      <c r="H148" t="s">
        <v>926</v>
      </c>
      <c r="I148" s="3" t="e">
        <v>#N/A</v>
      </c>
      <c r="J148" s="3" t="e">
        <v>#N/A</v>
      </c>
      <c r="K148" s="3" t="e">
        <v>#N/A</v>
      </c>
      <c r="L148" s="3" t="e">
        <v>#N/A</v>
      </c>
      <c r="M148" s="3" t="e">
        <v>#N/A</v>
      </c>
      <c r="N148" s="3" t="e">
        <v>#N/A</v>
      </c>
      <c r="O148" s="3" t="e">
        <v>#N/A</v>
      </c>
      <c r="P148" s="3" t="e">
        <v>#N/A</v>
      </c>
      <c r="Q148" s="3" t="e">
        <v>#N/A</v>
      </c>
      <c r="R148" s="3" t="e">
        <v>#N/A</v>
      </c>
      <c r="S148" s="3" t="e">
        <v>#N/A</v>
      </c>
      <c r="T148" s="3" t="e">
        <v>#N/A</v>
      </c>
      <c r="U148" s="3" t="e">
        <v>#N/A</v>
      </c>
      <c r="V148" s="3" t="e">
        <v>#N/A</v>
      </c>
      <c r="W148" s="3" t="e">
        <v>#N/A</v>
      </c>
      <c r="X148" s="3" t="e">
        <v>#N/A</v>
      </c>
      <c r="Y148" s="3" t="e">
        <v>#N/A</v>
      </c>
      <c r="Z148" s="3" t="e">
        <v>#N/A</v>
      </c>
      <c r="AA148" s="3" t="e">
        <v>#N/A</v>
      </c>
      <c r="AB148" s="3" t="e">
        <v>#N/A</v>
      </c>
      <c r="AC148" s="3" t="e">
        <v>#N/A</v>
      </c>
      <c r="AD148" s="3" t="e">
        <v>#N/A</v>
      </c>
      <c r="AE148" s="3" t="e">
        <v>#N/A</v>
      </c>
      <c r="AF148" s="3" t="e">
        <v>#N/A</v>
      </c>
      <c r="AG148" s="3" t="e">
        <v>#N/A</v>
      </c>
      <c r="AH148" s="3" t="e">
        <v>#N/A</v>
      </c>
      <c r="AI148" s="3" t="e">
        <v>#N/A</v>
      </c>
      <c r="AJ148" s="3" t="e">
        <v>#N/A</v>
      </c>
      <c r="AK148" s="3" t="e">
        <v>#N/A</v>
      </c>
      <c r="AL148" s="3" t="e">
        <v>#N/A</v>
      </c>
      <c r="AM148" s="3" t="e">
        <v>#N/A</v>
      </c>
      <c r="AN148" s="3" t="e">
        <v>#N/A</v>
      </c>
      <c r="AO148" s="3" t="e">
        <v>#N/A</v>
      </c>
      <c r="AP148" s="3" t="e">
        <v>#N/A</v>
      </c>
      <c r="AQ148" s="3" t="e">
        <v>#N/A</v>
      </c>
      <c r="AR148" s="3" t="e">
        <v>#N/A</v>
      </c>
      <c r="AS148" s="3" t="e">
        <v>#N/A</v>
      </c>
      <c r="AT148" s="3" t="e">
        <v>#N/A</v>
      </c>
      <c r="AU148" s="3" t="e">
        <v>#N/A</v>
      </c>
      <c r="AV148" s="3" t="e">
        <v>#N/A</v>
      </c>
      <c r="AW148" s="3" t="e">
        <v>#N/A</v>
      </c>
      <c r="AX148" s="3" t="e">
        <v>#N/A</v>
      </c>
      <c r="AY148" s="3" t="e">
        <v>#N/A</v>
      </c>
      <c r="AZ148" s="3" t="e">
        <v>#N/A</v>
      </c>
      <c r="BA148" s="3" t="e">
        <v>#N/A</v>
      </c>
      <c r="BB148" s="3" t="e">
        <v>#N/A</v>
      </c>
      <c r="BC148" s="3" t="e">
        <v>#N/A</v>
      </c>
      <c r="BD148" s="3" t="e">
        <v>#N/A</v>
      </c>
      <c r="BE148" s="3" t="e">
        <v>#N/A</v>
      </c>
      <c r="BF148" s="3" t="e">
        <v>#N/A</v>
      </c>
      <c r="BG148" s="3" t="e">
        <v>#N/A</v>
      </c>
      <c r="BH148" s="3" t="e">
        <v>#N/A</v>
      </c>
      <c r="BI148" s="3" t="e">
        <v>#N/A</v>
      </c>
      <c r="BJ148" s="3" t="e">
        <v>#N/A</v>
      </c>
      <c r="BK148" s="3" t="e">
        <v>#N/A</v>
      </c>
      <c r="BL148" s="3" t="e">
        <v>#N/A</v>
      </c>
      <c r="BM148" s="3" t="e">
        <v>#N/A</v>
      </c>
      <c r="BN148" s="3" t="e">
        <v>#N/A</v>
      </c>
      <c r="BO148" s="3" t="e">
        <v>#N/A</v>
      </c>
      <c r="BP148" s="3" t="e">
        <v>#N/A</v>
      </c>
      <c r="BQ148" s="3" t="e">
        <v>#N/A</v>
      </c>
      <c r="BR148" s="3" t="e">
        <v>#N/A</v>
      </c>
      <c r="BS148" s="3" t="e">
        <v>#N/A</v>
      </c>
      <c r="BT148" s="3" t="e">
        <v>#N/A</v>
      </c>
      <c r="BU148" s="3" t="e">
        <v>#N/A</v>
      </c>
      <c r="BV148" s="3" t="e">
        <v>#N/A</v>
      </c>
      <c r="BW148" s="3" t="e">
        <v>#N/A</v>
      </c>
      <c r="BX148" s="3" t="e">
        <v>#N/A</v>
      </c>
      <c r="BY148" s="3" t="e">
        <v>#N/A</v>
      </c>
      <c r="BZ148" s="3" t="e">
        <v>#N/A</v>
      </c>
      <c r="CA148" s="3">
        <v>1.62</v>
      </c>
      <c r="CB148" s="3">
        <v>2.44</v>
      </c>
      <c r="CC148" s="3">
        <v>2.91</v>
      </c>
      <c r="CD148" s="3">
        <v>3.01</v>
      </c>
      <c r="CE148" s="3">
        <v>2.96</v>
      </c>
      <c r="CF148" s="3">
        <v>2.86</v>
      </c>
      <c r="CG148" s="3">
        <v>2.73</v>
      </c>
      <c r="CH148" s="3">
        <v>2.6</v>
      </c>
      <c r="CI148" s="3">
        <v>2.48</v>
      </c>
      <c r="CJ148" s="3">
        <v>2.39</v>
      </c>
      <c r="CK148" s="3">
        <v>2.3199999999999998</v>
      </c>
      <c r="CL148" s="3">
        <v>2.27</v>
      </c>
      <c r="CM148" s="3">
        <v>2.23</v>
      </c>
      <c r="CN148" s="3">
        <v>2.2000000000000002</v>
      </c>
    </row>
    <row r="149" spans="1:102" x14ac:dyDescent="0.35">
      <c r="B149" s="4">
        <v>44866</v>
      </c>
      <c r="C149" s="5" t="s">
        <v>952</v>
      </c>
      <c r="D149" t="s">
        <v>959</v>
      </c>
      <c r="E149" t="s">
        <v>618</v>
      </c>
      <c r="F149" t="s">
        <v>946</v>
      </c>
      <c r="G149" t="s">
        <v>1009</v>
      </c>
      <c r="H149" t="s">
        <v>953</v>
      </c>
      <c r="I149" s="3" t="e">
        <v>#N/A</v>
      </c>
      <c r="J149" s="3" t="e">
        <v>#N/A</v>
      </c>
      <c r="K149" s="3" t="e">
        <v>#N/A</v>
      </c>
      <c r="L149" s="3" t="e">
        <v>#N/A</v>
      </c>
      <c r="M149" s="3" t="e">
        <v>#N/A</v>
      </c>
      <c r="N149" s="3" t="e">
        <v>#N/A</v>
      </c>
      <c r="O149" s="3" t="e">
        <v>#N/A</v>
      </c>
      <c r="P149" s="3" t="e">
        <v>#N/A</v>
      </c>
      <c r="Q149" s="3" t="e">
        <v>#N/A</v>
      </c>
      <c r="R149" s="3" t="e">
        <v>#N/A</v>
      </c>
      <c r="S149" s="3" t="e">
        <v>#N/A</v>
      </c>
      <c r="T149" s="3" t="e">
        <v>#N/A</v>
      </c>
      <c r="U149" s="3" t="e">
        <v>#N/A</v>
      </c>
      <c r="V149" s="3" t="e">
        <v>#N/A</v>
      </c>
      <c r="W149" s="3" t="e">
        <v>#N/A</v>
      </c>
      <c r="X149" s="3" t="e">
        <v>#N/A</v>
      </c>
      <c r="Y149" s="3" t="e">
        <v>#N/A</v>
      </c>
      <c r="Z149" s="3" t="e">
        <v>#N/A</v>
      </c>
      <c r="AA149" s="3" t="e">
        <v>#N/A</v>
      </c>
      <c r="AB149" s="3" t="e">
        <v>#N/A</v>
      </c>
      <c r="AC149" s="3" t="e">
        <v>#N/A</v>
      </c>
      <c r="AD149" s="3" t="e">
        <v>#N/A</v>
      </c>
      <c r="AE149" s="3" t="e">
        <v>#N/A</v>
      </c>
      <c r="AF149" s="3" t="e">
        <v>#N/A</v>
      </c>
      <c r="AG149" s="3" t="e">
        <v>#N/A</v>
      </c>
      <c r="AH149" s="3" t="e">
        <v>#N/A</v>
      </c>
      <c r="AI149" s="3" t="e">
        <v>#N/A</v>
      </c>
      <c r="AJ149" s="3" t="e">
        <v>#N/A</v>
      </c>
      <c r="AK149" s="3" t="e">
        <v>#N/A</v>
      </c>
      <c r="AL149" s="3" t="e">
        <v>#N/A</v>
      </c>
      <c r="AM149" s="3" t="e">
        <v>#N/A</v>
      </c>
      <c r="AN149" s="3" t="e">
        <v>#N/A</v>
      </c>
      <c r="AO149" s="3" t="e">
        <v>#N/A</v>
      </c>
      <c r="AP149" s="3" t="e">
        <v>#N/A</v>
      </c>
      <c r="AQ149" s="3" t="e">
        <v>#N/A</v>
      </c>
      <c r="AR149" s="3" t="e">
        <v>#N/A</v>
      </c>
      <c r="AS149" s="3" t="e">
        <v>#N/A</v>
      </c>
      <c r="AT149" s="3" t="e">
        <v>#N/A</v>
      </c>
      <c r="AU149" s="3" t="e">
        <v>#N/A</v>
      </c>
      <c r="AV149" s="3" t="e">
        <v>#N/A</v>
      </c>
      <c r="AW149" s="3" t="e">
        <v>#N/A</v>
      </c>
      <c r="AX149" s="3" t="e">
        <v>#N/A</v>
      </c>
      <c r="AY149" s="3" t="e">
        <v>#N/A</v>
      </c>
      <c r="AZ149" s="3" t="e">
        <v>#N/A</v>
      </c>
      <c r="BA149" s="3" t="e">
        <v>#N/A</v>
      </c>
      <c r="BB149" s="3" t="e">
        <v>#N/A</v>
      </c>
      <c r="BC149" s="3" t="e">
        <v>#N/A</v>
      </c>
      <c r="BD149" s="3" t="e">
        <v>#N/A</v>
      </c>
      <c r="BE149" s="3" t="e">
        <v>#N/A</v>
      </c>
      <c r="BF149" s="3" t="e">
        <v>#N/A</v>
      </c>
      <c r="BG149" s="3" t="e">
        <v>#N/A</v>
      </c>
      <c r="BH149" s="3" t="e">
        <v>#N/A</v>
      </c>
      <c r="BI149" s="3" t="e">
        <v>#N/A</v>
      </c>
      <c r="BJ149" s="3" t="e">
        <v>#N/A</v>
      </c>
      <c r="BK149" s="3" t="e">
        <v>#N/A</v>
      </c>
      <c r="BL149" s="3" t="e">
        <v>#N/A</v>
      </c>
      <c r="BM149" s="3" t="e">
        <v>#N/A</v>
      </c>
      <c r="BN149" s="3" t="e">
        <v>#N/A</v>
      </c>
      <c r="BO149" s="3" t="e">
        <v>#N/A</v>
      </c>
      <c r="BP149" s="3" t="e">
        <v>#N/A</v>
      </c>
      <c r="BQ149" s="3" t="e">
        <v>#N/A</v>
      </c>
      <c r="BR149" s="3" t="e">
        <v>#N/A</v>
      </c>
      <c r="BS149" s="3" t="e">
        <v>#N/A</v>
      </c>
      <c r="BT149" s="3" t="e">
        <v>#N/A</v>
      </c>
      <c r="BU149" s="3" t="e">
        <v>#N/A</v>
      </c>
      <c r="BV149" s="3" t="e">
        <v>#N/A</v>
      </c>
      <c r="BW149" s="3" t="e">
        <v>#N/A</v>
      </c>
      <c r="BX149" s="3" t="e">
        <v>#N/A</v>
      </c>
      <c r="BY149" s="3" t="e">
        <v>#N/A</v>
      </c>
      <c r="BZ149" s="3" t="e">
        <v>#N/A</v>
      </c>
      <c r="CA149" s="3" t="e">
        <v>#N/A</v>
      </c>
      <c r="CB149" s="3">
        <v>3.02</v>
      </c>
      <c r="CC149" s="3">
        <v>4.29</v>
      </c>
      <c r="CD149" s="3">
        <v>5</v>
      </c>
      <c r="CE149" s="3">
        <v>5.17</v>
      </c>
      <c r="CF149" s="3">
        <v>5.15</v>
      </c>
      <c r="CG149" s="3">
        <v>5.07</v>
      </c>
      <c r="CH149" s="3">
        <v>4.97</v>
      </c>
      <c r="CI149" s="3">
        <v>4.8600000000000003</v>
      </c>
      <c r="CJ149" s="3">
        <v>4.75</v>
      </c>
      <c r="CK149" s="3">
        <v>4.66</v>
      </c>
      <c r="CL149" s="3">
        <v>4.58</v>
      </c>
      <c r="CM149" s="3">
        <v>4.5</v>
      </c>
      <c r="CN149" s="3">
        <v>4.43</v>
      </c>
      <c r="CO149" s="3">
        <v>4.3600000000000003</v>
      </c>
    </row>
    <row r="150" spans="1:102" x14ac:dyDescent="0.35">
      <c r="B150" s="4">
        <v>44958</v>
      </c>
      <c r="C150" s="5" t="s">
        <v>966</v>
      </c>
      <c r="D150" t="s">
        <v>971</v>
      </c>
      <c r="E150" t="s">
        <v>627</v>
      </c>
      <c r="F150" t="s">
        <v>960</v>
      </c>
      <c r="G150" t="s">
        <v>1009</v>
      </c>
      <c r="H150" t="s">
        <v>967</v>
      </c>
      <c r="I150" s="3" t="e">
        <v>#N/A</v>
      </c>
      <c r="J150" s="3" t="e">
        <v>#N/A</v>
      </c>
      <c r="K150" s="3" t="e">
        <v>#N/A</v>
      </c>
      <c r="L150" s="3" t="e">
        <v>#N/A</v>
      </c>
      <c r="M150" s="3" t="e">
        <v>#N/A</v>
      </c>
      <c r="N150" s="3" t="e">
        <v>#N/A</v>
      </c>
      <c r="O150" s="3" t="e">
        <v>#N/A</v>
      </c>
      <c r="P150" s="3" t="e">
        <v>#N/A</v>
      </c>
      <c r="Q150" s="3" t="e">
        <v>#N/A</v>
      </c>
      <c r="R150" s="3" t="e">
        <v>#N/A</v>
      </c>
      <c r="S150" s="3" t="e">
        <v>#N/A</v>
      </c>
      <c r="T150" s="3" t="e">
        <v>#N/A</v>
      </c>
      <c r="U150" s="3" t="e">
        <v>#N/A</v>
      </c>
      <c r="V150" s="3" t="e">
        <v>#N/A</v>
      </c>
      <c r="W150" s="3" t="e">
        <v>#N/A</v>
      </c>
      <c r="X150" s="3" t="e">
        <v>#N/A</v>
      </c>
      <c r="Y150" s="3" t="e">
        <v>#N/A</v>
      </c>
      <c r="Z150" s="3" t="e">
        <v>#N/A</v>
      </c>
      <c r="AA150" s="3" t="e">
        <v>#N/A</v>
      </c>
      <c r="AB150" s="3" t="e">
        <v>#N/A</v>
      </c>
      <c r="AC150" s="3" t="e">
        <v>#N/A</v>
      </c>
      <c r="AD150" s="3" t="e">
        <v>#N/A</v>
      </c>
      <c r="AE150" s="3" t="e">
        <v>#N/A</v>
      </c>
      <c r="AF150" s="3" t="e">
        <v>#N/A</v>
      </c>
      <c r="AG150" s="3" t="e">
        <v>#N/A</v>
      </c>
      <c r="AH150" s="3" t="e">
        <v>#N/A</v>
      </c>
      <c r="AI150" s="3" t="e">
        <v>#N/A</v>
      </c>
      <c r="AJ150" s="3" t="e">
        <v>#N/A</v>
      </c>
      <c r="AK150" s="3" t="e">
        <v>#N/A</v>
      </c>
      <c r="AL150" s="3" t="e">
        <v>#N/A</v>
      </c>
      <c r="AM150" s="3" t="e">
        <v>#N/A</v>
      </c>
      <c r="AN150" s="3" t="e">
        <v>#N/A</v>
      </c>
      <c r="AO150" s="3" t="e">
        <v>#N/A</v>
      </c>
      <c r="AP150" s="3" t="e">
        <v>#N/A</v>
      </c>
      <c r="AQ150" s="3" t="e">
        <v>#N/A</v>
      </c>
      <c r="AR150" s="3" t="e">
        <v>#N/A</v>
      </c>
      <c r="AS150" s="3" t="e">
        <v>#N/A</v>
      </c>
      <c r="AT150" s="3" t="e">
        <v>#N/A</v>
      </c>
      <c r="AU150" s="3" t="e">
        <v>#N/A</v>
      </c>
      <c r="AV150" s="3" t="e">
        <v>#N/A</v>
      </c>
      <c r="AW150" s="3" t="e">
        <v>#N/A</v>
      </c>
      <c r="AX150" s="3" t="e">
        <v>#N/A</v>
      </c>
      <c r="AY150" s="3" t="e">
        <v>#N/A</v>
      </c>
      <c r="AZ150" s="3" t="e">
        <v>#N/A</v>
      </c>
      <c r="BA150" s="3" t="e">
        <v>#N/A</v>
      </c>
      <c r="BB150" s="3" t="e">
        <v>#N/A</v>
      </c>
      <c r="BC150" s="3" t="e">
        <v>#N/A</v>
      </c>
      <c r="BD150" s="3" t="e">
        <v>#N/A</v>
      </c>
      <c r="BE150" s="3" t="e">
        <v>#N/A</v>
      </c>
      <c r="BF150" s="3" t="e">
        <v>#N/A</v>
      </c>
      <c r="BG150" s="3" t="e">
        <v>#N/A</v>
      </c>
      <c r="BH150" s="3" t="e">
        <v>#N/A</v>
      </c>
      <c r="BI150" s="3" t="e">
        <v>#N/A</v>
      </c>
      <c r="BJ150" s="3" t="e">
        <v>#N/A</v>
      </c>
      <c r="BK150" s="3" t="e">
        <v>#N/A</v>
      </c>
      <c r="BL150" s="3" t="e">
        <v>#N/A</v>
      </c>
      <c r="BM150" s="3" t="e">
        <v>#N/A</v>
      </c>
      <c r="BN150" s="3" t="e">
        <v>#N/A</v>
      </c>
      <c r="BO150" s="3" t="e">
        <v>#N/A</v>
      </c>
      <c r="BP150" s="3" t="e">
        <v>#N/A</v>
      </c>
      <c r="BQ150" s="3" t="e">
        <v>#N/A</v>
      </c>
      <c r="BR150" s="3" t="e">
        <v>#N/A</v>
      </c>
      <c r="BS150" s="3" t="e">
        <v>#N/A</v>
      </c>
      <c r="BT150" s="3" t="e">
        <v>#N/A</v>
      </c>
      <c r="BU150" s="3" t="e">
        <v>#N/A</v>
      </c>
      <c r="BV150" s="3" t="e">
        <v>#N/A</v>
      </c>
      <c r="BW150" s="3" t="e">
        <v>#N/A</v>
      </c>
      <c r="BX150" s="3" t="e">
        <v>#N/A</v>
      </c>
      <c r="BY150" s="3" t="e">
        <v>#N/A</v>
      </c>
      <c r="BZ150" s="3" t="e">
        <v>#N/A</v>
      </c>
      <c r="CA150" s="3" t="e">
        <v>#N/A</v>
      </c>
      <c r="CB150" s="3" t="e">
        <v>#N/A</v>
      </c>
      <c r="CC150" s="3">
        <v>3.81</v>
      </c>
      <c r="CD150" s="3">
        <v>4.28</v>
      </c>
      <c r="CE150" s="3">
        <v>4.46</v>
      </c>
      <c r="CF150" s="3">
        <v>4.42</v>
      </c>
      <c r="CG150" s="3">
        <v>4.28</v>
      </c>
      <c r="CH150" s="3">
        <v>4.0999999999999996</v>
      </c>
      <c r="CI150" s="3">
        <v>3.91</v>
      </c>
      <c r="CJ150" s="3">
        <v>3.74</v>
      </c>
      <c r="CK150" s="3">
        <v>3.61</v>
      </c>
      <c r="CL150" s="3">
        <v>3.52</v>
      </c>
      <c r="CM150" s="3">
        <v>3.44</v>
      </c>
      <c r="CN150" s="3">
        <v>3.39</v>
      </c>
      <c r="CO150" s="3">
        <v>3.34</v>
      </c>
      <c r="CP150" s="3">
        <v>3.3</v>
      </c>
    </row>
    <row r="151" spans="1:102" x14ac:dyDescent="0.35">
      <c r="B151" s="4">
        <v>45047</v>
      </c>
      <c r="C151" s="5" t="s">
        <v>1008</v>
      </c>
      <c r="D151" t="s">
        <v>1015</v>
      </c>
      <c r="E151" t="s">
        <v>640</v>
      </c>
      <c r="F151" t="s">
        <v>1002</v>
      </c>
      <c r="G151" t="s">
        <v>1009</v>
      </c>
      <c r="H151" t="s">
        <v>1010</v>
      </c>
      <c r="I151" s="3" t="e">
        <v>#N/A</v>
      </c>
      <c r="J151" s="3" t="e">
        <v>#N/A</v>
      </c>
      <c r="K151" s="3" t="e">
        <v>#N/A</v>
      </c>
      <c r="L151" s="3" t="e">
        <v>#N/A</v>
      </c>
      <c r="M151" s="3" t="e">
        <v>#N/A</v>
      </c>
      <c r="N151" s="3" t="e">
        <v>#N/A</v>
      </c>
      <c r="O151" s="3" t="e">
        <v>#N/A</v>
      </c>
      <c r="P151" s="3" t="e">
        <v>#N/A</v>
      </c>
      <c r="Q151" s="3" t="e">
        <v>#N/A</v>
      </c>
      <c r="R151" s="3" t="e">
        <v>#N/A</v>
      </c>
      <c r="S151" s="3" t="e">
        <v>#N/A</v>
      </c>
      <c r="T151" s="3" t="e">
        <v>#N/A</v>
      </c>
      <c r="U151" s="3" t="e">
        <v>#N/A</v>
      </c>
      <c r="V151" s="3" t="e">
        <v>#N/A</v>
      </c>
      <c r="W151" s="3" t="e">
        <v>#N/A</v>
      </c>
      <c r="X151" s="3" t="e">
        <v>#N/A</v>
      </c>
      <c r="Y151" s="3" t="e">
        <v>#N/A</v>
      </c>
      <c r="Z151" s="3" t="e">
        <v>#N/A</v>
      </c>
      <c r="AA151" s="3" t="e">
        <v>#N/A</v>
      </c>
      <c r="AB151" s="3" t="e">
        <v>#N/A</v>
      </c>
      <c r="AC151" s="3" t="e">
        <v>#N/A</v>
      </c>
      <c r="AD151" s="3" t="e">
        <v>#N/A</v>
      </c>
      <c r="AE151" s="3" t="e">
        <v>#N/A</v>
      </c>
      <c r="AF151" s="3" t="e">
        <v>#N/A</v>
      </c>
      <c r="AG151" s="3" t="e">
        <v>#N/A</v>
      </c>
      <c r="AH151" s="3" t="e">
        <v>#N/A</v>
      </c>
      <c r="AI151" s="3" t="e">
        <v>#N/A</v>
      </c>
      <c r="AJ151" s="3" t="e">
        <v>#N/A</v>
      </c>
      <c r="AK151" s="3" t="e">
        <v>#N/A</v>
      </c>
      <c r="AL151" s="3" t="e">
        <v>#N/A</v>
      </c>
      <c r="AM151" s="3" t="e">
        <v>#N/A</v>
      </c>
      <c r="AN151" s="3" t="e">
        <v>#N/A</v>
      </c>
      <c r="AO151" s="3" t="e">
        <v>#N/A</v>
      </c>
      <c r="AP151" s="3" t="e">
        <v>#N/A</v>
      </c>
      <c r="AQ151" s="3" t="e">
        <v>#N/A</v>
      </c>
      <c r="AR151" s="3" t="e">
        <v>#N/A</v>
      </c>
      <c r="AS151" s="3" t="e">
        <v>#N/A</v>
      </c>
      <c r="AT151" s="3" t="e">
        <v>#N/A</v>
      </c>
      <c r="AU151" s="3" t="e">
        <v>#N/A</v>
      </c>
      <c r="AV151" s="3" t="e">
        <v>#N/A</v>
      </c>
      <c r="AW151" s="3" t="e">
        <v>#N/A</v>
      </c>
      <c r="AX151" s="3" t="e">
        <v>#N/A</v>
      </c>
      <c r="AY151" s="3" t="e">
        <v>#N/A</v>
      </c>
      <c r="AZ151" s="3" t="e">
        <v>#N/A</v>
      </c>
      <c r="BA151" s="3" t="e">
        <v>#N/A</v>
      </c>
      <c r="BB151" s="3" t="e">
        <v>#N/A</v>
      </c>
      <c r="BC151" s="3" t="e">
        <v>#N/A</v>
      </c>
      <c r="BD151" s="3" t="e">
        <v>#N/A</v>
      </c>
      <c r="BE151" s="3" t="e">
        <v>#N/A</v>
      </c>
      <c r="BF151" s="3" t="e">
        <v>#N/A</v>
      </c>
      <c r="BG151" s="3" t="e">
        <v>#N/A</v>
      </c>
      <c r="BH151" s="3" t="e">
        <v>#N/A</v>
      </c>
      <c r="BI151" s="3" t="e">
        <v>#N/A</v>
      </c>
      <c r="BJ151" s="3" t="e">
        <v>#N/A</v>
      </c>
      <c r="BK151" s="3" t="e">
        <v>#N/A</v>
      </c>
      <c r="BL151" s="3" t="e">
        <v>#N/A</v>
      </c>
      <c r="BM151" s="3" t="e">
        <v>#N/A</v>
      </c>
      <c r="BN151" s="3" t="e">
        <v>#N/A</v>
      </c>
      <c r="BO151" s="3" t="e">
        <v>#N/A</v>
      </c>
      <c r="BP151" s="3" t="e">
        <v>#N/A</v>
      </c>
      <c r="BQ151" s="3" t="e">
        <v>#N/A</v>
      </c>
      <c r="BR151" s="3" t="e">
        <v>#N/A</v>
      </c>
      <c r="BS151" s="3" t="e">
        <v>#N/A</v>
      </c>
      <c r="BT151" s="3" t="e">
        <v>#N/A</v>
      </c>
      <c r="BU151" s="3" t="e">
        <v>#N/A</v>
      </c>
      <c r="BV151" s="3" t="e">
        <v>#N/A</v>
      </c>
      <c r="BW151" s="3" t="e">
        <v>#N/A</v>
      </c>
      <c r="BX151" s="3" t="e">
        <v>#N/A</v>
      </c>
      <c r="BY151" s="3" t="e">
        <v>#N/A</v>
      </c>
      <c r="BZ151" s="3" t="e">
        <v>#N/A</v>
      </c>
      <c r="CA151" s="3" t="e">
        <v>#N/A</v>
      </c>
      <c r="CB151" s="3" t="e">
        <v>#N/A</v>
      </c>
      <c r="CC151" s="3" t="e">
        <v>#N/A</v>
      </c>
      <c r="CD151" s="3">
        <v>4.3600000000000003</v>
      </c>
      <c r="CE151" s="3">
        <v>4.67</v>
      </c>
      <c r="CF151" s="3">
        <v>4.76</v>
      </c>
      <c r="CG151" s="3">
        <v>4.63</v>
      </c>
      <c r="CH151" s="3">
        <v>4.42</v>
      </c>
      <c r="CI151" s="3">
        <v>4.21</v>
      </c>
      <c r="CJ151" s="3">
        <v>4.03</v>
      </c>
      <c r="CK151" s="3">
        <v>3.9</v>
      </c>
      <c r="CL151" s="3">
        <v>3.8</v>
      </c>
      <c r="CM151" s="3">
        <v>3.72</v>
      </c>
      <c r="CN151" s="3">
        <v>3.65</v>
      </c>
      <c r="CO151" s="3">
        <v>3.6</v>
      </c>
      <c r="CP151" s="3">
        <v>3.55</v>
      </c>
      <c r="CQ151" s="3">
        <v>3.51</v>
      </c>
    </row>
    <row r="152" spans="1:102" x14ac:dyDescent="0.35">
      <c r="B152" s="4">
        <v>45139</v>
      </c>
      <c r="C152" s="5" t="s">
        <v>1037</v>
      </c>
      <c r="D152" t="s">
        <v>1041</v>
      </c>
      <c r="E152" t="s">
        <v>655</v>
      </c>
      <c r="F152" t="s">
        <v>1017</v>
      </c>
      <c r="G152" t="s">
        <v>1009</v>
      </c>
      <c r="H152" t="s">
        <v>1032</v>
      </c>
      <c r="I152" s="3" t="e">
        <v>#N/A</v>
      </c>
      <c r="J152" s="3" t="e">
        <v>#N/A</v>
      </c>
      <c r="K152" s="3" t="e">
        <v>#N/A</v>
      </c>
      <c r="L152" s="3" t="e">
        <v>#N/A</v>
      </c>
      <c r="M152" s="3" t="e">
        <v>#N/A</v>
      </c>
      <c r="N152" s="3" t="e">
        <v>#N/A</v>
      </c>
      <c r="O152" s="3" t="e">
        <v>#N/A</v>
      </c>
      <c r="P152" s="3" t="e">
        <v>#N/A</v>
      </c>
      <c r="Q152" s="3" t="e">
        <v>#N/A</v>
      </c>
      <c r="R152" s="3" t="e">
        <v>#N/A</v>
      </c>
      <c r="S152" s="3" t="e">
        <v>#N/A</v>
      </c>
      <c r="T152" s="3" t="e">
        <v>#N/A</v>
      </c>
      <c r="U152" s="3" t="e">
        <v>#N/A</v>
      </c>
      <c r="V152" s="3" t="e">
        <v>#N/A</v>
      </c>
      <c r="W152" s="3" t="e">
        <v>#N/A</v>
      </c>
      <c r="X152" s="3" t="e">
        <v>#N/A</v>
      </c>
      <c r="Y152" s="3" t="e">
        <v>#N/A</v>
      </c>
      <c r="Z152" s="3" t="e">
        <v>#N/A</v>
      </c>
      <c r="AA152" s="3" t="e">
        <v>#N/A</v>
      </c>
      <c r="AB152" s="3" t="e">
        <v>#N/A</v>
      </c>
      <c r="AC152" s="3" t="e">
        <v>#N/A</v>
      </c>
      <c r="AD152" s="3" t="e">
        <v>#N/A</v>
      </c>
      <c r="AE152" s="3" t="e">
        <v>#N/A</v>
      </c>
      <c r="AF152" s="3" t="e">
        <v>#N/A</v>
      </c>
      <c r="AG152" s="3" t="e">
        <v>#N/A</v>
      </c>
      <c r="AH152" s="3" t="e">
        <v>#N/A</v>
      </c>
      <c r="AI152" s="3" t="e">
        <v>#N/A</v>
      </c>
      <c r="AJ152" s="3" t="e">
        <v>#N/A</v>
      </c>
      <c r="AK152" s="3" t="e">
        <v>#N/A</v>
      </c>
      <c r="AL152" s="3" t="e">
        <v>#N/A</v>
      </c>
      <c r="AM152" s="3" t="e">
        <v>#N/A</v>
      </c>
      <c r="AN152" s="3" t="e">
        <v>#N/A</v>
      </c>
      <c r="AO152" s="3" t="e">
        <v>#N/A</v>
      </c>
      <c r="AP152" s="3" t="e">
        <v>#N/A</v>
      </c>
      <c r="AQ152" s="3" t="e">
        <v>#N/A</v>
      </c>
      <c r="AR152" s="3" t="e">
        <v>#N/A</v>
      </c>
      <c r="AS152" s="3" t="e">
        <v>#N/A</v>
      </c>
      <c r="AT152" s="3" t="e">
        <v>#N/A</v>
      </c>
      <c r="AU152" s="3" t="e">
        <v>#N/A</v>
      </c>
      <c r="AV152" s="3" t="e">
        <v>#N/A</v>
      </c>
      <c r="AW152" s="3" t="e">
        <v>#N/A</v>
      </c>
      <c r="AX152" s="3" t="e">
        <v>#N/A</v>
      </c>
      <c r="AY152" s="3" t="e">
        <v>#N/A</v>
      </c>
      <c r="AZ152" s="3" t="e">
        <v>#N/A</v>
      </c>
      <c r="BA152" s="3" t="e">
        <v>#N/A</v>
      </c>
      <c r="BB152" s="3" t="e">
        <v>#N/A</v>
      </c>
      <c r="BC152" s="3" t="e">
        <v>#N/A</v>
      </c>
      <c r="BD152" s="3" t="e">
        <v>#N/A</v>
      </c>
      <c r="BE152" s="3" t="e">
        <v>#N/A</v>
      </c>
      <c r="BF152" s="3" t="e">
        <v>#N/A</v>
      </c>
      <c r="BG152" s="3" t="e">
        <v>#N/A</v>
      </c>
      <c r="BH152" s="3" t="e">
        <v>#N/A</v>
      </c>
      <c r="BI152" s="3" t="e">
        <v>#N/A</v>
      </c>
      <c r="BJ152" s="3" t="e">
        <v>#N/A</v>
      </c>
      <c r="BK152" s="3" t="e">
        <v>#N/A</v>
      </c>
      <c r="BL152" s="3" t="e">
        <v>#N/A</v>
      </c>
      <c r="BM152" s="3" t="e">
        <v>#N/A</v>
      </c>
      <c r="BN152" s="3" t="e">
        <v>#N/A</v>
      </c>
      <c r="BO152" s="3" t="e">
        <v>#N/A</v>
      </c>
      <c r="BP152" s="3" t="e">
        <v>#N/A</v>
      </c>
      <c r="BQ152" s="3" t="e">
        <v>#N/A</v>
      </c>
      <c r="BR152" s="3" t="e">
        <v>#N/A</v>
      </c>
      <c r="BS152" s="3" t="e">
        <v>#N/A</v>
      </c>
      <c r="BT152" s="3" t="e">
        <v>#N/A</v>
      </c>
      <c r="BU152" s="3" t="e">
        <v>#N/A</v>
      </c>
      <c r="BV152" s="3" t="e">
        <v>#N/A</v>
      </c>
      <c r="BW152" s="3" t="e">
        <v>#N/A</v>
      </c>
      <c r="BX152" s="3" t="e">
        <v>#N/A</v>
      </c>
      <c r="BY152" s="3" t="e">
        <v>#N/A</v>
      </c>
      <c r="BZ152" s="3" t="e">
        <v>#N/A</v>
      </c>
      <c r="CA152" s="3" t="e">
        <v>#N/A</v>
      </c>
      <c r="CB152" s="3" t="e">
        <v>#N/A</v>
      </c>
      <c r="CC152" s="3" t="e">
        <v>#N/A</v>
      </c>
      <c r="CD152" s="3" t="e">
        <v>#N/A</v>
      </c>
      <c r="CE152" s="3">
        <v>5.29</v>
      </c>
      <c r="CF152" s="3">
        <v>5.84</v>
      </c>
      <c r="CG152" s="3">
        <v>6.09</v>
      </c>
      <c r="CH152" s="3">
        <v>6.12</v>
      </c>
      <c r="CI152" s="3">
        <v>6.05</v>
      </c>
      <c r="CJ152" s="3">
        <v>5.89</v>
      </c>
      <c r="CK152" s="3">
        <v>5.66</v>
      </c>
      <c r="CL152" s="3">
        <v>5.41</v>
      </c>
      <c r="CM152" s="3">
        <v>5.17</v>
      </c>
      <c r="CN152" s="3">
        <v>4.95</v>
      </c>
      <c r="CO152" s="3">
        <v>4.76</v>
      </c>
      <c r="CP152" s="3">
        <v>4.5999999999999996</v>
      </c>
      <c r="CQ152" s="3">
        <v>4.45</v>
      </c>
      <c r="CR152" s="3">
        <v>4.33</v>
      </c>
    </row>
    <row r="153" spans="1:102" x14ac:dyDescent="0.35">
      <c r="B153" s="4">
        <v>45231</v>
      </c>
      <c r="C153" s="5" t="s">
        <v>1063</v>
      </c>
      <c r="D153" t="s">
        <v>1069</v>
      </c>
      <c r="E153" t="s">
        <v>656</v>
      </c>
      <c r="F153" t="s">
        <v>1057</v>
      </c>
      <c r="G153" t="s">
        <v>1009</v>
      </c>
      <c r="H153" t="s">
        <v>1064</v>
      </c>
      <c r="I153" s="3" t="e">
        <v>#N/A</v>
      </c>
      <c r="J153" s="3" t="e">
        <v>#N/A</v>
      </c>
      <c r="K153" s="3" t="e">
        <v>#N/A</v>
      </c>
      <c r="L153" s="3" t="e">
        <v>#N/A</v>
      </c>
      <c r="M153" s="3" t="e">
        <v>#N/A</v>
      </c>
      <c r="N153" s="3" t="e">
        <v>#N/A</v>
      </c>
      <c r="O153" s="3" t="e">
        <v>#N/A</v>
      </c>
      <c r="P153" s="3" t="e">
        <v>#N/A</v>
      </c>
      <c r="Q153" s="3" t="e">
        <v>#N/A</v>
      </c>
      <c r="R153" s="3" t="e">
        <v>#N/A</v>
      </c>
      <c r="S153" s="3" t="e">
        <v>#N/A</v>
      </c>
      <c r="T153" s="3" t="e">
        <v>#N/A</v>
      </c>
      <c r="U153" s="3" t="e">
        <v>#N/A</v>
      </c>
      <c r="V153" s="3" t="e">
        <v>#N/A</v>
      </c>
      <c r="W153" s="3" t="e">
        <v>#N/A</v>
      </c>
      <c r="X153" s="3" t="e">
        <v>#N/A</v>
      </c>
      <c r="Y153" s="3" t="e">
        <v>#N/A</v>
      </c>
      <c r="Z153" s="3" t="e">
        <v>#N/A</v>
      </c>
      <c r="AA153" s="3" t="e">
        <v>#N/A</v>
      </c>
      <c r="AB153" s="3" t="e">
        <v>#N/A</v>
      </c>
      <c r="AC153" s="3" t="e">
        <v>#N/A</v>
      </c>
      <c r="AD153" s="3" t="e">
        <v>#N/A</v>
      </c>
      <c r="AE153" s="3" t="e">
        <v>#N/A</v>
      </c>
      <c r="AF153" s="3" t="e">
        <v>#N/A</v>
      </c>
      <c r="AG153" s="3" t="e">
        <v>#N/A</v>
      </c>
      <c r="AH153" s="3" t="e">
        <v>#N/A</v>
      </c>
      <c r="AI153" s="3" t="e">
        <v>#N/A</v>
      </c>
      <c r="AJ153" s="3" t="e">
        <v>#N/A</v>
      </c>
      <c r="AK153" s="3" t="e">
        <v>#N/A</v>
      </c>
      <c r="AL153" s="3" t="e">
        <v>#N/A</v>
      </c>
      <c r="AM153" s="3" t="e">
        <v>#N/A</v>
      </c>
      <c r="AN153" s="3" t="e">
        <v>#N/A</v>
      </c>
      <c r="AO153" s="3" t="e">
        <v>#N/A</v>
      </c>
      <c r="AP153" s="3" t="e">
        <v>#N/A</v>
      </c>
      <c r="AQ153" s="3" t="e">
        <v>#N/A</v>
      </c>
      <c r="AR153" s="3" t="e">
        <v>#N/A</v>
      </c>
      <c r="AS153" s="3" t="e">
        <v>#N/A</v>
      </c>
      <c r="AT153" s="3" t="e">
        <v>#N/A</v>
      </c>
      <c r="AU153" s="3" t="e">
        <v>#N/A</v>
      </c>
      <c r="AV153" s="3" t="e">
        <v>#N/A</v>
      </c>
      <c r="AW153" s="3" t="e">
        <v>#N/A</v>
      </c>
      <c r="AX153" s="3" t="e">
        <v>#N/A</v>
      </c>
      <c r="AY153" s="3" t="e">
        <v>#N/A</v>
      </c>
      <c r="AZ153" s="3" t="e">
        <v>#N/A</v>
      </c>
      <c r="BA153" s="3" t="e">
        <v>#N/A</v>
      </c>
      <c r="BB153" s="3" t="e">
        <v>#N/A</v>
      </c>
      <c r="BC153" s="3" t="e">
        <v>#N/A</v>
      </c>
      <c r="BD153" s="3" t="e">
        <v>#N/A</v>
      </c>
      <c r="BE153" s="3" t="e">
        <v>#N/A</v>
      </c>
      <c r="BF153" s="3" t="e">
        <v>#N/A</v>
      </c>
      <c r="BG153" s="3" t="e">
        <v>#N/A</v>
      </c>
      <c r="BH153" s="3" t="e">
        <v>#N/A</v>
      </c>
      <c r="BI153" s="3" t="e">
        <v>#N/A</v>
      </c>
      <c r="BJ153" s="3" t="e">
        <v>#N/A</v>
      </c>
      <c r="BK153" s="3" t="e">
        <v>#N/A</v>
      </c>
      <c r="BL153" s="3" t="e">
        <v>#N/A</v>
      </c>
      <c r="BM153" s="3" t="e">
        <v>#N/A</v>
      </c>
      <c r="BN153" s="3" t="e">
        <v>#N/A</v>
      </c>
      <c r="BO153" s="3" t="e">
        <v>#N/A</v>
      </c>
      <c r="BP153" s="3" t="e">
        <v>#N/A</v>
      </c>
      <c r="BQ153" s="3" t="e">
        <v>#N/A</v>
      </c>
      <c r="BR153" s="3" t="e">
        <v>#N/A</v>
      </c>
      <c r="BS153" s="3" t="e">
        <v>#N/A</v>
      </c>
      <c r="BT153" s="3" t="e">
        <v>#N/A</v>
      </c>
      <c r="BU153" s="3" t="e">
        <v>#N/A</v>
      </c>
      <c r="BV153" s="3" t="e">
        <v>#N/A</v>
      </c>
      <c r="BW153" s="3" t="e">
        <v>#N/A</v>
      </c>
      <c r="BX153" s="3" t="e">
        <v>#N/A</v>
      </c>
      <c r="BY153" s="3" t="e">
        <v>#N/A</v>
      </c>
      <c r="BZ153" s="3" t="e">
        <v>#N/A</v>
      </c>
      <c r="CA153" s="3" t="e">
        <v>#N/A</v>
      </c>
      <c r="CB153" s="3" t="e">
        <v>#N/A</v>
      </c>
      <c r="CC153" s="3" t="e">
        <v>#N/A</v>
      </c>
      <c r="CD153" s="3" t="e">
        <v>#N/A</v>
      </c>
      <c r="CE153" s="3" t="e">
        <v>#N/A</v>
      </c>
      <c r="CF153" s="3">
        <v>5.25</v>
      </c>
      <c r="CG153" s="3">
        <v>5.32</v>
      </c>
      <c r="CH153" s="3">
        <v>5.3</v>
      </c>
      <c r="CI153" s="3">
        <v>5.21</v>
      </c>
      <c r="CJ153" s="3">
        <v>5.09</v>
      </c>
      <c r="CK153" s="3">
        <v>4.95</v>
      </c>
      <c r="CL153" s="3">
        <v>4.8</v>
      </c>
      <c r="CM153" s="3">
        <v>4.6500000000000004</v>
      </c>
      <c r="CN153" s="3">
        <v>4.5199999999999996</v>
      </c>
      <c r="CO153" s="3">
        <v>4.42</v>
      </c>
      <c r="CP153" s="3">
        <v>4.34</v>
      </c>
      <c r="CQ153" s="3">
        <v>4.2699999999999996</v>
      </c>
      <c r="CR153" s="3">
        <v>4.21</v>
      </c>
      <c r="CS153" s="3">
        <v>4.17</v>
      </c>
    </row>
    <row r="154" spans="1:102" x14ac:dyDescent="0.35">
      <c r="B154" s="4">
        <v>45323</v>
      </c>
      <c r="C154" s="5" t="s">
        <v>1091</v>
      </c>
      <c r="D154" t="s">
        <v>1097</v>
      </c>
      <c r="E154" t="s">
        <v>668</v>
      </c>
      <c r="F154" t="s">
        <v>1083</v>
      </c>
      <c r="G154" t="s">
        <v>1009</v>
      </c>
      <c r="H154" t="s">
        <v>1092</v>
      </c>
      <c r="I154" s="3" t="e">
        <v>#N/A</v>
      </c>
      <c r="J154" s="3" t="e">
        <v>#N/A</v>
      </c>
      <c r="K154" s="3" t="e">
        <v>#N/A</v>
      </c>
      <c r="L154" s="3" t="e">
        <v>#N/A</v>
      </c>
      <c r="M154" s="3" t="e">
        <v>#N/A</v>
      </c>
      <c r="N154" s="3" t="e">
        <v>#N/A</v>
      </c>
      <c r="O154" s="3" t="e">
        <v>#N/A</v>
      </c>
      <c r="P154" s="3" t="e">
        <v>#N/A</v>
      </c>
      <c r="Q154" s="3" t="e">
        <v>#N/A</v>
      </c>
      <c r="R154" s="3" t="e">
        <v>#N/A</v>
      </c>
      <c r="S154" s="3" t="e">
        <v>#N/A</v>
      </c>
      <c r="T154" s="3" t="e">
        <v>#N/A</v>
      </c>
      <c r="U154" s="3" t="e">
        <v>#N/A</v>
      </c>
      <c r="V154" s="3" t="e">
        <v>#N/A</v>
      </c>
      <c r="W154" s="3" t="e">
        <v>#N/A</v>
      </c>
      <c r="X154" s="3" t="e">
        <v>#N/A</v>
      </c>
      <c r="Y154" s="3" t="e">
        <v>#N/A</v>
      </c>
      <c r="Z154" s="3" t="e">
        <v>#N/A</v>
      </c>
      <c r="AA154" s="3" t="e">
        <v>#N/A</v>
      </c>
      <c r="AB154" s="3" t="e">
        <v>#N/A</v>
      </c>
      <c r="AC154" s="3" t="e">
        <v>#N/A</v>
      </c>
      <c r="AD154" s="3" t="e">
        <v>#N/A</v>
      </c>
      <c r="AE154" s="3" t="e">
        <v>#N/A</v>
      </c>
      <c r="AF154" s="3" t="e">
        <v>#N/A</v>
      </c>
      <c r="AG154" s="3" t="e">
        <v>#N/A</v>
      </c>
      <c r="AH154" s="3" t="e">
        <v>#N/A</v>
      </c>
      <c r="AI154" s="3" t="e">
        <v>#N/A</v>
      </c>
      <c r="AJ154" s="3" t="e">
        <v>#N/A</v>
      </c>
      <c r="AK154" s="3" t="e">
        <v>#N/A</v>
      </c>
      <c r="AL154" s="3" t="e">
        <v>#N/A</v>
      </c>
      <c r="AM154" s="3" t="e">
        <v>#N/A</v>
      </c>
      <c r="AN154" s="3" t="e">
        <v>#N/A</v>
      </c>
      <c r="AO154" s="3" t="e">
        <v>#N/A</v>
      </c>
      <c r="AP154" s="3" t="e">
        <v>#N/A</v>
      </c>
      <c r="AQ154" s="3" t="e">
        <v>#N/A</v>
      </c>
      <c r="AR154" s="3" t="e">
        <v>#N/A</v>
      </c>
      <c r="AS154" s="3" t="e">
        <v>#N/A</v>
      </c>
      <c r="AT154" s="3" t="e">
        <v>#N/A</v>
      </c>
      <c r="AU154" s="3" t="e">
        <v>#N/A</v>
      </c>
      <c r="AV154" s="3" t="e">
        <v>#N/A</v>
      </c>
      <c r="AW154" s="3" t="e">
        <v>#N/A</v>
      </c>
      <c r="AX154" s="3" t="e">
        <v>#N/A</v>
      </c>
      <c r="AY154" s="3" t="e">
        <v>#N/A</v>
      </c>
      <c r="AZ154" s="3" t="e">
        <v>#N/A</v>
      </c>
      <c r="BA154" s="3" t="e">
        <v>#N/A</v>
      </c>
      <c r="BB154" s="3" t="e">
        <v>#N/A</v>
      </c>
      <c r="BC154" s="3" t="e">
        <v>#N/A</v>
      </c>
      <c r="BD154" s="3" t="e">
        <v>#N/A</v>
      </c>
      <c r="BE154" s="3" t="e">
        <v>#N/A</v>
      </c>
      <c r="BF154" s="3" t="e">
        <v>#N/A</v>
      </c>
      <c r="BG154" s="3" t="e">
        <v>#N/A</v>
      </c>
      <c r="BH154" s="3" t="e">
        <v>#N/A</v>
      </c>
      <c r="BI154" s="3" t="e">
        <v>#N/A</v>
      </c>
      <c r="BJ154" s="3" t="e">
        <v>#N/A</v>
      </c>
      <c r="BK154" s="3" t="e">
        <v>#N/A</v>
      </c>
      <c r="BL154" s="3" t="e">
        <v>#N/A</v>
      </c>
      <c r="BM154" s="3" t="e">
        <v>#N/A</v>
      </c>
      <c r="BN154" s="3" t="e">
        <v>#N/A</v>
      </c>
      <c r="BO154" s="3" t="e">
        <v>#N/A</v>
      </c>
      <c r="BP154" s="3" t="e">
        <v>#N/A</v>
      </c>
      <c r="BQ154" s="3" t="e">
        <v>#N/A</v>
      </c>
      <c r="BR154" s="3" t="e">
        <v>#N/A</v>
      </c>
      <c r="BS154" s="3" t="e">
        <v>#N/A</v>
      </c>
      <c r="BT154" s="3" t="e">
        <v>#N/A</v>
      </c>
      <c r="BU154" s="3" t="e">
        <v>#N/A</v>
      </c>
      <c r="BV154" s="3" t="e">
        <v>#N/A</v>
      </c>
      <c r="BW154" s="3" t="e">
        <v>#N/A</v>
      </c>
      <c r="BX154" s="3" t="e">
        <v>#N/A</v>
      </c>
      <c r="BY154" s="3" t="e">
        <v>#N/A</v>
      </c>
      <c r="BZ154" s="3" t="e">
        <v>#N/A</v>
      </c>
      <c r="CA154" s="3" t="e">
        <v>#N/A</v>
      </c>
      <c r="CB154" s="3" t="e">
        <v>#N/A</v>
      </c>
      <c r="CC154" s="3" t="e">
        <v>#N/A</v>
      </c>
      <c r="CD154" s="3" t="e">
        <v>#N/A</v>
      </c>
      <c r="CE154" s="3" t="e">
        <v>#N/A</v>
      </c>
      <c r="CF154" s="3" t="e">
        <v>#N/A</v>
      </c>
      <c r="CG154" s="3">
        <v>5.1100000000000003</v>
      </c>
      <c r="CH154" s="3">
        <v>5.0199999999999996</v>
      </c>
      <c r="CI154" s="3">
        <v>4.63</v>
      </c>
      <c r="CJ154" s="3">
        <v>4.22</v>
      </c>
      <c r="CK154" s="3">
        <v>3.92</v>
      </c>
      <c r="CL154" s="3">
        <v>3.7</v>
      </c>
      <c r="CM154" s="3">
        <v>3.52</v>
      </c>
      <c r="CN154" s="3">
        <v>3.4</v>
      </c>
      <c r="CO154" s="3">
        <v>3.31</v>
      </c>
      <c r="CP154" s="3">
        <v>3.25</v>
      </c>
      <c r="CQ154" s="3">
        <v>3.21</v>
      </c>
      <c r="CR154" s="3">
        <v>3.18</v>
      </c>
      <c r="CS154" s="3">
        <v>3.17</v>
      </c>
      <c r="CT154" s="3">
        <v>3.16</v>
      </c>
    </row>
    <row r="155" spans="1:102" x14ac:dyDescent="0.35">
      <c r="B155" s="4">
        <v>45413</v>
      </c>
      <c r="C155" s="5" t="s">
        <v>1119</v>
      </c>
      <c r="D155" t="s">
        <v>1125</v>
      </c>
      <c r="E155" t="s">
        <v>693</v>
      </c>
      <c r="F155" t="s">
        <v>1113</v>
      </c>
      <c r="G155" t="s">
        <v>1009</v>
      </c>
      <c r="H155" t="s">
        <v>1120</v>
      </c>
      <c r="I155" s="3" t="e">
        <v>#N/A</v>
      </c>
      <c r="J155" s="3" t="e">
        <v>#N/A</v>
      </c>
      <c r="K155" s="3" t="e">
        <v>#N/A</v>
      </c>
      <c r="L155" s="3" t="e">
        <v>#N/A</v>
      </c>
      <c r="M155" s="3" t="e">
        <v>#N/A</v>
      </c>
      <c r="N155" s="3" t="e">
        <v>#N/A</v>
      </c>
      <c r="O155" s="3" t="e">
        <v>#N/A</v>
      </c>
      <c r="P155" s="3" t="e">
        <v>#N/A</v>
      </c>
      <c r="Q155" s="3" t="e">
        <v>#N/A</v>
      </c>
      <c r="R155" s="3" t="e">
        <v>#N/A</v>
      </c>
      <c r="S155" s="3" t="e">
        <v>#N/A</v>
      </c>
      <c r="T155" s="3" t="e">
        <v>#N/A</v>
      </c>
      <c r="U155" s="3" t="e">
        <v>#N/A</v>
      </c>
      <c r="V155" s="3" t="e">
        <v>#N/A</v>
      </c>
      <c r="W155" s="3" t="e">
        <v>#N/A</v>
      </c>
      <c r="X155" s="3" t="e">
        <v>#N/A</v>
      </c>
      <c r="Y155" s="3" t="e">
        <v>#N/A</v>
      </c>
      <c r="Z155" s="3" t="e">
        <v>#N/A</v>
      </c>
      <c r="AA155" s="3" t="e">
        <v>#N/A</v>
      </c>
      <c r="AB155" s="3" t="e">
        <v>#N/A</v>
      </c>
      <c r="AC155" s="3" t="e">
        <v>#N/A</v>
      </c>
      <c r="AD155" s="3" t="e">
        <v>#N/A</v>
      </c>
      <c r="AE155" s="3" t="e">
        <v>#N/A</v>
      </c>
      <c r="AF155" s="3" t="e">
        <v>#N/A</v>
      </c>
      <c r="AG155" s="3" t="e">
        <v>#N/A</v>
      </c>
      <c r="AH155" s="3" t="e">
        <v>#N/A</v>
      </c>
      <c r="AI155" s="3" t="e">
        <v>#N/A</v>
      </c>
      <c r="AJ155" s="3" t="e">
        <v>#N/A</v>
      </c>
      <c r="AK155" s="3" t="e">
        <v>#N/A</v>
      </c>
      <c r="AL155" s="3" t="e">
        <v>#N/A</v>
      </c>
      <c r="AM155" s="3" t="e">
        <v>#N/A</v>
      </c>
      <c r="AN155" s="3" t="e">
        <v>#N/A</v>
      </c>
      <c r="AO155" s="3" t="e">
        <v>#N/A</v>
      </c>
      <c r="AP155" s="3" t="e">
        <v>#N/A</v>
      </c>
      <c r="AQ155" s="3" t="e">
        <v>#N/A</v>
      </c>
      <c r="AR155" s="3" t="e">
        <v>#N/A</v>
      </c>
      <c r="AS155" s="3" t="e">
        <v>#N/A</v>
      </c>
      <c r="AT155" s="3" t="e">
        <v>#N/A</v>
      </c>
      <c r="AU155" s="3" t="e">
        <v>#N/A</v>
      </c>
      <c r="AV155" s="3" t="e">
        <v>#N/A</v>
      </c>
      <c r="AW155" s="3" t="e">
        <v>#N/A</v>
      </c>
      <c r="AX155" s="3" t="e">
        <v>#N/A</v>
      </c>
      <c r="AY155" s="3" t="e">
        <v>#N/A</v>
      </c>
      <c r="AZ155" s="3" t="e">
        <v>#N/A</v>
      </c>
      <c r="BA155" s="3" t="e">
        <v>#N/A</v>
      </c>
      <c r="BB155" s="3" t="e">
        <v>#N/A</v>
      </c>
      <c r="BC155" s="3" t="e">
        <v>#N/A</v>
      </c>
      <c r="BD155" s="3" t="e">
        <v>#N/A</v>
      </c>
      <c r="BE155" s="3" t="e">
        <v>#N/A</v>
      </c>
      <c r="BF155" s="3" t="e">
        <v>#N/A</v>
      </c>
      <c r="BG155" s="3" t="e">
        <v>#N/A</v>
      </c>
      <c r="BH155" s="3" t="e">
        <v>#N/A</v>
      </c>
      <c r="BI155" s="3" t="e">
        <v>#N/A</v>
      </c>
      <c r="BJ155" s="3" t="e">
        <v>#N/A</v>
      </c>
      <c r="BK155" s="3" t="e">
        <v>#N/A</v>
      </c>
      <c r="BL155" s="3" t="e">
        <v>#N/A</v>
      </c>
      <c r="BM155" s="3" t="e">
        <v>#N/A</v>
      </c>
      <c r="BN155" s="3" t="e">
        <v>#N/A</v>
      </c>
      <c r="BO155" s="3" t="e">
        <v>#N/A</v>
      </c>
      <c r="BP155" s="3" t="e">
        <v>#N/A</v>
      </c>
      <c r="BQ155" s="3" t="e">
        <v>#N/A</v>
      </c>
      <c r="BR155" s="3" t="e">
        <v>#N/A</v>
      </c>
      <c r="BS155" s="3" t="e">
        <v>#N/A</v>
      </c>
      <c r="BT155" s="3" t="e">
        <v>#N/A</v>
      </c>
      <c r="BU155" s="3" t="e">
        <v>#N/A</v>
      </c>
      <c r="BV155" s="3" t="e">
        <v>#N/A</v>
      </c>
      <c r="BW155" s="3" t="e">
        <v>#N/A</v>
      </c>
      <c r="BX155" s="3" t="e">
        <v>#N/A</v>
      </c>
      <c r="BY155" s="3" t="e">
        <v>#N/A</v>
      </c>
      <c r="BZ155" s="3" t="e">
        <v>#N/A</v>
      </c>
      <c r="CA155" s="3" t="e">
        <v>#N/A</v>
      </c>
      <c r="CB155" s="3" t="e">
        <v>#N/A</v>
      </c>
      <c r="CC155" s="3" t="e">
        <v>#N/A</v>
      </c>
      <c r="CD155" s="3" t="e">
        <v>#N/A</v>
      </c>
      <c r="CE155" s="3" t="e">
        <v>#N/A</v>
      </c>
      <c r="CF155" s="3" t="e">
        <v>#N/A</v>
      </c>
      <c r="CG155" s="3" t="e">
        <v>#N/A</v>
      </c>
      <c r="CH155" s="3">
        <v>5.18</v>
      </c>
      <c r="CI155" s="3">
        <v>5</v>
      </c>
      <c r="CJ155" s="3">
        <v>4.79</v>
      </c>
      <c r="CK155" s="3">
        <v>4.63</v>
      </c>
      <c r="CL155" s="3">
        <v>4.5</v>
      </c>
      <c r="CM155" s="3">
        <v>4.38</v>
      </c>
      <c r="CN155" s="3">
        <v>4.26</v>
      </c>
      <c r="CO155" s="3">
        <v>4.13</v>
      </c>
      <c r="CP155" s="3">
        <v>4.0199999999999996</v>
      </c>
      <c r="CQ155" s="3">
        <v>3.92</v>
      </c>
      <c r="CR155" s="3">
        <v>3.83</v>
      </c>
      <c r="CS155" s="3">
        <v>3.76</v>
      </c>
      <c r="CT155" s="3">
        <v>3.7</v>
      </c>
      <c r="CU155" s="3">
        <v>3.65</v>
      </c>
    </row>
    <row r="156" spans="1:102" x14ac:dyDescent="0.35">
      <c r="B156" s="4">
        <v>45505</v>
      </c>
      <c r="C156" s="5" t="s">
        <v>1149</v>
      </c>
      <c r="D156" t="s">
        <v>1154</v>
      </c>
      <c r="E156" t="s">
        <v>700</v>
      </c>
      <c r="F156" t="s">
        <v>1140</v>
      </c>
      <c r="G156" t="s">
        <v>1009</v>
      </c>
      <c r="H156" t="s">
        <v>1150</v>
      </c>
      <c r="I156" s="3" t="e">
        <v>#N/A</v>
      </c>
      <c r="J156" s="3" t="e">
        <v>#N/A</v>
      </c>
      <c r="K156" s="3" t="e">
        <v>#N/A</v>
      </c>
      <c r="L156" s="3" t="e">
        <v>#N/A</v>
      </c>
      <c r="M156" s="3" t="e">
        <v>#N/A</v>
      </c>
      <c r="N156" s="3" t="e">
        <v>#N/A</v>
      </c>
      <c r="O156" s="3" t="e">
        <v>#N/A</v>
      </c>
      <c r="P156" s="3" t="e">
        <v>#N/A</v>
      </c>
      <c r="Q156" s="3" t="e">
        <v>#N/A</v>
      </c>
      <c r="R156" s="3" t="e">
        <v>#N/A</v>
      </c>
      <c r="S156" s="3" t="e">
        <v>#N/A</v>
      </c>
      <c r="T156" s="3" t="e">
        <v>#N/A</v>
      </c>
      <c r="U156" s="3" t="e">
        <v>#N/A</v>
      </c>
      <c r="V156" s="3" t="e">
        <v>#N/A</v>
      </c>
      <c r="W156" s="3" t="e">
        <v>#N/A</v>
      </c>
      <c r="X156" s="3" t="e">
        <v>#N/A</v>
      </c>
      <c r="Y156" s="3" t="e">
        <v>#N/A</v>
      </c>
      <c r="Z156" s="3" t="e">
        <v>#N/A</v>
      </c>
      <c r="AA156" s="3" t="e">
        <v>#N/A</v>
      </c>
      <c r="AB156" s="3" t="e">
        <v>#N/A</v>
      </c>
      <c r="AC156" s="3" t="e">
        <v>#N/A</v>
      </c>
      <c r="AD156" s="3" t="e">
        <v>#N/A</v>
      </c>
      <c r="AE156" s="3" t="e">
        <v>#N/A</v>
      </c>
      <c r="AF156" s="3" t="e">
        <v>#N/A</v>
      </c>
      <c r="AG156" s="3" t="e">
        <v>#N/A</v>
      </c>
      <c r="AH156" s="3" t="e">
        <v>#N/A</v>
      </c>
      <c r="AI156" s="3" t="e">
        <v>#N/A</v>
      </c>
      <c r="AJ156" s="3" t="e">
        <v>#N/A</v>
      </c>
      <c r="AK156" s="3" t="e">
        <v>#N/A</v>
      </c>
      <c r="AL156" s="3" t="e">
        <v>#N/A</v>
      </c>
      <c r="AM156" s="3" t="e">
        <v>#N/A</v>
      </c>
      <c r="AN156" s="3" t="e">
        <v>#N/A</v>
      </c>
      <c r="AO156" s="3" t="e">
        <v>#N/A</v>
      </c>
      <c r="AP156" s="3" t="e">
        <v>#N/A</v>
      </c>
      <c r="AQ156" s="3" t="e">
        <v>#N/A</v>
      </c>
      <c r="AR156" s="3" t="e">
        <v>#N/A</v>
      </c>
      <c r="AS156" s="3" t="e">
        <v>#N/A</v>
      </c>
      <c r="AT156" s="3" t="e">
        <v>#N/A</v>
      </c>
      <c r="AU156" s="3" t="e">
        <v>#N/A</v>
      </c>
      <c r="AV156" s="3" t="e">
        <v>#N/A</v>
      </c>
      <c r="AW156" s="3" t="e">
        <v>#N/A</v>
      </c>
      <c r="AX156" s="3" t="e">
        <v>#N/A</v>
      </c>
      <c r="AY156" s="3" t="e">
        <v>#N/A</v>
      </c>
      <c r="AZ156" s="3" t="e">
        <v>#N/A</v>
      </c>
      <c r="BA156" s="3" t="e">
        <v>#N/A</v>
      </c>
      <c r="BB156" s="3" t="e">
        <v>#N/A</v>
      </c>
      <c r="BC156" s="3" t="e">
        <v>#N/A</v>
      </c>
      <c r="BD156" s="3" t="e">
        <v>#N/A</v>
      </c>
      <c r="BE156" s="3" t="e">
        <v>#N/A</v>
      </c>
      <c r="BF156" s="3" t="e">
        <v>#N/A</v>
      </c>
      <c r="BG156" s="3" t="e">
        <v>#N/A</v>
      </c>
      <c r="BH156" s="3" t="e">
        <v>#N/A</v>
      </c>
      <c r="BI156" s="3" t="e">
        <v>#N/A</v>
      </c>
      <c r="BJ156" s="3" t="e">
        <v>#N/A</v>
      </c>
      <c r="BK156" s="3" t="e">
        <v>#N/A</v>
      </c>
      <c r="BL156" s="3" t="e">
        <v>#N/A</v>
      </c>
      <c r="BM156" s="3" t="e">
        <v>#N/A</v>
      </c>
      <c r="BN156" s="3" t="e">
        <v>#N/A</v>
      </c>
      <c r="BO156" s="3" t="e">
        <v>#N/A</v>
      </c>
      <c r="BP156" s="3" t="e">
        <v>#N/A</v>
      </c>
      <c r="BQ156" s="3" t="e">
        <v>#N/A</v>
      </c>
      <c r="BR156" s="3" t="e">
        <v>#N/A</v>
      </c>
      <c r="BS156" s="3" t="e">
        <v>#N/A</v>
      </c>
      <c r="BT156" s="3" t="e">
        <v>#N/A</v>
      </c>
      <c r="BU156" s="3" t="e">
        <v>#N/A</v>
      </c>
      <c r="BV156" s="3" t="e">
        <v>#N/A</v>
      </c>
      <c r="BW156" s="3" t="e">
        <v>#N/A</v>
      </c>
      <c r="BX156" s="3" t="e">
        <v>#N/A</v>
      </c>
      <c r="BY156" s="3" t="e">
        <v>#N/A</v>
      </c>
      <c r="BZ156" s="3" t="e">
        <v>#N/A</v>
      </c>
      <c r="CA156" s="3" t="e">
        <v>#N/A</v>
      </c>
      <c r="CB156" s="3" t="e">
        <v>#N/A</v>
      </c>
      <c r="CC156" s="3" t="e">
        <v>#N/A</v>
      </c>
      <c r="CD156" s="3" t="e">
        <v>#N/A</v>
      </c>
      <c r="CE156" s="3" t="e">
        <v>#N/A</v>
      </c>
      <c r="CF156" s="3" t="e">
        <v>#N/A</v>
      </c>
      <c r="CG156" s="3" t="e">
        <v>#N/A</v>
      </c>
      <c r="CH156" s="3" t="e">
        <v>#N/A</v>
      </c>
      <c r="CI156" s="3">
        <v>5.0999999999999996</v>
      </c>
      <c r="CJ156" s="3">
        <v>4.87</v>
      </c>
      <c r="CK156" s="3">
        <v>4.62</v>
      </c>
      <c r="CL156" s="3">
        <v>4.4000000000000004</v>
      </c>
      <c r="CM156" s="3">
        <v>4.2300000000000004</v>
      </c>
      <c r="CN156" s="3">
        <v>4.09</v>
      </c>
      <c r="CO156" s="3">
        <v>3.97</v>
      </c>
      <c r="CP156" s="3">
        <v>3.86</v>
      </c>
      <c r="CQ156" s="3">
        <v>3.75</v>
      </c>
      <c r="CR156" s="3">
        <v>3.67</v>
      </c>
      <c r="CS156" s="3">
        <v>3.6</v>
      </c>
      <c r="CT156" s="3">
        <v>3.54</v>
      </c>
      <c r="CU156" s="3">
        <v>3.5</v>
      </c>
      <c r="CV156" s="3">
        <v>3.47</v>
      </c>
    </row>
    <row r="157" spans="1:102" x14ac:dyDescent="0.35">
      <c r="B157" s="4">
        <v>45597</v>
      </c>
      <c r="C157" s="5" t="s">
        <v>1181</v>
      </c>
      <c r="D157" t="s">
        <v>1193</v>
      </c>
      <c r="E157" t="s">
        <v>811</v>
      </c>
      <c r="F157" t="s">
        <v>1175</v>
      </c>
      <c r="G157" t="s">
        <v>1009</v>
      </c>
      <c r="H157" t="s">
        <v>1182</v>
      </c>
      <c r="I157" s="3" t="e">
        <v>#N/A</v>
      </c>
      <c r="J157" s="3" t="e">
        <v>#N/A</v>
      </c>
      <c r="K157" s="3" t="e">
        <v>#N/A</v>
      </c>
      <c r="L157" s="3" t="e">
        <v>#N/A</v>
      </c>
      <c r="M157" s="3" t="e">
        <v>#N/A</v>
      </c>
      <c r="N157" s="3" t="e">
        <v>#N/A</v>
      </c>
      <c r="O157" s="3" t="e">
        <v>#N/A</v>
      </c>
      <c r="P157" s="3" t="e">
        <v>#N/A</v>
      </c>
      <c r="Q157" s="3" t="e">
        <v>#N/A</v>
      </c>
      <c r="R157" s="3" t="e">
        <v>#N/A</v>
      </c>
      <c r="S157" s="3" t="e">
        <v>#N/A</v>
      </c>
      <c r="T157" s="3" t="e">
        <v>#N/A</v>
      </c>
      <c r="U157" s="3" t="e">
        <v>#N/A</v>
      </c>
      <c r="V157" s="3" t="e">
        <v>#N/A</v>
      </c>
      <c r="W157" s="3" t="e">
        <v>#N/A</v>
      </c>
      <c r="X157" s="3" t="e">
        <v>#N/A</v>
      </c>
      <c r="Y157" s="3" t="e">
        <v>#N/A</v>
      </c>
      <c r="Z157" s="3" t="e">
        <v>#N/A</v>
      </c>
      <c r="AA157" s="3" t="e">
        <v>#N/A</v>
      </c>
      <c r="AB157" s="3" t="e">
        <v>#N/A</v>
      </c>
      <c r="AC157" s="3" t="e">
        <v>#N/A</v>
      </c>
      <c r="AD157" s="3" t="e">
        <v>#N/A</v>
      </c>
      <c r="AE157" s="3" t="e">
        <v>#N/A</v>
      </c>
      <c r="AF157" s="3" t="e">
        <v>#N/A</v>
      </c>
      <c r="AG157" s="3" t="e">
        <v>#N/A</v>
      </c>
      <c r="AH157" s="3" t="e">
        <v>#N/A</v>
      </c>
      <c r="AI157" s="3" t="e">
        <v>#N/A</v>
      </c>
      <c r="AJ157" s="3" t="e">
        <v>#N/A</v>
      </c>
      <c r="AK157" s="3" t="e">
        <v>#N/A</v>
      </c>
      <c r="AL157" s="3" t="e">
        <v>#N/A</v>
      </c>
      <c r="AM157" s="3" t="e">
        <v>#N/A</v>
      </c>
      <c r="AN157" s="3" t="e">
        <v>#N/A</v>
      </c>
      <c r="AO157" s="3" t="e">
        <v>#N/A</v>
      </c>
      <c r="AP157" s="3" t="e">
        <v>#N/A</v>
      </c>
      <c r="AQ157" s="3" t="e">
        <v>#N/A</v>
      </c>
      <c r="AR157" s="3" t="e">
        <v>#N/A</v>
      </c>
      <c r="AS157" s="3" t="e">
        <v>#N/A</v>
      </c>
      <c r="AT157" s="3" t="e">
        <v>#N/A</v>
      </c>
      <c r="AU157" s="3" t="e">
        <v>#N/A</v>
      </c>
      <c r="AV157" s="3" t="e">
        <v>#N/A</v>
      </c>
      <c r="AW157" s="3" t="e">
        <v>#N/A</v>
      </c>
      <c r="AX157" s="3" t="e">
        <v>#N/A</v>
      </c>
      <c r="AY157" s="3" t="e">
        <v>#N/A</v>
      </c>
      <c r="AZ157" s="3" t="e">
        <v>#N/A</v>
      </c>
      <c r="BA157" s="3" t="e">
        <v>#N/A</v>
      </c>
      <c r="BB157" s="3" t="e">
        <v>#N/A</v>
      </c>
      <c r="BC157" s="3" t="e">
        <v>#N/A</v>
      </c>
      <c r="BD157" s="3" t="e">
        <v>#N/A</v>
      </c>
      <c r="BE157" s="3" t="e">
        <v>#N/A</v>
      </c>
      <c r="BF157" s="3" t="e">
        <v>#N/A</v>
      </c>
      <c r="BG157" s="3" t="e">
        <v>#N/A</v>
      </c>
      <c r="BH157" s="3" t="e">
        <v>#N/A</v>
      </c>
      <c r="BI157" s="3" t="e">
        <v>#N/A</v>
      </c>
      <c r="BJ157" s="3" t="e">
        <v>#N/A</v>
      </c>
      <c r="BK157" s="3" t="e">
        <v>#N/A</v>
      </c>
      <c r="BL157" s="3" t="e">
        <v>#N/A</v>
      </c>
      <c r="BM157" s="3" t="e">
        <v>#N/A</v>
      </c>
      <c r="BN157" s="3" t="e">
        <v>#N/A</v>
      </c>
      <c r="BO157" s="3" t="e">
        <v>#N/A</v>
      </c>
      <c r="BP157" s="3" t="e">
        <v>#N/A</v>
      </c>
      <c r="BQ157" s="3" t="e">
        <v>#N/A</v>
      </c>
      <c r="BR157" s="3" t="e">
        <v>#N/A</v>
      </c>
      <c r="BS157" s="3" t="e">
        <v>#N/A</v>
      </c>
      <c r="BT157" s="3" t="e">
        <v>#N/A</v>
      </c>
      <c r="BU157" s="3" t="e">
        <v>#N/A</v>
      </c>
      <c r="BV157" s="3" t="e">
        <v>#N/A</v>
      </c>
      <c r="BW157" s="3" t="e">
        <v>#N/A</v>
      </c>
      <c r="BX157" s="3" t="e">
        <v>#N/A</v>
      </c>
      <c r="BY157" s="3" t="e">
        <v>#N/A</v>
      </c>
      <c r="BZ157" s="3" t="e">
        <v>#N/A</v>
      </c>
      <c r="CA157" s="3" t="e">
        <v>#N/A</v>
      </c>
      <c r="CB157" s="3" t="e">
        <v>#N/A</v>
      </c>
      <c r="CC157" s="3" t="e">
        <v>#N/A</v>
      </c>
      <c r="CD157" s="3" t="e">
        <v>#N/A</v>
      </c>
      <c r="CE157" s="3" t="e">
        <v>#N/A</v>
      </c>
      <c r="CF157" s="3" t="e">
        <v>#N/A</v>
      </c>
      <c r="CG157" s="3" t="e">
        <v>#N/A</v>
      </c>
      <c r="CH157" s="3" t="e">
        <v>#N/A</v>
      </c>
      <c r="CI157" s="3" t="e">
        <v>#N/A</v>
      </c>
      <c r="CJ157" s="3">
        <v>4.78</v>
      </c>
      <c r="CK157" s="3">
        <v>4.3899999999999997</v>
      </c>
      <c r="CL157" s="3">
        <v>4.03</v>
      </c>
      <c r="CM157" s="3">
        <v>3.81</v>
      </c>
      <c r="CN157" s="3">
        <v>3.72</v>
      </c>
      <c r="CO157" s="3">
        <v>3.69</v>
      </c>
      <c r="CP157" s="3">
        <v>3.68</v>
      </c>
      <c r="CQ157" s="3">
        <v>3.67</v>
      </c>
      <c r="CR157" s="3">
        <v>3.66</v>
      </c>
      <c r="CS157" s="3">
        <v>3.64</v>
      </c>
      <c r="CT157" s="3">
        <v>3.63</v>
      </c>
      <c r="CU157" s="3">
        <v>3.62</v>
      </c>
      <c r="CV157" s="3">
        <v>3.6</v>
      </c>
      <c r="CW157" s="3">
        <v>3.6</v>
      </c>
    </row>
    <row r="158" spans="1:102" x14ac:dyDescent="0.35">
      <c r="B158" s="4">
        <v>45689</v>
      </c>
      <c r="C158" s="5" t="s">
        <v>109</v>
      </c>
      <c r="D158" t="s">
        <v>961</v>
      </c>
      <c r="E158" t="s">
        <v>831</v>
      </c>
      <c r="F158" t="s">
        <v>1219</v>
      </c>
      <c r="G158" t="s">
        <v>481</v>
      </c>
      <c r="H158" t="s">
        <v>1218</v>
      </c>
      <c r="I158" s="3" t="e">
        <v>#N/A</v>
      </c>
      <c r="J158" s="3" t="e">
        <v>#N/A</v>
      </c>
      <c r="K158" s="3" t="e">
        <v>#N/A</v>
      </c>
      <c r="L158" s="3" t="e">
        <v>#N/A</v>
      </c>
      <c r="M158" s="3" t="e">
        <v>#N/A</v>
      </c>
      <c r="N158" s="3" t="e">
        <v>#N/A</v>
      </c>
      <c r="O158" s="3" t="e">
        <v>#N/A</v>
      </c>
      <c r="P158" s="3" t="e">
        <v>#N/A</v>
      </c>
      <c r="Q158" s="3" t="e">
        <v>#N/A</v>
      </c>
      <c r="R158" s="3" t="e">
        <v>#N/A</v>
      </c>
      <c r="S158" s="3" t="e">
        <v>#N/A</v>
      </c>
      <c r="T158" s="3" t="e">
        <v>#N/A</v>
      </c>
      <c r="U158" s="3" t="e">
        <v>#N/A</v>
      </c>
      <c r="V158" s="3" t="e">
        <v>#N/A</v>
      </c>
      <c r="W158" s="3" t="e">
        <v>#N/A</v>
      </c>
      <c r="X158" s="3" t="e">
        <v>#N/A</v>
      </c>
      <c r="Y158" s="3" t="e">
        <v>#N/A</v>
      </c>
      <c r="Z158" s="3" t="e">
        <v>#N/A</v>
      </c>
      <c r="AA158" s="3" t="e">
        <v>#N/A</v>
      </c>
      <c r="AB158" s="3" t="e">
        <v>#N/A</v>
      </c>
      <c r="AC158" s="3" t="e">
        <v>#N/A</v>
      </c>
      <c r="AD158" s="3" t="e">
        <v>#N/A</v>
      </c>
      <c r="AE158" s="3" t="e">
        <v>#N/A</v>
      </c>
      <c r="AF158" s="3" t="e">
        <v>#N/A</v>
      </c>
      <c r="AG158" s="3" t="e">
        <v>#N/A</v>
      </c>
      <c r="AH158" s="3" t="e">
        <v>#N/A</v>
      </c>
      <c r="AI158" s="3" t="e">
        <v>#N/A</v>
      </c>
      <c r="AJ158" s="3" t="e">
        <v>#N/A</v>
      </c>
      <c r="AK158" s="3" t="e">
        <v>#N/A</v>
      </c>
      <c r="AL158" s="3" t="e">
        <v>#N/A</v>
      </c>
      <c r="AM158" s="3" t="e">
        <v>#N/A</v>
      </c>
      <c r="AN158" s="3" t="e">
        <v>#N/A</v>
      </c>
      <c r="AO158" s="3" t="e">
        <v>#N/A</v>
      </c>
      <c r="AP158" s="3" t="e">
        <v>#N/A</v>
      </c>
      <c r="AQ158" s="3" t="e">
        <v>#N/A</v>
      </c>
      <c r="AR158" s="3" t="e">
        <v>#N/A</v>
      </c>
      <c r="AS158" s="3" t="e">
        <v>#N/A</v>
      </c>
      <c r="AT158" s="3" t="e">
        <v>#N/A</v>
      </c>
      <c r="AU158" s="3" t="e">
        <v>#N/A</v>
      </c>
      <c r="AV158" s="3" t="e">
        <v>#N/A</v>
      </c>
      <c r="AW158" s="3" t="e">
        <v>#N/A</v>
      </c>
      <c r="AX158" s="3" t="e">
        <v>#N/A</v>
      </c>
      <c r="AY158" s="3" t="e">
        <v>#N/A</v>
      </c>
      <c r="AZ158" s="3" t="e">
        <v>#N/A</v>
      </c>
      <c r="BA158" s="3" t="e">
        <v>#N/A</v>
      </c>
      <c r="BB158" s="3" t="e">
        <v>#N/A</v>
      </c>
      <c r="BC158" s="3" t="e">
        <v>#N/A</v>
      </c>
      <c r="BD158" s="3" t="e">
        <v>#N/A</v>
      </c>
      <c r="BE158" s="3" t="e">
        <v>#N/A</v>
      </c>
      <c r="BF158" s="3" t="e">
        <v>#N/A</v>
      </c>
      <c r="BG158" s="3" t="e">
        <v>#N/A</v>
      </c>
      <c r="BH158" s="3" t="e">
        <v>#N/A</v>
      </c>
      <c r="BI158" s="3" t="e">
        <v>#N/A</v>
      </c>
      <c r="BJ158" s="3" t="e">
        <v>#N/A</v>
      </c>
      <c r="BK158" s="3" t="e">
        <v>#N/A</v>
      </c>
      <c r="BL158" s="3" t="e">
        <v>#N/A</v>
      </c>
      <c r="BM158" s="3" t="e">
        <v>#N/A</v>
      </c>
      <c r="BN158" s="3" t="e">
        <v>#N/A</v>
      </c>
      <c r="BO158" s="3" t="e">
        <v>#N/A</v>
      </c>
      <c r="BP158" s="3" t="e">
        <v>#N/A</v>
      </c>
      <c r="BQ158" s="3" t="e">
        <v>#N/A</v>
      </c>
      <c r="BR158" s="3" t="e">
        <v>#N/A</v>
      </c>
      <c r="BS158" s="3" t="e">
        <v>#N/A</v>
      </c>
      <c r="BT158" s="3" t="e">
        <v>#N/A</v>
      </c>
      <c r="BU158" s="3" t="e">
        <v>#N/A</v>
      </c>
      <c r="BV158" s="3" t="e">
        <v>#N/A</v>
      </c>
      <c r="BW158" s="3" t="e">
        <v>#N/A</v>
      </c>
      <c r="BX158" s="3" t="e">
        <v>#N/A</v>
      </c>
      <c r="BY158" s="3" t="e">
        <v>#N/A</v>
      </c>
      <c r="BZ158" s="3" t="e">
        <v>#N/A</v>
      </c>
      <c r="CA158" s="3" t="e">
        <v>#N/A</v>
      </c>
      <c r="CB158" s="3" t="e">
        <v>#N/A</v>
      </c>
      <c r="CC158" s="3" t="e">
        <v>#N/A</v>
      </c>
      <c r="CD158" s="3" t="e">
        <v>#N/A</v>
      </c>
      <c r="CE158" s="3" t="e">
        <v>#N/A</v>
      </c>
      <c r="CF158" s="3" t="e">
        <v>#N/A</v>
      </c>
      <c r="CG158" s="3" t="e">
        <v>#N/A</v>
      </c>
      <c r="CH158" s="3" t="e">
        <v>#N/A</v>
      </c>
      <c r="CI158" s="3" t="e">
        <v>#N/A</v>
      </c>
      <c r="CJ158" s="3" t="e">
        <v>#N/A</v>
      </c>
      <c r="CK158" s="3">
        <v>4.55</v>
      </c>
      <c r="CL158" s="3">
        <v>4.37</v>
      </c>
      <c r="CM158" s="3">
        <v>4.2300000000000004</v>
      </c>
      <c r="CN158" s="3">
        <v>4.16</v>
      </c>
      <c r="CO158" s="3">
        <v>4.1500000000000004</v>
      </c>
      <c r="CP158" s="3">
        <v>4.1500000000000004</v>
      </c>
      <c r="CQ158" s="3">
        <v>4.13</v>
      </c>
      <c r="CR158" s="3">
        <v>4.1100000000000003</v>
      </c>
      <c r="CS158" s="3">
        <v>4.08</v>
      </c>
      <c r="CT158" s="3">
        <v>4.0599999999999996</v>
      </c>
      <c r="CU158" s="3">
        <v>4.03</v>
      </c>
      <c r="CV158" s="3">
        <v>4.01</v>
      </c>
      <c r="CW158" s="3">
        <v>3.99</v>
      </c>
      <c r="CX158" s="3">
        <v>3.98</v>
      </c>
    </row>
    <row r="159" spans="1:102" x14ac:dyDescent="0.35">
      <c r="A159" t="s">
        <v>863</v>
      </c>
      <c r="C159" s="5" t="s">
        <v>864</v>
      </c>
      <c r="D159" t="s">
        <v>1176</v>
      </c>
      <c r="E159" t="s">
        <v>831</v>
      </c>
      <c r="F159" t="s">
        <v>1175</v>
      </c>
      <c r="G159" t="s">
        <v>481</v>
      </c>
      <c r="H159" t="s">
        <v>1217</v>
      </c>
      <c r="I159" s="3" t="e">
        <v>#N/A</v>
      </c>
      <c r="J159" s="3" t="e">
        <v>#N/A</v>
      </c>
      <c r="K159" s="3" t="e">
        <v>#N/A</v>
      </c>
      <c r="L159" s="3" t="e">
        <v>#N/A</v>
      </c>
      <c r="M159" s="3" t="e">
        <v>#N/A</v>
      </c>
      <c r="N159" s="3" t="e">
        <v>#N/A</v>
      </c>
      <c r="O159" s="3" t="e">
        <v>#N/A</v>
      </c>
      <c r="P159" s="3" t="e">
        <v>#N/A</v>
      </c>
      <c r="Q159" s="3" t="e">
        <v>#N/A</v>
      </c>
      <c r="R159" s="3" t="e">
        <v>#N/A</v>
      </c>
      <c r="S159" s="3" t="e">
        <v>#N/A</v>
      </c>
      <c r="T159" s="3" t="e">
        <v>#N/A</v>
      </c>
      <c r="U159" s="3" t="e">
        <v>#N/A</v>
      </c>
      <c r="V159" s="3" t="e">
        <v>#N/A</v>
      </c>
      <c r="W159" s="3" t="e">
        <v>#N/A</v>
      </c>
      <c r="X159" s="3" t="e">
        <v>#N/A</v>
      </c>
      <c r="Y159" s="3" t="e">
        <v>#N/A</v>
      </c>
      <c r="Z159" s="3" t="e">
        <v>#N/A</v>
      </c>
      <c r="AA159" s="3" t="e">
        <v>#N/A</v>
      </c>
      <c r="AB159" s="3" t="e">
        <v>#N/A</v>
      </c>
      <c r="AC159" s="3" t="e">
        <v>#N/A</v>
      </c>
      <c r="AD159" s="3" t="e">
        <v>#N/A</v>
      </c>
      <c r="AE159" s="3" t="e">
        <v>#N/A</v>
      </c>
      <c r="AF159" s="3" t="e">
        <v>#N/A</v>
      </c>
      <c r="AG159" s="3" t="e">
        <v>#N/A</v>
      </c>
      <c r="AH159" s="3" t="e">
        <v>#N/A</v>
      </c>
      <c r="AI159" s="3" t="e">
        <v>#N/A</v>
      </c>
      <c r="AJ159" s="3" t="e">
        <v>#N/A</v>
      </c>
      <c r="AK159" s="3" t="e">
        <v>#N/A</v>
      </c>
      <c r="AL159" s="3" t="e">
        <v>#N/A</v>
      </c>
      <c r="AM159" s="3" t="e">
        <v>#N/A</v>
      </c>
      <c r="AN159" s="3" t="e">
        <v>#N/A</v>
      </c>
      <c r="AO159" s="3" t="e">
        <v>#N/A</v>
      </c>
      <c r="AP159" s="3" t="e">
        <v>#N/A</v>
      </c>
      <c r="AQ159" s="3" t="e">
        <v>#N/A</v>
      </c>
      <c r="AR159" s="3" t="e">
        <v>#N/A</v>
      </c>
      <c r="AS159" s="3" t="e">
        <v>#N/A</v>
      </c>
      <c r="AT159" s="3" t="e">
        <v>#N/A</v>
      </c>
      <c r="AU159" s="3" t="e">
        <v>#N/A</v>
      </c>
      <c r="AV159" s="3" t="e">
        <v>#N/A</v>
      </c>
      <c r="AW159" s="3" t="e">
        <v>#N/A</v>
      </c>
      <c r="AX159" s="3" t="e">
        <v>#N/A</v>
      </c>
      <c r="AY159" s="3" t="e">
        <v>#N/A</v>
      </c>
      <c r="AZ159" s="3" t="e">
        <v>#N/A</v>
      </c>
      <c r="BA159" s="3" t="e">
        <v>#N/A</v>
      </c>
      <c r="BB159" s="3" t="e">
        <v>#N/A</v>
      </c>
      <c r="BC159" s="3" t="e">
        <v>#N/A</v>
      </c>
      <c r="BD159" s="3" t="e">
        <v>#N/A</v>
      </c>
      <c r="BE159" s="3" t="e">
        <v>#N/A</v>
      </c>
      <c r="BF159" s="3" t="e">
        <v>#N/A</v>
      </c>
      <c r="BG159" s="3" t="e">
        <v>#N/A</v>
      </c>
      <c r="BH159" s="3" t="e">
        <v>#N/A</v>
      </c>
      <c r="BI159" s="3" t="e">
        <v>#N/A</v>
      </c>
      <c r="BJ159" s="3" t="e">
        <v>#N/A</v>
      </c>
      <c r="BK159" s="3" t="e">
        <v>#N/A</v>
      </c>
      <c r="BL159" s="3" t="e">
        <v>#N/A</v>
      </c>
      <c r="BM159" s="3" t="e">
        <v>#N/A</v>
      </c>
      <c r="BN159" s="3" t="e">
        <v>#N/A</v>
      </c>
      <c r="BO159" s="3" t="e">
        <v>#N/A</v>
      </c>
      <c r="BP159" s="3" t="e">
        <v>#N/A</v>
      </c>
      <c r="BQ159" s="3" t="e">
        <v>#N/A</v>
      </c>
      <c r="BR159" s="3" t="e">
        <v>#N/A</v>
      </c>
      <c r="BS159" s="3" t="e">
        <v>#N/A</v>
      </c>
      <c r="BT159" s="3" t="e">
        <v>#N/A</v>
      </c>
      <c r="BU159" s="3" t="e">
        <v>#N/A</v>
      </c>
      <c r="BV159" s="3" t="e">
        <v>#N/A</v>
      </c>
      <c r="BW159" s="3" t="e">
        <v>#N/A</v>
      </c>
      <c r="BX159" s="3" t="e">
        <v>#N/A</v>
      </c>
      <c r="BY159" s="3" t="e">
        <v>#N/A</v>
      </c>
      <c r="BZ159" s="3" t="e">
        <v>#N/A</v>
      </c>
      <c r="CA159" s="3" t="e">
        <v>#N/A</v>
      </c>
      <c r="CB159" s="3" t="e">
        <v>#N/A</v>
      </c>
      <c r="CC159" s="3" t="e">
        <v>#N/A</v>
      </c>
      <c r="CD159" s="3" t="e">
        <v>#N/A</v>
      </c>
      <c r="CE159" s="3" t="e">
        <v>#N/A</v>
      </c>
      <c r="CF159" s="3" t="e">
        <v>#N/A</v>
      </c>
      <c r="CG159" s="3" t="e">
        <v>#N/A</v>
      </c>
      <c r="CH159" s="3" t="e">
        <v>#N/A</v>
      </c>
      <c r="CI159" s="3" t="e">
        <v>#N/A</v>
      </c>
      <c r="CJ159" s="3" t="e">
        <v>#N/A</v>
      </c>
      <c r="CK159" s="3">
        <v>2.8</v>
      </c>
      <c r="CL159" s="3">
        <v>3.4</v>
      </c>
      <c r="CM159" s="3">
        <v>3.5</v>
      </c>
      <c r="CN159" s="3">
        <v>3.2</v>
      </c>
      <c r="CO159" s="3">
        <v>2.7</v>
      </c>
      <c r="CP159" s="3">
        <v>2.2999999999999998</v>
      </c>
      <c r="CQ159" s="3">
        <v>2.2999999999999998</v>
      </c>
      <c r="CR159" s="3">
        <v>2.1</v>
      </c>
      <c r="CS159" s="3">
        <v>2.1</v>
      </c>
      <c r="CT159" s="3">
        <v>1.9</v>
      </c>
      <c r="CU159" s="3">
        <v>1.9</v>
      </c>
      <c r="CV159" s="3">
        <v>1.8</v>
      </c>
      <c r="CW159" s="3">
        <v>1.7</v>
      </c>
    </row>
    <row r="160" spans="1:102" x14ac:dyDescent="0.35">
      <c r="A160" t="s">
        <v>1143</v>
      </c>
      <c r="C160" s="5" t="s">
        <v>1138</v>
      </c>
      <c r="D160" t="s">
        <v>1141</v>
      </c>
      <c r="E160" t="s">
        <v>831</v>
      </c>
      <c r="F160" t="s">
        <v>1175</v>
      </c>
      <c r="G160" t="s">
        <v>481</v>
      </c>
      <c r="H160" t="s">
        <v>1217</v>
      </c>
      <c r="I160" s="3" t="e">
        <v>#N/A</v>
      </c>
      <c r="J160" s="3" t="e">
        <v>#N/A</v>
      </c>
      <c r="K160" s="3" t="e">
        <v>#N/A</v>
      </c>
      <c r="L160" s="3" t="e">
        <v>#N/A</v>
      </c>
      <c r="M160" s="3" t="e">
        <v>#N/A</v>
      </c>
      <c r="N160" s="3" t="e">
        <v>#N/A</v>
      </c>
      <c r="O160" s="3" t="e">
        <v>#N/A</v>
      </c>
      <c r="P160" s="3" t="e">
        <v>#N/A</v>
      </c>
      <c r="Q160" s="3" t="e">
        <v>#N/A</v>
      </c>
      <c r="R160" s="3" t="e">
        <v>#N/A</v>
      </c>
      <c r="S160" s="3" t="e">
        <v>#N/A</v>
      </c>
      <c r="T160" s="3" t="e">
        <v>#N/A</v>
      </c>
      <c r="U160" s="3" t="e">
        <v>#N/A</v>
      </c>
      <c r="V160" s="3" t="e">
        <v>#N/A</v>
      </c>
      <c r="W160" s="3" t="e">
        <v>#N/A</v>
      </c>
      <c r="X160" s="3" t="e">
        <v>#N/A</v>
      </c>
      <c r="Y160" s="3" t="e">
        <v>#N/A</v>
      </c>
      <c r="Z160" s="3" t="e">
        <v>#N/A</v>
      </c>
      <c r="AA160" s="3" t="e">
        <v>#N/A</v>
      </c>
      <c r="AB160" s="3" t="e">
        <v>#N/A</v>
      </c>
      <c r="AC160" s="3" t="e">
        <v>#N/A</v>
      </c>
      <c r="AD160" s="3" t="e">
        <v>#N/A</v>
      </c>
      <c r="AE160" s="3" t="e">
        <v>#N/A</v>
      </c>
      <c r="AF160" s="3" t="e">
        <v>#N/A</v>
      </c>
      <c r="AG160" s="3" t="e">
        <v>#N/A</v>
      </c>
      <c r="AH160" s="3" t="e">
        <v>#N/A</v>
      </c>
      <c r="AI160" s="3" t="e">
        <v>#N/A</v>
      </c>
      <c r="AJ160" s="3" t="e">
        <v>#N/A</v>
      </c>
      <c r="AK160" s="3" t="e">
        <v>#N/A</v>
      </c>
      <c r="AL160" s="3" t="e">
        <v>#N/A</v>
      </c>
      <c r="AM160" s="3" t="e">
        <v>#N/A</v>
      </c>
      <c r="AN160" s="3" t="e">
        <v>#N/A</v>
      </c>
      <c r="AO160" s="3" t="e">
        <v>#N/A</v>
      </c>
      <c r="AP160" s="3" t="e">
        <v>#N/A</v>
      </c>
      <c r="AQ160" s="3" t="e">
        <v>#N/A</v>
      </c>
      <c r="AR160" s="3" t="e">
        <v>#N/A</v>
      </c>
      <c r="AS160" s="3" t="e">
        <v>#N/A</v>
      </c>
      <c r="AT160" s="3" t="e">
        <v>#N/A</v>
      </c>
      <c r="AU160" s="3" t="e">
        <v>#N/A</v>
      </c>
      <c r="AV160" s="3" t="e">
        <v>#N/A</v>
      </c>
      <c r="AW160" s="3" t="e">
        <v>#N/A</v>
      </c>
      <c r="AX160" s="3" t="e">
        <v>#N/A</v>
      </c>
      <c r="AY160" s="3" t="e">
        <v>#N/A</v>
      </c>
      <c r="AZ160" s="3" t="e">
        <v>#N/A</v>
      </c>
      <c r="BA160" s="3" t="e">
        <v>#N/A</v>
      </c>
      <c r="BB160" s="3" t="e">
        <v>#N/A</v>
      </c>
      <c r="BC160" s="3" t="e">
        <v>#N/A</v>
      </c>
      <c r="BD160" s="3" t="e">
        <v>#N/A</v>
      </c>
      <c r="BE160" s="3" t="e">
        <v>#N/A</v>
      </c>
      <c r="BF160" s="3" t="e">
        <v>#N/A</v>
      </c>
      <c r="BG160" s="3" t="e">
        <v>#N/A</v>
      </c>
      <c r="BH160" s="3" t="e">
        <v>#N/A</v>
      </c>
      <c r="BI160" s="3" t="e">
        <v>#N/A</v>
      </c>
      <c r="BJ160" s="3" t="e">
        <v>#N/A</v>
      </c>
      <c r="BK160" s="3" t="e">
        <v>#N/A</v>
      </c>
      <c r="BL160" s="3" t="e">
        <v>#N/A</v>
      </c>
      <c r="BM160" s="3" t="e">
        <v>#N/A</v>
      </c>
      <c r="BN160" s="3" t="e">
        <v>#N/A</v>
      </c>
      <c r="BO160" s="3" t="e">
        <v>#N/A</v>
      </c>
      <c r="BP160" s="3" t="e">
        <v>#N/A</v>
      </c>
      <c r="BQ160" s="3" t="e">
        <v>#N/A</v>
      </c>
      <c r="BR160" s="3" t="e">
        <v>#N/A</v>
      </c>
      <c r="BS160" s="3" t="e">
        <v>#N/A</v>
      </c>
      <c r="BT160" s="3" t="e">
        <v>#N/A</v>
      </c>
      <c r="BU160" s="3" t="e">
        <v>#N/A</v>
      </c>
      <c r="BV160" s="3" t="e">
        <v>#N/A</v>
      </c>
      <c r="BW160" s="3" t="e">
        <v>#N/A</v>
      </c>
      <c r="BX160" s="3" t="e">
        <v>#N/A</v>
      </c>
      <c r="BY160" s="3" t="e">
        <v>#N/A</v>
      </c>
      <c r="BZ160" s="3" t="e">
        <v>#N/A</v>
      </c>
      <c r="CA160" s="3" t="e">
        <v>#N/A</v>
      </c>
      <c r="CB160" s="3" t="e">
        <v>#N/A</v>
      </c>
      <c r="CC160" s="3" t="e">
        <v>#N/A</v>
      </c>
      <c r="CD160" s="3" t="e">
        <v>#N/A</v>
      </c>
      <c r="CE160" s="3" t="e">
        <v>#N/A</v>
      </c>
      <c r="CF160" s="3" t="e">
        <v>#N/A</v>
      </c>
      <c r="CG160" s="3" t="e">
        <v>#N/A</v>
      </c>
      <c r="CH160" s="3" t="e">
        <v>#N/A</v>
      </c>
      <c r="CI160" s="3" t="e">
        <v>#N/A</v>
      </c>
      <c r="CJ160" s="3" t="e">
        <v>#N/A</v>
      </c>
      <c r="CK160" s="3">
        <v>2.8</v>
      </c>
      <c r="CL160" s="3">
        <v>3.5</v>
      </c>
      <c r="CM160" s="3">
        <v>3.7</v>
      </c>
      <c r="CN160" s="3">
        <v>3.5</v>
      </c>
      <c r="CO160" s="3">
        <v>3</v>
      </c>
      <c r="CP160" s="3">
        <v>2.6</v>
      </c>
      <c r="CQ160" s="3">
        <v>2.6</v>
      </c>
      <c r="CR160" s="3">
        <v>2.4</v>
      </c>
      <c r="CS160" s="3">
        <v>2.2999999999999998</v>
      </c>
      <c r="CT160" s="3">
        <v>2.2000000000000002</v>
      </c>
      <c r="CU160" s="3">
        <v>2.1</v>
      </c>
      <c r="CV160" s="3">
        <v>2</v>
      </c>
      <c r="CW160" s="3">
        <v>1.9</v>
      </c>
    </row>
    <row r="161" spans="66:66" x14ac:dyDescent="0.35">
      <c r="BN161" s="14">
        <f>6.32*25120</f>
        <v>158758.39999999999</v>
      </c>
    </row>
    <row r="162" spans="66:66" x14ac:dyDescent="0.35">
      <c r="BN162" s="14">
        <f>5000/0.035</f>
        <v>142857.14285714284</v>
      </c>
    </row>
    <row r="163" spans="66:66" x14ac:dyDescent="0.35">
      <c r="BN163" s="14">
        <f>333120+BN162</f>
        <v>475977.14285714284</v>
      </c>
    </row>
    <row r="164" spans="66:66" x14ac:dyDescent="0.35">
      <c r="BN164" s="14">
        <f>BN163*0.042</f>
        <v>19991.04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DB95-9985-4224-AF9F-751480391A56}">
  <dimension ref="A1:E272"/>
  <sheetViews>
    <sheetView workbookViewId="0">
      <pane xSplit="1" ySplit="6" topLeftCell="B177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4.5" x14ac:dyDescent="0.35"/>
  <cols>
    <col min="1" max="1" width="14" bestFit="1" customWidth="1"/>
    <col min="2" max="5" width="20.7265625" customWidth="1"/>
  </cols>
  <sheetData>
    <row r="1" spans="1:5" x14ac:dyDescent="0.35">
      <c r="A1" s="18" t="s">
        <v>709</v>
      </c>
      <c r="B1" t="s">
        <v>705</v>
      </c>
      <c r="C1" t="s">
        <v>706</v>
      </c>
      <c r="D1" t="s">
        <v>707</v>
      </c>
      <c r="E1" t="s">
        <v>708</v>
      </c>
    </row>
    <row r="2" spans="1:5" s="19" customFormat="1" ht="72.5" x14ac:dyDescent="0.35">
      <c r="A2" s="19" t="s">
        <v>1</v>
      </c>
      <c r="B2" s="19" t="s">
        <v>714</v>
      </c>
      <c r="C2" s="19" t="s">
        <v>715</v>
      </c>
      <c r="D2" s="19" t="s">
        <v>717</v>
      </c>
      <c r="E2" s="19" t="s">
        <v>718</v>
      </c>
    </row>
    <row r="3" spans="1:5" x14ac:dyDescent="0.35">
      <c r="A3" t="s">
        <v>2</v>
      </c>
      <c r="B3" t="s">
        <v>713</v>
      </c>
      <c r="C3" t="s">
        <v>713</v>
      </c>
      <c r="D3" t="s">
        <v>716</v>
      </c>
      <c r="E3" t="s">
        <v>713</v>
      </c>
    </row>
    <row r="4" spans="1:5" x14ac:dyDescent="0.35">
      <c r="A4" t="s">
        <v>3</v>
      </c>
      <c r="B4" t="s">
        <v>1195</v>
      </c>
      <c r="C4" t="s">
        <v>1195</v>
      </c>
      <c r="D4" t="s">
        <v>1195</v>
      </c>
      <c r="E4" t="s">
        <v>1195</v>
      </c>
    </row>
    <row r="5" spans="1:5" x14ac:dyDescent="0.35">
      <c r="A5" t="s">
        <v>711</v>
      </c>
      <c r="B5" t="s">
        <v>712</v>
      </c>
      <c r="C5" t="s">
        <v>712</v>
      </c>
      <c r="D5" t="s">
        <v>712</v>
      </c>
      <c r="E5" t="s">
        <v>712</v>
      </c>
    </row>
    <row r="6" spans="1:5" x14ac:dyDescent="0.35">
      <c r="A6" t="s">
        <v>5</v>
      </c>
      <c r="B6" t="s">
        <v>1194</v>
      </c>
      <c r="C6" t="s">
        <v>1194</v>
      </c>
      <c r="D6" t="s">
        <v>1194</v>
      </c>
      <c r="E6" t="s">
        <v>1194</v>
      </c>
    </row>
    <row r="7" spans="1:5" x14ac:dyDescent="0.35">
      <c r="A7" t="s">
        <v>710</v>
      </c>
      <c r="B7" s="14">
        <v>444810</v>
      </c>
      <c r="C7" s="14">
        <v>434990</v>
      </c>
      <c r="D7" s="14">
        <v>9820</v>
      </c>
      <c r="E7" s="14">
        <v>0</v>
      </c>
    </row>
    <row r="8" spans="1:5" x14ac:dyDescent="0.35">
      <c r="A8" t="s">
        <v>719</v>
      </c>
      <c r="B8" s="14">
        <v>444810</v>
      </c>
      <c r="C8" s="14">
        <v>434990</v>
      </c>
      <c r="D8" s="14">
        <v>9820</v>
      </c>
      <c r="E8" s="14">
        <v>0</v>
      </c>
    </row>
    <row r="9" spans="1:5" x14ac:dyDescent="0.35">
      <c r="A9" t="s">
        <v>720</v>
      </c>
      <c r="B9" s="14">
        <v>444810</v>
      </c>
      <c r="C9" s="14">
        <v>434990</v>
      </c>
      <c r="D9" s="14">
        <v>9820</v>
      </c>
      <c r="E9" s="14">
        <v>0</v>
      </c>
    </row>
    <row r="10" spans="1:5" x14ac:dyDescent="0.35">
      <c r="A10" t="s">
        <v>721</v>
      </c>
      <c r="B10" s="14">
        <v>444810</v>
      </c>
      <c r="C10" s="14">
        <v>434990</v>
      </c>
      <c r="D10" s="14">
        <v>9820</v>
      </c>
      <c r="E10" s="14">
        <v>0</v>
      </c>
    </row>
    <row r="11" spans="1:5" x14ac:dyDescent="0.35">
      <c r="A11" t="s">
        <v>722</v>
      </c>
      <c r="B11" s="14">
        <v>444810</v>
      </c>
      <c r="C11" s="14">
        <v>434990</v>
      </c>
      <c r="D11" s="14">
        <v>9820</v>
      </c>
      <c r="E11" s="14">
        <v>0</v>
      </c>
    </row>
    <row r="12" spans="1:5" x14ac:dyDescent="0.35">
      <c r="A12" t="s">
        <v>723</v>
      </c>
      <c r="B12" s="14">
        <v>444810</v>
      </c>
      <c r="C12" s="14">
        <v>434990</v>
      </c>
      <c r="D12" s="14">
        <v>9820</v>
      </c>
      <c r="E12" s="14">
        <v>0</v>
      </c>
    </row>
    <row r="13" spans="1:5" x14ac:dyDescent="0.35">
      <c r="A13" t="s">
        <v>724</v>
      </c>
      <c r="B13" s="14">
        <v>444810</v>
      </c>
      <c r="C13" s="14">
        <v>434990</v>
      </c>
      <c r="D13" s="14">
        <v>9820</v>
      </c>
      <c r="E13" s="14">
        <v>0</v>
      </c>
    </row>
    <row r="14" spans="1:5" x14ac:dyDescent="0.35">
      <c r="A14" t="s">
        <v>725</v>
      </c>
      <c r="B14" s="14">
        <v>444810</v>
      </c>
      <c r="C14" s="14">
        <v>434990</v>
      </c>
      <c r="D14" s="14">
        <v>9820</v>
      </c>
      <c r="E14" s="14">
        <v>0</v>
      </c>
    </row>
    <row r="15" spans="1:5" x14ac:dyDescent="0.35">
      <c r="A15" t="s">
        <v>726</v>
      </c>
      <c r="B15" s="14">
        <v>444810</v>
      </c>
      <c r="C15" s="14">
        <v>434990</v>
      </c>
      <c r="D15" s="14">
        <v>9820</v>
      </c>
      <c r="E15" s="14">
        <v>0</v>
      </c>
    </row>
    <row r="16" spans="1:5" x14ac:dyDescent="0.35">
      <c r="A16" t="s">
        <v>727</v>
      </c>
      <c r="B16" s="14">
        <v>444810</v>
      </c>
      <c r="C16" s="14">
        <v>434990</v>
      </c>
      <c r="D16" s="14">
        <v>9820</v>
      </c>
      <c r="E16" s="14">
        <v>0</v>
      </c>
    </row>
    <row r="17" spans="1:5" x14ac:dyDescent="0.35">
      <c r="A17" t="s">
        <v>728</v>
      </c>
      <c r="B17" s="14">
        <v>444810</v>
      </c>
      <c r="C17" s="14">
        <v>420432</v>
      </c>
      <c r="D17" s="14">
        <v>9820</v>
      </c>
      <c r="E17" s="14">
        <v>0</v>
      </c>
    </row>
    <row r="18" spans="1:5" x14ac:dyDescent="0.35">
      <c r="A18" t="s">
        <v>729</v>
      </c>
      <c r="B18" s="14">
        <v>444810</v>
      </c>
      <c r="C18" s="14">
        <v>423344</v>
      </c>
      <c r="D18" s="14">
        <v>9820</v>
      </c>
      <c r="E18" s="14">
        <v>2912</v>
      </c>
    </row>
    <row r="19" spans="1:5" x14ac:dyDescent="0.35">
      <c r="A19" t="s">
        <v>730</v>
      </c>
      <c r="B19" s="14">
        <v>444810</v>
      </c>
      <c r="C19" s="14">
        <v>437999</v>
      </c>
      <c r="D19" s="14">
        <v>9820</v>
      </c>
      <c r="E19" s="14">
        <v>14655</v>
      </c>
    </row>
    <row r="20" spans="1:5" x14ac:dyDescent="0.35">
      <c r="A20" t="s">
        <v>731</v>
      </c>
      <c r="B20" s="14">
        <v>458278</v>
      </c>
      <c r="C20" s="14">
        <v>448498</v>
      </c>
      <c r="D20" s="14">
        <v>9780</v>
      </c>
      <c r="E20" s="14">
        <v>10499</v>
      </c>
    </row>
    <row r="21" spans="1:5" x14ac:dyDescent="0.35">
      <c r="A21" t="s">
        <v>732</v>
      </c>
      <c r="B21" s="14">
        <v>471777</v>
      </c>
      <c r="C21" s="14">
        <v>461998</v>
      </c>
      <c r="D21" s="14">
        <v>9780</v>
      </c>
      <c r="E21" s="14">
        <v>13499</v>
      </c>
    </row>
    <row r="22" spans="1:5" x14ac:dyDescent="0.35">
      <c r="A22" t="s">
        <v>733</v>
      </c>
      <c r="B22" s="14">
        <v>485972</v>
      </c>
      <c r="C22" s="14">
        <v>475497</v>
      </c>
      <c r="D22" s="14">
        <v>10476</v>
      </c>
      <c r="E22" s="14">
        <v>13499</v>
      </c>
    </row>
    <row r="23" spans="1:5" x14ac:dyDescent="0.35">
      <c r="A23" t="s">
        <v>734</v>
      </c>
      <c r="B23" s="14">
        <v>499951</v>
      </c>
      <c r="C23" s="14">
        <v>488996</v>
      </c>
      <c r="D23" s="14">
        <v>10956</v>
      </c>
      <c r="E23" s="14">
        <v>13499</v>
      </c>
    </row>
    <row r="24" spans="1:5" x14ac:dyDescent="0.35">
      <c r="A24" t="s">
        <v>735</v>
      </c>
      <c r="B24" s="14">
        <v>514273</v>
      </c>
      <c r="C24" s="14">
        <v>502495</v>
      </c>
      <c r="D24" s="14">
        <v>11778</v>
      </c>
      <c r="E24" s="14">
        <v>13499</v>
      </c>
    </row>
    <row r="25" spans="1:5" x14ac:dyDescent="0.35">
      <c r="A25" t="s">
        <v>736</v>
      </c>
      <c r="B25" s="14">
        <v>528289</v>
      </c>
      <c r="C25" s="14">
        <v>515994</v>
      </c>
      <c r="D25" s="14">
        <v>12295</v>
      </c>
      <c r="E25" s="14">
        <v>13499</v>
      </c>
    </row>
    <row r="26" spans="1:5" x14ac:dyDescent="0.35">
      <c r="A26" t="s">
        <v>737</v>
      </c>
      <c r="B26" s="14">
        <v>542446</v>
      </c>
      <c r="C26" s="14">
        <v>529493</v>
      </c>
      <c r="D26" s="14">
        <v>12953</v>
      </c>
      <c r="E26" s="14">
        <v>13499</v>
      </c>
    </row>
    <row r="27" spans="1:5" x14ac:dyDescent="0.35">
      <c r="A27" t="s">
        <v>738</v>
      </c>
      <c r="B27" s="14">
        <v>556800</v>
      </c>
      <c r="C27" s="14">
        <v>542992</v>
      </c>
      <c r="D27" s="14">
        <v>13808</v>
      </c>
      <c r="E27" s="14">
        <v>13499</v>
      </c>
    </row>
    <row r="28" spans="1:5" x14ac:dyDescent="0.35">
      <c r="A28" t="s">
        <v>739</v>
      </c>
      <c r="B28" s="14">
        <v>570817</v>
      </c>
      <c r="C28" s="14">
        <v>556491</v>
      </c>
      <c r="D28" s="14">
        <v>14326</v>
      </c>
      <c r="E28" s="14">
        <v>13499</v>
      </c>
    </row>
    <row r="29" spans="1:5" x14ac:dyDescent="0.35">
      <c r="A29" t="s">
        <v>740</v>
      </c>
      <c r="B29" s="14">
        <v>584527</v>
      </c>
      <c r="C29" s="14">
        <v>569990</v>
      </c>
      <c r="D29" s="14">
        <v>14537</v>
      </c>
      <c r="E29" s="14">
        <v>13499</v>
      </c>
    </row>
    <row r="30" spans="1:5" x14ac:dyDescent="0.35">
      <c r="A30" t="s">
        <v>741</v>
      </c>
      <c r="B30" s="14">
        <v>598490</v>
      </c>
      <c r="C30" s="14">
        <v>583489</v>
      </c>
      <c r="D30" s="14">
        <v>15000</v>
      </c>
      <c r="E30" s="14">
        <v>13499</v>
      </c>
    </row>
    <row r="31" spans="1:5" x14ac:dyDescent="0.35">
      <c r="A31" t="s">
        <v>742</v>
      </c>
      <c r="B31" s="14">
        <v>612509</v>
      </c>
      <c r="C31" s="14">
        <v>596989</v>
      </c>
      <c r="D31" s="14">
        <v>15520</v>
      </c>
      <c r="E31" s="14">
        <v>13500</v>
      </c>
    </row>
    <row r="32" spans="1:5" x14ac:dyDescent="0.35">
      <c r="A32" t="s">
        <v>743</v>
      </c>
      <c r="B32" s="14">
        <v>625359</v>
      </c>
      <c r="C32" s="14">
        <v>609441</v>
      </c>
      <c r="D32" s="14">
        <v>15919</v>
      </c>
      <c r="E32" s="14">
        <v>12452</v>
      </c>
    </row>
    <row r="33" spans="1:5" x14ac:dyDescent="0.35">
      <c r="A33" t="s">
        <v>744</v>
      </c>
      <c r="B33" s="14">
        <v>632712</v>
      </c>
      <c r="C33" s="14">
        <v>616346</v>
      </c>
      <c r="D33" s="14">
        <v>16365</v>
      </c>
      <c r="E33" s="14">
        <v>6905</v>
      </c>
    </row>
    <row r="34" spans="1:5" x14ac:dyDescent="0.35">
      <c r="A34" t="s">
        <v>745</v>
      </c>
      <c r="B34" s="14">
        <v>639833</v>
      </c>
      <c r="C34" s="14">
        <v>623252</v>
      </c>
      <c r="D34" s="14">
        <v>16581</v>
      </c>
      <c r="E34" s="14">
        <v>6905</v>
      </c>
    </row>
    <row r="35" spans="1:5" x14ac:dyDescent="0.35">
      <c r="A35" t="s">
        <v>746</v>
      </c>
      <c r="B35" s="14">
        <v>647009</v>
      </c>
      <c r="C35" s="14">
        <v>630157</v>
      </c>
      <c r="D35" s="14">
        <v>16853</v>
      </c>
      <c r="E35" s="14">
        <v>6905</v>
      </c>
    </row>
    <row r="36" spans="1:5" x14ac:dyDescent="0.35">
      <c r="A36" t="s">
        <v>747</v>
      </c>
      <c r="B36" s="14">
        <v>647946</v>
      </c>
      <c r="C36" s="14">
        <v>630685</v>
      </c>
      <c r="D36" s="14">
        <v>17261</v>
      </c>
      <c r="E36" s="14">
        <v>6906</v>
      </c>
    </row>
    <row r="37" spans="1:5" x14ac:dyDescent="0.35">
      <c r="A37" t="s">
        <v>748</v>
      </c>
      <c r="B37" s="14">
        <v>654978</v>
      </c>
      <c r="C37" s="14">
        <v>637591</v>
      </c>
      <c r="D37" s="14">
        <v>17387</v>
      </c>
      <c r="E37" s="14">
        <v>6906</v>
      </c>
    </row>
    <row r="38" spans="1:5" x14ac:dyDescent="0.35">
      <c r="A38" t="s">
        <v>749</v>
      </c>
      <c r="B38" s="14">
        <v>662102</v>
      </c>
      <c r="C38" s="14">
        <v>644496</v>
      </c>
      <c r="D38" s="14">
        <v>17607</v>
      </c>
      <c r="E38" s="14">
        <v>6905</v>
      </c>
    </row>
    <row r="39" spans="1:5" x14ac:dyDescent="0.35">
      <c r="A39" t="s">
        <v>750</v>
      </c>
      <c r="B39" s="14">
        <v>668652</v>
      </c>
      <c r="C39" s="14">
        <v>650894</v>
      </c>
      <c r="D39" s="14">
        <v>17757</v>
      </c>
      <c r="E39" s="14">
        <v>6399</v>
      </c>
    </row>
    <row r="40" spans="1:5" x14ac:dyDescent="0.35">
      <c r="A40" t="s">
        <v>751</v>
      </c>
      <c r="B40" s="14">
        <v>673230</v>
      </c>
      <c r="C40" s="14">
        <v>655313</v>
      </c>
      <c r="D40" s="14">
        <v>17917</v>
      </c>
      <c r="E40" s="14">
        <v>4419</v>
      </c>
    </row>
    <row r="41" spans="1:5" x14ac:dyDescent="0.35">
      <c r="A41" t="s">
        <v>752</v>
      </c>
      <c r="B41" s="14">
        <v>677807</v>
      </c>
      <c r="C41" s="14">
        <v>659732</v>
      </c>
      <c r="D41" s="14">
        <v>18075</v>
      </c>
      <c r="E41" s="14">
        <v>4419</v>
      </c>
    </row>
    <row r="42" spans="1:5" x14ac:dyDescent="0.35">
      <c r="A42" t="s">
        <v>753</v>
      </c>
      <c r="B42" s="14">
        <v>680895</v>
      </c>
      <c r="C42" s="14">
        <v>662678</v>
      </c>
      <c r="D42" s="14">
        <v>18218</v>
      </c>
      <c r="E42" s="14">
        <v>2946</v>
      </c>
    </row>
    <row r="43" spans="1:5" x14ac:dyDescent="0.35">
      <c r="A43" t="s">
        <v>754</v>
      </c>
      <c r="B43" s="14">
        <v>679954</v>
      </c>
      <c r="C43" s="14">
        <v>661602</v>
      </c>
      <c r="D43" s="14">
        <v>18352</v>
      </c>
      <c r="E43" s="14">
        <v>5892</v>
      </c>
    </row>
    <row r="44" spans="1:5" x14ac:dyDescent="0.35">
      <c r="A44" t="s">
        <v>755</v>
      </c>
      <c r="B44" s="14">
        <v>683516</v>
      </c>
      <c r="C44" s="14">
        <v>664548</v>
      </c>
      <c r="D44" s="14">
        <v>18969</v>
      </c>
      <c r="E44" s="14">
        <v>2946</v>
      </c>
    </row>
    <row r="45" spans="1:5" x14ac:dyDescent="0.35">
      <c r="A45" t="s">
        <v>756</v>
      </c>
      <c r="B45" s="14">
        <v>689641</v>
      </c>
      <c r="C45" s="14">
        <v>670439</v>
      </c>
      <c r="D45" s="14">
        <v>19202</v>
      </c>
      <c r="E45" s="14">
        <v>5892</v>
      </c>
    </row>
    <row r="46" spans="1:5" x14ac:dyDescent="0.35">
      <c r="A46" t="s">
        <v>757</v>
      </c>
      <c r="B46" s="14">
        <v>694561</v>
      </c>
      <c r="C46" s="14">
        <v>674858</v>
      </c>
      <c r="D46" s="14">
        <v>19703</v>
      </c>
      <c r="E46" s="14">
        <v>4419</v>
      </c>
    </row>
    <row r="47" spans="1:5" x14ac:dyDescent="0.35">
      <c r="A47" t="s">
        <v>758</v>
      </c>
      <c r="B47" s="14">
        <v>699340</v>
      </c>
      <c r="C47" s="14">
        <v>679277</v>
      </c>
      <c r="D47" s="14">
        <v>20063</v>
      </c>
      <c r="E47" s="14">
        <v>4419</v>
      </c>
    </row>
    <row r="48" spans="1:5" x14ac:dyDescent="0.35">
      <c r="A48" t="s">
        <v>759</v>
      </c>
      <c r="B48" s="14">
        <v>699340</v>
      </c>
      <c r="C48" s="14">
        <v>683695</v>
      </c>
      <c r="D48" s="14">
        <v>20063</v>
      </c>
      <c r="E48" s="14">
        <v>4419</v>
      </c>
    </row>
    <row r="49" spans="1:5" x14ac:dyDescent="0.35">
      <c r="A49" t="s">
        <v>760</v>
      </c>
      <c r="B49" s="14">
        <v>699340</v>
      </c>
      <c r="C49" s="14">
        <v>688114</v>
      </c>
      <c r="D49" s="14">
        <v>20063</v>
      </c>
      <c r="E49" s="14">
        <v>4419</v>
      </c>
    </row>
    <row r="50" spans="1:5" x14ac:dyDescent="0.35">
      <c r="A50" t="s">
        <v>761</v>
      </c>
      <c r="B50" s="14">
        <v>699340</v>
      </c>
      <c r="C50" s="14">
        <v>692533</v>
      </c>
      <c r="D50" s="14">
        <v>20063</v>
      </c>
      <c r="E50" s="14">
        <v>4419</v>
      </c>
    </row>
    <row r="51" spans="1:5" x14ac:dyDescent="0.35">
      <c r="A51" t="s">
        <v>762</v>
      </c>
      <c r="B51" s="14">
        <v>717011</v>
      </c>
      <c r="C51" s="14">
        <v>696952</v>
      </c>
      <c r="D51" s="14">
        <v>20059</v>
      </c>
      <c r="E51" s="14">
        <v>4419</v>
      </c>
    </row>
    <row r="52" spans="1:5" x14ac:dyDescent="0.35">
      <c r="A52" t="s">
        <v>763</v>
      </c>
      <c r="B52" s="14">
        <v>717011</v>
      </c>
      <c r="C52" s="14">
        <v>701371</v>
      </c>
      <c r="D52" s="14">
        <v>20059</v>
      </c>
      <c r="E52" s="14">
        <v>4419</v>
      </c>
    </row>
    <row r="53" spans="1:5" x14ac:dyDescent="0.35">
      <c r="A53" t="s">
        <v>764</v>
      </c>
      <c r="B53" s="14">
        <v>717011</v>
      </c>
      <c r="C53" s="14">
        <v>705790</v>
      </c>
      <c r="D53" s="14">
        <v>20059</v>
      </c>
      <c r="E53" s="14">
        <v>4419</v>
      </c>
    </row>
    <row r="54" spans="1:5" x14ac:dyDescent="0.35">
      <c r="A54" t="s">
        <v>765</v>
      </c>
      <c r="B54" s="14">
        <v>717011</v>
      </c>
      <c r="C54" s="14">
        <v>711681</v>
      </c>
      <c r="D54" s="14">
        <v>20059</v>
      </c>
      <c r="E54" s="14">
        <v>4419</v>
      </c>
    </row>
    <row r="55" spans="1:5" x14ac:dyDescent="0.35">
      <c r="A55" t="s">
        <v>766</v>
      </c>
      <c r="B55" s="14">
        <v>734612</v>
      </c>
      <c r="C55" s="14">
        <v>714627</v>
      </c>
      <c r="D55" s="14">
        <v>19984</v>
      </c>
      <c r="E55" s="14">
        <v>4419</v>
      </c>
    </row>
    <row r="56" spans="1:5" x14ac:dyDescent="0.35">
      <c r="A56" t="s">
        <v>767</v>
      </c>
      <c r="B56" s="14">
        <v>734612</v>
      </c>
      <c r="C56" s="14">
        <v>719046</v>
      </c>
      <c r="D56" s="14">
        <v>19984</v>
      </c>
      <c r="E56" s="14">
        <v>4418</v>
      </c>
    </row>
    <row r="57" spans="1:5" x14ac:dyDescent="0.35">
      <c r="A57" t="s">
        <v>768</v>
      </c>
      <c r="B57" s="14">
        <v>734612</v>
      </c>
      <c r="C57" s="14">
        <v>723464</v>
      </c>
      <c r="D57" s="14">
        <v>19984</v>
      </c>
      <c r="E57" s="14">
        <v>4419</v>
      </c>
    </row>
    <row r="58" spans="1:5" x14ac:dyDescent="0.35">
      <c r="A58" t="s">
        <v>769</v>
      </c>
      <c r="B58" s="14">
        <v>734612</v>
      </c>
      <c r="C58" s="14">
        <v>724937</v>
      </c>
      <c r="D58" s="14">
        <v>19984</v>
      </c>
      <c r="E58" s="14">
        <v>1473</v>
      </c>
    </row>
    <row r="59" spans="1:5" x14ac:dyDescent="0.35">
      <c r="A59" t="s">
        <v>770</v>
      </c>
      <c r="B59" s="14">
        <v>734612</v>
      </c>
      <c r="C59" s="14">
        <v>724937</v>
      </c>
      <c r="D59" s="14">
        <v>19984</v>
      </c>
      <c r="E59" s="14">
        <v>0</v>
      </c>
    </row>
    <row r="60" spans="1:5" x14ac:dyDescent="0.35">
      <c r="A60" t="s">
        <v>771</v>
      </c>
      <c r="B60" s="14">
        <v>747838</v>
      </c>
      <c r="C60" s="14">
        <v>727897</v>
      </c>
      <c r="D60" s="14">
        <v>19941</v>
      </c>
      <c r="E60" s="14">
        <v>2960</v>
      </c>
    </row>
    <row r="61" spans="1:5" x14ac:dyDescent="0.35">
      <c r="A61" t="s">
        <v>772</v>
      </c>
      <c r="B61" s="14">
        <v>747838</v>
      </c>
      <c r="C61" s="14">
        <v>732337</v>
      </c>
      <c r="D61" s="14">
        <v>19941</v>
      </c>
      <c r="E61" s="14">
        <v>4440</v>
      </c>
    </row>
    <row r="62" spans="1:5" x14ac:dyDescent="0.35">
      <c r="A62" t="s">
        <v>773</v>
      </c>
      <c r="B62" s="14">
        <v>747838</v>
      </c>
      <c r="C62" s="14">
        <v>736777</v>
      </c>
      <c r="D62" s="14">
        <v>19941</v>
      </c>
      <c r="E62" s="14">
        <v>4440</v>
      </c>
    </row>
    <row r="63" spans="1:5" x14ac:dyDescent="0.35">
      <c r="A63" t="s">
        <v>774</v>
      </c>
      <c r="B63" s="14">
        <v>747838</v>
      </c>
      <c r="C63" s="14">
        <v>734185</v>
      </c>
      <c r="D63" s="14">
        <v>19941</v>
      </c>
      <c r="E63" s="14">
        <v>4440</v>
      </c>
    </row>
    <row r="64" spans="1:5" x14ac:dyDescent="0.35">
      <c r="A64" t="s">
        <v>775</v>
      </c>
      <c r="B64" s="14">
        <v>758566</v>
      </c>
      <c r="C64" s="14">
        <v>738625</v>
      </c>
      <c r="D64" s="14">
        <v>19941</v>
      </c>
      <c r="E64" s="14">
        <v>4440</v>
      </c>
    </row>
    <row r="65" spans="1:5" x14ac:dyDescent="0.35">
      <c r="A65" t="s">
        <v>776</v>
      </c>
      <c r="B65" s="14">
        <v>758566</v>
      </c>
      <c r="C65" s="14">
        <v>743064</v>
      </c>
      <c r="D65" s="14">
        <v>19941</v>
      </c>
      <c r="E65" s="14">
        <v>4440</v>
      </c>
    </row>
    <row r="66" spans="1:5" x14ac:dyDescent="0.35">
      <c r="A66" t="s">
        <v>777</v>
      </c>
      <c r="B66" s="14">
        <v>758566</v>
      </c>
      <c r="C66" s="14">
        <v>747504</v>
      </c>
      <c r="D66" s="14">
        <v>19941</v>
      </c>
      <c r="E66" s="14">
        <v>4440</v>
      </c>
    </row>
    <row r="67" spans="1:5" x14ac:dyDescent="0.35">
      <c r="A67" t="s">
        <v>778</v>
      </c>
      <c r="B67" s="14">
        <v>758566</v>
      </c>
      <c r="C67" s="14">
        <v>751944</v>
      </c>
      <c r="D67" s="14">
        <v>19941</v>
      </c>
      <c r="E67" s="14">
        <v>4440</v>
      </c>
    </row>
    <row r="68" spans="1:5" x14ac:dyDescent="0.35">
      <c r="A68" t="s">
        <v>779</v>
      </c>
      <c r="B68" s="14">
        <v>776323</v>
      </c>
      <c r="C68" s="14">
        <v>756384</v>
      </c>
      <c r="D68" s="14">
        <v>19939</v>
      </c>
      <c r="E68" s="14">
        <v>4440</v>
      </c>
    </row>
    <row r="69" spans="1:5" x14ac:dyDescent="0.35">
      <c r="A69" t="s">
        <v>780</v>
      </c>
      <c r="B69" s="14">
        <v>776323</v>
      </c>
      <c r="C69" s="14">
        <v>760823</v>
      </c>
      <c r="D69" s="14">
        <v>19939</v>
      </c>
      <c r="E69" s="14">
        <v>4440</v>
      </c>
    </row>
    <row r="70" spans="1:5" x14ac:dyDescent="0.35">
      <c r="A70" t="s">
        <v>781</v>
      </c>
      <c r="B70" s="14">
        <v>776323</v>
      </c>
      <c r="C70" s="14">
        <v>765264</v>
      </c>
      <c r="D70" s="14">
        <v>19939</v>
      </c>
      <c r="E70" s="14">
        <v>4440</v>
      </c>
    </row>
    <row r="71" spans="1:5" x14ac:dyDescent="0.35">
      <c r="A71" t="s">
        <v>782</v>
      </c>
      <c r="B71" s="14">
        <v>776323</v>
      </c>
      <c r="C71" s="14">
        <v>769703</v>
      </c>
      <c r="D71" s="14">
        <v>19939</v>
      </c>
      <c r="E71" s="14">
        <v>4440</v>
      </c>
    </row>
    <row r="72" spans="1:5" x14ac:dyDescent="0.35">
      <c r="A72" t="s">
        <v>783</v>
      </c>
      <c r="B72" s="14">
        <v>776323</v>
      </c>
      <c r="C72" s="14">
        <v>774143</v>
      </c>
      <c r="D72" s="14">
        <v>19939</v>
      </c>
      <c r="E72" s="14">
        <v>4440</v>
      </c>
    </row>
    <row r="73" spans="1:5" x14ac:dyDescent="0.35">
      <c r="A73" t="s">
        <v>784</v>
      </c>
      <c r="B73" s="14">
        <v>796941</v>
      </c>
      <c r="C73" s="14">
        <v>777103</v>
      </c>
      <c r="D73" s="14">
        <v>19838</v>
      </c>
      <c r="E73" s="14">
        <v>2960</v>
      </c>
    </row>
    <row r="74" spans="1:5" x14ac:dyDescent="0.35">
      <c r="A74" t="s">
        <v>785</v>
      </c>
      <c r="B74" s="14">
        <v>796941</v>
      </c>
      <c r="C74" s="14">
        <v>783023</v>
      </c>
      <c r="D74" s="14">
        <v>19838</v>
      </c>
      <c r="E74" s="14">
        <v>5920</v>
      </c>
    </row>
    <row r="75" spans="1:5" x14ac:dyDescent="0.35">
      <c r="A75" t="s">
        <v>786</v>
      </c>
      <c r="B75" s="14">
        <v>796941</v>
      </c>
      <c r="C75" s="14">
        <v>787463</v>
      </c>
      <c r="D75" s="14">
        <v>19838</v>
      </c>
      <c r="E75" s="14">
        <v>4440</v>
      </c>
    </row>
    <row r="76" spans="1:5" x14ac:dyDescent="0.35">
      <c r="A76" t="s">
        <v>787</v>
      </c>
      <c r="B76" s="14">
        <v>796941</v>
      </c>
      <c r="C76" s="14">
        <v>791903</v>
      </c>
      <c r="D76" s="14">
        <v>19838</v>
      </c>
      <c r="E76" s="14">
        <v>4440</v>
      </c>
    </row>
    <row r="77" spans="1:5" x14ac:dyDescent="0.35">
      <c r="A77" t="s">
        <v>788</v>
      </c>
      <c r="B77" s="14">
        <v>814661</v>
      </c>
      <c r="C77" s="14">
        <v>794862</v>
      </c>
      <c r="D77" s="14">
        <v>19799</v>
      </c>
      <c r="E77" s="14">
        <v>2960</v>
      </c>
    </row>
    <row r="78" spans="1:5" x14ac:dyDescent="0.35">
      <c r="A78" t="s">
        <v>789</v>
      </c>
      <c r="B78" s="14">
        <v>814661</v>
      </c>
      <c r="C78" s="14">
        <v>800116</v>
      </c>
      <c r="D78" s="14">
        <v>19799</v>
      </c>
      <c r="E78" s="14">
        <v>5254</v>
      </c>
    </row>
    <row r="79" spans="1:5" x14ac:dyDescent="0.35">
      <c r="A79" t="s">
        <v>790</v>
      </c>
      <c r="B79" s="14">
        <v>814661</v>
      </c>
      <c r="C79" s="14">
        <v>803557</v>
      </c>
      <c r="D79" s="14">
        <v>19799</v>
      </c>
      <c r="E79" s="14">
        <v>3441</v>
      </c>
    </row>
    <row r="80" spans="1:5" x14ac:dyDescent="0.35">
      <c r="A80" t="s">
        <v>791</v>
      </c>
      <c r="B80" s="14">
        <v>814661</v>
      </c>
      <c r="C80" s="14">
        <v>806998</v>
      </c>
      <c r="D80" s="14">
        <v>19799</v>
      </c>
      <c r="E80" s="14">
        <v>3441</v>
      </c>
    </row>
    <row r="81" spans="1:5" x14ac:dyDescent="0.35">
      <c r="A81" t="s">
        <v>792</v>
      </c>
      <c r="B81" s="14">
        <v>829055</v>
      </c>
      <c r="C81" s="14">
        <v>809292</v>
      </c>
      <c r="D81" s="14">
        <v>19764</v>
      </c>
      <c r="E81" s="14">
        <v>2294</v>
      </c>
    </row>
    <row r="82" spans="1:5" x14ac:dyDescent="0.35">
      <c r="A82" t="s">
        <v>793</v>
      </c>
      <c r="B82" s="14">
        <v>829055</v>
      </c>
      <c r="C82" s="14">
        <v>797478</v>
      </c>
      <c r="D82" s="14">
        <v>19764</v>
      </c>
      <c r="E82" s="14">
        <v>4588</v>
      </c>
    </row>
    <row r="83" spans="1:5" x14ac:dyDescent="0.35">
      <c r="A83" t="s">
        <v>794</v>
      </c>
      <c r="B83" s="14">
        <v>829055</v>
      </c>
      <c r="C83" s="14">
        <v>800919</v>
      </c>
      <c r="D83" s="14">
        <v>19764</v>
      </c>
      <c r="E83" s="14">
        <v>3441</v>
      </c>
    </row>
    <row r="84" spans="1:5" x14ac:dyDescent="0.35">
      <c r="A84" t="s">
        <v>795</v>
      </c>
      <c r="B84" s="14">
        <v>829055</v>
      </c>
      <c r="C84" s="14">
        <v>804360</v>
      </c>
      <c r="D84" s="14">
        <v>19764</v>
      </c>
      <c r="E84" s="14">
        <v>3441</v>
      </c>
    </row>
    <row r="85" spans="1:5" x14ac:dyDescent="0.35">
      <c r="A85" t="s">
        <v>796</v>
      </c>
      <c r="B85" s="14">
        <v>829055</v>
      </c>
      <c r="C85" s="14">
        <v>807801</v>
      </c>
      <c r="D85" s="14">
        <v>19764</v>
      </c>
      <c r="E85" s="14">
        <v>3441</v>
      </c>
    </row>
    <row r="86" spans="1:5" x14ac:dyDescent="0.35">
      <c r="A86" t="s">
        <v>797</v>
      </c>
      <c r="B86" s="14">
        <v>830977</v>
      </c>
      <c r="C86" s="14">
        <v>811241</v>
      </c>
      <c r="D86" s="14">
        <v>19735</v>
      </c>
      <c r="E86" s="14">
        <v>3441</v>
      </c>
    </row>
    <row r="87" spans="1:5" x14ac:dyDescent="0.35">
      <c r="A87" t="s">
        <v>798</v>
      </c>
      <c r="B87" s="14">
        <v>830977</v>
      </c>
      <c r="C87" s="14">
        <v>814682</v>
      </c>
      <c r="D87" s="14">
        <v>19735</v>
      </c>
      <c r="E87" s="14">
        <v>3441</v>
      </c>
    </row>
    <row r="88" spans="1:5" x14ac:dyDescent="0.35">
      <c r="A88" t="s">
        <v>799</v>
      </c>
      <c r="B88" s="14">
        <v>830977</v>
      </c>
      <c r="C88" s="14">
        <v>818123</v>
      </c>
      <c r="D88" s="14">
        <v>19735</v>
      </c>
      <c r="E88" s="14">
        <v>3441</v>
      </c>
    </row>
    <row r="89" spans="1:5" x14ac:dyDescent="0.35">
      <c r="A89" t="s">
        <v>800</v>
      </c>
      <c r="B89" s="14">
        <v>830977</v>
      </c>
      <c r="C89" s="14">
        <v>821564</v>
      </c>
      <c r="D89" s="14">
        <v>19735</v>
      </c>
      <c r="E89" s="14">
        <v>3441</v>
      </c>
    </row>
    <row r="90" spans="1:5" x14ac:dyDescent="0.35">
      <c r="A90" t="s">
        <v>817</v>
      </c>
      <c r="B90" s="14">
        <v>844720</v>
      </c>
      <c r="C90" s="14">
        <v>825005</v>
      </c>
      <c r="D90" s="14">
        <v>19715</v>
      </c>
      <c r="E90" s="14">
        <v>3441</v>
      </c>
    </row>
    <row r="91" spans="1:5" x14ac:dyDescent="0.35">
      <c r="A91" t="s">
        <v>818</v>
      </c>
      <c r="B91" s="14">
        <v>844720</v>
      </c>
      <c r="C91" s="14">
        <v>828445</v>
      </c>
      <c r="D91" s="14">
        <v>19715</v>
      </c>
      <c r="E91" s="14">
        <v>3441</v>
      </c>
    </row>
    <row r="92" spans="1:5" x14ac:dyDescent="0.35">
      <c r="A92" t="s">
        <v>819</v>
      </c>
      <c r="B92" s="14">
        <v>844720</v>
      </c>
      <c r="C92" s="14">
        <v>831886</v>
      </c>
      <c r="D92" s="14">
        <v>19715</v>
      </c>
      <c r="E92" s="14">
        <v>3441</v>
      </c>
    </row>
    <row r="93" spans="1:5" x14ac:dyDescent="0.35">
      <c r="A93" t="s">
        <v>820</v>
      </c>
      <c r="B93" s="14">
        <v>844720</v>
      </c>
      <c r="C93" s="14">
        <v>835327</v>
      </c>
      <c r="D93" s="14">
        <v>19715</v>
      </c>
      <c r="E93" s="14">
        <v>3441</v>
      </c>
    </row>
    <row r="94" spans="1:5" x14ac:dyDescent="0.35">
      <c r="A94" t="s">
        <v>821</v>
      </c>
      <c r="B94" s="14">
        <v>857300</v>
      </c>
      <c r="C94" s="14">
        <v>837621</v>
      </c>
      <c r="D94" s="14">
        <v>19680</v>
      </c>
      <c r="E94" s="14">
        <v>2294</v>
      </c>
    </row>
    <row r="95" spans="1:5" x14ac:dyDescent="0.35">
      <c r="A95" t="s">
        <v>822</v>
      </c>
      <c r="B95" s="14">
        <v>857300</v>
      </c>
      <c r="C95" s="14">
        <v>825628</v>
      </c>
      <c r="D95" s="14">
        <v>19680</v>
      </c>
      <c r="E95" s="14">
        <v>4588</v>
      </c>
    </row>
    <row r="96" spans="1:5" x14ac:dyDescent="0.35">
      <c r="A96" t="s">
        <v>823</v>
      </c>
      <c r="B96" s="14">
        <v>857300</v>
      </c>
      <c r="C96" s="14">
        <v>829069</v>
      </c>
      <c r="D96" s="14">
        <v>19680</v>
      </c>
      <c r="E96" s="14">
        <v>3441</v>
      </c>
    </row>
    <row r="97" spans="1:5" x14ac:dyDescent="0.35">
      <c r="A97" t="s">
        <v>824</v>
      </c>
      <c r="B97" s="14">
        <v>857300</v>
      </c>
      <c r="C97" s="14">
        <v>832510</v>
      </c>
      <c r="D97" s="14">
        <v>19680</v>
      </c>
      <c r="E97" s="14">
        <v>3441</v>
      </c>
    </row>
    <row r="98" spans="1:5" x14ac:dyDescent="0.35">
      <c r="A98" t="s">
        <v>825</v>
      </c>
      <c r="B98" s="14">
        <v>857300</v>
      </c>
      <c r="C98" s="14">
        <v>835951</v>
      </c>
      <c r="D98" s="14">
        <v>19680</v>
      </c>
      <c r="E98" s="14">
        <v>3441</v>
      </c>
    </row>
    <row r="99" spans="1:5" x14ac:dyDescent="0.35">
      <c r="A99" t="s">
        <v>826</v>
      </c>
      <c r="B99" s="14">
        <v>858887</v>
      </c>
      <c r="C99" s="14">
        <v>839392</v>
      </c>
      <c r="D99" s="14">
        <v>19495</v>
      </c>
      <c r="E99" s="14">
        <v>3441</v>
      </c>
    </row>
    <row r="100" spans="1:5" x14ac:dyDescent="0.35">
      <c r="A100" t="s">
        <v>827</v>
      </c>
      <c r="B100" s="14">
        <v>858887</v>
      </c>
      <c r="C100" s="14">
        <v>842832</v>
      </c>
      <c r="D100" s="14">
        <v>19495</v>
      </c>
      <c r="E100" s="14">
        <v>3441</v>
      </c>
    </row>
    <row r="101" spans="1:5" x14ac:dyDescent="0.35">
      <c r="A101" t="s">
        <v>828</v>
      </c>
      <c r="B101" s="14">
        <v>858887</v>
      </c>
      <c r="C101" s="14">
        <v>846273</v>
      </c>
      <c r="D101" s="14">
        <v>19495</v>
      </c>
      <c r="E101" s="14">
        <v>3441</v>
      </c>
    </row>
    <row r="102" spans="1:5" x14ac:dyDescent="0.35">
      <c r="A102" t="s">
        <v>829</v>
      </c>
      <c r="B102" s="14">
        <v>858887</v>
      </c>
      <c r="C102" s="14">
        <v>849714</v>
      </c>
      <c r="D102" s="14">
        <v>19495</v>
      </c>
      <c r="E102" s="14">
        <v>3441</v>
      </c>
    </row>
    <row r="103" spans="1:5" x14ac:dyDescent="0.35">
      <c r="A103" t="s">
        <v>833</v>
      </c>
      <c r="B103" s="14">
        <v>872603</v>
      </c>
      <c r="C103" s="14">
        <v>853155</v>
      </c>
      <c r="D103" s="14">
        <v>19448</v>
      </c>
      <c r="E103" s="14">
        <v>3441</v>
      </c>
    </row>
    <row r="104" spans="1:5" x14ac:dyDescent="0.35">
      <c r="A104" t="s">
        <v>834</v>
      </c>
      <c r="B104" s="14">
        <v>872603</v>
      </c>
      <c r="C104" s="14">
        <v>856596</v>
      </c>
      <c r="D104" s="14">
        <v>19448</v>
      </c>
      <c r="E104" s="14">
        <v>3441</v>
      </c>
    </row>
    <row r="105" spans="1:5" x14ac:dyDescent="0.35">
      <c r="A105" t="s">
        <v>835</v>
      </c>
      <c r="B105" s="14">
        <v>878333</v>
      </c>
      <c r="C105" s="14">
        <v>858890</v>
      </c>
      <c r="D105" s="14">
        <v>19443</v>
      </c>
      <c r="E105" s="14">
        <v>2294</v>
      </c>
    </row>
    <row r="106" spans="1:5" x14ac:dyDescent="0.35">
      <c r="A106" t="s">
        <v>836</v>
      </c>
      <c r="B106" s="14">
        <v>882920</v>
      </c>
      <c r="C106" s="14">
        <v>863477</v>
      </c>
      <c r="D106" s="14">
        <v>19443</v>
      </c>
      <c r="E106" s="14">
        <v>4588</v>
      </c>
    </row>
    <row r="107" spans="1:5" x14ac:dyDescent="0.35">
      <c r="A107" t="s">
        <v>837</v>
      </c>
      <c r="B107" s="14">
        <v>886447</v>
      </c>
      <c r="C107" s="14">
        <v>866918</v>
      </c>
      <c r="D107" s="14">
        <v>19529</v>
      </c>
      <c r="E107" s="14">
        <v>3441</v>
      </c>
    </row>
    <row r="108" spans="1:5" x14ac:dyDescent="0.35">
      <c r="A108" t="s">
        <v>855</v>
      </c>
      <c r="B108" s="14">
        <v>889923</v>
      </c>
      <c r="C108" s="14">
        <v>870359</v>
      </c>
      <c r="D108" s="14">
        <v>19564</v>
      </c>
      <c r="E108" s="14">
        <v>3441</v>
      </c>
    </row>
    <row r="109" spans="1:5" x14ac:dyDescent="0.35">
      <c r="A109" t="s">
        <v>856</v>
      </c>
      <c r="B109" s="14">
        <v>893480</v>
      </c>
      <c r="C109" s="14">
        <v>873800</v>
      </c>
      <c r="D109" s="14">
        <v>19680</v>
      </c>
      <c r="E109" s="14">
        <v>3441</v>
      </c>
    </row>
    <row r="110" spans="1:5" x14ac:dyDescent="0.35">
      <c r="A110" t="s">
        <v>857</v>
      </c>
      <c r="B110" s="14">
        <v>894653</v>
      </c>
      <c r="C110" s="14">
        <v>874947</v>
      </c>
      <c r="D110" s="14">
        <v>19706</v>
      </c>
      <c r="E110" s="14">
        <v>1147</v>
      </c>
    </row>
    <row r="111" spans="1:5" x14ac:dyDescent="0.35">
      <c r="A111" t="s">
        <v>858</v>
      </c>
      <c r="B111" s="14">
        <v>894653</v>
      </c>
      <c r="C111" s="14">
        <v>874947</v>
      </c>
      <c r="D111" s="14">
        <v>19706</v>
      </c>
      <c r="E111" s="14">
        <v>0</v>
      </c>
    </row>
    <row r="112" spans="1:5" x14ac:dyDescent="0.35">
      <c r="A112" t="s">
        <v>859</v>
      </c>
      <c r="B112" s="14">
        <v>894653</v>
      </c>
      <c r="C112" s="14">
        <v>874947</v>
      </c>
      <c r="D112" s="14">
        <v>19706</v>
      </c>
      <c r="E112" s="14">
        <v>0</v>
      </c>
    </row>
    <row r="113" spans="1:5" x14ac:dyDescent="0.35">
      <c r="A113" t="s">
        <v>860</v>
      </c>
      <c r="B113" s="14">
        <v>894703</v>
      </c>
      <c r="C113" s="14">
        <v>874947</v>
      </c>
      <c r="D113" s="14">
        <v>19756</v>
      </c>
      <c r="E113" s="14">
        <v>0</v>
      </c>
    </row>
    <row r="114" spans="1:5" x14ac:dyDescent="0.35">
      <c r="A114" t="s">
        <v>861</v>
      </c>
      <c r="B114" s="14">
        <v>894796</v>
      </c>
      <c r="C114" s="14">
        <v>874947</v>
      </c>
      <c r="D114" s="14">
        <v>19850</v>
      </c>
      <c r="E114" s="14">
        <v>0</v>
      </c>
    </row>
    <row r="115" spans="1:5" x14ac:dyDescent="0.35">
      <c r="A115" t="s">
        <v>862</v>
      </c>
      <c r="B115" s="14">
        <v>894939</v>
      </c>
      <c r="C115" s="14">
        <v>874947</v>
      </c>
      <c r="D115" s="14">
        <v>19992</v>
      </c>
      <c r="E115" s="14">
        <v>0</v>
      </c>
    </row>
    <row r="116" spans="1:5" x14ac:dyDescent="0.35">
      <c r="A116" t="s">
        <v>878</v>
      </c>
      <c r="B116" s="14">
        <v>894939</v>
      </c>
      <c r="C116" s="14">
        <v>874947</v>
      </c>
      <c r="D116" s="14">
        <v>19992</v>
      </c>
      <c r="E116" s="14">
        <v>0</v>
      </c>
    </row>
    <row r="117" spans="1:5" x14ac:dyDescent="0.35">
      <c r="A117" t="s">
        <v>879</v>
      </c>
      <c r="B117" s="14">
        <v>894939</v>
      </c>
      <c r="C117" s="14">
        <v>874947</v>
      </c>
      <c r="D117" s="14">
        <v>19992</v>
      </c>
      <c r="E117" s="14">
        <v>0</v>
      </c>
    </row>
    <row r="118" spans="1:5" x14ac:dyDescent="0.35">
      <c r="A118" t="s">
        <v>880</v>
      </c>
      <c r="B118" s="14">
        <v>894939</v>
      </c>
      <c r="C118" s="14">
        <v>874947</v>
      </c>
      <c r="D118" s="14">
        <v>19992</v>
      </c>
      <c r="E118" s="14">
        <v>0</v>
      </c>
    </row>
    <row r="119" spans="1:5" x14ac:dyDescent="0.35">
      <c r="A119" t="s">
        <v>881</v>
      </c>
      <c r="B119" s="14">
        <v>894939</v>
      </c>
      <c r="C119" s="14">
        <v>874947</v>
      </c>
      <c r="D119" s="14">
        <v>19992</v>
      </c>
      <c r="E119" s="14">
        <v>0</v>
      </c>
    </row>
    <row r="120" spans="1:5" x14ac:dyDescent="0.35">
      <c r="A120" t="s">
        <v>882</v>
      </c>
      <c r="B120" s="14">
        <v>894789</v>
      </c>
      <c r="C120" s="14">
        <v>874947</v>
      </c>
      <c r="D120" s="14">
        <v>19842</v>
      </c>
      <c r="E120" s="14">
        <v>0</v>
      </c>
    </row>
    <row r="121" spans="1:5" x14ac:dyDescent="0.35">
      <c r="A121" t="s">
        <v>883</v>
      </c>
      <c r="B121" s="14">
        <v>894789</v>
      </c>
      <c r="C121" s="14">
        <v>847006</v>
      </c>
      <c r="D121" s="14">
        <v>19842</v>
      </c>
      <c r="E121" s="14">
        <v>0</v>
      </c>
    </row>
    <row r="122" spans="1:5" x14ac:dyDescent="0.35">
      <c r="A122" t="s">
        <v>884</v>
      </c>
      <c r="B122" s="14">
        <v>894789</v>
      </c>
      <c r="C122" s="14">
        <v>847006</v>
      </c>
      <c r="D122" s="14">
        <v>19842</v>
      </c>
      <c r="E122" s="14">
        <v>0</v>
      </c>
    </row>
    <row r="123" spans="1:5" x14ac:dyDescent="0.35">
      <c r="A123" t="s">
        <v>885</v>
      </c>
      <c r="B123" s="14">
        <v>894789</v>
      </c>
      <c r="C123" s="14">
        <v>847006</v>
      </c>
      <c r="D123" s="14">
        <v>19842</v>
      </c>
      <c r="E123" s="14">
        <v>0</v>
      </c>
    </row>
    <row r="124" spans="1:5" x14ac:dyDescent="0.35">
      <c r="A124" t="s">
        <v>886</v>
      </c>
      <c r="B124" s="14">
        <v>894789</v>
      </c>
      <c r="C124" s="14">
        <v>847006</v>
      </c>
      <c r="D124" s="14">
        <v>19842</v>
      </c>
      <c r="E124" s="14">
        <v>0</v>
      </c>
    </row>
    <row r="125" spans="1:5" x14ac:dyDescent="0.35">
      <c r="A125" t="s">
        <v>887</v>
      </c>
      <c r="B125" s="14">
        <v>866722</v>
      </c>
      <c r="C125" s="14">
        <v>847006</v>
      </c>
      <c r="D125" s="14">
        <v>19715</v>
      </c>
      <c r="E125" s="14">
        <v>0</v>
      </c>
    </row>
    <row r="126" spans="1:5" x14ac:dyDescent="0.35">
      <c r="A126" t="s">
        <v>888</v>
      </c>
      <c r="B126" s="14">
        <v>866722</v>
      </c>
      <c r="C126" s="14">
        <v>847006</v>
      </c>
      <c r="D126" s="14">
        <v>19715</v>
      </c>
      <c r="E126" s="14">
        <v>0</v>
      </c>
    </row>
    <row r="127" spans="1:5" x14ac:dyDescent="0.35">
      <c r="A127" t="s">
        <v>889</v>
      </c>
      <c r="B127" s="14">
        <v>866722</v>
      </c>
      <c r="C127" s="14">
        <v>847006</v>
      </c>
      <c r="D127" s="14">
        <v>19715</v>
      </c>
      <c r="E127" s="14">
        <v>0</v>
      </c>
    </row>
    <row r="128" spans="1:5" x14ac:dyDescent="0.35">
      <c r="A128" t="s">
        <v>890</v>
      </c>
      <c r="B128" s="14">
        <v>866722</v>
      </c>
      <c r="C128" s="14">
        <v>847006</v>
      </c>
      <c r="D128" s="14">
        <v>19715</v>
      </c>
      <c r="E128" s="14">
        <v>0</v>
      </c>
    </row>
    <row r="129" spans="1:5" x14ac:dyDescent="0.35">
      <c r="A129" t="s">
        <v>905</v>
      </c>
      <c r="B129" s="14">
        <v>866573</v>
      </c>
      <c r="C129" s="14">
        <v>847006</v>
      </c>
      <c r="D129" s="14">
        <v>19567</v>
      </c>
      <c r="E129" s="14">
        <v>0</v>
      </c>
    </row>
    <row r="130" spans="1:5" x14ac:dyDescent="0.35">
      <c r="A130" t="s">
        <v>906</v>
      </c>
      <c r="B130" s="14">
        <v>866573</v>
      </c>
      <c r="C130" s="14">
        <v>847006</v>
      </c>
      <c r="D130" s="14">
        <v>19567</v>
      </c>
      <c r="E130" s="14">
        <v>0</v>
      </c>
    </row>
    <row r="131" spans="1:5" x14ac:dyDescent="0.35">
      <c r="A131" t="s">
        <v>907</v>
      </c>
      <c r="B131" s="14">
        <v>866573</v>
      </c>
      <c r="C131" s="14">
        <v>847006</v>
      </c>
      <c r="D131" s="14">
        <v>19567</v>
      </c>
      <c r="E131" s="14">
        <v>0</v>
      </c>
    </row>
    <row r="132" spans="1:5" x14ac:dyDescent="0.35">
      <c r="A132" t="s">
        <v>908</v>
      </c>
      <c r="B132" s="14">
        <v>866573</v>
      </c>
      <c r="C132" s="14">
        <v>847006</v>
      </c>
      <c r="D132" s="14">
        <v>19567</v>
      </c>
      <c r="E132" s="14">
        <v>0</v>
      </c>
    </row>
    <row r="133" spans="1:5" x14ac:dyDescent="0.35">
      <c r="A133" t="s">
        <v>909</v>
      </c>
      <c r="B133" s="14">
        <v>866520</v>
      </c>
      <c r="C133" s="14">
        <v>847006</v>
      </c>
      <c r="D133" s="14">
        <v>19514</v>
      </c>
      <c r="E133" s="14">
        <v>0</v>
      </c>
    </row>
    <row r="134" spans="1:5" x14ac:dyDescent="0.35">
      <c r="A134" t="s">
        <v>910</v>
      </c>
      <c r="B134" s="14">
        <v>866520</v>
      </c>
      <c r="C134" s="14">
        <v>847006</v>
      </c>
      <c r="D134" s="14">
        <v>19514</v>
      </c>
      <c r="E134" s="14">
        <v>0</v>
      </c>
    </row>
    <row r="135" spans="1:5" x14ac:dyDescent="0.35">
      <c r="A135" t="s">
        <v>911</v>
      </c>
      <c r="B135" s="14">
        <v>866520</v>
      </c>
      <c r="C135" s="14">
        <v>847006</v>
      </c>
      <c r="D135" s="14">
        <v>19514</v>
      </c>
      <c r="E135" s="14">
        <v>0</v>
      </c>
    </row>
    <row r="136" spans="1:5" x14ac:dyDescent="0.35">
      <c r="A136" t="s">
        <v>912</v>
      </c>
      <c r="B136" s="14">
        <v>866520</v>
      </c>
      <c r="C136" s="14">
        <v>847006</v>
      </c>
      <c r="D136" s="14">
        <v>19514</v>
      </c>
      <c r="E136" s="14">
        <v>0</v>
      </c>
    </row>
    <row r="137" spans="1:5" x14ac:dyDescent="0.35">
      <c r="A137" t="s">
        <v>913</v>
      </c>
      <c r="B137" s="14">
        <v>866520</v>
      </c>
      <c r="C137" s="14">
        <v>847006</v>
      </c>
      <c r="D137" s="14">
        <v>19514</v>
      </c>
      <c r="E137" s="14">
        <v>0</v>
      </c>
    </row>
    <row r="138" spans="1:5" x14ac:dyDescent="0.35">
      <c r="A138" t="s">
        <v>914</v>
      </c>
      <c r="B138" s="14">
        <v>866138</v>
      </c>
      <c r="C138" s="14">
        <v>847006</v>
      </c>
      <c r="D138" s="14">
        <v>19132</v>
      </c>
      <c r="E138" s="14">
        <v>0</v>
      </c>
    </row>
    <row r="139" spans="1:5" x14ac:dyDescent="0.35">
      <c r="A139" t="s">
        <v>915</v>
      </c>
      <c r="B139" s="14">
        <v>866138</v>
      </c>
      <c r="C139" s="14">
        <v>847006</v>
      </c>
      <c r="D139" s="14">
        <v>19132</v>
      </c>
      <c r="E139" s="14">
        <v>0</v>
      </c>
    </row>
    <row r="140" spans="1:5" x14ac:dyDescent="0.35">
      <c r="A140" t="s">
        <v>916</v>
      </c>
      <c r="B140" s="14">
        <v>866138</v>
      </c>
      <c r="C140" s="14">
        <v>847006</v>
      </c>
      <c r="D140" s="14">
        <v>19132</v>
      </c>
      <c r="E140" s="14">
        <v>0</v>
      </c>
    </row>
    <row r="141" spans="1:5" x14ac:dyDescent="0.35">
      <c r="A141" t="s">
        <v>917</v>
      </c>
      <c r="B141" s="14">
        <v>866138</v>
      </c>
      <c r="C141" s="14">
        <v>843818</v>
      </c>
      <c r="D141" s="14">
        <v>19132</v>
      </c>
      <c r="E141" s="14">
        <v>0</v>
      </c>
    </row>
    <row r="142" spans="1:5" x14ac:dyDescent="0.35">
      <c r="A142" t="s">
        <v>932</v>
      </c>
      <c r="B142" s="14">
        <v>862917</v>
      </c>
      <c r="C142" s="14">
        <v>843818</v>
      </c>
      <c r="D142" s="14">
        <v>19099</v>
      </c>
      <c r="E142" s="14">
        <v>0</v>
      </c>
    </row>
    <row r="143" spans="1:5" x14ac:dyDescent="0.35">
      <c r="A143" t="s">
        <v>933</v>
      </c>
      <c r="B143" s="14">
        <v>862917</v>
      </c>
      <c r="C143" s="14">
        <v>843818</v>
      </c>
      <c r="D143" s="14">
        <v>19099</v>
      </c>
      <c r="E143" s="14">
        <v>0</v>
      </c>
    </row>
    <row r="144" spans="1:5" x14ac:dyDescent="0.35">
      <c r="A144" t="s">
        <v>934</v>
      </c>
      <c r="B144" s="14">
        <v>862917</v>
      </c>
      <c r="C144" s="14">
        <v>843818</v>
      </c>
      <c r="D144" s="14">
        <v>19099</v>
      </c>
      <c r="E144" s="14">
        <v>0</v>
      </c>
    </row>
    <row r="145" spans="1:5" x14ac:dyDescent="0.35">
      <c r="A145" t="s">
        <v>935</v>
      </c>
      <c r="B145" s="14">
        <v>862917</v>
      </c>
      <c r="C145" s="14">
        <v>843818</v>
      </c>
      <c r="D145" s="14">
        <v>19099</v>
      </c>
      <c r="E145" s="14">
        <v>0</v>
      </c>
    </row>
    <row r="146" spans="1:5" x14ac:dyDescent="0.35">
      <c r="A146" t="s">
        <v>936</v>
      </c>
      <c r="B146" s="14">
        <v>862917</v>
      </c>
      <c r="C146" s="14">
        <v>843818</v>
      </c>
      <c r="D146" s="14">
        <v>19099</v>
      </c>
      <c r="E146" s="14">
        <v>0</v>
      </c>
    </row>
    <row r="147" spans="1:5" x14ac:dyDescent="0.35">
      <c r="A147" t="s">
        <v>937</v>
      </c>
      <c r="B147" s="14">
        <v>856803</v>
      </c>
      <c r="C147" s="14">
        <v>837877</v>
      </c>
      <c r="D147" s="14">
        <v>18926</v>
      </c>
      <c r="E147" s="14">
        <v>0</v>
      </c>
    </row>
    <row r="148" spans="1:5" x14ac:dyDescent="0.35">
      <c r="A148" t="s">
        <v>938</v>
      </c>
      <c r="B148" s="14">
        <v>856803</v>
      </c>
      <c r="C148" s="14">
        <v>837877</v>
      </c>
      <c r="D148" s="14">
        <v>18926</v>
      </c>
      <c r="E148" s="14">
        <v>0</v>
      </c>
    </row>
    <row r="149" spans="1:5" x14ac:dyDescent="0.35">
      <c r="A149" t="s">
        <v>939</v>
      </c>
      <c r="B149" s="14">
        <v>856803</v>
      </c>
      <c r="C149" s="14">
        <v>837877</v>
      </c>
      <c r="D149" s="14">
        <v>18926</v>
      </c>
      <c r="E149" s="14">
        <v>0</v>
      </c>
    </row>
    <row r="150" spans="1:5" x14ac:dyDescent="0.35">
      <c r="A150" t="s">
        <v>940</v>
      </c>
      <c r="B150" s="14">
        <v>856803</v>
      </c>
      <c r="C150" s="14">
        <v>837877</v>
      </c>
      <c r="D150" s="14">
        <v>18926</v>
      </c>
      <c r="E150" s="14">
        <v>0</v>
      </c>
    </row>
    <row r="151" spans="1:5" x14ac:dyDescent="0.35">
      <c r="A151" t="s">
        <v>941</v>
      </c>
      <c r="B151" s="14">
        <v>856440</v>
      </c>
      <c r="C151" s="14">
        <v>837877</v>
      </c>
      <c r="D151" s="14">
        <v>18563</v>
      </c>
      <c r="E151" s="14">
        <v>0</v>
      </c>
    </row>
    <row r="152" spans="1:5" x14ac:dyDescent="0.35">
      <c r="A152" t="s">
        <v>942</v>
      </c>
      <c r="B152" s="14">
        <v>855977</v>
      </c>
      <c r="C152" s="14">
        <v>837877</v>
      </c>
      <c r="D152" s="14">
        <v>18099</v>
      </c>
      <c r="E152" s="14">
        <v>0</v>
      </c>
    </row>
    <row r="153" spans="1:5" x14ac:dyDescent="0.35">
      <c r="A153" t="s">
        <v>943</v>
      </c>
      <c r="B153" s="14">
        <v>855775</v>
      </c>
      <c r="C153" s="14">
        <v>837877</v>
      </c>
      <c r="D153" s="14">
        <v>17897</v>
      </c>
      <c r="E153" s="14">
        <v>0</v>
      </c>
    </row>
    <row r="154" spans="1:5" x14ac:dyDescent="0.35">
      <c r="A154" t="s">
        <v>944</v>
      </c>
      <c r="B154" s="14">
        <v>855775</v>
      </c>
      <c r="C154" s="14">
        <v>837877</v>
      </c>
      <c r="D154" s="14">
        <v>17897</v>
      </c>
      <c r="E154" s="14">
        <v>0</v>
      </c>
    </row>
    <row r="155" spans="1:5" x14ac:dyDescent="0.35">
      <c r="A155" t="s">
        <v>972</v>
      </c>
      <c r="B155" s="14">
        <v>854475</v>
      </c>
      <c r="C155" s="14">
        <v>837035</v>
      </c>
      <c r="D155" s="14">
        <v>17440</v>
      </c>
      <c r="E155" s="14">
        <v>0</v>
      </c>
    </row>
    <row r="156" spans="1:5" x14ac:dyDescent="0.35">
      <c r="A156" t="s">
        <v>973</v>
      </c>
      <c r="B156" s="14">
        <v>852955</v>
      </c>
      <c r="C156" s="14">
        <v>836021</v>
      </c>
      <c r="D156" s="14">
        <v>16933</v>
      </c>
      <c r="E156" s="14">
        <v>0</v>
      </c>
    </row>
    <row r="157" spans="1:5" x14ac:dyDescent="0.35">
      <c r="A157" t="s">
        <v>974</v>
      </c>
      <c r="B157" s="14">
        <v>851607</v>
      </c>
      <c r="C157" s="14">
        <v>835186</v>
      </c>
      <c r="D157" s="14">
        <v>16421</v>
      </c>
      <c r="E157" s="14">
        <v>0</v>
      </c>
    </row>
    <row r="158" spans="1:5" x14ac:dyDescent="0.35">
      <c r="A158" t="s">
        <v>975</v>
      </c>
      <c r="B158" s="14">
        <v>849742</v>
      </c>
      <c r="C158" s="14">
        <v>834342</v>
      </c>
      <c r="D158" s="14">
        <v>15400</v>
      </c>
      <c r="E158" s="14">
        <v>0</v>
      </c>
    </row>
    <row r="159" spans="1:5" x14ac:dyDescent="0.35">
      <c r="A159" t="s">
        <v>976</v>
      </c>
      <c r="B159" s="14">
        <v>847126</v>
      </c>
      <c r="C159" s="14">
        <v>832517</v>
      </c>
      <c r="D159" s="14">
        <v>14609</v>
      </c>
      <c r="E159" s="14">
        <v>0</v>
      </c>
    </row>
    <row r="160" spans="1:5" x14ac:dyDescent="0.35">
      <c r="A160" t="s">
        <v>977</v>
      </c>
      <c r="B160" s="14">
        <v>845900</v>
      </c>
      <c r="C160" s="14">
        <v>831667</v>
      </c>
      <c r="D160" s="14">
        <v>14233</v>
      </c>
      <c r="E160" s="14">
        <v>0</v>
      </c>
    </row>
    <row r="161" spans="1:5" x14ac:dyDescent="0.35">
      <c r="A161" t="s">
        <v>978</v>
      </c>
      <c r="B161" s="14">
        <v>844406</v>
      </c>
      <c r="C161" s="14">
        <v>830829</v>
      </c>
      <c r="D161" s="14">
        <v>13577</v>
      </c>
      <c r="E161" s="14">
        <v>0</v>
      </c>
    </row>
    <row r="162" spans="1:5" x14ac:dyDescent="0.35">
      <c r="A162" t="s">
        <v>979</v>
      </c>
      <c r="B162" s="14">
        <v>843728</v>
      </c>
      <c r="C162" s="14">
        <v>830829</v>
      </c>
      <c r="D162" s="14">
        <v>12899</v>
      </c>
      <c r="E162" s="14">
        <v>0</v>
      </c>
    </row>
    <row r="163" spans="1:5" x14ac:dyDescent="0.35">
      <c r="A163" t="s">
        <v>980</v>
      </c>
      <c r="B163" s="14">
        <v>843728</v>
      </c>
      <c r="C163" s="14">
        <v>830829</v>
      </c>
      <c r="D163" s="14">
        <v>12899</v>
      </c>
      <c r="E163" s="14">
        <v>0</v>
      </c>
    </row>
    <row r="164" spans="1:5" x14ac:dyDescent="0.35">
      <c r="A164" t="s">
        <v>981</v>
      </c>
      <c r="B164" s="14">
        <v>843728</v>
      </c>
      <c r="C164" s="14">
        <v>830829</v>
      </c>
      <c r="D164" s="14">
        <v>12899</v>
      </c>
      <c r="E164" s="14">
        <v>0</v>
      </c>
    </row>
    <row r="165" spans="1:5" x14ac:dyDescent="0.35">
      <c r="A165" t="s">
        <v>982</v>
      </c>
      <c r="B165" s="14">
        <v>843005</v>
      </c>
      <c r="C165" s="14">
        <v>830107</v>
      </c>
      <c r="D165" s="14">
        <v>12899</v>
      </c>
      <c r="E165" s="14">
        <v>0</v>
      </c>
    </row>
    <row r="166" spans="1:5" x14ac:dyDescent="0.35">
      <c r="A166" t="s">
        <v>983</v>
      </c>
      <c r="B166" s="14">
        <v>841324</v>
      </c>
      <c r="C166" s="14">
        <v>828506</v>
      </c>
      <c r="D166" s="14">
        <v>12818</v>
      </c>
      <c r="E166" s="14">
        <v>0</v>
      </c>
    </row>
    <row r="167" spans="1:5" x14ac:dyDescent="0.35">
      <c r="A167" t="s">
        <v>984</v>
      </c>
      <c r="B167" s="14">
        <v>839979</v>
      </c>
      <c r="C167" s="14">
        <v>827788</v>
      </c>
      <c r="D167" s="14">
        <v>12191</v>
      </c>
      <c r="E167" s="14">
        <v>0</v>
      </c>
    </row>
    <row r="168" spans="1:5" x14ac:dyDescent="0.35">
      <c r="A168" t="s">
        <v>985</v>
      </c>
      <c r="B168" s="14">
        <v>838008</v>
      </c>
      <c r="C168" s="14">
        <v>826496</v>
      </c>
      <c r="D168" s="14">
        <v>11512</v>
      </c>
      <c r="E168" s="14">
        <v>0</v>
      </c>
    </row>
    <row r="169" spans="1:5" x14ac:dyDescent="0.35">
      <c r="A169" t="s">
        <v>986</v>
      </c>
      <c r="B169" s="14">
        <v>836377</v>
      </c>
      <c r="C169" s="14">
        <v>825749</v>
      </c>
      <c r="D169" s="14">
        <v>10628</v>
      </c>
      <c r="E169" s="14">
        <v>0</v>
      </c>
    </row>
    <row r="170" spans="1:5" x14ac:dyDescent="0.35">
      <c r="A170" t="s">
        <v>987</v>
      </c>
      <c r="B170" s="14">
        <v>833666</v>
      </c>
      <c r="C170" s="14">
        <v>824043</v>
      </c>
      <c r="D170" s="14">
        <v>9624</v>
      </c>
      <c r="E170" s="14">
        <v>0</v>
      </c>
    </row>
    <row r="171" spans="1:5" x14ac:dyDescent="0.35">
      <c r="A171" t="s">
        <v>988</v>
      </c>
      <c r="B171" s="14">
        <v>832301</v>
      </c>
      <c r="C171" s="14">
        <v>823248</v>
      </c>
      <c r="D171" s="14">
        <v>9053</v>
      </c>
      <c r="E171" s="14">
        <v>0</v>
      </c>
    </row>
    <row r="172" spans="1:5" x14ac:dyDescent="0.35">
      <c r="A172" t="s">
        <v>989</v>
      </c>
      <c r="B172" s="14">
        <v>830092</v>
      </c>
      <c r="C172" s="14">
        <v>821173</v>
      </c>
      <c r="D172" s="14">
        <v>8919</v>
      </c>
      <c r="E172" s="14">
        <v>0</v>
      </c>
    </row>
    <row r="173" spans="1:5" x14ac:dyDescent="0.35">
      <c r="A173" t="s">
        <v>990</v>
      </c>
      <c r="B173" s="14">
        <v>828792</v>
      </c>
      <c r="C173" s="14">
        <v>820326</v>
      </c>
      <c r="D173" s="14">
        <v>8466</v>
      </c>
      <c r="E173" s="14">
        <v>0</v>
      </c>
    </row>
    <row r="174" spans="1:5" x14ac:dyDescent="0.35">
      <c r="A174" t="s">
        <v>991</v>
      </c>
      <c r="B174" s="14">
        <v>826167</v>
      </c>
      <c r="C174" s="14">
        <v>818344</v>
      </c>
      <c r="D174" s="14">
        <v>7823</v>
      </c>
      <c r="E174" s="14">
        <v>0</v>
      </c>
    </row>
    <row r="175" spans="1:5" x14ac:dyDescent="0.35">
      <c r="A175" t="s">
        <v>992</v>
      </c>
      <c r="B175" s="14">
        <v>826055</v>
      </c>
      <c r="C175" s="14">
        <v>818344</v>
      </c>
      <c r="D175" s="14">
        <v>7711</v>
      </c>
      <c r="E175" s="14">
        <v>0</v>
      </c>
    </row>
    <row r="176" spans="1:5" x14ac:dyDescent="0.35">
      <c r="A176" t="s">
        <v>993</v>
      </c>
      <c r="B176" s="14">
        <v>824219</v>
      </c>
      <c r="C176" s="14">
        <v>817151</v>
      </c>
      <c r="D176" s="14">
        <v>7067</v>
      </c>
      <c r="E176" s="14">
        <v>0</v>
      </c>
    </row>
    <row r="177" spans="1:5" x14ac:dyDescent="0.35">
      <c r="A177" t="s">
        <v>994</v>
      </c>
      <c r="B177" s="14">
        <v>822891</v>
      </c>
      <c r="C177" s="14">
        <v>816259</v>
      </c>
      <c r="D177" s="14">
        <v>6632</v>
      </c>
      <c r="E177" s="14">
        <v>0</v>
      </c>
    </row>
    <row r="178" spans="1:5" x14ac:dyDescent="0.35">
      <c r="A178" t="s">
        <v>995</v>
      </c>
      <c r="B178" s="14">
        <v>822595</v>
      </c>
      <c r="C178" s="14">
        <v>816259</v>
      </c>
      <c r="D178" s="14">
        <v>6337</v>
      </c>
      <c r="E178" s="14">
        <v>0</v>
      </c>
    </row>
    <row r="179" spans="1:5" x14ac:dyDescent="0.35">
      <c r="A179" t="s">
        <v>996</v>
      </c>
      <c r="B179" s="14">
        <v>821250</v>
      </c>
      <c r="C179" s="14">
        <v>815290</v>
      </c>
      <c r="D179" s="14">
        <v>5959</v>
      </c>
      <c r="E179" s="14">
        <v>0</v>
      </c>
    </row>
    <row r="180" spans="1:5" x14ac:dyDescent="0.35">
      <c r="A180" t="s">
        <v>997</v>
      </c>
      <c r="B180" s="14">
        <v>819261</v>
      </c>
      <c r="C180" s="14">
        <v>814399</v>
      </c>
      <c r="D180" s="14">
        <v>4862</v>
      </c>
      <c r="E180" s="14">
        <v>0</v>
      </c>
    </row>
    <row r="181" spans="1:5" x14ac:dyDescent="0.35">
      <c r="A181" t="s">
        <v>998</v>
      </c>
      <c r="B181" s="14">
        <v>817967</v>
      </c>
      <c r="C181" s="14">
        <v>814399</v>
      </c>
      <c r="D181" s="14">
        <v>3568</v>
      </c>
      <c r="E181" s="14">
        <v>0</v>
      </c>
    </row>
    <row r="182" spans="1:5" x14ac:dyDescent="0.35">
      <c r="A182" t="s">
        <v>1019</v>
      </c>
      <c r="B182" s="14">
        <v>815613</v>
      </c>
      <c r="C182" s="14">
        <v>812880</v>
      </c>
      <c r="D182" s="14">
        <v>2733</v>
      </c>
      <c r="E182" s="14">
        <v>0</v>
      </c>
    </row>
    <row r="183" spans="1:5" x14ac:dyDescent="0.35">
      <c r="A183" t="s">
        <v>1020</v>
      </c>
      <c r="B183" s="14">
        <v>814041</v>
      </c>
      <c r="C183" s="14">
        <v>811923</v>
      </c>
      <c r="D183" s="14">
        <v>2118</v>
      </c>
      <c r="E183" s="14">
        <v>0</v>
      </c>
    </row>
    <row r="184" spans="1:5" x14ac:dyDescent="0.35">
      <c r="A184" t="s">
        <v>1021</v>
      </c>
      <c r="B184" s="14">
        <v>812614</v>
      </c>
      <c r="C184" s="14">
        <v>811004</v>
      </c>
      <c r="D184" s="14">
        <v>1610</v>
      </c>
      <c r="E184" s="14">
        <v>0</v>
      </c>
    </row>
    <row r="185" spans="1:5" x14ac:dyDescent="0.35">
      <c r="A185" t="s">
        <v>1022</v>
      </c>
      <c r="B185" s="14">
        <v>812252</v>
      </c>
      <c r="C185" s="14">
        <v>811004</v>
      </c>
      <c r="D185" s="14">
        <v>1248</v>
      </c>
      <c r="E185" s="14">
        <v>0</v>
      </c>
    </row>
    <row r="186" spans="1:5" x14ac:dyDescent="0.35">
      <c r="A186" t="s">
        <v>1023</v>
      </c>
      <c r="B186" s="14">
        <v>809388</v>
      </c>
      <c r="C186" s="14">
        <v>808426</v>
      </c>
      <c r="D186" s="14">
        <v>963</v>
      </c>
      <c r="E186" s="14">
        <v>0</v>
      </c>
    </row>
    <row r="187" spans="1:5" x14ac:dyDescent="0.35">
      <c r="A187" t="s">
        <v>1024</v>
      </c>
      <c r="B187" s="14">
        <v>807538</v>
      </c>
      <c r="C187" s="14">
        <v>806705</v>
      </c>
      <c r="D187" s="14">
        <v>833</v>
      </c>
      <c r="E187" s="14">
        <v>0</v>
      </c>
    </row>
    <row r="188" spans="1:5" x14ac:dyDescent="0.35">
      <c r="A188" t="s">
        <v>1025</v>
      </c>
      <c r="B188" s="14">
        <v>805557</v>
      </c>
      <c r="C188" s="14">
        <v>804723</v>
      </c>
      <c r="D188" s="14">
        <v>833</v>
      </c>
      <c r="E188" s="14">
        <v>0</v>
      </c>
    </row>
    <row r="189" spans="1:5" x14ac:dyDescent="0.35">
      <c r="A189" t="s">
        <v>1026</v>
      </c>
      <c r="B189" s="14">
        <v>804088</v>
      </c>
      <c r="C189" s="14">
        <v>803255</v>
      </c>
      <c r="D189" s="14">
        <v>833</v>
      </c>
      <c r="E189" s="14">
        <v>0</v>
      </c>
    </row>
    <row r="190" spans="1:5" x14ac:dyDescent="0.35">
      <c r="A190" t="s">
        <v>1027</v>
      </c>
      <c r="B190" s="14">
        <v>803103</v>
      </c>
      <c r="C190" s="14">
        <v>802270</v>
      </c>
      <c r="D190" s="14">
        <v>833</v>
      </c>
      <c r="E190" s="14">
        <v>0</v>
      </c>
    </row>
    <row r="191" spans="1:5" x14ac:dyDescent="0.35">
      <c r="A191" t="s">
        <v>1028</v>
      </c>
      <c r="B191" s="14">
        <v>803056</v>
      </c>
      <c r="C191" s="14">
        <v>802270</v>
      </c>
      <c r="D191" s="14">
        <v>786</v>
      </c>
      <c r="E191" s="14">
        <v>0</v>
      </c>
    </row>
    <row r="192" spans="1:5" x14ac:dyDescent="0.35">
      <c r="A192" t="s">
        <v>1029</v>
      </c>
      <c r="B192" s="14">
        <v>802021</v>
      </c>
      <c r="C192" s="14">
        <v>801235</v>
      </c>
      <c r="D192" s="14">
        <v>786</v>
      </c>
      <c r="E192" s="14">
        <v>0</v>
      </c>
    </row>
    <row r="193" spans="1:5" x14ac:dyDescent="0.35">
      <c r="A193" t="s">
        <v>1030</v>
      </c>
      <c r="B193" s="14">
        <v>786087</v>
      </c>
      <c r="C193" s="14">
        <v>785301</v>
      </c>
      <c r="D193" s="14">
        <v>786</v>
      </c>
      <c r="E193" s="14">
        <v>0</v>
      </c>
    </row>
    <row r="194" spans="1:5" x14ac:dyDescent="0.35">
      <c r="A194" t="s">
        <v>1043</v>
      </c>
      <c r="B194" s="14">
        <v>786087</v>
      </c>
      <c r="C194" s="14">
        <v>785301</v>
      </c>
      <c r="D194" s="14">
        <v>786</v>
      </c>
      <c r="E194" s="14">
        <v>0</v>
      </c>
    </row>
    <row r="195" spans="1:5" x14ac:dyDescent="0.35">
      <c r="A195" t="s">
        <v>1044</v>
      </c>
      <c r="B195" s="14">
        <v>784342</v>
      </c>
      <c r="C195" s="14">
        <v>783556</v>
      </c>
      <c r="D195" s="14">
        <v>786</v>
      </c>
      <c r="E195" s="14">
        <v>0</v>
      </c>
    </row>
    <row r="196" spans="1:5" x14ac:dyDescent="0.35">
      <c r="A196" t="s">
        <v>1045</v>
      </c>
      <c r="B196" s="14">
        <v>783310</v>
      </c>
      <c r="C196" s="14">
        <v>782622</v>
      </c>
      <c r="D196" s="14">
        <v>689</v>
      </c>
      <c r="E196" s="14">
        <v>0</v>
      </c>
    </row>
    <row r="197" spans="1:5" x14ac:dyDescent="0.35">
      <c r="A197" t="s">
        <v>1046</v>
      </c>
      <c r="B197" s="14">
        <v>782141</v>
      </c>
      <c r="C197" s="14">
        <v>781452</v>
      </c>
      <c r="D197" s="14">
        <v>689</v>
      </c>
      <c r="E197" s="14">
        <v>0</v>
      </c>
    </row>
    <row r="198" spans="1:5" x14ac:dyDescent="0.35">
      <c r="A198" t="s">
        <v>1047</v>
      </c>
      <c r="B198" s="14">
        <v>782132</v>
      </c>
      <c r="C198" s="14">
        <v>781452</v>
      </c>
      <c r="D198" s="14">
        <v>680</v>
      </c>
      <c r="E198" s="14">
        <v>0</v>
      </c>
    </row>
    <row r="199" spans="1:5" x14ac:dyDescent="0.35">
      <c r="A199" t="s">
        <v>1048</v>
      </c>
      <c r="B199" s="14">
        <v>782095</v>
      </c>
      <c r="C199" s="14">
        <v>781452</v>
      </c>
      <c r="D199" s="14">
        <v>643</v>
      </c>
      <c r="E199" s="14">
        <v>0</v>
      </c>
    </row>
    <row r="200" spans="1:5" x14ac:dyDescent="0.35">
      <c r="A200" t="s">
        <v>1049</v>
      </c>
      <c r="B200" s="14">
        <v>760216</v>
      </c>
      <c r="C200" s="14">
        <v>759574</v>
      </c>
      <c r="D200" s="14">
        <v>642</v>
      </c>
      <c r="E200" s="14">
        <v>0</v>
      </c>
    </row>
    <row r="201" spans="1:5" x14ac:dyDescent="0.35">
      <c r="A201" t="s">
        <v>1050</v>
      </c>
      <c r="B201" s="14">
        <v>759395</v>
      </c>
      <c r="C201" s="14">
        <v>758753</v>
      </c>
      <c r="D201" s="14">
        <v>642</v>
      </c>
      <c r="E201" s="14">
        <v>0</v>
      </c>
    </row>
    <row r="202" spans="1:5" x14ac:dyDescent="0.35">
      <c r="A202" t="s">
        <v>1051</v>
      </c>
      <c r="B202" s="14">
        <v>757914</v>
      </c>
      <c r="C202" s="14">
        <v>757272</v>
      </c>
      <c r="D202" s="14">
        <v>642</v>
      </c>
      <c r="E202" s="14">
        <v>0</v>
      </c>
    </row>
    <row r="203" spans="1:5" x14ac:dyDescent="0.35">
      <c r="A203" t="s">
        <v>1052</v>
      </c>
      <c r="B203" s="14">
        <v>757115</v>
      </c>
      <c r="C203" s="14">
        <v>756473</v>
      </c>
      <c r="D203" s="14">
        <v>642</v>
      </c>
      <c r="E203" s="14">
        <v>0</v>
      </c>
    </row>
    <row r="204" spans="1:5" x14ac:dyDescent="0.35">
      <c r="A204" t="s">
        <v>1053</v>
      </c>
      <c r="B204" s="14">
        <v>755309</v>
      </c>
      <c r="C204" s="14">
        <v>754742</v>
      </c>
      <c r="D204" s="14">
        <v>567</v>
      </c>
      <c r="E204" s="14">
        <v>0</v>
      </c>
    </row>
    <row r="205" spans="1:5" x14ac:dyDescent="0.35">
      <c r="A205" t="s">
        <v>1054</v>
      </c>
      <c r="B205" s="14">
        <v>754361</v>
      </c>
      <c r="C205" s="14">
        <v>753795</v>
      </c>
      <c r="D205" s="14">
        <v>567</v>
      </c>
      <c r="E205" s="14">
        <v>0</v>
      </c>
    </row>
    <row r="206" spans="1:5" x14ac:dyDescent="0.35">
      <c r="A206" t="s">
        <v>1055</v>
      </c>
      <c r="B206" s="14">
        <v>751932</v>
      </c>
      <c r="C206" s="14">
        <v>751365</v>
      </c>
      <c r="D206" s="14">
        <v>567</v>
      </c>
      <c r="E206" s="14">
        <v>0</v>
      </c>
    </row>
    <row r="207" spans="1:5" x14ac:dyDescent="0.35">
      <c r="A207" t="s">
        <v>1070</v>
      </c>
      <c r="B207" s="14">
        <v>750872</v>
      </c>
      <c r="C207" s="14">
        <v>750305</v>
      </c>
      <c r="D207" s="14">
        <v>567</v>
      </c>
      <c r="E207" s="14">
        <v>0</v>
      </c>
    </row>
    <row r="208" spans="1:5" x14ac:dyDescent="0.35">
      <c r="A208" t="s">
        <v>1071</v>
      </c>
      <c r="B208" s="14">
        <v>749694</v>
      </c>
      <c r="C208" s="14">
        <v>749127</v>
      </c>
      <c r="D208" s="14">
        <v>567</v>
      </c>
      <c r="E208" s="14">
        <v>0</v>
      </c>
    </row>
    <row r="209" spans="1:5" x14ac:dyDescent="0.35">
      <c r="A209" t="s">
        <v>1072</v>
      </c>
      <c r="B209" s="14">
        <v>748823</v>
      </c>
      <c r="C209" s="14">
        <v>748314</v>
      </c>
      <c r="D209" s="14">
        <v>509</v>
      </c>
      <c r="E209" s="14">
        <v>0</v>
      </c>
    </row>
    <row r="210" spans="1:5" x14ac:dyDescent="0.35">
      <c r="A210" t="s">
        <v>1073</v>
      </c>
      <c r="B210" s="14">
        <v>747939</v>
      </c>
      <c r="C210" s="14">
        <v>747430</v>
      </c>
      <c r="D210" s="14">
        <v>509</v>
      </c>
      <c r="E210" s="14">
        <v>0</v>
      </c>
    </row>
    <row r="211" spans="1:5" x14ac:dyDescent="0.35">
      <c r="A211" t="s">
        <v>1074</v>
      </c>
      <c r="B211" s="14">
        <v>747141</v>
      </c>
      <c r="C211" s="14">
        <v>746632</v>
      </c>
      <c r="D211" s="14">
        <v>509</v>
      </c>
      <c r="E211" s="14">
        <v>0</v>
      </c>
    </row>
    <row r="212" spans="1:5" x14ac:dyDescent="0.35">
      <c r="A212" t="s">
        <v>1075</v>
      </c>
      <c r="B212" s="14">
        <v>745274</v>
      </c>
      <c r="C212" s="14">
        <v>744799</v>
      </c>
      <c r="D212" s="14">
        <v>475</v>
      </c>
      <c r="E212" s="14">
        <v>0</v>
      </c>
    </row>
    <row r="213" spans="1:5" x14ac:dyDescent="0.35">
      <c r="A213" t="s">
        <v>1076</v>
      </c>
      <c r="B213" s="14">
        <v>744297</v>
      </c>
      <c r="C213" s="14">
        <v>743857</v>
      </c>
      <c r="D213" s="14">
        <v>440</v>
      </c>
      <c r="E213" s="14">
        <v>0</v>
      </c>
    </row>
    <row r="214" spans="1:5" x14ac:dyDescent="0.35">
      <c r="A214" t="s">
        <v>1077</v>
      </c>
      <c r="B214" s="14">
        <v>744297</v>
      </c>
      <c r="C214" s="14">
        <v>743857</v>
      </c>
      <c r="D214" s="14">
        <v>440</v>
      </c>
      <c r="E214" s="14">
        <v>0</v>
      </c>
    </row>
    <row r="215" spans="1:5" x14ac:dyDescent="0.35">
      <c r="A215" t="s">
        <v>1078</v>
      </c>
      <c r="B215" s="14">
        <v>744297</v>
      </c>
      <c r="C215" s="14">
        <v>743857</v>
      </c>
      <c r="D215" s="14">
        <v>440</v>
      </c>
      <c r="E215" s="14">
        <v>0</v>
      </c>
    </row>
    <row r="216" spans="1:5" x14ac:dyDescent="0.35">
      <c r="A216" t="s">
        <v>1079</v>
      </c>
      <c r="B216" s="14">
        <v>744297</v>
      </c>
      <c r="C216" s="14">
        <v>743857</v>
      </c>
      <c r="D216" s="14">
        <v>440</v>
      </c>
      <c r="E216" s="14">
        <v>0</v>
      </c>
    </row>
    <row r="217" spans="1:5" x14ac:dyDescent="0.35">
      <c r="A217" t="s">
        <v>1080</v>
      </c>
      <c r="B217" s="14">
        <v>743337</v>
      </c>
      <c r="C217" s="14">
        <v>742897</v>
      </c>
      <c r="D217" s="14">
        <v>440</v>
      </c>
      <c r="E217" s="14">
        <v>0</v>
      </c>
    </row>
    <row r="218" spans="1:5" x14ac:dyDescent="0.35">
      <c r="A218" t="s">
        <v>1081</v>
      </c>
      <c r="B218" s="14">
        <v>741875</v>
      </c>
      <c r="C218" s="14">
        <v>741435</v>
      </c>
      <c r="D218" s="14">
        <v>440</v>
      </c>
      <c r="E218" s="14">
        <v>0</v>
      </c>
    </row>
    <row r="219" spans="1:5" x14ac:dyDescent="0.35">
      <c r="A219" t="s">
        <v>1082</v>
      </c>
      <c r="B219" s="14">
        <v>741875</v>
      </c>
      <c r="C219" s="14">
        <v>741435</v>
      </c>
      <c r="D219" s="14">
        <v>440</v>
      </c>
      <c r="E219" s="14">
        <v>0</v>
      </c>
    </row>
    <row r="220" spans="1:5" x14ac:dyDescent="0.35">
      <c r="A220" t="s">
        <v>1098</v>
      </c>
      <c r="B220" s="14">
        <v>737980</v>
      </c>
      <c r="C220" s="14">
        <v>737585</v>
      </c>
      <c r="D220" s="14">
        <v>395</v>
      </c>
      <c r="E220" s="14">
        <v>0</v>
      </c>
    </row>
    <row r="221" spans="1:5" x14ac:dyDescent="0.35">
      <c r="A221" t="s">
        <v>1099</v>
      </c>
      <c r="B221" s="14">
        <v>737030</v>
      </c>
      <c r="C221" s="14">
        <v>736650</v>
      </c>
      <c r="D221" s="14">
        <v>380</v>
      </c>
      <c r="E221" s="14">
        <v>0</v>
      </c>
    </row>
    <row r="222" spans="1:5" x14ac:dyDescent="0.35">
      <c r="A222" t="s">
        <v>1100</v>
      </c>
      <c r="B222" s="14">
        <v>736018</v>
      </c>
      <c r="C222" s="14">
        <v>735719</v>
      </c>
      <c r="D222" s="14">
        <v>299</v>
      </c>
      <c r="E222" s="14">
        <v>0</v>
      </c>
    </row>
    <row r="223" spans="1:5" x14ac:dyDescent="0.35">
      <c r="A223" t="s">
        <v>1101</v>
      </c>
      <c r="B223" s="14">
        <v>734953</v>
      </c>
      <c r="C223" s="14">
        <v>734654</v>
      </c>
      <c r="D223" s="14">
        <v>299</v>
      </c>
      <c r="E223" s="14">
        <v>0</v>
      </c>
    </row>
    <row r="224" spans="1:5" x14ac:dyDescent="0.35">
      <c r="A224" t="s">
        <v>1102</v>
      </c>
      <c r="B224" s="14">
        <v>732972</v>
      </c>
      <c r="C224" s="14">
        <v>732754</v>
      </c>
      <c r="D224" s="14">
        <v>218</v>
      </c>
      <c r="E224" s="14">
        <v>0</v>
      </c>
    </row>
    <row r="225" spans="1:5" x14ac:dyDescent="0.35">
      <c r="A225" t="s">
        <v>1103</v>
      </c>
      <c r="B225" s="14">
        <v>731999</v>
      </c>
      <c r="C225" s="14">
        <v>731781</v>
      </c>
      <c r="D225" s="14">
        <v>218</v>
      </c>
      <c r="E225" s="14">
        <v>0</v>
      </c>
    </row>
    <row r="226" spans="1:5" x14ac:dyDescent="0.35">
      <c r="A226" t="s">
        <v>1104</v>
      </c>
      <c r="B226" s="14">
        <v>730983</v>
      </c>
      <c r="C226" s="14">
        <v>730834</v>
      </c>
      <c r="D226" s="14">
        <v>149</v>
      </c>
      <c r="E226" s="14">
        <v>0</v>
      </c>
    </row>
    <row r="227" spans="1:5" x14ac:dyDescent="0.35">
      <c r="A227" t="s">
        <v>1105</v>
      </c>
      <c r="B227" s="14">
        <v>729922</v>
      </c>
      <c r="C227" s="14">
        <v>729833</v>
      </c>
      <c r="D227" s="14">
        <v>89</v>
      </c>
      <c r="E227" s="14">
        <v>0</v>
      </c>
    </row>
    <row r="228" spans="1:5" x14ac:dyDescent="0.35">
      <c r="A228" t="s">
        <v>1106</v>
      </c>
      <c r="B228" s="14">
        <v>728136</v>
      </c>
      <c r="C228" s="14">
        <v>728047</v>
      </c>
      <c r="D228" s="14">
        <v>89</v>
      </c>
      <c r="E228" s="14">
        <v>0</v>
      </c>
    </row>
    <row r="229" spans="1:5" x14ac:dyDescent="0.35">
      <c r="A229" t="s">
        <v>1107</v>
      </c>
      <c r="B229" s="14">
        <v>728047</v>
      </c>
      <c r="C229" s="14">
        <v>728047</v>
      </c>
      <c r="D229" s="14">
        <v>0</v>
      </c>
      <c r="E229" s="14">
        <v>0</v>
      </c>
    </row>
    <row r="230" spans="1:5" x14ac:dyDescent="0.35">
      <c r="A230" t="s">
        <v>1108</v>
      </c>
      <c r="B230" s="14">
        <v>727129</v>
      </c>
      <c r="C230" s="14">
        <v>727129</v>
      </c>
      <c r="D230" s="14">
        <v>0</v>
      </c>
      <c r="E230" s="14">
        <v>0</v>
      </c>
    </row>
    <row r="231" spans="1:5" x14ac:dyDescent="0.35">
      <c r="A231" t="s">
        <v>1109</v>
      </c>
      <c r="B231" s="14">
        <v>725460</v>
      </c>
      <c r="C231" s="14">
        <v>725460</v>
      </c>
      <c r="D231" s="14">
        <v>0</v>
      </c>
      <c r="E231" s="14">
        <v>0</v>
      </c>
    </row>
    <row r="232" spans="1:5" x14ac:dyDescent="0.35">
      <c r="A232" t="s">
        <v>1110</v>
      </c>
      <c r="B232" s="14">
        <v>704167</v>
      </c>
      <c r="C232" s="14">
        <v>704167</v>
      </c>
      <c r="D232" s="14">
        <v>0</v>
      </c>
      <c r="E232" s="14">
        <v>0</v>
      </c>
    </row>
    <row r="233" spans="1:5" x14ac:dyDescent="0.35">
      <c r="A233" t="s">
        <v>1111</v>
      </c>
      <c r="B233" s="14">
        <v>703154</v>
      </c>
      <c r="C233" s="14">
        <v>703154</v>
      </c>
      <c r="D233" s="14">
        <v>0</v>
      </c>
      <c r="E233" s="14">
        <v>0</v>
      </c>
    </row>
    <row r="234" spans="1:5" x14ac:dyDescent="0.35">
      <c r="A234" t="s">
        <v>1126</v>
      </c>
      <c r="B234" s="14">
        <v>703154</v>
      </c>
      <c r="C234" s="14">
        <v>703154</v>
      </c>
      <c r="D234" s="14">
        <v>0</v>
      </c>
      <c r="E234" s="14">
        <v>0</v>
      </c>
    </row>
    <row r="235" spans="1:5" x14ac:dyDescent="0.35">
      <c r="A235" t="s">
        <v>1127</v>
      </c>
      <c r="B235" s="14">
        <v>702223</v>
      </c>
      <c r="C235" s="14">
        <v>702223</v>
      </c>
      <c r="D235" s="14">
        <v>0</v>
      </c>
      <c r="E235" s="14">
        <v>0</v>
      </c>
    </row>
    <row r="236" spans="1:5" x14ac:dyDescent="0.35">
      <c r="A236" t="s">
        <v>1128</v>
      </c>
      <c r="B236" s="14">
        <v>701276</v>
      </c>
      <c r="C236" s="14">
        <v>701276</v>
      </c>
      <c r="D236" s="14">
        <v>0</v>
      </c>
      <c r="E236" s="14">
        <v>0</v>
      </c>
    </row>
    <row r="237" spans="1:5" x14ac:dyDescent="0.35">
      <c r="A237" t="s">
        <v>1129</v>
      </c>
      <c r="B237" s="14">
        <v>701276</v>
      </c>
      <c r="C237" s="14">
        <v>701276</v>
      </c>
      <c r="D237" s="14">
        <v>0</v>
      </c>
      <c r="E237" s="14">
        <v>0</v>
      </c>
    </row>
    <row r="238" spans="1:5" x14ac:dyDescent="0.35">
      <c r="A238" t="s">
        <v>1130</v>
      </c>
      <c r="B238" s="14">
        <v>698548</v>
      </c>
      <c r="C238" s="14">
        <v>698548</v>
      </c>
      <c r="D238" s="14">
        <v>0</v>
      </c>
      <c r="E238" s="14">
        <v>0</v>
      </c>
    </row>
    <row r="239" spans="1:5" x14ac:dyDescent="0.35">
      <c r="A239" t="s">
        <v>1131</v>
      </c>
      <c r="B239" s="14">
        <v>697602</v>
      </c>
      <c r="C239" s="14">
        <v>697602</v>
      </c>
      <c r="D239" s="14">
        <v>0</v>
      </c>
      <c r="E239" s="14">
        <v>0</v>
      </c>
    </row>
    <row r="240" spans="1:5" x14ac:dyDescent="0.35">
      <c r="A240" t="s">
        <v>1132</v>
      </c>
      <c r="B240" s="14">
        <v>696031</v>
      </c>
      <c r="C240" s="14">
        <v>696031</v>
      </c>
      <c r="D240" s="14">
        <v>0</v>
      </c>
      <c r="E240" s="14">
        <v>0</v>
      </c>
    </row>
    <row r="241" spans="1:5" x14ac:dyDescent="0.35">
      <c r="A241" t="s">
        <v>1133</v>
      </c>
      <c r="B241" s="14">
        <v>695024</v>
      </c>
      <c r="C241" s="14">
        <v>695024</v>
      </c>
      <c r="D241" s="14">
        <v>0</v>
      </c>
      <c r="E241" s="14">
        <v>0</v>
      </c>
    </row>
    <row r="242" spans="1:5" x14ac:dyDescent="0.35">
      <c r="A242" t="s">
        <v>1134</v>
      </c>
      <c r="B242" s="14">
        <v>693214</v>
      </c>
      <c r="C242" s="14">
        <v>693214</v>
      </c>
      <c r="D242" s="14">
        <v>0</v>
      </c>
      <c r="E242" s="14">
        <v>0</v>
      </c>
    </row>
    <row r="243" spans="1:5" x14ac:dyDescent="0.35">
      <c r="A243" t="s">
        <v>1135</v>
      </c>
      <c r="B243" s="14">
        <v>693214</v>
      </c>
      <c r="C243" s="14">
        <v>693214</v>
      </c>
      <c r="D243" s="14">
        <v>0</v>
      </c>
      <c r="E243" s="14">
        <v>0</v>
      </c>
    </row>
    <row r="244" spans="1:5" x14ac:dyDescent="0.35">
      <c r="A244" t="s">
        <v>1136</v>
      </c>
      <c r="B244" s="14">
        <v>692312</v>
      </c>
      <c r="C244" s="14">
        <v>692312</v>
      </c>
      <c r="D244" s="14">
        <v>0</v>
      </c>
      <c r="E244" s="14">
        <v>0</v>
      </c>
    </row>
    <row r="245" spans="1:5" x14ac:dyDescent="0.35">
      <c r="A245" t="s">
        <v>1137</v>
      </c>
      <c r="B245" s="14">
        <v>691329</v>
      </c>
      <c r="C245" s="14">
        <v>691329</v>
      </c>
      <c r="D245" s="14">
        <v>0</v>
      </c>
      <c r="E245" s="14">
        <v>0</v>
      </c>
    </row>
    <row r="246" spans="1:5" x14ac:dyDescent="0.35">
      <c r="A246" t="s">
        <v>1155</v>
      </c>
      <c r="B246" s="14">
        <v>690419</v>
      </c>
      <c r="C246" s="14">
        <v>690419</v>
      </c>
      <c r="D246" s="14">
        <v>0</v>
      </c>
      <c r="E246" s="14">
        <v>0</v>
      </c>
    </row>
    <row r="247" spans="1:5" x14ac:dyDescent="0.35">
      <c r="A247" t="s">
        <v>1156</v>
      </c>
      <c r="B247" s="14">
        <v>689501</v>
      </c>
      <c r="C247" s="14">
        <v>689501</v>
      </c>
      <c r="D247" s="14">
        <v>0</v>
      </c>
      <c r="E247" s="14">
        <v>0</v>
      </c>
    </row>
    <row r="248" spans="1:5" x14ac:dyDescent="0.35">
      <c r="A248" t="s">
        <v>1157</v>
      </c>
      <c r="B248" s="14">
        <v>688592</v>
      </c>
      <c r="C248" s="14">
        <v>688592</v>
      </c>
      <c r="D248" s="14">
        <v>0</v>
      </c>
      <c r="E248" s="14">
        <v>0</v>
      </c>
    </row>
    <row r="249" spans="1:5" x14ac:dyDescent="0.35">
      <c r="A249" t="s">
        <v>1158</v>
      </c>
      <c r="B249" s="14">
        <v>687649</v>
      </c>
      <c r="C249" s="14">
        <v>687649</v>
      </c>
      <c r="D249" s="14">
        <v>0</v>
      </c>
      <c r="E249" s="14">
        <v>0</v>
      </c>
    </row>
    <row r="250" spans="1:5" x14ac:dyDescent="0.35">
      <c r="A250" t="s">
        <v>1159</v>
      </c>
      <c r="B250" s="14">
        <v>687649</v>
      </c>
      <c r="C250" s="14">
        <v>687649</v>
      </c>
      <c r="D250" s="14">
        <v>0</v>
      </c>
      <c r="E250" s="14">
        <v>0</v>
      </c>
    </row>
    <row r="251" spans="1:5" x14ac:dyDescent="0.35">
      <c r="A251" t="s">
        <v>1160</v>
      </c>
      <c r="B251" s="14">
        <v>687649</v>
      </c>
      <c r="C251" s="14">
        <v>687649</v>
      </c>
      <c r="D251" s="14">
        <v>0</v>
      </c>
      <c r="E251" s="14">
        <v>0</v>
      </c>
    </row>
    <row r="252" spans="1:5" x14ac:dyDescent="0.35">
      <c r="A252" t="s">
        <v>1161</v>
      </c>
      <c r="B252" s="14">
        <v>659940</v>
      </c>
      <c r="C252" s="14">
        <v>659940</v>
      </c>
      <c r="D252" s="14">
        <v>0</v>
      </c>
      <c r="E252" s="14">
        <v>0</v>
      </c>
    </row>
    <row r="253" spans="1:5" x14ac:dyDescent="0.35">
      <c r="A253" t="s">
        <v>1162</v>
      </c>
      <c r="B253" s="14">
        <v>659015</v>
      </c>
      <c r="C253" s="14">
        <v>659015</v>
      </c>
      <c r="D253" s="14">
        <v>0</v>
      </c>
      <c r="E253" s="14">
        <v>0</v>
      </c>
    </row>
    <row r="254" spans="1:5" x14ac:dyDescent="0.35">
      <c r="A254" t="s">
        <v>1163</v>
      </c>
      <c r="B254" s="14">
        <v>659015</v>
      </c>
      <c r="C254" s="14">
        <v>659015</v>
      </c>
      <c r="D254" s="14">
        <v>0</v>
      </c>
      <c r="E254" s="14">
        <v>0</v>
      </c>
    </row>
    <row r="255" spans="1:5" x14ac:dyDescent="0.35">
      <c r="A255" t="s">
        <v>1164</v>
      </c>
      <c r="B255" s="14">
        <v>658040</v>
      </c>
      <c r="C255" s="14">
        <v>658040</v>
      </c>
      <c r="D255" s="14">
        <v>0</v>
      </c>
      <c r="E255" s="14">
        <v>0</v>
      </c>
    </row>
    <row r="256" spans="1:5" x14ac:dyDescent="0.35">
      <c r="A256" t="s">
        <v>1165</v>
      </c>
      <c r="B256" s="14">
        <v>656402</v>
      </c>
      <c r="C256" s="14">
        <v>656402</v>
      </c>
      <c r="D256" s="14">
        <v>0</v>
      </c>
      <c r="E256" s="14">
        <v>0</v>
      </c>
    </row>
    <row r="257" spans="1:5" x14ac:dyDescent="0.35">
      <c r="A257" t="s">
        <v>1166</v>
      </c>
      <c r="B257" s="14">
        <v>655519</v>
      </c>
      <c r="C257" s="14">
        <v>655519</v>
      </c>
      <c r="D257" s="14">
        <v>0</v>
      </c>
      <c r="E257" s="14">
        <v>0</v>
      </c>
    </row>
    <row r="258" spans="1:5" x14ac:dyDescent="0.35">
      <c r="A258" t="s">
        <v>1167</v>
      </c>
      <c r="B258" s="14">
        <v>654531</v>
      </c>
      <c r="C258" s="14">
        <v>654531</v>
      </c>
      <c r="D258" s="14">
        <v>0</v>
      </c>
      <c r="E258" s="14">
        <v>0</v>
      </c>
    </row>
    <row r="259" spans="1:5" x14ac:dyDescent="0.35">
      <c r="A259" t="s">
        <v>1168</v>
      </c>
      <c r="B259" s="14">
        <v>654531</v>
      </c>
      <c r="C259" s="14">
        <v>654531</v>
      </c>
      <c r="D259" s="14">
        <v>0</v>
      </c>
      <c r="E259" s="14">
        <v>0</v>
      </c>
    </row>
    <row r="260" spans="1:5" x14ac:dyDescent="0.35">
      <c r="A260" t="s">
        <v>1196</v>
      </c>
      <c r="B260" s="14">
        <v>654531</v>
      </c>
      <c r="C260" s="14">
        <v>654531</v>
      </c>
      <c r="D260" s="14">
        <v>0</v>
      </c>
      <c r="E260" s="14">
        <v>0</v>
      </c>
    </row>
    <row r="261" spans="1:5" x14ac:dyDescent="0.35">
      <c r="A261" t="s">
        <v>1197</v>
      </c>
      <c r="B261" s="14">
        <v>654531</v>
      </c>
      <c r="C261" s="14">
        <v>654531</v>
      </c>
      <c r="D261" s="14">
        <v>0</v>
      </c>
      <c r="E261" s="14">
        <v>0</v>
      </c>
    </row>
    <row r="262" spans="1:5" x14ac:dyDescent="0.35">
      <c r="A262" t="s">
        <v>1198</v>
      </c>
      <c r="B262" s="14">
        <v>654531</v>
      </c>
      <c r="C262" s="14">
        <v>654531</v>
      </c>
      <c r="D262" s="14">
        <v>0</v>
      </c>
      <c r="E262" s="14">
        <v>0</v>
      </c>
    </row>
    <row r="263" spans="1:5" x14ac:dyDescent="0.35">
      <c r="A263" t="s">
        <v>1199</v>
      </c>
      <c r="B263" s="14">
        <v>654531</v>
      </c>
      <c r="C263" s="14">
        <v>654531</v>
      </c>
      <c r="D263" s="14">
        <v>0</v>
      </c>
      <c r="E263" s="14">
        <v>0</v>
      </c>
    </row>
    <row r="264" spans="1:5" x14ac:dyDescent="0.35">
      <c r="A264" t="s">
        <v>1200</v>
      </c>
      <c r="B264" s="14">
        <v>654531</v>
      </c>
      <c r="C264" s="14">
        <v>654531</v>
      </c>
      <c r="D264" s="14">
        <v>0</v>
      </c>
      <c r="E264" s="14">
        <v>0</v>
      </c>
    </row>
    <row r="265" spans="1:5" x14ac:dyDescent="0.35">
      <c r="A265" t="s">
        <v>1201</v>
      </c>
      <c r="B265" s="14">
        <v>654531</v>
      </c>
      <c r="C265" s="14">
        <v>654531</v>
      </c>
      <c r="D265" s="14">
        <v>0</v>
      </c>
      <c r="E265" s="14">
        <v>0</v>
      </c>
    </row>
    <row r="266" spans="1:5" x14ac:dyDescent="0.35">
      <c r="A266" t="s">
        <v>1202</v>
      </c>
      <c r="B266" s="14">
        <v>654531</v>
      </c>
      <c r="C266" s="14">
        <v>654531</v>
      </c>
      <c r="D266" s="14">
        <v>0</v>
      </c>
      <c r="E266" s="14">
        <v>0</v>
      </c>
    </row>
    <row r="267" spans="1:5" x14ac:dyDescent="0.35">
      <c r="A267" t="s">
        <v>1203</v>
      </c>
      <c r="B267" s="14">
        <v>654531</v>
      </c>
      <c r="C267" s="14">
        <v>654531</v>
      </c>
      <c r="D267" s="14">
        <v>0</v>
      </c>
      <c r="E267" s="14">
        <v>0</v>
      </c>
    </row>
    <row r="268" spans="1:5" x14ac:dyDescent="0.35">
      <c r="A268" t="s">
        <v>1204</v>
      </c>
      <c r="B268" s="14">
        <v>654531</v>
      </c>
      <c r="C268" s="14">
        <v>654531</v>
      </c>
      <c r="D268" s="14">
        <v>0</v>
      </c>
      <c r="E268" s="14">
        <v>0</v>
      </c>
    </row>
    <row r="269" spans="1:5" x14ac:dyDescent="0.35">
      <c r="A269" t="s">
        <v>1205</v>
      </c>
      <c r="B269" s="14">
        <v>653535</v>
      </c>
      <c r="C269" s="14">
        <v>653535</v>
      </c>
      <c r="D269" s="14">
        <v>0</v>
      </c>
      <c r="E269" s="14">
        <v>0</v>
      </c>
    </row>
    <row r="270" spans="1:5" x14ac:dyDescent="0.35">
      <c r="A270" t="s">
        <v>1206</v>
      </c>
      <c r="B270" s="14">
        <v>652698</v>
      </c>
      <c r="C270" s="14">
        <v>652698</v>
      </c>
      <c r="D270" s="14">
        <v>0</v>
      </c>
      <c r="E270" s="14">
        <v>0</v>
      </c>
    </row>
    <row r="271" spans="1:5" x14ac:dyDescent="0.35">
      <c r="A271" t="s">
        <v>1207</v>
      </c>
      <c r="B271" s="14">
        <v>652698</v>
      </c>
      <c r="C271" s="14">
        <v>652698</v>
      </c>
      <c r="D271" s="14">
        <v>0</v>
      </c>
      <c r="E271" s="14">
        <v>0</v>
      </c>
    </row>
    <row r="272" spans="1:5" x14ac:dyDescent="0.35">
      <c r="A272" t="s">
        <v>1208</v>
      </c>
      <c r="B272" s="14">
        <v>651734</v>
      </c>
      <c r="C272" s="14">
        <v>651734</v>
      </c>
      <c r="D272" s="14">
        <v>0</v>
      </c>
      <c r="E272" s="14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28DB-6C37-4EF9-81BA-D3BF37EB0C12}">
  <dimension ref="A1:LR51"/>
  <sheetViews>
    <sheetView workbookViewId="0">
      <pane xSplit="6" ySplit="1" topLeftCell="GS2" activePane="bottomRight" state="frozen"/>
      <selection activeCell="C13" sqref="C13"/>
      <selection pane="topRight" activeCell="C13" sqref="C13"/>
      <selection pane="bottomLeft" activeCell="C13" sqref="C13"/>
      <selection pane="bottomRight" activeCell="C25" sqref="C25"/>
    </sheetView>
  </sheetViews>
  <sheetFormatPr defaultColWidth="9.1796875" defaultRowHeight="14.5" x14ac:dyDescent="0.35"/>
  <cols>
    <col min="1" max="1" width="15.7265625" style="10" customWidth="1"/>
    <col min="2" max="3" width="20.7265625" style="10" customWidth="1"/>
    <col min="4" max="5" width="10.7265625" style="10" customWidth="1"/>
    <col min="6" max="6" width="15.7265625" style="10" customWidth="1"/>
    <col min="7" max="319" width="10.7265625" style="10" customWidth="1"/>
    <col min="320" max="320" width="20.7265625" style="10" customWidth="1"/>
    <col min="321" max="322" width="15.7265625" style="10" customWidth="1"/>
    <col min="323" max="324" width="20.7265625" style="10" customWidth="1"/>
    <col min="325" max="325" width="18.7265625" style="10" customWidth="1"/>
    <col min="326" max="327" width="22.7265625" style="10" customWidth="1"/>
    <col min="328" max="328" width="13.7265625" style="10" customWidth="1"/>
    <col min="329" max="329" width="14.7265625" style="10" customWidth="1"/>
    <col min="330" max="330" width="10.7265625" style="10" customWidth="1"/>
    <col min="331" max="16384" width="9.1796875" style="10"/>
  </cols>
  <sheetData>
    <row r="1" spans="1:330" ht="29" x14ac:dyDescent="0.35">
      <c r="A1" s="24" t="s">
        <v>123</v>
      </c>
      <c r="B1" s="24" t="s">
        <v>124</v>
      </c>
      <c r="C1" s="24" t="s">
        <v>125</v>
      </c>
      <c r="D1" s="24" t="s">
        <v>126</v>
      </c>
      <c r="E1" s="24" t="s">
        <v>127</v>
      </c>
      <c r="F1" s="24" t="s">
        <v>128</v>
      </c>
      <c r="G1" s="24" t="s">
        <v>129</v>
      </c>
      <c r="H1" s="24" t="s">
        <v>130</v>
      </c>
      <c r="I1" s="24" t="s">
        <v>131</v>
      </c>
      <c r="J1" s="24" t="s">
        <v>132</v>
      </c>
      <c r="K1" s="24" t="s">
        <v>133</v>
      </c>
      <c r="L1" s="24" t="s">
        <v>134</v>
      </c>
      <c r="M1" s="24" t="s">
        <v>135</v>
      </c>
      <c r="N1" s="24" t="s">
        <v>136</v>
      </c>
      <c r="O1" s="24" t="s">
        <v>137</v>
      </c>
      <c r="P1" s="24" t="s">
        <v>138</v>
      </c>
      <c r="Q1" s="24" t="s">
        <v>139</v>
      </c>
      <c r="R1" s="24" t="s">
        <v>140</v>
      </c>
      <c r="S1" s="24" t="s">
        <v>141</v>
      </c>
      <c r="T1" s="24" t="s">
        <v>142</v>
      </c>
      <c r="U1" s="24" t="s">
        <v>143</v>
      </c>
      <c r="V1" s="24" t="s">
        <v>144</v>
      </c>
      <c r="W1" s="24" t="s">
        <v>145</v>
      </c>
      <c r="X1" s="24" t="s">
        <v>146</v>
      </c>
      <c r="Y1" s="24" t="s">
        <v>147</v>
      </c>
      <c r="Z1" s="24" t="s">
        <v>148</v>
      </c>
      <c r="AA1" s="24" t="s">
        <v>149</v>
      </c>
      <c r="AB1" s="24" t="s">
        <v>150</v>
      </c>
      <c r="AC1" s="24" t="s">
        <v>151</v>
      </c>
      <c r="AD1" s="24" t="s">
        <v>152</v>
      </c>
      <c r="AE1" s="24" t="s">
        <v>153</v>
      </c>
      <c r="AF1" s="24" t="s">
        <v>154</v>
      </c>
      <c r="AG1" s="24" t="s">
        <v>155</v>
      </c>
      <c r="AH1" s="24" t="s">
        <v>156</v>
      </c>
      <c r="AI1" s="24" t="s">
        <v>157</v>
      </c>
      <c r="AJ1" s="24" t="s">
        <v>158</v>
      </c>
      <c r="AK1" s="24" t="s">
        <v>159</v>
      </c>
      <c r="AL1" s="24" t="s">
        <v>160</v>
      </c>
      <c r="AM1" s="24" t="s">
        <v>161</v>
      </c>
      <c r="AN1" s="24" t="s">
        <v>162</v>
      </c>
      <c r="AO1" s="24" t="s">
        <v>163</v>
      </c>
      <c r="AP1" s="24" t="s">
        <v>164</v>
      </c>
      <c r="AQ1" s="24" t="s">
        <v>165</v>
      </c>
      <c r="AR1" s="24" t="s">
        <v>166</v>
      </c>
      <c r="AS1" s="24" t="s">
        <v>167</v>
      </c>
      <c r="AT1" s="24" t="s">
        <v>168</v>
      </c>
      <c r="AU1" s="24" t="s">
        <v>169</v>
      </c>
      <c r="AV1" s="24" t="s">
        <v>170</v>
      </c>
      <c r="AW1" s="24" t="s">
        <v>171</v>
      </c>
      <c r="AX1" s="24" t="s">
        <v>172</v>
      </c>
      <c r="AY1" s="24" t="s">
        <v>173</v>
      </c>
      <c r="AZ1" s="24" t="s">
        <v>174</v>
      </c>
      <c r="BA1" s="24" t="s">
        <v>175</v>
      </c>
      <c r="BB1" s="24" t="s">
        <v>176</v>
      </c>
      <c r="BC1" s="24" t="s">
        <v>177</v>
      </c>
      <c r="BD1" s="24" t="s">
        <v>178</v>
      </c>
      <c r="BE1" s="24" t="s">
        <v>179</v>
      </c>
      <c r="BF1" s="24" t="s">
        <v>180</v>
      </c>
      <c r="BG1" s="24" t="s">
        <v>181</v>
      </c>
      <c r="BH1" s="24" t="s">
        <v>182</v>
      </c>
      <c r="BI1" s="24" t="s">
        <v>183</v>
      </c>
      <c r="BJ1" s="24" t="s">
        <v>184</v>
      </c>
      <c r="BK1" s="24" t="s">
        <v>185</v>
      </c>
      <c r="BL1" s="24" t="s">
        <v>186</v>
      </c>
      <c r="BM1" s="24" t="s">
        <v>187</v>
      </c>
      <c r="BN1" s="24" t="s">
        <v>188</v>
      </c>
      <c r="BO1" s="24" t="s">
        <v>189</v>
      </c>
      <c r="BP1" s="24" t="s">
        <v>190</v>
      </c>
      <c r="BQ1" s="24" t="s">
        <v>191</v>
      </c>
      <c r="BR1" s="24" t="s">
        <v>192</v>
      </c>
      <c r="BS1" s="24" t="s">
        <v>193</v>
      </c>
      <c r="BT1" s="24" t="s">
        <v>194</v>
      </c>
      <c r="BU1" s="24" t="s">
        <v>195</v>
      </c>
      <c r="BV1" s="24" t="s">
        <v>196</v>
      </c>
      <c r="BW1" s="24" t="s">
        <v>197</v>
      </c>
      <c r="BX1" s="24" t="s">
        <v>198</v>
      </c>
      <c r="BY1" s="24" t="s">
        <v>199</v>
      </c>
      <c r="BZ1" s="24" t="s">
        <v>200</v>
      </c>
      <c r="CA1" s="24" t="s">
        <v>201</v>
      </c>
      <c r="CB1" s="24" t="s">
        <v>202</v>
      </c>
      <c r="CC1" s="24" t="s">
        <v>203</v>
      </c>
      <c r="CD1" s="24" t="s">
        <v>204</v>
      </c>
      <c r="CE1" s="24" t="s">
        <v>205</v>
      </c>
      <c r="CF1" s="24" t="s">
        <v>206</v>
      </c>
      <c r="CG1" s="24" t="s">
        <v>207</v>
      </c>
      <c r="CH1" s="24" t="s">
        <v>208</v>
      </c>
      <c r="CI1" s="24" t="s">
        <v>209</v>
      </c>
      <c r="CJ1" s="24" t="s">
        <v>210</v>
      </c>
      <c r="CK1" s="24" t="s">
        <v>211</v>
      </c>
      <c r="CL1" s="24" t="s">
        <v>212</v>
      </c>
      <c r="CM1" s="24" t="s">
        <v>213</v>
      </c>
      <c r="CN1" s="24" t="s">
        <v>214</v>
      </c>
      <c r="CO1" s="24" t="s">
        <v>215</v>
      </c>
      <c r="CP1" s="24" t="s">
        <v>216</v>
      </c>
      <c r="CQ1" s="24" t="s">
        <v>217</v>
      </c>
      <c r="CR1" s="24" t="s">
        <v>218</v>
      </c>
      <c r="CS1" s="24" t="s">
        <v>219</v>
      </c>
      <c r="CT1" s="24" t="s">
        <v>220</v>
      </c>
      <c r="CU1" s="24" t="s">
        <v>221</v>
      </c>
      <c r="CV1" s="24" t="s">
        <v>222</v>
      </c>
      <c r="CW1" s="24" t="s">
        <v>223</v>
      </c>
      <c r="CX1" s="24" t="s">
        <v>224</v>
      </c>
      <c r="CY1" s="24" t="s">
        <v>225</v>
      </c>
      <c r="CZ1" s="24" t="s">
        <v>226</v>
      </c>
      <c r="DA1" s="24" t="s">
        <v>227</v>
      </c>
      <c r="DB1" s="24" t="s">
        <v>228</v>
      </c>
      <c r="DC1" s="24" t="s">
        <v>229</v>
      </c>
      <c r="DD1" s="24" t="s">
        <v>230</v>
      </c>
      <c r="DE1" s="24" t="s">
        <v>231</v>
      </c>
      <c r="DF1" s="24" t="s">
        <v>232</v>
      </c>
      <c r="DG1" s="24" t="s">
        <v>233</v>
      </c>
      <c r="DH1" s="24" t="s">
        <v>234</v>
      </c>
      <c r="DI1" s="24" t="s">
        <v>235</v>
      </c>
      <c r="DJ1" s="24" t="s">
        <v>236</v>
      </c>
      <c r="DK1" s="24" t="s">
        <v>237</v>
      </c>
      <c r="DL1" s="24" t="s">
        <v>238</v>
      </c>
      <c r="DM1" s="24" t="s">
        <v>239</v>
      </c>
      <c r="DN1" s="24" t="s">
        <v>240</v>
      </c>
      <c r="DO1" s="24" t="s">
        <v>241</v>
      </c>
      <c r="DP1" s="24" t="s">
        <v>242</v>
      </c>
      <c r="DQ1" s="24" t="s">
        <v>243</v>
      </c>
      <c r="DR1" s="24" t="s">
        <v>244</v>
      </c>
      <c r="DS1" s="24" t="s">
        <v>245</v>
      </c>
      <c r="DT1" s="24" t="s">
        <v>246</v>
      </c>
      <c r="DU1" s="24" t="s">
        <v>247</v>
      </c>
      <c r="DV1" s="24" t="s">
        <v>248</v>
      </c>
      <c r="DW1" s="24" t="s">
        <v>249</v>
      </c>
      <c r="DX1" s="24" t="s">
        <v>250</v>
      </c>
      <c r="DY1" s="24" t="s">
        <v>251</v>
      </c>
      <c r="DZ1" s="24" t="s">
        <v>252</v>
      </c>
      <c r="EA1" s="24" t="s">
        <v>253</v>
      </c>
      <c r="EB1" s="24" t="s">
        <v>254</v>
      </c>
      <c r="EC1" s="24" t="s">
        <v>255</v>
      </c>
      <c r="ED1" s="24" t="s">
        <v>256</v>
      </c>
      <c r="EE1" s="24" t="s">
        <v>257</v>
      </c>
      <c r="EF1" s="24" t="s">
        <v>258</v>
      </c>
      <c r="EG1" s="24" t="s">
        <v>259</v>
      </c>
      <c r="EH1" s="24" t="s">
        <v>260</v>
      </c>
      <c r="EI1" s="24" t="s">
        <v>261</v>
      </c>
      <c r="EJ1" s="24" t="s">
        <v>262</v>
      </c>
      <c r="EK1" s="24" t="s">
        <v>263</v>
      </c>
      <c r="EL1" s="24" t="s">
        <v>264</v>
      </c>
      <c r="EM1" s="24" t="s">
        <v>265</v>
      </c>
      <c r="EN1" s="24" t="s">
        <v>266</v>
      </c>
      <c r="EO1" s="24" t="s">
        <v>267</v>
      </c>
      <c r="EP1" s="24" t="s">
        <v>268</v>
      </c>
      <c r="EQ1" s="24" t="s">
        <v>269</v>
      </c>
      <c r="ER1" s="24" t="s">
        <v>270</v>
      </c>
      <c r="ES1" s="24" t="s">
        <v>271</v>
      </c>
      <c r="ET1" s="24" t="s">
        <v>272</v>
      </c>
      <c r="EU1" s="24" t="s">
        <v>273</v>
      </c>
      <c r="EV1" s="24" t="s">
        <v>274</v>
      </c>
      <c r="EW1" s="24" t="s">
        <v>275</v>
      </c>
      <c r="EX1" s="24" t="s">
        <v>276</v>
      </c>
      <c r="EY1" s="24" t="s">
        <v>277</v>
      </c>
      <c r="EZ1" s="24" t="s">
        <v>278</v>
      </c>
      <c r="FA1" s="24" t="s">
        <v>279</v>
      </c>
      <c r="FB1" s="24" t="s">
        <v>280</v>
      </c>
      <c r="FC1" s="24" t="s">
        <v>281</v>
      </c>
      <c r="FD1" s="24" t="s">
        <v>282</v>
      </c>
      <c r="FE1" s="24" t="s">
        <v>283</v>
      </c>
      <c r="FF1" s="24" t="s">
        <v>284</v>
      </c>
      <c r="FG1" s="24" t="s">
        <v>285</v>
      </c>
      <c r="FH1" s="24" t="s">
        <v>286</v>
      </c>
      <c r="FI1" s="24" t="s">
        <v>287</v>
      </c>
      <c r="FJ1" s="24" t="s">
        <v>288</v>
      </c>
      <c r="FK1" s="24" t="s">
        <v>289</v>
      </c>
      <c r="FL1" s="24" t="s">
        <v>290</v>
      </c>
      <c r="FM1" s="24" t="s">
        <v>291</v>
      </c>
      <c r="FN1" s="24" t="s">
        <v>292</v>
      </c>
      <c r="FO1" s="24" t="s">
        <v>293</v>
      </c>
      <c r="FP1" s="24" t="s">
        <v>294</v>
      </c>
      <c r="FQ1" s="24" t="s">
        <v>295</v>
      </c>
      <c r="FR1" s="24" t="s">
        <v>296</v>
      </c>
      <c r="FS1" s="24" t="s">
        <v>297</v>
      </c>
      <c r="FT1" s="24" t="s">
        <v>298</v>
      </c>
      <c r="FU1" s="24" t="s">
        <v>299</v>
      </c>
      <c r="FV1" s="24" t="s">
        <v>300</v>
      </c>
      <c r="FW1" s="24" t="s">
        <v>301</v>
      </c>
      <c r="FX1" s="24" t="s">
        <v>302</v>
      </c>
      <c r="FY1" s="24" t="s">
        <v>303</v>
      </c>
      <c r="FZ1" s="24" t="s">
        <v>304</v>
      </c>
      <c r="GA1" s="24" t="s">
        <v>305</v>
      </c>
      <c r="GB1" s="24" t="s">
        <v>306</v>
      </c>
      <c r="GC1" s="24" t="s">
        <v>307</v>
      </c>
      <c r="GD1" s="24" t="s">
        <v>308</v>
      </c>
      <c r="GE1" s="24" t="s">
        <v>309</v>
      </c>
      <c r="GF1" s="24" t="s">
        <v>310</v>
      </c>
      <c r="GG1" s="24" t="s">
        <v>311</v>
      </c>
      <c r="GH1" s="24" t="s">
        <v>312</v>
      </c>
      <c r="GI1" s="24" t="s">
        <v>313</v>
      </c>
      <c r="GJ1" s="24" t="s">
        <v>314</v>
      </c>
      <c r="GK1" s="24" t="s">
        <v>315</v>
      </c>
      <c r="GL1" s="24" t="s">
        <v>316</v>
      </c>
      <c r="GM1" s="24" t="s">
        <v>317</v>
      </c>
      <c r="GN1" s="24" t="s">
        <v>318</v>
      </c>
      <c r="GO1" s="24" t="s">
        <v>319</v>
      </c>
      <c r="GP1" s="24" t="s">
        <v>320</v>
      </c>
      <c r="GQ1" s="24" t="s">
        <v>321</v>
      </c>
      <c r="GR1" s="24" t="s">
        <v>322</v>
      </c>
      <c r="GS1" s="24" t="s">
        <v>323</v>
      </c>
      <c r="GT1" s="24" t="s">
        <v>324</v>
      </c>
      <c r="GU1" s="24" t="s">
        <v>325</v>
      </c>
      <c r="GV1" s="24" t="s">
        <v>326</v>
      </c>
      <c r="GW1" s="24" t="s">
        <v>327</v>
      </c>
      <c r="GX1" s="24" t="s">
        <v>328</v>
      </c>
      <c r="GY1" s="24" t="s">
        <v>329</v>
      </c>
      <c r="GZ1" s="24" t="s">
        <v>330</v>
      </c>
      <c r="HA1" s="24" t="s">
        <v>331</v>
      </c>
      <c r="HB1" s="24" t="s">
        <v>332</v>
      </c>
      <c r="HC1" s="24" t="s">
        <v>333</v>
      </c>
      <c r="HD1" s="24" t="s">
        <v>334</v>
      </c>
      <c r="HE1" s="24" t="s">
        <v>335</v>
      </c>
      <c r="HF1" s="24" t="s">
        <v>336</v>
      </c>
      <c r="HG1" s="24" t="s">
        <v>337</v>
      </c>
      <c r="HH1" s="24" t="s">
        <v>338</v>
      </c>
      <c r="HI1" s="24" t="s">
        <v>339</v>
      </c>
      <c r="HJ1" s="24" t="s">
        <v>340</v>
      </c>
      <c r="HK1" s="24" t="s">
        <v>341</v>
      </c>
      <c r="HL1" s="24" t="s">
        <v>342</v>
      </c>
      <c r="HM1" s="24" t="s">
        <v>343</v>
      </c>
      <c r="HN1" s="24" t="s">
        <v>344</v>
      </c>
      <c r="HO1" s="24" t="s">
        <v>345</v>
      </c>
      <c r="HP1" s="24" t="s">
        <v>346</v>
      </c>
      <c r="HQ1" s="24" t="s">
        <v>347</v>
      </c>
      <c r="HR1" s="24" t="s">
        <v>348</v>
      </c>
      <c r="HS1" s="24" t="s">
        <v>349</v>
      </c>
      <c r="HT1" s="24" t="s">
        <v>350</v>
      </c>
      <c r="HU1" s="24" t="s">
        <v>351</v>
      </c>
      <c r="HV1" s="24" t="s">
        <v>352</v>
      </c>
      <c r="HW1" s="24" t="s">
        <v>353</v>
      </c>
      <c r="HX1" s="24" t="s">
        <v>354</v>
      </c>
      <c r="HY1" s="24" t="s">
        <v>355</v>
      </c>
      <c r="HZ1" s="24" t="s">
        <v>356</v>
      </c>
      <c r="IA1" s="24" t="s">
        <v>357</v>
      </c>
      <c r="IB1" s="24" t="s">
        <v>358</v>
      </c>
      <c r="IC1" s="24" t="s">
        <v>359</v>
      </c>
      <c r="ID1" s="24" t="s">
        <v>360</v>
      </c>
      <c r="IE1" s="24" t="s">
        <v>361</v>
      </c>
      <c r="IF1" s="24" t="s">
        <v>362</v>
      </c>
      <c r="IG1" s="24" t="s">
        <v>363</v>
      </c>
      <c r="IH1" s="24" t="s">
        <v>364</v>
      </c>
      <c r="II1" s="24" t="s">
        <v>365</v>
      </c>
      <c r="IJ1" s="24" t="s">
        <v>366</v>
      </c>
      <c r="IK1" s="24" t="s">
        <v>367</v>
      </c>
      <c r="IL1" s="24" t="s">
        <v>368</v>
      </c>
      <c r="IM1" s="24" t="s">
        <v>369</v>
      </c>
      <c r="IN1" s="24" t="s">
        <v>370</v>
      </c>
      <c r="IO1" s="24" t="s">
        <v>371</v>
      </c>
      <c r="IP1" s="24" t="s">
        <v>372</v>
      </c>
      <c r="IQ1" s="24" t="s">
        <v>373</v>
      </c>
      <c r="IR1" s="24" t="s">
        <v>374</v>
      </c>
      <c r="IS1" s="24" t="s">
        <v>375</v>
      </c>
      <c r="IT1" s="24" t="s">
        <v>376</v>
      </c>
      <c r="IU1" s="24" t="s">
        <v>377</v>
      </c>
      <c r="IV1" s="24" t="s">
        <v>378</v>
      </c>
      <c r="IW1" s="24" t="s">
        <v>379</v>
      </c>
      <c r="IX1" s="24" t="s">
        <v>380</v>
      </c>
      <c r="IY1" s="24" t="s">
        <v>381</v>
      </c>
      <c r="IZ1" s="24" t="s">
        <v>382</v>
      </c>
      <c r="JA1" s="24" t="s">
        <v>383</v>
      </c>
      <c r="JB1" s="24" t="s">
        <v>384</v>
      </c>
      <c r="JC1" s="24" t="s">
        <v>385</v>
      </c>
      <c r="JD1" s="24" t="s">
        <v>386</v>
      </c>
      <c r="JE1" s="24" t="s">
        <v>387</v>
      </c>
      <c r="JF1" s="24" t="s">
        <v>388</v>
      </c>
      <c r="JG1" s="24" t="s">
        <v>389</v>
      </c>
      <c r="JH1" s="24" t="s">
        <v>390</v>
      </c>
      <c r="JI1" s="24" t="s">
        <v>391</v>
      </c>
      <c r="JJ1" s="24" t="s">
        <v>392</v>
      </c>
      <c r="JK1" s="24" t="s">
        <v>393</v>
      </c>
      <c r="JL1" s="24" t="s">
        <v>394</v>
      </c>
      <c r="JM1" s="24" t="s">
        <v>395</v>
      </c>
      <c r="JN1" s="24" t="s">
        <v>396</v>
      </c>
      <c r="JO1" s="24" t="s">
        <v>397</v>
      </c>
      <c r="JP1" s="24" t="s">
        <v>398</v>
      </c>
      <c r="JQ1" s="24" t="s">
        <v>399</v>
      </c>
      <c r="JR1" s="24" t="s">
        <v>400</v>
      </c>
      <c r="JS1" s="24" t="s">
        <v>401</v>
      </c>
      <c r="JT1" s="24" t="s">
        <v>402</v>
      </c>
      <c r="JU1" s="24" t="s">
        <v>403</v>
      </c>
      <c r="JV1" s="24" t="s">
        <v>404</v>
      </c>
      <c r="JW1" s="24" t="s">
        <v>405</v>
      </c>
      <c r="JX1" s="24" t="s">
        <v>406</v>
      </c>
      <c r="JY1" s="24" t="s">
        <v>407</v>
      </c>
      <c r="JZ1" s="24" t="s">
        <v>408</v>
      </c>
      <c r="KA1" s="24" t="s">
        <v>409</v>
      </c>
      <c r="KB1" s="24" t="s">
        <v>410</v>
      </c>
      <c r="KC1" s="24" t="s">
        <v>411</v>
      </c>
      <c r="KD1" s="24" t="s">
        <v>412</v>
      </c>
      <c r="KE1" s="24" t="s">
        <v>413</v>
      </c>
      <c r="KF1" s="24" t="s">
        <v>414</v>
      </c>
      <c r="KG1" s="24" t="s">
        <v>415</v>
      </c>
      <c r="KH1" s="24" t="s">
        <v>416</v>
      </c>
      <c r="KI1" s="24" t="s">
        <v>417</v>
      </c>
      <c r="KJ1" s="24" t="s">
        <v>418</v>
      </c>
      <c r="KK1" s="24" t="s">
        <v>419</v>
      </c>
      <c r="KL1" s="24" t="s">
        <v>420</v>
      </c>
      <c r="KM1" s="24" t="s">
        <v>421</v>
      </c>
      <c r="KN1" s="24" t="s">
        <v>422</v>
      </c>
      <c r="KO1" s="24" t="s">
        <v>423</v>
      </c>
      <c r="KP1" s="24" t="s">
        <v>424</v>
      </c>
      <c r="KQ1" s="24" t="s">
        <v>425</v>
      </c>
      <c r="KR1" s="24" t="s">
        <v>426</v>
      </c>
      <c r="KS1" s="24" t="s">
        <v>427</v>
      </c>
      <c r="KT1" s="24" t="s">
        <v>428</v>
      </c>
      <c r="KU1" s="24" t="s">
        <v>429</v>
      </c>
      <c r="KV1" s="24" t="s">
        <v>430</v>
      </c>
      <c r="KW1" s="24" t="s">
        <v>431</v>
      </c>
      <c r="KX1" s="24" t="s">
        <v>432</v>
      </c>
      <c r="KY1" s="24" t="s">
        <v>433</v>
      </c>
      <c r="KZ1" s="24" t="s">
        <v>434</v>
      </c>
      <c r="LA1" s="24" t="s">
        <v>435</v>
      </c>
      <c r="LB1" s="24" t="s">
        <v>436</v>
      </c>
      <c r="LC1" s="24" t="s">
        <v>437</v>
      </c>
      <c r="LD1" s="24" t="s">
        <v>438</v>
      </c>
      <c r="LE1" s="24" t="s">
        <v>439</v>
      </c>
      <c r="LF1" s="24" t="s">
        <v>440</v>
      </c>
      <c r="LG1" s="24" t="s">
        <v>441</v>
      </c>
      <c r="LH1" s="24" t="s">
        <v>442</v>
      </c>
      <c r="LI1" s="24" t="s">
        <v>443</v>
      </c>
      <c r="LJ1" s="24" t="s">
        <v>444</v>
      </c>
      <c r="LK1" s="24" t="s">
        <v>445</v>
      </c>
      <c r="LL1" s="24" t="s">
        <v>446</v>
      </c>
      <c r="LM1" s="24" t="s">
        <v>447</v>
      </c>
      <c r="LN1" s="24" t="s">
        <v>448</v>
      </c>
      <c r="LO1" s="24" t="s">
        <v>449</v>
      </c>
      <c r="LP1" s="24" t="s">
        <v>450</v>
      </c>
      <c r="LQ1" s="24" t="s">
        <v>451</v>
      </c>
      <c r="LR1" s="24" t="s">
        <v>452</v>
      </c>
    </row>
    <row r="2" spans="1:330" x14ac:dyDescent="0.35">
      <c r="A2" s="11" t="s">
        <v>453</v>
      </c>
      <c r="B2" s="11" t="s">
        <v>454</v>
      </c>
      <c r="C2" s="12" t="s">
        <v>1216</v>
      </c>
      <c r="D2" s="11" t="s">
        <v>455</v>
      </c>
      <c r="E2" s="12" t="s">
        <v>1169</v>
      </c>
      <c r="F2" s="11" t="s">
        <v>456</v>
      </c>
      <c r="G2" s="15">
        <v>247921</v>
      </c>
      <c r="H2" s="15">
        <v>248384</v>
      </c>
      <c r="I2" s="15">
        <v>246082</v>
      </c>
      <c r="J2" s="15">
        <v>245140</v>
      </c>
      <c r="K2" s="15">
        <v>238319</v>
      </c>
      <c r="L2" s="15">
        <v>241752</v>
      </c>
      <c r="M2" s="15">
        <v>243197</v>
      </c>
      <c r="N2" s="15">
        <v>239612</v>
      </c>
      <c r="O2" s="15">
        <v>239702</v>
      </c>
      <c r="P2" s="15">
        <v>235807</v>
      </c>
      <c r="Q2" s="15">
        <v>235105</v>
      </c>
      <c r="R2" s="15">
        <v>237747</v>
      </c>
      <c r="S2" s="15">
        <v>241709</v>
      </c>
      <c r="T2" s="15">
        <v>241380</v>
      </c>
      <c r="U2" s="15">
        <v>244367</v>
      </c>
      <c r="V2" s="15">
        <v>249511</v>
      </c>
      <c r="W2" s="15">
        <v>249671</v>
      </c>
      <c r="X2" s="15">
        <v>247936</v>
      </c>
      <c r="Y2" s="15">
        <v>249578</v>
      </c>
      <c r="Z2" s="15">
        <v>253819</v>
      </c>
      <c r="AA2" s="15">
        <v>256193</v>
      </c>
      <c r="AB2" s="15">
        <v>259127</v>
      </c>
      <c r="AC2" s="15">
        <v>262661</v>
      </c>
      <c r="AD2" s="15">
        <v>264972</v>
      </c>
      <c r="AE2" s="15">
        <v>264185</v>
      </c>
      <c r="AF2" s="15">
        <v>275695</v>
      </c>
      <c r="AG2" s="15">
        <v>269599</v>
      </c>
      <c r="AH2" s="15">
        <v>272359</v>
      </c>
      <c r="AI2" s="15">
        <v>269776</v>
      </c>
      <c r="AJ2" s="15">
        <v>264448</v>
      </c>
      <c r="AK2" s="15">
        <v>264139</v>
      </c>
      <c r="AL2" s="15">
        <v>261297</v>
      </c>
      <c r="AM2" s="15">
        <v>261131</v>
      </c>
      <c r="AN2" s="15">
        <v>261739</v>
      </c>
      <c r="AO2" s="15">
        <v>264602</v>
      </c>
      <c r="AP2" s="15">
        <v>264902</v>
      </c>
      <c r="AQ2" s="15">
        <v>265408</v>
      </c>
      <c r="AR2" s="15">
        <v>268196</v>
      </c>
      <c r="AS2" s="15">
        <v>268798</v>
      </c>
      <c r="AT2" s="15">
        <v>270653</v>
      </c>
      <c r="AU2" s="15">
        <v>275877</v>
      </c>
      <c r="AV2" s="15">
        <v>277790</v>
      </c>
      <c r="AW2" s="15">
        <v>280996</v>
      </c>
      <c r="AX2" s="15">
        <v>283096</v>
      </c>
      <c r="AY2" s="15">
        <v>285469</v>
      </c>
      <c r="AZ2" s="15">
        <v>282605</v>
      </c>
      <c r="BA2" s="15">
        <v>284676</v>
      </c>
      <c r="BB2" s="15">
        <v>289829</v>
      </c>
      <c r="BC2" s="15">
        <v>292612</v>
      </c>
      <c r="BD2" s="15">
        <v>298873</v>
      </c>
      <c r="BE2" s="15">
        <v>298814</v>
      </c>
      <c r="BF2" s="15">
        <v>298979</v>
      </c>
      <c r="BG2" s="15">
        <v>302117</v>
      </c>
      <c r="BH2" s="15">
        <v>304797</v>
      </c>
      <c r="BI2" s="15">
        <v>306708</v>
      </c>
      <c r="BJ2" s="15">
        <v>312615</v>
      </c>
      <c r="BK2" s="15">
        <v>314804</v>
      </c>
      <c r="BL2" s="15">
        <v>319478</v>
      </c>
      <c r="BM2" s="15">
        <v>327346</v>
      </c>
      <c r="BN2" s="15">
        <v>331075</v>
      </c>
      <c r="BO2" s="15">
        <v>336442</v>
      </c>
      <c r="BP2" s="15">
        <v>338186</v>
      </c>
      <c r="BQ2" s="15">
        <v>342414</v>
      </c>
      <c r="BR2" s="15">
        <v>345162</v>
      </c>
      <c r="BS2" s="15">
        <v>346836</v>
      </c>
      <c r="BT2" s="15">
        <v>348997</v>
      </c>
      <c r="BU2" s="15">
        <v>349572</v>
      </c>
      <c r="BV2" s="15">
        <v>349523</v>
      </c>
      <c r="BW2" s="15">
        <v>351299</v>
      </c>
      <c r="BX2" s="15">
        <v>353663</v>
      </c>
      <c r="BY2" s="15">
        <v>349780</v>
      </c>
      <c r="BZ2" s="15">
        <v>348006</v>
      </c>
      <c r="CA2" s="15">
        <v>346292</v>
      </c>
      <c r="CB2" s="15">
        <v>345892</v>
      </c>
      <c r="CC2" s="15">
        <v>345216</v>
      </c>
      <c r="CD2" s="15">
        <v>345643</v>
      </c>
      <c r="CE2" s="15">
        <v>345523</v>
      </c>
      <c r="CF2" s="15">
        <v>344987</v>
      </c>
      <c r="CG2" s="15">
        <v>346628</v>
      </c>
      <c r="CH2" s="15">
        <v>349299</v>
      </c>
      <c r="CI2" s="15">
        <v>351046</v>
      </c>
      <c r="CJ2" s="15">
        <v>352612</v>
      </c>
      <c r="CK2" s="15">
        <v>355841</v>
      </c>
      <c r="CL2" s="15">
        <v>358264</v>
      </c>
      <c r="CM2" s="15">
        <v>361793</v>
      </c>
      <c r="CN2" s="15">
        <v>365109</v>
      </c>
      <c r="CO2" s="15">
        <v>368798</v>
      </c>
      <c r="CP2" s="15">
        <v>370401</v>
      </c>
      <c r="CQ2" s="15">
        <v>372307</v>
      </c>
      <c r="CR2" s="15">
        <v>373090</v>
      </c>
      <c r="CS2" s="15">
        <v>377249</v>
      </c>
      <c r="CT2" s="15">
        <v>378442</v>
      </c>
      <c r="CU2" s="15">
        <v>380976</v>
      </c>
      <c r="CV2" s="15">
        <v>382146</v>
      </c>
      <c r="CW2" s="15">
        <v>385671</v>
      </c>
      <c r="CX2" s="15">
        <v>391053</v>
      </c>
      <c r="CY2" s="15">
        <v>397303</v>
      </c>
      <c r="CZ2" s="15">
        <v>401790</v>
      </c>
      <c r="DA2" s="15">
        <v>405233</v>
      </c>
      <c r="DB2" s="15">
        <v>411352</v>
      </c>
      <c r="DC2" s="15">
        <v>414377</v>
      </c>
      <c r="DD2" s="15">
        <v>416909</v>
      </c>
      <c r="DE2" s="15">
        <v>418294</v>
      </c>
      <c r="DF2" s="15">
        <v>421074</v>
      </c>
      <c r="DG2" s="15">
        <v>423875</v>
      </c>
      <c r="DH2" s="15">
        <v>425920</v>
      </c>
      <c r="DI2" s="15">
        <v>432860</v>
      </c>
      <c r="DJ2" s="15">
        <v>439093</v>
      </c>
      <c r="DK2" s="15">
        <v>444540</v>
      </c>
      <c r="DL2" s="15">
        <v>447825</v>
      </c>
      <c r="DM2" s="15">
        <v>450688</v>
      </c>
      <c r="DN2" s="15">
        <v>453447</v>
      </c>
      <c r="DO2" s="15">
        <v>457680</v>
      </c>
      <c r="DP2" s="15">
        <v>459620</v>
      </c>
      <c r="DQ2" s="15">
        <v>462016</v>
      </c>
      <c r="DR2" s="15">
        <v>463404</v>
      </c>
      <c r="DS2" s="15">
        <v>464698</v>
      </c>
      <c r="DT2" s="15">
        <v>466935</v>
      </c>
      <c r="DU2" s="15">
        <v>470277</v>
      </c>
      <c r="DV2" s="15">
        <v>473899</v>
      </c>
      <c r="DW2" s="15">
        <v>477357</v>
      </c>
      <c r="DX2" s="15">
        <v>481552</v>
      </c>
      <c r="DY2" s="15">
        <v>485973</v>
      </c>
      <c r="DZ2" s="15">
        <v>490059</v>
      </c>
      <c r="EA2" s="15">
        <v>492014</v>
      </c>
      <c r="EB2" s="15">
        <v>494824</v>
      </c>
      <c r="EC2" s="15">
        <v>496642</v>
      </c>
      <c r="ED2" s="15">
        <v>499020</v>
      </c>
      <c r="EE2" s="15">
        <v>502702</v>
      </c>
      <c r="EF2" s="15">
        <v>506906</v>
      </c>
      <c r="EG2" s="15">
        <v>511132</v>
      </c>
      <c r="EH2" s="15">
        <v>515935</v>
      </c>
      <c r="EI2" s="15">
        <v>518495</v>
      </c>
      <c r="EJ2" s="15">
        <v>520318</v>
      </c>
      <c r="EK2" s="15">
        <v>521780</v>
      </c>
      <c r="EL2" s="15">
        <v>524569</v>
      </c>
      <c r="EM2" s="15">
        <v>529398</v>
      </c>
      <c r="EN2" s="15">
        <v>533187</v>
      </c>
      <c r="EO2" s="15">
        <v>537052</v>
      </c>
      <c r="EP2" s="15">
        <v>540258</v>
      </c>
      <c r="EQ2" s="15">
        <v>542804</v>
      </c>
      <c r="ER2" s="15">
        <v>539918</v>
      </c>
      <c r="ES2" s="15">
        <v>531619</v>
      </c>
      <c r="ET2" s="15">
        <v>520230</v>
      </c>
      <c r="EU2" s="15">
        <v>509646</v>
      </c>
      <c r="EV2" s="15">
        <v>508009</v>
      </c>
      <c r="EW2" s="15">
        <v>508398</v>
      </c>
      <c r="EX2" s="15">
        <v>509889</v>
      </c>
      <c r="EY2" s="15">
        <v>514595</v>
      </c>
      <c r="EZ2" s="15">
        <v>520128</v>
      </c>
      <c r="FA2" s="15">
        <v>523173</v>
      </c>
      <c r="FB2" s="15">
        <v>523515</v>
      </c>
      <c r="FC2" s="15">
        <v>524955</v>
      </c>
      <c r="FD2" s="15">
        <v>525418</v>
      </c>
      <c r="FE2" s="15">
        <v>527034</v>
      </c>
      <c r="FF2" s="15">
        <v>527698</v>
      </c>
      <c r="FG2" s="15">
        <v>532300</v>
      </c>
      <c r="FH2" s="15">
        <v>531663</v>
      </c>
      <c r="FI2" s="15">
        <v>536720</v>
      </c>
      <c r="FJ2" s="15">
        <v>536188</v>
      </c>
      <c r="FK2" s="15">
        <v>537974</v>
      </c>
      <c r="FL2" s="15">
        <v>541586</v>
      </c>
      <c r="FM2" s="15">
        <v>546064</v>
      </c>
      <c r="FN2" s="15">
        <v>549709</v>
      </c>
      <c r="FO2" s="15">
        <v>554183</v>
      </c>
      <c r="FP2" s="15">
        <v>559331</v>
      </c>
      <c r="FQ2" s="15">
        <v>563694</v>
      </c>
      <c r="FR2" s="15">
        <v>567619</v>
      </c>
      <c r="FS2" s="15">
        <v>569150</v>
      </c>
      <c r="FT2" s="15">
        <v>572673</v>
      </c>
      <c r="FU2" s="15">
        <v>574836</v>
      </c>
      <c r="FV2" s="15">
        <v>578068</v>
      </c>
      <c r="FW2" s="15">
        <v>580110</v>
      </c>
      <c r="FX2" s="15">
        <v>583383</v>
      </c>
      <c r="FY2" s="15">
        <v>585856</v>
      </c>
      <c r="FZ2" s="15">
        <v>589476</v>
      </c>
      <c r="GA2" s="15">
        <v>594423</v>
      </c>
      <c r="GB2" s="15">
        <v>598176</v>
      </c>
      <c r="GC2" s="15">
        <v>601961</v>
      </c>
      <c r="GD2" s="15">
        <v>606396</v>
      </c>
      <c r="GE2" s="15">
        <v>606785</v>
      </c>
      <c r="GF2" s="15">
        <v>607775</v>
      </c>
      <c r="GG2" s="15">
        <v>609653</v>
      </c>
      <c r="GH2" s="15">
        <v>610481</v>
      </c>
      <c r="GI2" s="15">
        <v>614936</v>
      </c>
      <c r="GJ2" s="15">
        <v>616853</v>
      </c>
      <c r="GK2" s="15">
        <v>621227</v>
      </c>
      <c r="GL2" s="15">
        <v>621229</v>
      </c>
      <c r="GM2" s="15">
        <v>604719</v>
      </c>
      <c r="GN2" s="15">
        <v>481769</v>
      </c>
      <c r="GO2" s="15">
        <v>562648</v>
      </c>
      <c r="GP2" s="15">
        <v>570338</v>
      </c>
      <c r="GQ2" s="15">
        <v>564411</v>
      </c>
      <c r="GR2" s="15">
        <v>605353</v>
      </c>
      <c r="GS2" s="15">
        <v>615459</v>
      </c>
      <c r="GT2" s="15">
        <v>624592</v>
      </c>
      <c r="GU2" s="15">
        <v>629149</v>
      </c>
      <c r="GV2" s="15">
        <v>631258</v>
      </c>
      <c r="GW2" s="15">
        <v>631977</v>
      </c>
      <c r="GX2" s="15">
        <v>634044</v>
      </c>
      <c r="GY2" s="15">
        <v>634807</v>
      </c>
      <c r="GZ2" s="15">
        <v>634866</v>
      </c>
      <c r="HA2" s="15">
        <v>634052</v>
      </c>
      <c r="HB2" s="15">
        <v>632365</v>
      </c>
      <c r="HC2" s="15">
        <v>637023</v>
      </c>
      <c r="HD2" s="15">
        <v>639269</v>
      </c>
      <c r="HE2" s="15">
        <v>639452</v>
      </c>
      <c r="HF2" s="16">
        <v>639398.6</v>
      </c>
      <c r="HG2" s="16">
        <v>641817.30000000005</v>
      </c>
      <c r="HH2" s="16">
        <v>644084.1</v>
      </c>
      <c r="HI2" s="16">
        <v>646341.9</v>
      </c>
      <c r="HJ2" s="16">
        <v>648754.19999999995</v>
      </c>
      <c r="HK2" s="16">
        <v>651446.9</v>
      </c>
      <c r="HL2" s="16">
        <v>653890.69999999995</v>
      </c>
      <c r="HM2" s="16">
        <v>656571.80000000005</v>
      </c>
      <c r="HN2" s="16">
        <v>659296.1</v>
      </c>
      <c r="HO2" s="16">
        <v>662065.30000000005</v>
      </c>
      <c r="HP2" s="16">
        <v>664978.69999999995</v>
      </c>
      <c r="HQ2" s="16">
        <v>668004.1</v>
      </c>
      <c r="HR2" s="16">
        <v>671010.1</v>
      </c>
      <c r="HS2" s="16">
        <v>674029.7</v>
      </c>
      <c r="HT2" s="16">
        <v>677096.4</v>
      </c>
      <c r="HU2" s="16">
        <v>680109.5</v>
      </c>
      <c r="HV2" s="16">
        <v>683000.1</v>
      </c>
      <c r="HW2" s="16">
        <v>685766.1</v>
      </c>
      <c r="HX2" s="16">
        <v>688474.9</v>
      </c>
      <c r="HY2" s="16">
        <v>691160</v>
      </c>
      <c r="HZ2" s="16">
        <v>693924.6</v>
      </c>
      <c r="IA2" s="16">
        <v>696700.3</v>
      </c>
      <c r="IB2" s="16">
        <v>699487.1</v>
      </c>
      <c r="IC2" s="16">
        <v>702285.1</v>
      </c>
      <c r="ID2" s="16">
        <v>705094.2</v>
      </c>
      <c r="IE2" s="16">
        <v>707914.6</v>
      </c>
      <c r="IF2" s="16">
        <v>710746.2</v>
      </c>
      <c r="IG2" s="16">
        <v>713553.7</v>
      </c>
      <c r="IH2" s="16">
        <v>716336.5</v>
      </c>
      <c r="II2" s="16">
        <v>719130.3</v>
      </c>
      <c r="IJ2" s="16">
        <v>721934.9</v>
      </c>
      <c r="IK2" s="16">
        <v>724822.6</v>
      </c>
      <c r="IL2" s="16">
        <v>727649.4</v>
      </c>
      <c r="IM2" s="16">
        <v>730617.4</v>
      </c>
      <c r="IN2" s="16">
        <v>733494.5</v>
      </c>
      <c r="IO2" s="16">
        <v>736368.1</v>
      </c>
      <c r="IP2" s="16">
        <v>739136.4</v>
      </c>
      <c r="IQ2" s="16">
        <v>742023.6</v>
      </c>
      <c r="IR2" s="16">
        <v>744839.3</v>
      </c>
      <c r="IS2" s="16">
        <v>747631.9</v>
      </c>
      <c r="IT2" s="16">
        <v>750411.9</v>
      </c>
      <c r="IU2" s="16">
        <v>753290</v>
      </c>
      <c r="IV2" s="16">
        <v>756177.8</v>
      </c>
      <c r="IW2" s="16">
        <v>759074.8</v>
      </c>
      <c r="IX2" s="16">
        <v>761980.9</v>
      </c>
      <c r="IY2" s="16">
        <v>764962.4</v>
      </c>
      <c r="IZ2" s="16">
        <v>767956.6</v>
      </c>
      <c r="JA2" s="16">
        <v>770963.5</v>
      </c>
      <c r="JB2" s="16">
        <v>773983.1</v>
      </c>
      <c r="JC2" s="16">
        <v>777015.3</v>
      </c>
      <c r="JD2" s="16">
        <v>780059.9</v>
      </c>
      <c r="JE2" s="16">
        <v>783117.4</v>
      </c>
      <c r="JF2" s="16">
        <v>786187.8</v>
      </c>
      <c r="JG2" s="16">
        <v>789336.6</v>
      </c>
      <c r="JH2" s="16">
        <v>792499.1</v>
      </c>
      <c r="JI2" s="16">
        <v>795676.1</v>
      </c>
      <c r="JJ2" s="16">
        <v>798867.8</v>
      </c>
      <c r="JK2" s="16">
        <v>802073.9</v>
      </c>
      <c r="JL2" s="16">
        <v>805294.5</v>
      </c>
      <c r="JM2" s="16">
        <v>808529.8</v>
      </c>
      <c r="JN2" s="16">
        <v>811780.1</v>
      </c>
      <c r="JO2" s="16">
        <v>815045.2</v>
      </c>
      <c r="JP2" s="16">
        <v>818323.7</v>
      </c>
      <c r="JQ2" s="16">
        <v>821615.8</v>
      </c>
      <c r="JR2" s="16">
        <v>824921.4</v>
      </c>
      <c r="JS2" s="16">
        <v>828312.9</v>
      </c>
      <c r="JT2" s="16">
        <v>831719.3</v>
      </c>
      <c r="JU2" s="16">
        <v>835149.1</v>
      </c>
      <c r="JV2" s="16">
        <v>838593.9</v>
      </c>
      <c r="JW2" s="16">
        <v>842053.5</v>
      </c>
      <c r="JX2" s="16">
        <v>845527.9</v>
      </c>
      <c r="JY2" s="16">
        <v>848945.8</v>
      </c>
      <c r="JZ2" s="16">
        <v>852377.5</v>
      </c>
      <c r="KA2" s="16">
        <v>855822.6</v>
      </c>
      <c r="KB2" s="16">
        <v>859281.5</v>
      </c>
      <c r="KC2" s="16">
        <v>862666.9</v>
      </c>
      <c r="KD2" s="16">
        <v>866064.1</v>
      </c>
      <c r="KE2" s="16">
        <v>869472.9</v>
      </c>
      <c r="KF2" s="16">
        <v>872893.5</v>
      </c>
      <c r="KG2" s="16">
        <v>876165.3</v>
      </c>
      <c r="KH2" s="16">
        <v>879446.1</v>
      </c>
      <c r="KI2" s="16">
        <v>882736</v>
      </c>
      <c r="KJ2" s="16">
        <v>886035</v>
      </c>
      <c r="KK2" s="16">
        <v>889267.7</v>
      </c>
      <c r="KL2" s="16">
        <v>892508.3</v>
      </c>
      <c r="KM2" s="16">
        <v>895756.9</v>
      </c>
      <c r="KN2" s="16">
        <v>899013.4</v>
      </c>
      <c r="KO2" s="16">
        <v>902274.5</v>
      </c>
      <c r="KP2" s="16">
        <v>905543.5</v>
      </c>
      <c r="KQ2" s="16">
        <v>908820.6</v>
      </c>
      <c r="KR2" s="16">
        <v>912106.1</v>
      </c>
      <c r="KS2" s="16">
        <v>915345.3</v>
      </c>
      <c r="KT2" s="16">
        <v>918591.8</v>
      </c>
      <c r="KU2" s="16">
        <v>921846.1</v>
      </c>
      <c r="KV2" s="16">
        <v>925107.8</v>
      </c>
      <c r="KW2" s="16">
        <v>928353.8</v>
      </c>
      <c r="KX2" s="16">
        <v>931606.9</v>
      </c>
      <c r="KY2" s="16">
        <v>934867.1</v>
      </c>
      <c r="KZ2" s="16">
        <v>938134.6</v>
      </c>
      <c r="LA2" s="16">
        <v>941335.1</v>
      </c>
      <c r="LB2" s="16">
        <v>944541.6</v>
      </c>
      <c r="LC2" s="16">
        <v>947753.8</v>
      </c>
      <c r="LD2" s="16">
        <v>950970.9</v>
      </c>
      <c r="LE2" s="16">
        <v>954168.9</v>
      </c>
      <c r="LF2" s="16">
        <v>957371.6</v>
      </c>
      <c r="LG2" s="11" t="s">
        <v>457</v>
      </c>
      <c r="LH2" s="11" t="b">
        <v>1</v>
      </c>
      <c r="LI2" s="12" t="s">
        <v>1170</v>
      </c>
      <c r="LJ2" s="11" t="s">
        <v>458</v>
      </c>
      <c r="LK2" s="11">
        <v>2024</v>
      </c>
      <c r="LL2" s="11">
        <v>3</v>
      </c>
      <c r="LM2" s="21">
        <v>45693</v>
      </c>
      <c r="LN2" s="11" t="s">
        <v>459</v>
      </c>
      <c r="LO2" s="12" t="s">
        <v>1171</v>
      </c>
      <c r="LP2" s="11" t="s">
        <v>460</v>
      </c>
      <c r="LQ2" s="11" t="s">
        <v>461</v>
      </c>
      <c r="LR2" s="11" t="s">
        <v>462</v>
      </c>
    </row>
    <row r="3" spans="1:330" x14ac:dyDescent="0.35">
      <c r="A3" s="11" t="s">
        <v>453</v>
      </c>
      <c r="B3" s="11" t="s">
        <v>463</v>
      </c>
      <c r="C3" s="12" t="s">
        <v>1216</v>
      </c>
      <c r="D3" s="11" t="s">
        <v>1086</v>
      </c>
      <c r="E3" s="11" t="s">
        <v>464</v>
      </c>
      <c r="F3" s="11" t="s">
        <v>456</v>
      </c>
      <c r="G3" s="15">
        <v>11.88749</v>
      </c>
      <c r="H3" s="15">
        <v>12.304600000000001</v>
      </c>
      <c r="I3" s="15">
        <v>12.51315</v>
      </c>
      <c r="J3" s="15">
        <v>13.008459999999999</v>
      </c>
      <c r="K3" s="15">
        <v>13.47771</v>
      </c>
      <c r="L3" s="15">
        <v>14.23371</v>
      </c>
      <c r="M3" s="15">
        <v>14.572609999999999</v>
      </c>
      <c r="N3" s="15">
        <v>15.250400000000001</v>
      </c>
      <c r="O3" s="15">
        <v>16.058540000000001</v>
      </c>
      <c r="P3" s="15">
        <v>17.466270000000002</v>
      </c>
      <c r="Q3" s="15">
        <v>18.222280000000001</v>
      </c>
      <c r="R3" s="15">
        <v>18.847930000000002</v>
      </c>
      <c r="S3" s="15">
        <v>19.42145</v>
      </c>
      <c r="T3" s="15">
        <v>20.125319999999999</v>
      </c>
      <c r="U3" s="15">
        <v>20.594560000000001</v>
      </c>
      <c r="V3" s="15">
        <v>21.506979999999999</v>
      </c>
      <c r="W3" s="15">
        <v>22.471530000000001</v>
      </c>
      <c r="X3" s="15">
        <v>23.410019999999999</v>
      </c>
      <c r="Y3" s="15">
        <v>23.82713</v>
      </c>
      <c r="Z3" s="15">
        <v>24.139949999999999</v>
      </c>
      <c r="AA3" s="15">
        <v>24.452780000000001</v>
      </c>
      <c r="AB3" s="15">
        <v>25.078440000000001</v>
      </c>
      <c r="AC3" s="15">
        <v>25.469480000000001</v>
      </c>
      <c r="AD3" s="15">
        <v>25.860510000000001</v>
      </c>
      <c r="AE3" s="15">
        <v>26.43403</v>
      </c>
      <c r="AF3" s="15">
        <v>27.268239999999999</v>
      </c>
      <c r="AG3" s="15">
        <v>28.910589999999999</v>
      </c>
      <c r="AH3" s="15">
        <v>29.718730000000001</v>
      </c>
      <c r="AI3" s="15">
        <v>30.605080000000001</v>
      </c>
      <c r="AJ3" s="15">
        <v>32.247430000000001</v>
      </c>
      <c r="AK3" s="15">
        <v>32.951300000000003</v>
      </c>
      <c r="AL3" s="15">
        <v>33.550879999999999</v>
      </c>
      <c r="AM3" s="15">
        <v>34.385100000000001</v>
      </c>
      <c r="AN3" s="15">
        <v>36.079590000000003</v>
      </c>
      <c r="AO3" s="15">
        <v>36.731310000000001</v>
      </c>
      <c r="AP3" s="15">
        <v>37.435180000000003</v>
      </c>
      <c r="AQ3" s="15">
        <v>37.878349999999998</v>
      </c>
      <c r="AR3" s="15">
        <v>39.181800000000003</v>
      </c>
      <c r="AS3" s="15">
        <v>39.416420000000002</v>
      </c>
      <c r="AT3" s="15">
        <v>39.885669999999998</v>
      </c>
      <c r="AU3" s="15">
        <v>40.172429999999999</v>
      </c>
      <c r="AV3" s="15">
        <v>40.85022</v>
      </c>
      <c r="AW3" s="15">
        <v>41.293399999999998</v>
      </c>
      <c r="AX3" s="15">
        <v>41.762639999999998</v>
      </c>
      <c r="AY3" s="15">
        <v>41.86692</v>
      </c>
      <c r="AZ3" s="15">
        <v>42.779339999999998</v>
      </c>
      <c r="BA3" s="15">
        <v>42.98789</v>
      </c>
      <c r="BB3" s="15">
        <v>43.431060000000002</v>
      </c>
      <c r="BC3" s="15">
        <v>43.874229999999997</v>
      </c>
      <c r="BD3" s="15">
        <v>44.995199999999997</v>
      </c>
      <c r="BE3" s="15">
        <v>45.125549999999997</v>
      </c>
      <c r="BF3" s="15">
        <v>45.490519999999997</v>
      </c>
      <c r="BG3" s="15">
        <v>45.646929999999998</v>
      </c>
      <c r="BH3" s="15">
        <v>46.3508</v>
      </c>
      <c r="BI3" s="15">
        <v>46.533279999999998</v>
      </c>
      <c r="BJ3" s="15">
        <v>46.924320000000002</v>
      </c>
      <c r="BK3" s="15">
        <v>47.237139999999997</v>
      </c>
      <c r="BL3" s="15">
        <v>47.836730000000003</v>
      </c>
      <c r="BM3" s="15">
        <v>47.888869999999997</v>
      </c>
      <c r="BN3" s="15">
        <v>48.436320000000002</v>
      </c>
      <c r="BO3" s="15">
        <v>48.566670000000002</v>
      </c>
      <c r="BP3" s="15">
        <v>49.5</v>
      </c>
      <c r="BQ3" s="15">
        <v>49.9</v>
      </c>
      <c r="BR3" s="15">
        <v>50.466670000000001</v>
      </c>
      <c r="BS3" s="15">
        <v>51</v>
      </c>
      <c r="BT3" s="15">
        <v>52.133339999999997</v>
      </c>
      <c r="BU3" s="15">
        <v>52.466670000000001</v>
      </c>
      <c r="BV3" s="15">
        <v>53.266669999999998</v>
      </c>
      <c r="BW3" s="15">
        <v>53.933329999999998</v>
      </c>
      <c r="BX3" s="15">
        <v>55.6</v>
      </c>
      <c r="BY3" s="15">
        <v>56.4</v>
      </c>
      <c r="BZ3" s="15">
        <v>57.466670000000001</v>
      </c>
      <c r="CA3" s="15">
        <v>57.666670000000003</v>
      </c>
      <c r="CB3" s="15">
        <v>60.266669999999998</v>
      </c>
      <c r="CC3" s="15">
        <v>60.833329999999997</v>
      </c>
      <c r="CD3" s="15">
        <v>61.466670000000001</v>
      </c>
      <c r="CE3" s="15">
        <v>61.7</v>
      </c>
      <c r="CF3" s="15">
        <v>62.833329999999997</v>
      </c>
      <c r="CG3" s="15">
        <v>62.733330000000002</v>
      </c>
      <c r="CH3" s="15">
        <v>63.133339999999997</v>
      </c>
      <c r="CI3" s="15">
        <v>63.2</v>
      </c>
      <c r="CJ3" s="15">
        <v>64.433329999999998</v>
      </c>
      <c r="CK3" s="15">
        <v>64.5</v>
      </c>
      <c r="CL3" s="15">
        <v>64.666659999999993</v>
      </c>
      <c r="CM3" s="15">
        <v>64.766670000000005</v>
      </c>
      <c r="CN3" s="15">
        <v>65.7</v>
      </c>
      <c r="CO3" s="15">
        <v>65.633330000000001</v>
      </c>
      <c r="CP3" s="15">
        <v>65.8</v>
      </c>
      <c r="CQ3" s="15">
        <v>66.333340000000007</v>
      </c>
      <c r="CR3" s="15">
        <v>67.266670000000005</v>
      </c>
      <c r="CS3" s="15">
        <v>67.400000000000006</v>
      </c>
      <c r="CT3" s="15">
        <v>67.733329999999995</v>
      </c>
      <c r="CU3" s="15">
        <v>68.099999999999994</v>
      </c>
      <c r="CV3" s="15">
        <v>68.866669999999999</v>
      </c>
      <c r="CW3" s="15">
        <v>68.933329999999998</v>
      </c>
      <c r="CX3" s="15">
        <v>69.366669999999999</v>
      </c>
      <c r="CY3" s="15">
        <v>69.366669999999999</v>
      </c>
      <c r="CZ3" s="15">
        <v>70</v>
      </c>
      <c r="DA3" s="15">
        <v>70.266670000000005</v>
      </c>
      <c r="DB3" s="15">
        <v>70.633330000000001</v>
      </c>
      <c r="DC3" s="15">
        <v>70.5</v>
      </c>
      <c r="DD3" s="15">
        <v>71.266670000000005</v>
      </c>
      <c r="DE3" s="15">
        <v>71.233329999999995</v>
      </c>
      <c r="DF3" s="15">
        <v>71.633330000000001</v>
      </c>
      <c r="DG3" s="15">
        <v>71.599999999999994</v>
      </c>
      <c r="DH3" s="15">
        <v>72.3</v>
      </c>
      <c r="DI3" s="15">
        <v>72.133330000000001</v>
      </c>
      <c r="DJ3" s="15">
        <v>72.433329999999998</v>
      </c>
      <c r="DK3" s="15">
        <v>72.133330000000001</v>
      </c>
      <c r="DL3" s="15">
        <v>72.766670000000005</v>
      </c>
      <c r="DM3" s="15">
        <v>72.7</v>
      </c>
      <c r="DN3" s="15">
        <v>73.166659999999993</v>
      </c>
      <c r="DO3" s="15">
        <v>72.766670000000005</v>
      </c>
      <c r="DP3" s="15">
        <v>73.833340000000007</v>
      </c>
      <c r="DQ3" s="15">
        <v>73.866669999999999</v>
      </c>
      <c r="DR3" s="15">
        <v>73.900000000000006</v>
      </c>
      <c r="DS3" s="15">
        <v>73.866669999999999</v>
      </c>
      <c r="DT3" s="15">
        <v>74.533330000000007</v>
      </c>
      <c r="DU3" s="15">
        <v>74.599999999999994</v>
      </c>
      <c r="DV3" s="15">
        <v>75</v>
      </c>
      <c r="DW3" s="15">
        <v>75</v>
      </c>
      <c r="DX3" s="15">
        <v>75.466669999999993</v>
      </c>
      <c r="DY3" s="15">
        <v>75.599999999999994</v>
      </c>
      <c r="DZ3" s="15">
        <v>76.033330000000007</v>
      </c>
      <c r="EA3" s="15">
        <v>75.966669999999993</v>
      </c>
      <c r="EB3" s="15">
        <v>76.533330000000007</v>
      </c>
      <c r="EC3" s="15">
        <v>76.566670000000002</v>
      </c>
      <c r="ED3" s="15">
        <v>77.099999999999994</v>
      </c>
      <c r="EE3" s="15">
        <v>77.233329999999995</v>
      </c>
      <c r="EF3" s="15">
        <v>78</v>
      </c>
      <c r="EG3" s="15">
        <v>78.400000000000006</v>
      </c>
      <c r="EH3" s="15">
        <v>78.766670000000005</v>
      </c>
      <c r="EI3" s="15">
        <v>78.733329999999995</v>
      </c>
      <c r="EJ3" s="15">
        <v>79.8</v>
      </c>
      <c r="EK3" s="15">
        <v>80.3</v>
      </c>
      <c r="EL3" s="15">
        <v>80.900000000000006</v>
      </c>
      <c r="EM3" s="15">
        <v>81</v>
      </c>
      <c r="EN3" s="15">
        <v>81.8</v>
      </c>
      <c r="EO3" s="15">
        <v>81.733329999999995</v>
      </c>
      <c r="EP3" s="15">
        <v>82.6</v>
      </c>
      <c r="EQ3" s="15">
        <v>82.933329999999998</v>
      </c>
      <c r="ER3" s="15">
        <v>84.6</v>
      </c>
      <c r="ES3" s="15">
        <v>85.633330000000001</v>
      </c>
      <c r="ET3" s="15">
        <v>85.733329999999995</v>
      </c>
      <c r="EU3" s="15">
        <v>85.433329999999998</v>
      </c>
      <c r="EV3" s="15">
        <v>86.366669999999999</v>
      </c>
      <c r="EW3" s="15">
        <v>86.933329999999998</v>
      </c>
      <c r="EX3" s="15">
        <v>87.566670000000002</v>
      </c>
      <c r="EY3" s="15">
        <v>88.233329999999995</v>
      </c>
      <c r="EZ3" s="15">
        <v>89.366669999999999</v>
      </c>
      <c r="FA3" s="15">
        <v>89.633330000000001</v>
      </c>
      <c r="FB3" s="15">
        <v>90.5</v>
      </c>
      <c r="FC3" s="15">
        <v>91.833340000000007</v>
      </c>
      <c r="FD3" s="15">
        <v>93.3</v>
      </c>
      <c r="FE3" s="15">
        <v>93.833340000000007</v>
      </c>
      <c r="FF3" s="15">
        <v>94.733329999999995</v>
      </c>
      <c r="FG3" s="15">
        <v>95.033330000000007</v>
      </c>
      <c r="FH3" s="15">
        <v>95.8</v>
      </c>
      <c r="FI3" s="15">
        <v>96.066670000000002</v>
      </c>
      <c r="FJ3" s="15">
        <v>97.266670000000005</v>
      </c>
      <c r="FK3" s="15">
        <v>97.666659999999993</v>
      </c>
      <c r="FL3" s="15">
        <v>98.366669999999999</v>
      </c>
      <c r="FM3" s="15">
        <v>98.7</v>
      </c>
      <c r="FN3" s="15">
        <v>99.3</v>
      </c>
      <c r="FO3" s="15">
        <v>99.4</v>
      </c>
      <c r="FP3" s="15">
        <v>100.1</v>
      </c>
      <c r="FQ3" s="15">
        <v>100.13330000000001</v>
      </c>
      <c r="FR3" s="15">
        <v>100.2</v>
      </c>
      <c r="FS3" s="15">
        <v>99.5</v>
      </c>
      <c r="FT3" s="15">
        <v>100.0667</v>
      </c>
      <c r="FU3" s="15">
        <v>100.16670000000001</v>
      </c>
      <c r="FV3" s="15">
        <v>100.3</v>
      </c>
      <c r="FW3" s="15">
        <v>99.833340000000007</v>
      </c>
      <c r="FX3" s="15">
        <v>100.4</v>
      </c>
      <c r="FY3" s="15">
        <v>100.86669999999999</v>
      </c>
      <c r="FZ3" s="15">
        <v>101.5</v>
      </c>
      <c r="GA3" s="15">
        <v>102</v>
      </c>
      <c r="GB3" s="15">
        <v>103.16670000000001</v>
      </c>
      <c r="GC3" s="15">
        <v>103.7</v>
      </c>
      <c r="GD3" s="15">
        <v>104.5667</v>
      </c>
      <c r="GE3" s="15">
        <v>104.7667</v>
      </c>
      <c r="GF3" s="15">
        <v>105.66670000000001</v>
      </c>
      <c r="GG3" s="15">
        <v>106.3</v>
      </c>
      <c r="GH3" s="15">
        <v>106.9333</v>
      </c>
      <c r="GI3" s="15">
        <v>106.7</v>
      </c>
      <c r="GJ3" s="15">
        <v>107.8</v>
      </c>
      <c r="GK3" s="15">
        <v>108.2667</v>
      </c>
      <c r="GL3" s="15">
        <v>108.4333</v>
      </c>
      <c r="GM3" s="15">
        <v>108.4667</v>
      </c>
      <c r="GN3" s="15">
        <v>108.5333</v>
      </c>
      <c r="GO3" s="15">
        <v>108.9333</v>
      </c>
      <c r="GP3" s="15">
        <v>109.0667</v>
      </c>
      <c r="GQ3" s="15">
        <v>109.16670000000001</v>
      </c>
      <c r="GR3" s="15">
        <v>110.7333</v>
      </c>
      <c r="GS3" s="15">
        <v>111.9333</v>
      </c>
      <c r="GT3" s="15">
        <v>114.4</v>
      </c>
      <c r="GU3" s="15">
        <v>115.9333</v>
      </c>
      <c r="GV3" s="15">
        <v>120.86669999999999</v>
      </c>
      <c r="GW3" s="15">
        <v>123.13330000000001</v>
      </c>
      <c r="GX3" s="15">
        <v>126.7</v>
      </c>
      <c r="GY3" s="15">
        <v>127.7333</v>
      </c>
      <c r="GZ3" s="15">
        <v>131.0667</v>
      </c>
      <c r="HA3" s="15">
        <v>131.4</v>
      </c>
      <c r="HB3" s="15">
        <v>131.9667</v>
      </c>
      <c r="HC3" s="15">
        <v>132.26669999999999</v>
      </c>
      <c r="HD3" s="15">
        <v>133.83330000000001</v>
      </c>
      <c r="HE3" s="15">
        <v>134.1</v>
      </c>
      <c r="HF3" s="15">
        <v>135.23330000000001</v>
      </c>
      <c r="HG3" s="16">
        <v>135.874</v>
      </c>
      <c r="HH3" s="16">
        <v>137.79079999999999</v>
      </c>
      <c r="HI3" s="16">
        <v>138.74520000000001</v>
      </c>
      <c r="HJ3" s="16">
        <v>139.79320000000001</v>
      </c>
      <c r="HK3" s="16">
        <v>140.09389999999999</v>
      </c>
      <c r="HL3" s="16">
        <v>141.3723</v>
      </c>
      <c r="HM3" s="16">
        <v>141.93199999999999</v>
      </c>
      <c r="HN3" s="16">
        <v>142.61689999999999</v>
      </c>
      <c r="HO3" s="16">
        <v>142.94460000000001</v>
      </c>
      <c r="HP3" s="16">
        <v>144.24369999999999</v>
      </c>
      <c r="HQ3" s="16">
        <v>144.8656</v>
      </c>
      <c r="HR3" s="16">
        <v>145.59469999999999</v>
      </c>
      <c r="HS3" s="16">
        <v>145.97319999999999</v>
      </c>
      <c r="HT3" s="16">
        <v>147.32300000000001</v>
      </c>
      <c r="HU3" s="16">
        <v>147.99870000000001</v>
      </c>
      <c r="HV3" s="16">
        <v>148.7628</v>
      </c>
      <c r="HW3" s="16">
        <v>149.08750000000001</v>
      </c>
      <c r="HX3" s="16">
        <v>150.41229999999999</v>
      </c>
      <c r="HY3" s="16">
        <v>151.06479999999999</v>
      </c>
      <c r="HZ3" s="16">
        <v>151.7929</v>
      </c>
      <c r="IA3" s="16">
        <v>152.08969999999999</v>
      </c>
      <c r="IB3" s="16">
        <v>153.4171</v>
      </c>
      <c r="IC3" s="16">
        <v>154.07740000000001</v>
      </c>
      <c r="ID3" s="16">
        <v>154.80269999999999</v>
      </c>
      <c r="IE3" s="16">
        <v>155.09809999999999</v>
      </c>
      <c r="IF3" s="16">
        <v>156.4522</v>
      </c>
      <c r="IG3" s="16">
        <v>157.1337</v>
      </c>
      <c r="IH3" s="16">
        <v>157.8554</v>
      </c>
      <c r="II3" s="16">
        <v>158.15459999999999</v>
      </c>
      <c r="IJ3" s="16">
        <v>159.54660000000001</v>
      </c>
      <c r="IK3" s="16">
        <v>160.25960000000001</v>
      </c>
      <c r="IL3" s="16">
        <v>160.98779999999999</v>
      </c>
      <c r="IM3" s="16">
        <v>161.29339999999999</v>
      </c>
      <c r="IN3" s="16">
        <v>162.72030000000001</v>
      </c>
      <c r="IO3" s="16">
        <v>163.4623</v>
      </c>
      <c r="IP3" s="16">
        <v>164.19319999999999</v>
      </c>
      <c r="IQ3" s="16">
        <v>164.5025</v>
      </c>
      <c r="IR3" s="16">
        <v>165.96369999999999</v>
      </c>
      <c r="IS3" s="16">
        <v>166.73500000000001</v>
      </c>
      <c r="IT3" s="16">
        <v>167.4676</v>
      </c>
      <c r="IU3" s="16">
        <v>167.78030000000001</v>
      </c>
      <c r="IV3" s="16">
        <v>169.27709999999999</v>
      </c>
      <c r="IW3" s="16">
        <v>170.0795</v>
      </c>
      <c r="IX3" s="16">
        <v>170.8135</v>
      </c>
      <c r="IY3" s="16">
        <v>171.13579999999999</v>
      </c>
      <c r="IZ3" s="16">
        <v>172.6626</v>
      </c>
      <c r="JA3" s="16">
        <v>173.4811</v>
      </c>
      <c r="JB3" s="16">
        <v>174.22980000000001</v>
      </c>
      <c r="JC3" s="16">
        <v>174.55860000000001</v>
      </c>
      <c r="JD3" s="16">
        <v>176.11580000000001</v>
      </c>
      <c r="JE3" s="16">
        <v>176.95070000000001</v>
      </c>
      <c r="JF3" s="16">
        <v>177.71440000000001</v>
      </c>
      <c r="JG3" s="16">
        <v>178.0497</v>
      </c>
      <c r="JH3" s="16">
        <v>179.63820000000001</v>
      </c>
      <c r="JI3" s="16">
        <v>180.4897</v>
      </c>
      <c r="JJ3" s="16">
        <v>181.2687</v>
      </c>
      <c r="JK3" s="16">
        <v>181.61070000000001</v>
      </c>
      <c r="JL3" s="16">
        <v>183.23089999999999</v>
      </c>
      <c r="JM3" s="16">
        <v>184.09950000000001</v>
      </c>
      <c r="JN3" s="16">
        <v>184.89410000000001</v>
      </c>
      <c r="JO3" s="16">
        <v>185.24299999999999</v>
      </c>
      <c r="JP3" s="16">
        <v>186.8955</v>
      </c>
      <c r="JQ3" s="16">
        <v>187.78149999999999</v>
      </c>
      <c r="JR3" s="16">
        <v>188.59190000000001</v>
      </c>
      <c r="JS3" s="16">
        <v>188.9478</v>
      </c>
      <c r="JT3" s="16">
        <v>190.6335</v>
      </c>
      <c r="JU3" s="16">
        <v>191.53710000000001</v>
      </c>
      <c r="JV3" s="16">
        <v>192.3638</v>
      </c>
      <c r="JW3" s="16">
        <v>192.7268</v>
      </c>
      <c r="JX3" s="16">
        <v>194.4461</v>
      </c>
      <c r="JY3" s="16">
        <v>195.36789999999999</v>
      </c>
      <c r="JZ3" s="16">
        <v>196.21109999999999</v>
      </c>
      <c r="KA3" s="16">
        <v>196.5813</v>
      </c>
      <c r="KB3" s="16">
        <v>198.33510000000001</v>
      </c>
      <c r="KC3" s="16">
        <v>199.27520000000001</v>
      </c>
      <c r="KD3" s="16">
        <v>200.1353</v>
      </c>
      <c r="KE3" s="16">
        <v>200.5129</v>
      </c>
      <c r="KF3" s="16">
        <v>202.30170000000001</v>
      </c>
      <c r="KG3" s="16">
        <v>203.26070000000001</v>
      </c>
      <c r="KH3" s="16">
        <v>204.13800000000001</v>
      </c>
      <c r="KI3" s="16">
        <v>204.5232</v>
      </c>
      <c r="KJ3" s="16">
        <v>206.34780000000001</v>
      </c>
      <c r="KK3" s="16">
        <v>207.32589999999999</v>
      </c>
      <c r="KL3" s="16">
        <v>208.22069999999999</v>
      </c>
      <c r="KM3" s="16">
        <v>208.61359999999999</v>
      </c>
      <c r="KN3" s="16">
        <v>210.47470000000001</v>
      </c>
      <c r="KO3" s="16">
        <v>211.4725</v>
      </c>
      <c r="KP3" s="16">
        <v>212.3852</v>
      </c>
      <c r="KQ3" s="16">
        <v>212.7859</v>
      </c>
      <c r="KR3" s="16">
        <v>214.6842</v>
      </c>
      <c r="KS3" s="16">
        <v>215.70189999999999</v>
      </c>
      <c r="KT3" s="16">
        <v>216.63290000000001</v>
      </c>
      <c r="KU3" s="16">
        <v>217.04159999999999</v>
      </c>
      <c r="KV3" s="16">
        <v>218.97790000000001</v>
      </c>
      <c r="KW3" s="16">
        <v>220.01589999999999</v>
      </c>
      <c r="KX3" s="16">
        <v>220.96549999999999</v>
      </c>
      <c r="KY3" s="16">
        <v>221.38249999999999</v>
      </c>
      <c r="KZ3" s="16">
        <v>223.35749999999999</v>
      </c>
      <c r="LA3" s="16">
        <v>224.41630000000001</v>
      </c>
      <c r="LB3" s="16">
        <v>225.38480000000001</v>
      </c>
      <c r="LC3" s="16">
        <v>225.81010000000001</v>
      </c>
      <c r="LD3" s="16">
        <v>227.8246</v>
      </c>
      <c r="LE3" s="16">
        <v>228.90459999999999</v>
      </c>
      <c r="LF3" s="16">
        <v>229.89250000000001</v>
      </c>
      <c r="LG3" s="11" t="s">
        <v>457</v>
      </c>
      <c r="LH3" s="11" t="b">
        <v>0</v>
      </c>
      <c r="LI3" s="11" t="s">
        <v>458</v>
      </c>
      <c r="LJ3" s="11">
        <v>2015</v>
      </c>
      <c r="LK3" s="11">
        <v>2024</v>
      </c>
      <c r="LL3" s="11">
        <v>4</v>
      </c>
      <c r="LM3" s="21">
        <v>45693</v>
      </c>
      <c r="LN3" s="12" t="s">
        <v>79</v>
      </c>
      <c r="LO3" s="12" t="s">
        <v>465</v>
      </c>
      <c r="LP3" s="11" t="s">
        <v>460</v>
      </c>
      <c r="LQ3" s="11" t="s">
        <v>466</v>
      </c>
      <c r="LR3" s="11" t="s">
        <v>462</v>
      </c>
    </row>
    <row r="4" spans="1:330" x14ac:dyDescent="0.35">
      <c r="A4" s="11" t="s">
        <v>453</v>
      </c>
      <c r="B4" s="11" t="s">
        <v>467</v>
      </c>
      <c r="C4" s="12" t="s">
        <v>1216</v>
      </c>
      <c r="D4" s="11" t="s">
        <v>468</v>
      </c>
      <c r="E4" s="11" t="s">
        <v>458</v>
      </c>
      <c r="F4" s="11" t="s">
        <v>456</v>
      </c>
      <c r="G4" s="15">
        <v>3.9</v>
      </c>
      <c r="H4" s="15">
        <v>3.7</v>
      </c>
      <c r="I4" s="15">
        <v>3.6</v>
      </c>
      <c r="J4" s="15">
        <v>3.4</v>
      </c>
      <c r="K4" s="15">
        <v>3.6</v>
      </c>
      <c r="L4" s="15">
        <v>3.6</v>
      </c>
      <c r="M4" s="15">
        <v>3.7</v>
      </c>
      <c r="N4" s="15">
        <v>3.7</v>
      </c>
      <c r="O4" s="15">
        <v>4</v>
      </c>
      <c r="P4" s="15">
        <v>4.3</v>
      </c>
      <c r="Q4" s="15">
        <v>4.7</v>
      </c>
      <c r="R4" s="15">
        <v>5</v>
      </c>
      <c r="S4" s="15">
        <v>5.3</v>
      </c>
      <c r="T4" s="15">
        <v>5.4</v>
      </c>
      <c r="U4" s="15">
        <v>5.5</v>
      </c>
      <c r="V4" s="15">
        <v>5.5</v>
      </c>
      <c r="W4" s="15">
        <v>5.5</v>
      </c>
      <c r="X4" s="15">
        <v>5.5</v>
      </c>
      <c r="Y4" s="15">
        <v>5.7</v>
      </c>
      <c r="Z4" s="15">
        <v>5.7</v>
      </c>
      <c r="AA4" s="15">
        <v>5.6</v>
      </c>
      <c r="AB4" s="15">
        <v>5.6</v>
      </c>
      <c r="AC4" s="15">
        <v>5.5</v>
      </c>
      <c r="AD4" s="15">
        <v>5.4</v>
      </c>
      <c r="AE4" s="15">
        <v>5.4</v>
      </c>
      <c r="AF4" s="15">
        <v>5.3</v>
      </c>
      <c r="AG4" s="15">
        <v>5.4</v>
      </c>
      <c r="AH4" s="15">
        <v>5.5</v>
      </c>
      <c r="AI4" s="15">
        <v>5.8</v>
      </c>
      <c r="AJ4" s="15">
        <v>6.3</v>
      </c>
      <c r="AK4" s="15">
        <v>7.1</v>
      </c>
      <c r="AL4" s="15">
        <v>8</v>
      </c>
      <c r="AM4" s="15">
        <v>8.9</v>
      </c>
      <c r="AN4" s="15">
        <v>9.6</v>
      </c>
      <c r="AO4" s="15">
        <v>9.9</v>
      </c>
      <c r="AP4" s="15">
        <v>10.199999999999999</v>
      </c>
      <c r="AQ4" s="15">
        <v>10.4</v>
      </c>
      <c r="AR4" s="15">
        <v>10.6</v>
      </c>
      <c r="AS4" s="15">
        <v>10.8</v>
      </c>
      <c r="AT4" s="15">
        <v>11.1</v>
      </c>
      <c r="AU4" s="15">
        <v>11.3</v>
      </c>
      <c r="AV4" s="15">
        <v>11.4</v>
      </c>
      <c r="AW4" s="15">
        <v>11.5</v>
      </c>
      <c r="AX4" s="15">
        <v>11.7</v>
      </c>
      <c r="AY4" s="15">
        <v>11.8</v>
      </c>
      <c r="AZ4" s="15">
        <v>11.9</v>
      </c>
      <c r="BA4" s="15">
        <v>11.7</v>
      </c>
      <c r="BB4" s="15">
        <v>11.6</v>
      </c>
      <c r="BC4" s="15">
        <v>11.5</v>
      </c>
      <c r="BD4" s="15">
        <v>11.4</v>
      </c>
      <c r="BE4" s="15">
        <v>11.3</v>
      </c>
      <c r="BF4" s="15">
        <v>11.3</v>
      </c>
      <c r="BG4" s="15">
        <v>11.3</v>
      </c>
      <c r="BH4" s="15">
        <v>11.3</v>
      </c>
      <c r="BI4" s="15">
        <v>11.4</v>
      </c>
      <c r="BJ4" s="15">
        <v>11.3</v>
      </c>
      <c r="BK4" s="15">
        <v>11.1</v>
      </c>
      <c r="BL4" s="15">
        <v>10.7</v>
      </c>
      <c r="BM4" s="15">
        <v>10.199999999999999</v>
      </c>
      <c r="BN4" s="15">
        <v>9.6999999999999993</v>
      </c>
      <c r="BO4" s="15">
        <v>9.1999999999999993</v>
      </c>
      <c r="BP4" s="15">
        <v>8.6999999999999993</v>
      </c>
      <c r="BQ4" s="15">
        <v>8.4</v>
      </c>
      <c r="BR4" s="15">
        <v>8</v>
      </c>
      <c r="BS4" s="15">
        <v>7.6</v>
      </c>
      <c r="BT4" s="15">
        <v>7.2</v>
      </c>
      <c r="BU4" s="15">
        <v>7.1</v>
      </c>
      <c r="BV4" s="15">
        <v>7</v>
      </c>
      <c r="BW4" s="15">
        <v>6.9</v>
      </c>
      <c r="BX4" s="15">
        <v>6.9</v>
      </c>
      <c r="BY4" s="15">
        <v>7.1</v>
      </c>
      <c r="BZ4" s="15">
        <v>7.5</v>
      </c>
      <c r="CA4" s="15">
        <v>8</v>
      </c>
      <c r="CB4" s="15">
        <v>8.6999999999999993</v>
      </c>
      <c r="CC4" s="15">
        <v>9.1999999999999993</v>
      </c>
      <c r="CD4" s="15">
        <v>9.5</v>
      </c>
      <c r="CE4" s="15">
        <v>9.6999999999999993</v>
      </c>
      <c r="CF4" s="15">
        <v>9.8000000000000007</v>
      </c>
      <c r="CG4" s="15">
        <v>9.9</v>
      </c>
      <c r="CH4" s="15">
        <v>10.4</v>
      </c>
      <c r="CI4" s="15">
        <v>10.6</v>
      </c>
      <c r="CJ4" s="15">
        <v>10.4</v>
      </c>
      <c r="CK4" s="15">
        <v>10.199999999999999</v>
      </c>
      <c r="CL4" s="15">
        <v>10.3</v>
      </c>
      <c r="CM4" s="15">
        <v>9.9</v>
      </c>
      <c r="CN4" s="15">
        <v>9.6999999999999993</v>
      </c>
      <c r="CO4" s="15">
        <v>9.4</v>
      </c>
      <c r="CP4" s="15">
        <v>9</v>
      </c>
      <c r="CQ4" s="15">
        <v>8.9</v>
      </c>
      <c r="CR4" s="15">
        <v>8.6999999999999993</v>
      </c>
      <c r="CS4" s="15">
        <v>8.6</v>
      </c>
      <c r="CT4" s="15">
        <v>8.3000000000000007</v>
      </c>
      <c r="CU4" s="15">
        <v>8.1999999999999993</v>
      </c>
      <c r="CV4" s="15">
        <v>8.3000000000000007</v>
      </c>
      <c r="CW4" s="15">
        <v>8.1</v>
      </c>
      <c r="CX4" s="15">
        <v>7.8</v>
      </c>
      <c r="CY4" s="15">
        <v>7.3</v>
      </c>
      <c r="CZ4" s="15">
        <v>7.2</v>
      </c>
      <c r="DA4" s="15">
        <v>6.8</v>
      </c>
      <c r="DB4" s="15">
        <v>6.5</v>
      </c>
      <c r="DC4" s="15">
        <v>6.4</v>
      </c>
      <c r="DD4" s="15">
        <v>6.3</v>
      </c>
      <c r="DE4" s="15">
        <v>6.2</v>
      </c>
      <c r="DF4" s="15">
        <v>6.1</v>
      </c>
      <c r="DG4" s="15">
        <v>6.2</v>
      </c>
      <c r="DH4" s="15">
        <v>6</v>
      </c>
      <c r="DI4" s="15">
        <v>5.9</v>
      </c>
      <c r="DJ4" s="15">
        <v>5.8</v>
      </c>
      <c r="DK4" s="15">
        <v>5.8</v>
      </c>
      <c r="DL4" s="15">
        <v>5.5</v>
      </c>
      <c r="DM4" s="15">
        <v>5.3</v>
      </c>
      <c r="DN4" s="15">
        <v>5.2</v>
      </c>
      <c r="DO4" s="15">
        <v>5.0999999999999996</v>
      </c>
      <c r="DP4" s="15">
        <v>5</v>
      </c>
      <c r="DQ4" s="15">
        <v>5.0999999999999996</v>
      </c>
      <c r="DR4" s="15">
        <v>5.2</v>
      </c>
      <c r="DS4" s="15">
        <v>5.2</v>
      </c>
      <c r="DT4" s="15">
        <v>5.2</v>
      </c>
      <c r="DU4" s="15">
        <v>5.3</v>
      </c>
      <c r="DV4" s="15">
        <v>5.0999999999999996</v>
      </c>
      <c r="DW4" s="15">
        <v>5.2</v>
      </c>
      <c r="DX4" s="15">
        <v>4.9000000000000004</v>
      </c>
      <c r="DY4" s="15">
        <v>5</v>
      </c>
      <c r="DZ4" s="15">
        <v>4.9000000000000004</v>
      </c>
      <c r="EA4" s="15">
        <v>4.8</v>
      </c>
      <c r="EB4" s="15">
        <v>4.8</v>
      </c>
      <c r="EC4" s="15">
        <v>4.7</v>
      </c>
      <c r="ED4" s="15">
        <v>4.7</v>
      </c>
      <c r="EE4" s="15">
        <v>4.7</v>
      </c>
      <c r="EF4" s="15">
        <v>4.8</v>
      </c>
      <c r="EG4" s="15">
        <v>4.7</v>
      </c>
      <c r="EH4" s="15">
        <v>5.0999999999999996</v>
      </c>
      <c r="EI4" s="15">
        <v>5.2</v>
      </c>
      <c r="EJ4" s="15">
        <v>5.5</v>
      </c>
      <c r="EK4" s="15">
        <v>5.5</v>
      </c>
      <c r="EL4" s="15">
        <v>5.5</v>
      </c>
      <c r="EM4" s="15">
        <v>5.5</v>
      </c>
      <c r="EN4" s="15">
        <v>5.4</v>
      </c>
      <c r="EO4" s="15">
        <v>5.3</v>
      </c>
      <c r="EP4" s="15">
        <v>5.2</v>
      </c>
      <c r="EQ4" s="15">
        <v>5.2</v>
      </c>
      <c r="ER4" s="15">
        <v>5.4</v>
      </c>
      <c r="ES4" s="15">
        <v>5.9</v>
      </c>
      <c r="ET4" s="15">
        <v>6.4</v>
      </c>
      <c r="EU4" s="15">
        <v>7.1</v>
      </c>
      <c r="EV4" s="15">
        <v>7.8</v>
      </c>
      <c r="EW4" s="15">
        <v>7.8</v>
      </c>
      <c r="EX4" s="15">
        <v>7.8</v>
      </c>
      <c r="EY4" s="15">
        <v>8</v>
      </c>
      <c r="EZ4" s="15">
        <v>7.9</v>
      </c>
      <c r="FA4" s="15">
        <v>7.8</v>
      </c>
      <c r="FB4" s="15">
        <v>7.9</v>
      </c>
      <c r="FC4" s="15">
        <v>7.8</v>
      </c>
      <c r="FD4" s="15">
        <v>7.9</v>
      </c>
      <c r="FE4" s="15">
        <v>8.3000000000000007</v>
      </c>
      <c r="FF4" s="15">
        <v>8.4</v>
      </c>
      <c r="FG4" s="15">
        <v>8.1999999999999993</v>
      </c>
      <c r="FH4" s="15">
        <v>8</v>
      </c>
      <c r="FI4" s="15">
        <v>7.8</v>
      </c>
      <c r="FJ4" s="15">
        <v>7.8</v>
      </c>
      <c r="FK4" s="15">
        <v>7.8</v>
      </c>
      <c r="FL4" s="15">
        <v>7.7</v>
      </c>
      <c r="FM4" s="15">
        <v>7.6</v>
      </c>
      <c r="FN4" s="15">
        <v>7.2</v>
      </c>
      <c r="FO4" s="15">
        <v>6.7</v>
      </c>
      <c r="FP4" s="15">
        <v>6.3</v>
      </c>
      <c r="FQ4" s="15">
        <v>6</v>
      </c>
      <c r="FR4" s="15">
        <v>5.7</v>
      </c>
      <c r="FS4" s="15">
        <v>5.5</v>
      </c>
      <c r="FT4" s="15">
        <v>5.6</v>
      </c>
      <c r="FU4" s="15">
        <v>5.3</v>
      </c>
      <c r="FV4" s="15">
        <v>5.0999999999999996</v>
      </c>
      <c r="FW4" s="15">
        <v>5.0999999999999996</v>
      </c>
      <c r="FX4" s="15">
        <v>4.9000000000000004</v>
      </c>
      <c r="FY4" s="15">
        <v>4.8</v>
      </c>
      <c r="FZ4" s="15">
        <v>4.7</v>
      </c>
      <c r="GA4" s="15">
        <v>4.5999999999999996</v>
      </c>
      <c r="GB4" s="15">
        <v>4.4000000000000004</v>
      </c>
      <c r="GC4" s="15">
        <v>4.3</v>
      </c>
      <c r="GD4" s="15">
        <v>4.4000000000000004</v>
      </c>
      <c r="GE4" s="15">
        <v>4.2</v>
      </c>
      <c r="GF4" s="15">
        <v>4</v>
      </c>
      <c r="GG4" s="15">
        <v>4.0999999999999996</v>
      </c>
      <c r="GH4" s="15">
        <v>4</v>
      </c>
      <c r="GI4" s="15">
        <v>3.8</v>
      </c>
      <c r="GJ4" s="15">
        <v>3.9</v>
      </c>
      <c r="GK4" s="15">
        <v>3.9</v>
      </c>
      <c r="GL4" s="15">
        <v>3.7</v>
      </c>
      <c r="GM4" s="15">
        <v>4.0999999999999996</v>
      </c>
      <c r="GN4" s="15">
        <v>4.0999999999999996</v>
      </c>
      <c r="GO4" s="15">
        <v>5</v>
      </c>
      <c r="GP4" s="15">
        <v>5.3</v>
      </c>
      <c r="GQ4" s="15">
        <v>4.9000000000000004</v>
      </c>
      <c r="GR4" s="15">
        <v>4.7</v>
      </c>
      <c r="GS4" s="15">
        <v>4.4000000000000004</v>
      </c>
      <c r="GT4" s="15">
        <v>4.2</v>
      </c>
      <c r="GU4" s="15">
        <v>3.8</v>
      </c>
      <c r="GV4" s="15">
        <v>3.8</v>
      </c>
      <c r="GW4" s="15">
        <v>3.7</v>
      </c>
      <c r="GX4" s="15">
        <v>3.9</v>
      </c>
      <c r="GY4" s="15">
        <v>4</v>
      </c>
      <c r="GZ4" s="15">
        <v>4.2</v>
      </c>
      <c r="HA4" s="15">
        <v>4.0999999999999996</v>
      </c>
      <c r="HB4" s="15">
        <v>3.9</v>
      </c>
      <c r="HC4" s="15">
        <v>4.3</v>
      </c>
      <c r="HD4" s="15">
        <v>4.2</v>
      </c>
      <c r="HE4" s="15">
        <v>4.3</v>
      </c>
      <c r="HF4" s="16">
        <v>4.4083839999999999</v>
      </c>
      <c r="HG4" s="16">
        <v>4.492019</v>
      </c>
      <c r="HH4" s="16">
        <v>4.5025069999999996</v>
      </c>
      <c r="HI4" s="16">
        <v>4.5120149999999999</v>
      </c>
      <c r="HJ4" s="16">
        <v>4.5025310000000003</v>
      </c>
      <c r="HK4" s="16">
        <v>4.4834519999999998</v>
      </c>
      <c r="HL4" s="16">
        <v>4.4739440000000004</v>
      </c>
      <c r="HM4" s="16">
        <v>4.4596780000000003</v>
      </c>
      <c r="HN4" s="16">
        <v>4.435829</v>
      </c>
      <c r="HO4" s="16">
        <v>4.4043850000000004</v>
      </c>
      <c r="HP4" s="16">
        <v>4.3567140000000002</v>
      </c>
      <c r="HQ4" s="16">
        <v>4.3013789999999998</v>
      </c>
      <c r="HR4" s="16">
        <v>4.2512549999999996</v>
      </c>
      <c r="HS4" s="16">
        <v>4.2011289999999999</v>
      </c>
      <c r="HT4" s="16">
        <v>4.1509390000000002</v>
      </c>
      <c r="HU4" s="16">
        <v>4.1174999999999997</v>
      </c>
      <c r="HV4" s="16">
        <v>4.0886899999999997</v>
      </c>
      <c r="HW4" s="16">
        <v>4.0695810000000003</v>
      </c>
      <c r="HX4" s="16">
        <v>4.0599949999999998</v>
      </c>
      <c r="HY4" s="16">
        <v>4.0504090000000001</v>
      </c>
      <c r="HZ4" s="16">
        <v>4.0389160000000004</v>
      </c>
      <c r="IA4" s="16">
        <v>4.0292310000000002</v>
      </c>
      <c r="IB4" s="16">
        <v>4.0196719999999999</v>
      </c>
      <c r="IC4" s="16">
        <v>4.010084</v>
      </c>
      <c r="ID4" s="16">
        <v>4.0000390000000001</v>
      </c>
      <c r="IE4" s="16">
        <v>4.0000220000000004</v>
      </c>
      <c r="IF4" s="16">
        <v>4.0000280000000004</v>
      </c>
      <c r="IG4" s="16">
        <v>4.0000309999999999</v>
      </c>
      <c r="IH4" s="16">
        <v>4.0000400000000003</v>
      </c>
      <c r="II4" s="16">
        <v>4.0000340000000003</v>
      </c>
      <c r="IJ4" s="16">
        <v>4.0000520000000002</v>
      </c>
      <c r="IK4" s="16">
        <v>4.0000340000000003</v>
      </c>
      <c r="IL4" s="16">
        <v>4.0000289999999996</v>
      </c>
      <c r="IM4" s="16">
        <v>4.0000229999999997</v>
      </c>
      <c r="IN4" s="16">
        <v>4.0000220000000004</v>
      </c>
      <c r="IO4" s="16">
        <v>4.0000299999999998</v>
      </c>
      <c r="IP4" s="16">
        <v>4.0000369999999998</v>
      </c>
      <c r="IQ4" s="16">
        <v>4.0000280000000004</v>
      </c>
      <c r="IR4" s="16">
        <v>4.0000439999999999</v>
      </c>
      <c r="IS4" s="16">
        <v>4.0000400000000003</v>
      </c>
      <c r="IT4" s="16">
        <v>3.9999950000000002</v>
      </c>
      <c r="IU4" s="16">
        <v>4.0000049999999998</v>
      </c>
      <c r="IV4" s="16">
        <v>4.0000140000000002</v>
      </c>
      <c r="IW4" s="16">
        <v>4.0000239999999998</v>
      </c>
      <c r="IX4" s="16">
        <v>4.0000030000000004</v>
      </c>
      <c r="IY4" s="16">
        <v>3.999984</v>
      </c>
      <c r="IZ4" s="16">
        <v>3.999994</v>
      </c>
      <c r="JA4" s="16">
        <v>3.9999829999999998</v>
      </c>
      <c r="JB4" s="16">
        <v>3.9999929999999999</v>
      </c>
      <c r="JC4" s="16">
        <v>4.0000020000000003</v>
      </c>
      <c r="JD4" s="16">
        <v>4.0000119999999999</v>
      </c>
      <c r="JE4" s="16">
        <v>3.9999920000000002</v>
      </c>
      <c r="JF4" s="16">
        <v>4.0000010000000001</v>
      </c>
      <c r="JG4" s="16">
        <v>4.0000099999999996</v>
      </c>
      <c r="JH4" s="16">
        <v>4.0000210000000003</v>
      </c>
      <c r="JI4" s="16">
        <v>4.0000099999999996</v>
      </c>
      <c r="JJ4" s="16">
        <v>4.0000200000000001</v>
      </c>
      <c r="JK4" s="16">
        <v>3.9999989999999999</v>
      </c>
      <c r="JL4" s="16">
        <v>4.0000090000000004</v>
      </c>
      <c r="JM4" s="16">
        <v>3.9999899999999999</v>
      </c>
      <c r="JN4" s="16">
        <v>3.9999989999999999</v>
      </c>
      <c r="JO4" s="16">
        <v>3.9999889999999998</v>
      </c>
      <c r="JP4" s="16">
        <v>3.9999989999999999</v>
      </c>
      <c r="JQ4" s="16">
        <v>4.0000080000000002</v>
      </c>
      <c r="JR4" s="16">
        <v>3.9999880000000001</v>
      </c>
      <c r="JS4" s="16">
        <v>3.9999889999999998</v>
      </c>
      <c r="JT4" s="16">
        <v>4.000019</v>
      </c>
      <c r="JU4" s="16">
        <v>4.0000039999999997</v>
      </c>
      <c r="JV4" s="16">
        <v>3.9999980000000002</v>
      </c>
      <c r="JW4" s="16">
        <v>4.0000109999999998</v>
      </c>
      <c r="JX4" s="16">
        <v>4.0000150000000003</v>
      </c>
      <c r="JY4" s="16">
        <v>4.000006</v>
      </c>
      <c r="JZ4" s="16">
        <v>3.999997</v>
      </c>
      <c r="KA4" s="16">
        <v>4.0000070000000001</v>
      </c>
      <c r="KB4" s="16">
        <v>4.0000070000000001</v>
      </c>
      <c r="KC4" s="16">
        <v>4.0000010000000001</v>
      </c>
      <c r="KD4" s="16">
        <v>3.9999950000000002</v>
      </c>
      <c r="KE4" s="16">
        <v>4</v>
      </c>
      <c r="KF4" s="16">
        <v>3.999994</v>
      </c>
      <c r="KG4" s="16">
        <v>4</v>
      </c>
      <c r="KH4" s="16">
        <v>4.0000070000000001</v>
      </c>
      <c r="KI4" s="16">
        <v>4.0000140000000002</v>
      </c>
      <c r="KJ4" s="16">
        <v>3.9999920000000002</v>
      </c>
      <c r="KK4" s="16">
        <v>4</v>
      </c>
      <c r="KL4" s="16">
        <v>4.0000169999999997</v>
      </c>
      <c r="KM4" s="16">
        <v>3.9999950000000002</v>
      </c>
      <c r="KN4" s="16">
        <v>3.9999850000000001</v>
      </c>
      <c r="KO4" s="16">
        <v>3.9999980000000002</v>
      </c>
      <c r="KP4" s="16">
        <v>4.0000039999999997</v>
      </c>
      <c r="KQ4" s="16">
        <v>3.9999899999999999</v>
      </c>
      <c r="KR4" s="16">
        <v>4.0000039999999997</v>
      </c>
      <c r="KS4" s="16">
        <v>4.0000099999999996</v>
      </c>
      <c r="KT4" s="16">
        <v>3.999997</v>
      </c>
      <c r="KU4" s="16">
        <v>4.0000109999999998</v>
      </c>
      <c r="KV4" s="16">
        <v>3.9999989999999999</v>
      </c>
      <c r="KW4" s="16">
        <v>4.0000049999999998</v>
      </c>
      <c r="KX4" s="16">
        <v>4.0000010000000001</v>
      </c>
      <c r="KY4" s="16">
        <v>4.0000070000000001</v>
      </c>
      <c r="KZ4" s="16">
        <v>4.0000030000000004</v>
      </c>
      <c r="LA4" s="16">
        <v>4.0000030000000004</v>
      </c>
      <c r="LB4" s="16">
        <v>4.000013</v>
      </c>
      <c r="LC4" s="16">
        <v>4.0000039999999997</v>
      </c>
      <c r="LD4" s="16">
        <v>4.0000039999999997</v>
      </c>
      <c r="LE4" s="16">
        <v>3.999997</v>
      </c>
      <c r="LF4" s="16">
        <v>4.0000080000000002</v>
      </c>
      <c r="LG4" s="11" t="s">
        <v>457</v>
      </c>
      <c r="LH4" s="11" t="b">
        <v>1</v>
      </c>
      <c r="LI4" s="11" t="s">
        <v>458</v>
      </c>
      <c r="LJ4" s="11" t="s">
        <v>458</v>
      </c>
      <c r="LK4" s="11">
        <v>2024</v>
      </c>
      <c r="LL4" s="11">
        <v>3</v>
      </c>
      <c r="LM4" s="21">
        <v>45693</v>
      </c>
      <c r="LN4" s="11" t="s">
        <v>93</v>
      </c>
      <c r="LO4" s="12" t="s">
        <v>469</v>
      </c>
      <c r="LP4" s="11" t="s">
        <v>460</v>
      </c>
      <c r="LQ4" s="11" t="s">
        <v>470</v>
      </c>
      <c r="LR4" s="11" t="s">
        <v>462</v>
      </c>
    </row>
    <row r="5" spans="1:330" x14ac:dyDescent="0.35">
      <c r="A5" s="11" t="s">
        <v>453</v>
      </c>
      <c r="B5" s="11" t="s">
        <v>471</v>
      </c>
      <c r="C5" s="12" t="s">
        <v>1216</v>
      </c>
      <c r="D5" s="11" t="s">
        <v>468</v>
      </c>
      <c r="E5" s="11" t="s">
        <v>458</v>
      </c>
      <c r="F5" s="11" t="s">
        <v>456</v>
      </c>
      <c r="G5" s="15">
        <v>8.5</v>
      </c>
      <c r="H5" s="15">
        <v>7.5</v>
      </c>
      <c r="I5" s="15">
        <v>11.5</v>
      </c>
      <c r="J5" s="15">
        <v>13</v>
      </c>
      <c r="K5" s="15">
        <v>12.5</v>
      </c>
      <c r="L5" s="15">
        <v>11.75</v>
      </c>
      <c r="M5" s="15">
        <v>11.5</v>
      </c>
      <c r="N5" s="15">
        <v>11.5</v>
      </c>
      <c r="O5" s="15">
        <v>10</v>
      </c>
      <c r="P5" s="15">
        <v>10</v>
      </c>
      <c r="Q5" s="15">
        <v>11</v>
      </c>
      <c r="R5" s="15">
        <v>11.25</v>
      </c>
      <c r="S5" s="15">
        <v>9</v>
      </c>
      <c r="T5" s="15">
        <v>11.5</v>
      </c>
      <c r="U5" s="15">
        <v>13</v>
      </c>
      <c r="V5" s="15">
        <v>14.25</v>
      </c>
      <c r="W5" s="15">
        <v>9.5</v>
      </c>
      <c r="X5" s="15">
        <v>8</v>
      </c>
      <c r="Y5" s="15">
        <v>6</v>
      </c>
      <c r="Z5" s="15">
        <v>7</v>
      </c>
      <c r="AA5" s="15">
        <v>6.5</v>
      </c>
      <c r="AB5" s="15">
        <v>10</v>
      </c>
      <c r="AC5" s="15">
        <v>10</v>
      </c>
      <c r="AD5" s="15">
        <v>12.5</v>
      </c>
      <c r="AE5" s="15">
        <v>13</v>
      </c>
      <c r="AF5" s="15">
        <v>14</v>
      </c>
      <c r="AG5" s="15">
        <v>14</v>
      </c>
      <c r="AH5" s="15">
        <v>17</v>
      </c>
      <c r="AI5" s="15">
        <v>17</v>
      </c>
      <c r="AJ5" s="15">
        <v>17</v>
      </c>
      <c r="AK5" s="15">
        <v>16</v>
      </c>
      <c r="AL5" s="15">
        <v>14</v>
      </c>
      <c r="AM5" s="15">
        <v>12</v>
      </c>
      <c r="AN5" s="15">
        <v>12</v>
      </c>
      <c r="AO5" s="15">
        <v>14</v>
      </c>
      <c r="AP5" s="15">
        <v>14.375</v>
      </c>
      <c r="AQ5" s="15">
        <v>13.25</v>
      </c>
      <c r="AR5" s="15">
        <v>12.625</v>
      </c>
      <c r="AS5" s="15">
        <v>10.125</v>
      </c>
      <c r="AT5" s="15">
        <v>10</v>
      </c>
      <c r="AU5" s="15">
        <v>10.5625</v>
      </c>
      <c r="AV5" s="15">
        <v>9.5625</v>
      </c>
      <c r="AW5" s="15">
        <v>9.5625</v>
      </c>
      <c r="AX5" s="15">
        <v>9.0625</v>
      </c>
      <c r="AY5" s="15">
        <v>8.5625</v>
      </c>
      <c r="AZ5" s="15">
        <v>8.875</v>
      </c>
      <c r="BA5" s="15">
        <v>10.5</v>
      </c>
      <c r="BB5" s="15">
        <v>9.5</v>
      </c>
      <c r="BC5" s="15">
        <v>12.875</v>
      </c>
      <c r="BD5" s="15">
        <v>12.375</v>
      </c>
      <c r="BE5" s="15">
        <v>11.375</v>
      </c>
      <c r="BF5" s="15">
        <v>11.375</v>
      </c>
      <c r="BG5" s="15">
        <v>11.375</v>
      </c>
      <c r="BH5" s="15">
        <v>9.875</v>
      </c>
      <c r="BI5" s="15">
        <v>9.875</v>
      </c>
      <c r="BJ5" s="15">
        <v>10.875</v>
      </c>
      <c r="BK5" s="15">
        <v>9.875</v>
      </c>
      <c r="BL5" s="15">
        <v>8.875</v>
      </c>
      <c r="BM5" s="15">
        <v>9.875</v>
      </c>
      <c r="BN5" s="15">
        <v>8.375</v>
      </c>
      <c r="BO5" s="15">
        <v>8.375</v>
      </c>
      <c r="BP5" s="15">
        <v>8.875</v>
      </c>
      <c r="BQ5" s="15">
        <v>11.875</v>
      </c>
      <c r="BR5" s="15">
        <v>12.875</v>
      </c>
      <c r="BS5" s="15">
        <v>12.875</v>
      </c>
      <c r="BT5" s="15">
        <v>13.75</v>
      </c>
      <c r="BU5" s="15">
        <v>13.75</v>
      </c>
      <c r="BV5" s="15">
        <v>14.875</v>
      </c>
      <c r="BW5" s="15">
        <v>14.875</v>
      </c>
      <c r="BX5" s="15">
        <v>14.875</v>
      </c>
      <c r="BY5" s="15">
        <v>14.875</v>
      </c>
      <c r="BZ5" s="15">
        <v>13.875</v>
      </c>
      <c r="CA5" s="15">
        <v>12.375</v>
      </c>
      <c r="CB5" s="15">
        <v>11.375</v>
      </c>
      <c r="CC5" s="15">
        <v>10.375</v>
      </c>
      <c r="CD5" s="15">
        <v>10.375</v>
      </c>
      <c r="CE5" s="15">
        <v>10.375</v>
      </c>
      <c r="CF5" s="15">
        <v>9.875</v>
      </c>
      <c r="CG5" s="15">
        <v>8.875</v>
      </c>
      <c r="CH5" s="15">
        <v>6.875</v>
      </c>
      <c r="CI5" s="15">
        <v>5.875</v>
      </c>
      <c r="CJ5" s="15">
        <v>5.875</v>
      </c>
      <c r="CK5" s="15">
        <v>5.875</v>
      </c>
      <c r="CL5" s="15">
        <v>5.375</v>
      </c>
      <c r="CM5" s="15">
        <v>5.125</v>
      </c>
      <c r="CN5" s="15">
        <v>5.125</v>
      </c>
      <c r="CO5" s="15">
        <v>5.625</v>
      </c>
      <c r="CP5" s="15">
        <v>6.125</v>
      </c>
      <c r="CQ5" s="15">
        <v>6.625</v>
      </c>
      <c r="CR5" s="15">
        <v>6.625</v>
      </c>
      <c r="CS5" s="15">
        <v>6.625</v>
      </c>
      <c r="CT5" s="15">
        <v>6.375</v>
      </c>
      <c r="CU5" s="15">
        <v>5.9375</v>
      </c>
      <c r="CV5" s="15">
        <v>5.6875</v>
      </c>
      <c r="CW5" s="15">
        <v>5.6875</v>
      </c>
      <c r="CX5" s="15">
        <v>5.9375</v>
      </c>
      <c r="CY5" s="15">
        <v>5.9375</v>
      </c>
      <c r="CZ5" s="15">
        <v>6.5</v>
      </c>
      <c r="DA5" s="15">
        <v>7</v>
      </c>
      <c r="DB5" s="15">
        <v>7.25</v>
      </c>
      <c r="DC5" s="15">
        <v>7.25</v>
      </c>
      <c r="DD5" s="15">
        <v>7.5</v>
      </c>
      <c r="DE5" s="15">
        <v>7.5</v>
      </c>
      <c r="DF5" s="15">
        <v>6.25</v>
      </c>
      <c r="DG5" s="15">
        <v>5.5</v>
      </c>
      <c r="DH5" s="15">
        <v>5</v>
      </c>
      <c r="DI5" s="15">
        <v>5.25</v>
      </c>
      <c r="DJ5" s="15">
        <v>5.5</v>
      </c>
      <c r="DK5" s="15">
        <v>6</v>
      </c>
      <c r="DL5" s="15">
        <v>6</v>
      </c>
      <c r="DM5" s="15">
        <v>6</v>
      </c>
      <c r="DN5" s="15">
        <v>6</v>
      </c>
      <c r="DO5" s="15">
        <v>5.75</v>
      </c>
      <c r="DP5" s="15">
        <v>5.25</v>
      </c>
      <c r="DQ5" s="15">
        <v>4.75</v>
      </c>
      <c r="DR5" s="15">
        <v>4</v>
      </c>
      <c r="DS5" s="15">
        <v>4</v>
      </c>
      <c r="DT5" s="15">
        <v>4</v>
      </c>
      <c r="DU5" s="15">
        <v>4</v>
      </c>
      <c r="DV5" s="15">
        <v>4</v>
      </c>
      <c r="DW5" s="15">
        <v>3.75</v>
      </c>
      <c r="DX5" s="15">
        <v>3.75</v>
      </c>
      <c r="DY5" s="15">
        <v>3.5</v>
      </c>
      <c r="DZ5" s="15">
        <v>3.75</v>
      </c>
      <c r="EA5" s="15">
        <v>4</v>
      </c>
      <c r="EB5" s="15">
        <v>4.5</v>
      </c>
      <c r="EC5" s="15">
        <v>4.75</v>
      </c>
      <c r="ED5" s="15">
        <v>4.75</v>
      </c>
      <c r="EE5" s="15">
        <v>4.75</v>
      </c>
      <c r="EF5" s="15">
        <v>4.75</v>
      </c>
      <c r="EG5" s="15">
        <v>4.5</v>
      </c>
      <c r="EH5" s="15">
        <v>4.5</v>
      </c>
      <c r="EI5" s="15">
        <v>4.5</v>
      </c>
      <c r="EJ5" s="15">
        <v>4.5</v>
      </c>
      <c r="EK5" s="15">
        <v>4.75</v>
      </c>
      <c r="EL5" s="15">
        <v>5</v>
      </c>
      <c r="EM5" s="15">
        <v>5.25</v>
      </c>
      <c r="EN5" s="15">
        <v>5.5</v>
      </c>
      <c r="EO5" s="15">
        <v>5.75</v>
      </c>
      <c r="EP5" s="15">
        <v>5.5</v>
      </c>
      <c r="EQ5" s="15">
        <v>5.25</v>
      </c>
      <c r="ER5" s="15">
        <v>5</v>
      </c>
      <c r="ES5" s="15">
        <v>5</v>
      </c>
      <c r="ET5" s="15">
        <v>2</v>
      </c>
      <c r="EU5" s="15">
        <v>0.5</v>
      </c>
      <c r="EV5" s="15">
        <v>0.5</v>
      </c>
      <c r="EW5" s="15">
        <v>0.5</v>
      </c>
      <c r="EX5" s="15">
        <v>0.5</v>
      </c>
      <c r="EY5" s="15">
        <v>0.5</v>
      </c>
      <c r="EZ5" s="15">
        <v>0.5</v>
      </c>
      <c r="FA5" s="15">
        <v>0.5</v>
      </c>
      <c r="FB5" s="15">
        <v>0.5</v>
      </c>
      <c r="FC5" s="15">
        <v>0.5</v>
      </c>
      <c r="FD5" s="15">
        <v>0.5</v>
      </c>
      <c r="FE5" s="15">
        <v>0.5</v>
      </c>
      <c r="FF5" s="15">
        <v>0.5</v>
      </c>
      <c r="FG5" s="15">
        <v>0.5</v>
      </c>
      <c r="FH5" s="15">
        <v>0.5</v>
      </c>
      <c r="FI5" s="15">
        <v>0.5</v>
      </c>
      <c r="FJ5" s="15">
        <v>0.5</v>
      </c>
      <c r="FK5" s="15">
        <v>0.5</v>
      </c>
      <c r="FL5" s="15">
        <v>0.5</v>
      </c>
      <c r="FM5" s="15">
        <v>0.5</v>
      </c>
      <c r="FN5" s="15">
        <v>0.5</v>
      </c>
      <c r="FO5" s="15">
        <v>0.5</v>
      </c>
      <c r="FP5" s="15">
        <v>0.5</v>
      </c>
      <c r="FQ5" s="15">
        <v>0.5</v>
      </c>
      <c r="FR5" s="15">
        <v>0.5</v>
      </c>
      <c r="FS5" s="15">
        <v>0.5</v>
      </c>
      <c r="FT5" s="15">
        <v>0.5</v>
      </c>
      <c r="FU5" s="15">
        <v>0.5</v>
      </c>
      <c r="FV5" s="15">
        <v>0.5</v>
      </c>
      <c r="FW5" s="15">
        <v>0.5</v>
      </c>
      <c r="FX5" s="15">
        <v>0.5</v>
      </c>
      <c r="FY5" s="15">
        <v>0.25</v>
      </c>
      <c r="FZ5" s="15">
        <v>0.25</v>
      </c>
      <c r="GA5" s="15">
        <v>0.25</v>
      </c>
      <c r="GB5" s="15">
        <v>0.25</v>
      </c>
      <c r="GC5" s="15">
        <v>0.25</v>
      </c>
      <c r="GD5" s="15">
        <v>0.5</v>
      </c>
      <c r="GE5" s="15">
        <v>0.5</v>
      </c>
      <c r="GF5" s="15">
        <v>0.5</v>
      </c>
      <c r="GG5" s="15">
        <v>0.75</v>
      </c>
      <c r="GH5" s="15">
        <v>0.75</v>
      </c>
      <c r="GI5" s="15">
        <v>0.75</v>
      </c>
      <c r="GJ5" s="15">
        <v>0.75</v>
      </c>
      <c r="GK5" s="15">
        <v>0.75</v>
      </c>
      <c r="GL5" s="15">
        <v>0.75</v>
      </c>
      <c r="GM5" s="15">
        <v>0.1</v>
      </c>
      <c r="GN5" s="15">
        <v>0.1</v>
      </c>
      <c r="GO5" s="15">
        <v>0.1</v>
      </c>
      <c r="GP5" s="15">
        <v>0.1</v>
      </c>
      <c r="GQ5" s="15">
        <v>0.1</v>
      </c>
      <c r="GR5" s="15">
        <v>0.1</v>
      </c>
      <c r="GS5" s="15">
        <v>0.1</v>
      </c>
      <c r="GT5" s="15">
        <v>0.25</v>
      </c>
      <c r="GU5" s="15">
        <v>0.75</v>
      </c>
      <c r="GV5" s="15">
        <v>1.25</v>
      </c>
      <c r="GW5" s="15">
        <v>2.25</v>
      </c>
      <c r="GX5" s="15">
        <v>3.5</v>
      </c>
      <c r="GY5" s="15">
        <v>4.25</v>
      </c>
      <c r="GZ5" s="15">
        <v>5</v>
      </c>
      <c r="HA5" s="15">
        <v>5.25</v>
      </c>
      <c r="HB5" s="15">
        <v>5.25</v>
      </c>
      <c r="HC5" s="15">
        <v>5.25</v>
      </c>
      <c r="HD5" s="15">
        <v>5.25</v>
      </c>
      <c r="HE5" s="15">
        <v>5</v>
      </c>
      <c r="HF5" s="15">
        <v>4.75</v>
      </c>
      <c r="HG5" s="16">
        <v>4.5</v>
      </c>
      <c r="HH5" s="16">
        <v>4.25</v>
      </c>
      <c r="HI5" s="16">
        <v>4</v>
      </c>
      <c r="HJ5" s="16">
        <v>3.75</v>
      </c>
      <c r="HK5" s="16">
        <v>3.5</v>
      </c>
      <c r="HL5" s="16">
        <v>3.25</v>
      </c>
      <c r="HM5" s="16">
        <v>3.25</v>
      </c>
      <c r="HN5" s="16">
        <v>3</v>
      </c>
      <c r="HO5" s="16">
        <v>3</v>
      </c>
      <c r="HP5" s="16">
        <v>2.75</v>
      </c>
      <c r="HQ5" s="16">
        <v>2.75</v>
      </c>
      <c r="HR5" s="16">
        <v>2.5</v>
      </c>
      <c r="HS5" s="16">
        <v>2.5</v>
      </c>
      <c r="HT5" s="16">
        <v>2.5</v>
      </c>
      <c r="HU5" s="16">
        <v>2.5</v>
      </c>
      <c r="HV5" s="16">
        <v>2.5</v>
      </c>
      <c r="HW5" s="16">
        <v>2.5</v>
      </c>
      <c r="HX5" s="16">
        <v>2.5</v>
      </c>
      <c r="HY5" s="16">
        <v>2.5</v>
      </c>
      <c r="HZ5" s="16">
        <v>2.5</v>
      </c>
      <c r="IA5" s="16">
        <v>2.5</v>
      </c>
      <c r="IB5" s="16">
        <v>2.5</v>
      </c>
      <c r="IC5" s="16">
        <v>2.5</v>
      </c>
      <c r="ID5" s="16">
        <v>2.5</v>
      </c>
      <c r="IE5" s="16">
        <v>2.5</v>
      </c>
      <c r="IF5" s="16">
        <v>2.5</v>
      </c>
      <c r="IG5" s="16">
        <v>2.5</v>
      </c>
      <c r="IH5" s="16">
        <v>2.5</v>
      </c>
      <c r="II5" s="16">
        <v>2.5</v>
      </c>
      <c r="IJ5" s="16">
        <v>2.5</v>
      </c>
      <c r="IK5" s="16">
        <v>2.5</v>
      </c>
      <c r="IL5" s="16">
        <v>2.5</v>
      </c>
      <c r="IM5" s="16">
        <v>2.5</v>
      </c>
      <c r="IN5" s="16">
        <v>2.5</v>
      </c>
      <c r="IO5" s="16">
        <v>2.5</v>
      </c>
      <c r="IP5" s="16">
        <v>2.5</v>
      </c>
      <c r="IQ5" s="16">
        <v>2.5</v>
      </c>
      <c r="IR5" s="16">
        <v>2.5</v>
      </c>
      <c r="IS5" s="16">
        <v>2.5</v>
      </c>
      <c r="IT5" s="16">
        <v>2.5</v>
      </c>
      <c r="IU5" s="16">
        <v>2.5</v>
      </c>
      <c r="IV5" s="16">
        <v>2.5</v>
      </c>
      <c r="IW5" s="16">
        <v>2.5</v>
      </c>
      <c r="IX5" s="16">
        <v>2.5</v>
      </c>
      <c r="IY5" s="16">
        <v>2.5</v>
      </c>
      <c r="IZ5" s="16">
        <v>2.5</v>
      </c>
      <c r="JA5" s="16">
        <v>2.5</v>
      </c>
      <c r="JB5" s="16">
        <v>2.5</v>
      </c>
      <c r="JC5" s="16">
        <v>2.5</v>
      </c>
      <c r="JD5" s="16">
        <v>2.5</v>
      </c>
      <c r="JE5" s="16">
        <v>2.5</v>
      </c>
      <c r="JF5" s="16">
        <v>2.5</v>
      </c>
      <c r="JG5" s="16">
        <v>2.5</v>
      </c>
      <c r="JH5" s="16">
        <v>2.5</v>
      </c>
      <c r="JI5" s="16">
        <v>2.5</v>
      </c>
      <c r="JJ5" s="16">
        <v>2.5</v>
      </c>
      <c r="JK5" s="16">
        <v>2.5</v>
      </c>
      <c r="JL5" s="16">
        <v>2.5</v>
      </c>
      <c r="JM5" s="16">
        <v>2.5</v>
      </c>
      <c r="JN5" s="16">
        <v>2.5</v>
      </c>
      <c r="JO5" s="16">
        <v>2.5</v>
      </c>
      <c r="JP5" s="16">
        <v>2.5</v>
      </c>
      <c r="JQ5" s="16">
        <v>2.5</v>
      </c>
      <c r="JR5" s="16">
        <v>2.5</v>
      </c>
      <c r="JS5" s="16">
        <v>2.5</v>
      </c>
      <c r="JT5" s="16">
        <v>2.5</v>
      </c>
      <c r="JU5" s="16">
        <v>2.5</v>
      </c>
      <c r="JV5" s="16">
        <v>2.5</v>
      </c>
      <c r="JW5" s="16">
        <v>2.5</v>
      </c>
      <c r="JX5" s="16">
        <v>2.5</v>
      </c>
      <c r="JY5" s="16">
        <v>2.5</v>
      </c>
      <c r="JZ5" s="16">
        <v>2.5</v>
      </c>
      <c r="KA5" s="16">
        <v>2.5</v>
      </c>
      <c r="KB5" s="16">
        <v>2.5</v>
      </c>
      <c r="KC5" s="16">
        <v>2.5</v>
      </c>
      <c r="KD5" s="16">
        <v>2.5</v>
      </c>
      <c r="KE5" s="16">
        <v>2.5</v>
      </c>
      <c r="KF5" s="16">
        <v>2.5</v>
      </c>
      <c r="KG5" s="16">
        <v>2.5</v>
      </c>
      <c r="KH5" s="16">
        <v>2.5</v>
      </c>
      <c r="KI5" s="16">
        <v>2.5</v>
      </c>
      <c r="KJ5" s="16">
        <v>2.5</v>
      </c>
      <c r="KK5" s="16">
        <v>2.5</v>
      </c>
      <c r="KL5" s="16">
        <v>2.5</v>
      </c>
      <c r="KM5" s="16">
        <v>2.5</v>
      </c>
      <c r="KN5" s="16">
        <v>2.5</v>
      </c>
      <c r="KO5" s="16">
        <v>2.5</v>
      </c>
      <c r="KP5" s="16">
        <v>2.5</v>
      </c>
      <c r="KQ5" s="16">
        <v>2.5</v>
      </c>
      <c r="KR5" s="16">
        <v>2.5</v>
      </c>
      <c r="KS5" s="16">
        <v>2.5</v>
      </c>
      <c r="KT5" s="16">
        <v>2.5</v>
      </c>
      <c r="KU5" s="16">
        <v>2.5</v>
      </c>
      <c r="KV5" s="16">
        <v>2.5</v>
      </c>
      <c r="KW5" s="16">
        <v>2.5</v>
      </c>
      <c r="KX5" s="16">
        <v>2.5</v>
      </c>
      <c r="KY5" s="16">
        <v>2.5</v>
      </c>
      <c r="KZ5" s="16">
        <v>2.5</v>
      </c>
      <c r="LA5" s="16">
        <v>2.5</v>
      </c>
      <c r="LB5" s="16">
        <v>2.5</v>
      </c>
      <c r="LC5" s="16">
        <v>2.5</v>
      </c>
      <c r="LD5" s="16">
        <v>2.5</v>
      </c>
      <c r="LE5" s="16">
        <v>2.5</v>
      </c>
      <c r="LF5" s="16">
        <v>2.5</v>
      </c>
      <c r="LG5" s="11" t="s">
        <v>472</v>
      </c>
      <c r="LH5" s="11" t="b">
        <v>0</v>
      </c>
      <c r="LI5" s="11" t="s">
        <v>458</v>
      </c>
      <c r="LJ5" s="11" t="s">
        <v>458</v>
      </c>
      <c r="LK5" s="11">
        <v>2024</v>
      </c>
      <c r="LL5" s="11">
        <v>4</v>
      </c>
      <c r="LM5" s="21">
        <v>45693</v>
      </c>
      <c r="LN5" s="12" t="s">
        <v>100</v>
      </c>
      <c r="LO5" s="11" t="s">
        <v>473</v>
      </c>
      <c r="LP5" s="11" t="s">
        <v>460</v>
      </c>
      <c r="LQ5" s="11" t="s">
        <v>474</v>
      </c>
      <c r="LR5" s="11" t="s">
        <v>462</v>
      </c>
    </row>
    <row r="6" spans="1:330" x14ac:dyDescent="0.35">
      <c r="A6"/>
      <c r="B6"/>
      <c r="C6"/>
      <c r="D6"/>
      <c r="E6"/>
      <c r="F6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  <c r="IZ10" s="22"/>
      <c r="JA10" s="22"/>
      <c r="JB10" s="22"/>
      <c r="JC10" s="22"/>
      <c r="JD10" s="22"/>
      <c r="JE10" s="22"/>
      <c r="JF10" s="22"/>
      <c r="JG10" s="22"/>
      <c r="JH10" s="22"/>
      <c r="JI10" s="22"/>
      <c r="JJ10" s="22"/>
      <c r="JK10" s="22"/>
      <c r="JL10" s="22"/>
      <c r="JM10" s="22"/>
      <c r="JN10" s="22"/>
      <c r="JO10" s="22"/>
      <c r="JP10" s="22"/>
      <c r="JQ10" s="22"/>
      <c r="JR10" s="22"/>
      <c r="JS10" s="22"/>
      <c r="JT10" s="22"/>
      <c r="JU10" s="22"/>
      <c r="JV10" s="22"/>
      <c r="JW10" s="22"/>
      <c r="JX10" s="22"/>
      <c r="JY10" s="22"/>
      <c r="JZ10" s="22"/>
      <c r="KA10" s="22"/>
      <c r="KB10" s="22"/>
      <c r="KC10" s="22"/>
      <c r="KD10" s="22"/>
      <c r="KE10" s="22"/>
      <c r="KF10" s="22"/>
      <c r="KG10" s="22"/>
      <c r="KH10" s="22"/>
      <c r="KI10" s="22"/>
      <c r="KJ10" s="22"/>
      <c r="KK10" s="22"/>
      <c r="KL10" s="22"/>
      <c r="KM10" s="22"/>
      <c r="KN10" s="22"/>
      <c r="KO10" s="22"/>
      <c r="KP10" s="22"/>
      <c r="KQ10" s="22"/>
      <c r="KR10" s="22"/>
      <c r="KS10" s="22"/>
      <c r="KT10" s="22"/>
      <c r="KU10" s="22"/>
      <c r="KV10" s="22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G11" s="22"/>
      <c r="KH11" s="22"/>
      <c r="KI11" s="22"/>
      <c r="KJ11" s="22"/>
      <c r="KK11" s="22"/>
      <c r="KL11" s="22"/>
      <c r="KM11" s="22"/>
      <c r="KN11" s="22"/>
      <c r="KO11" s="22"/>
      <c r="KP11" s="22"/>
      <c r="KQ11" s="22"/>
      <c r="KR11" s="22"/>
      <c r="KS11" s="22"/>
      <c r="KT11" s="22"/>
      <c r="KU11" s="22"/>
      <c r="KV11" s="22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  <c r="B21"/>
      <c r="C21"/>
      <c r="D21"/>
      <c r="E21"/>
      <c r="F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/>
      <c r="LH21"/>
      <c r="LI21"/>
      <c r="LJ21"/>
      <c r="LK21"/>
      <c r="LL21"/>
      <c r="LM21"/>
      <c r="LN21"/>
      <c r="LO21"/>
      <c r="LP21"/>
      <c r="LQ21"/>
      <c r="LR21"/>
    </row>
    <row r="22" spans="1:330" x14ac:dyDescent="0.35">
      <c r="A22"/>
      <c r="B22"/>
      <c r="C22"/>
      <c r="D22"/>
      <c r="E22"/>
      <c r="F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/>
      <c r="LH22"/>
      <c r="LI22"/>
      <c r="LJ22"/>
      <c r="LK22"/>
      <c r="LL22"/>
      <c r="LM22"/>
      <c r="LN22"/>
      <c r="LO22"/>
      <c r="LP22"/>
      <c r="LQ22"/>
      <c r="LR22"/>
    </row>
    <row r="23" spans="1:330" x14ac:dyDescent="0.35">
      <c r="A23"/>
      <c r="B23"/>
      <c r="C23"/>
      <c r="D23"/>
      <c r="E23"/>
      <c r="F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/>
      <c r="LH23"/>
      <c r="LI23"/>
      <c r="LJ23"/>
      <c r="LK23"/>
      <c r="LL23"/>
      <c r="LM23"/>
      <c r="LN23"/>
      <c r="LO23"/>
      <c r="LP23"/>
      <c r="LQ23"/>
      <c r="LR23"/>
    </row>
    <row r="24" spans="1:330" x14ac:dyDescent="0.35">
      <c r="A24"/>
      <c r="B24"/>
      <c r="C24"/>
      <c r="D24"/>
      <c r="E24"/>
      <c r="F2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/>
      <c r="LH24"/>
      <c r="LI24"/>
      <c r="LJ24"/>
      <c r="LK24"/>
      <c r="LL24"/>
      <c r="LM24"/>
      <c r="LN24"/>
      <c r="LO24"/>
      <c r="LP24"/>
      <c r="LQ24"/>
      <c r="LR24"/>
    </row>
    <row r="25" spans="1:330" x14ac:dyDescent="0.35">
      <c r="A25"/>
      <c r="B25"/>
      <c r="C25"/>
      <c r="D25"/>
      <c r="E25"/>
      <c r="F2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/>
      <c r="LH25"/>
      <c r="LI25"/>
      <c r="LJ25"/>
      <c r="LK25"/>
      <c r="LL25"/>
      <c r="LM25"/>
      <c r="LN25"/>
      <c r="LO25"/>
      <c r="LP25"/>
      <c r="LQ25"/>
      <c r="LR25"/>
    </row>
    <row r="26" spans="1:330" x14ac:dyDescent="0.35">
      <c r="A26"/>
      <c r="B26"/>
      <c r="C26"/>
      <c r="D26"/>
      <c r="E26"/>
      <c r="F26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/>
      <c r="LH26"/>
      <c r="LI26"/>
      <c r="LJ26"/>
      <c r="LK26"/>
      <c r="LL26"/>
      <c r="LM26"/>
      <c r="LN26"/>
      <c r="LO26"/>
      <c r="LP26"/>
      <c r="LQ26"/>
      <c r="LR26"/>
    </row>
    <row r="27" spans="1:330" x14ac:dyDescent="0.35">
      <c r="A27"/>
      <c r="B27"/>
      <c r="C27"/>
      <c r="D27"/>
      <c r="E27"/>
      <c r="F27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/>
      <c r="LH27"/>
      <c r="LI27"/>
      <c r="LJ27"/>
      <c r="LK27"/>
      <c r="LL27"/>
      <c r="LM27"/>
      <c r="LN27"/>
      <c r="LO27"/>
      <c r="LP27"/>
      <c r="LQ27"/>
      <c r="LR27"/>
    </row>
    <row r="28" spans="1:330" x14ac:dyDescent="0.35">
      <c r="A28"/>
      <c r="B28"/>
      <c r="C28"/>
      <c r="D28"/>
      <c r="E28"/>
      <c r="F28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/>
      <c r="LH28"/>
      <c r="LI28"/>
      <c r="LJ28"/>
      <c r="LK28"/>
      <c r="LL28"/>
      <c r="LM28"/>
      <c r="LN28"/>
      <c r="LO28"/>
      <c r="LP28"/>
      <c r="LQ28"/>
      <c r="LR28"/>
    </row>
    <row r="29" spans="1:330" x14ac:dyDescent="0.35">
      <c r="A29"/>
      <c r="B29"/>
      <c r="C29"/>
      <c r="D29"/>
      <c r="E29"/>
      <c r="F29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/>
      <c r="LH29"/>
      <c r="LI29"/>
      <c r="LJ29"/>
      <c r="LK29"/>
      <c r="LL29"/>
      <c r="LM29"/>
      <c r="LN29"/>
      <c r="LO29"/>
      <c r="LP29"/>
      <c r="LQ29"/>
      <c r="LR29"/>
    </row>
    <row r="30" spans="1:330" x14ac:dyDescent="0.35">
      <c r="A30"/>
      <c r="B30"/>
      <c r="C30"/>
      <c r="D30"/>
      <c r="E30"/>
      <c r="F30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/>
      <c r="LH30"/>
      <c r="LI30"/>
      <c r="LJ30"/>
      <c r="LK30"/>
      <c r="LL30"/>
      <c r="LM30"/>
      <c r="LN30"/>
      <c r="LO30"/>
      <c r="LP30"/>
      <c r="LQ30"/>
      <c r="LR30"/>
    </row>
    <row r="31" spans="1:330" x14ac:dyDescent="0.35">
      <c r="A31"/>
      <c r="B31"/>
      <c r="C31"/>
      <c r="D31"/>
      <c r="E31"/>
      <c r="F3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/>
      <c r="LH31"/>
      <c r="LI31"/>
      <c r="LJ31"/>
      <c r="LK31"/>
      <c r="LL31"/>
      <c r="LM31"/>
      <c r="LN31"/>
      <c r="LO31"/>
      <c r="LP31"/>
      <c r="LQ31"/>
      <c r="LR31"/>
    </row>
    <row r="32" spans="1:330" x14ac:dyDescent="0.35">
      <c r="A32"/>
      <c r="B32"/>
      <c r="C32"/>
      <c r="D32"/>
      <c r="E32"/>
      <c r="F3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/>
      <c r="LH32"/>
      <c r="LI32"/>
      <c r="LJ32"/>
      <c r="LK32"/>
      <c r="LL32"/>
      <c r="LM32"/>
      <c r="LN32"/>
      <c r="LO32"/>
      <c r="LP32"/>
      <c r="LQ32"/>
      <c r="LR32"/>
    </row>
    <row r="33" spans="1:330" x14ac:dyDescent="0.35">
      <c r="A33"/>
      <c r="B33"/>
      <c r="C33"/>
      <c r="D33"/>
      <c r="E33"/>
      <c r="F3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/>
      <c r="LH33"/>
      <c r="LI33"/>
      <c r="LJ33"/>
      <c r="LK33"/>
      <c r="LL33"/>
      <c r="LM33"/>
      <c r="LN33"/>
      <c r="LO33"/>
      <c r="LP33"/>
      <c r="LQ33"/>
      <c r="LR33"/>
    </row>
    <row r="34" spans="1:330" x14ac:dyDescent="0.35">
      <c r="A34"/>
      <c r="B34"/>
      <c r="C34"/>
      <c r="D34"/>
      <c r="E34"/>
      <c r="F3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/>
      <c r="LH34"/>
      <c r="LI34"/>
      <c r="LJ34"/>
      <c r="LK34"/>
      <c r="LL34"/>
      <c r="LM34"/>
      <c r="LN34"/>
      <c r="LO34"/>
      <c r="LP34"/>
      <c r="LQ34"/>
      <c r="LR34"/>
    </row>
    <row r="35" spans="1:330" x14ac:dyDescent="0.35">
      <c r="A35"/>
      <c r="B35"/>
      <c r="C35"/>
      <c r="D35"/>
      <c r="E35"/>
      <c r="F35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/>
      <c r="LH35"/>
      <c r="LI35"/>
      <c r="LJ35"/>
      <c r="LK35"/>
      <c r="LL35"/>
      <c r="LM35"/>
      <c r="LN35"/>
      <c r="LO35"/>
      <c r="LP35"/>
      <c r="LQ35"/>
      <c r="LR35"/>
    </row>
    <row r="36" spans="1:330" x14ac:dyDescent="0.35">
      <c r="A36"/>
      <c r="B36"/>
      <c r="C36"/>
      <c r="D36"/>
      <c r="E36"/>
      <c r="F36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/>
      <c r="LH36"/>
      <c r="LI36"/>
      <c r="LJ36"/>
      <c r="LK36"/>
      <c r="LL36"/>
      <c r="LM36"/>
      <c r="LN36"/>
      <c r="LO36"/>
      <c r="LP36"/>
      <c r="LQ36"/>
      <c r="LR36"/>
    </row>
    <row r="37" spans="1:330" x14ac:dyDescent="0.35">
      <c r="A37"/>
      <c r="B37"/>
      <c r="C37"/>
      <c r="D37"/>
      <c r="E37"/>
      <c r="F37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/>
      <c r="LH37"/>
      <c r="LI37"/>
      <c r="LJ37"/>
      <c r="LK37"/>
      <c r="LL37"/>
      <c r="LM37"/>
      <c r="LN37"/>
      <c r="LO37"/>
      <c r="LP37"/>
      <c r="LQ37"/>
      <c r="LR37"/>
    </row>
    <row r="38" spans="1:330" x14ac:dyDescent="0.35">
      <c r="A38"/>
      <c r="B38"/>
      <c r="C38"/>
      <c r="D38"/>
      <c r="E38"/>
      <c r="F38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/>
      <c r="LH38"/>
      <c r="LI38"/>
      <c r="LJ38"/>
      <c r="LK38"/>
      <c r="LL38"/>
      <c r="LM38"/>
      <c r="LN38"/>
      <c r="LO38"/>
      <c r="LP38"/>
      <c r="LQ38"/>
      <c r="LR38"/>
    </row>
    <row r="39" spans="1:330" x14ac:dyDescent="0.35">
      <c r="A39"/>
      <c r="B39"/>
      <c r="C39"/>
      <c r="D39"/>
      <c r="E39"/>
      <c r="F39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/>
      <c r="LH39"/>
      <c r="LI39"/>
      <c r="LJ39"/>
      <c r="LK39"/>
      <c r="LL39"/>
      <c r="LM39"/>
      <c r="LN39"/>
      <c r="LO39"/>
      <c r="LP39"/>
      <c r="LQ39"/>
      <c r="LR39"/>
    </row>
    <row r="40" spans="1:330" x14ac:dyDescent="0.35">
      <c r="A40"/>
      <c r="B40"/>
      <c r="C40"/>
      <c r="D40"/>
      <c r="E40"/>
      <c r="F40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/>
      <c r="LH40"/>
      <c r="LI40"/>
      <c r="LJ40"/>
      <c r="LK40"/>
      <c r="LL40"/>
      <c r="LM40"/>
      <c r="LN40"/>
      <c r="LO40"/>
      <c r="LP40"/>
      <c r="LQ40"/>
      <c r="LR40"/>
    </row>
    <row r="41" spans="1:330" x14ac:dyDescent="0.35">
      <c r="A41"/>
      <c r="B41"/>
      <c r="C41"/>
      <c r="D41"/>
      <c r="E41"/>
      <c r="F4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/>
      <c r="LH41"/>
      <c r="LI41"/>
      <c r="LJ41"/>
      <c r="LK41"/>
      <c r="LL41"/>
      <c r="LM41"/>
      <c r="LN41"/>
      <c r="LO41"/>
      <c r="LP41"/>
      <c r="LQ41"/>
      <c r="LR41"/>
    </row>
    <row r="42" spans="1:330" x14ac:dyDescent="0.35">
      <c r="A42"/>
      <c r="B42"/>
      <c r="C42"/>
      <c r="D42"/>
      <c r="E42"/>
      <c r="F4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/>
      <c r="LH42"/>
      <c r="LI42"/>
      <c r="LJ42"/>
      <c r="LK42"/>
      <c r="LL42"/>
      <c r="LM42"/>
      <c r="LN42"/>
      <c r="LO42"/>
      <c r="LP42"/>
      <c r="LQ42"/>
      <c r="LR42"/>
    </row>
    <row r="43" spans="1:330" x14ac:dyDescent="0.35">
      <c r="A43"/>
      <c r="B43"/>
      <c r="C43"/>
      <c r="D43"/>
      <c r="E43"/>
      <c r="F43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/>
      <c r="LH43"/>
      <c r="LI43"/>
      <c r="LJ43"/>
      <c r="LK43"/>
      <c r="LL43"/>
      <c r="LM43"/>
      <c r="LN43"/>
      <c r="LO43"/>
      <c r="LP43"/>
      <c r="LQ43"/>
      <c r="LR43"/>
    </row>
    <row r="44" spans="1:330" x14ac:dyDescent="0.35">
      <c r="A44"/>
      <c r="B44"/>
      <c r="C44"/>
      <c r="D44"/>
      <c r="E44"/>
      <c r="F4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/>
      <c r="LH44"/>
      <c r="LI44"/>
      <c r="LJ44"/>
      <c r="LK44"/>
      <c r="LL44"/>
      <c r="LM44"/>
      <c r="LN44"/>
      <c r="LO44"/>
      <c r="LP44"/>
      <c r="LQ44"/>
      <c r="LR44"/>
    </row>
    <row r="45" spans="1:330" x14ac:dyDescent="0.35">
      <c r="A45"/>
      <c r="B45"/>
      <c r="C45"/>
      <c r="D45"/>
      <c r="E45"/>
      <c r="F45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/>
      <c r="LH45"/>
      <c r="LI45"/>
      <c r="LJ45"/>
      <c r="LK45"/>
      <c r="LL45"/>
      <c r="LM45"/>
      <c r="LN45"/>
      <c r="LO45"/>
      <c r="LP45"/>
      <c r="LQ45"/>
      <c r="LR45"/>
    </row>
    <row r="46" spans="1:330" x14ac:dyDescent="0.35">
      <c r="A46"/>
      <c r="B46"/>
      <c r="C46"/>
      <c r="D46"/>
      <c r="E46"/>
      <c r="F46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/>
      <c r="LH46"/>
      <c r="LI46"/>
      <c r="LJ46"/>
      <c r="LK46"/>
      <c r="LL46"/>
      <c r="LM46"/>
      <c r="LN46"/>
      <c r="LO46"/>
      <c r="LP46"/>
      <c r="LQ46"/>
      <c r="LR46"/>
    </row>
    <row r="47" spans="1:330" x14ac:dyDescent="0.35">
      <c r="A47"/>
      <c r="B47"/>
      <c r="C47"/>
      <c r="D47"/>
      <c r="E47"/>
      <c r="F47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/>
      <c r="LH47"/>
      <c r="LI47"/>
      <c r="LJ47"/>
      <c r="LK47"/>
      <c r="LL47"/>
      <c r="LM47"/>
      <c r="LN47"/>
      <c r="LO47"/>
      <c r="LP47"/>
      <c r="LQ47"/>
      <c r="LR47"/>
    </row>
    <row r="48" spans="1:330" x14ac:dyDescent="0.35">
      <c r="A48"/>
      <c r="B48"/>
      <c r="C48"/>
      <c r="D48"/>
      <c r="E48"/>
      <c r="F48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  <c r="IZ48" s="22"/>
      <c r="JA48" s="22"/>
      <c r="JB48" s="22"/>
      <c r="JC48" s="22"/>
      <c r="JD48" s="22"/>
      <c r="JE48" s="22"/>
      <c r="JF48" s="22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/>
      <c r="LH48"/>
      <c r="LI48"/>
      <c r="LJ48"/>
      <c r="LK48"/>
      <c r="LL48"/>
      <c r="LM48"/>
      <c r="LN48"/>
      <c r="LO48"/>
      <c r="LP48"/>
      <c r="LQ48"/>
      <c r="LR48"/>
    </row>
    <row r="49" spans="1:330" x14ac:dyDescent="0.35">
      <c r="A49"/>
      <c r="B49"/>
      <c r="C49"/>
      <c r="D49"/>
      <c r="E49"/>
      <c r="F49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  <c r="IZ49" s="22"/>
      <c r="JA49" s="22"/>
      <c r="JB49" s="22"/>
      <c r="JC49" s="22"/>
      <c r="JD49" s="22"/>
      <c r="JE49" s="22"/>
      <c r="JF49" s="22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/>
      <c r="LH49"/>
      <c r="LI49"/>
      <c r="LJ49"/>
      <c r="LK49"/>
      <c r="LL49"/>
      <c r="LM49"/>
      <c r="LN49"/>
      <c r="LO49"/>
      <c r="LP49"/>
      <c r="LQ49"/>
      <c r="LR49"/>
    </row>
    <row r="50" spans="1:330" x14ac:dyDescent="0.35">
      <c r="A50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</row>
    <row r="51" spans="1:330" x14ac:dyDescent="0.35">
      <c r="A5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23"/>
      <c r="KT51" s="23"/>
      <c r="KU51" s="23"/>
      <c r="KV51" s="23"/>
      <c r="KW51" s="23"/>
      <c r="KX51" s="23"/>
      <c r="KY51" s="23"/>
      <c r="KZ51" s="23"/>
      <c r="LA51" s="23"/>
      <c r="LB51" s="23"/>
      <c r="LC51" s="23"/>
      <c r="LD51" s="23"/>
      <c r="LE51" s="23"/>
      <c r="LF51" s="23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60B7-F5B0-4E97-8EA7-C8E782757D34}">
  <sheetPr>
    <tabColor theme="4"/>
  </sheetPr>
  <dimension ref="A1"/>
  <sheetViews>
    <sheetView workbookViewId="0">
      <selection activeCell="J38" sqref="J38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1D91-B90F-4672-84E1-AFC4F1C99B6C}">
  <sheetPr>
    <tabColor theme="4"/>
  </sheetPr>
  <dimension ref="A1"/>
  <sheetViews>
    <sheetView workbookViewId="0">
      <selection activeCell="J38" sqref="J38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Chart Data</vt:lpstr>
      <vt:lpstr>HAVERQ</vt:lpstr>
      <vt:lpstr>HAVERW</vt:lpstr>
      <vt:lpstr>OE_FCST</vt:lpstr>
      <vt:lpstr>CHARTS&gt;&gt;&gt;&gt;</vt:lpstr>
      <vt:lpstr>NOT USED&gt;&gt;&gt;&gt;</vt:lpstr>
      <vt:lpstr>Chart - GDP forecasts 24-26</vt:lpstr>
      <vt:lpstr>Inflation - BoE last 2</vt:lpstr>
      <vt:lpstr>Inflation - BoE last 2 &amp; OE</vt:lpstr>
      <vt:lpstr>Inflation - mkt &amp; constant</vt:lpstr>
      <vt:lpstr>Inflation - modal &amp; mean</vt:lpstr>
      <vt:lpstr>Chart - Inflation &amp; output gap </vt:lpstr>
      <vt:lpstr>Inflation - BoE &amp; OE</vt:lpstr>
      <vt:lpstr>Unemployment - BoE last 2</vt:lpstr>
      <vt:lpstr>Unemployment - BoE &amp; OE</vt:lpstr>
      <vt:lpstr>Mkt interest rates - last 2</vt:lpstr>
      <vt:lpstr>Bank Rate - market (IR) &amp; OE</vt:lpstr>
      <vt:lpstr>_DLX1.INC</vt:lpstr>
      <vt:lpstr>_DLX2.INC</vt:lpstr>
      <vt:lpstr>OE_FCST!Annual_Data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2018-02-07T17:25:41Z</dcterms:created>
  <dcterms:modified xsi:type="dcterms:W3CDTF">2025-02-07T11:20:02Z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2023-08-03T11:47:07Z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5792f074-6d30-46e2-9c9c-5540e8063984</vt:lpwstr>
  </property>
  <property fmtid="{D5CDD505-2E9C-101B-9397-08002B2CF9AE}" pid="8" name="MSIP_Label_3b83b38b-8e91-4f17-8371-95d3d41e26c0_ContentBits">
    <vt:lpwstr>0</vt:lpwstr>
  </property>
</Properties>
</file>