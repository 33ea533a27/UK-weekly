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5AEFDEC0-AA71-4AC3-ACCF-26997E76F850}" xr6:coauthVersionLast="47" xr6:coauthVersionMax="47" xr10:uidLastSave="{00000000-0000-0000-0000-000000000000}"/>
  <bookViews>
    <workbookView xWindow="-110" yWindow="-110" windowWidth="19420" windowHeight="10300" xr2:uid="{1A6CF374-0D91-4235-8212-1EA914DFB8D1}"/>
  </bookViews>
  <sheets>
    <sheet name="Chart3" sheetId="4" r:id="rId1"/>
    <sheet name="Polling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3" i="1"/>
  <c r="G4" i="1"/>
  <c r="G5" i="1"/>
  <c r="G6" i="1"/>
  <c r="G7" i="1"/>
  <c r="G8" i="1"/>
  <c r="G2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<sst xmlns="http://schemas.openxmlformats.org/spreadsheetml/2006/main" count="13" uniqueCount="13">
  <si>
    <t>Labour</t>
  </si>
  <si>
    <t>Conservative</t>
  </si>
  <si>
    <t>Reform</t>
  </si>
  <si>
    <t>YouGov</t>
  </si>
  <si>
    <t>Survation</t>
  </si>
  <si>
    <t>Redfield &amp; Wilton</t>
  </si>
  <si>
    <t>Deltapoll</t>
  </si>
  <si>
    <t>Savanta</t>
  </si>
  <si>
    <t>Opinium</t>
  </si>
  <si>
    <t>Ipsos</t>
  </si>
  <si>
    <t>Other</t>
  </si>
  <si>
    <t>Liberal Democrat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</si>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</sst>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93F"/>
      <color rgb="FF7B7C77"/>
      <color rgb="FFD1A21E"/>
      <color rgb="FF00ADDC"/>
      <color rgb="FF003469"/>
      <color rgb="FFBD1B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0384020757519294E-2"/>
          <c:y val="0.16826410330255703"/>
          <c:w val="0.89949994501366581"/>
          <c:h val="0.64808776678834823"/>
        </c:manualLayout>
      </c:layout>
      <c:lineChart>
        <c:grouping val="standard"/>
        <c:varyColors val="0"/>
        <c:ser>
          <c:idx val="0"/>
          <c:order val="0"/>
          <c:tx>
            <c:strRef>
              <c:f>'Polling data'!$B$1</c:f>
              <c:strCache>
                <c:ptCount val="1"/>
                <c:pt idx="0">
                  <c:v>Labour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diamond"/>
            <c:size val="10"/>
            <c:spPr>
              <a:solidFill>
                <a:srgbClr val="BD1B21"/>
              </a:solidFill>
              <a:ln>
                <a:solidFill>
                  <a:srgbClr val="BD1B21"/>
                </a:solidFill>
              </a:ln>
            </c:spPr>
          </c:marker>
          <c:cat>
            <c:strRef>
              <c:f>'Polling data'!$A$2:$A$8</c:f>
              <c:strCache>
                <c:ptCount val="7"/>
                <c:pt idx="0">
                  <c:v>YouGov</c:v>
                </c:pt>
                <c:pt idx="1">
                  <c:v>Survation</c:v>
                </c:pt>
                <c:pt idx="2">
                  <c:v>Redfield &amp; Wilton</c:v>
                </c:pt>
                <c:pt idx="3">
                  <c:v>Deltapoll</c:v>
                </c:pt>
                <c:pt idx="4">
                  <c:v>Savanta</c:v>
                </c:pt>
                <c:pt idx="5">
                  <c:v>Opinium</c:v>
                </c:pt>
                <c:pt idx="6">
                  <c:v>Ipsos</c:v>
                </c:pt>
              </c:strCache>
            </c:strRef>
          </c:cat>
          <c:val>
            <c:numRef>
              <c:f>'Polling data'!$B$2:$B$8</c:f>
              <c:numCache>
                <c:formatCode>General</c:formatCode>
                <c:ptCount val="7"/>
                <c:pt idx="0">
                  <c:v>46</c:v>
                </c:pt>
                <c:pt idx="1">
                  <c:v>48</c:v>
                </c:pt>
                <c:pt idx="2">
                  <c:v>45</c:v>
                </c:pt>
                <c:pt idx="3">
                  <c:v>45</c:v>
                </c:pt>
                <c:pt idx="4">
                  <c:v>43</c:v>
                </c:pt>
                <c:pt idx="5">
                  <c:v>43</c:v>
                </c:pt>
                <c:pt idx="6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'Polling data'!$C$1</c:f>
              <c:strCache>
                <c:ptCount val="1"/>
                <c:pt idx="0">
                  <c:v>Conservative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diamond"/>
            <c:size val="10"/>
            <c:spPr>
              <a:solidFill>
                <a:srgbClr val="003469"/>
              </a:solidFill>
              <a:ln>
                <a:solidFill>
                  <a:srgbClr val="003469"/>
                </a:solidFill>
              </a:ln>
            </c:spPr>
          </c:marker>
          <c:cat>
            <c:strRef>
              <c:f>'Polling data'!$A$2:$A$8</c:f>
              <c:strCache>
                <c:ptCount val="7"/>
                <c:pt idx="0">
                  <c:v>YouGov</c:v>
                </c:pt>
                <c:pt idx="1">
                  <c:v>Survation</c:v>
                </c:pt>
                <c:pt idx="2">
                  <c:v>Redfield &amp; Wilton</c:v>
                </c:pt>
                <c:pt idx="3">
                  <c:v>Deltapoll</c:v>
                </c:pt>
                <c:pt idx="4">
                  <c:v>Savanta</c:v>
                </c:pt>
                <c:pt idx="5">
                  <c:v>Opinium</c:v>
                </c:pt>
                <c:pt idx="6">
                  <c:v>Ipsos</c:v>
                </c:pt>
              </c:strCache>
            </c:strRef>
          </c:cat>
          <c:val>
            <c:numRef>
              <c:f>'Polling data'!$C$2:$C$8</c:f>
              <c:numCache>
                <c:formatCode>General</c:formatCode>
                <c:ptCount val="7"/>
                <c:pt idx="0">
                  <c:v>21</c:v>
                </c:pt>
                <c:pt idx="1">
                  <c:v>27</c:v>
                </c:pt>
                <c:pt idx="2">
                  <c:v>23</c:v>
                </c:pt>
                <c:pt idx="3">
                  <c:v>23</c:v>
                </c:pt>
                <c:pt idx="4">
                  <c:v>26</c:v>
                </c:pt>
                <c:pt idx="5">
                  <c:v>25</c:v>
                </c:pt>
                <c:pt idx="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'Polling data'!$D$1</c:f>
              <c:strCache>
                <c:ptCount val="1"/>
                <c:pt idx="0">
                  <c:v>Liberal Democrat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diamond"/>
            <c:size val="10"/>
            <c:spPr>
              <a:solidFill>
                <a:srgbClr val="D1A21E"/>
              </a:solidFill>
              <a:ln>
                <a:solidFill>
                  <a:srgbClr val="D1A21E"/>
                </a:solidFill>
              </a:ln>
            </c:spPr>
          </c:marker>
          <c:cat>
            <c:strRef>
              <c:f>'Polling data'!$A$2:$A$8</c:f>
              <c:strCache>
                <c:ptCount val="7"/>
                <c:pt idx="0">
                  <c:v>YouGov</c:v>
                </c:pt>
                <c:pt idx="1">
                  <c:v>Survation</c:v>
                </c:pt>
                <c:pt idx="2">
                  <c:v>Redfield &amp; Wilton</c:v>
                </c:pt>
                <c:pt idx="3">
                  <c:v>Deltapoll</c:v>
                </c:pt>
                <c:pt idx="4">
                  <c:v>Savanta</c:v>
                </c:pt>
                <c:pt idx="5">
                  <c:v>Opinium</c:v>
                </c:pt>
                <c:pt idx="6">
                  <c:v>Ipsos</c:v>
                </c:pt>
              </c:strCache>
            </c:strRef>
          </c:cat>
          <c:val>
            <c:numRef>
              <c:f>'Polling data'!$D$2:$D$8</c:f>
              <c:numCache>
                <c:formatCode>General</c:formatCode>
                <c:ptCount val="7"/>
                <c:pt idx="0">
                  <c:v>9</c:v>
                </c:pt>
                <c:pt idx="1">
                  <c:v>8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'Polling data'!$E$1</c:f>
              <c:strCache>
                <c:ptCount val="1"/>
                <c:pt idx="0">
                  <c:v>Reform</c:v>
                </c:pt>
              </c:strCache>
            </c:strRef>
          </c:tx>
          <c:spPr>
            <a:ln w="38100">
              <a:solidFill>
                <a:srgbClr val="00ADDC"/>
              </a:solidFill>
            </a:ln>
          </c:spPr>
          <c:marker>
            <c:symbol val="diamond"/>
            <c:size val="10"/>
            <c:spPr>
              <a:solidFill>
                <a:srgbClr val="00ADDC"/>
              </a:solidFill>
              <a:ln>
                <a:solidFill>
                  <a:srgbClr val="00ADDC"/>
                </a:solidFill>
              </a:ln>
            </c:spPr>
          </c:marker>
          <c:cat>
            <c:strRef>
              <c:f>'Polling data'!$A$2:$A$8</c:f>
              <c:strCache>
                <c:ptCount val="7"/>
                <c:pt idx="0">
                  <c:v>YouGov</c:v>
                </c:pt>
                <c:pt idx="1">
                  <c:v>Survation</c:v>
                </c:pt>
                <c:pt idx="2">
                  <c:v>Redfield &amp; Wilton</c:v>
                </c:pt>
                <c:pt idx="3">
                  <c:v>Deltapoll</c:v>
                </c:pt>
                <c:pt idx="4">
                  <c:v>Savanta</c:v>
                </c:pt>
                <c:pt idx="5">
                  <c:v>Opinium</c:v>
                </c:pt>
                <c:pt idx="6">
                  <c:v>Ipsos</c:v>
                </c:pt>
              </c:strCache>
            </c:strRef>
          </c:cat>
          <c:val>
            <c:numRef>
              <c:f>'Polling data'!$E$2:$E$8</c:f>
              <c:numCache>
                <c:formatCode>General</c:formatCode>
                <c:ptCount val="7"/>
                <c:pt idx="0">
                  <c:v>12</c:v>
                </c:pt>
                <c:pt idx="1">
                  <c:v>8</c:v>
                </c:pt>
                <c:pt idx="2">
                  <c:v>12</c:v>
                </c:pt>
                <c:pt idx="3">
                  <c:v>12</c:v>
                </c:pt>
                <c:pt idx="4">
                  <c:v>9</c:v>
                </c:pt>
                <c:pt idx="5">
                  <c:v>10</c:v>
                </c:pt>
                <c:pt idx="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'Polling data'!$F$1</c:f>
              <c:strCache>
                <c:ptCount val="1"/>
                <c:pt idx="0">
                  <c:v>Green</c:v>
                </c:pt>
              </c:strCache>
            </c:strRef>
          </c:tx>
          <c:spPr>
            <a:ln w="38100">
              <a:solidFill>
                <a:srgbClr val="00793F"/>
              </a:solidFill>
            </a:ln>
          </c:spPr>
          <c:marker>
            <c:symbol val="diamond"/>
            <c:size val="10"/>
            <c:spPr>
              <a:solidFill>
                <a:srgbClr val="00793F"/>
              </a:solidFill>
              <a:ln>
                <a:solidFill>
                  <a:srgbClr val="00793F"/>
                </a:solidFill>
              </a:ln>
            </c:spPr>
          </c:marker>
          <c:cat>
            <c:strRef>
              <c:f>'Polling data'!$A$2:$A$8</c:f>
              <c:strCache>
                <c:ptCount val="7"/>
                <c:pt idx="0">
                  <c:v>YouGov</c:v>
                </c:pt>
                <c:pt idx="1">
                  <c:v>Survation</c:v>
                </c:pt>
                <c:pt idx="2">
                  <c:v>Redfield &amp; Wilton</c:v>
                </c:pt>
                <c:pt idx="3">
                  <c:v>Deltapoll</c:v>
                </c:pt>
                <c:pt idx="4">
                  <c:v>Savanta</c:v>
                </c:pt>
                <c:pt idx="5">
                  <c:v>Opinium</c:v>
                </c:pt>
                <c:pt idx="6">
                  <c:v>Ipsos</c:v>
                </c:pt>
              </c:strCache>
            </c:strRef>
          </c:cat>
          <c:val>
            <c:numRef>
              <c:f>'Polling data'!$F$2:$F$8</c:f>
              <c:numCache>
                <c:formatCode>General</c:formatCode>
                <c:ptCount val="7"/>
                <c:pt idx="0">
                  <c:v>7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  <c:pt idx="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ser>
          <c:idx val="5"/>
          <c:order val="5"/>
          <c:tx>
            <c:strRef>
              <c:f>'Polling data'!$G$1</c:f>
              <c:strCache>
                <c:ptCount val="1"/>
                <c:pt idx="0">
                  <c:v>Other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diamond"/>
            <c:size val="10"/>
            <c:spPr>
              <a:solidFill>
                <a:srgbClr val="7B7C77"/>
              </a:solidFill>
              <a:ln>
                <a:solidFill>
                  <a:srgbClr val="7B7C77"/>
                </a:solidFill>
              </a:ln>
            </c:spPr>
          </c:marker>
          <c:cat>
            <c:strRef>
              <c:f>'Polling data'!$A$2:$A$8</c:f>
              <c:strCache>
                <c:ptCount val="7"/>
                <c:pt idx="0">
                  <c:v>YouGov</c:v>
                </c:pt>
                <c:pt idx="1">
                  <c:v>Survation</c:v>
                </c:pt>
                <c:pt idx="2">
                  <c:v>Redfield &amp; Wilton</c:v>
                </c:pt>
                <c:pt idx="3">
                  <c:v>Deltapoll</c:v>
                </c:pt>
                <c:pt idx="4">
                  <c:v>Savanta</c:v>
                </c:pt>
                <c:pt idx="5">
                  <c:v>Opinium</c:v>
                </c:pt>
                <c:pt idx="6">
                  <c:v>Ipsos</c:v>
                </c:pt>
              </c:strCache>
            </c:strRef>
          </c:cat>
          <c:val>
            <c:numRef>
              <c:f>'Polling data'!$G$2:$G$8</c:f>
              <c:numCache>
                <c:formatCode>General</c:formatCode>
                <c:ptCount val="7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7</c:v>
                </c:pt>
                <c:pt idx="5">
                  <c:v>6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noMultiLvlLbl val="0"/>
      </c:catAx>
      <c:valAx>
        <c:axId val="263608576"/>
        <c:scaling>
          <c:orientation val="minMax"/>
          <c:max val="5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1002057652755717"/>
          <c:y val="2.9807268192744315E-2"/>
          <c:w val="0.48997942347244283"/>
          <c:h val="0.1568006514039046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D8916C-5EC0-4997-9202-2A9DB2A50DE6}">
  <sheetPr/>
  <sheetViews>
    <sheetView tabSelected="1"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0274" cy="671534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82E415-967D-446C-FF25-8D56615F6C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0.96109</cdr:x>
      <cdr:y>0.09191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D12EB40-8629-51D2-482B-9DD215788D8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Latest voting intentions</a:t>
          </a:r>
        </a:p>
      </cdr:txBody>
    </cdr:sp>
  </cdr:relSizeAnchor>
  <cdr:relSizeAnchor xmlns:cdr="http://schemas.openxmlformats.org/drawingml/2006/chartDrawing">
    <cdr:from>
      <cdr:x>0.00546</cdr:x>
      <cdr:y>0.93713</cdr:y>
    </cdr:from>
    <cdr:to>
      <cdr:x>0.96109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B03F889-A199-2DDD-AD88-EC2DF014F8E1}"/>
            </a:ext>
          </a:extLst>
        </cdr:cNvPr>
        <cdr:cNvSpPr/>
      </cdr:nvSpPr>
      <cdr:spPr>
        <a:xfrm xmlns:a="http://schemas.openxmlformats.org/drawingml/2006/main">
          <a:off x="50800" y="5697855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Mark Pack scorecard</a:t>
          </a:r>
        </a:p>
      </cdr:txBody>
    </cdr:sp>
  </cdr:relSizeAnchor>
  <cdr:relSizeAnchor xmlns:cdr="http://schemas.openxmlformats.org/drawingml/2006/chartDrawing">
    <cdr:from>
      <cdr:x>0</cdr:x>
      <cdr:y>0.07565</cdr:y>
    </cdr:from>
    <cdr:to>
      <cdr:x>1</cdr:x>
      <cdr:y>0.12671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C060129-050D-8A79-3988-05543A8CA05C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07D45-0744-4042-AADF-818EE3DDB7D0}">
  <dimension ref="A1:G10"/>
  <sheetViews>
    <sheetView workbookViewId="0">
      <selection activeCell="F2" sqref="F2"/>
    </sheetView>
  </sheetViews>
  <sheetFormatPr defaultRowHeight="14.5" x14ac:dyDescent="0.35"/>
  <cols>
    <col min="1" max="1" width="16.1796875" bestFit="1" customWidth="1"/>
    <col min="2" max="2" width="11" customWidth="1"/>
    <col min="3" max="3" width="13.6328125" customWidth="1"/>
    <col min="4" max="4" width="16.1796875" bestFit="1" customWidth="1"/>
    <col min="5" max="5" width="9.81640625" customWidth="1"/>
    <col min="6" max="6" width="14.453125" customWidth="1"/>
  </cols>
  <sheetData>
    <row r="1" spans="1:7" x14ac:dyDescent="0.35">
      <c r="B1" t="s">
        <v>0</v>
      </c>
      <c r="C1" t="s">
        <v>1</v>
      </c>
      <c r="D1" t="s">
        <v>11</v>
      </c>
      <c r="E1" t="s">
        <v>2</v>
      </c>
      <c r="F1" t="s">
        <v>12</v>
      </c>
      <c r="G1" t="s">
        <v>10</v>
      </c>
    </row>
    <row r="2" spans="1:7" x14ac:dyDescent="0.35">
      <c r="A2" t="s">
        <v>3</v>
      </c>
      <c r="B2">
        <v>46</v>
      </c>
      <c r="C2">
        <v>21</v>
      </c>
      <c r="D2">
        <v>9</v>
      </c>
      <c r="E2">
        <v>12</v>
      </c>
      <c r="F2">
        <v>7</v>
      </c>
      <c r="G2" s="2">
        <f>100-SUM(B2:F2)</f>
        <v>5</v>
      </c>
    </row>
    <row r="3" spans="1:7" x14ac:dyDescent="0.35">
      <c r="A3" t="s">
        <v>4</v>
      </c>
      <c r="B3">
        <v>48</v>
      </c>
      <c r="C3">
        <v>27</v>
      </c>
      <c r="D3">
        <v>8</v>
      </c>
      <c r="E3">
        <v>8</v>
      </c>
      <c r="F3">
        <v>2</v>
      </c>
      <c r="G3" s="2">
        <f t="shared" ref="G3:G8" si="0">100-SUM(B3:F3)</f>
        <v>7</v>
      </c>
    </row>
    <row r="4" spans="1:7" x14ac:dyDescent="0.35">
      <c r="A4" t="s">
        <v>5</v>
      </c>
      <c r="B4">
        <v>45</v>
      </c>
      <c r="C4">
        <v>23</v>
      </c>
      <c r="D4">
        <v>10</v>
      </c>
      <c r="E4">
        <v>12</v>
      </c>
      <c r="F4">
        <v>5</v>
      </c>
      <c r="G4" s="2">
        <f t="shared" si="0"/>
        <v>5</v>
      </c>
    </row>
    <row r="5" spans="1:7" x14ac:dyDescent="0.35">
      <c r="A5" t="s">
        <v>6</v>
      </c>
      <c r="B5">
        <v>45</v>
      </c>
      <c r="C5">
        <v>23</v>
      </c>
      <c r="D5">
        <v>10</v>
      </c>
      <c r="E5">
        <v>12</v>
      </c>
      <c r="F5">
        <v>5</v>
      </c>
      <c r="G5" s="2">
        <f t="shared" si="0"/>
        <v>5</v>
      </c>
    </row>
    <row r="6" spans="1:7" x14ac:dyDescent="0.35">
      <c r="A6" t="s">
        <v>7</v>
      </c>
      <c r="B6">
        <v>43</v>
      </c>
      <c r="C6">
        <v>26</v>
      </c>
      <c r="D6">
        <v>10</v>
      </c>
      <c r="E6">
        <v>9</v>
      </c>
      <c r="F6">
        <v>5</v>
      </c>
      <c r="G6" s="2">
        <f t="shared" si="0"/>
        <v>7</v>
      </c>
    </row>
    <row r="7" spans="1:7" x14ac:dyDescent="0.35">
      <c r="A7" t="s">
        <v>8</v>
      </c>
      <c r="B7">
        <v>43</v>
      </c>
      <c r="C7">
        <v>25</v>
      </c>
      <c r="D7">
        <v>9</v>
      </c>
      <c r="E7">
        <v>10</v>
      </c>
      <c r="F7">
        <v>7</v>
      </c>
      <c r="G7" s="2">
        <f t="shared" si="0"/>
        <v>6</v>
      </c>
    </row>
    <row r="8" spans="1:7" x14ac:dyDescent="0.35">
      <c r="A8" t="s">
        <v>9</v>
      </c>
      <c r="B8">
        <v>41</v>
      </c>
      <c r="C8">
        <v>20</v>
      </c>
      <c r="D8">
        <v>11</v>
      </c>
      <c r="E8">
        <v>9</v>
      </c>
      <c r="F8">
        <v>11</v>
      </c>
      <c r="G8" s="2">
        <f t="shared" si="0"/>
        <v>8</v>
      </c>
    </row>
    <row r="10" spans="1:7" x14ac:dyDescent="0.35">
      <c r="B10" s="1">
        <f>AVERAGE(B2:B8)</f>
        <v>44.428571428571431</v>
      </c>
      <c r="C10" s="1">
        <f t="shared" ref="C10:G10" si="1">AVERAGE(C2:C8)</f>
        <v>23.571428571428573</v>
      </c>
      <c r="D10" s="1">
        <f t="shared" si="1"/>
        <v>9.5714285714285712</v>
      </c>
      <c r="E10" s="1">
        <f t="shared" si="1"/>
        <v>10.285714285714286</v>
      </c>
      <c r="F10" s="1">
        <f t="shared" si="1"/>
        <v>6</v>
      </c>
      <c r="G10" s="1">
        <f t="shared" si="1"/>
        <v>6.1428571428571432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Polling data</vt:lpstr>
      <vt:lpstr>Chart3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Allenby</dc:creator>
  <cp:lastModifiedBy>Edward Allenby</cp:lastModifiedBy>
  <dcterms:created xsi:type="dcterms:W3CDTF">2024-05-23T20:28:30Z</dcterms:created>
  <dcterms:modified xsi:type="dcterms:W3CDTF">2024-05-23T21:25:45Z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2024-05-23T21:14:19Z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6bc6371b-f90b-4ddf-9705-12a1a35125b4</vt:lpwstr>
  </property>
  <property fmtid="{D5CDD505-2E9C-101B-9397-08002B2CF9AE}" pid="8" name="MSIP_Label_3b83b38b-8e91-4f17-8371-95d3d41e26c0_ContentBits">
    <vt:lpwstr>0</vt:lpwstr>
  </property>
</Properties>
</file>