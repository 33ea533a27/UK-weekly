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Z:\UK Team\UK Weekly\"/>
    </mc:Choice>
  </mc:AlternateContent>
  <xr:revisionPtr revIDLastSave="0" documentId="13_ncr:1_{B81EC76C-F833-474F-BDB1-B0500E65D2AD}" xr6:coauthVersionLast="47" xr6:coauthVersionMax="47" xr10:uidLastSave="{00000000-0000-0000-0000-000000000000}"/>
  <bookViews>
    <workbookView xWindow="-15345" yWindow="-16320" windowWidth="29040" windowHeight="15720" xr2:uid="{36F22EF9-CDF1-4819-9484-679301A03A48}"/>
  </bookViews>
  <sheets>
    <sheet name="Chart2" sheetId="4" r:id="rId1"/>
    <sheet name="Chart Data" sheetId="3" r:id="rId2"/>
    <sheet name="HAVERM" sheetId="1" r:id="rId3"/>
    <sheet name="27. Median of pay growth (UK)" sheetId="2" r:id="rId4"/>
    <sheet name="Indeed" sheetId="9" r:id="rId5"/>
  </sheets>
  <definedNames>
    <definedName name="_DLX1.INC">HAVERM!$A$1:$M$6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6" i="3" l="1"/>
  <c r="F126"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53"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90"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91" i="3"/>
  <c r="D115" i="3"/>
  <c r="D116" i="3"/>
  <c r="D117" i="3"/>
  <c r="D118" i="3"/>
  <c r="D119" i="3"/>
  <c r="D120" i="3"/>
  <c r="D121" i="3"/>
  <c r="D122" i="3"/>
  <c r="D123" i="3"/>
  <c r="D124" i="3"/>
  <c r="D125" i="3"/>
  <c r="D126" i="3"/>
  <c r="C115" i="3"/>
  <c r="C116" i="3"/>
  <c r="C117" i="3"/>
  <c r="C118" i="3"/>
  <c r="C119" i="3"/>
  <c r="C120" i="3"/>
  <c r="C121" i="3"/>
  <c r="C122" i="3"/>
  <c r="C123" i="3"/>
  <c r="C124" i="3"/>
  <c r="C125" i="3"/>
  <c r="C126" i="3"/>
  <c r="B114" i="3"/>
  <c r="B115" i="3"/>
  <c r="B116" i="3"/>
  <c r="B117" i="3"/>
  <c r="B118" i="3"/>
  <c r="B119" i="3"/>
  <c r="B120" i="3"/>
  <c r="B121" i="3"/>
  <c r="B122" i="3"/>
  <c r="B123" i="3"/>
  <c r="B124" i="3"/>
  <c r="B125" i="3"/>
  <c r="I178" i="1"/>
  <c r="D8" i="3"/>
  <c r="D4" i="3"/>
  <c r="D5" i="3"/>
  <c r="D6" i="3"/>
  <c r="D7" i="3"/>
  <c r="D3"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9"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C79" i="3"/>
  <c r="B80" i="3"/>
  <c r="C80" i="3"/>
  <c r="B81" i="3"/>
  <c r="C81" i="3"/>
  <c r="B82" i="3"/>
  <c r="C82" i="3"/>
  <c r="B83" i="3"/>
  <c r="C83" i="3"/>
  <c r="B84" i="3"/>
  <c r="C84" i="3"/>
  <c r="B85" i="3"/>
  <c r="C85" i="3"/>
  <c r="B86" i="3"/>
  <c r="C86" i="3"/>
  <c r="B87" i="3"/>
  <c r="C87" i="3"/>
  <c r="B88" i="3"/>
  <c r="C88" i="3"/>
  <c r="B89" i="3"/>
  <c r="C89" i="3"/>
  <c r="B90" i="3"/>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C110" i="3"/>
  <c r="B111" i="3"/>
  <c r="C111" i="3"/>
  <c r="B112" i="3"/>
  <c r="C112" i="3"/>
  <c r="B113" i="3"/>
  <c r="C113" i="3"/>
  <c r="C114" i="3"/>
  <c r="C3" i="3"/>
  <c r="B3" i="3"/>
</calcChain>
</file>

<file path=xl/sharedStrings.xml><?xml version="1.0" encoding="utf-8"?>
<sst xmlns="http://schemas.openxmlformats.org/spreadsheetml/2006/main" count="667" uniqueCount="430">
  <si>
    <t>27. Median of pay growth from PAYE RTI</t>
  </si>
  <si>
    <t>UK, all industries, seasonally adjusted</t>
  </si>
  <si>
    <t>Units</t>
  </si>
  <si>
    <t>%</t>
  </si>
  <si>
    <t>Additional notes</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</si>
  <si>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</si>
  <si>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Date</t>
  </si>
  <si>
    <t>Median of pay growth</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</si>
  <si>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</si>
  <si>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</si>
  <si>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</si>
  <si>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</si>
  <si>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</si>
  <si>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</si>
  <si>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</si>
  <si>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</si>
  <si>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</si>
  <si>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</si>
  <si>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</si>
  <si>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</si>
  <si>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</si>
  <si>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</si>
  <si>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</si>
  <si>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</si>
  <si>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</si>
  <si>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</si>
  <si>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</si>
  <si>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</si>
  <si>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</si>
  <si>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</si>
  <si>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</si>
  <si>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</si>
  <si>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</si>
  <si>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</si>
  <si>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</si>
  <si>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</si>
  <si>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</si>
  <si>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</si>
  <si>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</si>
  <si>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</si>
  <si>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</si>
  <si>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</si>
  <si>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</si>
  <si>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</si>
  <si>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</si>
  <si>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</si>
  <si>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</si>
  <si>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</si>
  <si>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</si>
  <si>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</si>
  <si>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</si>
  <si>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</si>
  <si>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</si>
  <si>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</si>
  <si>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</si>
  <si>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</si>
  <si>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</si>
  <si>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</si>
  <si>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</si>
  <si>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</si>
  <si>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</si>
  <si>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</si>
  <si>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</si>
  <si>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</si>
  <si>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</si>
  <si>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</si>
  <si>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</si>
  <si>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</si>
  <si>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</si>
  <si>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</si>
  <si>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</si>
  <si>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</si>
  <si>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</si>
  <si>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</si>
  <si>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</si>
  <si>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</si>
  <si>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</si>
  <si>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</si>
  <si>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</si>
  <si>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</si>
  <si>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</si>
  <si>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</si>
  <si>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</si>
  <si>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</si>
  <si>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</si>
  <si>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</si>
  <si>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</si>
  <si>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</si>
  <si>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</si>
  <si>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</si>
  <si>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</si>
  <si>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</si>
  <si>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</si>
  <si>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</si>
  <si>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</si>
  <si>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</si>
  <si>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</si>
  <si>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</si>
  <si>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</si>
  <si>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</si>
  <si>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</si>
  <si>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</si>
  <si>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</si>
  <si>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</si>
  <si>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</si>
  <si>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</si>
  <si>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</si>
  <si>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</si>
  <si>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</si>
  <si>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</si>
  <si>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</si>
  <si>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</si>
  <si>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</si>
  <si>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</si>
  <si>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UKSEPPM@UK</t>
  </si>
  <si>
    <t>UKSEPPD@UK</t>
  </si>
  <si>
    <t>201001 !M</t>
  </si>
  <si>
    <t>201001</t>
  </si>
  <si>
    <t>.DTLM</t>
  </si>
  <si>
    <t>.LSOURCE</t>
  </si>
  <si>
    <t>.TN</t>
  </si>
  <si>
    <t>.T1</t>
  </si>
  <si>
    <t>.DESC</t>
  </si>
  <si>
    <t>Office for National Statistics</t>
  </si>
  <si>
    <t>Jul-2014</t>
  </si>
  <si>
    <t>UK: Median Monthly Pay: PAYE Real Time Information [RTI] (SA, GBP)</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</si>
  <si>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</si>
  <si>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</si>
  <si>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</si>
  <si>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</si>
  <si>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</si>
  <si>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</si>
  <si>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</si>
  <si>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</si>
  <si>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</si>
  <si>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</si>
  <si>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</si>
  <si>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</si>
  <si>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</si>
  <si>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</si>
  <si>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</si>
  <si>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</si>
  <si>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</si>
  <si>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</si>
  <si>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</si>
  <si>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</si>
  <si>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</si>
  <si>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</si>
  <si>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</si>
  <si>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</si>
  <si>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</si>
  <si>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</si>
  <si>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</si>
  <si>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</si>
  <si>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</si>
  <si>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</si>
  <si>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</si>
  <si>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</si>
  <si>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</si>
  <si>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</si>
  <si>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</si>
  <si>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</si>
  <si>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</si>
  <si>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</si>
  <si>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</si>
  <si>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</si>
  <si>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</si>
  <si>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</si>
  <si>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</si>
  <si>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</si>
  <si>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</si>
  <si>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</si>
  <si>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</si>
  <si>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</si>
  <si>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</si>
  <si>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</si>
  <si>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</si>
  <si>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</si>
  <si>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</si>
  <si>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</si>
  <si>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</si>
  <si>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</si>
  <si>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</si>
  <si>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</si>
  <si>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</si>
  <si>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</si>
  <si>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</si>
  <si>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</si>
  <si>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</si>
  <si>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</si>
  <si>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</si>
  <si>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</si>
  <si>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</si>
  <si>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</si>
  <si>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</si>
  <si>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</si>
  <si>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</si>
  <si>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</si>
  <si>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</si>
  <si>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</si>
  <si>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</si>
  <si>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</si>
  <si>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</si>
  <si>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</si>
  <si>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</si>
  <si>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</si>
  <si>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</si>
  <si>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</si>
  <si>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</si>
  <si>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</si>
  <si>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</si>
  <si>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</si>
  <si>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</si>
  <si>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</si>
  <si>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</si>
  <si>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</si>
  <si>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</si>
  <si>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</si>
  <si>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</si>
  <si>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</si>
  <si>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</si>
  <si>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</si>
  <si>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</si>
  <si>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</si>
  <si>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</si>
  <si>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</si>
  <si>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</si>
  <si>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</si>
  <si>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</si>
  <si>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</si>
  <si>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</si>
  <si>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</si>
  <si>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</si>
  <si>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</si>
  <si>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</si>
  <si>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</si>
  <si>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</si>
  <si>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</si>
  <si>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</si>
  <si>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</si>
  <si>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</si>
  <si>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</si>
  <si>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</si>
  <si>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</si>
  <si>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</si>
  <si>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</si>
  <si>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</si>
  <si>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</si>
  <si>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</si>
  <si>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</si>
  <si>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</si>
  <si>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</si>
  <si>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</si>
  <si>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</si>
  <si>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</si>
  <si>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</si>
  <si>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</si>
  <si>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</si>
  <si>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</si>
  <si>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</si>
  <si>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</si>
  <si>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</si>
  <si>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</si>
  <si>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</si>
  <si>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</si>
  <si>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</si>
  <si>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</si>
  <si>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</si>
  <si>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</si>
  <si>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</si>
  <si>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</si>
  <si>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</si>
  <si>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</si>
  <si>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</si>
  <si>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</si>
  <si>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</si>
  <si>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</si>
  <si>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</si>
  <si>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</si>
  <si>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</si>
  <si>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</si>
  <si>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</si>
  <si>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</si>
  <si>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</si>
  <si>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</si>
  <si>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</si>
  <si>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</si>
  <si>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</si>
  <si>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</si>
  <si>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</si>
  <si>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</si>
  <si>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</si>
  <si>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</si>
  <si>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</si>
  <si>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</si>
  <si>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</si>
  <si>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</si>
  <si>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KAB9@UK</t>
  </si>
  <si>
    <t>Jan-2000</t>
  </si>
  <si>
    <t>Great Britain: AWE, Total Pay: Whole Economy (SA, GBP)</t>
  </si>
  <si>
    <t>HMRC RTI vs AWE</t>
  </si>
  <si>
    <t>HMRC median pay</t>
  </si>
  <si>
    <t>ZERO LINE</t>
  </si>
  <si>
    <t>HMRC median of pay growth</t>
  </si>
  <si>
    <t>KAJ4@UK</t>
  </si>
  <si>
    <t>Mar-2001</t>
  </si>
  <si>
    <t>Great Britain: AWE, Regular Pay: Private Sector [3Mo Mvg Avg vs Yr Ago] (SA, %)</t>
  </si>
  <si>
    <t>Average Weekly Earnings total pay</t>
  </si>
  <si>
    <t>__typename</t>
  </si>
  <si>
    <t>id</t>
  </si>
  <si>
    <t>dateString</t>
  </si>
  <si>
    <t>countryCode</t>
  </si>
  <si>
    <t>countryName</t>
  </si>
  <si>
    <t>value</t>
  </si>
  <si>
    <t>HiringLabNationalWage</t>
  </si>
  <si>
    <t>aXJpOi8vYXBpcy5pbmRlZWQuY29tL0hpcmluZ0xhYk5hdGlvbmFsV2FnZS8yMDE5LTAxLTAxX0dC</t>
  </si>
  <si>
    <t>GB</t>
  </si>
  <si>
    <t>United Kingdom</t>
  </si>
  <si>
    <t>NaN</t>
  </si>
  <si>
    <t>aXJpOi8vYXBpcy5pbmRlZWQuY29tL0hpcmluZ0xhYk5hdGlvbmFsV2FnZS8yMDE5LTAyLTAxX0dC</t>
  </si>
  <si>
    <t>aXJpOi8vYXBpcy5pbmRlZWQuY29tL0hpcmluZ0xhYk5hdGlvbmFsV2FnZS8yMDE5LTAzLTAxX0dC</t>
  </si>
  <si>
    <t>aXJpOi8vYXBpcy5pbmRlZWQuY29tL0hpcmluZ0xhYk5hdGlvbmFsV2FnZS8yMDE5LTA0LTAxX0dC</t>
  </si>
  <si>
    <t>aXJpOi8vYXBpcy5pbmRlZWQuY29tL0hpcmluZ0xhYk5hdGlvbmFsV2FnZS8yMDE5LTA1LTAxX0dC</t>
  </si>
  <si>
    <t>aXJpOi8vYXBpcy5pbmRlZWQuY29tL0hpcmluZ0xhYk5hdGlvbmFsV2FnZS8yMDE5LTA2LTAxX0dC</t>
  </si>
  <si>
    <t>aXJpOi8vYXBpcy5pbmRlZWQuY29tL0hpcmluZ0xhYk5hdGlvbmFsV2FnZS8yMDE5LTA3LTAxX0dC</t>
  </si>
  <si>
    <t>aXJpOi8vYXBpcy5pbmRlZWQuY29tL0hpcmluZ0xhYk5hdGlvbmFsV2FnZS8yMDE5LTA4LTAxX0dC</t>
  </si>
  <si>
    <t>aXJpOi8vYXBpcy5pbmRlZWQuY29tL0hpcmluZ0xhYk5hdGlvbmFsV2FnZS8yMDE5LTA5LTAxX0dC</t>
  </si>
  <si>
    <t>aXJpOi8vYXBpcy5pbmRlZWQuY29tL0hpcmluZ0xhYk5hdGlvbmFsV2FnZS8yMDE5LTEwLTAxX0dC</t>
  </si>
  <si>
    <t>aXJpOi8vYXBpcy5pbmRlZWQuY29tL0hpcmluZ0xhYk5hdGlvbmFsV2FnZS8yMDE5LTExLTAxX0dC</t>
  </si>
  <si>
    <t>aXJpOi8vYXBpcy5pbmRlZWQuY29tL0hpcmluZ0xhYk5hdGlvbmFsV2FnZS8yMDE5LTEyLTAxX0dC</t>
  </si>
  <si>
    <t>aXJpOi8vYXBpcy5pbmRlZWQuY29tL0hpcmluZ0xhYk5hdGlvbmFsV2FnZS8yMDIwLTAxLTAxX0dC</t>
  </si>
  <si>
    <t>aXJpOi8vYXBpcy5pbmRlZWQuY29tL0hpcmluZ0xhYk5hdGlvbmFsV2FnZS8yMDIwLTAyLTAxX0dC</t>
  </si>
  <si>
    <t>aXJpOi8vYXBpcy5pbmRlZWQuY29tL0hpcmluZ0xhYk5hdGlvbmFsV2FnZS8yMDIwLTAzLTAxX0dC</t>
  </si>
  <si>
    <t>aXJpOi8vYXBpcy5pbmRlZWQuY29tL0hpcmluZ0xhYk5hdGlvbmFsV2FnZS8yMDIwLTA0LTAxX0dC</t>
  </si>
  <si>
    <t>aXJpOi8vYXBpcy5pbmRlZWQuY29tL0hpcmluZ0xhYk5hdGlvbmFsV2FnZS8yMDIwLTA1LTAxX0dC</t>
  </si>
  <si>
    <t>aXJpOi8vYXBpcy5pbmRlZWQuY29tL0hpcmluZ0xhYk5hdGlvbmFsV2FnZS8yMDIwLTA2LTAxX0dC</t>
  </si>
  <si>
    <t>aXJpOi8vYXBpcy5pbmRlZWQuY29tL0hpcmluZ0xhYk5hdGlvbmFsV2FnZS8yMDIwLTA3LTAxX0dC</t>
  </si>
  <si>
    <t>aXJpOi8vYXBpcy5pbmRlZWQuY29tL0hpcmluZ0xhYk5hdGlvbmFsV2FnZS8yMDIwLTA4LTAxX0dC</t>
  </si>
  <si>
    <t>aXJpOi8vYXBpcy5pbmRlZWQuY29tL0hpcmluZ0xhYk5hdGlvbmFsV2FnZS8yMDIwLTA5LTAxX0dC</t>
  </si>
  <si>
    <t>aXJpOi8vYXBpcy5pbmRlZWQuY29tL0hpcmluZ0xhYk5hdGlvbmFsV2FnZS8yMDIwLTEwLTAxX0dC</t>
  </si>
  <si>
    <t>aXJpOi8vYXBpcy5pbmRlZWQuY29tL0hpcmluZ0xhYk5hdGlvbmFsV2FnZS8yMDIwLTExLTAxX0dC</t>
  </si>
  <si>
    <t>aXJpOi8vYXBpcy5pbmRlZWQuY29tL0hpcmluZ0xhYk5hdGlvbmFsV2FnZS8yMDIwLTEyLTAxX0dC</t>
  </si>
  <si>
    <t>aXJpOi8vYXBpcy5pbmRlZWQuY29tL0hpcmluZ0xhYk5hdGlvbmFsV2FnZS8yMDIxLTAxLTAxX0dC</t>
  </si>
  <si>
    <t>aXJpOi8vYXBpcy5pbmRlZWQuY29tL0hpcmluZ0xhYk5hdGlvbmFsV2FnZS8yMDIxLTAyLTAxX0dC</t>
  </si>
  <si>
    <t>aXJpOi8vYXBpcy5pbmRlZWQuY29tL0hpcmluZ0xhYk5hdGlvbmFsV2FnZS8yMDIxLTAzLTAxX0dC</t>
  </si>
  <si>
    <t>aXJpOi8vYXBpcy5pbmRlZWQuY29tL0hpcmluZ0xhYk5hdGlvbmFsV2FnZS8yMDIxLTA0LTAxX0dC</t>
  </si>
  <si>
    <t>aXJpOi8vYXBpcy5pbmRlZWQuY29tL0hpcmluZ0xhYk5hdGlvbmFsV2FnZS8yMDIxLTA1LTAxX0dC</t>
  </si>
  <si>
    <t>aXJpOi8vYXBpcy5pbmRlZWQuY29tL0hpcmluZ0xhYk5hdGlvbmFsV2FnZS8yMDIxLTA2LTAxX0dC</t>
  </si>
  <si>
    <t>aXJpOi8vYXBpcy5pbmRlZWQuY29tL0hpcmluZ0xhYk5hdGlvbmFsV2FnZS8yMDIxLTA3LTAxX0dC</t>
  </si>
  <si>
    <t>aXJpOi8vYXBpcy5pbmRlZWQuY29tL0hpcmluZ0xhYk5hdGlvbmFsV2FnZS8yMDIxLTA4LTAxX0dC</t>
  </si>
  <si>
    <t>aXJpOi8vYXBpcy5pbmRlZWQuY29tL0hpcmluZ0xhYk5hdGlvbmFsV2FnZS8yMDIxLTA5LTAxX0dC</t>
  </si>
  <si>
    <t>aXJpOi8vYXBpcy5pbmRlZWQuY29tL0hpcmluZ0xhYk5hdGlvbmFsV2FnZS8yMDIxLTEwLTAxX0dC</t>
  </si>
  <si>
    <t>aXJpOi8vYXBpcy5pbmRlZWQuY29tL0hpcmluZ0xhYk5hdGlvbmFsV2FnZS8yMDIxLTExLTAxX0dC</t>
  </si>
  <si>
    <t>aXJpOi8vYXBpcy5pbmRlZWQuY29tL0hpcmluZ0xhYk5hdGlvbmFsV2FnZS8yMDIxLTEyLTAxX0dC</t>
  </si>
  <si>
    <t>aXJpOi8vYXBpcy5pbmRlZWQuY29tL0hpcmluZ0xhYk5hdGlvbmFsV2FnZS8yMDIyLTAxLTAxX0dC</t>
  </si>
  <si>
    <t>aXJpOi8vYXBpcy5pbmRlZWQuY29tL0hpcmluZ0xhYk5hdGlvbmFsV2FnZS8yMDIyLTAyLTAxX0dC</t>
  </si>
  <si>
    <t>aXJpOi8vYXBpcy5pbmRlZWQuY29tL0hpcmluZ0xhYk5hdGlvbmFsV2FnZS8yMDIyLTAzLTAxX0dC</t>
  </si>
  <si>
    <t>aXJpOi8vYXBpcy5pbmRlZWQuY29tL0hpcmluZ0xhYk5hdGlvbmFsV2FnZS8yMDIyLTA0LTAxX0dC</t>
  </si>
  <si>
    <t>aXJpOi8vYXBpcy5pbmRlZWQuY29tL0hpcmluZ0xhYk5hdGlvbmFsV2FnZS8yMDIyLTA1LTAxX0dC</t>
  </si>
  <si>
    <t>aXJpOi8vYXBpcy5pbmRlZWQuY29tL0hpcmluZ0xhYk5hdGlvbmFsV2FnZS8yMDIyLTA2LTAxX0dC</t>
  </si>
  <si>
    <t>aXJpOi8vYXBpcy5pbmRlZWQuY29tL0hpcmluZ0xhYk5hdGlvbmFsV2FnZS8yMDIyLTA3LTAxX0dC</t>
  </si>
  <si>
    <t>aXJpOi8vYXBpcy5pbmRlZWQuY29tL0hpcmluZ0xhYk5hdGlvbmFsV2FnZS8yMDIyLTA4LTAxX0dC</t>
  </si>
  <si>
    <t>aXJpOi8vYXBpcy5pbmRlZWQuY29tL0hpcmluZ0xhYk5hdGlvbmFsV2FnZS8yMDIyLTA5LTAxX0dC</t>
  </si>
  <si>
    <t>aXJpOi8vYXBpcy5pbmRlZWQuY29tL0hpcmluZ0xhYk5hdGlvbmFsV2FnZS8yMDIyLTEwLTAxX0dC</t>
  </si>
  <si>
    <t>aXJpOi8vYXBpcy5pbmRlZWQuY29tL0hpcmluZ0xhYk5hdGlvbmFsV2FnZS8yMDIyLTExLTAxX0dC</t>
  </si>
  <si>
    <t>aXJpOi8vYXBpcy5pbmRlZWQuY29tL0hpcmluZ0xhYk5hdGlvbmFsV2FnZS8yMDIyLTEyLTAxX0dC</t>
  </si>
  <si>
    <t>aXJpOi8vYXBpcy5pbmRlZWQuY29tL0hpcmluZ0xhYk5hdGlvbmFsV2FnZS8yMDIzLTAxLTAxX0dC</t>
  </si>
  <si>
    <t>aXJpOi8vYXBpcy5pbmRlZWQuY29tL0hpcmluZ0xhYk5hdGlvbmFsV2FnZS8yMDIzLTAyLTAxX0dC</t>
  </si>
  <si>
    <t>aXJpOi8vYXBpcy5pbmRlZWQuY29tL0hpcmluZ0xhYk5hdGlvbmFsV2FnZS8yMDIzLTAzLTAxX0dC</t>
  </si>
  <si>
    <t>aXJpOi8vYXBpcy5pbmRlZWQuY29tL0hpcmluZ0xhYk5hdGlvbmFsV2FnZS8yMDIzLTA0LTAxX0dC</t>
  </si>
  <si>
    <t>aXJpOi8vYXBpcy5pbmRlZWQuY29tL0hpcmluZ0xhYk5hdGlvbmFsV2FnZS8yMDIzLTA1LTAxX0dC</t>
  </si>
  <si>
    <t>aXJpOi8vYXBpcy5pbmRlZWQuY29tL0hpcmluZ0xhYk5hdGlvbmFsV2FnZS8yMDIzLTA2LTAxX0dC</t>
  </si>
  <si>
    <t>aXJpOi8vYXBpcy5pbmRlZWQuY29tL0hpcmluZ0xhYk5hdGlvbmFsV2FnZS8yMDIzLTA3LTAxX0dC</t>
  </si>
  <si>
    <t>aXJpOi8vYXBpcy5pbmRlZWQuY29tL0hpcmluZ0xhYk5hdGlvbmFsV2FnZS8yMDIzLTA4LTAxX0dC</t>
  </si>
  <si>
    <t>aXJpOi8vYXBpcy5pbmRlZWQuY29tL0hpcmluZ0xhYk5hdGlvbmFsV2FnZS8yMDIzLTA5LTAxX0dC</t>
  </si>
  <si>
    <t>aXJpOi8vYXBpcy5pbmRlZWQuY29tL0hpcmluZ0xhYk5hdGlvbmFsV2FnZS8yMDIzLTEwLTAxX0dC</t>
  </si>
  <si>
    <t>aXJpOi8vYXBpcy5pbmRlZWQuY29tL0hpcmluZ0xhYk5hdGlvbmFsV2FnZS8yMDIzLTExLTAxX0dC</t>
  </si>
  <si>
    <t>aXJpOi8vYXBpcy5pbmRlZWQuY29tL0hpcmluZ0xhYk5hdGlvbmFsV2FnZS8yMDIzLTEyLTAxX0dC</t>
  </si>
  <si>
    <t>aXJpOi8vYXBpcy5pbmRlZWQuY29tL0hpcmluZ0xhYk5hdGlvbmFsV2FnZS8yMDI0LTAxLTAxX0dC</t>
  </si>
  <si>
    <t>aXJpOi8vYXBpcy5pbmRlZWQuY29tL0hpcmluZ0xhYk5hdGlvbmFsV2FnZS8yMDI0LTAyLTAxX0dC</t>
  </si>
  <si>
    <t>aXJpOi8vYXBpcy5pbmRlZWQuY29tL0hpcmluZ0xhYk5hdGlvbmFsV2FnZS8yMDI0LTAzLTAxX0dC</t>
  </si>
  <si>
    <t>aXJpOi8vYXBpcy5pbmRlZWQuY29tL0hpcmluZ0xhYk5hdGlvbmFsV2FnZS8yMDI0LTA0LTAxX0dC</t>
  </si>
  <si>
    <t>aXJpOi8vYXBpcy5pbmRlZWQuY29tL0hpcmluZ0xhYk5hdGlvbmFsV2FnZS8yMDI0LTA1LTAxX0dC</t>
  </si>
  <si>
    <t>aXJpOi8vYXBpcy5pbmRlZWQuY29tL0hpcmluZ0xhYk5hdGlvbmFsV2FnZS8yMDI0LTA2LTAxX0dC</t>
  </si>
  <si>
    <t>aXJpOi8vYXBpcy5pbmRlZWQuY29tL0hpcmluZ0xhYk5hdGlvbmFsV2FnZS8yMDI0LTA3LTAxX0dC</t>
  </si>
  <si>
    <t>aXJpOi8vYXBpcy5pbmRlZWQuY29tL0hpcmluZ0xhYk5hdGlvbmFsV2FnZS8yMDI0LTA4LTAxX0dC</t>
  </si>
  <si>
    <t>aXJpOi8vYXBpcy5pbmRlZWQuY29tL0hpcmluZ0xhYk5hdGlvbmFsV2FnZS8yMDI0LTA5LTAxX0dC</t>
  </si>
  <si>
    <t>aXJpOi8vYXBpcy5pbmRlZWQuY29tL0hpcmluZ0xhYk5hdGlvbmFsV2FnZS8yMDI0LTEwLTAxX0dC</t>
  </si>
  <si>
    <t>aXJpOi8vYXBpcy5pbmRlZWQuY29tL0hpcmluZ0xhYk5hdGlvbmFsV2FnZS8yMDI0LTExLTAxX0dC</t>
  </si>
  <si>
    <t>aXJpOi8vYXBpcy5pbmRlZWQuY29tL0hpcmluZ0xhYk5hdGlvbmFsV2FnZS8yMDI0LTEyLTAxX0dC</t>
  </si>
  <si>
    <t>aXJpOi8vYXBpcy5pbmRlZWQuY29tL0hpcmluZ0xhYk5hdGlvbmFsV2FnZS8yMDI1LTAxLTAxX0dC</t>
  </si>
  <si>
    <t>aXJpOi8vYXBpcy5pbmRlZWQuY29tL0hpcmluZ0xhYk5hdGlvbmFsV2FnZS8yMDI1LTAyLTAxX0dC</t>
  </si>
  <si>
    <t>aXJpOi8vYXBpcy5pbmRlZWQuY29tL0hpcmluZ0xhYk5hdGlvbmFsV2FnZS8yMDI1LTAzLTAxX0dC</t>
  </si>
  <si>
    <t>May-13-2025 07:03</t>
  </si>
  <si>
    <t>Mar-2025</t>
  </si>
  <si>
    <t>UK: Mean Monthly Pay: Pay As You Earn Real Time Information [RTI] (SA, GBP)</t>
  </si>
  <si>
    <t>Apr-2025</t>
  </si>
  <si>
    <t>202405</t>
  </si>
  <si>
    <t>202406</t>
  </si>
  <si>
    <t>202407</t>
  </si>
  <si>
    <t>202408</t>
  </si>
  <si>
    <t>202409</t>
  </si>
  <si>
    <t>202410</t>
  </si>
  <si>
    <t>202411</t>
  </si>
  <si>
    <t>202412</t>
  </si>
  <si>
    <t>202501</t>
  </si>
  <si>
    <t>202502</t>
  </si>
  <si>
    <t>202503</t>
  </si>
  <si>
    <t>202504</t>
  </si>
  <si>
    <t>UNVDWR3@UK</t>
  </si>
  <si>
    <t>May-08-2025 14:06</t>
  </si>
  <si>
    <t>Bank of England</t>
  </si>
  <si>
    <t>Aug-2017</t>
  </si>
  <si>
    <t>UK: BoE DMP: Realized Wage Growth Over the Past Year: 3 Month Average (%)</t>
  </si>
  <si>
    <t>May 2024</t>
  </si>
  <si>
    <t>June 2024</t>
  </si>
  <si>
    <t>July 2024</t>
  </si>
  <si>
    <t>August 2024</t>
  </si>
  <si>
    <t>September 2024</t>
  </si>
  <si>
    <t>October 2024</t>
  </si>
  <si>
    <t>November 2024</t>
  </si>
  <si>
    <t>December 2024</t>
  </si>
  <si>
    <t>January 2025</t>
  </si>
  <si>
    <t>February 2025</t>
  </si>
  <si>
    <t>March 2025</t>
  </si>
  <si>
    <t>April 2025</t>
  </si>
  <si>
    <t>Decision Marker Panel realised pay growth</t>
  </si>
  <si>
    <t>Indeed wage tracker</t>
  </si>
  <si>
    <t>KAJ2@UK</t>
  </si>
  <si>
    <t>Great Britain: Average Weekly Earnings, Regular Pay: Private Sector (SA, GBP)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</si>
</sst>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color theme="1"/>
      <name val="Calibri"/>
      <family val="2"/>
      <scheme val="minor"/>
    </font>
    <font>
      <sz val="11"/>
      <color indexed="8"/>
      <name val="Calibri"/>
      <family val="2"/>
      <scheme val="minor"/>
    </font>
    <font>
      <b/>
      <sz val="11"/>
      <name val="Calibri"/>
      <family val="2"/>
    </font>
    <font>
      <i/>
      <sz val="11"/>
      <name val="Calibri"/>
      <family val="2"/>
    </font>
    <font>
      <sz val="11"/>
      <color theme="1"/>
      <name val="Calibri"/>
      <family val="2"/>
      <scheme val="minor"/>
    </font>
    <font>
      <sz val="12"/>
      <color theme="1"/>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5">
    <xf numFmtId="0" fontId="0" fillId="0" borderId="0"/>
    <xf numFmtId="0" fontId="2" fillId="0" borderId="0"/>
    <xf numFmtId="0" fontId="5" fillId="0" borderId="0"/>
    <xf numFmtId="0" fontId="6" fillId="0" borderId="0"/>
    <xf numFmtId="0" fontId="7" fillId="0" borderId="0" applyNumberFormat="0" applyFill="0" applyBorder="0" applyAlignment="0" applyProtection="0"/>
  </cellStyleXfs>
  <cellXfs count="17">
    <xf numFmtId="0" fontId="0" fillId="0" borderId="0" xfId="0"/>
    <xf numFmtId="0" fontId="3" fillId="0" borderId="0" xfId="1" applyFont="1"/>
    <xf numFmtId="0" fontId="2" fillId="0" borderId="0" xfId="1"/>
    <xf numFmtId="0" fontId="4" fillId="0" borderId="0" xfId="1" applyFont="1"/>
    <xf numFmtId="0" fontId="2" fillId="0" borderId="1" xfId="1" applyBorder="1" applyAlignment="1">
      <alignment horizontal="left" wrapText="1"/>
    </xf>
    <xf numFmtId="0" fontId="2" fillId="0" borderId="1" xfId="1" applyBorder="1" applyAlignment="1">
      <alignment horizontal="right" wrapText="1"/>
    </xf>
    <xf numFmtId="0" fontId="0" fillId="0" borderId="0" xfId="0" applyFill="1"/>
    <xf numFmtId="0" fontId="0" fillId="0" borderId="0" xfId="0" quotePrefix="1"/>
    <xf numFmtId="1" fontId="0" fillId="0" borderId="0" xfId="0" applyNumberFormat="1"/>
    <xf numFmtId="0" fontId="0" fillId="0" borderId="0" xfId="0" applyAlignment="1">
      <alignment wrapText="1"/>
    </xf>
    <xf numFmtId="0" fontId="1" fillId="0" borderId="0" xfId="0" applyFont="1"/>
    <xf numFmtId="14" fontId="0" fillId="0" borderId="0" xfId="0" applyNumberFormat="1"/>
    <xf numFmtId="164" fontId="0" fillId="0" borderId="0" xfId="0" applyNumberFormat="1"/>
    <xf numFmtId="0" fontId="7" fillId="0" borderId="0" xfId="4" applyFill="1"/>
    <xf numFmtId="165" fontId="0" fillId="0" borderId="0" xfId="0" applyNumberFormat="1"/>
    <xf numFmtId="2" fontId="0" fillId="0" borderId="0" xfId="0" applyNumberFormat="1"/>
    <xf numFmtId="10" fontId="0" fillId="0" borderId="0" xfId="0" applyNumberFormat="1"/>
  </cellXfs>
  <cellStyles count="5">
    <cellStyle name="Hyperlink" xfId="4" builtinId="8"/>
    <cellStyle name="Normal" xfId="0" builtinId="0"/>
    <cellStyle name="Normal 2" xfId="1" xr:uid="{47015202-F41C-4A27-88FD-2B06565878A7}"/>
    <cellStyle name="Normal 3" xfId="3" xr:uid="{EC38E23B-001E-4200-A897-8D080BEE752F}"/>
    <cellStyle name="Normal 4 2 2" xfId="2" xr:uid="{8E16C609-DEEF-465C-9371-87D7A0545661}"/>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styles" Target="style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851233738272639E-2"/>
          <c:y val="0.14714391023940784"/>
          <c:w val="0.88155780438359355"/>
          <c:h val="0.712639860869834"/>
        </c:manualLayout>
      </c:layout>
      <c:lineChart>
        <c:grouping val="standard"/>
        <c:varyColors val="0"/>
        <c:ser>
          <c:idx val="0"/>
          <c:order val="0"/>
          <c:tx>
            <c:strRef>
              <c:f>'Chart Data'!$B$2</c:f>
              <c:strCache>
                <c:ptCount val="1"/>
                <c:pt idx="0">
                  <c:v>Average Weekly Earnings total pay</c:v>
                </c:pt>
              </c:strCache>
            </c:strRef>
          </c:tx>
          <c:spPr>
            <a:ln w="38100">
              <a:solidFill>
                <a:srgbClr val="BD1B21"/>
              </a:solidFill>
            </a:ln>
          </c:spPr>
          <c:marker>
            <c:symbol val="none"/>
          </c:marker>
          <c:cat>
            <c:numRef>
              <c:f>'Chart Data'!$A$3:$A$126</c:f>
              <c:numCache>
                <c:formatCode>m/d/yyyy</c:formatCode>
                <c:ptCount val="12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numCache>
            </c:numRef>
          </c:cat>
          <c:val>
            <c:numRef>
              <c:f>'Chart Data'!$B$3:$B$126</c:f>
              <c:numCache>
                <c:formatCode>0.0</c:formatCode>
                <c:ptCount val="124"/>
                <c:pt idx="0">
                  <c:v>1.8561484918793614</c:v>
                </c:pt>
                <c:pt idx="1">
                  <c:v>2.8037383177569986</c:v>
                </c:pt>
                <c:pt idx="2">
                  <c:v>3.5046728971962704</c:v>
                </c:pt>
                <c:pt idx="3">
                  <c:v>3.0303030303030276</c:v>
                </c:pt>
                <c:pt idx="4">
                  <c:v>3.0232558139534849</c:v>
                </c:pt>
                <c:pt idx="5">
                  <c:v>3.2558139534883734</c:v>
                </c:pt>
                <c:pt idx="6">
                  <c:v>3.488372093023262</c:v>
                </c:pt>
                <c:pt idx="7">
                  <c:v>3.009259259259256</c:v>
                </c:pt>
                <c:pt idx="8">
                  <c:v>2.0689655172413834</c:v>
                </c:pt>
                <c:pt idx="9">
                  <c:v>1.8306636155606348</c:v>
                </c:pt>
                <c:pt idx="10">
                  <c:v>2.5287356321838983</c:v>
                </c:pt>
                <c:pt idx="11">
                  <c:v>2.2883295194507935</c:v>
                </c:pt>
                <c:pt idx="12">
                  <c:v>2.5056947608200542</c:v>
                </c:pt>
                <c:pt idx="13">
                  <c:v>2.7272727272727337</c:v>
                </c:pt>
                <c:pt idx="14">
                  <c:v>2.257336343115135</c:v>
                </c:pt>
                <c:pt idx="15">
                  <c:v>2.7149321266968229</c:v>
                </c:pt>
                <c:pt idx="16">
                  <c:v>2.257336343115135</c:v>
                </c:pt>
                <c:pt idx="17">
                  <c:v>2.4774774774774855</c:v>
                </c:pt>
                <c:pt idx="18">
                  <c:v>2.2471910112359605</c:v>
                </c:pt>
                <c:pt idx="19">
                  <c:v>2.4719101123595433</c:v>
                </c:pt>
                <c:pt idx="20">
                  <c:v>2.9279279279279313</c:v>
                </c:pt>
                <c:pt idx="21">
                  <c:v>2.6966292134831482</c:v>
                </c:pt>
                <c:pt idx="22">
                  <c:v>2.9147982062780242</c:v>
                </c:pt>
                <c:pt idx="23">
                  <c:v>2.6845637583892579</c:v>
                </c:pt>
                <c:pt idx="24">
                  <c:v>2.2222222222222143</c:v>
                </c:pt>
                <c:pt idx="25">
                  <c:v>1.9911504424778848</c:v>
                </c:pt>
                <c:pt idx="26">
                  <c:v>1.9867549668874274</c:v>
                </c:pt>
                <c:pt idx="27">
                  <c:v>2.2026431718061623</c:v>
                </c:pt>
                <c:pt idx="28">
                  <c:v>2.4282560706401668</c:v>
                </c:pt>
                <c:pt idx="29">
                  <c:v>2.19780219780219</c:v>
                </c:pt>
                <c:pt idx="30">
                  <c:v>2.19780219780219</c:v>
                </c:pt>
                <c:pt idx="31">
                  <c:v>2.4122807017543879</c:v>
                </c:pt>
                <c:pt idx="32">
                  <c:v>2.4070021881838155</c:v>
                </c:pt>
                <c:pt idx="33">
                  <c:v>2.6258205689277947</c:v>
                </c:pt>
                <c:pt idx="34">
                  <c:v>2.3965141612200425</c:v>
                </c:pt>
                <c:pt idx="35">
                  <c:v>2.8322440087146017</c:v>
                </c:pt>
                <c:pt idx="36">
                  <c:v>2.8260869565217339</c:v>
                </c:pt>
                <c:pt idx="37">
                  <c:v>3.0368763557483636</c:v>
                </c:pt>
                <c:pt idx="38">
                  <c:v>3.2467532467532534</c:v>
                </c:pt>
                <c:pt idx="39">
                  <c:v>2.5862068965517349</c:v>
                </c:pt>
                <c:pt idx="40">
                  <c:v>3.0172413793103425</c:v>
                </c:pt>
                <c:pt idx="41">
                  <c:v>3.0107526881720359</c:v>
                </c:pt>
                <c:pt idx="42">
                  <c:v>3.4408602150537648</c:v>
                </c:pt>
                <c:pt idx="43">
                  <c:v>3.426124197002145</c:v>
                </c:pt>
                <c:pt idx="44">
                  <c:v>3.2051282051282159</c:v>
                </c:pt>
                <c:pt idx="45">
                  <c:v>3.6247334754797356</c:v>
                </c:pt>
                <c:pt idx="46">
                  <c:v>3.6170212765957555</c:v>
                </c:pt>
                <c:pt idx="47">
                  <c:v>3.3898305084745672</c:v>
                </c:pt>
                <c:pt idx="48">
                  <c:v>3.8054968287526414</c:v>
                </c:pt>
                <c:pt idx="49">
                  <c:v>3.3684210526315761</c:v>
                </c:pt>
                <c:pt idx="50">
                  <c:v>3.3542976939203273</c:v>
                </c:pt>
                <c:pt idx="51">
                  <c:v>3.7815126050420256</c:v>
                </c:pt>
                <c:pt idx="52">
                  <c:v>3.7656903765690419</c:v>
                </c:pt>
                <c:pt idx="53">
                  <c:v>4.175365344467652</c:v>
                </c:pt>
                <c:pt idx="54">
                  <c:v>3.7422037422037313</c:v>
                </c:pt>
                <c:pt idx="55">
                  <c:v>3.5196687370600444</c:v>
                </c:pt>
                <c:pt idx="56">
                  <c:v>3.7267080745341685</c:v>
                </c:pt>
                <c:pt idx="57">
                  <c:v>3.0864197530864113</c:v>
                </c:pt>
                <c:pt idx="58">
                  <c:v>3.0800821355236208</c:v>
                </c:pt>
                <c:pt idx="59">
                  <c:v>3.2786885245901676</c:v>
                </c:pt>
                <c:pt idx="60">
                  <c:v>2.8513238289205711</c:v>
                </c:pt>
                <c:pt idx="61">
                  <c:v>2.8513238289205711</c:v>
                </c:pt>
                <c:pt idx="62">
                  <c:v>2.2312373225152227</c:v>
                </c:pt>
                <c:pt idx="63">
                  <c:v>-0.80971659919027994</c:v>
                </c:pt>
                <c:pt idx="64">
                  <c:v>-1.4112903225806495</c:v>
                </c:pt>
                <c:pt idx="65">
                  <c:v>-1.4028056112224463</c:v>
                </c:pt>
                <c:pt idx="66">
                  <c:v>0.20040080160319551</c:v>
                </c:pt>
                <c:pt idx="67">
                  <c:v>1.4000000000000012</c:v>
                </c:pt>
                <c:pt idx="68">
                  <c:v>2.39520958083832</c:v>
                </c:pt>
                <c:pt idx="69">
                  <c:v>3.3932135728542923</c:v>
                </c:pt>
                <c:pt idx="70">
                  <c:v>3.9840637450199168</c:v>
                </c:pt>
                <c:pt idx="71">
                  <c:v>4.1666666666666741</c:v>
                </c:pt>
                <c:pt idx="72">
                  <c:v>3.9603960396039639</c:v>
                </c:pt>
                <c:pt idx="73">
                  <c:v>3.9603960396039639</c:v>
                </c:pt>
                <c:pt idx="74">
                  <c:v>4.7619047619047672</c:v>
                </c:pt>
                <c:pt idx="75">
                  <c:v>8.3673469387754995</c:v>
                </c:pt>
                <c:pt idx="76">
                  <c:v>8.5889570552147187</c:v>
                </c:pt>
                <c:pt idx="77">
                  <c:v>8.1300813008130071</c:v>
                </c:pt>
                <c:pt idx="78">
                  <c:v>6.800000000000006</c:v>
                </c:pt>
                <c:pt idx="79">
                  <c:v>5.5226824457593748</c:v>
                </c:pt>
                <c:pt idx="80">
                  <c:v>4.6783625730994149</c:v>
                </c:pt>
                <c:pt idx="81">
                  <c:v>4.2471042471042386</c:v>
                </c:pt>
                <c:pt idx="82">
                  <c:v>4.022988505747116</c:v>
                </c:pt>
                <c:pt idx="83">
                  <c:v>4.3809523809523743</c:v>
                </c:pt>
                <c:pt idx="84">
                  <c:v>5.3333333333333233</c:v>
                </c:pt>
                <c:pt idx="85">
                  <c:v>5.3333333333333233</c:v>
                </c:pt>
                <c:pt idx="86">
                  <c:v>5.3030303030302983</c:v>
                </c:pt>
                <c:pt idx="87">
                  <c:v>5.0847457627118731</c:v>
                </c:pt>
                <c:pt idx="88">
                  <c:v>5.8380414312617646</c:v>
                </c:pt>
                <c:pt idx="89">
                  <c:v>6.0150375939849621</c:v>
                </c:pt>
                <c:pt idx="90">
                  <c:v>6.367041198501866</c:v>
                </c:pt>
                <c:pt idx="91">
                  <c:v>6.7289719626168143</c:v>
                </c:pt>
                <c:pt idx="92">
                  <c:v>7.0763500931098733</c:v>
                </c:pt>
                <c:pt idx="93">
                  <c:v>7.2222222222222188</c:v>
                </c:pt>
                <c:pt idx="94">
                  <c:v>7.5506445672191447</c:v>
                </c:pt>
                <c:pt idx="95">
                  <c:v>7.1167883211678884</c:v>
                </c:pt>
                <c:pt idx="96">
                  <c:v>6.509945750452073</c:v>
                </c:pt>
                <c:pt idx="97">
                  <c:v>7.5949367088607556</c:v>
                </c:pt>
                <c:pt idx="98">
                  <c:v>7.5539568345323715</c:v>
                </c:pt>
                <c:pt idx="99">
                  <c:v>8.0645161290322509</c:v>
                </c:pt>
                <c:pt idx="100">
                  <c:v>8.1850533807829251</c:v>
                </c:pt>
                <c:pt idx="101">
                  <c:v>8.333333333333325</c:v>
                </c:pt>
                <c:pt idx="102">
                  <c:v>7.9225352112676006</c:v>
                </c:pt>
                <c:pt idx="103">
                  <c:v>8.056042031523635</c:v>
                </c:pt>
                <c:pt idx="104">
                  <c:v>7.4782608695652231</c:v>
                </c:pt>
                <c:pt idx="105">
                  <c:v>6.2176165803108807</c:v>
                </c:pt>
                <c:pt idx="106">
                  <c:v>6.335616438356162</c:v>
                </c:pt>
                <c:pt idx="107">
                  <c:v>6.1328790459965976</c:v>
                </c:pt>
                <c:pt idx="108">
                  <c:v>5.7724957555178369</c:v>
                </c:pt>
                <c:pt idx="109">
                  <c:v>5.5462184873949605</c:v>
                </c:pt>
                <c:pt idx="110">
                  <c:v>5.8528428093645557</c:v>
                </c:pt>
                <c:pt idx="111">
                  <c:v>5.6384742951907096</c:v>
                </c:pt>
                <c:pt idx="112">
                  <c:v>5.2631578947368363</c:v>
                </c:pt>
                <c:pt idx="113">
                  <c:v>5.2373158756137572</c:v>
                </c:pt>
                <c:pt idx="114">
                  <c:v>5.220228384991854</c:v>
                </c:pt>
                <c:pt idx="115">
                  <c:v>4.8622366288492813</c:v>
                </c:pt>
                <c:pt idx="116">
                  <c:v>5.3398058252427161</c:v>
                </c:pt>
                <c:pt idx="117">
                  <c:v>6.6666666666666652</c:v>
                </c:pt>
                <c:pt idx="118">
                  <c:v>5.7971014492753659</c:v>
                </c:pt>
                <c:pt idx="119">
                  <c:v>5.9390048154092989</c:v>
                </c:pt>
                <c:pt idx="120">
                  <c:v>5.9390048154092989</c:v>
                </c:pt>
                <c:pt idx="121">
                  <c:v>5.8917197452229342</c:v>
                </c:pt>
                <c:pt idx="122">
                  <c:v>5.0552922590837213</c:v>
                </c:pt>
                <c:pt idx="123">
                  <c:v>#N/A</c:v>
                </c:pt>
              </c:numCache>
            </c:numRef>
          </c:val>
          <c:smooth val="0"/>
          <c:extLst>
            <c:ext xmlns:c16="http://schemas.microsoft.com/office/drawing/2014/chart" uri="{C3380CC4-5D6E-409C-BE32-E72D297353CC}">
              <c16:uniqueId val="{00000000-E850-417B-95DA-4ED900504230}"/>
            </c:ext>
          </c:extLst>
        </c:ser>
        <c:ser>
          <c:idx val="1"/>
          <c:order val="1"/>
          <c:tx>
            <c:strRef>
              <c:f>'Chart Data'!$C$2</c:f>
              <c:strCache>
                <c:ptCount val="1"/>
                <c:pt idx="0">
                  <c:v>HMRC median pay</c:v>
                </c:pt>
              </c:strCache>
            </c:strRef>
          </c:tx>
          <c:spPr>
            <a:ln w="38100">
              <a:solidFill>
                <a:srgbClr val="003469"/>
              </a:solidFill>
            </a:ln>
          </c:spPr>
          <c:marker>
            <c:symbol val="none"/>
          </c:marker>
          <c:cat>
            <c:numRef>
              <c:f>'Chart Data'!$A$3:$A$126</c:f>
              <c:numCache>
                <c:formatCode>m/d/yyyy</c:formatCode>
                <c:ptCount val="12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numCache>
            </c:numRef>
          </c:cat>
          <c:val>
            <c:numRef>
              <c:f>'Chart Data'!$C$3:$C$126</c:f>
              <c:numCache>
                <c:formatCode>0.0</c:formatCode>
                <c:ptCount val="124"/>
                <c:pt idx="0">
                  <c:v>#N/A</c:v>
                </c:pt>
                <c:pt idx="1">
                  <c:v>#N/A</c:v>
                </c:pt>
                <c:pt idx="2">
                  <c:v>#N/A</c:v>
                </c:pt>
                <c:pt idx="3">
                  <c:v>#N/A</c:v>
                </c:pt>
                <c:pt idx="4">
                  <c:v>#N/A</c:v>
                </c:pt>
                <c:pt idx="5">
                  <c:v>#N/A</c:v>
                </c:pt>
                <c:pt idx="6">
                  <c:v>1.3767209011264159</c:v>
                </c:pt>
                <c:pt idx="7">
                  <c:v>0.93632958801497246</c:v>
                </c:pt>
                <c:pt idx="8">
                  <c:v>1.1242973141786461</c:v>
                </c:pt>
                <c:pt idx="9">
                  <c:v>1.3084112149532645</c:v>
                </c:pt>
                <c:pt idx="10">
                  <c:v>1.3690105787180995</c:v>
                </c:pt>
                <c:pt idx="11">
                  <c:v>0.92821782178218459</c:v>
                </c:pt>
                <c:pt idx="12">
                  <c:v>1.1111111111111072</c:v>
                </c:pt>
                <c:pt idx="13">
                  <c:v>1.2345679012345734</c:v>
                </c:pt>
                <c:pt idx="14">
                  <c:v>1.6687268232385755</c:v>
                </c:pt>
                <c:pt idx="15">
                  <c:v>2.3558586484810906</c:v>
                </c:pt>
                <c:pt idx="16">
                  <c:v>2.2277227722772297</c:v>
                </c:pt>
                <c:pt idx="17">
                  <c:v>2.2881880024737233</c:v>
                </c:pt>
                <c:pt idx="18">
                  <c:v>2.4074074074074137</c:v>
                </c:pt>
                <c:pt idx="19">
                  <c:v>2.6592455163883644</c:v>
                </c:pt>
                <c:pt idx="20">
                  <c:v>2.7794935145151412</c:v>
                </c:pt>
                <c:pt idx="21">
                  <c:v>2.2755227552275548</c:v>
                </c:pt>
                <c:pt idx="22">
                  <c:v>2.2713321055862545</c:v>
                </c:pt>
                <c:pt idx="23">
                  <c:v>2.2072348252605734</c:v>
                </c:pt>
                <c:pt idx="24">
                  <c:v>1.831501831501825</c:v>
                </c:pt>
                <c:pt idx="25">
                  <c:v>2.2560975609756007</c:v>
                </c:pt>
                <c:pt idx="26">
                  <c:v>2.4924012158054731</c:v>
                </c:pt>
                <c:pt idx="27">
                  <c:v>2.241066020593574</c:v>
                </c:pt>
                <c:pt idx="28">
                  <c:v>2.300242130750596</c:v>
                </c:pt>
                <c:pt idx="29">
                  <c:v>2.4788391777509133</c:v>
                </c:pt>
                <c:pt idx="30">
                  <c:v>2.0494273658830719</c:v>
                </c:pt>
                <c:pt idx="31">
                  <c:v>2.4096385542168752</c:v>
                </c:pt>
                <c:pt idx="32">
                  <c:v>2.4038461538461453</c:v>
                </c:pt>
                <c:pt idx="33">
                  <c:v>2.5856885147324205</c:v>
                </c:pt>
                <c:pt idx="34">
                  <c:v>2.8211284513805612</c:v>
                </c:pt>
                <c:pt idx="35">
                  <c:v>3.2393521295740912</c:v>
                </c:pt>
                <c:pt idx="36">
                  <c:v>3.4172661870503607</c:v>
                </c:pt>
                <c:pt idx="37">
                  <c:v>3.0411449016100267</c:v>
                </c:pt>
                <c:pt idx="38">
                  <c:v>2.5504151838671385</c:v>
                </c:pt>
                <c:pt idx="39">
                  <c:v>2.4289099526066282</c:v>
                </c:pt>
                <c:pt idx="40">
                  <c:v>3.4911242603550274</c:v>
                </c:pt>
                <c:pt idx="41">
                  <c:v>3.5988200589970543</c:v>
                </c:pt>
                <c:pt idx="42">
                  <c:v>3.4258712344949815</c:v>
                </c:pt>
                <c:pt idx="43">
                  <c:v>4.2352941176470482</c:v>
                </c:pt>
                <c:pt idx="44">
                  <c:v>3.3450704225352013</c:v>
                </c:pt>
                <c:pt idx="45">
                  <c:v>3.5756154747948354</c:v>
                </c:pt>
                <c:pt idx="46">
                  <c:v>3.7945125510799871</c:v>
                </c:pt>
                <c:pt idx="47">
                  <c:v>2.9633933759442233</c:v>
                </c:pt>
                <c:pt idx="48">
                  <c:v>3.4202898550724559</c:v>
                </c:pt>
                <c:pt idx="49">
                  <c:v>3.6458333333333259</c:v>
                </c:pt>
                <c:pt idx="50">
                  <c:v>4.0485829959514108</c:v>
                </c:pt>
                <c:pt idx="51">
                  <c:v>4.5691150954308757</c:v>
                </c:pt>
                <c:pt idx="52">
                  <c:v>3.7735849056603765</c:v>
                </c:pt>
                <c:pt idx="53">
                  <c:v>3.1890660592255093</c:v>
                </c:pt>
                <c:pt idx="54">
                  <c:v>3.8834951456310662</c:v>
                </c:pt>
                <c:pt idx="55">
                  <c:v>3.0474040632054278</c:v>
                </c:pt>
                <c:pt idx="56">
                  <c:v>3.3503691084610931</c:v>
                </c:pt>
                <c:pt idx="57">
                  <c:v>3.2823995472552436</c:v>
                </c:pt>
                <c:pt idx="58">
                  <c:v>2.924634420697414</c:v>
                </c:pt>
                <c:pt idx="59">
                  <c:v>3.6117381489841893</c:v>
                </c:pt>
                <c:pt idx="60">
                  <c:v>3.811659192825112</c:v>
                </c:pt>
                <c:pt idx="61">
                  <c:v>3.9084310441094283</c:v>
                </c:pt>
                <c:pt idx="62">
                  <c:v>2.5569760978321199</c:v>
                </c:pt>
                <c:pt idx="63">
                  <c:v>-0.94026548672566657</c:v>
                </c:pt>
                <c:pt idx="64">
                  <c:v>-0.9366391184573053</c:v>
                </c:pt>
                <c:pt idx="65">
                  <c:v>0.93818984547462403</c:v>
                </c:pt>
                <c:pt idx="66">
                  <c:v>2.1990104452996206</c:v>
                </c:pt>
                <c:pt idx="67">
                  <c:v>3.0120481927710774</c:v>
                </c:pt>
                <c:pt idx="68">
                  <c:v>4.3956043956044022</c:v>
                </c:pt>
                <c:pt idx="69">
                  <c:v>4.7123287671232861</c:v>
                </c:pt>
                <c:pt idx="70">
                  <c:v>4.5355191256830629</c:v>
                </c:pt>
                <c:pt idx="71">
                  <c:v>4.8474945533768965</c:v>
                </c:pt>
                <c:pt idx="72">
                  <c:v>4.2116630669546407</c:v>
                </c:pt>
                <c:pt idx="73">
                  <c:v>4.3524986566362278</c:v>
                </c:pt>
                <c:pt idx="74">
                  <c:v>5.5826558265582582</c:v>
                </c:pt>
                <c:pt idx="75">
                  <c:v>9.6035734226689087</c:v>
                </c:pt>
                <c:pt idx="76">
                  <c:v>9.1212458286985552</c:v>
                </c:pt>
                <c:pt idx="77">
                  <c:v>7.9825041006014175</c:v>
                </c:pt>
                <c:pt idx="78">
                  <c:v>6.4550833781602979</c:v>
                </c:pt>
                <c:pt idx="79">
                  <c:v>5.6353003721424821</c:v>
                </c:pt>
                <c:pt idx="80">
                  <c:v>5.6315789473684319</c:v>
                </c:pt>
                <c:pt idx="81">
                  <c:v>5.1282051282051322</c:v>
                </c:pt>
                <c:pt idx="82">
                  <c:v>5.3842132775745011</c:v>
                </c:pt>
                <c:pt idx="83">
                  <c:v>5.7662337662337748</c:v>
                </c:pt>
                <c:pt idx="84">
                  <c:v>6.2176165803108807</c:v>
                </c:pt>
                <c:pt idx="85">
                  <c:v>5.818743563336759</c:v>
                </c:pt>
                <c:pt idx="86">
                  <c:v>6.5708418891170517</c:v>
                </c:pt>
                <c:pt idx="87">
                  <c:v>5.8074375955170732</c:v>
                </c:pt>
                <c:pt idx="88">
                  <c:v>6.2181447502548393</c:v>
                </c:pt>
                <c:pt idx="89">
                  <c:v>6.4810126582278471</c:v>
                </c:pt>
                <c:pt idx="90">
                  <c:v>6.6195048004042523</c:v>
                </c:pt>
                <c:pt idx="91">
                  <c:v>6.6431806743834976</c:v>
                </c:pt>
                <c:pt idx="92">
                  <c:v>6.9257598405580545</c:v>
                </c:pt>
                <c:pt idx="93">
                  <c:v>6.8690890990542597</c:v>
                </c:pt>
                <c:pt idx="94">
                  <c:v>8.6805555555555571</c:v>
                </c:pt>
                <c:pt idx="95">
                  <c:v>7.5147347740667891</c:v>
                </c:pt>
                <c:pt idx="96">
                  <c:v>7.0243902439024453</c:v>
                </c:pt>
                <c:pt idx="97">
                  <c:v>7.4452554744525612</c:v>
                </c:pt>
                <c:pt idx="98">
                  <c:v>6.7437379576107848</c:v>
                </c:pt>
                <c:pt idx="99">
                  <c:v>7.1738083774675054</c:v>
                </c:pt>
                <c:pt idx="100">
                  <c:v>8.0614203454894451</c:v>
                </c:pt>
                <c:pt idx="101">
                  <c:v>9.4626723728007622</c:v>
                </c:pt>
                <c:pt idx="102">
                  <c:v>7.4881516587677721</c:v>
                </c:pt>
                <c:pt idx="103">
                  <c:v>7.5035394053798887</c:v>
                </c:pt>
                <c:pt idx="104">
                  <c:v>5.9179869524697004</c:v>
                </c:pt>
                <c:pt idx="105">
                  <c:v>6.1015370284117409</c:v>
                </c:pt>
                <c:pt idx="106">
                  <c:v>6.2528525787311828</c:v>
                </c:pt>
                <c:pt idx="107">
                  <c:v>6.1671996345363134</c:v>
                </c:pt>
                <c:pt idx="108">
                  <c:v>6.3810391978122105</c:v>
                </c:pt>
                <c:pt idx="109">
                  <c:v>6.2047101449275388</c:v>
                </c:pt>
                <c:pt idx="110">
                  <c:v>6.2725631768953072</c:v>
                </c:pt>
                <c:pt idx="111">
                  <c:v>6.4690026954177915</c:v>
                </c:pt>
                <c:pt idx="112">
                  <c:v>5.7726465364120738</c:v>
                </c:pt>
                <c:pt idx="113">
                  <c:v>3.6924413553431901</c:v>
                </c:pt>
                <c:pt idx="114">
                  <c:v>5.7760141093474493</c:v>
                </c:pt>
                <c:pt idx="115">
                  <c:v>5.8384547848990387</c:v>
                </c:pt>
                <c:pt idx="116">
                  <c:v>5.8512978442586849</c:v>
                </c:pt>
                <c:pt idx="117">
                  <c:v>7.8138718173836663</c:v>
                </c:pt>
                <c:pt idx="118">
                  <c:v>6.3573883161512024</c:v>
                </c:pt>
                <c:pt idx="119">
                  <c:v>5.4647160068846734</c:v>
                </c:pt>
                <c:pt idx="120">
                  <c:v>6.0411311053984562</c:v>
                </c:pt>
                <c:pt idx="121">
                  <c:v>5.7995735607675902</c:v>
                </c:pt>
                <c:pt idx="122">
                  <c:v>5.9023354564755826</c:v>
                </c:pt>
                <c:pt idx="123">
                  <c:v>6.3713080168776415</c:v>
                </c:pt>
              </c:numCache>
            </c:numRef>
          </c:val>
          <c:smooth val="0"/>
          <c:extLst>
            <c:ext xmlns:c16="http://schemas.microsoft.com/office/drawing/2014/chart" uri="{C3380CC4-5D6E-409C-BE32-E72D297353CC}">
              <c16:uniqueId val="{00000001-E850-417B-95DA-4ED900504230}"/>
            </c:ext>
          </c:extLst>
        </c:ser>
        <c:ser>
          <c:idx val="2"/>
          <c:order val="2"/>
          <c:tx>
            <c:strRef>
              <c:f>'Chart Data'!$D$2</c:f>
              <c:strCache>
                <c:ptCount val="1"/>
                <c:pt idx="0">
                  <c:v>HMRC median of pay growth</c:v>
                </c:pt>
              </c:strCache>
            </c:strRef>
          </c:tx>
          <c:spPr>
            <a:ln w="38100">
              <a:solidFill>
                <a:srgbClr val="D1A21E"/>
              </a:solidFill>
            </a:ln>
          </c:spPr>
          <c:marker>
            <c:symbol val="none"/>
          </c:marker>
          <c:cat>
            <c:numRef>
              <c:f>'Chart Data'!$A$3:$A$126</c:f>
              <c:numCache>
                <c:formatCode>m/d/yyyy</c:formatCode>
                <c:ptCount val="12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numCache>
            </c:numRef>
          </c:cat>
          <c:val>
            <c:numRef>
              <c:f>'Chart Data'!$D$3:$D$126</c:f>
              <c:numCache>
                <c:formatCode>General</c:formatCode>
                <c:ptCount val="124"/>
                <c:pt idx="0">
                  <c:v>#N/A</c:v>
                </c:pt>
                <c:pt idx="1">
                  <c:v>#N/A</c:v>
                </c:pt>
                <c:pt idx="2">
                  <c:v>#N/A</c:v>
                </c:pt>
                <c:pt idx="3">
                  <c:v>#N/A</c:v>
                </c:pt>
                <c:pt idx="4">
                  <c:v>#N/A</c:v>
                </c:pt>
                <c:pt idx="5">
                  <c:v>#N/A</c:v>
                </c:pt>
                <c:pt idx="6" formatCode="0.0">
                  <c:v>2.4891032480922499</c:v>
                </c:pt>
                <c:pt idx="7" formatCode="0.0">
                  <c:v>2.3465306741570799</c:v>
                </c:pt>
                <c:pt idx="8" formatCode="0.0">
                  <c:v>2.37422667600128</c:v>
                </c:pt>
                <c:pt idx="9" formatCode="0.0">
                  <c:v>2.5145708725004301</c:v>
                </c:pt>
                <c:pt idx="10" formatCode="0.0">
                  <c:v>2.5684417629471099</c:v>
                </c:pt>
                <c:pt idx="11" formatCode="0.0">
                  <c:v>2.2359977694726401</c:v>
                </c:pt>
                <c:pt idx="12" formatCode="0.0">
                  <c:v>2.38162983061178</c:v>
                </c:pt>
                <c:pt idx="13" formatCode="0.0">
                  <c:v>2.4246790175477697</c:v>
                </c:pt>
                <c:pt idx="14" formatCode="0.0">
                  <c:v>2.4861846079613499</c:v>
                </c:pt>
                <c:pt idx="15" formatCode="0.0">
                  <c:v>2.5579235990707097</c:v>
                </c:pt>
                <c:pt idx="16" formatCode="0.0">
                  <c:v>2.4988916798292902</c:v>
                </c:pt>
                <c:pt idx="17" formatCode="0.0">
                  <c:v>2.82024494610071</c:v>
                </c:pt>
                <c:pt idx="18" formatCode="0.0">
                  <c:v>2.7750182732202302</c:v>
                </c:pt>
                <c:pt idx="19" formatCode="0.0">
                  <c:v>2.7799016914807599</c:v>
                </c:pt>
                <c:pt idx="20" formatCode="0.0">
                  <c:v>2.7927027146272398</c:v>
                </c:pt>
                <c:pt idx="21" formatCode="0.0">
                  <c:v>2.73772328820638</c:v>
                </c:pt>
                <c:pt idx="22" formatCode="0.0">
                  <c:v>2.60726744094486</c:v>
                </c:pt>
                <c:pt idx="23" formatCode="0.0">
                  <c:v>2.66827089203918</c:v>
                </c:pt>
                <c:pt idx="24" formatCode="0.0">
                  <c:v>2.5516560441382801</c:v>
                </c:pt>
                <c:pt idx="25" formatCode="0.0">
                  <c:v>2.5724347868176398</c:v>
                </c:pt>
                <c:pt idx="26" formatCode="0.0">
                  <c:v>2.4539643507403799</c:v>
                </c:pt>
                <c:pt idx="27" formatCode="0.0">
                  <c:v>2.5342635135047202</c:v>
                </c:pt>
                <c:pt idx="28" formatCode="0.0">
                  <c:v>2.6577526197518999</c:v>
                </c:pt>
                <c:pt idx="29" formatCode="0.0">
                  <c:v>2.43917994410047</c:v>
                </c:pt>
                <c:pt idx="30" formatCode="0.0">
                  <c:v>2.4362170112733601</c:v>
                </c:pt>
                <c:pt idx="31" formatCode="0.0">
                  <c:v>2.5738347315789603</c:v>
                </c:pt>
                <c:pt idx="32" formatCode="0.0">
                  <c:v>2.56912529190316</c:v>
                </c:pt>
                <c:pt idx="33" formatCode="0.0">
                  <c:v>2.5415158976441097</c:v>
                </c:pt>
                <c:pt idx="34" formatCode="0.0">
                  <c:v>2.6646185549053203</c:v>
                </c:pt>
                <c:pt idx="35" formatCode="0.0">
                  <c:v>2.7906287130201299</c:v>
                </c:pt>
                <c:pt idx="36" formatCode="0.0">
                  <c:v>2.8748645933835699</c:v>
                </c:pt>
                <c:pt idx="37" formatCode="0.0">
                  <c:v>2.9074725662419603</c:v>
                </c:pt>
                <c:pt idx="38" formatCode="0.0">
                  <c:v>2.8160133815692099</c:v>
                </c:pt>
                <c:pt idx="39" formatCode="0.0">
                  <c:v>2.86903596624505</c:v>
                </c:pt>
                <c:pt idx="40" formatCode="0.0">
                  <c:v>3.0650864411738898</c:v>
                </c:pt>
                <c:pt idx="41" formatCode="0.0">
                  <c:v>3.1891413919421701</c:v>
                </c:pt>
                <c:pt idx="42" formatCode="0.0">
                  <c:v>3.2215888046944801</c:v>
                </c:pt>
                <c:pt idx="43" formatCode="0.0">
                  <c:v>3.4541624326873701</c:v>
                </c:pt>
                <c:pt idx="44" formatCode="0.0">
                  <c:v>3.2357924363304904</c:v>
                </c:pt>
                <c:pt idx="45" formatCode="0.0">
                  <c:v>3.2832302955658603</c:v>
                </c:pt>
                <c:pt idx="46" formatCode="0.0">
                  <c:v>3.3371215905345397</c:v>
                </c:pt>
                <c:pt idx="47" formatCode="0.0">
                  <c:v>3.27624226199117</c:v>
                </c:pt>
                <c:pt idx="48" formatCode="0.0">
                  <c:v>3.2589020195057503</c:v>
                </c:pt>
                <c:pt idx="49" formatCode="0.0">
                  <c:v>3.2956302789544298</c:v>
                </c:pt>
                <c:pt idx="50" formatCode="0.0">
                  <c:v>3.5604166073059398</c:v>
                </c:pt>
                <c:pt idx="51" formatCode="0.0">
                  <c:v>3.9437212889123101</c:v>
                </c:pt>
                <c:pt idx="52" formatCode="0.0">
                  <c:v>3.4304788252207596</c:v>
                </c:pt>
                <c:pt idx="53" formatCode="0.0">
                  <c:v>3.3022697984803902</c:v>
                </c:pt>
                <c:pt idx="54" formatCode="0.0">
                  <c:v>3.18161738712053</c:v>
                </c:pt>
                <c:pt idx="55" formatCode="0.0">
                  <c:v>3.0124823642591001</c:v>
                </c:pt>
                <c:pt idx="56" formatCode="0.0">
                  <c:v>3.2912637207030295</c:v>
                </c:pt>
                <c:pt idx="57" formatCode="0.0">
                  <c:v>3.1225700605452</c:v>
                </c:pt>
                <c:pt idx="58" formatCode="0.0">
                  <c:v>3.0667338247942997</c:v>
                </c:pt>
                <c:pt idx="59" formatCode="0.0">
                  <c:v>3.2001961353898802</c:v>
                </c:pt>
                <c:pt idx="60" formatCode="0.0">
                  <c:v>3.2046229507953599</c:v>
                </c:pt>
                <c:pt idx="61" formatCode="0.0">
                  <c:v>3.2803677965264102</c:v>
                </c:pt>
                <c:pt idx="62" formatCode="0.0">
                  <c:v>2.5579652474216301</c:v>
                </c:pt>
                <c:pt idx="63" formatCode="0.0">
                  <c:v>0.65845206014588997</c:v>
                </c:pt>
                <c:pt idx="64" formatCode="0.0">
                  <c:v>5.1368563722320001E-2</c:v>
                </c:pt>
                <c:pt idx="65" formatCode="0.0">
                  <c:v>1.0333174338477999</c:v>
                </c:pt>
                <c:pt idx="66" formatCode="0.0">
                  <c:v>1.5914085746979698</c:v>
                </c:pt>
                <c:pt idx="67" formatCode="0.0">
                  <c:v>1.8336560839826199</c:v>
                </c:pt>
                <c:pt idx="68" formatCode="0.0">
                  <c:v>2.2558762734115101</c:v>
                </c:pt>
                <c:pt idx="69" formatCode="0.0">
                  <c:v>2.48133352887166</c:v>
                </c:pt>
                <c:pt idx="70" formatCode="0.0">
                  <c:v>2.4423012744518298</c:v>
                </c:pt>
                <c:pt idx="71" formatCode="0.0">
                  <c:v>2.5468597968318401</c:v>
                </c:pt>
                <c:pt idx="72" formatCode="0.0">
                  <c:v>2.0213600306237098</c:v>
                </c:pt>
                <c:pt idx="73" formatCode="0.0">
                  <c:v>1.92675932020917</c:v>
                </c:pt>
                <c:pt idx="74" formatCode="0.0">
                  <c:v>2.45570077895034</c:v>
                </c:pt>
                <c:pt idx="75" formatCode="0.0">
                  <c:v>3.6395145689524497</c:v>
                </c:pt>
                <c:pt idx="76" formatCode="0.0">
                  <c:v>4.1994205409432706</c:v>
                </c:pt>
                <c:pt idx="77" formatCode="0.0">
                  <c:v>4.0045538509538199</c:v>
                </c:pt>
                <c:pt idx="78" formatCode="0.0">
                  <c:v>3.4146136773681399</c:v>
                </c:pt>
                <c:pt idx="79" formatCode="0.0">
                  <c:v>3.1700403759050402</c:v>
                </c:pt>
                <c:pt idx="80" formatCode="0.0">
                  <c:v>3.2444965121029701</c:v>
                </c:pt>
                <c:pt idx="81" formatCode="0.0">
                  <c:v>3.0897353821671198</c:v>
                </c:pt>
                <c:pt idx="82" formatCode="0.0">
                  <c:v>3.1825696703495998</c:v>
                </c:pt>
                <c:pt idx="83" formatCode="0.0">
                  <c:v>3.4621578536789399</c:v>
                </c:pt>
                <c:pt idx="84" formatCode="0.0">
                  <c:v>4.0083015430592797</c:v>
                </c:pt>
                <c:pt idx="85" formatCode="0.0">
                  <c:v>4.4431133542624295</c:v>
                </c:pt>
                <c:pt idx="86" formatCode="0.0">
                  <c:v>5.4717503941601606</c:v>
                </c:pt>
                <c:pt idx="87" formatCode="0.0">
                  <c:v>4.9233427231017597</c:v>
                </c:pt>
                <c:pt idx="88" formatCode="0.0">
                  <c:v>5.07664988114451</c:v>
                </c:pt>
                <c:pt idx="89" formatCode="0.0">
                  <c:v>5.0930826074980198</c:v>
                </c:pt>
                <c:pt idx="90" formatCode="0.0">
                  <c:v>5.3218450666310595</c:v>
                </c:pt>
                <c:pt idx="91" formatCode="0.0">
                  <c:v>5.6491180924031701</c:v>
                </c:pt>
                <c:pt idx="92" formatCode="0.0">
                  <c:v>6.05142809627724</c:v>
                </c:pt>
                <c:pt idx="93" formatCode="0.0">
                  <c:v>6.3100009828572503</c:v>
                </c:pt>
                <c:pt idx="94" formatCode="0.0">
                  <c:v>7.1173496114686694</c:v>
                </c:pt>
                <c:pt idx="95" formatCode="0.0">
                  <c:v>6.7992294583268897</c:v>
                </c:pt>
                <c:pt idx="96" formatCode="0.0">
                  <c:v>6.6239479331200597</c:v>
                </c:pt>
                <c:pt idx="97" formatCode="0.0">
                  <c:v>6.5480362177255405</c:v>
                </c:pt>
                <c:pt idx="98" formatCode="0.0">
                  <c:v>6.1984620021081707</c:v>
                </c:pt>
                <c:pt idx="99" formatCode="0.0">
                  <c:v>6.9875760688975204</c:v>
                </c:pt>
                <c:pt idx="100" formatCode="0.0">
                  <c:v>7.7211864095414198</c:v>
                </c:pt>
                <c:pt idx="101" formatCode="0.0">
                  <c:v>8.1431389103556509</c:v>
                </c:pt>
                <c:pt idx="102" formatCode="0.0">
                  <c:v>7.4594179043672302</c:v>
                </c:pt>
                <c:pt idx="103" formatCode="0.0">
                  <c:v>7.0241873731610793</c:v>
                </c:pt>
                <c:pt idx="104" formatCode="0.0">
                  <c:v>6.3236883383837501</c:v>
                </c:pt>
                <c:pt idx="105" formatCode="0.0">
                  <c:v>6.3316377969877795</c:v>
                </c:pt>
                <c:pt idx="106" formatCode="0.0">
                  <c:v>6.1550110803511799</c:v>
                </c:pt>
                <c:pt idx="107" formatCode="0.0">
                  <c:v>6.1725699853104299</c:v>
                </c:pt>
                <c:pt idx="108" formatCode="0.0">
                  <c:v>6.2594175161983205</c:v>
                </c:pt>
                <c:pt idx="109" formatCode="0.0">
                  <c:v>6.4189755457474904</c:v>
                </c:pt>
                <c:pt idx="110" formatCode="0.0">
                  <c:v>6.1510248031479895</c:v>
                </c:pt>
                <c:pt idx="111" formatCode="0.0">
                  <c:v>5.9555344748391201</c:v>
                </c:pt>
                <c:pt idx="112" formatCode="0.0">
                  <c:v>5.8231330203486396</c:v>
                </c:pt>
                <c:pt idx="113" formatCode="0.0">
                  <c:v>5.1888274718407299</c:v>
                </c:pt>
                <c:pt idx="114" formatCode="0.0">
                  <c:v>5.5499625200896103</c:v>
                </c:pt>
                <c:pt idx="115" formatCode="0.0">
                  <c:v>5.3880084867779798</c:v>
                </c:pt>
                <c:pt idx="116" formatCode="0.0">
                  <c:v>5.4277965790489695</c:v>
                </c:pt>
                <c:pt idx="117" formatCode="0.0">
                  <c:v>6.3725715622812995</c:v>
                </c:pt>
                <c:pt idx="118" formatCode="0.0">
                  <c:v>5.5026936650253804</c:v>
                </c:pt>
                <c:pt idx="119" formatCode="0.0">
                  <c:v>5.1871527874005299</c:v>
                </c:pt>
                <c:pt idx="120" formatCode="0.0">
                  <c:v>5.2558258209869706</c:v>
                </c:pt>
                <c:pt idx="121" formatCode="0.0">
                  <c:v>5.2995612625834898</c:v>
                </c:pt>
                <c:pt idx="122" formatCode="0.0">
                  <c:v>5.1886990711537697</c:v>
                </c:pt>
                <c:pt idx="123" formatCode="0.0">
                  <c:v>5.0292028520134204</c:v>
                </c:pt>
              </c:numCache>
            </c:numRef>
          </c:val>
          <c:smooth val="0"/>
          <c:extLst>
            <c:ext xmlns:c16="http://schemas.microsoft.com/office/drawing/2014/chart" uri="{C3380CC4-5D6E-409C-BE32-E72D297353CC}">
              <c16:uniqueId val="{00000002-E850-417B-95DA-4ED900504230}"/>
            </c:ext>
          </c:extLst>
        </c:ser>
        <c:ser>
          <c:idx val="3"/>
          <c:order val="3"/>
          <c:tx>
            <c:strRef>
              <c:f>'Chart Data'!$G$2</c:f>
              <c:strCache>
                <c:ptCount val="1"/>
                <c:pt idx="0">
                  <c:v>ZERO LINE</c:v>
                </c:pt>
              </c:strCache>
            </c:strRef>
          </c:tx>
          <c:spPr>
            <a:ln w="12700">
              <a:solidFill>
                <a:srgbClr val="495057"/>
              </a:solidFill>
            </a:ln>
          </c:spPr>
          <c:marker>
            <c:symbol val="none"/>
          </c:marker>
          <c:cat>
            <c:numRef>
              <c:f>'Chart Data'!$A$3:$A$126</c:f>
              <c:numCache>
                <c:formatCode>m/d/yyyy</c:formatCode>
                <c:ptCount val="124"/>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numCache>
            </c:numRef>
          </c:cat>
          <c:val>
            <c:numRef>
              <c:f>'Chart Data'!$G$3:$G$126</c:f>
              <c:numCache>
                <c:formatCode>General</c:formatCode>
                <c:ptCount val="1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in val="43101"/>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1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3"/>
        <c:delete val="1"/>
      </c:legendEntry>
      <c:layout>
        <c:manualLayout>
          <c:xMode val="edge"/>
          <c:yMode val="edge"/>
          <c:x val="7.4725625398520082E-2"/>
          <c:y val="0.11486707725890699"/>
          <c:w val="0.49001290092975663"/>
          <c:h val="0.1791089886152854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B8F6EA7-779B-46A3-95C7-22EE1D4F6E56}">
  <sheetPr/>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B0F8AF7E-FE2F-57BB-2BD6-F64B736E9B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A979F04C-255A-86FD-72A1-D81553C09F8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Measures of pay growth</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4EE7E00B-592B-FDBF-DC2D-85FEDBF21A94}"/>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ONS</a:t>
          </a:r>
        </a:p>
      </cdr:txBody>
    </cdr:sp>
  </cdr:relSizeAnchor>
  <cdr:relSizeAnchor xmlns:cdr="http://schemas.openxmlformats.org/drawingml/2006/chartDrawing">
    <cdr:from>
      <cdr:x>0.00791</cdr:x>
      <cdr:y>0.06982</cdr:y>
    </cdr:from>
    <cdr:to>
      <cdr:x>0.17739</cdr:x>
      <cdr:y>0.12078</cdr:y>
    </cdr:to>
    <cdr:sp macro="" textlink="">
      <cdr:nvSpPr>
        <cdr:cNvPr id="6" name="TextBox 5">
          <a:extLst xmlns:a="http://schemas.openxmlformats.org/drawingml/2006/main">
            <a:ext uri="{FF2B5EF4-FFF2-40B4-BE49-F238E27FC236}">
              <a16:creationId xmlns:a16="http://schemas.microsoft.com/office/drawing/2014/main" id="{AE52872E-B44A-15C0-80FE-9A6D8E329F4D}"/>
            </a:ext>
          </a:extLst>
        </cdr:cNvPr>
        <cdr:cNvSpPr txBox="1"/>
      </cdr:nvSpPr>
      <cdr:spPr>
        <a:xfrm xmlns:a="http://schemas.openxmlformats.org/drawingml/2006/main">
          <a:off x="66675" y="469900"/>
          <a:ext cx="14287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KAJ2@UK" TargetMode="External"/><Relationship Id="rId1" Type="http://schemas.openxmlformats.org/officeDocument/2006/relationships/hyperlink" Target="mailto:UNVDWR3@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B0775-FC22-4ECE-9572-09E93946A392}">
  <dimension ref="A1:G126"/>
  <sheetViews>
    <sheetView workbookViewId="0">
      <pane xSplit="1" ySplit="2" topLeftCell="B87" activePane="bottomRight" state="frozen"/>
      <selection pane="topRight" activeCell="B1" sqref="B1"/>
      <selection pane="bottomLeft" activeCell="A3" sqref="A3"/>
      <selection pane="bottomRight" activeCell="B111" sqref="B111"/>
    </sheetView>
  </sheetViews>
  <sheetFormatPr defaultRowHeight="14.5" x14ac:dyDescent="0.35"/>
  <cols>
    <col min="1" max="1" width="10.7265625" bestFit="1" customWidth="1"/>
    <col min="8" max="8" width="2.7265625" customWidth="1"/>
  </cols>
  <sheetData>
    <row r="1" spans="1:7" x14ac:dyDescent="0.35">
      <c r="A1" s="10" t="s">
        <v>300</v>
      </c>
    </row>
    <row r="2" spans="1:7" x14ac:dyDescent="0.35">
      <c r="B2" t="s">
        <v>307</v>
      </c>
      <c r="C2" t="s">
        <v>301</v>
      </c>
      <c r="D2" t="s">
        <v>303</v>
      </c>
      <c r="E2" s="12" t="s">
        <v>426</v>
      </c>
      <c r="F2" t="s">
        <v>427</v>
      </c>
      <c r="G2" t="s">
        <v>302</v>
      </c>
    </row>
    <row r="3" spans="1:7" x14ac:dyDescent="0.35">
      <c r="A3" s="11">
        <v>42005</v>
      </c>
      <c r="B3" s="12">
        <f>100*((HAVERM!E67/HAVERM!E55)-1)</f>
        <v>1.8561484918793614</v>
      </c>
      <c r="C3" s="12" t="e">
        <f>100*((HAVERM!C67/HAVERM!C55)-1)</f>
        <v>#N/A</v>
      </c>
      <c r="D3" t="e">
        <f>NA()</f>
        <v>#N/A</v>
      </c>
      <c r="E3" s="12" t="e">
        <f>NA()</f>
        <v>#N/A</v>
      </c>
      <c r="G3">
        <v>0</v>
      </c>
    </row>
    <row r="4" spans="1:7" x14ac:dyDescent="0.35">
      <c r="A4" s="11">
        <v>42036</v>
      </c>
      <c r="B4" s="12">
        <f>100*((HAVERM!E68/HAVERM!E56)-1)</f>
        <v>2.8037383177569986</v>
      </c>
      <c r="C4" s="12" t="e">
        <f>100*((HAVERM!C68/HAVERM!C56)-1)</f>
        <v>#N/A</v>
      </c>
      <c r="D4" t="e">
        <f>NA()</f>
        <v>#N/A</v>
      </c>
      <c r="E4" s="12" t="e">
        <f>NA()</f>
        <v>#N/A</v>
      </c>
      <c r="G4">
        <v>0</v>
      </c>
    </row>
    <row r="5" spans="1:7" x14ac:dyDescent="0.35">
      <c r="A5" s="11">
        <v>42064</v>
      </c>
      <c r="B5" s="12">
        <f>100*((HAVERM!E69/HAVERM!E57)-1)</f>
        <v>3.5046728971962704</v>
      </c>
      <c r="C5" s="12" t="e">
        <f>100*((HAVERM!C69/HAVERM!C57)-1)</f>
        <v>#N/A</v>
      </c>
      <c r="D5" t="e">
        <f>NA()</f>
        <v>#N/A</v>
      </c>
      <c r="E5" s="12" t="e">
        <f>NA()</f>
        <v>#N/A</v>
      </c>
      <c r="G5">
        <v>0</v>
      </c>
    </row>
    <row r="6" spans="1:7" x14ac:dyDescent="0.35">
      <c r="A6" s="11">
        <v>42095</v>
      </c>
      <c r="B6" s="12">
        <f>100*((HAVERM!E70/HAVERM!E58)-1)</f>
        <v>3.0303030303030276</v>
      </c>
      <c r="C6" s="12" t="e">
        <f>100*((HAVERM!C70/HAVERM!C58)-1)</f>
        <v>#N/A</v>
      </c>
      <c r="D6" t="e">
        <f>NA()</f>
        <v>#N/A</v>
      </c>
      <c r="E6" s="12" t="e">
        <f>NA()</f>
        <v>#N/A</v>
      </c>
      <c r="G6">
        <v>0</v>
      </c>
    </row>
    <row r="7" spans="1:7" x14ac:dyDescent="0.35">
      <c r="A7" s="11">
        <v>42125</v>
      </c>
      <c r="B7" s="12">
        <f>100*((HAVERM!E71/HAVERM!E59)-1)</f>
        <v>3.0232558139534849</v>
      </c>
      <c r="C7" s="12" t="e">
        <f>100*((HAVERM!C71/HAVERM!C59)-1)</f>
        <v>#N/A</v>
      </c>
      <c r="D7" t="e">
        <f>NA()</f>
        <v>#N/A</v>
      </c>
      <c r="E7" s="12" t="e">
        <f>NA()</f>
        <v>#N/A</v>
      </c>
      <c r="G7">
        <v>0</v>
      </c>
    </row>
    <row r="8" spans="1:7" x14ac:dyDescent="0.35">
      <c r="A8" s="11">
        <v>42156</v>
      </c>
      <c r="B8" s="12">
        <f>100*((HAVERM!E72/HAVERM!E60)-1)</f>
        <v>3.2558139534883734</v>
      </c>
      <c r="C8" s="12" t="e">
        <f>100*((HAVERM!C72/HAVERM!C60)-1)</f>
        <v>#N/A</v>
      </c>
      <c r="D8" t="e">
        <f>NA()</f>
        <v>#N/A</v>
      </c>
      <c r="E8" s="12" t="e">
        <f>NA()</f>
        <v>#N/A</v>
      </c>
      <c r="G8">
        <v>0</v>
      </c>
    </row>
    <row r="9" spans="1:7" x14ac:dyDescent="0.35">
      <c r="A9" s="11">
        <v>42186</v>
      </c>
      <c r="B9" s="12">
        <f>100*((HAVERM!E73/HAVERM!E61)-1)</f>
        <v>3.488372093023262</v>
      </c>
      <c r="C9" s="12">
        <f>100*((HAVERM!C73/HAVERM!C61)-1)</f>
        <v>1.3767209011264159</v>
      </c>
      <c r="D9" s="12">
        <f>100*'27. Median of pay growth (UK)'!B8</f>
        <v>2.4891032480922499</v>
      </c>
      <c r="E9" s="12" t="e">
        <f>NA()</f>
        <v>#N/A</v>
      </c>
      <c r="F9" s="12"/>
      <c r="G9">
        <v>0</v>
      </c>
    </row>
    <row r="10" spans="1:7" x14ac:dyDescent="0.35">
      <c r="A10" s="11">
        <v>42217</v>
      </c>
      <c r="B10" s="12">
        <f>100*((HAVERM!E74/HAVERM!E62)-1)</f>
        <v>3.009259259259256</v>
      </c>
      <c r="C10" s="12">
        <f>100*((HAVERM!C74/HAVERM!C62)-1)</f>
        <v>0.93632958801497246</v>
      </c>
      <c r="D10" s="12">
        <f>100*'27. Median of pay growth (UK)'!B9</f>
        <v>2.3465306741570799</v>
      </c>
      <c r="E10" s="12" t="e">
        <f>NA()</f>
        <v>#N/A</v>
      </c>
      <c r="F10" s="12"/>
      <c r="G10">
        <v>0</v>
      </c>
    </row>
    <row r="11" spans="1:7" x14ac:dyDescent="0.35">
      <c r="A11" s="11">
        <v>42248</v>
      </c>
      <c r="B11" s="12">
        <f>100*((HAVERM!E75/HAVERM!E63)-1)</f>
        <v>2.0689655172413834</v>
      </c>
      <c r="C11" s="12">
        <f>100*((HAVERM!C75/HAVERM!C63)-1)</f>
        <v>1.1242973141786461</v>
      </c>
      <c r="D11" s="12">
        <f>100*'27. Median of pay growth (UK)'!B10</f>
        <v>2.37422667600128</v>
      </c>
      <c r="E11" s="12" t="e">
        <f>NA()</f>
        <v>#N/A</v>
      </c>
      <c r="F11" s="12"/>
      <c r="G11">
        <v>0</v>
      </c>
    </row>
    <row r="12" spans="1:7" x14ac:dyDescent="0.35">
      <c r="A12" s="11">
        <v>42278</v>
      </c>
      <c r="B12" s="12">
        <f>100*((HAVERM!E76/HAVERM!E64)-1)</f>
        <v>1.8306636155606348</v>
      </c>
      <c r="C12" s="12">
        <f>100*((HAVERM!C76/HAVERM!C64)-1)</f>
        <v>1.3084112149532645</v>
      </c>
      <c r="D12" s="12">
        <f>100*'27. Median of pay growth (UK)'!B11</f>
        <v>2.5145708725004301</v>
      </c>
      <c r="E12" s="12" t="e">
        <f>NA()</f>
        <v>#N/A</v>
      </c>
      <c r="F12" s="12"/>
      <c r="G12">
        <v>0</v>
      </c>
    </row>
    <row r="13" spans="1:7" x14ac:dyDescent="0.35">
      <c r="A13" s="11">
        <v>42309</v>
      </c>
      <c r="B13" s="12">
        <f>100*((HAVERM!E77/HAVERM!E65)-1)</f>
        <v>2.5287356321838983</v>
      </c>
      <c r="C13" s="12">
        <f>100*((HAVERM!C77/HAVERM!C65)-1)</f>
        <v>1.3690105787180995</v>
      </c>
      <c r="D13" s="12">
        <f>100*'27. Median of pay growth (UK)'!B12</f>
        <v>2.5684417629471099</v>
      </c>
      <c r="E13" s="12" t="e">
        <f>NA()</f>
        <v>#N/A</v>
      </c>
      <c r="F13" s="12"/>
      <c r="G13">
        <v>0</v>
      </c>
    </row>
    <row r="14" spans="1:7" x14ac:dyDescent="0.35">
      <c r="A14" s="11">
        <v>42339</v>
      </c>
      <c r="B14" s="12">
        <f>100*((HAVERM!E78/HAVERM!E66)-1)</f>
        <v>2.2883295194507935</v>
      </c>
      <c r="C14" s="12">
        <f>100*((HAVERM!C78/HAVERM!C66)-1)</f>
        <v>0.92821782178218459</v>
      </c>
      <c r="D14" s="12">
        <f>100*'27. Median of pay growth (UK)'!B13</f>
        <v>2.2359977694726401</v>
      </c>
      <c r="E14" s="12" t="e">
        <f>NA()</f>
        <v>#N/A</v>
      </c>
      <c r="F14" s="12"/>
      <c r="G14">
        <v>0</v>
      </c>
    </row>
    <row r="15" spans="1:7" x14ac:dyDescent="0.35">
      <c r="A15" s="11">
        <v>42370</v>
      </c>
      <c r="B15" s="12">
        <f>100*((HAVERM!E79/HAVERM!E67)-1)</f>
        <v>2.5056947608200542</v>
      </c>
      <c r="C15" s="12">
        <f>100*((HAVERM!C79/HAVERM!C67)-1)</f>
        <v>1.1111111111111072</v>
      </c>
      <c r="D15" s="12">
        <f>100*'27. Median of pay growth (UK)'!B14</f>
        <v>2.38162983061178</v>
      </c>
      <c r="E15" s="12" t="e">
        <f>NA()</f>
        <v>#N/A</v>
      </c>
      <c r="F15" s="12"/>
      <c r="G15">
        <v>0</v>
      </c>
    </row>
    <row r="16" spans="1:7" x14ac:dyDescent="0.35">
      <c r="A16" s="11">
        <v>42401</v>
      </c>
      <c r="B16" s="12">
        <f>100*((HAVERM!E80/HAVERM!E68)-1)</f>
        <v>2.7272727272727337</v>
      </c>
      <c r="C16" s="12">
        <f>100*((HAVERM!C80/HAVERM!C68)-1)</f>
        <v>1.2345679012345734</v>
      </c>
      <c r="D16" s="12">
        <f>100*'27. Median of pay growth (UK)'!B15</f>
        <v>2.4246790175477697</v>
      </c>
      <c r="E16" s="12" t="e">
        <f>NA()</f>
        <v>#N/A</v>
      </c>
      <c r="F16" s="12"/>
      <c r="G16">
        <v>0</v>
      </c>
    </row>
    <row r="17" spans="1:7" x14ac:dyDescent="0.35">
      <c r="A17" s="11">
        <v>42430</v>
      </c>
      <c r="B17" s="12">
        <f>100*((HAVERM!E81/HAVERM!E69)-1)</f>
        <v>2.257336343115135</v>
      </c>
      <c r="C17" s="12">
        <f>100*((HAVERM!C81/HAVERM!C69)-1)</f>
        <v>1.6687268232385755</v>
      </c>
      <c r="D17" s="12">
        <f>100*'27. Median of pay growth (UK)'!B16</f>
        <v>2.4861846079613499</v>
      </c>
      <c r="E17" s="12" t="e">
        <f>NA()</f>
        <v>#N/A</v>
      </c>
      <c r="F17" s="12"/>
      <c r="G17">
        <v>0</v>
      </c>
    </row>
    <row r="18" spans="1:7" x14ac:dyDescent="0.35">
      <c r="A18" s="11">
        <v>42461</v>
      </c>
      <c r="B18" s="12">
        <f>100*((HAVERM!E82/HAVERM!E70)-1)</f>
        <v>2.7149321266968229</v>
      </c>
      <c r="C18" s="12">
        <f>100*((HAVERM!C82/HAVERM!C70)-1)</f>
        <v>2.3558586484810906</v>
      </c>
      <c r="D18" s="12">
        <f>100*'27. Median of pay growth (UK)'!B17</f>
        <v>2.5579235990707097</v>
      </c>
      <c r="E18" s="12" t="e">
        <f>NA()</f>
        <v>#N/A</v>
      </c>
      <c r="F18" s="12"/>
      <c r="G18">
        <v>0</v>
      </c>
    </row>
    <row r="19" spans="1:7" x14ac:dyDescent="0.35">
      <c r="A19" s="11">
        <v>42491</v>
      </c>
      <c r="B19" s="12">
        <f>100*((HAVERM!E83/HAVERM!E71)-1)</f>
        <v>2.257336343115135</v>
      </c>
      <c r="C19" s="12">
        <f>100*((HAVERM!C83/HAVERM!C71)-1)</f>
        <v>2.2277227722772297</v>
      </c>
      <c r="D19" s="12">
        <f>100*'27. Median of pay growth (UK)'!B18</f>
        <v>2.4988916798292902</v>
      </c>
      <c r="E19" s="12" t="e">
        <f>NA()</f>
        <v>#N/A</v>
      </c>
      <c r="F19" s="12"/>
      <c r="G19">
        <v>0</v>
      </c>
    </row>
    <row r="20" spans="1:7" x14ac:dyDescent="0.35">
      <c r="A20" s="11">
        <v>42522</v>
      </c>
      <c r="B20" s="12">
        <f>100*((HAVERM!E84/HAVERM!E72)-1)</f>
        <v>2.4774774774774855</v>
      </c>
      <c r="C20" s="12">
        <f>100*((HAVERM!C84/HAVERM!C72)-1)</f>
        <v>2.2881880024737233</v>
      </c>
      <c r="D20" s="12">
        <f>100*'27. Median of pay growth (UK)'!B19</f>
        <v>2.82024494610071</v>
      </c>
      <c r="E20" s="12" t="e">
        <f>NA()</f>
        <v>#N/A</v>
      </c>
      <c r="F20" s="12"/>
      <c r="G20">
        <v>0</v>
      </c>
    </row>
    <row r="21" spans="1:7" x14ac:dyDescent="0.35">
      <c r="A21" s="11">
        <v>42552</v>
      </c>
      <c r="B21" s="12">
        <f>100*((HAVERM!E85/HAVERM!E73)-1)</f>
        <v>2.2471910112359605</v>
      </c>
      <c r="C21" s="12">
        <f>100*((HAVERM!C85/HAVERM!C73)-1)</f>
        <v>2.4074074074074137</v>
      </c>
      <c r="D21" s="12">
        <f>100*'27. Median of pay growth (UK)'!B20</f>
        <v>2.7750182732202302</v>
      </c>
      <c r="E21" s="12" t="e">
        <f>NA()</f>
        <v>#N/A</v>
      </c>
      <c r="F21" s="12"/>
      <c r="G21">
        <v>0</v>
      </c>
    </row>
    <row r="22" spans="1:7" x14ac:dyDescent="0.35">
      <c r="A22" s="11">
        <v>42583</v>
      </c>
      <c r="B22" s="12">
        <f>100*((HAVERM!E86/HAVERM!E74)-1)</f>
        <v>2.4719101123595433</v>
      </c>
      <c r="C22" s="12">
        <f>100*((HAVERM!C86/HAVERM!C74)-1)</f>
        <v>2.6592455163883644</v>
      </c>
      <c r="D22" s="12">
        <f>100*'27. Median of pay growth (UK)'!B21</f>
        <v>2.7799016914807599</v>
      </c>
      <c r="E22" s="12" t="e">
        <f>NA()</f>
        <v>#N/A</v>
      </c>
      <c r="F22" s="12"/>
      <c r="G22">
        <v>0</v>
      </c>
    </row>
    <row r="23" spans="1:7" x14ac:dyDescent="0.35">
      <c r="A23" s="11">
        <v>42614</v>
      </c>
      <c r="B23" s="12">
        <f>100*((HAVERM!E87/HAVERM!E75)-1)</f>
        <v>2.9279279279279313</v>
      </c>
      <c r="C23" s="12">
        <f>100*((HAVERM!C87/HAVERM!C75)-1)</f>
        <v>2.7794935145151412</v>
      </c>
      <c r="D23" s="12">
        <f>100*'27. Median of pay growth (UK)'!B22</f>
        <v>2.7927027146272398</v>
      </c>
      <c r="E23" s="12" t="e">
        <f>NA()</f>
        <v>#N/A</v>
      </c>
      <c r="F23" s="12"/>
      <c r="G23">
        <v>0</v>
      </c>
    </row>
    <row r="24" spans="1:7" x14ac:dyDescent="0.35">
      <c r="A24" s="11">
        <v>42644</v>
      </c>
      <c r="B24" s="12">
        <f>100*((HAVERM!E88/HAVERM!E76)-1)</f>
        <v>2.6966292134831482</v>
      </c>
      <c r="C24" s="12">
        <f>100*((HAVERM!C88/HAVERM!C76)-1)</f>
        <v>2.2755227552275548</v>
      </c>
      <c r="D24" s="12">
        <f>100*'27. Median of pay growth (UK)'!B23</f>
        <v>2.73772328820638</v>
      </c>
      <c r="E24" s="12" t="e">
        <f>NA()</f>
        <v>#N/A</v>
      </c>
      <c r="F24" s="12"/>
      <c r="G24">
        <v>0</v>
      </c>
    </row>
    <row r="25" spans="1:7" x14ac:dyDescent="0.35">
      <c r="A25" s="11">
        <v>42675</v>
      </c>
      <c r="B25" s="12">
        <f>100*((HAVERM!E89/HAVERM!E77)-1)</f>
        <v>2.9147982062780242</v>
      </c>
      <c r="C25" s="12">
        <f>100*((HAVERM!C89/HAVERM!C77)-1)</f>
        <v>2.2713321055862545</v>
      </c>
      <c r="D25" s="12">
        <f>100*'27. Median of pay growth (UK)'!B24</f>
        <v>2.60726744094486</v>
      </c>
      <c r="E25" s="12" t="e">
        <f>NA()</f>
        <v>#N/A</v>
      </c>
      <c r="F25" s="12"/>
      <c r="G25">
        <v>0</v>
      </c>
    </row>
    <row r="26" spans="1:7" x14ac:dyDescent="0.35">
      <c r="A26" s="11">
        <v>42705</v>
      </c>
      <c r="B26" s="12">
        <f>100*((HAVERM!E90/HAVERM!E78)-1)</f>
        <v>2.6845637583892579</v>
      </c>
      <c r="C26" s="12">
        <f>100*((HAVERM!C90/HAVERM!C78)-1)</f>
        <v>2.2072348252605734</v>
      </c>
      <c r="D26" s="12">
        <f>100*'27. Median of pay growth (UK)'!B25</f>
        <v>2.66827089203918</v>
      </c>
      <c r="E26" s="12" t="e">
        <f>NA()</f>
        <v>#N/A</v>
      </c>
      <c r="F26" s="12"/>
      <c r="G26">
        <v>0</v>
      </c>
    </row>
    <row r="27" spans="1:7" x14ac:dyDescent="0.35">
      <c r="A27" s="11">
        <v>42736</v>
      </c>
      <c r="B27" s="12">
        <f>100*((HAVERM!E91/HAVERM!E79)-1)</f>
        <v>2.2222222222222143</v>
      </c>
      <c r="C27" s="12">
        <f>100*((HAVERM!C91/HAVERM!C79)-1)</f>
        <v>1.831501831501825</v>
      </c>
      <c r="D27" s="12">
        <f>100*'27. Median of pay growth (UK)'!B26</f>
        <v>2.5516560441382801</v>
      </c>
      <c r="E27" s="12" t="e">
        <f>NA()</f>
        <v>#N/A</v>
      </c>
      <c r="F27" s="12"/>
      <c r="G27">
        <v>0</v>
      </c>
    </row>
    <row r="28" spans="1:7" x14ac:dyDescent="0.35">
      <c r="A28" s="11">
        <v>42767</v>
      </c>
      <c r="B28" s="12">
        <f>100*((HAVERM!E92/HAVERM!E80)-1)</f>
        <v>1.9911504424778848</v>
      </c>
      <c r="C28" s="12">
        <f>100*((HAVERM!C92/HAVERM!C80)-1)</f>
        <v>2.2560975609756007</v>
      </c>
      <c r="D28" s="12">
        <f>100*'27. Median of pay growth (UK)'!B27</f>
        <v>2.5724347868176398</v>
      </c>
      <c r="E28" s="12" t="e">
        <f>NA()</f>
        <v>#N/A</v>
      </c>
      <c r="F28" s="12"/>
      <c r="G28">
        <v>0</v>
      </c>
    </row>
    <row r="29" spans="1:7" x14ac:dyDescent="0.35">
      <c r="A29" s="11">
        <v>42795</v>
      </c>
      <c r="B29" s="12">
        <f>100*((HAVERM!E93/HAVERM!E81)-1)</f>
        <v>1.9867549668874274</v>
      </c>
      <c r="C29" s="12">
        <f>100*((HAVERM!C93/HAVERM!C81)-1)</f>
        <v>2.4924012158054731</v>
      </c>
      <c r="D29" s="12">
        <f>100*'27. Median of pay growth (UK)'!B28</f>
        <v>2.4539643507403799</v>
      </c>
      <c r="E29" s="12" t="e">
        <f>NA()</f>
        <v>#N/A</v>
      </c>
      <c r="F29" s="12"/>
      <c r="G29">
        <v>0</v>
      </c>
    </row>
    <row r="30" spans="1:7" x14ac:dyDescent="0.35">
      <c r="A30" s="11">
        <v>42826</v>
      </c>
      <c r="B30" s="12">
        <f>100*((HAVERM!E94/HAVERM!E82)-1)</f>
        <v>2.2026431718061623</v>
      </c>
      <c r="C30" s="12">
        <f>100*((HAVERM!C94/HAVERM!C82)-1)</f>
        <v>2.241066020593574</v>
      </c>
      <c r="D30" s="12">
        <f>100*'27. Median of pay growth (UK)'!B29</f>
        <v>2.5342635135047202</v>
      </c>
      <c r="E30" s="12" t="e">
        <f>NA()</f>
        <v>#N/A</v>
      </c>
      <c r="F30" s="12"/>
      <c r="G30">
        <v>0</v>
      </c>
    </row>
    <row r="31" spans="1:7" x14ac:dyDescent="0.35">
      <c r="A31" s="11">
        <v>42856</v>
      </c>
      <c r="B31" s="12">
        <f>100*((HAVERM!E95/HAVERM!E83)-1)</f>
        <v>2.4282560706401668</v>
      </c>
      <c r="C31" s="12">
        <f>100*((HAVERM!C95/HAVERM!C83)-1)</f>
        <v>2.300242130750596</v>
      </c>
      <c r="D31" s="12">
        <f>100*'27. Median of pay growth (UK)'!B30</f>
        <v>2.6577526197518999</v>
      </c>
      <c r="E31" s="12" t="e">
        <f>NA()</f>
        <v>#N/A</v>
      </c>
      <c r="F31" s="12"/>
      <c r="G31">
        <v>0</v>
      </c>
    </row>
    <row r="32" spans="1:7" x14ac:dyDescent="0.35">
      <c r="A32" s="11">
        <v>42887</v>
      </c>
      <c r="B32" s="12">
        <f>100*((HAVERM!E96/HAVERM!E84)-1)</f>
        <v>2.19780219780219</v>
      </c>
      <c r="C32" s="12">
        <f>100*((HAVERM!C96/HAVERM!C84)-1)</f>
        <v>2.4788391777509133</v>
      </c>
      <c r="D32" s="12">
        <f>100*'27. Median of pay growth (UK)'!B31</f>
        <v>2.43917994410047</v>
      </c>
      <c r="E32" s="12" t="e">
        <f>NA()</f>
        <v>#N/A</v>
      </c>
      <c r="F32" s="12"/>
      <c r="G32">
        <v>0</v>
      </c>
    </row>
    <row r="33" spans="1:7" x14ac:dyDescent="0.35">
      <c r="A33" s="11">
        <v>42917</v>
      </c>
      <c r="B33" s="12">
        <f>100*((HAVERM!E97/HAVERM!E85)-1)</f>
        <v>2.19780219780219</v>
      </c>
      <c r="C33" s="12">
        <f>100*((HAVERM!C97/HAVERM!C85)-1)</f>
        <v>2.0494273658830719</v>
      </c>
      <c r="D33" s="12">
        <f>100*'27. Median of pay growth (UK)'!B32</f>
        <v>2.4362170112733601</v>
      </c>
      <c r="E33" s="12" t="e">
        <f>NA()</f>
        <v>#N/A</v>
      </c>
      <c r="F33" s="12"/>
      <c r="G33">
        <v>0</v>
      </c>
    </row>
    <row r="34" spans="1:7" x14ac:dyDescent="0.35">
      <c r="A34" s="11">
        <v>42948</v>
      </c>
      <c r="B34" s="12">
        <f>100*((HAVERM!E98/HAVERM!E86)-1)</f>
        <v>2.4122807017543879</v>
      </c>
      <c r="C34" s="12">
        <f>100*((HAVERM!C98/HAVERM!C86)-1)</f>
        <v>2.4096385542168752</v>
      </c>
      <c r="D34" s="12">
        <f>100*'27. Median of pay growth (UK)'!B33</f>
        <v>2.5738347315789603</v>
      </c>
      <c r="E34" s="12" t="e">
        <f>NA()</f>
        <v>#N/A</v>
      </c>
      <c r="F34" s="12"/>
      <c r="G34">
        <v>0</v>
      </c>
    </row>
    <row r="35" spans="1:7" x14ac:dyDescent="0.35">
      <c r="A35" s="11">
        <v>42979</v>
      </c>
      <c r="B35" s="12">
        <f>100*((HAVERM!E99/HAVERM!E87)-1)</f>
        <v>2.4070021881838155</v>
      </c>
      <c r="C35" s="12">
        <f>100*((HAVERM!C99/HAVERM!C87)-1)</f>
        <v>2.4038461538461453</v>
      </c>
      <c r="D35" s="12">
        <f>100*'27. Median of pay growth (UK)'!B34</f>
        <v>2.56912529190316</v>
      </c>
      <c r="E35" s="12" t="e">
        <f>NA()</f>
        <v>#N/A</v>
      </c>
      <c r="F35" s="12"/>
      <c r="G35">
        <v>0</v>
      </c>
    </row>
    <row r="36" spans="1:7" x14ac:dyDescent="0.35">
      <c r="A36" s="11">
        <v>43009</v>
      </c>
      <c r="B36" s="12">
        <f>100*((HAVERM!E100/HAVERM!E88)-1)</f>
        <v>2.6258205689277947</v>
      </c>
      <c r="C36" s="12">
        <f>100*((HAVERM!C100/HAVERM!C88)-1)</f>
        <v>2.5856885147324205</v>
      </c>
      <c r="D36" s="12">
        <f>100*'27. Median of pay growth (UK)'!B35</f>
        <v>2.5415158976441097</v>
      </c>
      <c r="E36" s="12" t="e">
        <f>NA()</f>
        <v>#N/A</v>
      </c>
      <c r="F36" s="12"/>
      <c r="G36">
        <v>0</v>
      </c>
    </row>
    <row r="37" spans="1:7" x14ac:dyDescent="0.35">
      <c r="A37" s="11">
        <v>43040</v>
      </c>
      <c r="B37" s="12">
        <f>100*((HAVERM!E101/HAVERM!E89)-1)</f>
        <v>2.3965141612200425</v>
      </c>
      <c r="C37" s="12">
        <f>100*((HAVERM!C101/HAVERM!C89)-1)</f>
        <v>2.8211284513805612</v>
      </c>
      <c r="D37" s="12">
        <f>100*'27. Median of pay growth (UK)'!B36</f>
        <v>2.6646185549053203</v>
      </c>
      <c r="E37" s="12" t="e">
        <f>NA()</f>
        <v>#N/A</v>
      </c>
      <c r="F37" s="12"/>
      <c r="G37">
        <v>0</v>
      </c>
    </row>
    <row r="38" spans="1:7" x14ac:dyDescent="0.35">
      <c r="A38" s="11">
        <v>43070</v>
      </c>
      <c r="B38" s="12">
        <f>100*((HAVERM!E102/HAVERM!E90)-1)</f>
        <v>2.8322440087146017</v>
      </c>
      <c r="C38" s="12">
        <f>100*((HAVERM!C102/HAVERM!C90)-1)</f>
        <v>3.2393521295740912</v>
      </c>
      <c r="D38" s="12">
        <f>100*'27. Median of pay growth (UK)'!B37</f>
        <v>2.7906287130201299</v>
      </c>
      <c r="E38" s="12" t="e">
        <f>NA()</f>
        <v>#N/A</v>
      </c>
      <c r="F38" s="12"/>
      <c r="G38">
        <v>0</v>
      </c>
    </row>
    <row r="39" spans="1:7" x14ac:dyDescent="0.35">
      <c r="A39" s="11">
        <v>43101</v>
      </c>
      <c r="B39" s="12">
        <f>100*((HAVERM!E103/HAVERM!E91)-1)</f>
        <v>2.8260869565217339</v>
      </c>
      <c r="C39" s="12">
        <f>100*((HAVERM!C103/HAVERM!C91)-1)</f>
        <v>3.4172661870503607</v>
      </c>
      <c r="D39" s="12">
        <f>100*'27. Median of pay growth (UK)'!B38</f>
        <v>2.8748645933835699</v>
      </c>
      <c r="E39" s="12" t="e">
        <f>NA()</f>
        <v>#N/A</v>
      </c>
      <c r="F39" s="12"/>
      <c r="G39">
        <v>0</v>
      </c>
    </row>
    <row r="40" spans="1:7" x14ac:dyDescent="0.35">
      <c r="A40" s="11">
        <v>43132</v>
      </c>
      <c r="B40" s="12">
        <f>100*((HAVERM!E104/HAVERM!E92)-1)</f>
        <v>3.0368763557483636</v>
      </c>
      <c r="C40" s="12">
        <f>100*((HAVERM!C104/HAVERM!C92)-1)</f>
        <v>3.0411449016100267</v>
      </c>
      <c r="D40" s="12">
        <f>100*'27. Median of pay growth (UK)'!B39</f>
        <v>2.9074725662419603</v>
      </c>
      <c r="E40" s="12" t="e">
        <f>NA()</f>
        <v>#N/A</v>
      </c>
      <c r="F40" s="12"/>
      <c r="G40">
        <v>0</v>
      </c>
    </row>
    <row r="41" spans="1:7" x14ac:dyDescent="0.35">
      <c r="A41" s="11">
        <v>43160</v>
      </c>
      <c r="B41" s="12">
        <f>100*((HAVERM!E105/HAVERM!E93)-1)</f>
        <v>3.2467532467532534</v>
      </c>
      <c r="C41" s="12">
        <f>100*((HAVERM!C105/HAVERM!C93)-1)</f>
        <v>2.5504151838671385</v>
      </c>
      <c r="D41" s="12">
        <f>100*'27. Median of pay growth (UK)'!B40</f>
        <v>2.8160133815692099</v>
      </c>
      <c r="E41" s="12" t="e">
        <f>NA()</f>
        <v>#N/A</v>
      </c>
      <c r="F41" s="12"/>
      <c r="G41">
        <v>0</v>
      </c>
    </row>
    <row r="42" spans="1:7" x14ac:dyDescent="0.35">
      <c r="A42" s="11">
        <v>43191</v>
      </c>
      <c r="B42" s="12">
        <f>100*((HAVERM!E106/HAVERM!E94)-1)</f>
        <v>2.5862068965517349</v>
      </c>
      <c r="C42" s="12">
        <f>100*((HAVERM!C106/HAVERM!C94)-1)</f>
        <v>2.4289099526066282</v>
      </c>
      <c r="D42" s="12">
        <f>100*'27. Median of pay growth (UK)'!B41</f>
        <v>2.86903596624505</v>
      </c>
      <c r="E42" s="12" t="e">
        <f>NA()</f>
        <v>#N/A</v>
      </c>
      <c r="F42" s="12"/>
      <c r="G42">
        <v>0</v>
      </c>
    </row>
    <row r="43" spans="1:7" x14ac:dyDescent="0.35">
      <c r="A43" s="11">
        <v>43221</v>
      </c>
      <c r="B43" s="12">
        <f>100*((HAVERM!E107/HAVERM!E95)-1)</f>
        <v>3.0172413793103425</v>
      </c>
      <c r="C43" s="12">
        <f>100*((HAVERM!C107/HAVERM!C95)-1)</f>
        <v>3.4911242603550274</v>
      </c>
      <c r="D43" s="12">
        <f>100*'27. Median of pay growth (UK)'!B42</f>
        <v>3.0650864411738898</v>
      </c>
      <c r="E43" s="12" t="e">
        <f>NA()</f>
        <v>#N/A</v>
      </c>
      <c r="F43" s="12"/>
      <c r="G43">
        <v>0</v>
      </c>
    </row>
    <row r="44" spans="1:7" x14ac:dyDescent="0.35">
      <c r="A44" s="11">
        <v>43252</v>
      </c>
      <c r="B44" s="12">
        <f>100*((HAVERM!E108/HAVERM!E96)-1)</f>
        <v>3.0107526881720359</v>
      </c>
      <c r="C44" s="12">
        <f>100*((HAVERM!C108/HAVERM!C96)-1)</f>
        <v>3.5988200589970543</v>
      </c>
      <c r="D44" s="12">
        <f>100*'27. Median of pay growth (UK)'!B43</f>
        <v>3.1891413919421701</v>
      </c>
      <c r="E44" s="12" t="e">
        <f>NA()</f>
        <v>#N/A</v>
      </c>
      <c r="F44" s="12"/>
      <c r="G44">
        <v>0</v>
      </c>
    </row>
    <row r="45" spans="1:7" x14ac:dyDescent="0.35">
      <c r="A45" s="11">
        <v>43282</v>
      </c>
      <c r="B45" s="12">
        <f>100*((HAVERM!E109/HAVERM!E97)-1)</f>
        <v>3.4408602150537648</v>
      </c>
      <c r="C45" s="12">
        <f>100*((HAVERM!C109/HAVERM!C97)-1)</f>
        <v>3.4258712344949815</v>
      </c>
      <c r="D45" s="12">
        <f>100*'27. Median of pay growth (UK)'!B44</f>
        <v>3.2215888046944801</v>
      </c>
      <c r="E45" s="12" t="e">
        <f>NA()</f>
        <v>#N/A</v>
      </c>
      <c r="F45" s="12"/>
      <c r="G45">
        <v>0</v>
      </c>
    </row>
    <row r="46" spans="1:7" x14ac:dyDescent="0.35">
      <c r="A46" s="11">
        <v>43313</v>
      </c>
      <c r="B46" s="12">
        <f>100*((HAVERM!E110/HAVERM!E98)-1)</f>
        <v>3.426124197002145</v>
      </c>
      <c r="C46" s="12">
        <f>100*((HAVERM!C110/HAVERM!C98)-1)</f>
        <v>4.2352941176470482</v>
      </c>
      <c r="D46" s="12">
        <f>100*'27. Median of pay growth (UK)'!B45</f>
        <v>3.4541624326873701</v>
      </c>
      <c r="E46" s="12" t="e">
        <f>NA()</f>
        <v>#N/A</v>
      </c>
      <c r="F46" s="12"/>
      <c r="G46">
        <v>0</v>
      </c>
    </row>
    <row r="47" spans="1:7" x14ac:dyDescent="0.35">
      <c r="A47" s="11">
        <v>43344</v>
      </c>
      <c r="B47" s="12">
        <f>100*((HAVERM!E111/HAVERM!E99)-1)</f>
        <v>3.2051282051282159</v>
      </c>
      <c r="C47" s="12">
        <f>100*((HAVERM!C111/HAVERM!C99)-1)</f>
        <v>3.3450704225352013</v>
      </c>
      <c r="D47" s="12">
        <f>100*'27. Median of pay growth (UK)'!B46</f>
        <v>3.2357924363304904</v>
      </c>
      <c r="E47" s="12" t="e">
        <f>NA()</f>
        <v>#N/A</v>
      </c>
      <c r="F47" s="12"/>
      <c r="G47">
        <v>0</v>
      </c>
    </row>
    <row r="48" spans="1:7" x14ac:dyDescent="0.35">
      <c r="A48" s="11">
        <v>43374</v>
      </c>
      <c r="B48" s="12">
        <f>100*((HAVERM!E112/HAVERM!E100)-1)</f>
        <v>3.6247334754797356</v>
      </c>
      <c r="C48" s="12">
        <f>100*((HAVERM!C112/HAVERM!C100)-1)</f>
        <v>3.5756154747948354</v>
      </c>
      <c r="D48" s="12">
        <f>100*'27. Median of pay growth (UK)'!B47</f>
        <v>3.2832302955658603</v>
      </c>
      <c r="E48" s="12" t="e">
        <f>NA()</f>
        <v>#N/A</v>
      </c>
      <c r="F48" s="12"/>
      <c r="G48">
        <v>0</v>
      </c>
    </row>
    <row r="49" spans="1:7" x14ac:dyDescent="0.35">
      <c r="A49" s="11">
        <v>43405</v>
      </c>
      <c r="B49" s="12">
        <f>100*((HAVERM!E113/HAVERM!E101)-1)</f>
        <v>3.6170212765957555</v>
      </c>
      <c r="C49" s="12">
        <f>100*((HAVERM!C113/HAVERM!C101)-1)</f>
        <v>3.7945125510799871</v>
      </c>
      <c r="D49" s="12">
        <f>100*'27. Median of pay growth (UK)'!B48</f>
        <v>3.3371215905345397</v>
      </c>
      <c r="E49" s="12" t="e">
        <f>NA()</f>
        <v>#N/A</v>
      </c>
      <c r="F49" s="12"/>
      <c r="G49">
        <v>0</v>
      </c>
    </row>
    <row r="50" spans="1:7" x14ac:dyDescent="0.35">
      <c r="A50" s="11">
        <v>43435</v>
      </c>
      <c r="B50" s="12">
        <f>100*((HAVERM!E114/HAVERM!E102)-1)</f>
        <v>3.3898305084745672</v>
      </c>
      <c r="C50" s="12">
        <f>100*((HAVERM!C114/HAVERM!C102)-1)</f>
        <v>2.9633933759442233</v>
      </c>
      <c r="D50" s="12">
        <f>100*'27. Median of pay growth (UK)'!B49</f>
        <v>3.27624226199117</v>
      </c>
      <c r="E50" s="12" t="e">
        <f>NA()</f>
        <v>#N/A</v>
      </c>
      <c r="F50" s="12"/>
      <c r="G50">
        <v>0</v>
      </c>
    </row>
    <row r="51" spans="1:7" x14ac:dyDescent="0.35">
      <c r="A51" s="11">
        <v>43466</v>
      </c>
      <c r="B51" s="12">
        <f>100*((HAVERM!E115/HAVERM!E103)-1)</f>
        <v>3.8054968287526414</v>
      </c>
      <c r="C51" s="12">
        <f>100*((HAVERM!C115/HAVERM!C103)-1)</f>
        <v>3.4202898550724559</v>
      </c>
      <c r="D51" s="12">
        <f>100*'27. Median of pay growth (UK)'!B50</f>
        <v>3.2589020195057503</v>
      </c>
      <c r="E51" s="12" t="e">
        <f>NA()</f>
        <v>#N/A</v>
      </c>
      <c r="F51" s="12"/>
      <c r="G51">
        <v>0</v>
      </c>
    </row>
    <row r="52" spans="1:7" x14ac:dyDescent="0.35">
      <c r="A52" s="11">
        <v>43497</v>
      </c>
      <c r="B52" s="12">
        <f>100*((HAVERM!E116/HAVERM!E104)-1)</f>
        <v>3.3684210526315761</v>
      </c>
      <c r="C52" s="12">
        <f>100*((HAVERM!C116/HAVERM!C104)-1)</f>
        <v>3.6458333333333259</v>
      </c>
      <c r="D52" s="12">
        <f>100*'27. Median of pay growth (UK)'!B51</f>
        <v>3.2956302789544298</v>
      </c>
      <c r="E52" s="12" t="e">
        <f>NA()</f>
        <v>#N/A</v>
      </c>
      <c r="F52" s="12"/>
      <c r="G52">
        <v>0</v>
      </c>
    </row>
    <row r="53" spans="1:7" x14ac:dyDescent="0.35">
      <c r="A53" s="11">
        <v>43525</v>
      </c>
      <c r="B53" s="12">
        <f>100*((HAVERM!E117/HAVERM!E105)-1)</f>
        <v>3.3542976939203273</v>
      </c>
      <c r="C53" s="12">
        <f>100*((HAVERM!C117/HAVERM!C105)-1)</f>
        <v>4.0485829959514108</v>
      </c>
      <c r="D53" s="12">
        <f>100*'27. Median of pay growth (UK)'!B52</f>
        <v>3.5604166073059398</v>
      </c>
      <c r="E53" s="12" t="e">
        <f>NA()</f>
        <v>#N/A</v>
      </c>
      <c r="F53" s="12">
        <f>Indeed!F4</f>
        <v>4.3899999999999997</v>
      </c>
      <c r="G53">
        <v>0</v>
      </c>
    </row>
    <row r="54" spans="1:7" x14ac:dyDescent="0.35">
      <c r="A54" s="11">
        <v>43556</v>
      </c>
      <c r="B54" s="12">
        <f>100*((HAVERM!E118/HAVERM!E106)-1)</f>
        <v>3.7815126050420256</v>
      </c>
      <c r="C54" s="12">
        <f>100*((HAVERM!C118/HAVERM!C106)-1)</f>
        <v>4.5691150954308757</v>
      </c>
      <c r="D54" s="12">
        <f>100*'27. Median of pay growth (UK)'!B53</f>
        <v>3.9437212889123101</v>
      </c>
      <c r="E54" s="12" t="e">
        <f>NA()</f>
        <v>#N/A</v>
      </c>
      <c r="F54" s="12">
        <f>Indeed!F5</f>
        <v>4.2699999999999996</v>
      </c>
      <c r="G54">
        <v>0</v>
      </c>
    </row>
    <row r="55" spans="1:7" x14ac:dyDescent="0.35">
      <c r="A55" s="11">
        <v>43586</v>
      </c>
      <c r="B55" s="12">
        <f>100*((HAVERM!E119/HAVERM!E107)-1)</f>
        <v>3.7656903765690419</v>
      </c>
      <c r="C55" s="12">
        <f>100*((HAVERM!C119/HAVERM!C107)-1)</f>
        <v>3.7735849056603765</v>
      </c>
      <c r="D55" s="12">
        <f>100*'27. Median of pay growth (UK)'!B54</f>
        <v>3.4304788252207596</v>
      </c>
      <c r="E55" s="12" t="e">
        <f>NA()</f>
        <v>#N/A</v>
      </c>
      <c r="F55" s="12">
        <f>Indeed!F6</f>
        <v>4.04</v>
      </c>
      <c r="G55">
        <v>0</v>
      </c>
    </row>
    <row r="56" spans="1:7" x14ac:dyDescent="0.35">
      <c r="A56" s="11">
        <v>43617</v>
      </c>
      <c r="B56" s="12">
        <f>100*((HAVERM!E120/HAVERM!E108)-1)</f>
        <v>4.175365344467652</v>
      </c>
      <c r="C56" s="12">
        <f>100*((HAVERM!C120/HAVERM!C108)-1)</f>
        <v>3.1890660592255093</v>
      </c>
      <c r="D56" s="12">
        <f>100*'27. Median of pay growth (UK)'!B55</f>
        <v>3.3022697984803902</v>
      </c>
      <c r="E56" s="12" t="e">
        <f>NA()</f>
        <v>#N/A</v>
      </c>
      <c r="F56" s="12">
        <f>Indeed!F7</f>
        <v>3.72</v>
      </c>
      <c r="G56">
        <v>0</v>
      </c>
    </row>
    <row r="57" spans="1:7" x14ac:dyDescent="0.35">
      <c r="A57" s="11">
        <v>43647</v>
      </c>
      <c r="B57" s="12">
        <f>100*((HAVERM!E121/HAVERM!E109)-1)</f>
        <v>3.7422037422037313</v>
      </c>
      <c r="C57" s="12">
        <f>100*((HAVERM!C121/HAVERM!C109)-1)</f>
        <v>3.8834951456310662</v>
      </c>
      <c r="D57" s="12">
        <f>100*'27. Median of pay growth (UK)'!B56</f>
        <v>3.18161738712053</v>
      </c>
      <c r="E57" s="12" t="e">
        <f>NA()</f>
        <v>#N/A</v>
      </c>
      <c r="F57" s="12">
        <f>Indeed!F8</f>
        <v>3.58</v>
      </c>
      <c r="G57">
        <v>0</v>
      </c>
    </row>
    <row r="58" spans="1:7" x14ac:dyDescent="0.35">
      <c r="A58" s="11">
        <v>43678</v>
      </c>
      <c r="B58" s="12">
        <f>100*((HAVERM!E122/HAVERM!E110)-1)</f>
        <v>3.5196687370600444</v>
      </c>
      <c r="C58" s="12">
        <f>100*((HAVERM!C122/HAVERM!C110)-1)</f>
        <v>3.0474040632054278</v>
      </c>
      <c r="D58" s="12">
        <f>100*'27. Median of pay growth (UK)'!B57</f>
        <v>3.0124823642591001</v>
      </c>
      <c r="E58" s="12" t="e">
        <f>NA()</f>
        <v>#N/A</v>
      </c>
      <c r="F58" s="12">
        <f>Indeed!F9</f>
        <v>3.53</v>
      </c>
      <c r="G58">
        <v>0</v>
      </c>
    </row>
    <row r="59" spans="1:7" x14ac:dyDescent="0.35">
      <c r="A59" s="11">
        <v>43709</v>
      </c>
      <c r="B59" s="12">
        <f>100*((HAVERM!E123/HAVERM!E111)-1)</f>
        <v>3.7267080745341685</v>
      </c>
      <c r="C59" s="12">
        <f>100*((HAVERM!C123/HAVERM!C111)-1)</f>
        <v>3.3503691084610931</v>
      </c>
      <c r="D59" s="12">
        <f>100*'27. Median of pay growth (UK)'!B58</f>
        <v>3.2912637207030295</v>
      </c>
      <c r="E59" s="12" t="e">
        <f>NA()</f>
        <v>#N/A</v>
      </c>
      <c r="F59" s="12">
        <f>Indeed!F10</f>
        <v>3.53</v>
      </c>
      <c r="G59">
        <v>0</v>
      </c>
    </row>
    <row r="60" spans="1:7" x14ac:dyDescent="0.35">
      <c r="A60" s="11">
        <v>43739</v>
      </c>
      <c r="B60" s="12">
        <f>100*((HAVERM!E124/HAVERM!E112)-1)</f>
        <v>3.0864197530864113</v>
      </c>
      <c r="C60" s="12">
        <f>100*((HAVERM!C124/HAVERM!C112)-1)</f>
        <v>3.2823995472552436</v>
      </c>
      <c r="D60" s="12">
        <f>100*'27. Median of pay growth (UK)'!B59</f>
        <v>3.1225700605452</v>
      </c>
      <c r="E60" s="12" t="e">
        <f>NA()</f>
        <v>#N/A</v>
      </c>
      <c r="F60" s="12">
        <f>Indeed!F11</f>
        <v>3.42</v>
      </c>
      <c r="G60">
        <v>0</v>
      </c>
    </row>
    <row r="61" spans="1:7" x14ac:dyDescent="0.35">
      <c r="A61" s="11">
        <v>43770</v>
      </c>
      <c r="B61" s="12">
        <f>100*((HAVERM!E125/HAVERM!E113)-1)</f>
        <v>3.0800821355236208</v>
      </c>
      <c r="C61" s="12">
        <f>100*((HAVERM!C125/HAVERM!C113)-1)</f>
        <v>2.924634420697414</v>
      </c>
      <c r="D61" s="12">
        <f>100*'27. Median of pay growth (UK)'!B60</f>
        <v>3.0667338247942997</v>
      </c>
      <c r="E61" s="12" t="e">
        <f>NA()</f>
        <v>#N/A</v>
      </c>
      <c r="F61" s="12">
        <f>Indeed!F12</f>
        <v>3.35</v>
      </c>
      <c r="G61">
        <v>0</v>
      </c>
    </row>
    <row r="62" spans="1:7" x14ac:dyDescent="0.35">
      <c r="A62" s="11">
        <v>43800</v>
      </c>
      <c r="B62" s="12">
        <f>100*((HAVERM!E126/HAVERM!E114)-1)</f>
        <v>3.2786885245901676</v>
      </c>
      <c r="C62" s="12">
        <f>100*((HAVERM!C126/HAVERM!C114)-1)</f>
        <v>3.6117381489841893</v>
      </c>
      <c r="D62" s="12">
        <f>100*'27. Median of pay growth (UK)'!B61</f>
        <v>3.2001961353898802</v>
      </c>
      <c r="E62" s="12" t="e">
        <f>NA()</f>
        <v>#N/A</v>
      </c>
      <c r="F62" s="12">
        <f>Indeed!F13</f>
        <v>3.34</v>
      </c>
      <c r="G62">
        <v>0</v>
      </c>
    </row>
    <row r="63" spans="1:7" x14ac:dyDescent="0.35">
      <c r="A63" s="11">
        <v>43831</v>
      </c>
      <c r="B63" s="12">
        <f>100*((HAVERM!E127/HAVERM!E115)-1)</f>
        <v>2.8513238289205711</v>
      </c>
      <c r="C63" s="12">
        <f>100*((HAVERM!C127/HAVERM!C115)-1)</f>
        <v>3.811659192825112</v>
      </c>
      <c r="D63" s="12">
        <f>100*'27. Median of pay growth (UK)'!B62</f>
        <v>3.2046229507953599</v>
      </c>
      <c r="E63" s="12" t="e">
        <f>NA()</f>
        <v>#N/A</v>
      </c>
      <c r="F63" s="12">
        <f>Indeed!F14</f>
        <v>2.8</v>
      </c>
      <c r="G63">
        <v>0</v>
      </c>
    </row>
    <row r="64" spans="1:7" x14ac:dyDescent="0.35">
      <c r="A64" s="11">
        <v>43862</v>
      </c>
      <c r="B64" s="12">
        <f>100*((HAVERM!E128/HAVERM!E116)-1)</f>
        <v>2.8513238289205711</v>
      </c>
      <c r="C64" s="12">
        <f>100*((HAVERM!C128/HAVERM!C116)-1)</f>
        <v>3.9084310441094283</v>
      </c>
      <c r="D64" s="12">
        <f>100*'27. Median of pay growth (UK)'!B63</f>
        <v>3.2803677965264102</v>
      </c>
      <c r="E64" s="12" t="e">
        <f>NA()</f>
        <v>#N/A</v>
      </c>
      <c r="F64" s="12">
        <f>Indeed!F15</f>
        <v>2.29</v>
      </c>
      <c r="G64">
        <v>0</v>
      </c>
    </row>
    <row r="65" spans="1:7" x14ac:dyDescent="0.35">
      <c r="A65" s="11">
        <v>43891</v>
      </c>
      <c r="B65" s="12">
        <f>100*((HAVERM!E129/HAVERM!E117)-1)</f>
        <v>2.2312373225152227</v>
      </c>
      <c r="C65" s="12">
        <f>100*((HAVERM!C129/HAVERM!C117)-1)</f>
        <v>2.5569760978321199</v>
      </c>
      <c r="D65" s="12">
        <f>100*'27. Median of pay growth (UK)'!B64</f>
        <v>2.5579652474216301</v>
      </c>
      <c r="E65" s="12" t="e">
        <f>NA()</f>
        <v>#N/A</v>
      </c>
      <c r="F65" s="12">
        <f>Indeed!F16</f>
        <v>1.94</v>
      </c>
      <c r="G65">
        <v>0</v>
      </c>
    </row>
    <row r="66" spans="1:7" x14ac:dyDescent="0.35">
      <c r="A66" s="11">
        <v>43922</v>
      </c>
      <c r="B66" s="12">
        <f>100*((HAVERM!E130/HAVERM!E118)-1)</f>
        <v>-0.80971659919027994</v>
      </c>
      <c r="C66" s="12">
        <f>100*((HAVERM!C130/HAVERM!C118)-1)</f>
        <v>-0.94026548672566657</v>
      </c>
      <c r="D66" s="12">
        <f>100*'27. Median of pay growth (UK)'!B65</f>
        <v>0.65845206014588997</v>
      </c>
      <c r="E66" s="12" t="e">
        <f>NA()</f>
        <v>#N/A</v>
      </c>
      <c r="F66" s="12">
        <f>Indeed!F17</f>
        <v>3.17</v>
      </c>
      <c r="G66">
        <v>0</v>
      </c>
    </row>
    <row r="67" spans="1:7" x14ac:dyDescent="0.35">
      <c r="A67" s="11">
        <v>43952</v>
      </c>
      <c r="B67" s="12">
        <f>100*((HAVERM!E131/HAVERM!E119)-1)</f>
        <v>-1.4112903225806495</v>
      </c>
      <c r="C67" s="12">
        <f>100*((HAVERM!C131/HAVERM!C119)-1)</f>
        <v>-0.9366391184573053</v>
      </c>
      <c r="D67" s="12">
        <f>100*'27. Median of pay growth (UK)'!B66</f>
        <v>5.1368563722320001E-2</v>
      </c>
      <c r="E67" s="12" t="e">
        <f>NA()</f>
        <v>#N/A</v>
      </c>
      <c r="F67" s="12">
        <f>Indeed!F18</f>
        <v>4.08</v>
      </c>
      <c r="G67">
        <v>0</v>
      </c>
    </row>
    <row r="68" spans="1:7" x14ac:dyDescent="0.35">
      <c r="A68" s="11">
        <v>43983</v>
      </c>
      <c r="B68" s="12">
        <f>100*((HAVERM!E132/HAVERM!E120)-1)</f>
        <v>-1.4028056112224463</v>
      </c>
      <c r="C68" s="12">
        <f>100*((HAVERM!C132/HAVERM!C120)-1)</f>
        <v>0.93818984547462403</v>
      </c>
      <c r="D68" s="12">
        <f>100*'27. Median of pay growth (UK)'!B67</f>
        <v>1.0333174338477999</v>
      </c>
      <c r="E68" s="12" t="e">
        <f>NA()</f>
        <v>#N/A</v>
      </c>
      <c r="F68" s="12">
        <f>Indeed!F19</f>
        <v>4.49</v>
      </c>
      <c r="G68">
        <v>0</v>
      </c>
    </row>
    <row r="69" spans="1:7" x14ac:dyDescent="0.35">
      <c r="A69" s="11">
        <v>44013</v>
      </c>
      <c r="B69" s="12">
        <f>100*((HAVERM!E133/HAVERM!E121)-1)</f>
        <v>0.20040080160319551</v>
      </c>
      <c r="C69" s="12">
        <f>100*((HAVERM!C133/HAVERM!C121)-1)</f>
        <v>2.1990104452996206</v>
      </c>
      <c r="D69" s="12">
        <f>100*'27. Median of pay growth (UK)'!B68</f>
        <v>1.5914085746979698</v>
      </c>
      <c r="E69" s="12" t="e">
        <f>NA()</f>
        <v>#N/A</v>
      </c>
      <c r="F69" s="12">
        <f>Indeed!F20</f>
        <v>3.94</v>
      </c>
      <c r="G69">
        <v>0</v>
      </c>
    </row>
    <row r="70" spans="1:7" x14ac:dyDescent="0.35">
      <c r="A70" s="11">
        <v>44044</v>
      </c>
      <c r="B70" s="12">
        <f>100*((HAVERM!E134/HAVERM!E122)-1)</f>
        <v>1.4000000000000012</v>
      </c>
      <c r="C70" s="12">
        <f>100*((HAVERM!C134/HAVERM!C122)-1)</f>
        <v>3.0120481927710774</v>
      </c>
      <c r="D70" s="12">
        <f>100*'27. Median of pay growth (UK)'!B69</f>
        <v>1.8336560839826199</v>
      </c>
      <c r="E70" s="12" t="e">
        <f>NA()</f>
        <v>#N/A</v>
      </c>
      <c r="F70" s="12">
        <f>Indeed!F21</f>
        <v>3.51</v>
      </c>
      <c r="G70">
        <v>0</v>
      </c>
    </row>
    <row r="71" spans="1:7" x14ac:dyDescent="0.35">
      <c r="A71" s="11">
        <v>44075</v>
      </c>
      <c r="B71" s="12">
        <f>100*((HAVERM!E135/HAVERM!E123)-1)</f>
        <v>2.39520958083832</v>
      </c>
      <c r="C71" s="12">
        <f>100*((HAVERM!C135/HAVERM!C123)-1)</f>
        <v>4.3956043956044022</v>
      </c>
      <c r="D71" s="12">
        <f>100*'27. Median of pay growth (UK)'!B70</f>
        <v>2.2558762734115101</v>
      </c>
      <c r="E71" s="12" t="e">
        <f>NA()</f>
        <v>#N/A</v>
      </c>
      <c r="F71" s="12">
        <f>Indeed!F22</f>
        <v>3.34</v>
      </c>
      <c r="G71">
        <v>0</v>
      </c>
    </row>
    <row r="72" spans="1:7" x14ac:dyDescent="0.35">
      <c r="A72" s="11">
        <v>44105</v>
      </c>
      <c r="B72" s="12">
        <f>100*((HAVERM!E136/HAVERM!E124)-1)</f>
        <v>3.3932135728542923</v>
      </c>
      <c r="C72" s="12">
        <f>100*((HAVERM!C136/HAVERM!C124)-1)</f>
        <v>4.7123287671232861</v>
      </c>
      <c r="D72" s="12">
        <f>100*'27. Median of pay growth (UK)'!B71</f>
        <v>2.48133352887166</v>
      </c>
      <c r="E72" s="12" t="e">
        <f>NA()</f>
        <v>#N/A</v>
      </c>
      <c r="F72" s="12">
        <f>Indeed!F23</f>
        <v>3.27</v>
      </c>
      <c r="G72">
        <v>0</v>
      </c>
    </row>
    <row r="73" spans="1:7" x14ac:dyDescent="0.35">
      <c r="A73" s="11">
        <v>44136</v>
      </c>
      <c r="B73" s="12">
        <f>100*((HAVERM!E137/HAVERM!E125)-1)</f>
        <v>3.9840637450199168</v>
      </c>
      <c r="C73" s="12">
        <f>100*((HAVERM!C137/HAVERM!C125)-1)</f>
        <v>4.5355191256830629</v>
      </c>
      <c r="D73" s="12">
        <f>100*'27. Median of pay growth (UK)'!B72</f>
        <v>2.4423012744518298</v>
      </c>
      <c r="E73" s="12" t="e">
        <f>NA()</f>
        <v>#N/A</v>
      </c>
      <c r="F73" s="12">
        <f>Indeed!F24</f>
        <v>3.3</v>
      </c>
      <c r="G73">
        <v>0</v>
      </c>
    </row>
    <row r="74" spans="1:7" x14ac:dyDescent="0.35">
      <c r="A74" s="11">
        <v>44166</v>
      </c>
      <c r="B74" s="12">
        <f>100*((HAVERM!E138/HAVERM!E126)-1)</f>
        <v>4.1666666666666741</v>
      </c>
      <c r="C74" s="12">
        <f>100*((HAVERM!C138/HAVERM!C126)-1)</f>
        <v>4.8474945533768965</v>
      </c>
      <c r="D74" s="12">
        <f>100*'27. Median of pay growth (UK)'!B73</f>
        <v>2.5468597968318401</v>
      </c>
      <c r="E74" s="12" t="e">
        <f>NA()</f>
        <v>#N/A</v>
      </c>
      <c r="F74" s="12">
        <f>Indeed!F25</f>
        <v>3.39</v>
      </c>
      <c r="G74">
        <v>0</v>
      </c>
    </row>
    <row r="75" spans="1:7" x14ac:dyDescent="0.35">
      <c r="A75" s="11">
        <v>44197</v>
      </c>
      <c r="B75" s="12">
        <f>100*((HAVERM!E139/HAVERM!E127)-1)</f>
        <v>3.9603960396039639</v>
      </c>
      <c r="C75" s="12">
        <f>100*((HAVERM!C139/HAVERM!C127)-1)</f>
        <v>4.2116630669546407</v>
      </c>
      <c r="D75" s="12">
        <f>100*'27. Median of pay growth (UK)'!B74</f>
        <v>2.0213600306237098</v>
      </c>
      <c r="E75" s="12" t="e">
        <f>NA()</f>
        <v>#N/A</v>
      </c>
      <c r="F75" s="12">
        <f>Indeed!F26</f>
        <v>3.56</v>
      </c>
      <c r="G75">
        <v>0</v>
      </c>
    </row>
    <row r="76" spans="1:7" x14ac:dyDescent="0.35">
      <c r="A76" s="11">
        <v>44228</v>
      </c>
      <c r="B76" s="12">
        <f>100*((HAVERM!E140/HAVERM!E128)-1)</f>
        <v>3.9603960396039639</v>
      </c>
      <c r="C76" s="12">
        <f>100*((HAVERM!C140/HAVERM!C128)-1)</f>
        <v>4.3524986566362278</v>
      </c>
      <c r="D76" s="12">
        <f>100*'27. Median of pay growth (UK)'!B75</f>
        <v>1.92675932020917</v>
      </c>
      <c r="E76" s="12" t="e">
        <f>NA()</f>
        <v>#N/A</v>
      </c>
      <c r="F76" s="12">
        <f>Indeed!F27</f>
        <v>3.66</v>
      </c>
      <c r="G76">
        <v>0</v>
      </c>
    </row>
    <row r="77" spans="1:7" x14ac:dyDescent="0.35">
      <c r="A77" s="11">
        <v>44256</v>
      </c>
      <c r="B77" s="12">
        <f>100*((HAVERM!E141/HAVERM!E129)-1)</f>
        <v>4.7619047619047672</v>
      </c>
      <c r="C77" s="12">
        <f>100*((HAVERM!C141/HAVERM!C129)-1)</f>
        <v>5.5826558265582582</v>
      </c>
      <c r="D77" s="12">
        <f>100*'27. Median of pay growth (UK)'!B76</f>
        <v>2.45570077895034</v>
      </c>
      <c r="E77" s="12" t="e">
        <f>NA()</f>
        <v>#N/A</v>
      </c>
      <c r="F77" s="12">
        <f>Indeed!F28</f>
        <v>3.48</v>
      </c>
      <c r="G77">
        <v>0</v>
      </c>
    </row>
    <row r="78" spans="1:7" x14ac:dyDescent="0.35">
      <c r="A78" s="11">
        <v>44287</v>
      </c>
      <c r="B78" s="12">
        <f>100*((HAVERM!E142/HAVERM!E130)-1)</f>
        <v>8.3673469387754995</v>
      </c>
      <c r="C78" s="12">
        <f>100*((HAVERM!C142/HAVERM!C130)-1)</f>
        <v>9.6035734226689087</v>
      </c>
      <c r="D78" s="12">
        <f>100*'27. Median of pay growth (UK)'!B77</f>
        <v>3.6395145689524497</v>
      </c>
      <c r="E78" s="12" t="e">
        <f>NA()</f>
        <v>#N/A</v>
      </c>
      <c r="F78" s="12">
        <f>Indeed!F29</f>
        <v>2.3199999999999998</v>
      </c>
      <c r="G78">
        <v>0</v>
      </c>
    </row>
    <row r="79" spans="1:7" x14ac:dyDescent="0.35">
      <c r="A79" s="11">
        <v>44317</v>
      </c>
      <c r="B79" s="12">
        <f>100*((HAVERM!E143/HAVERM!E131)-1)</f>
        <v>8.5889570552147187</v>
      </c>
      <c r="C79" s="12">
        <f>100*((HAVERM!C143/HAVERM!C131)-1)</f>
        <v>9.1212458286985552</v>
      </c>
      <c r="D79" s="12">
        <f>100*'27. Median of pay growth (UK)'!B78</f>
        <v>4.1994205409432706</v>
      </c>
      <c r="E79" s="12" t="e">
        <f>NA()</f>
        <v>#N/A</v>
      </c>
      <c r="F79" s="12">
        <f>Indeed!F30</f>
        <v>1.59</v>
      </c>
      <c r="G79">
        <v>0</v>
      </c>
    </row>
    <row r="80" spans="1:7" x14ac:dyDescent="0.35">
      <c r="A80" s="11">
        <v>44348</v>
      </c>
      <c r="B80" s="12">
        <f>100*((HAVERM!E144/HAVERM!E132)-1)</f>
        <v>8.1300813008130071</v>
      </c>
      <c r="C80" s="12">
        <f>100*((HAVERM!C144/HAVERM!C132)-1)</f>
        <v>7.9825041006014175</v>
      </c>
      <c r="D80" s="12">
        <f>100*'27. Median of pay growth (UK)'!B79</f>
        <v>4.0045538509538199</v>
      </c>
      <c r="E80" s="12" t="e">
        <f>NA()</f>
        <v>#N/A</v>
      </c>
      <c r="F80" s="12">
        <f>Indeed!F31</f>
        <v>1.38</v>
      </c>
      <c r="G80">
        <v>0</v>
      </c>
    </row>
    <row r="81" spans="1:7" x14ac:dyDescent="0.35">
      <c r="A81" s="11">
        <v>44378</v>
      </c>
      <c r="B81" s="12">
        <f>100*((HAVERM!E145/HAVERM!E133)-1)</f>
        <v>6.800000000000006</v>
      </c>
      <c r="C81" s="12">
        <f>100*((HAVERM!C145/HAVERM!C133)-1)</f>
        <v>6.4550833781602979</v>
      </c>
      <c r="D81" s="12">
        <f>100*'27. Median of pay growth (UK)'!B80</f>
        <v>3.4146136773681399</v>
      </c>
      <c r="E81" s="12" t="e">
        <f>NA()</f>
        <v>#N/A</v>
      </c>
      <c r="F81" s="12">
        <f>Indeed!F32</f>
        <v>2.3199999999999998</v>
      </c>
      <c r="G81">
        <v>0</v>
      </c>
    </row>
    <row r="82" spans="1:7" x14ac:dyDescent="0.35">
      <c r="A82" s="11">
        <v>44409</v>
      </c>
      <c r="B82" s="12">
        <f>100*((HAVERM!E146/HAVERM!E134)-1)</f>
        <v>5.5226824457593748</v>
      </c>
      <c r="C82" s="12">
        <f>100*((HAVERM!C146/HAVERM!C134)-1)</f>
        <v>5.6353003721424821</v>
      </c>
      <c r="D82" s="12">
        <f>100*'27. Median of pay growth (UK)'!B81</f>
        <v>3.1700403759050402</v>
      </c>
      <c r="E82" s="12" t="e">
        <f>NA()</f>
        <v>#N/A</v>
      </c>
      <c r="F82" s="12">
        <f>Indeed!F33</f>
        <v>3.07</v>
      </c>
      <c r="G82">
        <v>0</v>
      </c>
    </row>
    <row r="83" spans="1:7" x14ac:dyDescent="0.35">
      <c r="A83" s="11">
        <v>44440</v>
      </c>
      <c r="B83" s="12">
        <f>100*((HAVERM!E147/HAVERM!E135)-1)</f>
        <v>4.6783625730994149</v>
      </c>
      <c r="C83" s="12">
        <f>100*((HAVERM!C147/HAVERM!C135)-1)</f>
        <v>5.6315789473684319</v>
      </c>
      <c r="D83" s="12">
        <f>100*'27. Median of pay growth (UK)'!B82</f>
        <v>3.2444965121029701</v>
      </c>
      <c r="E83" s="12" t="e">
        <f>NA()</f>
        <v>#N/A</v>
      </c>
      <c r="F83" s="12">
        <f>Indeed!F34</f>
        <v>3.51</v>
      </c>
      <c r="G83">
        <v>0</v>
      </c>
    </row>
    <row r="84" spans="1:7" x14ac:dyDescent="0.35">
      <c r="A84" s="11">
        <v>44470</v>
      </c>
      <c r="B84" s="12">
        <f>100*((HAVERM!E148/HAVERM!E136)-1)</f>
        <v>4.2471042471042386</v>
      </c>
      <c r="C84" s="12">
        <f>100*((HAVERM!C148/HAVERM!C136)-1)</f>
        <v>5.1282051282051322</v>
      </c>
      <c r="D84" s="12">
        <f>100*'27. Median of pay growth (UK)'!B83</f>
        <v>3.0897353821671198</v>
      </c>
      <c r="E84" s="12" t="e">
        <f>NA()</f>
        <v>#N/A</v>
      </c>
      <c r="F84" s="12">
        <f>Indeed!F35</f>
        <v>3.77</v>
      </c>
      <c r="G84">
        <v>0</v>
      </c>
    </row>
    <row r="85" spans="1:7" x14ac:dyDescent="0.35">
      <c r="A85" s="11">
        <v>44501</v>
      </c>
      <c r="B85" s="12">
        <f>100*((HAVERM!E149/HAVERM!E137)-1)</f>
        <v>4.022988505747116</v>
      </c>
      <c r="C85" s="12">
        <f>100*((HAVERM!C149/HAVERM!C137)-1)</f>
        <v>5.3842132775745011</v>
      </c>
      <c r="D85" s="12">
        <f>100*'27. Median of pay growth (UK)'!B84</f>
        <v>3.1825696703495998</v>
      </c>
      <c r="E85" s="12" t="e">
        <f>NA()</f>
        <v>#N/A</v>
      </c>
      <c r="F85" s="12">
        <f>Indeed!F36</f>
        <v>3.85</v>
      </c>
      <c r="G85">
        <v>0</v>
      </c>
    </row>
    <row r="86" spans="1:7" x14ac:dyDescent="0.35">
      <c r="A86" s="11">
        <v>44531</v>
      </c>
      <c r="B86" s="12">
        <f>100*((HAVERM!E150/HAVERM!E138)-1)</f>
        <v>4.3809523809523743</v>
      </c>
      <c r="C86" s="12">
        <f>100*((HAVERM!C150/HAVERM!C138)-1)</f>
        <v>5.7662337662337748</v>
      </c>
      <c r="D86" s="12">
        <f>100*'27. Median of pay growth (UK)'!B85</f>
        <v>3.4621578536789399</v>
      </c>
      <c r="E86" s="12" t="e">
        <f>NA()</f>
        <v>#N/A</v>
      </c>
      <c r="F86" s="12">
        <f>Indeed!F37</f>
        <v>3.97</v>
      </c>
      <c r="G86">
        <v>0</v>
      </c>
    </row>
    <row r="87" spans="1:7" x14ac:dyDescent="0.35">
      <c r="A87" s="11">
        <v>44562</v>
      </c>
      <c r="B87" s="12">
        <f>100*((HAVERM!E151/HAVERM!E139)-1)</f>
        <v>5.3333333333333233</v>
      </c>
      <c r="C87" s="12">
        <f>100*((HAVERM!C151/HAVERM!C139)-1)</f>
        <v>6.2176165803108807</v>
      </c>
      <c r="D87" s="12">
        <f>100*'27. Median of pay growth (UK)'!B86</f>
        <v>4.0083015430592797</v>
      </c>
      <c r="E87" s="12" t="e">
        <f>NA()</f>
        <v>#N/A</v>
      </c>
      <c r="F87" s="12">
        <f>Indeed!F38</f>
        <v>4.0199999999999996</v>
      </c>
      <c r="G87">
        <v>0</v>
      </c>
    </row>
    <row r="88" spans="1:7" x14ac:dyDescent="0.35">
      <c r="A88" s="11">
        <v>44593</v>
      </c>
      <c r="B88" s="12">
        <f>100*((HAVERM!E152/HAVERM!E140)-1)</f>
        <v>5.3333333333333233</v>
      </c>
      <c r="C88" s="12">
        <f>100*((HAVERM!C152/HAVERM!C140)-1)</f>
        <v>5.818743563336759</v>
      </c>
      <c r="D88" s="12">
        <f>100*'27. Median of pay growth (UK)'!B87</f>
        <v>4.4431133542624295</v>
      </c>
      <c r="E88" s="12" t="e">
        <f>NA()</f>
        <v>#N/A</v>
      </c>
      <c r="F88" s="12">
        <f>Indeed!F39</f>
        <v>4.17</v>
      </c>
      <c r="G88">
        <v>0</v>
      </c>
    </row>
    <row r="89" spans="1:7" x14ac:dyDescent="0.35">
      <c r="A89" s="11">
        <v>44621</v>
      </c>
      <c r="B89" s="12">
        <f>100*((HAVERM!E153/HAVERM!E141)-1)</f>
        <v>5.3030303030302983</v>
      </c>
      <c r="C89" s="12">
        <f>100*((HAVERM!C153/HAVERM!C141)-1)</f>
        <v>6.5708418891170517</v>
      </c>
      <c r="D89" s="12">
        <f>100*'27. Median of pay growth (UK)'!B88</f>
        <v>5.4717503941601606</v>
      </c>
      <c r="E89" s="12" t="e">
        <f>NA()</f>
        <v>#N/A</v>
      </c>
      <c r="F89" s="12">
        <f>Indeed!F40</f>
        <v>4.6900000000000004</v>
      </c>
      <c r="G89">
        <v>0</v>
      </c>
    </row>
    <row r="90" spans="1:7" x14ac:dyDescent="0.35">
      <c r="A90" s="11">
        <v>44652</v>
      </c>
      <c r="B90" s="12">
        <f>100*((HAVERM!E154/HAVERM!E142)-1)</f>
        <v>5.0847457627118731</v>
      </c>
      <c r="C90" s="12">
        <f>100*((HAVERM!C154/HAVERM!C142)-1)</f>
        <v>5.8074375955170732</v>
      </c>
      <c r="D90" s="12">
        <f>100*'27. Median of pay growth (UK)'!B89</f>
        <v>4.9233427231017597</v>
      </c>
      <c r="E90" s="12" t="e">
        <f>NA()</f>
        <v>#N/A</v>
      </c>
      <c r="F90" s="12">
        <f>Indeed!F41</f>
        <v>5.51</v>
      </c>
      <c r="G90">
        <v>0</v>
      </c>
    </row>
    <row r="91" spans="1:7" x14ac:dyDescent="0.35">
      <c r="A91" s="11">
        <v>44682</v>
      </c>
      <c r="B91" s="12">
        <f>100*((HAVERM!E155/HAVERM!E143)-1)</f>
        <v>5.8380414312617646</v>
      </c>
      <c r="C91" s="12">
        <f>100*((HAVERM!C155/HAVERM!C143)-1)</f>
        <v>6.2181447502548393</v>
      </c>
      <c r="D91" s="12">
        <f>100*'27. Median of pay growth (UK)'!B90</f>
        <v>5.07664988114451</v>
      </c>
      <c r="E91" s="12">
        <f>HAVERM!G155</f>
        <v>5.4649999999999999</v>
      </c>
      <c r="F91" s="12">
        <f>Indeed!F42</f>
        <v>6.27</v>
      </c>
      <c r="G91">
        <v>0</v>
      </c>
    </row>
    <row r="92" spans="1:7" x14ac:dyDescent="0.35">
      <c r="A92" s="11">
        <v>44713</v>
      </c>
      <c r="B92" s="12">
        <f>100*((HAVERM!E156/HAVERM!E144)-1)</f>
        <v>6.0150375939849621</v>
      </c>
      <c r="C92" s="12">
        <f>100*((HAVERM!C156/HAVERM!C144)-1)</f>
        <v>6.4810126582278471</v>
      </c>
      <c r="D92" s="12">
        <f>100*'27. Median of pay growth (UK)'!B91</f>
        <v>5.0930826074980198</v>
      </c>
      <c r="E92" s="12">
        <f>HAVERM!G156</f>
        <v>5.5780000000000003</v>
      </c>
      <c r="F92" s="12">
        <f>Indeed!F43</f>
        <v>6.61</v>
      </c>
      <c r="G92">
        <v>0</v>
      </c>
    </row>
    <row r="93" spans="1:7" x14ac:dyDescent="0.35">
      <c r="A93" s="11">
        <v>44743</v>
      </c>
      <c r="B93" s="12">
        <f>100*((HAVERM!E157/HAVERM!E145)-1)</f>
        <v>6.367041198501866</v>
      </c>
      <c r="C93" s="12">
        <f>100*((HAVERM!C157/HAVERM!C145)-1)</f>
        <v>6.6195048004042523</v>
      </c>
      <c r="D93" s="12">
        <f>100*'27. Median of pay growth (UK)'!B92</f>
        <v>5.3218450666310595</v>
      </c>
      <c r="E93" s="12">
        <f>HAVERM!G157</f>
        <v>5.5410000000000004</v>
      </c>
      <c r="F93" s="12">
        <f>Indeed!F44</f>
        <v>6.5</v>
      </c>
      <c r="G93">
        <v>0</v>
      </c>
    </row>
    <row r="94" spans="1:7" x14ac:dyDescent="0.35">
      <c r="A94" s="11">
        <v>44774</v>
      </c>
      <c r="B94" s="12">
        <f>100*((HAVERM!E158/HAVERM!E146)-1)</f>
        <v>6.7289719626168143</v>
      </c>
      <c r="C94" s="12">
        <f>100*((HAVERM!C158/HAVERM!C146)-1)</f>
        <v>6.6431806743834976</v>
      </c>
      <c r="D94" s="12">
        <f>100*'27. Median of pay growth (UK)'!B93</f>
        <v>5.6491180924031701</v>
      </c>
      <c r="E94" s="12">
        <f>HAVERM!G158</f>
        <v>5.8440000000000003</v>
      </c>
      <c r="F94" s="12">
        <f>Indeed!F45</f>
        <v>6.49</v>
      </c>
      <c r="G94">
        <v>0</v>
      </c>
    </row>
    <row r="95" spans="1:7" x14ac:dyDescent="0.35">
      <c r="A95" s="11">
        <v>44805</v>
      </c>
      <c r="B95" s="12">
        <f>100*((HAVERM!E159/HAVERM!E147)-1)</f>
        <v>7.0763500931098733</v>
      </c>
      <c r="C95" s="12">
        <f>100*((HAVERM!C159/HAVERM!C147)-1)</f>
        <v>6.9257598405580545</v>
      </c>
      <c r="D95" s="12">
        <f>100*'27. Median of pay growth (UK)'!B94</f>
        <v>6.05142809627724</v>
      </c>
      <c r="E95" s="12">
        <f>HAVERM!G159</f>
        <v>6.0979999999999999</v>
      </c>
      <c r="F95" s="12">
        <f>Indeed!F46</f>
        <v>6.39</v>
      </c>
      <c r="G95">
        <v>0</v>
      </c>
    </row>
    <row r="96" spans="1:7" x14ac:dyDescent="0.35">
      <c r="A96" s="11">
        <v>44835</v>
      </c>
      <c r="B96" s="12">
        <f>100*((HAVERM!E160/HAVERM!E148)-1)</f>
        <v>7.2222222222222188</v>
      </c>
      <c r="C96" s="12">
        <f>100*((HAVERM!C160/HAVERM!C148)-1)</f>
        <v>6.8690890990542597</v>
      </c>
      <c r="D96" s="12">
        <f>100*'27. Median of pay growth (UK)'!B95</f>
        <v>6.3100009828572503</v>
      </c>
      <c r="E96" s="12">
        <f>HAVERM!G160</f>
        <v>6.306</v>
      </c>
      <c r="F96" s="12">
        <f>Indeed!F47</f>
        <v>6.42</v>
      </c>
      <c r="G96">
        <v>0</v>
      </c>
    </row>
    <row r="97" spans="1:7" x14ac:dyDescent="0.35">
      <c r="A97" s="11">
        <v>44866</v>
      </c>
      <c r="B97" s="12">
        <f>100*((HAVERM!E161/HAVERM!E149)-1)</f>
        <v>7.5506445672191447</v>
      </c>
      <c r="C97" s="12">
        <f>100*((HAVERM!C161/HAVERM!C149)-1)</f>
        <v>8.6805555555555571</v>
      </c>
      <c r="D97" s="12">
        <f>100*'27. Median of pay growth (UK)'!B96</f>
        <v>7.1173496114686694</v>
      </c>
      <c r="E97" s="12">
        <f>HAVERM!G161</f>
        <v>6.2190000000000003</v>
      </c>
      <c r="F97" s="12">
        <f>Indeed!F48</f>
        <v>6.34</v>
      </c>
      <c r="G97">
        <v>0</v>
      </c>
    </row>
    <row r="98" spans="1:7" x14ac:dyDescent="0.35">
      <c r="A98" s="11">
        <v>44896</v>
      </c>
      <c r="B98" s="12">
        <f>100*((HAVERM!E162/HAVERM!E150)-1)</f>
        <v>7.1167883211678884</v>
      </c>
      <c r="C98" s="12">
        <f>100*((HAVERM!C162/HAVERM!C150)-1)</f>
        <v>7.5147347740667891</v>
      </c>
      <c r="D98" s="12">
        <f>100*'27. Median of pay growth (UK)'!B97</f>
        <v>6.7992294583268897</v>
      </c>
      <c r="E98" s="12">
        <f>HAVERM!G162</f>
        <v>6.26</v>
      </c>
      <c r="F98" s="12">
        <f>Indeed!F49</f>
        <v>6.37</v>
      </c>
      <c r="G98">
        <v>0</v>
      </c>
    </row>
    <row r="99" spans="1:7" x14ac:dyDescent="0.35">
      <c r="A99" s="11">
        <v>44927</v>
      </c>
      <c r="B99" s="12">
        <f>100*((HAVERM!E163/HAVERM!E151)-1)</f>
        <v>6.509945750452073</v>
      </c>
      <c r="C99" s="12">
        <f>100*((HAVERM!C163/HAVERM!C151)-1)</f>
        <v>7.0243902439024453</v>
      </c>
      <c r="D99" s="12">
        <f>100*'27. Median of pay growth (UK)'!B98</f>
        <v>6.6239479331200597</v>
      </c>
      <c r="E99" s="12">
        <f>HAVERM!G163</f>
        <v>6.3390000000000004</v>
      </c>
      <c r="F99" s="12">
        <f>Indeed!F50</f>
        <v>6.37</v>
      </c>
      <c r="G99">
        <v>0</v>
      </c>
    </row>
    <row r="100" spans="1:7" x14ac:dyDescent="0.35">
      <c r="A100" s="11">
        <v>44958</v>
      </c>
      <c r="B100" s="12">
        <f>100*((HAVERM!E164/HAVERM!E152)-1)</f>
        <v>7.5949367088607556</v>
      </c>
      <c r="C100" s="12">
        <f>100*((HAVERM!C164/HAVERM!C152)-1)</f>
        <v>7.4452554744525612</v>
      </c>
      <c r="D100" s="12">
        <f>100*'27. Median of pay growth (UK)'!B99</f>
        <v>6.5480362177255405</v>
      </c>
      <c r="E100" s="12">
        <f>HAVERM!G164</f>
        <v>6.51</v>
      </c>
      <c r="F100" s="12">
        <f>Indeed!F51</f>
        <v>6.45</v>
      </c>
      <c r="G100">
        <v>0</v>
      </c>
    </row>
    <row r="101" spans="1:7" x14ac:dyDescent="0.35">
      <c r="A101" s="11">
        <v>44986</v>
      </c>
      <c r="B101" s="12">
        <f>100*((HAVERM!E165/HAVERM!E153)-1)</f>
        <v>7.5539568345323715</v>
      </c>
      <c r="C101" s="12">
        <f>100*((HAVERM!C165/HAVERM!C153)-1)</f>
        <v>6.7437379576107848</v>
      </c>
      <c r="D101" s="12">
        <f>100*'27. Median of pay growth (UK)'!B100</f>
        <v>6.1984620021081707</v>
      </c>
      <c r="E101" s="12">
        <f>HAVERM!G165</f>
        <v>6.4779999999999998</v>
      </c>
      <c r="F101" s="12">
        <f>Indeed!F52</f>
        <v>6.66</v>
      </c>
      <c r="G101">
        <v>0</v>
      </c>
    </row>
    <row r="102" spans="1:7" x14ac:dyDescent="0.35">
      <c r="A102" s="11">
        <v>45017</v>
      </c>
      <c r="B102" s="12">
        <f>100*((HAVERM!E166/HAVERM!E154)-1)</f>
        <v>8.0645161290322509</v>
      </c>
      <c r="C102" s="12">
        <f>100*((HAVERM!C166/HAVERM!C154)-1)</f>
        <v>7.1738083774675054</v>
      </c>
      <c r="D102" s="12">
        <f>100*'27. Median of pay growth (UK)'!B101</f>
        <v>6.9875760688975204</v>
      </c>
      <c r="E102" s="12">
        <f>HAVERM!G166</f>
        <v>6.5640000000000001</v>
      </c>
      <c r="F102" s="12">
        <f>Indeed!F53</f>
        <v>7</v>
      </c>
      <c r="G102">
        <v>0</v>
      </c>
    </row>
    <row r="103" spans="1:7" x14ac:dyDescent="0.35">
      <c r="A103" s="11">
        <v>45047</v>
      </c>
      <c r="B103" s="12">
        <f>100*((HAVERM!E167/HAVERM!E155)-1)</f>
        <v>8.1850533807829251</v>
      </c>
      <c r="C103" s="12">
        <f>100*((HAVERM!C167/HAVERM!C155)-1)</f>
        <v>8.0614203454894451</v>
      </c>
      <c r="D103" s="12">
        <f>100*'27. Median of pay growth (UK)'!B102</f>
        <v>7.7211864095414198</v>
      </c>
      <c r="E103" s="12">
        <f>HAVERM!G167</f>
        <v>6.609</v>
      </c>
      <c r="F103" s="12">
        <f>Indeed!F54</f>
        <v>7.23</v>
      </c>
      <c r="G103">
        <v>0</v>
      </c>
    </row>
    <row r="104" spans="1:7" x14ac:dyDescent="0.35">
      <c r="A104" s="11">
        <v>45078</v>
      </c>
      <c r="B104" s="12">
        <f>100*((HAVERM!E168/HAVERM!E156)-1)</f>
        <v>8.333333333333325</v>
      </c>
      <c r="C104" s="12">
        <f>100*((HAVERM!C168/HAVERM!C156)-1)</f>
        <v>9.4626723728007622</v>
      </c>
      <c r="D104" s="12">
        <f>100*'27. Median of pay growth (UK)'!B103</f>
        <v>8.1431389103556509</v>
      </c>
      <c r="E104" s="12">
        <f>HAVERM!G168</f>
        <v>6.8250000000000002</v>
      </c>
      <c r="F104" s="12">
        <f>Indeed!F55</f>
        <v>7.33</v>
      </c>
      <c r="G104">
        <v>0</v>
      </c>
    </row>
    <row r="105" spans="1:7" x14ac:dyDescent="0.35">
      <c r="A105" s="11">
        <v>45108</v>
      </c>
      <c r="B105" s="12">
        <f>100*((HAVERM!E169/HAVERM!E157)-1)</f>
        <v>7.9225352112676006</v>
      </c>
      <c r="C105" s="12">
        <f>100*((HAVERM!C169/HAVERM!C157)-1)</f>
        <v>7.4881516587677721</v>
      </c>
      <c r="D105" s="12">
        <f>100*'27. Median of pay growth (UK)'!B104</f>
        <v>7.4594179043672302</v>
      </c>
      <c r="E105" s="12">
        <f>HAVERM!G169</f>
        <v>6.8490000000000002</v>
      </c>
      <c r="F105" s="12">
        <f>Indeed!F56</f>
        <v>7.29</v>
      </c>
      <c r="G105">
        <v>0</v>
      </c>
    </row>
    <row r="106" spans="1:7" x14ac:dyDescent="0.35">
      <c r="A106" s="11">
        <v>45139</v>
      </c>
      <c r="B106" s="12">
        <f>100*((HAVERM!E170/HAVERM!E158)-1)</f>
        <v>8.056042031523635</v>
      </c>
      <c r="C106" s="12">
        <f>100*((HAVERM!C170/HAVERM!C158)-1)</f>
        <v>7.5035394053798887</v>
      </c>
      <c r="D106" s="12">
        <f>100*'27. Median of pay growth (UK)'!B105</f>
        <v>7.0241873731610793</v>
      </c>
      <c r="E106" s="12">
        <f>HAVERM!G170</f>
        <v>6.8949999999999996</v>
      </c>
      <c r="F106" s="12">
        <f>Indeed!F57</f>
        <v>7.18</v>
      </c>
      <c r="G106">
        <v>0</v>
      </c>
    </row>
    <row r="107" spans="1:7" x14ac:dyDescent="0.35">
      <c r="A107" s="11">
        <v>45170</v>
      </c>
      <c r="B107" s="12">
        <f>100*((HAVERM!E171/HAVERM!E159)-1)</f>
        <v>7.4782608695652231</v>
      </c>
      <c r="C107" s="12">
        <f>100*((HAVERM!C171/HAVERM!C159)-1)</f>
        <v>5.9179869524697004</v>
      </c>
      <c r="D107" s="12">
        <f>100*'27. Median of pay growth (UK)'!B106</f>
        <v>6.3236883383837501</v>
      </c>
      <c r="E107" s="12">
        <f>HAVERM!G171</f>
        <v>6.8689999999999998</v>
      </c>
      <c r="F107" s="12">
        <f>Indeed!F58</f>
        <v>7.07</v>
      </c>
      <c r="G107">
        <v>0</v>
      </c>
    </row>
    <row r="108" spans="1:7" x14ac:dyDescent="0.35">
      <c r="A108" s="11">
        <v>45200</v>
      </c>
      <c r="B108" s="12">
        <f>100*((HAVERM!E172/HAVERM!E160)-1)</f>
        <v>6.2176165803108807</v>
      </c>
      <c r="C108" s="12">
        <f>100*((HAVERM!C172/HAVERM!C160)-1)</f>
        <v>6.1015370284117409</v>
      </c>
      <c r="D108" s="12">
        <f>100*'27. Median of pay growth (UK)'!B107</f>
        <v>6.3316377969877795</v>
      </c>
      <c r="E108" s="12">
        <f>HAVERM!G172</f>
        <v>6.9189999999999996</v>
      </c>
      <c r="F108" s="12">
        <f>Indeed!F59</f>
        <v>6.84</v>
      </c>
      <c r="G108">
        <v>0</v>
      </c>
    </row>
    <row r="109" spans="1:7" x14ac:dyDescent="0.35">
      <c r="A109" s="11">
        <v>45231</v>
      </c>
      <c r="B109" s="12">
        <f>100*((HAVERM!E173/HAVERM!E161)-1)</f>
        <v>6.335616438356162</v>
      </c>
      <c r="C109" s="12">
        <f>100*((HAVERM!C173/HAVERM!C161)-1)</f>
        <v>6.2528525787311828</v>
      </c>
      <c r="D109" s="12">
        <f>100*'27. Median of pay growth (UK)'!B108</f>
        <v>6.1550110803511799</v>
      </c>
      <c r="E109" s="12">
        <f>HAVERM!G173</f>
        <v>6.9530000000000003</v>
      </c>
      <c r="F109" s="12">
        <f>Indeed!F60</f>
        <v>6.69</v>
      </c>
      <c r="G109">
        <v>0</v>
      </c>
    </row>
    <row r="110" spans="1:7" x14ac:dyDescent="0.35">
      <c r="A110" s="11">
        <v>45261</v>
      </c>
      <c r="B110" s="12">
        <f>100*((HAVERM!E174/HAVERM!E162)-1)</f>
        <v>6.1328790459965976</v>
      </c>
      <c r="C110" s="12">
        <f>100*((HAVERM!C174/HAVERM!C162)-1)</f>
        <v>6.1671996345363134</v>
      </c>
      <c r="D110" s="12">
        <f>100*'27. Median of pay growth (UK)'!B109</f>
        <v>6.1725699853104299</v>
      </c>
      <c r="E110" s="12">
        <f>HAVERM!G174</f>
        <v>6.944</v>
      </c>
      <c r="F110" s="12">
        <f>Indeed!F61</f>
        <v>6.56</v>
      </c>
      <c r="G110">
        <v>0</v>
      </c>
    </row>
    <row r="111" spans="1:7" x14ac:dyDescent="0.35">
      <c r="A111" s="11">
        <v>45292</v>
      </c>
      <c r="B111" s="12">
        <f>100*((HAVERM!E175/HAVERM!E163)-1)</f>
        <v>5.7724957555178369</v>
      </c>
      <c r="C111" s="12">
        <f>100*((HAVERM!C175/HAVERM!C163)-1)</f>
        <v>6.3810391978122105</v>
      </c>
      <c r="D111" s="12">
        <f>100*'27. Median of pay growth (UK)'!B110</f>
        <v>6.2594175161983205</v>
      </c>
      <c r="E111" s="12">
        <f>HAVERM!G175</f>
        <v>6.8559999999999999</v>
      </c>
      <c r="F111" s="12">
        <f>Indeed!F62</f>
        <v>6.5</v>
      </c>
      <c r="G111">
        <v>0</v>
      </c>
    </row>
    <row r="112" spans="1:7" x14ac:dyDescent="0.35">
      <c r="A112" s="11">
        <v>45323</v>
      </c>
      <c r="B112" s="12">
        <f>100*((HAVERM!E176/HAVERM!E164)-1)</f>
        <v>5.5462184873949605</v>
      </c>
      <c r="C112" s="12">
        <f>100*((HAVERM!C176/HAVERM!C164)-1)</f>
        <v>6.2047101449275388</v>
      </c>
      <c r="D112" s="12">
        <f>100*'27. Median of pay growth (UK)'!B111</f>
        <v>6.4189755457474904</v>
      </c>
      <c r="E112" s="12">
        <f>HAVERM!G176</f>
        <v>6.6929999999999996</v>
      </c>
      <c r="F112" s="12">
        <f>Indeed!F63</f>
        <v>6.44</v>
      </c>
      <c r="G112">
        <v>0</v>
      </c>
    </row>
    <row r="113" spans="1:7" x14ac:dyDescent="0.35">
      <c r="A113" s="11">
        <v>45352</v>
      </c>
      <c r="B113" s="12">
        <f>100*((HAVERM!E177/HAVERM!E165)-1)</f>
        <v>5.8528428093645557</v>
      </c>
      <c r="C113" s="12">
        <f>100*((HAVERM!C177/HAVERM!C165)-1)</f>
        <v>6.2725631768953072</v>
      </c>
      <c r="D113" s="12">
        <f>100*'27. Median of pay growth (UK)'!B112</f>
        <v>6.1510248031479895</v>
      </c>
      <c r="E113" s="12">
        <f>HAVERM!G177</f>
        <v>6.3780000000000001</v>
      </c>
      <c r="F113" s="12">
        <f>Indeed!F64</f>
        <v>6.43</v>
      </c>
      <c r="G113">
        <v>0</v>
      </c>
    </row>
    <row r="114" spans="1:7" x14ac:dyDescent="0.35">
      <c r="A114" s="11">
        <v>45383</v>
      </c>
      <c r="B114" s="12">
        <f>100*((HAVERM!E178/HAVERM!E166)-1)</f>
        <v>5.6384742951907096</v>
      </c>
      <c r="C114" s="12">
        <f>100*((HAVERM!C178/HAVERM!C166)-1)</f>
        <v>6.4690026954177915</v>
      </c>
      <c r="D114" s="12">
        <f>100*'27. Median of pay growth (UK)'!B113</f>
        <v>5.9555344748391201</v>
      </c>
      <c r="E114" s="12">
        <f>HAVERM!G178</f>
        <v>6.181</v>
      </c>
      <c r="F114" s="12">
        <f>Indeed!F65</f>
        <v>6.56</v>
      </c>
      <c r="G114">
        <v>0</v>
      </c>
    </row>
    <row r="115" spans="1:7" x14ac:dyDescent="0.35">
      <c r="A115" s="11">
        <v>45413</v>
      </c>
      <c r="B115" s="12">
        <f>100*((HAVERM!E179/HAVERM!E167)-1)</f>
        <v>5.2631578947368363</v>
      </c>
      <c r="C115" s="12">
        <f>100*((HAVERM!C179/HAVERM!C167)-1)</f>
        <v>5.7726465364120738</v>
      </c>
      <c r="D115" s="12">
        <f>100*'27. Median of pay growth (UK)'!B114</f>
        <v>5.8231330203486396</v>
      </c>
      <c r="E115" s="12">
        <f>HAVERM!G179</f>
        <v>6.0350000000000001</v>
      </c>
      <c r="F115" s="12">
        <f>Indeed!F66</f>
        <v>6.7</v>
      </c>
      <c r="G115">
        <v>0</v>
      </c>
    </row>
    <row r="116" spans="1:7" x14ac:dyDescent="0.35">
      <c r="A116" s="11">
        <v>45444</v>
      </c>
      <c r="B116" s="12">
        <f>100*((HAVERM!E180/HAVERM!E168)-1)</f>
        <v>5.2373158756137572</v>
      </c>
      <c r="C116" s="12">
        <f>100*((HAVERM!C180/HAVERM!C168)-1)</f>
        <v>3.6924413553431901</v>
      </c>
      <c r="D116" s="12">
        <f>100*'27. Median of pay growth (UK)'!B115</f>
        <v>5.1888274718407299</v>
      </c>
      <c r="E116" s="12">
        <f>HAVERM!G180</f>
        <v>5.9880000000000004</v>
      </c>
      <c r="F116" s="12">
        <f>Indeed!F67</f>
        <v>6.79</v>
      </c>
      <c r="G116">
        <v>0</v>
      </c>
    </row>
    <row r="117" spans="1:7" x14ac:dyDescent="0.35">
      <c r="A117" s="11">
        <v>45474</v>
      </c>
      <c r="B117" s="12">
        <f>100*((HAVERM!E181/HAVERM!E169)-1)</f>
        <v>5.220228384991854</v>
      </c>
      <c r="C117" s="12">
        <f>100*((HAVERM!C181/HAVERM!C169)-1)</f>
        <v>5.7760141093474493</v>
      </c>
      <c r="D117" s="12">
        <f>100*'27. Median of pay growth (UK)'!B116</f>
        <v>5.5499625200896103</v>
      </c>
      <c r="E117" s="12">
        <f>HAVERM!G181</f>
        <v>5.8869999999999996</v>
      </c>
      <c r="F117" s="12">
        <f>Indeed!F68</f>
        <v>6.61</v>
      </c>
      <c r="G117">
        <v>0</v>
      </c>
    </row>
    <row r="118" spans="1:7" x14ac:dyDescent="0.35">
      <c r="A118" s="11">
        <v>45505</v>
      </c>
      <c r="B118" s="12">
        <f>100*((HAVERM!E182/HAVERM!E170)-1)</f>
        <v>4.8622366288492813</v>
      </c>
      <c r="C118" s="12">
        <f>100*((HAVERM!C182/HAVERM!C170)-1)</f>
        <v>5.8384547848990387</v>
      </c>
      <c r="D118" s="12">
        <f>100*'27. Median of pay growth (UK)'!B117</f>
        <v>5.3880084867779798</v>
      </c>
      <c r="E118" s="12">
        <f>HAVERM!G182</f>
        <v>5.774</v>
      </c>
      <c r="F118" s="12">
        <f>Indeed!F69</f>
        <v>6.6</v>
      </c>
      <c r="G118">
        <v>0</v>
      </c>
    </row>
    <row r="119" spans="1:7" x14ac:dyDescent="0.35">
      <c r="A119" s="11">
        <v>45536</v>
      </c>
      <c r="B119" s="12">
        <f>100*((HAVERM!E183/HAVERM!E171)-1)</f>
        <v>5.3398058252427161</v>
      </c>
      <c r="C119" s="12">
        <f>100*((HAVERM!C183/HAVERM!C171)-1)</f>
        <v>5.8512978442586849</v>
      </c>
      <c r="D119" s="12">
        <f>100*'27. Median of pay growth (UK)'!B118</f>
        <v>5.4277965790489695</v>
      </c>
      <c r="E119" s="12">
        <f>HAVERM!G183</f>
        <v>5.69</v>
      </c>
      <c r="F119" s="12">
        <f>Indeed!F70</f>
        <v>6.58</v>
      </c>
      <c r="G119">
        <v>0</v>
      </c>
    </row>
    <row r="120" spans="1:7" x14ac:dyDescent="0.35">
      <c r="A120" s="11">
        <v>45566</v>
      </c>
      <c r="B120" s="12">
        <f>100*((HAVERM!E184/HAVERM!E172)-1)</f>
        <v>6.6666666666666652</v>
      </c>
      <c r="C120" s="12">
        <f>100*((HAVERM!C184/HAVERM!C172)-1)</f>
        <v>7.8138718173836663</v>
      </c>
      <c r="D120" s="12">
        <f>100*'27. Median of pay growth (UK)'!B119</f>
        <v>6.3725715622812995</v>
      </c>
      <c r="E120" s="12">
        <f>HAVERM!G184</f>
        <v>5.6020000000000003</v>
      </c>
      <c r="F120" s="12">
        <f>Indeed!F71</f>
        <v>6.7</v>
      </c>
      <c r="G120">
        <v>0</v>
      </c>
    </row>
    <row r="121" spans="1:7" x14ac:dyDescent="0.35">
      <c r="A121" s="11">
        <v>45597</v>
      </c>
      <c r="B121" s="12">
        <f>100*((HAVERM!E185/HAVERM!E173)-1)</f>
        <v>5.7971014492753659</v>
      </c>
      <c r="C121" s="12">
        <f>100*((HAVERM!C185/HAVERM!C173)-1)</f>
        <v>6.3573883161512024</v>
      </c>
      <c r="D121" s="12">
        <f>100*'27. Median of pay growth (UK)'!B120</f>
        <v>5.5026936650253804</v>
      </c>
      <c r="E121" s="12">
        <f>HAVERM!G185</f>
        <v>5.5090000000000003</v>
      </c>
      <c r="F121" s="12">
        <f>Indeed!F72</f>
        <v>6.54</v>
      </c>
      <c r="G121">
        <v>0</v>
      </c>
    </row>
    <row r="122" spans="1:7" x14ac:dyDescent="0.35">
      <c r="A122" s="11">
        <v>45627</v>
      </c>
      <c r="B122" s="12">
        <f>100*((HAVERM!E186/HAVERM!E174)-1)</f>
        <v>5.9390048154092989</v>
      </c>
      <c r="C122" s="12">
        <f>100*((HAVERM!C186/HAVERM!C174)-1)</f>
        <v>5.4647160068846734</v>
      </c>
      <c r="D122" s="12">
        <f>100*'27. Median of pay growth (UK)'!B121</f>
        <v>5.1871527874005299</v>
      </c>
      <c r="E122" s="12">
        <f>HAVERM!G186</f>
        <v>5.38</v>
      </c>
      <c r="F122" s="12">
        <f>Indeed!F73</f>
        <v>6.37</v>
      </c>
      <c r="G122">
        <v>0</v>
      </c>
    </row>
    <row r="123" spans="1:7" x14ac:dyDescent="0.35">
      <c r="A123" s="11">
        <v>45658</v>
      </c>
      <c r="B123" s="12">
        <f>100*((HAVERM!E187/HAVERM!E175)-1)</f>
        <v>5.9390048154092989</v>
      </c>
      <c r="C123" s="12">
        <f>100*((HAVERM!C187/HAVERM!C175)-1)</f>
        <v>6.0411311053984562</v>
      </c>
      <c r="D123" s="12">
        <f>100*'27. Median of pay growth (UK)'!B122</f>
        <v>5.2558258209869706</v>
      </c>
      <c r="E123" s="12">
        <f>HAVERM!G187</f>
        <v>5.2759999999999998</v>
      </c>
      <c r="F123" s="12">
        <f>Indeed!F74</f>
        <v>6.21</v>
      </c>
      <c r="G123">
        <v>0</v>
      </c>
    </row>
    <row r="124" spans="1:7" x14ac:dyDescent="0.35">
      <c r="A124" s="11">
        <v>45689</v>
      </c>
      <c r="B124" s="12">
        <f>100*((HAVERM!E188/HAVERM!E176)-1)</f>
        <v>5.8917197452229342</v>
      </c>
      <c r="C124" s="12">
        <f>100*((HAVERM!C188/HAVERM!C176)-1)</f>
        <v>5.7995735607675902</v>
      </c>
      <c r="D124" s="12">
        <f>100*'27. Median of pay growth (UK)'!B123</f>
        <v>5.2995612625834898</v>
      </c>
      <c r="E124" s="12">
        <f>HAVERM!G188</f>
        <v>5.1749999999999998</v>
      </c>
      <c r="F124" s="12">
        <f>Indeed!F75</f>
        <v>6.05</v>
      </c>
      <c r="G124">
        <v>0</v>
      </c>
    </row>
    <row r="125" spans="1:7" x14ac:dyDescent="0.35">
      <c r="A125" s="11">
        <v>45717</v>
      </c>
      <c r="B125" s="12">
        <f>100*((HAVERM!E189/HAVERM!E177)-1)</f>
        <v>5.0552922590837213</v>
      </c>
      <c r="C125" s="12">
        <f>100*((HAVERM!C189/HAVERM!C177)-1)</f>
        <v>5.9023354564755826</v>
      </c>
      <c r="D125" s="12">
        <f>100*'27. Median of pay growth (UK)'!B124</f>
        <v>5.1886990711537697</v>
      </c>
      <c r="E125" s="12">
        <f>HAVERM!G189</f>
        <v>5.0289999999999999</v>
      </c>
      <c r="F125" s="12">
        <f>Indeed!F76</f>
        <v>5.84</v>
      </c>
      <c r="G125">
        <v>0</v>
      </c>
    </row>
    <row r="126" spans="1:7" x14ac:dyDescent="0.35">
      <c r="A126" s="11">
        <v>45748</v>
      </c>
      <c r="B126" s="12" t="e">
        <f>NA()</f>
        <v>#N/A</v>
      </c>
      <c r="C126" s="12">
        <f>100*((HAVERM!C190/HAVERM!C178)-1)</f>
        <v>6.3713080168776415</v>
      </c>
      <c r="D126" s="12">
        <f>100*'27. Median of pay growth (UK)'!B125</f>
        <v>5.0292028520134204</v>
      </c>
      <c r="E126" s="12">
        <f>HAVERM!G190</f>
        <v>4.84</v>
      </c>
      <c r="F126" s="12" t="e">
        <f>NA()</f>
        <v>#N/A</v>
      </c>
      <c r="G12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1B5F-24B0-4D4D-AAED-51008764BA6D}">
  <dimension ref="A1:I190"/>
  <sheetViews>
    <sheetView workbookViewId="0">
      <pane xSplit="1" ySplit="6" topLeftCell="B158" activePane="bottomRight" state="frozen"/>
      <selection pane="topRight" activeCell="B1" sqref="B1"/>
      <selection pane="bottomLeft" activeCell="A7" sqref="A7"/>
      <selection pane="bottomRight" activeCell="E2" sqref="E2"/>
    </sheetView>
  </sheetViews>
  <sheetFormatPr defaultRowHeight="14.5" x14ac:dyDescent="0.35"/>
  <cols>
    <col min="2" max="6" width="16.7265625" customWidth="1"/>
    <col min="7" max="7" width="19.26953125" customWidth="1"/>
  </cols>
  <sheetData>
    <row r="1" spans="1:7" x14ac:dyDescent="0.35">
      <c r="A1" s="7" t="s">
        <v>116</v>
      </c>
      <c r="B1" s="6" t="s">
        <v>114</v>
      </c>
      <c r="C1" s="6" t="s">
        <v>115</v>
      </c>
      <c r="D1" s="6" t="s">
        <v>297</v>
      </c>
      <c r="E1" s="13" t="s">
        <v>428</v>
      </c>
      <c r="F1" s="6" t="s">
        <v>304</v>
      </c>
      <c r="G1" s="13" t="s">
        <v>409</v>
      </c>
    </row>
    <row r="2" spans="1:7" s="9" customFormat="1" ht="82" customHeight="1" x14ac:dyDescent="0.35">
      <c r="A2" s="9" t="s">
        <v>122</v>
      </c>
      <c r="B2" s="9" t="s">
        <v>395</v>
      </c>
      <c r="C2" s="9" t="s">
        <v>125</v>
      </c>
      <c r="D2" s="9" t="s">
        <v>299</v>
      </c>
      <c r="E2" s="9" t="s">
        <v>429</v>
      </c>
      <c r="F2" s="9" t="s">
        <v>306</v>
      </c>
      <c r="G2" s="9" t="s">
        <v>413</v>
      </c>
    </row>
    <row r="3" spans="1:7" x14ac:dyDescent="0.35">
      <c r="A3" t="s">
        <v>121</v>
      </c>
      <c r="B3" t="s">
        <v>124</v>
      </c>
      <c r="C3" t="s">
        <v>124</v>
      </c>
      <c r="D3" t="s">
        <v>298</v>
      </c>
      <c r="E3" t="s">
        <v>298</v>
      </c>
      <c r="F3" t="s">
        <v>305</v>
      </c>
      <c r="G3" t="s">
        <v>412</v>
      </c>
    </row>
    <row r="4" spans="1:7" x14ac:dyDescent="0.35">
      <c r="A4" t="s">
        <v>120</v>
      </c>
      <c r="B4" t="s">
        <v>394</v>
      </c>
      <c r="C4" t="s">
        <v>396</v>
      </c>
      <c r="D4" t="s">
        <v>394</v>
      </c>
      <c r="E4" t="s">
        <v>394</v>
      </c>
      <c r="F4" t="s">
        <v>394</v>
      </c>
      <c r="G4" t="s">
        <v>396</v>
      </c>
    </row>
    <row r="5" spans="1:7" x14ac:dyDescent="0.35">
      <c r="A5" t="s">
        <v>119</v>
      </c>
      <c r="B5" t="s">
        <v>123</v>
      </c>
      <c r="C5" t="s">
        <v>123</v>
      </c>
      <c r="D5" t="s">
        <v>123</v>
      </c>
      <c r="E5" t="s">
        <v>123</v>
      </c>
      <c r="F5" t="s">
        <v>123</v>
      </c>
      <c r="G5" t="s">
        <v>411</v>
      </c>
    </row>
    <row r="6" spans="1:7" x14ac:dyDescent="0.35">
      <c r="A6" t="s">
        <v>118</v>
      </c>
      <c r="B6" t="s">
        <v>393</v>
      </c>
      <c r="C6" t="s">
        <v>393</v>
      </c>
      <c r="D6" t="s">
        <v>393</v>
      </c>
      <c r="E6" t="s">
        <v>393</v>
      </c>
      <c r="F6" t="s">
        <v>393</v>
      </c>
      <c r="G6" t="s">
        <v>410</v>
      </c>
    </row>
    <row r="7" spans="1:7" x14ac:dyDescent="0.35">
      <c r="A7" t="s">
        <v>117</v>
      </c>
      <c r="B7" s="8" t="e">
        <v>#N/A</v>
      </c>
      <c r="C7" s="8" t="e">
        <v>#N/A</v>
      </c>
      <c r="D7" s="8">
        <v>439</v>
      </c>
      <c r="E7" s="8">
        <v>405</v>
      </c>
      <c r="F7" s="12">
        <v>0.5</v>
      </c>
      <c r="G7" s="14" t="e">
        <v>#N/A</v>
      </c>
    </row>
    <row r="8" spans="1:7" x14ac:dyDescent="0.35">
      <c r="A8" t="s">
        <v>126</v>
      </c>
      <c r="B8" s="8" t="e">
        <v>#N/A</v>
      </c>
      <c r="C8" s="8" t="e">
        <v>#N/A</v>
      </c>
      <c r="D8" s="8">
        <v>446</v>
      </c>
      <c r="E8" s="8">
        <v>404</v>
      </c>
      <c r="F8" s="12">
        <v>0.7</v>
      </c>
      <c r="G8" s="14" t="e">
        <v>#N/A</v>
      </c>
    </row>
    <row r="9" spans="1:7" x14ac:dyDescent="0.35">
      <c r="A9" t="s">
        <v>127</v>
      </c>
      <c r="B9" s="8" t="e">
        <v>#N/A</v>
      </c>
      <c r="C9" s="8" t="e">
        <v>#N/A</v>
      </c>
      <c r="D9" s="8">
        <v>441</v>
      </c>
      <c r="E9" s="8">
        <v>407</v>
      </c>
      <c r="F9" s="12">
        <v>1</v>
      </c>
      <c r="G9" s="14" t="e">
        <v>#N/A</v>
      </c>
    </row>
    <row r="10" spans="1:7" x14ac:dyDescent="0.35">
      <c r="A10" t="s">
        <v>128</v>
      </c>
      <c r="B10" s="8" t="e">
        <v>#N/A</v>
      </c>
      <c r="C10" s="8" t="e">
        <v>#N/A</v>
      </c>
      <c r="D10" s="8">
        <v>442</v>
      </c>
      <c r="E10" s="8">
        <v>405</v>
      </c>
      <c r="F10" s="12">
        <v>0.9</v>
      </c>
      <c r="G10" s="14" t="e">
        <v>#N/A</v>
      </c>
    </row>
    <row r="11" spans="1:7" x14ac:dyDescent="0.35">
      <c r="A11" t="s">
        <v>129</v>
      </c>
      <c r="B11" s="8" t="e">
        <v>#N/A</v>
      </c>
      <c r="C11" s="8" t="e">
        <v>#N/A</v>
      </c>
      <c r="D11" s="8">
        <v>443</v>
      </c>
      <c r="E11" s="8">
        <v>404</v>
      </c>
      <c r="F11" s="12">
        <v>0.8</v>
      </c>
      <c r="G11" s="14" t="e">
        <v>#N/A</v>
      </c>
    </row>
    <row r="12" spans="1:7" x14ac:dyDescent="0.35">
      <c r="A12" t="s">
        <v>130</v>
      </c>
      <c r="B12" s="8" t="e">
        <v>#N/A</v>
      </c>
      <c r="C12" s="8" t="e">
        <v>#N/A</v>
      </c>
      <c r="D12" s="8">
        <v>442</v>
      </c>
      <c r="E12" s="8">
        <v>405</v>
      </c>
      <c r="F12" s="12">
        <v>0.6</v>
      </c>
      <c r="G12" s="14" t="e">
        <v>#N/A</v>
      </c>
    </row>
    <row r="13" spans="1:7" x14ac:dyDescent="0.35">
      <c r="A13" t="s">
        <v>131</v>
      </c>
      <c r="B13" s="8" t="e">
        <v>#N/A</v>
      </c>
      <c r="C13" s="8" t="e">
        <v>#N/A</v>
      </c>
      <c r="D13" s="8">
        <v>443</v>
      </c>
      <c r="E13" s="8">
        <v>407</v>
      </c>
      <c r="F13" s="12">
        <v>1</v>
      </c>
      <c r="G13" s="14" t="e">
        <v>#N/A</v>
      </c>
    </row>
    <row r="14" spans="1:7" x14ac:dyDescent="0.35">
      <c r="A14" t="s">
        <v>132</v>
      </c>
      <c r="B14" s="8" t="e">
        <v>#N/A</v>
      </c>
      <c r="C14" s="8" t="e">
        <v>#N/A</v>
      </c>
      <c r="D14" s="8">
        <v>445</v>
      </c>
      <c r="E14" s="8">
        <v>409</v>
      </c>
      <c r="F14" s="12">
        <v>1.6</v>
      </c>
      <c r="G14" s="14" t="e">
        <v>#N/A</v>
      </c>
    </row>
    <row r="15" spans="1:7" x14ac:dyDescent="0.35">
      <c r="A15" t="s">
        <v>133</v>
      </c>
      <c r="B15" s="8" t="e">
        <v>#N/A</v>
      </c>
      <c r="C15" s="8" t="e">
        <v>#N/A</v>
      </c>
      <c r="D15" s="8">
        <v>446</v>
      </c>
      <c r="E15" s="8">
        <v>409</v>
      </c>
      <c r="F15" s="12">
        <v>2</v>
      </c>
      <c r="G15" s="14" t="e">
        <v>#N/A</v>
      </c>
    </row>
    <row r="16" spans="1:7" x14ac:dyDescent="0.35">
      <c r="A16" t="s">
        <v>134</v>
      </c>
      <c r="B16" s="8" t="e">
        <v>#N/A</v>
      </c>
      <c r="C16" s="8" t="e">
        <v>#N/A</v>
      </c>
      <c r="D16" s="8">
        <v>447</v>
      </c>
      <c r="E16" s="8">
        <v>409</v>
      </c>
      <c r="F16" s="12">
        <v>2</v>
      </c>
      <c r="G16" s="14" t="e">
        <v>#N/A</v>
      </c>
    </row>
    <row r="17" spans="1:7" x14ac:dyDescent="0.35">
      <c r="A17" t="s">
        <v>135</v>
      </c>
      <c r="B17" s="8" t="e">
        <v>#N/A</v>
      </c>
      <c r="C17" s="8" t="e">
        <v>#N/A</v>
      </c>
      <c r="D17" s="8">
        <v>448</v>
      </c>
      <c r="E17" s="8">
        <v>409</v>
      </c>
      <c r="F17" s="12">
        <v>2</v>
      </c>
      <c r="G17" s="14" t="e">
        <v>#N/A</v>
      </c>
    </row>
    <row r="18" spans="1:7" x14ac:dyDescent="0.35">
      <c r="A18" t="s">
        <v>136</v>
      </c>
      <c r="B18" s="8" t="e">
        <v>#N/A</v>
      </c>
      <c r="C18" s="8" t="e">
        <v>#N/A</v>
      </c>
      <c r="D18" s="8">
        <v>449</v>
      </c>
      <c r="E18" s="8">
        <v>409</v>
      </c>
      <c r="F18" s="12">
        <v>1.9</v>
      </c>
      <c r="G18" s="14" t="e">
        <v>#N/A</v>
      </c>
    </row>
    <row r="19" spans="1:7" x14ac:dyDescent="0.35">
      <c r="A19" t="s">
        <v>137</v>
      </c>
      <c r="B19" s="8" t="e">
        <v>#N/A</v>
      </c>
      <c r="C19" s="8" t="e">
        <v>#N/A</v>
      </c>
      <c r="D19" s="8">
        <v>458</v>
      </c>
      <c r="E19" s="8">
        <v>413</v>
      </c>
      <c r="F19" s="12">
        <v>1.9</v>
      </c>
      <c r="G19" s="14" t="e">
        <v>#N/A</v>
      </c>
    </row>
    <row r="20" spans="1:7" x14ac:dyDescent="0.35">
      <c r="A20" t="s">
        <v>138</v>
      </c>
      <c r="B20" s="8" t="e">
        <v>#N/A</v>
      </c>
      <c r="C20" s="8" t="e">
        <v>#N/A</v>
      </c>
      <c r="D20" s="8">
        <v>453</v>
      </c>
      <c r="E20" s="8">
        <v>412</v>
      </c>
      <c r="F20" s="12">
        <v>1.8</v>
      </c>
      <c r="G20" s="14" t="e">
        <v>#N/A</v>
      </c>
    </row>
    <row r="21" spans="1:7" x14ac:dyDescent="0.35">
      <c r="A21" t="s">
        <v>139</v>
      </c>
      <c r="B21" s="8" t="e">
        <v>#N/A</v>
      </c>
      <c r="C21" s="8" t="e">
        <v>#N/A</v>
      </c>
      <c r="D21" s="8">
        <v>453</v>
      </c>
      <c r="E21" s="8">
        <v>412</v>
      </c>
      <c r="F21" s="12">
        <v>1.7</v>
      </c>
      <c r="G21" s="14" t="e">
        <v>#N/A</v>
      </c>
    </row>
    <row r="22" spans="1:7" x14ac:dyDescent="0.35">
      <c r="A22" t="s">
        <v>140</v>
      </c>
      <c r="B22" s="8" t="e">
        <v>#N/A</v>
      </c>
      <c r="C22" s="8" t="e">
        <v>#N/A</v>
      </c>
      <c r="D22" s="8">
        <v>451</v>
      </c>
      <c r="E22" s="8">
        <v>412</v>
      </c>
      <c r="F22" s="12">
        <v>1.6</v>
      </c>
      <c r="G22" s="14" t="e">
        <v>#N/A</v>
      </c>
    </row>
    <row r="23" spans="1:7" x14ac:dyDescent="0.35">
      <c r="A23" t="s">
        <v>141</v>
      </c>
      <c r="B23" s="8" t="e">
        <v>#N/A</v>
      </c>
      <c r="C23" s="8" t="e">
        <v>#N/A</v>
      </c>
      <c r="D23" s="8">
        <v>453</v>
      </c>
      <c r="E23" s="8">
        <v>414</v>
      </c>
      <c r="F23" s="12">
        <v>1.8</v>
      </c>
      <c r="G23" s="14" t="e">
        <v>#N/A</v>
      </c>
    </row>
    <row r="24" spans="1:7" x14ac:dyDescent="0.35">
      <c r="A24" t="s">
        <v>142</v>
      </c>
      <c r="B24" s="8" t="e">
        <v>#N/A</v>
      </c>
      <c r="C24" s="8" t="e">
        <v>#N/A</v>
      </c>
      <c r="D24" s="8">
        <v>456</v>
      </c>
      <c r="E24" s="8">
        <v>413</v>
      </c>
      <c r="F24" s="12">
        <v>2</v>
      </c>
      <c r="G24" s="14" t="e">
        <v>#N/A</v>
      </c>
    </row>
    <row r="25" spans="1:7" x14ac:dyDescent="0.35">
      <c r="A25" t="s">
        <v>143</v>
      </c>
      <c r="B25" s="8" t="e">
        <v>#N/A</v>
      </c>
      <c r="C25" s="8" t="e">
        <v>#N/A</v>
      </c>
      <c r="D25" s="8">
        <v>456</v>
      </c>
      <c r="E25" s="8">
        <v>414</v>
      </c>
      <c r="F25" s="12">
        <v>2</v>
      </c>
      <c r="G25" s="14" t="e">
        <v>#N/A</v>
      </c>
    </row>
    <row r="26" spans="1:7" x14ac:dyDescent="0.35">
      <c r="A26" t="s">
        <v>144</v>
      </c>
      <c r="B26" s="8" t="e">
        <v>#N/A</v>
      </c>
      <c r="C26" s="8" t="e">
        <v>#N/A</v>
      </c>
      <c r="D26" s="8">
        <v>454</v>
      </c>
      <c r="E26" s="8">
        <v>414</v>
      </c>
      <c r="F26" s="12">
        <v>1.7</v>
      </c>
      <c r="G26" s="14" t="e">
        <v>#N/A</v>
      </c>
    </row>
    <row r="27" spans="1:7" x14ac:dyDescent="0.35">
      <c r="A27" t="s">
        <v>145</v>
      </c>
      <c r="B27" s="8" t="e">
        <v>#N/A</v>
      </c>
      <c r="C27" s="8" t="e">
        <v>#N/A</v>
      </c>
      <c r="D27" s="8">
        <v>454</v>
      </c>
      <c r="E27" s="8">
        <v>416</v>
      </c>
      <c r="F27" s="12">
        <v>1.6</v>
      </c>
      <c r="G27" s="14" t="e">
        <v>#N/A</v>
      </c>
    </row>
    <row r="28" spans="1:7" x14ac:dyDescent="0.35">
      <c r="A28" t="s">
        <v>146</v>
      </c>
      <c r="B28" s="8" t="e">
        <v>#N/A</v>
      </c>
      <c r="C28" s="8" t="e">
        <v>#N/A</v>
      </c>
      <c r="D28" s="8">
        <v>456</v>
      </c>
      <c r="E28" s="8">
        <v>417</v>
      </c>
      <c r="F28" s="12">
        <v>1.7</v>
      </c>
      <c r="G28" s="14" t="e">
        <v>#N/A</v>
      </c>
    </row>
    <row r="29" spans="1:7" x14ac:dyDescent="0.35">
      <c r="A29" t="s">
        <v>147</v>
      </c>
      <c r="B29" s="8" t="e">
        <v>#N/A</v>
      </c>
      <c r="C29" s="8" t="e">
        <v>#N/A</v>
      </c>
      <c r="D29" s="8">
        <v>457</v>
      </c>
      <c r="E29" s="8">
        <v>417</v>
      </c>
      <c r="F29" s="12">
        <v>1.9</v>
      </c>
      <c r="G29" s="14" t="e">
        <v>#N/A</v>
      </c>
    </row>
    <row r="30" spans="1:7" x14ac:dyDescent="0.35">
      <c r="A30" t="s">
        <v>148</v>
      </c>
      <c r="B30" s="8" t="e">
        <v>#N/A</v>
      </c>
      <c r="C30" s="8" t="e">
        <v>#N/A</v>
      </c>
      <c r="D30" s="8">
        <v>457</v>
      </c>
      <c r="E30" s="8">
        <v>418</v>
      </c>
      <c r="F30" s="12">
        <v>2.1</v>
      </c>
      <c r="G30" s="14" t="e">
        <v>#N/A</v>
      </c>
    </row>
    <row r="31" spans="1:7" x14ac:dyDescent="0.35">
      <c r="A31" t="s">
        <v>149</v>
      </c>
      <c r="B31" s="8" t="e">
        <v>#N/A</v>
      </c>
      <c r="C31" s="8" t="e">
        <v>#N/A</v>
      </c>
      <c r="D31" s="8">
        <v>457</v>
      </c>
      <c r="E31" s="8">
        <v>418</v>
      </c>
      <c r="F31" s="12">
        <v>1.8</v>
      </c>
      <c r="G31" s="14" t="e">
        <v>#N/A</v>
      </c>
    </row>
    <row r="32" spans="1:7" x14ac:dyDescent="0.35">
      <c r="A32" t="s">
        <v>150</v>
      </c>
      <c r="B32" s="8" t="e">
        <v>#N/A</v>
      </c>
      <c r="C32" s="8" t="e">
        <v>#N/A</v>
      </c>
      <c r="D32" s="8">
        <v>457</v>
      </c>
      <c r="E32" s="8">
        <v>419</v>
      </c>
      <c r="F32" s="12">
        <v>1.8</v>
      </c>
      <c r="G32" s="14" t="e">
        <v>#N/A</v>
      </c>
    </row>
    <row r="33" spans="1:7" x14ac:dyDescent="0.35">
      <c r="A33" t="s">
        <v>151</v>
      </c>
      <c r="B33" s="8" t="e">
        <v>#N/A</v>
      </c>
      <c r="C33" s="8" t="e">
        <v>#N/A</v>
      </c>
      <c r="D33" s="8">
        <v>457</v>
      </c>
      <c r="E33" s="8">
        <v>421</v>
      </c>
      <c r="F33" s="12">
        <v>1.8</v>
      </c>
      <c r="G33" s="14" t="e">
        <v>#N/A</v>
      </c>
    </row>
    <row r="34" spans="1:7" x14ac:dyDescent="0.35">
      <c r="A34" t="s">
        <v>152</v>
      </c>
      <c r="B34" s="8" t="e">
        <v>#N/A</v>
      </c>
      <c r="C34" s="8" t="e">
        <v>#N/A</v>
      </c>
      <c r="D34" s="8">
        <v>460</v>
      </c>
      <c r="E34" s="8">
        <v>420</v>
      </c>
      <c r="F34" s="12">
        <v>2</v>
      </c>
      <c r="G34" s="14" t="e">
        <v>#N/A</v>
      </c>
    </row>
    <row r="35" spans="1:7" x14ac:dyDescent="0.35">
      <c r="A35" t="s">
        <v>153</v>
      </c>
      <c r="B35" s="8" t="e">
        <v>#N/A</v>
      </c>
      <c r="C35" s="8" t="e">
        <v>#N/A</v>
      </c>
      <c r="D35" s="8">
        <v>460</v>
      </c>
      <c r="E35" s="8">
        <v>421</v>
      </c>
      <c r="F35" s="12">
        <v>2</v>
      </c>
      <c r="G35" s="14" t="e">
        <v>#N/A</v>
      </c>
    </row>
    <row r="36" spans="1:7" x14ac:dyDescent="0.35">
      <c r="A36" t="s">
        <v>154</v>
      </c>
      <c r="B36" s="8" t="e">
        <v>#N/A</v>
      </c>
      <c r="C36" s="8" t="e">
        <v>#N/A</v>
      </c>
      <c r="D36" s="8">
        <v>461</v>
      </c>
      <c r="E36" s="8">
        <v>422</v>
      </c>
      <c r="F36" s="12">
        <v>2</v>
      </c>
      <c r="G36" s="14" t="e">
        <v>#N/A</v>
      </c>
    </row>
    <row r="37" spans="1:7" x14ac:dyDescent="0.35">
      <c r="A37" t="s">
        <v>155</v>
      </c>
      <c r="B37" s="8" t="e">
        <v>#N/A</v>
      </c>
      <c r="C37" s="8" t="e">
        <v>#N/A</v>
      </c>
      <c r="D37" s="8">
        <v>463</v>
      </c>
      <c r="E37" s="8">
        <v>422</v>
      </c>
      <c r="F37" s="12">
        <v>2</v>
      </c>
      <c r="G37" s="14" t="e">
        <v>#N/A</v>
      </c>
    </row>
    <row r="38" spans="1:7" x14ac:dyDescent="0.35">
      <c r="A38" t="s">
        <v>156</v>
      </c>
      <c r="B38" s="8" t="e">
        <v>#N/A</v>
      </c>
      <c r="C38" s="8" t="e">
        <v>#N/A</v>
      </c>
      <c r="D38" s="8">
        <v>464</v>
      </c>
      <c r="E38" s="8">
        <v>423</v>
      </c>
      <c r="F38" s="12">
        <v>2</v>
      </c>
      <c r="G38" s="14" t="e">
        <v>#N/A</v>
      </c>
    </row>
    <row r="39" spans="1:7" x14ac:dyDescent="0.35">
      <c r="A39" t="s">
        <v>157</v>
      </c>
      <c r="B39" s="8" t="e">
        <v>#N/A</v>
      </c>
      <c r="C39" s="8" t="e">
        <v>#N/A</v>
      </c>
      <c r="D39" s="8">
        <v>462</v>
      </c>
      <c r="E39" s="8">
        <v>422</v>
      </c>
      <c r="F39" s="12">
        <v>1.8</v>
      </c>
      <c r="G39" s="14" t="e">
        <v>#N/A</v>
      </c>
    </row>
    <row r="40" spans="1:7" x14ac:dyDescent="0.35">
      <c r="A40" t="s">
        <v>158</v>
      </c>
      <c r="B40" s="8" t="e">
        <v>#N/A</v>
      </c>
      <c r="C40" s="8" t="e">
        <v>#N/A</v>
      </c>
      <c r="D40" s="8">
        <v>462</v>
      </c>
      <c r="E40" s="8">
        <v>422</v>
      </c>
      <c r="F40" s="12">
        <v>1.6</v>
      </c>
      <c r="G40" s="14" t="e">
        <v>#N/A</v>
      </c>
    </row>
    <row r="41" spans="1:7" x14ac:dyDescent="0.35">
      <c r="A41" t="s">
        <v>159</v>
      </c>
      <c r="B41" s="8" t="e">
        <v>#N/A</v>
      </c>
      <c r="C41" s="8" t="e">
        <v>#N/A</v>
      </c>
      <c r="D41" s="8">
        <v>463</v>
      </c>
      <c r="E41" s="8">
        <v>424</v>
      </c>
      <c r="F41" s="12">
        <v>1.4</v>
      </c>
      <c r="G41" s="14" t="e">
        <v>#N/A</v>
      </c>
    </row>
    <row r="42" spans="1:7" x14ac:dyDescent="0.35">
      <c r="A42" t="s">
        <v>160</v>
      </c>
      <c r="B42" s="8" t="e">
        <v>#N/A</v>
      </c>
      <c r="C42" s="8" t="e">
        <v>#N/A</v>
      </c>
      <c r="D42" s="8">
        <v>461</v>
      </c>
      <c r="E42" s="8">
        <v>423</v>
      </c>
      <c r="F42" s="12">
        <v>1.3</v>
      </c>
      <c r="G42" s="14" t="e">
        <v>#N/A</v>
      </c>
    </row>
    <row r="43" spans="1:7" x14ac:dyDescent="0.35">
      <c r="A43" t="s">
        <v>161</v>
      </c>
      <c r="B43" s="8" t="e">
        <v>#N/A</v>
      </c>
      <c r="C43" s="8" t="e">
        <v>#N/A</v>
      </c>
      <c r="D43" s="8">
        <v>462</v>
      </c>
      <c r="E43" s="8">
        <v>422</v>
      </c>
      <c r="F43" s="12">
        <v>1.2</v>
      </c>
      <c r="G43" s="14" t="e">
        <v>#N/A</v>
      </c>
    </row>
    <row r="44" spans="1:7" x14ac:dyDescent="0.35">
      <c r="A44" t="s">
        <v>162</v>
      </c>
      <c r="B44" s="8" t="e">
        <v>#N/A</v>
      </c>
      <c r="C44" s="8" t="e">
        <v>#N/A</v>
      </c>
      <c r="D44" s="8">
        <v>462</v>
      </c>
      <c r="E44" s="8">
        <v>423</v>
      </c>
      <c r="F44" s="12">
        <v>1</v>
      </c>
      <c r="G44" s="14" t="e">
        <v>#N/A</v>
      </c>
    </row>
    <row r="45" spans="1:7" x14ac:dyDescent="0.35">
      <c r="A45" t="s">
        <v>163</v>
      </c>
      <c r="B45" s="8" t="e">
        <v>#N/A</v>
      </c>
      <c r="C45" s="8" t="e">
        <v>#N/A</v>
      </c>
      <c r="D45" s="8">
        <v>454</v>
      </c>
      <c r="E45" s="8">
        <v>424</v>
      </c>
      <c r="F45" s="12">
        <v>0.8</v>
      </c>
      <c r="G45" s="14" t="e">
        <v>#N/A</v>
      </c>
    </row>
    <row r="46" spans="1:7" x14ac:dyDescent="0.35">
      <c r="A46" t="s">
        <v>164</v>
      </c>
      <c r="B46" s="8" t="e">
        <v>#N/A</v>
      </c>
      <c r="C46" s="8" t="e">
        <v>#N/A</v>
      </c>
      <c r="D46" s="8">
        <v>478</v>
      </c>
      <c r="E46" s="8">
        <v>426</v>
      </c>
      <c r="F46" s="12">
        <v>0.9</v>
      </c>
      <c r="G46" s="14" t="e">
        <v>#N/A</v>
      </c>
    </row>
    <row r="47" spans="1:7" x14ac:dyDescent="0.35">
      <c r="A47" t="s">
        <v>165</v>
      </c>
      <c r="B47" s="8" t="e">
        <v>#N/A</v>
      </c>
      <c r="C47" s="8" t="e">
        <v>#N/A</v>
      </c>
      <c r="D47" s="8">
        <v>468</v>
      </c>
      <c r="E47" s="8">
        <v>426</v>
      </c>
      <c r="F47" s="12">
        <v>1</v>
      </c>
      <c r="G47" s="14" t="e">
        <v>#N/A</v>
      </c>
    </row>
    <row r="48" spans="1:7" x14ac:dyDescent="0.35">
      <c r="A48" t="s">
        <v>166</v>
      </c>
      <c r="B48" s="8" t="e">
        <v>#N/A</v>
      </c>
      <c r="C48" s="8" t="e">
        <v>#N/A</v>
      </c>
      <c r="D48" s="8">
        <v>466</v>
      </c>
      <c r="E48" s="8">
        <v>426</v>
      </c>
      <c r="F48" s="12">
        <v>1.1000000000000001</v>
      </c>
      <c r="G48" s="14" t="e">
        <v>#N/A</v>
      </c>
    </row>
    <row r="49" spans="1:7" x14ac:dyDescent="0.35">
      <c r="A49" t="s">
        <v>167</v>
      </c>
      <c r="B49" s="8" t="e">
        <v>#N/A</v>
      </c>
      <c r="C49" s="8" t="e">
        <v>#N/A</v>
      </c>
      <c r="D49" s="8">
        <v>466</v>
      </c>
      <c r="E49" s="8">
        <v>427</v>
      </c>
      <c r="F49" s="12">
        <v>1.1000000000000001</v>
      </c>
      <c r="G49" s="14" t="e">
        <v>#N/A</v>
      </c>
    </row>
    <row r="50" spans="1:7" x14ac:dyDescent="0.35">
      <c r="A50" t="s">
        <v>168</v>
      </c>
      <c r="B50" s="8" t="e">
        <v>#N/A</v>
      </c>
      <c r="C50" s="8" t="e">
        <v>#N/A</v>
      </c>
      <c r="D50" s="8">
        <v>466</v>
      </c>
      <c r="E50" s="8">
        <v>427</v>
      </c>
      <c r="F50" s="12">
        <v>1</v>
      </c>
      <c r="G50" s="14" t="e">
        <v>#N/A</v>
      </c>
    </row>
    <row r="51" spans="1:7" x14ac:dyDescent="0.35">
      <c r="A51" t="s">
        <v>169</v>
      </c>
      <c r="B51" s="8" t="e">
        <v>#N/A</v>
      </c>
      <c r="C51" s="8" t="e">
        <v>#N/A</v>
      </c>
      <c r="D51" s="8">
        <v>466</v>
      </c>
      <c r="E51" s="8">
        <v>426</v>
      </c>
      <c r="F51" s="12">
        <v>1</v>
      </c>
      <c r="G51" s="14" t="e">
        <v>#N/A</v>
      </c>
    </row>
    <row r="52" spans="1:7" x14ac:dyDescent="0.35">
      <c r="A52" t="s">
        <v>170</v>
      </c>
      <c r="B52" s="8" t="e">
        <v>#N/A</v>
      </c>
      <c r="C52" s="8" t="e">
        <v>#N/A</v>
      </c>
      <c r="D52" s="8">
        <v>466</v>
      </c>
      <c r="E52" s="8">
        <v>427</v>
      </c>
      <c r="F52" s="12">
        <v>1</v>
      </c>
      <c r="G52" s="14" t="e">
        <v>#N/A</v>
      </c>
    </row>
    <row r="53" spans="1:7" x14ac:dyDescent="0.35">
      <c r="A53" t="s">
        <v>171</v>
      </c>
      <c r="B53" s="8" t="e">
        <v>#N/A</v>
      </c>
      <c r="C53" s="8" t="e">
        <v>#N/A</v>
      </c>
      <c r="D53" s="8">
        <v>466</v>
      </c>
      <c r="E53" s="8">
        <v>427</v>
      </c>
      <c r="F53" s="12">
        <v>1</v>
      </c>
      <c r="G53" s="14" t="e">
        <v>#N/A</v>
      </c>
    </row>
    <row r="54" spans="1:7" x14ac:dyDescent="0.35">
      <c r="A54" t="s">
        <v>172</v>
      </c>
      <c r="B54" s="8" t="e">
        <v>#N/A</v>
      </c>
      <c r="C54" s="8" t="e">
        <v>#N/A</v>
      </c>
      <c r="D54" s="8">
        <v>468</v>
      </c>
      <c r="E54" s="8">
        <v>430</v>
      </c>
      <c r="F54" s="12">
        <v>1.2</v>
      </c>
      <c r="G54" s="14" t="e">
        <v>#N/A</v>
      </c>
    </row>
    <row r="55" spans="1:7" x14ac:dyDescent="0.35">
      <c r="A55" t="s">
        <v>173</v>
      </c>
      <c r="B55" s="8" t="e">
        <v>#N/A</v>
      </c>
      <c r="C55" s="8" t="e">
        <v>#N/A</v>
      </c>
      <c r="D55" s="8">
        <v>469</v>
      </c>
      <c r="E55" s="8">
        <v>431</v>
      </c>
      <c r="F55" s="12">
        <v>1.4</v>
      </c>
      <c r="G55" s="14" t="e">
        <v>#N/A</v>
      </c>
    </row>
    <row r="56" spans="1:7" x14ac:dyDescent="0.35">
      <c r="A56" t="s">
        <v>174</v>
      </c>
      <c r="B56" s="8" t="e">
        <v>#N/A</v>
      </c>
      <c r="C56" s="8" t="e">
        <v>#N/A</v>
      </c>
      <c r="D56" s="8">
        <v>472</v>
      </c>
      <c r="E56" s="8">
        <v>428</v>
      </c>
      <c r="F56" s="12">
        <v>1.6</v>
      </c>
      <c r="G56" s="14" t="e">
        <v>#N/A</v>
      </c>
    </row>
    <row r="57" spans="1:7" x14ac:dyDescent="0.35">
      <c r="A57" t="s">
        <v>175</v>
      </c>
      <c r="B57" s="8" t="e">
        <v>#N/A</v>
      </c>
      <c r="C57" s="8" t="e">
        <v>#N/A</v>
      </c>
      <c r="D57" s="8">
        <v>461</v>
      </c>
      <c r="E57" s="8">
        <v>428</v>
      </c>
      <c r="F57" s="12">
        <v>1.4</v>
      </c>
      <c r="G57" s="14" t="e">
        <v>#N/A</v>
      </c>
    </row>
    <row r="58" spans="1:7" x14ac:dyDescent="0.35">
      <c r="A58" t="s">
        <v>176</v>
      </c>
      <c r="B58" s="8" t="e">
        <v>#N/A</v>
      </c>
      <c r="C58" s="8" t="e">
        <v>#N/A</v>
      </c>
      <c r="D58" s="8">
        <v>469</v>
      </c>
      <c r="E58" s="8">
        <v>429</v>
      </c>
      <c r="F58" s="12">
        <v>0.9</v>
      </c>
      <c r="G58" s="14" t="e">
        <v>#N/A</v>
      </c>
    </row>
    <row r="59" spans="1:7" x14ac:dyDescent="0.35">
      <c r="A59" t="s">
        <v>177</v>
      </c>
      <c r="B59" s="8" t="e">
        <v>#N/A</v>
      </c>
      <c r="C59" s="8" t="e">
        <v>#N/A</v>
      </c>
      <c r="D59" s="8">
        <v>469</v>
      </c>
      <c r="E59" s="8">
        <v>430</v>
      </c>
      <c r="F59" s="12">
        <v>0.8</v>
      </c>
      <c r="G59" s="14" t="e">
        <v>#N/A</v>
      </c>
    </row>
    <row r="60" spans="1:7" x14ac:dyDescent="0.35">
      <c r="A60" t="s">
        <v>178</v>
      </c>
      <c r="B60" s="8" t="e">
        <v>#N/A</v>
      </c>
      <c r="C60" s="8" t="e">
        <v>#N/A</v>
      </c>
      <c r="D60" s="8">
        <v>470</v>
      </c>
      <c r="E60" s="8">
        <v>430</v>
      </c>
      <c r="F60" s="12">
        <v>0.9</v>
      </c>
      <c r="G60" s="14" t="e">
        <v>#N/A</v>
      </c>
    </row>
    <row r="61" spans="1:7" x14ac:dyDescent="0.35">
      <c r="A61" t="s">
        <v>179</v>
      </c>
      <c r="B61" s="8">
        <v>2188</v>
      </c>
      <c r="C61" s="8">
        <v>1598</v>
      </c>
      <c r="D61" s="8">
        <v>468</v>
      </c>
      <c r="E61" s="8">
        <v>430</v>
      </c>
      <c r="F61" s="12">
        <v>0.9</v>
      </c>
      <c r="G61" s="14" t="e">
        <v>#N/A</v>
      </c>
    </row>
    <row r="62" spans="1:7" x14ac:dyDescent="0.35">
      <c r="A62" t="s">
        <v>180</v>
      </c>
      <c r="B62" s="8">
        <v>2195</v>
      </c>
      <c r="C62" s="8">
        <v>1602</v>
      </c>
      <c r="D62" s="8">
        <v>469</v>
      </c>
      <c r="E62" s="8">
        <v>432</v>
      </c>
      <c r="F62" s="12">
        <v>1</v>
      </c>
      <c r="G62" s="14" t="e">
        <v>#N/A</v>
      </c>
    </row>
    <row r="63" spans="1:7" x14ac:dyDescent="0.35">
      <c r="A63" t="s">
        <v>181</v>
      </c>
      <c r="B63" s="8">
        <v>2199</v>
      </c>
      <c r="C63" s="8">
        <v>1601</v>
      </c>
      <c r="D63" s="8">
        <v>473</v>
      </c>
      <c r="E63" s="8">
        <v>435</v>
      </c>
      <c r="F63" s="12">
        <v>1.4</v>
      </c>
      <c r="G63" s="14" t="e">
        <v>#N/A</v>
      </c>
    </row>
    <row r="64" spans="1:7" x14ac:dyDescent="0.35">
      <c r="A64" t="s">
        <v>182</v>
      </c>
      <c r="B64" s="8">
        <v>2198</v>
      </c>
      <c r="C64" s="8">
        <v>1605</v>
      </c>
      <c r="D64" s="8">
        <v>475</v>
      </c>
      <c r="E64" s="8">
        <v>437</v>
      </c>
      <c r="F64" s="12">
        <v>1.9</v>
      </c>
      <c r="G64" s="14" t="e">
        <v>#N/A</v>
      </c>
    </row>
    <row r="65" spans="1:7" x14ac:dyDescent="0.35">
      <c r="A65" t="s">
        <v>183</v>
      </c>
      <c r="B65" s="8">
        <v>2215</v>
      </c>
      <c r="C65" s="8">
        <v>1607</v>
      </c>
      <c r="D65" s="8">
        <v>475</v>
      </c>
      <c r="E65" s="8">
        <v>435</v>
      </c>
      <c r="F65" s="12">
        <v>2.1</v>
      </c>
      <c r="G65" s="14" t="e">
        <v>#N/A</v>
      </c>
    </row>
    <row r="66" spans="1:7" x14ac:dyDescent="0.35">
      <c r="A66" t="s">
        <v>184</v>
      </c>
      <c r="B66" s="8">
        <v>2237</v>
      </c>
      <c r="C66" s="8">
        <v>1616</v>
      </c>
      <c r="D66" s="8">
        <v>478</v>
      </c>
      <c r="E66" s="8">
        <v>437</v>
      </c>
      <c r="F66" s="12">
        <v>2</v>
      </c>
      <c r="G66" s="14" t="e">
        <v>#N/A</v>
      </c>
    </row>
    <row r="67" spans="1:7" x14ac:dyDescent="0.35">
      <c r="A67" t="s">
        <v>185</v>
      </c>
      <c r="B67" s="8">
        <v>2236</v>
      </c>
      <c r="C67" s="8">
        <v>1620</v>
      </c>
      <c r="D67" s="8">
        <v>476</v>
      </c>
      <c r="E67" s="8">
        <v>439</v>
      </c>
      <c r="F67" s="12">
        <v>1.9</v>
      </c>
      <c r="G67" s="14" t="e">
        <v>#N/A</v>
      </c>
    </row>
    <row r="68" spans="1:7" x14ac:dyDescent="0.35">
      <c r="A68" t="s">
        <v>186</v>
      </c>
      <c r="B68" s="8">
        <v>2234</v>
      </c>
      <c r="C68" s="8">
        <v>1620</v>
      </c>
      <c r="D68" s="8">
        <v>478</v>
      </c>
      <c r="E68" s="8">
        <v>440</v>
      </c>
      <c r="F68" s="12">
        <v>2.1</v>
      </c>
      <c r="G68" s="14" t="e">
        <v>#N/A</v>
      </c>
    </row>
    <row r="69" spans="1:7" x14ac:dyDescent="0.35">
      <c r="A69" t="s">
        <v>187</v>
      </c>
      <c r="B69" s="8">
        <v>2219</v>
      </c>
      <c r="C69" s="8">
        <v>1618</v>
      </c>
      <c r="D69" s="8">
        <v>480</v>
      </c>
      <c r="E69" s="8">
        <v>443</v>
      </c>
      <c r="F69" s="12">
        <v>2.7</v>
      </c>
      <c r="G69" s="14" t="e">
        <v>#N/A</v>
      </c>
    </row>
    <row r="70" spans="1:7" x14ac:dyDescent="0.35">
      <c r="A70" t="s">
        <v>188</v>
      </c>
      <c r="B70" s="8">
        <v>2228</v>
      </c>
      <c r="C70" s="8">
        <v>1613</v>
      </c>
      <c r="D70" s="8">
        <v>481</v>
      </c>
      <c r="E70" s="8">
        <v>442</v>
      </c>
      <c r="F70" s="12">
        <v>3.1</v>
      </c>
      <c r="G70" s="14" t="e">
        <v>#N/A</v>
      </c>
    </row>
    <row r="71" spans="1:7" x14ac:dyDescent="0.35">
      <c r="A71" t="s">
        <v>189</v>
      </c>
      <c r="B71" s="8">
        <v>2222</v>
      </c>
      <c r="C71" s="8">
        <v>1616</v>
      </c>
      <c r="D71" s="8">
        <v>482</v>
      </c>
      <c r="E71" s="8">
        <v>443</v>
      </c>
      <c r="F71" s="12">
        <v>3.3</v>
      </c>
      <c r="G71" s="14" t="e">
        <v>#N/A</v>
      </c>
    </row>
    <row r="72" spans="1:7" x14ac:dyDescent="0.35">
      <c r="A72" t="s">
        <v>190</v>
      </c>
      <c r="B72" s="8">
        <v>2222</v>
      </c>
      <c r="C72" s="8">
        <v>1617</v>
      </c>
      <c r="D72" s="8">
        <v>481</v>
      </c>
      <c r="E72" s="8">
        <v>444</v>
      </c>
      <c r="F72" s="12">
        <v>3.2</v>
      </c>
      <c r="G72" s="14" t="e">
        <v>#N/A</v>
      </c>
    </row>
    <row r="73" spans="1:7" x14ac:dyDescent="0.35">
      <c r="A73" t="s">
        <v>191</v>
      </c>
      <c r="B73" s="8">
        <v>2228</v>
      </c>
      <c r="C73" s="8">
        <v>1620</v>
      </c>
      <c r="D73" s="8">
        <v>484</v>
      </c>
      <c r="E73" s="8">
        <v>445</v>
      </c>
      <c r="F73" s="12">
        <v>3.2</v>
      </c>
      <c r="G73" s="14" t="e">
        <v>#N/A</v>
      </c>
    </row>
    <row r="74" spans="1:7" x14ac:dyDescent="0.35">
      <c r="A74" t="s">
        <v>192</v>
      </c>
      <c r="B74" s="8">
        <v>2228</v>
      </c>
      <c r="C74" s="8">
        <v>1617</v>
      </c>
      <c r="D74" s="8">
        <v>484</v>
      </c>
      <c r="E74" s="8">
        <v>445</v>
      </c>
      <c r="F74" s="12">
        <v>3.2</v>
      </c>
      <c r="G74" s="14" t="e">
        <v>#N/A</v>
      </c>
    </row>
    <row r="75" spans="1:7" x14ac:dyDescent="0.35">
      <c r="A75" t="s">
        <v>193</v>
      </c>
      <c r="B75" s="8">
        <v>2225</v>
      </c>
      <c r="C75" s="8">
        <v>1619</v>
      </c>
      <c r="D75" s="8">
        <v>483</v>
      </c>
      <c r="E75" s="8">
        <v>444</v>
      </c>
      <c r="F75" s="12">
        <v>2.8</v>
      </c>
      <c r="G75" s="14" t="e">
        <v>#N/A</v>
      </c>
    </row>
    <row r="76" spans="1:7" x14ac:dyDescent="0.35">
      <c r="A76" t="s">
        <v>194</v>
      </c>
      <c r="B76" s="8">
        <v>2230</v>
      </c>
      <c r="C76" s="8">
        <v>1626</v>
      </c>
      <c r="D76" s="8">
        <v>484</v>
      </c>
      <c r="E76" s="8">
        <v>445</v>
      </c>
      <c r="F76" s="12">
        <v>2.2000000000000002</v>
      </c>
      <c r="G76" s="14" t="e">
        <v>#N/A</v>
      </c>
    </row>
    <row r="77" spans="1:7" x14ac:dyDescent="0.35">
      <c r="A77" t="s">
        <v>195</v>
      </c>
      <c r="B77" s="8">
        <v>2236</v>
      </c>
      <c r="C77" s="8">
        <v>1629</v>
      </c>
      <c r="D77" s="8">
        <v>484</v>
      </c>
      <c r="E77" s="8">
        <v>446</v>
      </c>
      <c r="F77" s="12">
        <v>2</v>
      </c>
      <c r="G77" s="14" t="e">
        <v>#N/A</v>
      </c>
    </row>
    <row r="78" spans="1:7" x14ac:dyDescent="0.35">
      <c r="A78" t="s">
        <v>196</v>
      </c>
      <c r="B78" s="8">
        <v>2239</v>
      </c>
      <c r="C78" s="8">
        <v>1631</v>
      </c>
      <c r="D78" s="8">
        <v>487</v>
      </c>
      <c r="E78" s="8">
        <v>447</v>
      </c>
      <c r="F78" s="12">
        <v>2.1</v>
      </c>
      <c r="G78" s="14" t="e">
        <v>#N/A</v>
      </c>
    </row>
    <row r="79" spans="1:7" x14ac:dyDescent="0.35">
      <c r="A79" t="s">
        <v>197</v>
      </c>
      <c r="B79" s="8">
        <v>2235</v>
      </c>
      <c r="C79" s="8">
        <v>1638</v>
      </c>
      <c r="D79" s="8">
        <v>489</v>
      </c>
      <c r="E79" s="8">
        <v>450</v>
      </c>
      <c r="F79" s="12">
        <v>2.4</v>
      </c>
      <c r="G79" s="14" t="e">
        <v>#N/A</v>
      </c>
    </row>
    <row r="80" spans="1:7" x14ac:dyDescent="0.35">
      <c r="A80" t="s">
        <v>198</v>
      </c>
      <c r="B80" s="8">
        <v>2238</v>
      </c>
      <c r="C80" s="8">
        <v>1640</v>
      </c>
      <c r="D80" s="8">
        <v>486</v>
      </c>
      <c r="E80" s="8">
        <v>452</v>
      </c>
      <c r="F80" s="12">
        <v>2.5</v>
      </c>
      <c r="G80" s="14" t="e">
        <v>#N/A</v>
      </c>
    </row>
    <row r="81" spans="1:7" x14ac:dyDescent="0.35">
      <c r="A81" t="s">
        <v>199</v>
      </c>
      <c r="B81" s="8">
        <v>2245</v>
      </c>
      <c r="C81" s="8">
        <v>1645</v>
      </c>
      <c r="D81" s="8">
        <v>490</v>
      </c>
      <c r="E81" s="8">
        <v>453</v>
      </c>
      <c r="F81" s="12">
        <v>2.5</v>
      </c>
      <c r="G81" s="14" t="e">
        <v>#N/A</v>
      </c>
    </row>
    <row r="82" spans="1:7" x14ac:dyDescent="0.35">
      <c r="A82" t="s">
        <v>200</v>
      </c>
      <c r="B82" s="8">
        <v>2266</v>
      </c>
      <c r="C82" s="8">
        <v>1651</v>
      </c>
      <c r="D82" s="8">
        <v>495</v>
      </c>
      <c r="E82" s="8">
        <v>454</v>
      </c>
      <c r="F82" s="12">
        <v>2.6</v>
      </c>
      <c r="G82" s="14" t="e">
        <v>#N/A</v>
      </c>
    </row>
    <row r="83" spans="1:7" x14ac:dyDescent="0.35">
      <c r="A83" t="s">
        <v>201</v>
      </c>
      <c r="B83" s="8">
        <v>2263</v>
      </c>
      <c r="C83" s="8">
        <v>1652</v>
      </c>
      <c r="D83" s="8">
        <v>493</v>
      </c>
      <c r="E83" s="8">
        <v>453</v>
      </c>
      <c r="F83" s="12">
        <v>2.4</v>
      </c>
      <c r="G83" s="14" t="e">
        <v>#N/A</v>
      </c>
    </row>
    <row r="84" spans="1:7" x14ac:dyDescent="0.35">
      <c r="A84" t="s">
        <v>202</v>
      </c>
      <c r="B84" s="8">
        <v>2269</v>
      </c>
      <c r="C84" s="8">
        <v>1654</v>
      </c>
      <c r="D84" s="8">
        <v>493</v>
      </c>
      <c r="E84" s="8">
        <v>455</v>
      </c>
      <c r="F84" s="12">
        <v>2.5</v>
      </c>
      <c r="G84" s="14" t="e">
        <v>#N/A</v>
      </c>
    </row>
    <row r="85" spans="1:7" x14ac:dyDescent="0.35">
      <c r="A85" t="s">
        <v>203</v>
      </c>
      <c r="B85" s="8">
        <v>2275</v>
      </c>
      <c r="C85" s="8">
        <v>1659</v>
      </c>
      <c r="D85" s="8">
        <v>496</v>
      </c>
      <c r="E85" s="8">
        <v>455</v>
      </c>
      <c r="F85" s="12">
        <v>2.4</v>
      </c>
      <c r="G85" s="14" t="e">
        <v>#N/A</v>
      </c>
    </row>
    <row r="86" spans="1:7" x14ac:dyDescent="0.35">
      <c r="A86" t="s">
        <v>204</v>
      </c>
      <c r="B86" s="8">
        <v>2270</v>
      </c>
      <c r="C86" s="8">
        <v>1660</v>
      </c>
      <c r="D86" s="8">
        <v>494</v>
      </c>
      <c r="E86" s="8">
        <v>456</v>
      </c>
      <c r="F86" s="12">
        <v>2.4</v>
      </c>
      <c r="G86" s="14" t="e">
        <v>#N/A</v>
      </c>
    </row>
    <row r="87" spans="1:7" x14ac:dyDescent="0.35">
      <c r="A87" t="s">
        <v>205</v>
      </c>
      <c r="B87" s="8">
        <v>2287</v>
      </c>
      <c r="C87" s="8">
        <v>1664</v>
      </c>
      <c r="D87" s="8">
        <v>495</v>
      </c>
      <c r="E87" s="8">
        <v>457</v>
      </c>
      <c r="F87" s="12">
        <v>2.6</v>
      </c>
      <c r="G87" s="14" t="e">
        <v>#N/A</v>
      </c>
    </row>
    <row r="88" spans="1:7" x14ac:dyDescent="0.35">
      <c r="A88" t="s">
        <v>206</v>
      </c>
      <c r="B88" s="8">
        <v>2291</v>
      </c>
      <c r="C88" s="8">
        <v>1663</v>
      </c>
      <c r="D88" s="8">
        <v>497</v>
      </c>
      <c r="E88" s="8">
        <v>457</v>
      </c>
      <c r="F88" s="12">
        <v>2.8</v>
      </c>
      <c r="G88" s="14" t="e">
        <v>#N/A</v>
      </c>
    </row>
    <row r="89" spans="1:7" x14ac:dyDescent="0.35">
      <c r="A89" t="s">
        <v>207</v>
      </c>
      <c r="B89" s="8">
        <v>2293</v>
      </c>
      <c r="C89" s="8">
        <v>1666</v>
      </c>
      <c r="D89" s="8">
        <v>498</v>
      </c>
      <c r="E89" s="8">
        <v>459</v>
      </c>
      <c r="F89" s="12">
        <v>2.9</v>
      </c>
      <c r="G89" s="14" t="e">
        <v>#N/A</v>
      </c>
    </row>
    <row r="90" spans="1:7" x14ac:dyDescent="0.35">
      <c r="A90" t="s">
        <v>208</v>
      </c>
      <c r="B90" s="8">
        <v>2293</v>
      </c>
      <c r="C90" s="8">
        <v>1667</v>
      </c>
      <c r="D90" s="8">
        <v>496</v>
      </c>
      <c r="E90" s="8">
        <v>459</v>
      </c>
      <c r="F90" s="12">
        <v>2.8</v>
      </c>
      <c r="G90" s="14" t="e">
        <v>#N/A</v>
      </c>
    </row>
    <row r="91" spans="1:7" x14ac:dyDescent="0.35">
      <c r="A91" t="s">
        <v>209</v>
      </c>
      <c r="B91" s="8">
        <v>2288</v>
      </c>
      <c r="C91" s="8">
        <v>1668</v>
      </c>
      <c r="D91" s="8">
        <v>497</v>
      </c>
      <c r="E91" s="8">
        <v>460</v>
      </c>
      <c r="F91" s="12">
        <v>2.6</v>
      </c>
      <c r="G91" s="14" t="e">
        <v>#N/A</v>
      </c>
    </row>
    <row r="92" spans="1:7" x14ac:dyDescent="0.35">
      <c r="A92" t="s">
        <v>210</v>
      </c>
      <c r="B92" s="8">
        <v>2304</v>
      </c>
      <c r="C92" s="8">
        <v>1677</v>
      </c>
      <c r="D92" s="8">
        <v>499</v>
      </c>
      <c r="E92" s="8">
        <v>461</v>
      </c>
      <c r="F92" s="12">
        <v>2.2000000000000002</v>
      </c>
      <c r="G92" s="14" t="e">
        <v>#N/A</v>
      </c>
    </row>
    <row r="93" spans="1:7" x14ac:dyDescent="0.35">
      <c r="A93" t="s">
        <v>211</v>
      </c>
      <c r="B93" s="8">
        <v>2315</v>
      </c>
      <c r="C93" s="8">
        <v>1686</v>
      </c>
      <c r="D93" s="8">
        <v>501</v>
      </c>
      <c r="E93" s="8">
        <v>462</v>
      </c>
      <c r="F93" s="12">
        <v>2</v>
      </c>
      <c r="G93" s="14" t="e">
        <v>#N/A</v>
      </c>
    </row>
    <row r="94" spans="1:7" x14ac:dyDescent="0.35">
      <c r="A94" t="s">
        <v>212</v>
      </c>
      <c r="B94" s="8">
        <v>2322</v>
      </c>
      <c r="C94" s="8">
        <v>1688</v>
      </c>
      <c r="D94" s="8">
        <v>502</v>
      </c>
      <c r="E94" s="8">
        <v>464</v>
      </c>
      <c r="F94" s="12">
        <v>2</v>
      </c>
      <c r="G94" s="14" t="e">
        <v>#N/A</v>
      </c>
    </row>
    <row r="95" spans="1:7" x14ac:dyDescent="0.35">
      <c r="A95" t="s">
        <v>213</v>
      </c>
      <c r="B95" s="8">
        <v>2333</v>
      </c>
      <c r="C95" s="8">
        <v>1690</v>
      </c>
      <c r="D95" s="8">
        <v>503</v>
      </c>
      <c r="E95" s="8">
        <v>464</v>
      </c>
      <c r="F95" s="12">
        <v>2.2000000000000002</v>
      </c>
      <c r="G95" s="14" t="e">
        <v>#N/A</v>
      </c>
    </row>
    <row r="96" spans="1:7" x14ac:dyDescent="0.35">
      <c r="A96" t="s">
        <v>214</v>
      </c>
      <c r="B96" s="8">
        <v>2333</v>
      </c>
      <c r="C96" s="8">
        <v>1695</v>
      </c>
      <c r="D96" s="8">
        <v>508</v>
      </c>
      <c r="E96" s="8">
        <v>465</v>
      </c>
      <c r="F96" s="12">
        <v>2.2999999999999998</v>
      </c>
      <c r="G96" s="14" t="e">
        <v>#N/A</v>
      </c>
    </row>
    <row r="97" spans="1:7" x14ac:dyDescent="0.35">
      <c r="A97" t="s">
        <v>215</v>
      </c>
      <c r="B97" s="8">
        <v>2330</v>
      </c>
      <c r="C97" s="8">
        <v>1693</v>
      </c>
      <c r="D97" s="8">
        <v>504</v>
      </c>
      <c r="E97" s="8">
        <v>465</v>
      </c>
      <c r="F97" s="12">
        <v>2.2999999999999998</v>
      </c>
      <c r="G97" s="14" t="e">
        <v>#N/A</v>
      </c>
    </row>
    <row r="98" spans="1:7" x14ac:dyDescent="0.35">
      <c r="A98" t="s">
        <v>216</v>
      </c>
      <c r="B98" s="8">
        <v>2337</v>
      </c>
      <c r="C98" s="8">
        <v>1700</v>
      </c>
      <c r="D98" s="8">
        <v>507</v>
      </c>
      <c r="E98" s="8">
        <v>467</v>
      </c>
      <c r="F98" s="12">
        <v>2.2999999999999998</v>
      </c>
      <c r="G98" s="14">
        <v>2.6339999999999999</v>
      </c>
    </row>
    <row r="99" spans="1:7" x14ac:dyDescent="0.35">
      <c r="A99" t="s">
        <v>217</v>
      </c>
      <c r="B99" s="8">
        <v>2346</v>
      </c>
      <c r="C99" s="8">
        <v>1704</v>
      </c>
      <c r="D99" s="8">
        <v>509</v>
      </c>
      <c r="E99" s="8">
        <v>468</v>
      </c>
      <c r="F99" s="12">
        <v>2.4</v>
      </c>
      <c r="G99" s="14">
        <v>2.556</v>
      </c>
    </row>
    <row r="100" spans="1:7" x14ac:dyDescent="0.35">
      <c r="A100" t="s">
        <v>218</v>
      </c>
      <c r="B100" s="8">
        <v>2345</v>
      </c>
      <c r="C100" s="8">
        <v>1706</v>
      </c>
      <c r="D100" s="8">
        <v>509</v>
      </c>
      <c r="E100" s="8">
        <v>469</v>
      </c>
      <c r="F100" s="12">
        <v>2.4</v>
      </c>
      <c r="G100" s="14">
        <v>2.6190000000000002</v>
      </c>
    </row>
    <row r="101" spans="1:7" x14ac:dyDescent="0.35">
      <c r="A101" t="s">
        <v>219</v>
      </c>
      <c r="B101" s="8">
        <v>2351</v>
      </c>
      <c r="C101" s="8">
        <v>1713</v>
      </c>
      <c r="D101" s="8">
        <v>510</v>
      </c>
      <c r="E101" s="8">
        <v>470</v>
      </c>
      <c r="F101" s="12">
        <v>2.4</v>
      </c>
      <c r="G101" s="14" t="e">
        <v>#N/A</v>
      </c>
    </row>
    <row r="102" spans="1:7" x14ac:dyDescent="0.35">
      <c r="A102" t="s">
        <v>220</v>
      </c>
      <c r="B102" s="8">
        <v>2360</v>
      </c>
      <c r="C102" s="8">
        <v>1721</v>
      </c>
      <c r="D102" s="8">
        <v>512</v>
      </c>
      <c r="E102" s="8">
        <v>472</v>
      </c>
      <c r="F102" s="12">
        <v>2.6</v>
      </c>
      <c r="G102" s="14" t="e">
        <v>#N/A</v>
      </c>
    </row>
    <row r="103" spans="1:7" x14ac:dyDescent="0.35">
      <c r="A103" t="s">
        <v>221</v>
      </c>
      <c r="B103" s="8">
        <v>2367</v>
      </c>
      <c r="C103" s="8">
        <v>1725</v>
      </c>
      <c r="D103" s="8">
        <v>510</v>
      </c>
      <c r="E103" s="8">
        <v>473</v>
      </c>
      <c r="F103" s="12">
        <v>2.7</v>
      </c>
      <c r="G103" s="14" t="e">
        <v>#N/A</v>
      </c>
    </row>
    <row r="104" spans="1:7" x14ac:dyDescent="0.35">
      <c r="A104" t="s">
        <v>222</v>
      </c>
      <c r="B104" s="8">
        <v>2380</v>
      </c>
      <c r="C104" s="8">
        <v>1728</v>
      </c>
      <c r="D104" s="8">
        <v>513</v>
      </c>
      <c r="E104" s="8">
        <v>475</v>
      </c>
      <c r="F104" s="12">
        <v>2.9</v>
      </c>
      <c r="G104" s="14" t="e">
        <v>#N/A</v>
      </c>
    </row>
    <row r="105" spans="1:7" x14ac:dyDescent="0.35">
      <c r="A105" t="s">
        <v>223</v>
      </c>
      <c r="B105" s="8">
        <v>2388</v>
      </c>
      <c r="C105" s="8">
        <v>1729</v>
      </c>
      <c r="D105" s="8">
        <v>513</v>
      </c>
      <c r="E105" s="8">
        <v>477</v>
      </c>
      <c r="F105" s="12">
        <v>3</v>
      </c>
      <c r="G105" s="14" t="e">
        <v>#N/A</v>
      </c>
    </row>
    <row r="106" spans="1:7" x14ac:dyDescent="0.35">
      <c r="A106" t="s">
        <v>224</v>
      </c>
      <c r="B106" s="8">
        <v>2393</v>
      </c>
      <c r="C106" s="8">
        <v>1729</v>
      </c>
      <c r="D106" s="8">
        <v>515</v>
      </c>
      <c r="E106" s="8">
        <v>476</v>
      </c>
      <c r="F106" s="12">
        <v>3</v>
      </c>
      <c r="G106" s="14" t="e">
        <v>#N/A</v>
      </c>
    </row>
    <row r="107" spans="1:7" x14ac:dyDescent="0.35">
      <c r="A107" t="s">
        <v>225</v>
      </c>
      <c r="B107" s="8">
        <v>2405</v>
      </c>
      <c r="C107" s="8">
        <v>1749</v>
      </c>
      <c r="D107" s="8">
        <v>516</v>
      </c>
      <c r="E107" s="8">
        <v>478</v>
      </c>
      <c r="F107" s="12">
        <v>2.9</v>
      </c>
      <c r="G107" s="14" t="e">
        <v>#N/A</v>
      </c>
    </row>
    <row r="108" spans="1:7" x14ac:dyDescent="0.35">
      <c r="A108" t="s">
        <v>226</v>
      </c>
      <c r="B108" s="8">
        <v>2424</v>
      </c>
      <c r="C108" s="8">
        <v>1756</v>
      </c>
      <c r="D108" s="8">
        <v>519</v>
      </c>
      <c r="E108" s="8">
        <v>479</v>
      </c>
      <c r="F108" s="12">
        <v>2.8</v>
      </c>
      <c r="G108" s="14" t="e">
        <v>#N/A</v>
      </c>
    </row>
    <row r="109" spans="1:7" x14ac:dyDescent="0.35">
      <c r="A109" t="s">
        <v>227</v>
      </c>
      <c r="B109" s="8">
        <v>2417</v>
      </c>
      <c r="C109" s="8">
        <v>1751</v>
      </c>
      <c r="D109" s="8">
        <v>521</v>
      </c>
      <c r="E109" s="8">
        <v>481</v>
      </c>
      <c r="F109" s="12">
        <v>3</v>
      </c>
      <c r="G109" s="14" t="e">
        <v>#N/A</v>
      </c>
    </row>
    <row r="110" spans="1:7" x14ac:dyDescent="0.35">
      <c r="A110" t="s">
        <v>228</v>
      </c>
      <c r="B110" s="8">
        <v>2430</v>
      </c>
      <c r="C110" s="8">
        <v>1772</v>
      </c>
      <c r="D110" s="8">
        <v>523</v>
      </c>
      <c r="E110" s="8">
        <v>483</v>
      </c>
      <c r="F110" s="12">
        <v>3.2</v>
      </c>
      <c r="G110" s="14" t="e">
        <v>#N/A</v>
      </c>
    </row>
    <row r="111" spans="1:7" x14ac:dyDescent="0.35">
      <c r="A111" t="s">
        <v>229</v>
      </c>
      <c r="B111" s="8">
        <v>2424</v>
      </c>
      <c r="C111" s="8">
        <v>1761</v>
      </c>
      <c r="D111" s="8">
        <v>523</v>
      </c>
      <c r="E111" s="8">
        <v>483</v>
      </c>
      <c r="F111" s="12">
        <v>3.3</v>
      </c>
      <c r="G111" s="14" t="e">
        <v>#N/A</v>
      </c>
    </row>
    <row r="112" spans="1:7" x14ac:dyDescent="0.35">
      <c r="A112" t="s">
        <v>230</v>
      </c>
      <c r="B112" s="8">
        <v>2436</v>
      </c>
      <c r="C112" s="8">
        <v>1767</v>
      </c>
      <c r="D112" s="8">
        <v>530</v>
      </c>
      <c r="E112" s="8">
        <v>486</v>
      </c>
      <c r="F112" s="12">
        <v>3.4</v>
      </c>
      <c r="G112" s="14" t="e">
        <v>#N/A</v>
      </c>
    </row>
    <row r="113" spans="1:7" x14ac:dyDescent="0.35">
      <c r="A113" t="s">
        <v>231</v>
      </c>
      <c r="B113" s="8">
        <v>2431</v>
      </c>
      <c r="C113" s="8">
        <v>1778</v>
      </c>
      <c r="D113" s="8">
        <v>526</v>
      </c>
      <c r="E113" s="8">
        <v>487</v>
      </c>
      <c r="F113" s="12">
        <v>3.4</v>
      </c>
      <c r="G113" s="14" t="e">
        <v>#N/A</v>
      </c>
    </row>
    <row r="114" spans="1:7" x14ac:dyDescent="0.35">
      <c r="A114" t="s">
        <v>232</v>
      </c>
      <c r="B114" s="8">
        <v>2428</v>
      </c>
      <c r="C114" s="8">
        <v>1772</v>
      </c>
      <c r="D114" s="8">
        <v>528</v>
      </c>
      <c r="E114" s="8">
        <v>488</v>
      </c>
      <c r="F114" s="12">
        <v>3.5</v>
      </c>
      <c r="G114" s="14" t="e">
        <v>#N/A</v>
      </c>
    </row>
    <row r="115" spans="1:7" x14ac:dyDescent="0.35">
      <c r="A115" t="s">
        <v>233</v>
      </c>
      <c r="B115" s="8">
        <v>2424</v>
      </c>
      <c r="C115" s="8">
        <v>1784</v>
      </c>
      <c r="D115" s="8">
        <v>530</v>
      </c>
      <c r="E115" s="8">
        <v>491</v>
      </c>
      <c r="F115" s="12">
        <v>3.6</v>
      </c>
      <c r="G115" s="14" t="e">
        <v>#N/A</v>
      </c>
    </row>
    <row r="116" spans="1:7" x14ac:dyDescent="0.35">
      <c r="A116" t="s">
        <v>234</v>
      </c>
      <c r="B116" s="8">
        <v>2432</v>
      </c>
      <c r="C116" s="8">
        <v>1791</v>
      </c>
      <c r="D116" s="8">
        <v>532</v>
      </c>
      <c r="E116" s="8">
        <v>491</v>
      </c>
      <c r="F116" s="12">
        <v>3.6</v>
      </c>
      <c r="G116" s="14" t="e">
        <v>#N/A</v>
      </c>
    </row>
    <row r="117" spans="1:7" x14ac:dyDescent="0.35">
      <c r="A117" t="s">
        <v>235</v>
      </c>
      <c r="B117" s="8">
        <v>2485</v>
      </c>
      <c r="C117" s="8">
        <v>1799</v>
      </c>
      <c r="D117" s="8">
        <v>525</v>
      </c>
      <c r="E117" s="8">
        <v>493</v>
      </c>
      <c r="F117" s="12">
        <v>3.6</v>
      </c>
      <c r="G117" s="14" t="e">
        <v>#N/A</v>
      </c>
    </row>
    <row r="118" spans="1:7" x14ac:dyDescent="0.35">
      <c r="A118" t="s">
        <v>236</v>
      </c>
      <c r="B118" s="8">
        <v>2493</v>
      </c>
      <c r="C118" s="8">
        <v>1808</v>
      </c>
      <c r="D118" s="8">
        <v>534</v>
      </c>
      <c r="E118" s="8">
        <v>494</v>
      </c>
      <c r="F118" s="12">
        <v>3.6</v>
      </c>
      <c r="G118" s="14" t="e">
        <v>#N/A</v>
      </c>
    </row>
    <row r="119" spans="1:7" x14ac:dyDescent="0.35">
      <c r="A119" t="s">
        <v>237</v>
      </c>
      <c r="B119" s="8">
        <v>2491</v>
      </c>
      <c r="C119" s="8">
        <v>1815</v>
      </c>
      <c r="D119" s="8">
        <v>537</v>
      </c>
      <c r="E119" s="8">
        <v>496</v>
      </c>
      <c r="F119" s="12">
        <v>3.7</v>
      </c>
      <c r="G119" s="14" t="e">
        <v>#N/A</v>
      </c>
    </row>
    <row r="120" spans="1:7" x14ac:dyDescent="0.35">
      <c r="A120" t="s">
        <v>238</v>
      </c>
      <c r="B120" s="8">
        <v>2491</v>
      </c>
      <c r="C120" s="8">
        <v>1812</v>
      </c>
      <c r="D120" s="8">
        <v>540</v>
      </c>
      <c r="E120" s="8">
        <v>499</v>
      </c>
      <c r="F120" s="12">
        <v>3.9</v>
      </c>
      <c r="G120" s="14" t="e">
        <v>#N/A</v>
      </c>
    </row>
    <row r="121" spans="1:7" x14ac:dyDescent="0.35">
      <c r="A121" t="s">
        <v>239</v>
      </c>
      <c r="B121" s="8">
        <v>2494</v>
      </c>
      <c r="C121" s="8">
        <v>1819</v>
      </c>
      <c r="D121" s="8">
        <v>542</v>
      </c>
      <c r="E121" s="8">
        <v>499</v>
      </c>
      <c r="F121" s="12">
        <v>3.9</v>
      </c>
      <c r="G121" s="14" t="e">
        <v>#N/A</v>
      </c>
    </row>
    <row r="122" spans="1:7" x14ac:dyDescent="0.35">
      <c r="A122" t="s">
        <v>240</v>
      </c>
      <c r="B122" s="8">
        <v>2488</v>
      </c>
      <c r="C122" s="8">
        <v>1826</v>
      </c>
      <c r="D122" s="8">
        <v>541</v>
      </c>
      <c r="E122" s="8">
        <v>500</v>
      </c>
      <c r="F122" s="12">
        <v>3.9</v>
      </c>
      <c r="G122" s="14" t="e">
        <v>#N/A</v>
      </c>
    </row>
    <row r="123" spans="1:7" x14ac:dyDescent="0.35">
      <c r="A123" t="s">
        <v>241</v>
      </c>
      <c r="B123" s="8">
        <v>2492</v>
      </c>
      <c r="C123" s="8">
        <v>1820</v>
      </c>
      <c r="D123" s="8">
        <v>544</v>
      </c>
      <c r="E123" s="8">
        <v>501</v>
      </c>
      <c r="F123" s="12">
        <v>3.7</v>
      </c>
      <c r="G123" s="14" t="e">
        <v>#N/A</v>
      </c>
    </row>
    <row r="124" spans="1:7" x14ac:dyDescent="0.35">
      <c r="A124" t="s">
        <v>242</v>
      </c>
      <c r="B124" s="8">
        <v>2497</v>
      </c>
      <c r="C124" s="8">
        <v>1825</v>
      </c>
      <c r="D124" s="8">
        <v>543</v>
      </c>
      <c r="E124" s="8">
        <v>501</v>
      </c>
      <c r="F124" s="12">
        <v>3.5</v>
      </c>
      <c r="G124" s="14" t="e">
        <v>#N/A</v>
      </c>
    </row>
    <row r="125" spans="1:7" x14ac:dyDescent="0.35">
      <c r="A125" t="s">
        <v>243</v>
      </c>
      <c r="B125" s="8">
        <v>2500</v>
      </c>
      <c r="C125" s="8">
        <v>1830</v>
      </c>
      <c r="D125" s="8">
        <v>543</v>
      </c>
      <c r="E125" s="8">
        <v>502</v>
      </c>
      <c r="F125" s="12">
        <v>3.3</v>
      </c>
      <c r="G125" s="14" t="e">
        <v>#N/A</v>
      </c>
    </row>
    <row r="126" spans="1:7" x14ac:dyDescent="0.35">
      <c r="A126" t="s">
        <v>244</v>
      </c>
      <c r="B126" s="8">
        <v>2505</v>
      </c>
      <c r="C126" s="8">
        <v>1836</v>
      </c>
      <c r="D126" s="8">
        <v>542</v>
      </c>
      <c r="E126" s="8">
        <v>504</v>
      </c>
      <c r="F126" s="12">
        <v>3.2</v>
      </c>
      <c r="G126" s="14" t="e">
        <v>#N/A</v>
      </c>
    </row>
    <row r="127" spans="1:7" x14ac:dyDescent="0.35">
      <c r="A127" t="s">
        <v>245</v>
      </c>
      <c r="B127" s="8">
        <v>2512</v>
      </c>
      <c r="C127" s="8">
        <v>1852</v>
      </c>
      <c r="D127" s="8">
        <v>546</v>
      </c>
      <c r="E127" s="8">
        <v>505</v>
      </c>
      <c r="F127" s="12">
        <v>3</v>
      </c>
      <c r="G127" s="14" t="e">
        <v>#N/A</v>
      </c>
    </row>
    <row r="128" spans="1:7" x14ac:dyDescent="0.35">
      <c r="A128" t="s">
        <v>246</v>
      </c>
      <c r="B128" s="8">
        <v>2509</v>
      </c>
      <c r="C128" s="8">
        <v>1861</v>
      </c>
      <c r="D128" s="8">
        <v>547</v>
      </c>
      <c r="E128" s="8">
        <v>505</v>
      </c>
      <c r="F128" s="12">
        <v>2.9</v>
      </c>
      <c r="G128" s="14" t="e">
        <v>#N/A</v>
      </c>
    </row>
    <row r="129" spans="1:7" x14ac:dyDescent="0.35">
      <c r="A129" t="s">
        <v>247</v>
      </c>
      <c r="B129" s="8">
        <v>2514</v>
      </c>
      <c r="C129" s="8">
        <v>1845</v>
      </c>
      <c r="D129" s="8">
        <v>529</v>
      </c>
      <c r="E129" s="8">
        <v>504</v>
      </c>
      <c r="F129" s="12">
        <v>2.5</v>
      </c>
      <c r="G129" s="14" t="e">
        <v>#N/A</v>
      </c>
    </row>
    <row r="130" spans="1:7" x14ac:dyDescent="0.35">
      <c r="A130" t="s">
        <v>248</v>
      </c>
      <c r="B130" s="8">
        <v>2476</v>
      </c>
      <c r="C130" s="8">
        <v>1791</v>
      </c>
      <c r="D130" s="8">
        <v>529</v>
      </c>
      <c r="E130" s="8">
        <v>490</v>
      </c>
      <c r="F130" s="12">
        <v>1.3</v>
      </c>
      <c r="G130" s="14" t="e">
        <v>#N/A</v>
      </c>
    </row>
    <row r="131" spans="1:7" x14ac:dyDescent="0.35">
      <c r="A131" t="s">
        <v>249</v>
      </c>
      <c r="B131" s="8">
        <v>2468</v>
      </c>
      <c r="C131" s="8">
        <v>1798</v>
      </c>
      <c r="D131" s="8">
        <v>532</v>
      </c>
      <c r="E131" s="8">
        <v>489</v>
      </c>
      <c r="F131" s="12">
        <v>-0.1</v>
      </c>
      <c r="G131" s="14" t="e">
        <v>#N/A</v>
      </c>
    </row>
    <row r="132" spans="1:7" x14ac:dyDescent="0.35">
      <c r="A132" t="s">
        <v>250</v>
      </c>
      <c r="B132" s="8">
        <v>2495</v>
      </c>
      <c r="C132" s="8">
        <v>1829</v>
      </c>
      <c r="D132" s="8">
        <v>532</v>
      </c>
      <c r="E132" s="8">
        <v>492</v>
      </c>
      <c r="F132" s="12">
        <v>-1.2</v>
      </c>
      <c r="G132" s="14" t="e">
        <v>#N/A</v>
      </c>
    </row>
    <row r="133" spans="1:7" x14ac:dyDescent="0.35">
      <c r="A133" t="s">
        <v>251</v>
      </c>
      <c r="B133" s="8">
        <v>2533</v>
      </c>
      <c r="C133" s="8">
        <v>1859</v>
      </c>
      <c r="D133" s="8">
        <v>541</v>
      </c>
      <c r="E133" s="8">
        <v>500</v>
      </c>
      <c r="F133" s="12">
        <v>-0.8</v>
      </c>
      <c r="G133" s="14" t="e">
        <v>#N/A</v>
      </c>
    </row>
    <row r="134" spans="1:7" x14ac:dyDescent="0.35">
      <c r="A134" t="s">
        <v>252</v>
      </c>
      <c r="B134" s="8">
        <v>2569</v>
      </c>
      <c r="C134" s="8">
        <v>1881</v>
      </c>
      <c r="D134" s="8">
        <v>552</v>
      </c>
      <c r="E134" s="8">
        <v>507</v>
      </c>
      <c r="F134" s="12">
        <v>0.1</v>
      </c>
      <c r="G134" s="14" t="e">
        <v>#N/A</v>
      </c>
    </row>
    <row r="135" spans="1:7" x14ac:dyDescent="0.35">
      <c r="A135" t="s">
        <v>253</v>
      </c>
      <c r="B135" s="8">
        <v>2598</v>
      </c>
      <c r="C135" s="8">
        <v>1900</v>
      </c>
      <c r="D135" s="8">
        <v>558</v>
      </c>
      <c r="E135" s="8">
        <v>513</v>
      </c>
      <c r="F135" s="12">
        <v>1.4</v>
      </c>
      <c r="G135" s="14" t="e">
        <v>#N/A</v>
      </c>
    </row>
    <row r="136" spans="1:7" x14ac:dyDescent="0.35">
      <c r="A136" t="s">
        <v>254</v>
      </c>
      <c r="B136" s="8">
        <v>2620</v>
      </c>
      <c r="C136" s="8">
        <v>1911</v>
      </c>
      <c r="D136" s="8">
        <v>563</v>
      </c>
      <c r="E136" s="8">
        <v>518</v>
      </c>
      <c r="F136" s="12">
        <v>2.4</v>
      </c>
      <c r="G136" s="14" t="e">
        <v>#N/A</v>
      </c>
    </row>
    <row r="137" spans="1:7" x14ac:dyDescent="0.35">
      <c r="A137" t="s">
        <v>255</v>
      </c>
      <c r="B137" s="8">
        <v>2633</v>
      </c>
      <c r="C137" s="8">
        <v>1913</v>
      </c>
      <c r="D137" s="8">
        <v>568</v>
      </c>
      <c r="E137" s="8">
        <v>522</v>
      </c>
      <c r="F137" s="12">
        <v>3.3</v>
      </c>
      <c r="G137" s="14" t="e">
        <v>#N/A</v>
      </c>
    </row>
    <row r="138" spans="1:7" x14ac:dyDescent="0.35">
      <c r="A138" t="s">
        <v>256</v>
      </c>
      <c r="B138" s="8">
        <v>2647</v>
      </c>
      <c r="C138" s="8">
        <v>1925</v>
      </c>
      <c r="D138" s="8">
        <v>570</v>
      </c>
      <c r="E138" s="8">
        <v>525</v>
      </c>
      <c r="F138" s="12">
        <v>3.9</v>
      </c>
      <c r="G138" s="14" t="e">
        <v>#N/A</v>
      </c>
    </row>
    <row r="139" spans="1:7" x14ac:dyDescent="0.35">
      <c r="A139" t="s">
        <v>257</v>
      </c>
      <c r="B139" s="8">
        <v>2641</v>
      </c>
      <c r="C139" s="8">
        <v>1930</v>
      </c>
      <c r="D139" s="8">
        <v>570</v>
      </c>
      <c r="E139" s="8">
        <v>525</v>
      </c>
      <c r="F139" s="12">
        <v>4.0999999999999996</v>
      </c>
      <c r="G139" s="14" t="e">
        <v>#N/A</v>
      </c>
    </row>
    <row r="140" spans="1:7" x14ac:dyDescent="0.35">
      <c r="A140" t="s">
        <v>258</v>
      </c>
      <c r="B140" s="8">
        <v>2636</v>
      </c>
      <c r="C140" s="8">
        <v>1942</v>
      </c>
      <c r="D140" s="8">
        <v>569</v>
      </c>
      <c r="E140" s="8">
        <v>525</v>
      </c>
      <c r="F140" s="12">
        <v>4.0999999999999996</v>
      </c>
      <c r="G140" s="14" t="e">
        <v>#N/A</v>
      </c>
    </row>
    <row r="141" spans="1:7" x14ac:dyDescent="0.35">
      <c r="A141" t="s">
        <v>259</v>
      </c>
      <c r="B141" s="8">
        <v>2625</v>
      </c>
      <c r="C141" s="8">
        <v>1948</v>
      </c>
      <c r="D141" s="8">
        <v>551</v>
      </c>
      <c r="E141" s="8">
        <v>528</v>
      </c>
      <c r="F141" s="12">
        <v>4.3</v>
      </c>
      <c r="G141" s="14" t="e">
        <v>#N/A</v>
      </c>
    </row>
    <row r="142" spans="1:7" x14ac:dyDescent="0.35">
      <c r="A142" t="s">
        <v>260</v>
      </c>
      <c r="B142" s="8">
        <v>2714</v>
      </c>
      <c r="C142" s="8">
        <v>1963</v>
      </c>
      <c r="D142" s="8">
        <v>576</v>
      </c>
      <c r="E142" s="8">
        <v>531</v>
      </c>
      <c r="F142" s="12">
        <v>5.7</v>
      </c>
      <c r="G142" s="14" t="e">
        <v>#N/A</v>
      </c>
    </row>
    <row r="143" spans="1:7" x14ac:dyDescent="0.35">
      <c r="A143" t="s">
        <v>261</v>
      </c>
      <c r="B143" s="8">
        <v>2710</v>
      </c>
      <c r="C143" s="8">
        <v>1962</v>
      </c>
      <c r="D143" s="8">
        <v>582</v>
      </c>
      <c r="E143" s="8">
        <v>531</v>
      </c>
      <c r="F143" s="12">
        <v>7.2</v>
      </c>
      <c r="G143" s="14" t="e">
        <v>#N/A</v>
      </c>
    </row>
    <row r="144" spans="1:7" x14ac:dyDescent="0.35">
      <c r="A144" t="s">
        <v>262</v>
      </c>
      <c r="B144" s="8">
        <v>2697</v>
      </c>
      <c r="C144" s="8">
        <v>1975</v>
      </c>
      <c r="D144" s="8">
        <v>577</v>
      </c>
      <c r="E144" s="8">
        <v>532</v>
      </c>
      <c r="F144" s="12">
        <v>8.4</v>
      </c>
      <c r="G144" s="14" t="e">
        <v>#N/A</v>
      </c>
    </row>
    <row r="145" spans="1:7" x14ac:dyDescent="0.35">
      <c r="A145" t="s">
        <v>263</v>
      </c>
      <c r="B145" s="8">
        <v>2720</v>
      </c>
      <c r="C145" s="8">
        <v>1979</v>
      </c>
      <c r="D145" s="8">
        <v>580</v>
      </c>
      <c r="E145" s="8">
        <v>534</v>
      </c>
      <c r="F145" s="12">
        <v>7.8</v>
      </c>
      <c r="G145" s="14" t="e">
        <v>#N/A</v>
      </c>
    </row>
    <row r="146" spans="1:7" x14ac:dyDescent="0.35">
      <c r="A146" t="s">
        <v>264</v>
      </c>
      <c r="B146" s="8">
        <v>2727</v>
      </c>
      <c r="C146" s="8">
        <v>1987</v>
      </c>
      <c r="D146" s="8">
        <v>584</v>
      </c>
      <c r="E146" s="8">
        <v>535</v>
      </c>
      <c r="F146" s="12">
        <v>6.8</v>
      </c>
      <c r="G146" s="14" t="e">
        <v>#N/A</v>
      </c>
    </row>
    <row r="147" spans="1:7" x14ac:dyDescent="0.35">
      <c r="A147" t="s">
        <v>265</v>
      </c>
      <c r="B147" s="8">
        <v>2738</v>
      </c>
      <c r="C147" s="8">
        <v>2007</v>
      </c>
      <c r="D147" s="8">
        <v>585</v>
      </c>
      <c r="E147" s="8">
        <v>537</v>
      </c>
      <c r="F147" s="12">
        <v>5.6</v>
      </c>
      <c r="G147" s="14" t="e">
        <v>#N/A</v>
      </c>
    </row>
    <row r="148" spans="1:7" x14ac:dyDescent="0.35">
      <c r="A148" t="s">
        <v>266</v>
      </c>
      <c r="B148" s="8">
        <v>2748</v>
      </c>
      <c r="C148" s="8">
        <v>2009</v>
      </c>
      <c r="D148" s="8">
        <v>589</v>
      </c>
      <c r="E148" s="8">
        <v>540</v>
      </c>
      <c r="F148" s="12">
        <v>4.8</v>
      </c>
      <c r="G148" s="14" t="e">
        <v>#N/A</v>
      </c>
    </row>
    <row r="149" spans="1:7" x14ac:dyDescent="0.35">
      <c r="A149" t="s">
        <v>267</v>
      </c>
      <c r="B149" s="8">
        <v>2755</v>
      </c>
      <c r="C149" s="8">
        <v>2016</v>
      </c>
      <c r="D149" s="8">
        <v>590</v>
      </c>
      <c r="E149" s="8">
        <v>543</v>
      </c>
      <c r="F149" s="12">
        <v>4.3</v>
      </c>
      <c r="G149" s="14" t="e">
        <v>#N/A</v>
      </c>
    </row>
    <row r="150" spans="1:7" x14ac:dyDescent="0.35">
      <c r="A150" t="s">
        <v>268</v>
      </c>
      <c r="B150" s="8">
        <v>2789</v>
      </c>
      <c r="C150" s="8">
        <v>2036</v>
      </c>
      <c r="D150" s="8">
        <v>606</v>
      </c>
      <c r="E150" s="8">
        <v>548</v>
      </c>
      <c r="F150" s="12">
        <v>4.2</v>
      </c>
      <c r="G150" s="14" t="e">
        <v>#N/A</v>
      </c>
    </row>
    <row r="151" spans="1:7" x14ac:dyDescent="0.35">
      <c r="A151" t="s">
        <v>269</v>
      </c>
      <c r="B151" s="8">
        <v>2834</v>
      </c>
      <c r="C151" s="8">
        <v>2050</v>
      </c>
      <c r="D151" s="8">
        <v>602</v>
      </c>
      <c r="E151" s="8">
        <v>553</v>
      </c>
      <c r="F151" s="12">
        <v>4.5</v>
      </c>
      <c r="G151" s="14" t="e">
        <v>#N/A</v>
      </c>
    </row>
    <row r="152" spans="1:7" x14ac:dyDescent="0.35">
      <c r="A152" t="s">
        <v>270</v>
      </c>
      <c r="B152" s="8">
        <v>2829</v>
      </c>
      <c r="C152" s="8">
        <v>2055</v>
      </c>
      <c r="D152" s="8">
        <v>603</v>
      </c>
      <c r="E152" s="8">
        <v>553</v>
      </c>
      <c r="F152" s="12">
        <v>4.9000000000000004</v>
      </c>
      <c r="G152" s="14" t="e">
        <v>#N/A</v>
      </c>
    </row>
    <row r="153" spans="1:7" x14ac:dyDescent="0.35">
      <c r="A153" t="s">
        <v>271</v>
      </c>
      <c r="B153" s="8">
        <v>2835</v>
      </c>
      <c r="C153" s="8">
        <v>2076</v>
      </c>
      <c r="D153" s="8">
        <v>608</v>
      </c>
      <c r="E153" s="8">
        <v>556</v>
      </c>
      <c r="F153" s="12">
        <v>5.3</v>
      </c>
      <c r="G153" s="14" t="e">
        <v>#N/A</v>
      </c>
    </row>
    <row r="154" spans="1:7" x14ac:dyDescent="0.35">
      <c r="A154" t="s">
        <v>272</v>
      </c>
      <c r="B154" s="8">
        <v>2834</v>
      </c>
      <c r="C154" s="8">
        <v>2077</v>
      </c>
      <c r="D154" s="8">
        <v>606</v>
      </c>
      <c r="E154" s="8">
        <v>558</v>
      </c>
      <c r="F154" s="12">
        <v>5.2</v>
      </c>
      <c r="G154" s="14" t="e">
        <v>#N/A</v>
      </c>
    </row>
    <row r="155" spans="1:7" x14ac:dyDescent="0.35">
      <c r="A155" t="s">
        <v>273</v>
      </c>
      <c r="B155" s="8">
        <v>2841</v>
      </c>
      <c r="C155" s="8">
        <v>2084</v>
      </c>
      <c r="D155" s="8">
        <v>607</v>
      </c>
      <c r="E155" s="8">
        <v>562</v>
      </c>
      <c r="F155" s="12">
        <v>5.4</v>
      </c>
      <c r="G155" s="14">
        <v>5.4649999999999999</v>
      </c>
    </row>
    <row r="156" spans="1:7" x14ac:dyDescent="0.35">
      <c r="A156" t="s">
        <v>274</v>
      </c>
      <c r="B156" s="8">
        <v>2856</v>
      </c>
      <c r="C156" s="8">
        <v>2103</v>
      </c>
      <c r="D156" s="8">
        <v>614</v>
      </c>
      <c r="E156" s="8">
        <v>564</v>
      </c>
      <c r="F156" s="12">
        <v>5.7</v>
      </c>
      <c r="G156" s="14">
        <v>5.5780000000000003</v>
      </c>
    </row>
    <row r="157" spans="1:7" x14ac:dyDescent="0.35">
      <c r="A157" t="s">
        <v>275</v>
      </c>
      <c r="B157" s="8">
        <v>2876</v>
      </c>
      <c r="C157" s="8">
        <v>2110</v>
      </c>
      <c r="D157" s="8">
        <v>614</v>
      </c>
      <c r="E157" s="8">
        <v>568</v>
      </c>
      <c r="F157" s="12">
        <v>6.1</v>
      </c>
      <c r="G157" s="14">
        <v>5.5410000000000004</v>
      </c>
    </row>
    <row r="158" spans="1:7" x14ac:dyDescent="0.35">
      <c r="A158" t="s">
        <v>276</v>
      </c>
      <c r="B158" s="8">
        <v>2888</v>
      </c>
      <c r="C158" s="8">
        <v>2119</v>
      </c>
      <c r="D158" s="8">
        <v>620</v>
      </c>
      <c r="E158" s="8">
        <v>571</v>
      </c>
      <c r="F158" s="12">
        <v>6.4</v>
      </c>
      <c r="G158" s="14">
        <v>5.8440000000000003</v>
      </c>
    </row>
    <row r="159" spans="1:7" x14ac:dyDescent="0.35">
      <c r="A159" t="s">
        <v>277</v>
      </c>
      <c r="B159" s="8">
        <v>2908</v>
      </c>
      <c r="C159" s="8">
        <v>2146</v>
      </c>
      <c r="D159" s="8">
        <v>619</v>
      </c>
      <c r="E159" s="8">
        <v>575</v>
      </c>
      <c r="F159" s="12">
        <v>6.7</v>
      </c>
      <c r="G159" s="14">
        <v>6.0979999999999999</v>
      </c>
    </row>
    <row r="160" spans="1:7" x14ac:dyDescent="0.35">
      <c r="A160" t="s">
        <v>278</v>
      </c>
      <c r="B160" s="8">
        <v>2925</v>
      </c>
      <c r="C160" s="8">
        <v>2147</v>
      </c>
      <c r="D160" s="8">
        <v>628</v>
      </c>
      <c r="E160" s="8">
        <v>579</v>
      </c>
      <c r="F160" s="12">
        <v>7</v>
      </c>
      <c r="G160" s="14">
        <v>6.306</v>
      </c>
    </row>
    <row r="161" spans="1:7" x14ac:dyDescent="0.35">
      <c r="A161" t="s">
        <v>279</v>
      </c>
      <c r="B161" s="8">
        <v>2961</v>
      </c>
      <c r="C161" s="8">
        <v>2191</v>
      </c>
      <c r="D161" s="8">
        <v>633</v>
      </c>
      <c r="E161" s="8">
        <v>584</v>
      </c>
      <c r="F161" s="12">
        <v>7.3</v>
      </c>
      <c r="G161" s="14">
        <v>6.2190000000000003</v>
      </c>
    </row>
    <row r="162" spans="1:7" x14ac:dyDescent="0.35">
      <c r="A162" t="s">
        <v>280</v>
      </c>
      <c r="B162" s="8">
        <v>2959</v>
      </c>
      <c r="C162" s="8">
        <v>2189</v>
      </c>
      <c r="D162" s="8">
        <v>635</v>
      </c>
      <c r="E162" s="8">
        <v>587</v>
      </c>
      <c r="F162" s="12">
        <v>7.3</v>
      </c>
      <c r="G162" s="14">
        <v>6.26</v>
      </c>
    </row>
    <row r="163" spans="1:7" x14ac:dyDescent="0.35">
      <c r="A163" t="s">
        <v>281</v>
      </c>
      <c r="B163" s="8">
        <v>2977</v>
      </c>
      <c r="C163" s="8">
        <v>2194</v>
      </c>
      <c r="D163" s="8">
        <v>639</v>
      </c>
      <c r="E163" s="8">
        <v>589</v>
      </c>
      <c r="F163" s="12">
        <v>7.1</v>
      </c>
      <c r="G163" s="14">
        <v>6.3390000000000004</v>
      </c>
    </row>
    <row r="164" spans="1:7" x14ac:dyDescent="0.35">
      <c r="A164" t="s">
        <v>282</v>
      </c>
      <c r="B164" s="8">
        <v>2992</v>
      </c>
      <c r="C164" s="8">
        <v>2208</v>
      </c>
      <c r="D164" s="8">
        <v>643</v>
      </c>
      <c r="E164" s="8">
        <v>595</v>
      </c>
      <c r="F164" s="12">
        <v>7.1</v>
      </c>
      <c r="G164" s="14">
        <v>6.51</v>
      </c>
    </row>
    <row r="165" spans="1:7" x14ac:dyDescent="0.35">
      <c r="A165" t="s">
        <v>283</v>
      </c>
      <c r="B165" s="8">
        <v>3029</v>
      </c>
      <c r="C165" s="8">
        <v>2216</v>
      </c>
      <c r="D165" s="8">
        <v>644</v>
      </c>
      <c r="E165" s="8">
        <v>598</v>
      </c>
      <c r="F165" s="12">
        <v>7.2</v>
      </c>
      <c r="G165" s="14">
        <v>6.4779999999999998</v>
      </c>
    </row>
    <row r="166" spans="1:7" x14ac:dyDescent="0.35">
      <c r="A166" t="s">
        <v>284</v>
      </c>
      <c r="B166" s="8">
        <v>3028</v>
      </c>
      <c r="C166" s="8">
        <v>2226</v>
      </c>
      <c r="D166" s="8">
        <v>652</v>
      </c>
      <c r="E166" s="8">
        <v>603</v>
      </c>
      <c r="F166" s="12">
        <v>7.7</v>
      </c>
      <c r="G166" s="14">
        <v>6.5640000000000001</v>
      </c>
    </row>
    <row r="167" spans="1:7" x14ac:dyDescent="0.35">
      <c r="A167" t="s">
        <v>285</v>
      </c>
      <c r="B167" s="8">
        <v>3046</v>
      </c>
      <c r="C167" s="8">
        <v>2252</v>
      </c>
      <c r="D167" s="8">
        <v>655</v>
      </c>
      <c r="E167" s="8">
        <v>608</v>
      </c>
      <c r="F167" s="12">
        <v>7.9</v>
      </c>
      <c r="G167" s="14">
        <v>6.609</v>
      </c>
    </row>
    <row r="168" spans="1:7" x14ac:dyDescent="0.35">
      <c r="A168" t="s">
        <v>286</v>
      </c>
      <c r="B168" s="8">
        <v>3108</v>
      </c>
      <c r="C168" s="8">
        <v>2302</v>
      </c>
      <c r="D168" s="8">
        <v>670</v>
      </c>
      <c r="E168" s="8">
        <v>611</v>
      </c>
      <c r="F168" s="12">
        <v>8.1999999999999993</v>
      </c>
      <c r="G168" s="14">
        <v>6.8250000000000002</v>
      </c>
    </row>
    <row r="169" spans="1:7" x14ac:dyDescent="0.35">
      <c r="A169" t="s">
        <v>287</v>
      </c>
      <c r="B169" s="8">
        <v>3064</v>
      </c>
      <c r="C169" s="8">
        <v>2268</v>
      </c>
      <c r="D169" s="8">
        <v>665</v>
      </c>
      <c r="E169" s="8">
        <v>613</v>
      </c>
      <c r="F169" s="12">
        <v>8.1</v>
      </c>
      <c r="G169" s="14">
        <v>6.8490000000000002</v>
      </c>
    </row>
    <row r="170" spans="1:7" x14ac:dyDescent="0.35">
      <c r="A170" t="s">
        <v>288</v>
      </c>
      <c r="B170" s="8">
        <v>3069</v>
      </c>
      <c r="C170" s="8">
        <v>2278</v>
      </c>
      <c r="D170" s="8">
        <v>665</v>
      </c>
      <c r="E170" s="8">
        <v>617</v>
      </c>
      <c r="F170" s="12">
        <v>8.1</v>
      </c>
      <c r="G170" s="14">
        <v>6.8949999999999996</v>
      </c>
    </row>
    <row r="171" spans="1:7" x14ac:dyDescent="0.35">
      <c r="A171" t="s">
        <v>289</v>
      </c>
      <c r="B171" s="8">
        <v>3065</v>
      </c>
      <c r="C171" s="8">
        <v>2273</v>
      </c>
      <c r="D171" s="8">
        <v>670</v>
      </c>
      <c r="E171" s="8">
        <v>618</v>
      </c>
      <c r="F171" s="12">
        <v>7.8</v>
      </c>
      <c r="G171" s="14">
        <v>6.8689999999999998</v>
      </c>
    </row>
    <row r="172" spans="1:7" x14ac:dyDescent="0.35">
      <c r="A172" t="s">
        <v>290</v>
      </c>
      <c r="B172" s="8">
        <v>3082</v>
      </c>
      <c r="C172" s="8">
        <v>2278</v>
      </c>
      <c r="D172" s="8">
        <v>665</v>
      </c>
      <c r="E172" s="8">
        <v>615</v>
      </c>
      <c r="F172" s="12">
        <v>7.2</v>
      </c>
      <c r="G172" s="14">
        <v>6.9189999999999996</v>
      </c>
    </row>
    <row r="173" spans="1:7" x14ac:dyDescent="0.35">
      <c r="A173" t="s">
        <v>291</v>
      </c>
      <c r="B173" s="8">
        <v>3100</v>
      </c>
      <c r="C173" s="8">
        <v>2328</v>
      </c>
      <c r="D173" s="8">
        <v>670</v>
      </c>
      <c r="E173" s="8">
        <v>621</v>
      </c>
      <c r="F173" s="12">
        <v>6.6</v>
      </c>
      <c r="G173" s="14">
        <v>6.9530000000000003</v>
      </c>
    </row>
    <row r="174" spans="1:7" x14ac:dyDescent="0.35">
      <c r="A174" t="s">
        <v>292</v>
      </c>
      <c r="B174" s="8">
        <v>3115</v>
      </c>
      <c r="C174" s="8">
        <v>2324</v>
      </c>
      <c r="D174" s="8">
        <v>672</v>
      </c>
      <c r="E174" s="8">
        <v>623</v>
      </c>
      <c r="F174" s="12">
        <v>6.2</v>
      </c>
      <c r="G174" s="14">
        <v>6.944</v>
      </c>
    </row>
    <row r="175" spans="1:7" x14ac:dyDescent="0.35">
      <c r="A175" t="s">
        <v>293</v>
      </c>
      <c r="B175" s="8">
        <v>3127</v>
      </c>
      <c r="C175" s="8">
        <v>2334</v>
      </c>
      <c r="D175" s="8">
        <v>676</v>
      </c>
      <c r="E175" s="8">
        <v>623</v>
      </c>
      <c r="F175" s="12">
        <v>6.1</v>
      </c>
      <c r="G175" s="14">
        <v>6.8559999999999999</v>
      </c>
    </row>
    <row r="176" spans="1:7" x14ac:dyDescent="0.35">
      <c r="A176" t="s">
        <v>294</v>
      </c>
      <c r="B176" s="8">
        <v>3137</v>
      </c>
      <c r="C176" s="8">
        <v>2345</v>
      </c>
      <c r="D176" s="8">
        <v>680</v>
      </c>
      <c r="E176" s="8">
        <v>628</v>
      </c>
      <c r="F176" s="12">
        <v>5.9</v>
      </c>
      <c r="G176" s="14">
        <v>6.6929999999999996</v>
      </c>
    </row>
    <row r="177" spans="1:9" x14ac:dyDescent="0.35">
      <c r="A177" t="s">
        <v>295</v>
      </c>
      <c r="B177" s="8">
        <v>3165</v>
      </c>
      <c r="C177" s="8">
        <v>2355</v>
      </c>
      <c r="D177" s="8">
        <v>685</v>
      </c>
      <c r="E177" s="8">
        <v>633</v>
      </c>
      <c r="F177" s="12">
        <v>5.8</v>
      </c>
      <c r="G177" s="14">
        <v>6.3780000000000001</v>
      </c>
    </row>
    <row r="178" spans="1:9" x14ac:dyDescent="0.35">
      <c r="A178" t="s">
        <v>296</v>
      </c>
      <c r="B178" s="8">
        <v>3183</v>
      </c>
      <c r="C178" s="8">
        <v>2370</v>
      </c>
      <c r="D178" s="8">
        <v>688</v>
      </c>
      <c r="E178" s="8">
        <v>637</v>
      </c>
      <c r="F178" s="12">
        <v>5.7</v>
      </c>
      <c r="G178" s="14">
        <v>6.181</v>
      </c>
      <c r="I178" s="15">
        <f>((C178/C166)-1)*100</f>
        <v>6.4690026954177915</v>
      </c>
    </row>
    <row r="179" spans="1:9" x14ac:dyDescent="0.35">
      <c r="A179" t="s">
        <v>397</v>
      </c>
      <c r="B179" s="8">
        <v>3191</v>
      </c>
      <c r="C179" s="8">
        <v>2382</v>
      </c>
      <c r="D179" s="8">
        <v>691</v>
      </c>
      <c r="E179" s="8">
        <v>640</v>
      </c>
      <c r="F179" s="12">
        <v>5.6</v>
      </c>
      <c r="G179" s="14">
        <v>6.0350000000000001</v>
      </c>
    </row>
    <row r="180" spans="1:9" x14ac:dyDescent="0.35">
      <c r="A180" t="s">
        <v>398</v>
      </c>
      <c r="B180" s="8">
        <v>3197</v>
      </c>
      <c r="C180" s="8">
        <v>2387</v>
      </c>
      <c r="D180" s="8">
        <v>691</v>
      </c>
      <c r="E180" s="8">
        <v>643</v>
      </c>
      <c r="F180" s="12">
        <v>5.4</v>
      </c>
      <c r="G180" s="14">
        <v>5.9880000000000004</v>
      </c>
    </row>
    <row r="181" spans="1:9" x14ac:dyDescent="0.35">
      <c r="A181" t="s">
        <v>399</v>
      </c>
      <c r="B181" s="8">
        <v>3202</v>
      </c>
      <c r="C181" s="8">
        <v>2399</v>
      </c>
      <c r="D181" s="8">
        <v>693</v>
      </c>
      <c r="E181" s="8">
        <v>645</v>
      </c>
      <c r="F181" s="12">
        <v>5.2</v>
      </c>
      <c r="G181" s="14">
        <v>5.8869999999999996</v>
      </c>
    </row>
    <row r="182" spans="1:9" x14ac:dyDescent="0.35">
      <c r="A182" t="s">
        <v>400</v>
      </c>
      <c r="B182" s="8">
        <v>3219</v>
      </c>
      <c r="C182" s="8">
        <v>2411</v>
      </c>
      <c r="D182" s="8">
        <v>697</v>
      </c>
      <c r="E182" s="8">
        <v>647</v>
      </c>
      <c r="F182" s="12">
        <v>5.0999999999999996</v>
      </c>
      <c r="G182" s="14">
        <v>5.774</v>
      </c>
    </row>
    <row r="183" spans="1:9" x14ac:dyDescent="0.35">
      <c r="A183" t="s">
        <v>401</v>
      </c>
      <c r="B183" s="8">
        <v>3221</v>
      </c>
      <c r="C183" s="8">
        <v>2406</v>
      </c>
      <c r="D183" s="8">
        <v>701</v>
      </c>
      <c r="E183" s="8">
        <v>651</v>
      </c>
      <c r="F183" s="12">
        <v>5.0999999999999996</v>
      </c>
      <c r="G183" s="14">
        <v>5.69</v>
      </c>
    </row>
    <row r="184" spans="1:9" x14ac:dyDescent="0.35">
      <c r="A184" t="s">
        <v>402</v>
      </c>
      <c r="B184" s="8">
        <v>3305</v>
      </c>
      <c r="C184" s="8">
        <v>2456</v>
      </c>
      <c r="D184" s="8">
        <v>708</v>
      </c>
      <c r="E184" s="8">
        <v>656</v>
      </c>
      <c r="F184" s="12">
        <v>5.6</v>
      </c>
      <c r="G184" s="14">
        <v>5.6020000000000003</v>
      </c>
    </row>
    <row r="185" spans="1:9" x14ac:dyDescent="0.35">
      <c r="A185" t="s">
        <v>403</v>
      </c>
      <c r="B185" s="8">
        <v>3287</v>
      </c>
      <c r="C185" s="8">
        <v>2476</v>
      </c>
      <c r="D185" s="8">
        <v>706</v>
      </c>
      <c r="E185" s="8">
        <v>657</v>
      </c>
      <c r="F185" s="12">
        <v>5.9</v>
      </c>
      <c r="G185" s="14">
        <v>5.5090000000000003</v>
      </c>
    </row>
    <row r="186" spans="1:9" x14ac:dyDescent="0.35">
      <c r="A186" t="s">
        <v>404</v>
      </c>
      <c r="B186" s="8">
        <v>3283</v>
      </c>
      <c r="C186" s="8">
        <v>2451</v>
      </c>
      <c r="D186" s="8">
        <v>713</v>
      </c>
      <c r="E186" s="8">
        <v>660</v>
      </c>
      <c r="F186" s="12">
        <v>6.2</v>
      </c>
      <c r="G186" s="14">
        <v>5.38</v>
      </c>
    </row>
    <row r="187" spans="1:9" x14ac:dyDescent="0.35">
      <c r="A187" t="s">
        <v>405</v>
      </c>
      <c r="B187" s="8">
        <v>3299</v>
      </c>
      <c r="C187" s="8">
        <v>2475</v>
      </c>
      <c r="D187" s="8">
        <v>711</v>
      </c>
      <c r="E187" s="8">
        <v>660</v>
      </c>
      <c r="F187" s="12">
        <v>5.9</v>
      </c>
      <c r="G187" s="14">
        <v>5.2759999999999998</v>
      </c>
    </row>
    <row r="188" spans="1:9" x14ac:dyDescent="0.35">
      <c r="A188" t="s">
        <v>406</v>
      </c>
      <c r="B188" s="8">
        <v>3326</v>
      </c>
      <c r="C188" s="8">
        <v>2481</v>
      </c>
      <c r="D188" s="8">
        <v>718</v>
      </c>
      <c r="E188" s="8">
        <v>665</v>
      </c>
      <c r="F188" s="12">
        <v>5.9</v>
      </c>
      <c r="G188" s="14">
        <v>5.1749999999999998</v>
      </c>
    </row>
    <row r="189" spans="1:9" x14ac:dyDescent="0.35">
      <c r="A189" t="s">
        <v>407</v>
      </c>
      <c r="B189" s="8">
        <v>3347</v>
      </c>
      <c r="C189" s="8">
        <v>2494</v>
      </c>
      <c r="D189" s="8">
        <v>722</v>
      </c>
      <c r="E189" s="8">
        <v>665</v>
      </c>
      <c r="F189" s="12">
        <v>5.6</v>
      </c>
      <c r="G189" s="14">
        <v>5.0289999999999999</v>
      </c>
    </row>
    <row r="190" spans="1:9" x14ac:dyDescent="0.35">
      <c r="A190" t="s">
        <v>408</v>
      </c>
      <c r="C190" s="8">
        <v>2521</v>
      </c>
      <c r="G190" s="14">
        <v>4.84</v>
      </c>
    </row>
  </sheetData>
  <hyperlinks>
    <hyperlink ref="G1" r:id="rId1" xr:uid="{36474D7B-8803-4586-8D5E-5E8DA838EF27}"/>
    <hyperlink ref="E1" r:id="rId2" xr:uid="{F8128C7F-AF66-4A7B-88B0-D6A602A7E54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ED15-5434-453D-ABCE-F54C63A66906}">
  <dimension ref="A1:B125"/>
  <sheetViews>
    <sheetView topLeftCell="A13" workbookViewId="0">
      <selection activeCell="A8" sqref="A8:B125"/>
    </sheetView>
  </sheetViews>
  <sheetFormatPr defaultColWidth="9.1796875" defaultRowHeight="14.5" x14ac:dyDescent="0.35"/>
  <cols>
    <col min="1" max="1" width="16" style="2" customWidth="1"/>
    <col min="2" max="2" width="20" style="2" customWidth="1"/>
    <col min="3" max="16384" width="9.1796875" style="2"/>
  </cols>
  <sheetData>
    <row r="1" spans="1:2" x14ac:dyDescent="0.35">
      <c r="A1" s="1" t="s">
        <v>0</v>
      </c>
    </row>
    <row r="2" spans="1:2" x14ac:dyDescent="0.35">
      <c r="A2" s="3" t="s">
        <v>1</v>
      </c>
    </row>
    <row r="4" spans="1:2" x14ac:dyDescent="0.35">
      <c r="A4" s="2" t="s">
        <v>2</v>
      </c>
      <c r="B4" s="2" t="s">
        <v>3</v>
      </c>
    </row>
    <row r="5" spans="1:2" x14ac:dyDescent="0.35">
      <c r="A5" s="2" t="s">
        <v>4</v>
      </c>
      <c r="B5" s="2" t="s">
        <v>5</v>
      </c>
    </row>
    <row r="7" spans="1:2" x14ac:dyDescent="0.35">
      <c r="A7" s="4" t="s">
        <v>6</v>
      </c>
      <c r="B7" s="5" t="s">
        <v>7</v>
      </c>
    </row>
    <row r="8" spans="1:2" x14ac:dyDescent="0.35">
      <c r="A8" t="s">
        <v>8</v>
      </c>
      <c r="B8" s="16">
        <v>2.48910324809225E-2</v>
      </c>
    </row>
    <row r="9" spans="1:2" x14ac:dyDescent="0.35">
      <c r="A9" t="s">
        <v>9</v>
      </c>
      <c r="B9" s="16">
        <v>2.34653067415708E-2</v>
      </c>
    </row>
    <row r="10" spans="1:2" x14ac:dyDescent="0.35">
      <c r="A10" t="s">
        <v>10</v>
      </c>
      <c r="B10" s="16">
        <v>2.3742266760012801E-2</v>
      </c>
    </row>
    <row r="11" spans="1:2" x14ac:dyDescent="0.35">
      <c r="A11" t="s">
        <v>11</v>
      </c>
      <c r="B11" s="16">
        <v>2.5145708725004299E-2</v>
      </c>
    </row>
    <row r="12" spans="1:2" x14ac:dyDescent="0.35">
      <c r="A12" t="s">
        <v>12</v>
      </c>
      <c r="B12" s="16">
        <v>2.5684417629471101E-2</v>
      </c>
    </row>
    <row r="13" spans="1:2" x14ac:dyDescent="0.35">
      <c r="A13" t="s">
        <v>13</v>
      </c>
      <c r="B13" s="16">
        <v>2.2359977694726401E-2</v>
      </c>
    </row>
    <row r="14" spans="1:2" x14ac:dyDescent="0.35">
      <c r="A14" t="s">
        <v>14</v>
      </c>
      <c r="B14" s="16">
        <v>2.3816298306117801E-2</v>
      </c>
    </row>
    <row r="15" spans="1:2" x14ac:dyDescent="0.35">
      <c r="A15" t="s">
        <v>15</v>
      </c>
      <c r="B15" s="16">
        <v>2.4246790175477699E-2</v>
      </c>
    </row>
    <row r="16" spans="1:2" x14ac:dyDescent="0.35">
      <c r="A16" t="s">
        <v>16</v>
      </c>
      <c r="B16" s="16">
        <v>2.48618460796135E-2</v>
      </c>
    </row>
    <row r="17" spans="1:2" x14ac:dyDescent="0.35">
      <c r="A17" t="s">
        <v>17</v>
      </c>
      <c r="B17" s="16">
        <v>2.5579235990707098E-2</v>
      </c>
    </row>
    <row r="18" spans="1:2" x14ac:dyDescent="0.35">
      <c r="A18" t="s">
        <v>18</v>
      </c>
      <c r="B18" s="16">
        <v>2.49889167982929E-2</v>
      </c>
    </row>
    <row r="19" spans="1:2" x14ac:dyDescent="0.35">
      <c r="A19" t="s">
        <v>19</v>
      </c>
      <c r="B19" s="16">
        <v>2.8202449461007102E-2</v>
      </c>
    </row>
    <row r="20" spans="1:2" x14ac:dyDescent="0.35">
      <c r="A20" t="s">
        <v>20</v>
      </c>
      <c r="B20" s="16">
        <v>2.7750182732202301E-2</v>
      </c>
    </row>
    <row r="21" spans="1:2" x14ac:dyDescent="0.35">
      <c r="A21" t="s">
        <v>21</v>
      </c>
      <c r="B21" s="16">
        <v>2.7799016914807601E-2</v>
      </c>
    </row>
    <row r="22" spans="1:2" x14ac:dyDescent="0.35">
      <c r="A22" t="s">
        <v>22</v>
      </c>
      <c r="B22" s="16">
        <v>2.7927027146272401E-2</v>
      </c>
    </row>
    <row r="23" spans="1:2" x14ac:dyDescent="0.35">
      <c r="A23" t="s">
        <v>23</v>
      </c>
      <c r="B23" s="16">
        <v>2.7377232882063798E-2</v>
      </c>
    </row>
    <row r="24" spans="1:2" x14ac:dyDescent="0.35">
      <c r="A24" t="s">
        <v>24</v>
      </c>
      <c r="B24" s="16">
        <v>2.6072674409448601E-2</v>
      </c>
    </row>
    <row r="25" spans="1:2" x14ac:dyDescent="0.35">
      <c r="A25" t="s">
        <v>25</v>
      </c>
      <c r="B25" s="16">
        <v>2.66827089203918E-2</v>
      </c>
    </row>
    <row r="26" spans="1:2" x14ac:dyDescent="0.35">
      <c r="A26" t="s">
        <v>26</v>
      </c>
      <c r="B26" s="16">
        <v>2.5516560441382799E-2</v>
      </c>
    </row>
    <row r="27" spans="1:2" x14ac:dyDescent="0.35">
      <c r="A27" t="s">
        <v>27</v>
      </c>
      <c r="B27" s="16">
        <v>2.57243478681764E-2</v>
      </c>
    </row>
    <row r="28" spans="1:2" x14ac:dyDescent="0.35">
      <c r="A28" t="s">
        <v>28</v>
      </c>
      <c r="B28" s="16">
        <v>2.4539643507403799E-2</v>
      </c>
    </row>
    <row r="29" spans="1:2" x14ac:dyDescent="0.35">
      <c r="A29" t="s">
        <v>29</v>
      </c>
      <c r="B29" s="16">
        <v>2.5342635135047201E-2</v>
      </c>
    </row>
    <row r="30" spans="1:2" x14ac:dyDescent="0.35">
      <c r="A30" t="s">
        <v>30</v>
      </c>
      <c r="B30" s="16">
        <v>2.6577526197518998E-2</v>
      </c>
    </row>
    <row r="31" spans="1:2" x14ac:dyDescent="0.35">
      <c r="A31" t="s">
        <v>31</v>
      </c>
      <c r="B31" s="16">
        <v>2.43917994410047E-2</v>
      </c>
    </row>
    <row r="32" spans="1:2" x14ac:dyDescent="0.35">
      <c r="A32" t="s">
        <v>32</v>
      </c>
      <c r="B32" s="16">
        <v>2.4362170112733599E-2</v>
      </c>
    </row>
    <row r="33" spans="1:2" x14ac:dyDescent="0.35">
      <c r="A33" t="s">
        <v>33</v>
      </c>
      <c r="B33" s="16">
        <v>2.5738347315789601E-2</v>
      </c>
    </row>
    <row r="34" spans="1:2" x14ac:dyDescent="0.35">
      <c r="A34" t="s">
        <v>34</v>
      </c>
      <c r="B34" s="16">
        <v>2.5691252919031599E-2</v>
      </c>
    </row>
    <row r="35" spans="1:2" x14ac:dyDescent="0.35">
      <c r="A35" t="s">
        <v>35</v>
      </c>
      <c r="B35" s="16">
        <v>2.5415158976441098E-2</v>
      </c>
    </row>
    <row r="36" spans="1:2" x14ac:dyDescent="0.35">
      <c r="A36" t="s">
        <v>36</v>
      </c>
      <c r="B36" s="16">
        <v>2.6646185549053202E-2</v>
      </c>
    </row>
    <row r="37" spans="1:2" x14ac:dyDescent="0.35">
      <c r="A37" t="s">
        <v>37</v>
      </c>
      <c r="B37" s="16">
        <v>2.79062871302013E-2</v>
      </c>
    </row>
    <row r="38" spans="1:2" x14ac:dyDescent="0.35">
      <c r="A38" t="s">
        <v>38</v>
      </c>
      <c r="B38" s="16">
        <v>2.8748645933835699E-2</v>
      </c>
    </row>
    <row r="39" spans="1:2" x14ac:dyDescent="0.35">
      <c r="A39" t="s">
        <v>39</v>
      </c>
      <c r="B39" s="16">
        <v>2.9074725662419601E-2</v>
      </c>
    </row>
    <row r="40" spans="1:2" x14ac:dyDescent="0.35">
      <c r="A40" t="s">
        <v>40</v>
      </c>
      <c r="B40" s="16">
        <v>2.8160133815692101E-2</v>
      </c>
    </row>
    <row r="41" spans="1:2" x14ac:dyDescent="0.35">
      <c r="A41" t="s">
        <v>41</v>
      </c>
      <c r="B41" s="16">
        <v>2.8690359662450499E-2</v>
      </c>
    </row>
    <row r="42" spans="1:2" x14ac:dyDescent="0.35">
      <c r="A42" t="s">
        <v>42</v>
      </c>
      <c r="B42" s="16">
        <v>3.06508644117389E-2</v>
      </c>
    </row>
    <row r="43" spans="1:2" x14ac:dyDescent="0.35">
      <c r="A43" t="s">
        <v>43</v>
      </c>
      <c r="B43" s="16">
        <v>3.1891413919421699E-2</v>
      </c>
    </row>
    <row r="44" spans="1:2" x14ac:dyDescent="0.35">
      <c r="A44" t="s">
        <v>44</v>
      </c>
      <c r="B44" s="16">
        <v>3.22158880469448E-2</v>
      </c>
    </row>
    <row r="45" spans="1:2" x14ac:dyDescent="0.35">
      <c r="A45" t="s">
        <v>45</v>
      </c>
      <c r="B45" s="16">
        <v>3.4541624326873702E-2</v>
      </c>
    </row>
    <row r="46" spans="1:2" x14ac:dyDescent="0.35">
      <c r="A46" t="s">
        <v>46</v>
      </c>
      <c r="B46" s="16">
        <v>3.2357924363304903E-2</v>
      </c>
    </row>
    <row r="47" spans="1:2" x14ac:dyDescent="0.35">
      <c r="A47" t="s">
        <v>47</v>
      </c>
      <c r="B47" s="16">
        <v>3.2832302955658602E-2</v>
      </c>
    </row>
    <row r="48" spans="1:2" x14ac:dyDescent="0.35">
      <c r="A48" t="s">
        <v>48</v>
      </c>
      <c r="B48" s="16">
        <v>3.3371215905345399E-2</v>
      </c>
    </row>
    <row r="49" spans="1:2" x14ac:dyDescent="0.35">
      <c r="A49" t="s">
        <v>49</v>
      </c>
      <c r="B49" s="16">
        <v>3.2762422619911698E-2</v>
      </c>
    </row>
    <row r="50" spans="1:2" x14ac:dyDescent="0.35">
      <c r="A50" t="s">
        <v>50</v>
      </c>
      <c r="B50" s="16">
        <v>3.2589020195057501E-2</v>
      </c>
    </row>
    <row r="51" spans="1:2" x14ac:dyDescent="0.35">
      <c r="A51" t="s">
        <v>51</v>
      </c>
      <c r="B51" s="16">
        <v>3.2956302789544298E-2</v>
      </c>
    </row>
    <row r="52" spans="1:2" x14ac:dyDescent="0.35">
      <c r="A52" t="s">
        <v>52</v>
      </c>
      <c r="B52" s="16">
        <v>3.5604166073059398E-2</v>
      </c>
    </row>
    <row r="53" spans="1:2" x14ac:dyDescent="0.35">
      <c r="A53" t="s">
        <v>53</v>
      </c>
      <c r="B53" s="16">
        <v>3.9437212889123101E-2</v>
      </c>
    </row>
    <row r="54" spans="1:2" x14ac:dyDescent="0.35">
      <c r="A54" t="s">
        <v>54</v>
      </c>
      <c r="B54" s="16">
        <v>3.4304788252207598E-2</v>
      </c>
    </row>
    <row r="55" spans="1:2" x14ac:dyDescent="0.35">
      <c r="A55" t="s">
        <v>55</v>
      </c>
      <c r="B55" s="16">
        <v>3.3022697984803902E-2</v>
      </c>
    </row>
    <row r="56" spans="1:2" x14ac:dyDescent="0.35">
      <c r="A56" t="s">
        <v>56</v>
      </c>
      <c r="B56" s="16">
        <v>3.1816173871205299E-2</v>
      </c>
    </row>
    <row r="57" spans="1:2" x14ac:dyDescent="0.35">
      <c r="A57" t="s">
        <v>57</v>
      </c>
      <c r="B57" s="16">
        <v>3.0124823642591E-2</v>
      </c>
    </row>
    <row r="58" spans="1:2" x14ac:dyDescent="0.35">
      <c r="A58" t="s">
        <v>58</v>
      </c>
      <c r="B58" s="16">
        <v>3.2912637207030297E-2</v>
      </c>
    </row>
    <row r="59" spans="1:2" x14ac:dyDescent="0.35">
      <c r="A59" t="s">
        <v>59</v>
      </c>
      <c r="B59" s="16">
        <v>3.1225700605452E-2</v>
      </c>
    </row>
    <row r="60" spans="1:2" x14ac:dyDescent="0.35">
      <c r="A60" t="s">
        <v>60</v>
      </c>
      <c r="B60" s="16">
        <v>3.0667338247942998E-2</v>
      </c>
    </row>
    <row r="61" spans="1:2" x14ac:dyDescent="0.35">
      <c r="A61" t="s">
        <v>61</v>
      </c>
      <c r="B61" s="16">
        <v>3.2001961353898802E-2</v>
      </c>
    </row>
    <row r="62" spans="1:2" x14ac:dyDescent="0.35">
      <c r="A62" t="s">
        <v>62</v>
      </c>
      <c r="B62" s="16">
        <v>3.2046229507953598E-2</v>
      </c>
    </row>
    <row r="63" spans="1:2" x14ac:dyDescent="0.35">
      <c r="A63" t="s">
        <v>63</v>
      </c>
      <c r="B63" s="16">
        <v>3.2803677965264101E-2</v>
      </c>
    </row>
    <row r="64" spans="1:2" x14ac:dyDescent="0.35">
      <c r="A64" t="s">
        <v>64</v>
      </c>
      <c r="B64" s="16">
        <v>2.55796524742163E-2</v>
      </c>
    </row>
    <row r="65" spans="1:2" x14ac:dyDescent="0.35">
      <c r="A65" t="s">
        <v>65</v>
      </c>
      <c r="B65" s="16">
        <v>6.5845206014589E-3</v>
      </c>
    </row>
    <row r="66" spans="1:2" x14ac:dyDescent="0.35">
      <c r="A66" t="s">
        <v>66</v>
      </c>
      <c r="B66" s="16">
        <v>5.1368563722320004E-4</v>
      </c>
    </row>
    <row r="67" spans="1:2" x14ac:dyDescent="0.35">
      <c r="A67" t="s">
        <v>67</v>
      </c>
      <c r="B67" s="16">
        <v>1.0333174338478E-2</v>
      </c>
    </row>
    <row r="68" spans="1:2" x14ac:dyDescent="0.35">
      <c r="A68" t="s">
        <v>68</v>
      </c>
      <c r="B68" s="16">
        <v>1.5914085746979698E-2</v>
      </c>
    </row>
    <row r="69" spans="1:2" x14ac:dyDescent="0.35">
      <c r="A69" t="s">
        <v>69</v>
      </c>
      <c r="B69" s="16">
        <v>1.83365608398262E-2</v>
      </c>
    </row>
    <row r="70" spans="1:2" x14ac:dyDescent="0.35">
      <c r="A70" t="s">
        <v>70</v>
      </c>
      <c r="B70" s="16">
        <v>2.2558762734115102E-2</v>
      </c>
    </row>
    <row r="71" spans="1:2" x14ac:dyDescent="0.35">
      <c r="A71" t="s">
        <v>71</v>
      </c>
      <c r="B71" s="16">
        <v>2.4813335288716602E-2</v>
      </c>
    </row>
    <row r="72" spans="1:2" x14ac:dyDescent="0.35">
      <c r="A72" t="s">
        <v>72</v>
      </c>
      <c r="B72" s="16">
        <v>2.4423012744518299E-2</v>
      </c>
    </row>
    <row r="73" spans="1:2" x14ac:dyDescent="0.35">
      <c r="A73" t="s">
        <v>73</v>
      </c>
      <c r="B73" s="16">
        <v>2.54685979683184E-2</v>
      </c>
    </row>
    <row r="74" spans="1:2" x14ac:dyDescent="0.35">
      <c r="A74" t="s">
        <v>74</v>
      </c>
      <c r="B74" s="16">
        <v>2.02136003062371E-2</v>
      </c>
    </row>
    <row r="75" spans="1:2" x14ac:dyDescent="0.35">
      <c r="A75" t="s">
        <v>75</v>
      </c>
      <c r="B75" s="16">
        <v>1.9267593202091701E-2</v>
      </c>
    </row>
    <row r="76" spans="1:2" x14ac:dyDescent="0.35">
      <c r="A76" t="s">
        <v>76</v>
      </c>
      <c r="B76" s="16">
        <v>2.4557007789503399E-2</v>
      </c>
    </row>
    <row r="77" spans="1:2" x14ac:dyDescent="0.35">
      <c r="A77" t="s">
        <v>77</v>
      </c>
      <c r="B77" s="16">
        <v>3.6395145689524497E-2</v>
      </c>
    </row>
    <row r="78" spans="1:2" x14ac:dyDescent="0.35">
      <c r="A78" t="s">
        <v>78</v>
      </c>
      <c r="B78" s="16">
        <v>4.1994205409432703E-2</v>
      </c>
    </row>
    <row r="79" spans="1:2" x14ac:dyDescent="0.35">
      <c r="A79" t="s">
        <v>79</v>
      </c>
      <c r="B79" s="16">
        <v>4.0045538509538202E-2</v>
      </c>
    </row>
    <row r="80" spans="1:2" x14ac:dyDescent="0.35">
      <c r="A80" t="s">
        <v>80</v>
      </c>
      <c r="B80" s="16">
        <v>3.4146136773681397E-2</v>
      </c>
    </row>
    <row r="81" spans="1:2" x14ac:dyDescent="0.35">
      <c r="A81" t="s">
        <v>81</v>
      </c>
      <c r="B81" s="16">
        <v>3.1700403759050401E-2</v>
      </c>
    </row>
    <row r="82" spans="1:2" x14ac:dyDescent="0.35">
      <c r="A82" t="s">
        <v>82</v>
      </c>
      <c r="B82" s="16">
        <v>3.2444965121029699E-2</v>
      </c>
    </row>
    <row r="83" spans="1:2" x14ac:dyDescent="0.35">
      <c r="A83" t="s">
        <v>83</v>
      </c>
      <c r="B83" s="16">
        <v>3.0897353821671199E-2</v>
      </c>
    </row>
    <row r="84" spans="1:2" x14ac:dyDescent="0.35">
      <c r="A84" t="s">
        <v>84</v>
      </c>
      <c r="B84" s="16">
        <v>3.1825696703495998E-2</v>
      </c>
    </row>
    <row r="85" spans="1:2" x14ac:dyDescent="0.35">
      <c r="A85" t="s">
        <v>85</v>
      </c>
      <c r="B85" s="16">
        <v>3.4621578536789398E-2</v>
      </c>
    </row>
    <row r="86" spans="1:2" x14ac:dyDescent="0.35">
      <c r="A86" t="s">
        <v>86</v>
      </c>
      <c r="B86" s="16">
        <v>4.0083015430592797E-2</v>
      </c>
    </row>
    <row r="87" spans="1:2" x14ac:dyDescent="0.35">
      <c r="A87" t="s">
        <v>87</v>
      </c>
      <c r="B87" s="16">
        <v>4.4431133542624297E-2</v>
      </c>
    </row>
    <row r="88" spans="1:2" x14ac:dyDescent="0.35">
      <c r="A88" t="s">
        <v>88</v>
      </c>
      <c r="B88" s="16">
        <v>5.4717503941601603E-2</v>
      </c>
    </row>
    <row r="89" spans="1:2" x14ac:dyDescent="0.35">
      <c r="A89" t="s">
        <v>89</v>
      </c>
      <c r="B89" s="16">
        <v>4.9233427231017597E-2</v>
      </c>
    </row>
    <row r="90" spans="1:2" x14ac:dyDescent="0.35">
      <c r="A90" t="s">
        <v>90</v>
      </c>
      <c r="B90" s="16">
        <v>5.0766498811445099E-2</v>
      </c>
    </row>
    <row r="91" spans="1:2" x14ac:dyDescent="0.35">
      <c r="A91" t="s">
        <v>91</v>
      </c>
      <c r="B91" s="16">
        <v>5.0930826074980201E-2</v>
      </c>
    </row>
    <row r="92" spans="1:2" x14ac:dyDescent="0.35">
      <c r="A92" t="s">
        <v>92</v>
      </c>
      <c r="B92" s="16">
        <v>5.3218450666310597E-2</v>
      </c>
    </row>
    <row r="93" spans="1:2" x14ac:dyDescent="0.35">
      <c r="A93" t="s">
        <v>93</v>
      </c>
      <c r="B93" s="16">
        <v>5.64911809240317E-2</v>
      </c>
    </row>
    <row r="94" spans="1:2" x14ac:dyDescent="0.35">
      <c r="A94" t="s">
        <v>94</v>
      </c>
      <c r="B94" s="16">
        <v>6.05142809627724E-2</v>
      </c>
    </row>
    <row r="95" spans="1:2" x14ac:dyDescent="0.35">
      <c r="A95" t="s">
        <v>95</v>
      </c>
      <c r="B95" s="16">
        <v>6.3100009828572501E-2</v>
      </c>
    </row>
    <row r="96" spans="1:2" x14ac:dyDescent="0.35">
      <c r="A96" t="s">
        <v>96</v>
      </c>
      <c r="B96" s="16">
        <v>7.1173496114686693E-2</v>
      </c>
    </row>
    <row r="97" spans="1:2" x14ac:dyDescent="0.35">
      <c r="A97" t="s">
        <v>97</v>
      </c>
      <c r="B97" s="16">
        <v>6.79922945832689E-2</v>
      </c>
    </row>
    <row r="98" spans="1:2" x14ac:dyDescent="0.35">
      <c r="A98" t="s">
        <v>98</v>
      </c>
      <c r="B98" s="16">
        <v>6.6239479331200599E-2</v>
      </c>
    </row>
    <row r="99" spans="1:2" x14ac:dyDescent="0.35">
      <c r="A99" t="s">
        <v>99</v>
      </c>
      <c r="B99" s="16">
        <v>6.5480362177255405E-2</v>
      </c>
    </row>
    <row r="100" spans="1:2" x14ac:dyDescent="0.35">
      <c r="A100" t="s">
        <v>100</v>
      </c>
      <c r="B100" s="16">
        <v>6.1984620021081703E-2</v>
      </c>
    </row>
    <row r="101" spans="1:2" x14ac:dyDescent="0.35">
      <c r="A101" t="s">
        <v>101</v>
      </c>
      <c r="B101" s="16">
        <v>6.9875760688975205E-2</v>
      </c>
    </row>
    <row r="102" spans="1:2" x14ac:dyDescent="0.35">
      <c r="A102" t="s">
        <v>102</v>
      </c>
      <c r="B102" s="16">
        <v>7.7211864095414195E-2</v>
      </c>
    </row>
    <row r="103" spans="1:2" x14ac:dyDescent="0.35">
      <c r="A103" t="s">
        <v>103</v>
      </c>
      <c r="B103" s="16">
        <v>8.1431389103556504E-2</v>
      </c>
    </row>
    <row r="104" spans="1:2" x14ac:dyDescent="0.35">
      <c r="A104" t="s">
        <v>104</v>
      </c>
      <c r="B104" s="16">
        <v>7.4594179043672298E-2</v>
      </c>
    </row>
    <row r="105" spans="1:2" x14ac:dyDescent="0.35">
      <c r="A105" t="s">
        <v>105</v>
      </c>
      <c r="B105" s="16">
        <v>7.0241873731610796E-2</v>
      </c>
    </row>
    <row r="106" spans="1:2" x14ac:dyDescent="0.35">
      <c r="A106" t="s">
        <v>106</v>
      </c>
      <c r="B106" s="16">
        <v>6.3236883383837497E-2</v>
      </c>
    </row>
    <row r="107" spans="1:2" x14ac:dyDescent="0.35">
      <c r="A107" t="s">
        <v>107</v>
      </c>
      <c r="B107" s="16">
        <v>6.3316377969877796E-2</v>
      </c>
    </row>
    <row r="108" spans="1:2" x14ac:dyDescent="0.35">
      <c r="A108" t="s">
        <v>108</v>
      </c>
      <c r="B108" s="16">
        <v>6.1550110803511797E-2</v>
      </c>
    </row>
    <row r="109" spans="1:2" x14ac:dyDescent="0.35">
      <c r="A109" t="s">
        <v>109</v>
      </c>
      <c r="B109" s="16">
        <v>6.1725699853104297E-2</v>
      </c>
    </row>
    <row r="110" spans="1:2" x14ac:dyDescent="0.35">
      <c r="A110" t="s">
        <v>110</v>
      </c>
      <c r="B110" s="16">
        <v>6.2594175161983207E-2</v>
      </c>
    </row>
    <row r="111" spans="1:2" x14ac:dyDescent="0.35">
      <c r="A111" t="s">
        <v>111</v>
      </c>
      <c r="B111" s="16">
        <v>6.4189755457474906E-2</v>
      </c>
    </row>
    <row r="112" spans="1:2" x14ac:dyDescent="0.35">
      <c r="A112" t="s">
        <v>112</v>
      </c>
      <c r="B112" s="16">
        <v>6.1510248031479899E-2</v>
      </c>
    </row>
    <row r="113" spans="1:2" x14ac:dyDescent="0.35">
      <c r="A113" t="s">
        <v>113</v>
      </c>
      <c r="B113" s="16">
        <v>5.9555344748391199E-2</v>
      </c>
    </row>
    <row r="114" spans="1:2" x14ac:dyDescent="0.35">
      <c r="A114" t="s">
        <v>414</v>
      </c>
      <c r="B114" s="16">
        <v>5.8231330203486399E-2</v>
      </c>
    </row>
    <row r="115" spans="1:2" x14ac:dyDescent="0.35">
      <c r="A115" t="s">
        <v>415</v>
      </c>
      <c r="B115" s="16">
        <v>5.1888274718407297E-2</v>
      </c>
    </row>
    <row r="116" spans="1:2" x14ac:dyDescent="0.35">
      <c r="A116" t="s">
        <v>416</v>
      </c>
      <c r="B116" s="16">
        <v>5.5499625200896102E-2</v>
      </c>
    </row>
    <row r="117" spans="1:2" x14ac:dyDescent="0.35">
      <c r="A117" t="s">
        <v>417</v>
      </c>
      <c r="B117" s="16">
        <v>5.3880084867779801E-2</v>
      </c>
    </row>
    <row r="118" spans="1:2" x14ac:dyDescent="0.35">
      <c r="A118" t="s">
        <v>418</v>
      </c>
      <c r="B118" s="16">
        <v>5.4277965790489699E-2</v>
      </c>
    </row>
    <row r="119" spans="1:2" x14ac:dyDescent="0.35">
      <c r="A119" t="s">
        <v>419</v>
      </c>
      <c r="B119" s="16">
        <v>6.3725715622812998E-2</v>
      </c>
    </row>
    <row r="120" spans="1:2" x14ac:dyDescent="0.35">
      <c r="A120" t="s">
        <v>420</v>
      </c>
      <c r="B120" s="16">
        <v>5.5026936650253801E-2</v>
      </c>
    </row>
    <row r="121" spans="1:2" x14ac:dyDescent="0.35">
      <c r="A121" t="s">
        <v>421</v>
      </c>
      <c r="B121" s="16">
        <v>5.1871527874005299E-2</v>
      </c>
    </row>
    <row r="122" spans="1:2" x14ac:dyDescent="0.35">
      <c r="A122" t="s">
        <v>422</v>
      </c>
      <c r="B122" s="16">
        <v>5.2558258209869702E-2</v>
      </c>
    </row>
    <row r="123" spans="1:2" x14ac:dyDescent="0.35">
      <c r="A123" t="s">
        <v>423</v>
      </c>
      <c r="B123" s="16">
        <v>5.2995612625834902E-2</v>
      </c>
    </row>
    <row r="124" spans="1:2" x14ac:dyDescent="0.35">
      <c r="A124" t="s">
        <v>424</v>
      </c>
      <c r="B124" s="16">
        <v>5.1886990711537698E-2</v>
      </c>
    </row>
    <row r="125" spans="1:2" x14ac:dyDescent="0.35">
      <c r="A125" t="s">
        <v>425</v>
      </c>
      <c r="B125" s="16">
        <v>5.0292028520134202E-2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550C-83BE-48C1-958B-12230C4C1E24}">
  <dimension ref="A1:F76"/>
  <sheetViews>
    <sheetView workbookViewId="0">
      <selection activeCell="F4" sqref="F4"/>
    </sheetView>
  </sheetViews>
  <sheetFormatPr defaultRowHeight="14.5" x14ac:dyDescent="0.35"/>
  <cols>
    <col min="1" max="1" width="26.90625" customWidth="1"/>
    <col min="2" max="2" width="81.81640625" bestFit="1" customWidth="1"/>
    <col min="3" max="3" width="24.1796875" customWidth="1"/>
    <col min="4" max="4" width="13.54296875" customWidth="1"/>
    <col min="5" max="5" width="16.08984375" customWidth="1"/>
    <col min="6" max="6" width="12" customWidth="1"/>
  </cols>
  <sheetData>
    <row r="1" spans="1:6" x14ac:dyDescent="0.35">
      <c r="A1" t="s">
        <v>308</v>
      </c>
      <c r="B1" t="s">
        <v>309</v>
      </c>
      <c r="C1" t="s">
        <v>310</v>
      </c>
      <c r="D1" t="s">
        <v>311</v>
      </c>
      <c r="E1" t="s">
        <v>312</v>
      </c>
      <c r="F1" t="s">
        <v>313</v>
      </c>
    </row>
    <row r="2" spans="1:6" x14ac:dyDescent="0.35">
      <c r="A2" t="s">
        <v>314</v>
      </c>
      <c r="B2" t="s">
        <v>315</v>
      </c>
      <c r="C2" s="11">
        <v>43466</v>
      </c>
      <c r="D2" t="s">
        <v>316</v>
      </c>
      <c r="E2" t="s">
        <v>317</v>
      </c>
      <c r="F2" t="s">
        <v>318</v>
      </c>
    </row>
    <row r="3" spans="1:6" x14ac:dyDescent="0.35">
      <c r="A3" t="s">
        <v>314</v>
      </c>
      <c r="B3" t="s">
        <v>319</v>
      </c>
      <c r="C3" s="11">
        <v>43497</v>
      </c>
      <c r="D3" t="s">
        <v>316</v>
      </c>
      <c r="E3" t="s">
        <v>317</v>
      </c>
      <c r="F3" t="s">
        <v>318</v>
      </c>
    </row>
    <row r="4" spans="1:6" x14ac:dyDescent="0.35">
      <c r="A4" t="s">
        <v>314</v>
      </c>
      <c r="B4" t="s">
        <v>320</v>
      </c>
      <c r="C4" s="11">
        <v>43525</v>
      </c>
      <c r="D4" t="s">
        <v>316</v>
      </c>
      <c r="E4" t="s">
        <v>317</v>
      </c>
      <c r="F4">
        <v>4.3899999999999997</v>
      </c>
    </row>
    <row r="5" spans="1:6" x14ac:dyDescent="0.35">
      <c r="A5" t="s">
        <v>314</v>
      </c>
      <c r="B5" t="s">
        <v>321</v>
      </c>
      <c r="C5" s="11">
        <v>43556</v>
      </c>
      <c r="D5" t="s">
        <v>316</v>
      </c>
      <c r="E5" t="s">
        <v>317</v>
      </c>
      <c r="F5">
        <v>4.2699999999999996</v>
      </c>
    </row>
    <row r="6" spans="1:6" x14ac:dyDescent="0.35">
      <c r="A6" t="s">
        <v>314</v>
      </c>
      <c r="B6" t="s">
        <v>322</v>
      </c>
      <c r="C6" s="11">
        <v>43586</v>
      </c>
      <c r="D6" t="s">
        <v>316</v>
      </c>
      <c r="E6" t="s">
        <v>317</v>
      </c>
      <c r="F6">
        <v>4.04</v>
      </c>
    </row>
    <row r="7" spans="1:6" x14ac:dyDescent="0.35">
      <c r="A7" t="s">
        <v>314</v>
      </c>
      <c r="B7" t="s">
        <v>323</v>
      </c>
      <c r="C7" s="11">
        <v>43617</v>
      </c>
      <c r="D7" t="s">
        <v>316</v>
      </c>
      <c r="E7" t="s">
        <v>317</v>
      </c>
      <c r="F7">
        <v>3.72</v>
      </c>
    </row>
    <row r="8" spans="1:6" x14ac:dyDescent="0.35">
      <c r="A8" t="s">
        <v>314</v>
      </c>
      <c r="B8" t="s">
        <v>324</v>
      </c>
      <c r="C8" s="11">
        <v>43647</v>
      </c>
      <c r="D8" t="s">
        <v>316</v>
      </c>
      <c r="E8" t="s">
        <v>317</v>
      </c>
      <c r="F8">
        <v>3.58</v>
      </c>
    </row>
    <row r="9" spans="1:6" x14ac:dyDescent="0.35">
      <c r="A9" t="s">
        <v>314</v>
      </c>
      <c r="B9" t="s">
        <v>325</v>
      </c>
      <c r="C9" s="11">
        <v>43678</v>
      </c>
      <c r="D9" t="s">
        <v>316</v>
      </c>
      <c r="E9" t="s">
        <v>317</v>
      </c>
      <c r="F9">
        <v>3.53</v>
      </c>
    </row>
    <row r="10" spans="1:6" x14ac:dyDescent="0.35">
      <c r="A10" t="s">
        <v>314</v>
      </c>
      <c r="B10" t="s">
        <v>326</v>
      </c>
      <c r="C10" s="11">
        <v>43709</v>
      </c>
      <c r="D10" t="s">
        <v>316</v>
      </c>
      <c r="E10" t="s">
        <v>317</v>
      </c>
      <c r="F10">
        <v>3.53</v>
      </c>
    </row>
    <row r="11" spans="1:6" x14ac:dyDescent="0.35">
      <c r="A11" t="s">
        <v>314</v>
      </c>
      <c r="B11" t="s">
        <v>327</v>
      </c>
      <c r="C11" s="11">
        <v>43739</v>
      </c>
      <c r="D11" t="s">
        <v>316</v>
      </c>
      <c r="E11" t="s">
        <v>317</v>
      </c>
      <c r="F11">
        <v>3.42</v>
      </c>
    </row>
    <row r="12" spans="1:6" x14ac:dyDescent="0.35">
      <c r="A12" t="s">
        <v>314</v>
      </c>
      <c r="B12" t="s">
        <v>328</v>
      </c>
      <c r="C12" s="11">
        <v>43770</v>
      </c>
      <c r="D12" t="s">
        <v>316</v>
      </c>
      <c r="E12" t="s">
        <v>317</v>
      </c>
      <c r="F12">
        <v>3.35</v>
      </c>
    </row>
    <row r="13" spans="1:6" x14ac:dyDescent="0.35">
      <c r="A13" t="s">
        <v>314</v>
      </c>
      <c r="B13" t="s">
        <v>329</v>
      </c>
      <c r="C13" s="11">
        <v>43800</v>
      </c>
      <c r="D13" t="s">
        <v>316</v>
      </c>
      <c r="E13" t="s">
        <v>317</v>
      </c>
      <c r="F13">
        <v>3.34</v>
      </c>
    </row>
    <row r="14" spans="1:6" x14ac:dyDescent="0.35">
      <c r="A14" t="s">
        <v>314</v>
      </c>
      <c r="B14" t="s">
        <v>330</v>
      </c>
      <c r="C14" s="11">
        <v>43831</v>
      </c>
      <c r="D14" t="s">
        <v>316</v>
      </c>
      <c r="E14" t="s">
        <v>317</v>
      </c>
      <c r="F14">
        <v>2.8</v>
      </c>
    </row>
    <row r="15" spans="1:6" x14ac:dyDescent="0.35">
      <c r="A15" t="s">
        <v>314</v>
      </c>
      <c r="B15" t="s">
        <v>331</v>
      </c>
      <c r="C15" s="11">
        <v>43862</v>
      </c>
      <c r="D15" t="s">
        <v>316</v>
      </c>
      <c r="E15" t="s">
        <v>317</v>
      </c>
      <c r="F15">
        <v>2.29</v>
      </c>
    </row>
    <row r="16" spans="1:6" x14ac:dyDescent="0.35">
      <c r="A16" t="s">
        <v>314</v>
      </c>
      <c r="B16" t="s">
        <v>332</v>
      </c>
      <c r="C16" s="11">
        <v>43891</v>
      </c>
      <c r="D16" t="s">
        <v>316</v>
      </c>
      <c r="E16" t="s">
        <v>317</v>
      </c>
      <c r="F16">
        <v>1.94</v>
      </c>
    </row>
    <row r="17" spans="1:6" x14ac:dyDescent="0.35">
      <c r="A17" t="s">
        <v>314</v>
      </c>
      <c r="B17" t="s">
        <v>333</v>
      </c>
      <c r="C17" s="11">
        <v>43922</v>
      </c>
      <c r="D17" t="s">
        <v>316</v>
      </c>
      <c r="E17" t="s">
        <v>317</v>
      </c>
      <c r="F17">
        <v>3.17</v>
      </c>
    </row>
    <row r="18" spans="1:6" x14ac:dyDescent="0.35">
      <c r="A18" t="s">
        <v>314</v>
      </c>
      <c r="B18" t="s">
        <v>334</v>
      </c>
      <c r="C18" s="11">
        <v>43952</v>
      </c>
      <c r="D18" t="s">
        <v>316</v>
      </c>
      <c r="E18" t="s">
        <v>317</v>
      </c>
      <c r="F18">
        <v>4.08</v>
      </c>
    </row>
    <row r="19" spans="1:6" x14ac:dyDescent="0.35">
      <c r="A19" t="s">
        <v>314</v>
      </c>
      <c r="B19" t="s">
        <v>335</v>
      </c>
      <c r="C19" s="11">
        <v>43983</v>
      </c>
      <c r="D19" t="s">
        <v>316</v>
      </c>
      <c r="E19" t="s">
        <v>317</v>
      </c>
      <c r="F19">
        <v>4.49</v>
      </c>
    </row>
    <row r="20" spans="1:6" x14ac:dyDescent="0.35">
      <c r="A20" t="s">
        <v>314</v>
      </c>
      <c r="B20" t="s">
        <v>336</v>
      </c>
      <c r="C20" s="11">
        <v>44013</v>
      </c>
      <c r="D20" t="s">
        <v>316</v>
      </c>
      <c r="E20" t="s">
        <v>317</v>
      </c>
      <c r="F20">
        <v>3.94</v>
      </c>
    </row>
    <row r="21" spans="1:6" x14ac:dyDescent="0.35">
      <c r="A21" t="s">
        <v>314</v>
      </c>
      <c r="B21" t="s">
        <v>337</v>
      </c>
      <c r="C21" s="11">
        <v>44044</v>
      </c>
      <c r="D21" t="s">
        <v>316</v>
      </c>
      <c r="E21" t="s">
        <v>317</v>
      </c>
      <c r="F21">
        <v>3.51</v>
      </c>
    </row>
    <row r="22" spans="1:6" x14ac:dyDescent="0.35">
      <c r="A22" t="s">
        <v>314</v>
      </c>
      <c r="B22" t="s">
        <v>338</v>
      </c>
      <c r="C22" s="11">
        <v>44075</v>
      </c>
      <c r="D22" t="s">
        <v>316</v>
      </c>
      <c r="E22" t="s">
        <v>317</v>
      </c>
      <c r="F22">
        <v>3.34</v>
      </c>
    </row>
    <row r="23" spans="1:6" x14ac:dyDescent="0.35">
      <c r="A23" t="s">
        <v>314</v>
      </c>
      <c r="B23" t="s">
        <v>339</v>
      </c>
      <c r="C23" s="11">
        <v>44105</v>
      </c>
      <c r="D23" t="s">
        <v>316</v>
      </c>
      <c r="E23" t="s">
        <v>317</v>
      </c>
      <c r="F23">
        <v>3.27</v>
      </c>
    </row>
    <row r="24" spans="1:6" x14ac:dyDescent="0.35">
      <c r="A24" t="s">
        <v>314</v>
      </c>
      <c r="B24" t="s">
        <v>340</v>
      </c>
      <c r="C24" s="11">
        <v>44136</v>
      </c>
      <c r="D24" t="s">
        <v>316</v>
      </c>
      <c r="E24" t="s">
        <v>317</v>
      </c>
      <c r="F24">
        <v>3.3</v>
      </c>
    </row>
    <row r="25" spans="1:6" x14ac:dyDescent="0.35">
      <c r="A25" t="s">
        <v>314</v>
      </c>
      <c r="B25" t="s">
        <v>341</v>
      </c>
      <c r="C25" s="11">
        <v>44166</v>
      </c>
      <c r="D25" t="s">
        <v>316</v>
      </c>
      <c r="E25" t="s">
        <v>317</v>
      </c>
      <c r="F25">
        <v>3.39</v>
      </c>
    </row>
    <row r="26" spans="1:6" x14ac:dyDescent="0.35">
      <c r="A26" t="s">
        <v>314</v>
      </c>
      <c r="B26" t="s">
        <v>342</v>
      </c>
      <c r="C26" s="11">
        <v>44197</v>
      </c>
      <c r="D26" t="s">
        <v>316</v>
      </c>
      <c r="E26" t="s">
        <v>317</v>
      </c>
      <c r="F26">
        <v>3.56</v>
      </c>
    </row>
    <row r="27" spans="1:6" x14ac:dyDescent="0.35">
      <c r="A27" t="s">
        <v>314</v>
      </c>
      <c r="B27" t="s">
        <v>343</v>
      </c>
      <c r="C27" s="11">
        <v>44228</v>
      </c>
      <c r="D27" t="s">
        <v>316</v>
      </c>
      <c r="E27" t="s">
        <v>317</v>
      </c>
      <c r="F27">
        <v>3.66</v>
      </c>
    </row>
    <row r="28" spans="1:6" x14ac:dyDescent="0.35">
      <c r="A28" t="s">
        <v>314</v>
      </c>
      <c r="B28" t="s">
        <v>344</v>
      </c>
      <c r="C28" s="11">
        <v>44256</v>
      </c>
      <c r="D28" t="s">
        <v>316</v>
      </c>
      <c r="E28" t="s">
        <v>317</v>
      </c>
      <c r="F28">
        <v>3.48</v>
      </c>
    </row>
    <row r="29" spans="1:6" x14ac:dyDescent="0.35">
      <c r="A29" t="s">
        <v>314</v>
      </c>
      <c r="B29" t="s">
        <v>345</v>
      </c>
      <c r="C29" s="11">
        <v>44287</v>
      </c>
      <c r="D29" t="s">
        <v>316</v>
      </c>
      <c r="E29" t="s">
        <v>317</v>
      </c>
      <c r="F29">
        <v>2.3199999999999998</v>
      </c>
    </row>
    <row r="30" spans="1:6" x14ac:dyDescent="0.35">
      <c r="A30" t="s">
        <v>314</v>
      </c>
      <c r="B30" t="s">
        <v>346</v>
      </c>
      <c r="C30" s="11">
        <v>44317</v>
      </c>
      <c r="D30" t="s">
        <v>316</v>
      </c>
      <c r="E30" t="s">
        <v>317</v>
      </c>
      <c r="F30">
        <v>1.59</v>
      </c>
    </row>
    <row r="31" spans="1:6" x14ac:dyDescent="0.35">
      <c r="A31" t="s">
        <v>314</v>
      </c>
      <c r="B31" t="s">
        <v>347</v>
      </c>
      <c r="C31" s="11">
        <v>44348</v>
      </c>
      <c r="D31" t="s">
        <v>316</v>
      </c>
      <c r="E31" t="s">
        <v>317</v>
      </c>
      <c r="F31">
        <v>1.38</v>
      </c>
    </row>
    <row r="32" spans="1:6" x14ac:dyDescent="0.35">
      <c r="A32" t="s">
        <v>314</v>
      </c>
      <c r="B32" t="s">
        <v>348</v>
      </c>
      <c r="C32" s="11">
        <v>44378</v>
      </c>
      <c r="D32" t="s">
        <v>316</v>
      </c>
      <c r="E32" t="s">
        <v>317</v>
      </c>
      <c r="F32">
        <v>2.3199999999999998</v>
      </c>
    </row>
    <row r="33" spans="1:6" x14ac:dyDescent="0.35">
      <c r="A33" t="s">
        <v>314</v>
      </c>
      <c r="B33" t="s">
        <v>349</v>
      </c>
      <c r="C33" s="11">
        <v>44409</v>
      </c>
      <c r="D33" t="s">
        <v>316</v>
      </c>
      <c r="E33" t="s">
        <v>317</v>
      </c>
      <c r="F33">
        <v>3.07</v>
      </c>
    </row>
    <row r="34" spans="1:6" x14ac:dyDescent="0.35">
      <c r="A34" t="s">
        <v>314</v>
      </c>
      <c r="B34" t="s">
        <v>350</v>
      </c>
      <c r="C34" s="11">
        <v>44440</v>
      </c>
      <c r="D34" t="s">
        <v>316</v>
      </c>
      <c r="E34" t="s">
        <v>317</v>
      </c>
      <c r="F34">
        <v>3.51</v>
      </c>
    </row>
    <row r="35" spans="1:6" x14ac:dyDescent="0.35">
      <c r="A35" t="s">
        <v>314</v>
      </c>
      <c r="B35" t="s">
        <v>351</v>
      </c>
      <c r="C35" s="11">
        <v>44470</v>
      </c>
      <c r="D35" t="s">
        <v>316</v>
      </c>
      <c r="E35" t="s">
        <v>317</v>
      </c>
      <c r="F35">
        <v>3.77</v>
      </c>
    </row>
    <row r="36" spans="1:6" x14ac:dyDescent="0.35">
      <c r="A36" t="s">
        <v>314</v>
      </c>
      <c r="B36" t="s">
        <v>352</v>
      </c>
      <c r="C36" s="11">
        <v>44501</v>
      </c>
      <c r="D36" t="s">
        <v>316</v>
      </c>
      <c r="E36" t="s">
        <v>317</v>
      </c>
      <c r="F36">
        <v>3.85</v>
      </c>
    </row>
    <row r="37" spans="1:6" x14ac:dyDescent="0.35">
      <c r="A37" t="s">
        <v>314</v>
      </c>
      <c r="B37" t="s">
        <v>353</v>
      </c>
      <c r="C37" s="11">
        <v>44531</v>
      </c>
      <c r="D37" t="s">
        <v>316</v>
      </c>
      <c r="E37" t="s">
        <v>317</v>
      </c>
      <c r="F37">
        <v>3.97</v>
      </c>
    </row>
    <row r="38" spans="1:6" x14ac:dyDescent="0.35">
      <c r="A38" t="s">
        <v>314</v>
      </c>
      <c r="B38" t="s">
        <v>354</v>
      </c>
      <c r="C38" s="11">
        <v>44562</v>
      </c>
      <c r="D38" t="s">
        <v>316</v>
      </c>
      <c r="E38" t="s">
        <v>317</v>
      </c>
      <c r="F38">
        <v>4.0199999999999996</v>
      </c>
    </row>
    <row r="39" spans="1:6" x14ac:dyDescent="0.35">
      <c r="A39" t="s">
        <v>314</v>
      </c>
      <c r="B39" t="s">
        <v>355</v>
      </c>
      <c r="C39" s="11">
        <v>44593</v>
      </c>
      <c r="D39" t="s">
        <v>316</v>
      </c>
      <c r="E39" t="s">
        <v>317</v>
      </c>
      <c r="F39">
        <v>4.17</v>
      </c>
    </row>
    <row r="40" spans="1:6" x14ac:dyDescent="0.35">
      <c r="A40" t="s">
        <v>314</v>
      </c>
      <c r="B40" t="s">
        <v>356</v>
      </c>
      <c r="C40" s="11">
        <v>44621</v>
      </c>
      <c r="D40" t="s">
        <v>316</v>
      </c>
      <c r="E40" t="s">
        <v>317</v>
      </c>
      <c r="F40">
        <v>4.6900000000000004</v>
      </c>
    </row>
    <row r="41" spans="1:6" x14ac:dyDescent="0.35">
      <c r="A41" t="s">
        <v>314</v>
      </c>
      <c r="B41" t="s">
        <v>357</v>
      </c>
      <c r="C41" s="11">
        <v>44652</v>
      </c>
      <c r="D41" t="s">
        <v>316</v>
      </c>
      <c r="E41" t="s">
        <v>317</v>
      </c>
      <c r="F41">
        <v>5.51</v>
      </c>
    </row>
    <row r="42" spans="1:6" x14ac:dyDescent="0.35">
      <c r="A42" t="s">
        <v>314</v>
      </c>
      <c r="B42" t="s">
        <v>358</v>
      </c>
      <c r="C42" s="11">
        <v>44682</v>
      </c>
      <c r="D42" t="s">
        <v>316</v>
      </c>
      <c r="E42" t="s">
        <v>317</v>
      </c>
      <c r="F42">
        <v>6.27</v>
      </c>
    </row>
    <row r="43" spans="1:6" x14ac:dyDescent="0.35">
      <c r="A43" t="s">
        <v>314</v>
      </c>
      <c r="B43" t="s">
        <v>359</v>
      </c>
      <c r="C43" s="11">
        <v>44713</v>
      </c>
      <c r="D43" t="s">
        <v>316</v>
      </c>
      <c r="E43" t="s">
        <v>317</v>
      </c>
      <c r="F43">
        <v>6.61</v>
      </c>
    </row>
    <row r="44" spans="1:6" x14ac:dyDescent="0.35">
      <c r="A44" t="s">
        <v>314</v>
      </c>
      <c r="B44" t="s">
        <v>360</v>
      </c>
      <c r="C44" s="11">
        <v>44743</v>
      </c>
      <c r="D44" t="s">
        <v>316</v>
      </c>
      <c r="E44" t="s">
        <v>317</v>
      </c>
      <c r="F44">
        <v>6.5</v>
      </c>
    </row>
    <row r="45" spans="1:6" x14ac:dyDescent="0.35">
      <c r="A45" t="s">
        <v>314</v>
      </c>
      <c r="B45" t="s">
        <v>361</v>
      </c>
      <c r="C45" s="11">
        <v>44774</v>
      </c>
      <c r="D45" t="s">
        <v>316</v>
      </c>
      <c r="E45" t="s">
        <v>317</v>
      </c>
      <c r="F45">
        <v>6.49</v>
      </c>
    </row>
    <row r="46" spans="1:6" x14ac:dyDescent="0.35">
      <c r="A46" t="s">
        <v>314</v>
      </c>
      <c r="B46" t="s">
        <v>362</v>
      </c>
      <c r="C46" s="11">
        <v>44805</v>
      </c>
      <c r="D46" t="s">
        <v>316</v>
      </c>
      <c r="E46" t="s">
        <v>317</v>
      </c>
      <c r="F46">
        <v>6.39</v>
      </c>
    </row>
    <row r="47" spans="1:6" x14ac:dyDescent="0.35">
      <c r="A47" t="s">
        <v>314</v>
      </c>
      <c r="B47" t="s">
        <v>363</v>
      </c>
      <c r="C47" s="11">
        <v>44835</v>
      </c>
      <c r="D47" t="s">
        <v>316</v>
      </c>
      <c r="E47" t="s">
        <v>317</v>
      </c>
      <c r="F47">
        <v>6.42</v>
      </c>
    </row>
    <row r="48" spans="1:6" x14ac:dyDescent="0.35">
      <c r="A48" t="s">
        <v>314</v>
      </c>
      <c r="B48" t="s">
        <v>364</v>
      </c>
      <c r="C48" s="11">
        <v>44866</v>
      </c>
      <c r="D48" t="s">
        <v>316</v>
      </c>
      <c r="E48" t="s">
        <v>317</v>
      </c>
      <c r="F48">
        <v>6.34</v>
      </c>
    </row>
    <row r="49" spans="1:6" x14ac:dyDescent="0.35">
      <c r="A49" t="s">
        <v>314</v>
      </c>
      <c r="B49" t="s">
        <v>365</v>
      </c>
      <c r="C49" s="11">
        <v>44896</v>
      </c>
      <c r="D49" t="s">
        <v>316</v>
      </c>
      <c r="E49" t="s">
        <v>317</v>
      </c>
      <c r="F49">
        <v>6.37</v>
      </c>
    </row>
    <row r="50" spans="1:6" x14ac:dyDescent="0.35">
      <c r="A50" t="s">
        <v>314</v>
      </c>
      <c r="B50" t="s">
        <v>366</v>
      </c>
      <c r="C50" s="11">
        <v>44927</v>
      </c>
      <c r="D50" t="s">
        <v>316</v>
      </c>
      <c r="E50" t="s">
        <v>317</v>
      </c>
      <c r="F50">
        <v>6.37</v>
      </c>
    </row>
    <row r="51" spans="1:6" x14ac:dyDescent="0.35">
      <c r="A51" t="s">
        <v>314</v>
      </c>
      <c r="B51" t="s">
        <v>367</v>
      </c>
      <c r="C51" s="11">
        <v>44958</v>
      </c>
      <c r="D51" t="s">
        <v>316</v>
      </c>
      <c r="E51" t="s">
        <v>317</v>
      </c>
      <c r="F51">
        <v>6.45</v>
      </c>
    </row>
    <row r="52" spans="1:6" x14ac:dyDescent="0.35">
      <c r="A52" t="s">
        <v>314</v>
      </c>
      <c r="B52" t="s">
        <v>368</v>
      </c>
      <c r="C52" s="11">
        <v>44986</v>
      </c>
      <c r="D52" t="s">
        <v>316</v>
      </c>
      <c r="E52" t="s">
        <v>317</v>
      </c>
      <c r="F52">
        <v>6.66</v>
      </c>
    </row>
    <row r="53" spans="1:6" x14ac:dyDescent="0.35">
      <c r="A53" t="s">
        <v>314</v>
      </c>
      <c r="B53" t="s">
        <v>369</v>
      </c>
      <c r="C53" s="11">
        <v>45017</v>
      </c>
      <c r="D53" t="s">
        <v>316</v>
      </c>
      <c r="E53" t="s">
        <v>317</v>
      </c>
      <c r="F53">
        <v>7</v>
      </c>
    </row>
    <row r="54" spans="1:6" x14ac:dyDescent="0.35">
      <c r="A54" t="s">
        <v>314</v>
      </c>
      <c r="B54" t="s">
        <v>370</v>
      </c>
      <c r="C54" s="11">
        <v>45047</v>
      </c>
      <c r="D54" t="s">
        <v>316</v>
      </c>
      <c r="E54" t="s">
        <v>317</v>
      </c>
      <c r="F54">
        <v>7.23</v>
      </c>
    </row>
    <row r="55" spans="1:6" x14ac:dyDescent="0.35">
      <c r="A55" t="s">
        <v>314</v>
      </c>
      <c r="B55" t="s">
        <v>371</v>
      </c>
      <c r="C55" s="11">
        <v>45078</v>
      </c>
      <c r="D55" t="s">
        <v>316</v>
      </c>
      <c r="E55" t="s">
        <v>317</v>
      </c>
      <c r="F55">
        <v>7.33</v>
      </c>
    </row>
    <row r="56" spans="1:6" x14ac:dyDescent="0.35">
      <c r="A56" t="s">
        <v>314</v>
      </c>
      <c r="B56" t="s">
        <v>372</v>
      </c>
      <c r="C56" s="11">
        <v>45108</v>
      </c>
      <c r="D56" t="s">
        <v>316</v>
      </c>
      <c r="E56" t="s">
        <v>317</v>
      </c>
      <c r="F56">
        <v>7.29</v>
      </c>
    </row>
    <row r="57" spans="1:6" x14ac:dyDescent="0.35">
      <c r="A57" t="s">
        <v>314</v>
      </c>
      <c r="B57" t="s">
        <v>373</v>
      </c>
      <c r="C57" s="11">
        <v>45139</v>
      </c>
      <c r="D57" t="s">
        <v>316</v>
      </c>
      <c r="E57" t="s">
        <v>317</v>
      </c>
      <c r="F57">
        <v>7.18</v>
      </c>
    </row>
    <row r="58" spans="1:6" x14ac:dyDescent="0.35">
      <c r="A58" t="s">
        <v>314</v>
      </c>
      <c r="B58" t="s">
        <v>374</v>
      </c>
      <c r="C58" s="11">
        <v>45170</v>
      </c>
      <c r="D58" t="s">
        <v>316</v>
      </c>
      <c r="E58" t="s">
        <v>317</v>
      </c>
      <c r="F58">
        <v>7.07</v>
      </c>
    </row>
    <row r="59" spans="1:6" x14ac:dyDescent="0.35">
      <c r="A59" t="s">
        <v>314</v>
      </c>
      <c r="B59" t="s">
        <v>375</v>
      </c>
      <c r="C59" s="11">
        <v>45200</v>
      </c>
      <c r="D59" t="s">
        <v>316</v>
      </c>
      <c r="E59" t="s">
        <v>317</v>
      </c>
      <c r="F59">
        <v>6.84</v>
      </c>
    </row>
    <row r="60" spans="1:6" x14ac:dyDescent="0.35">
      <c r="A60" t="s">
        <v>314</v>
      </c>
      <c r="B60" t="s">
        <v>376</v>
      </c>
      <c r="C60" s="11">
        <v>45231</v>
      </c>
      <c r="D60" t="s">
        <v>316</v>
      </c>
      <c r="E60" t="s">
        <v>317</v>
      </c>
      <c r="F60">
        <v>6.69</v>
      </c>
    </row>
    <row r="61" spans="1:6" x14ac:dyDescent="0.35">
      <c r="A61" t="s">
        <v>314</v>
      </c>
      <c r="B61" t="s">
        <v>377</v>
      </c>
      <c r="C61" s="11">
        <v>45261</v>
      </c>
      <c r="D61" t="s">
        <v>316</v>
      </c>
      <c r="E61" t="s">
        <v>317</v>
      </c>
      <c r="F61">
        <v>6.56</v>
      </c>
    </row>
    <row r="62" spans="1:6" x14ac:dyDescent="0.35">
      <c r="A62" t="s">
        <v>314</v>
      </c>
      <c r="B62" t="s">
        <v>378</v>
      </c>
      <c r="C62" s="11">
        <v>45292</v>
      </c>
      <c r="D62" t="s">
        <v>316</v>
      </c>
      <c r="E62" t="s">
        <v>317</v>
      </c>
      <c r="F62">
        <v>6.5</v>
      </c>
    </row>
    <row r="63" spans="1:6" x14ac:dyDescent="0.35">
      <c r="A63" t="s">
        <v>314</v>
      </c>
      <c r="B63" t="s">
        <v>379</v>
      </c>
      <c r="C63" s="11">
        <v>45323</v>
      </c>
      <c r="D63" t="s">
        <v>316</v>
      </c>
      <c r="E63" t="s">
        <v>317</v>
      </c>
      <c r="F63">
        <v>6.44</v>
      </c>
    </row>
    <row r="64" spans="1:6" x14ac:dyDescent="0.35">
      <c r="A64" t="s">
        <v>314</v>
      </c>
      <c r="B64" t="s">
        <v>380</v>
      </c>
      <c r="C64" s="11">
        <v>45352</v>
      </c>
      <c r="D64" t="s">
        <v>316</v>
      </c>
      <c r="E64" t="s">
        <v>317</v>
      </c>
      <c r="F64">
        <v>6.43</v>
      </c>
    </row>
    <row r="65" spans="1:6" x14ac:dyDescent="0.35">
      <c r="A65" t="s">
        <v>314</v>
      </c>
      <c r="B65" t="s">
        <v>381</v>
      </c>
      <c r="C65" s="11">
        <v>45383</v>
      </c>
      <c r="D65" t="s">
        <v>316</v>
      </c>
      <c r="E65" t="s">
        <v>317</v>
      </c>
      <c r="F65">
        <v>6.56</v>
      </c>
    </row>
    <row r="66" spans="1:6" x14ac:dyDescent="0.35">
      <c r="A66" t="s">
        <v>314</v>
      </c>
      <c r="B66" t="s">
        <v>382</v>
      </c>
      <c r="C66" s="11">
        <v>45413</v>
      </c>
      <c r="D66" t="s">
        <v>316</v>
      </c>
      <c r="E66" t="s">
        <v>317</v>
      </c>
      <c r="F66">
        <v>6.7</v>
      </c>
    </row>
    <row r="67" spans="1:6" x14ac:dyDescent="0.35">
      <c r="A67" t="s">
        <v>314</v>
      </c>
      <c r="B67" t="s">
        <v>383</v>
      </c>
      <c r="C67" s="11">
        <v>45444</v>
      </c>
      <c r="D67" t="s">
        <v>316</v>
      </c>
      <c r="E67" t="s">
        <v>317</v>
      </c>
      <c r="F67">
        <v>6.79</v>
      </c>
    </row>
    <row r="68" spans="1:6" x14ac:dyDescent="0.35">
      <c r="A68" t="s">
        <v>314</v>
      </c>
      <c r="B68" t="s">
        <v>384</v>
      </c>
      <c r="C68" s="11">
        <v>45474</v>
      </c>
      <c r="D68" t="s">
        <v>316</v>
      </c>
      <c r="E68" t="s">
        <v>317</v>
      </c>
      <c r="F68">
        <v>6.61</v>
      </c>
    </row>
    <row r="69" spans="1:6" x14ac:dyDescent="0.35">
      <c r="A69" t="s">
        <v>314</v>
      </c>
      <c r="B69" t="s">
        <v>385</v>
      </c>
      <c r="C69" s="11">
        <v>45505</v>
      </c>
      <c r="D69" t="s">
        <v>316</v>
      </c>
      <c r="E69" t="s">
        <v>317</v>
      </c>
      <c r="F69">
        <v>6.6</v>
      </c>
    </row>
    <row r="70" spans="1:6" x14ac:dyDescent="0.35">
      <c r="A70" t="s">
        <v>314</v>
      </c>
      <c r="B70" t="s">
        <v>386</v>
      </c>
      <c r="C70" s="11">
        <v>45536</v>
      </c>
      <c r="D70" t="s">
        <v>316</v>
      </c>
      <c r="E70" t="s">
        <v>317</v>
      </c>
      <c r="F70">
        <v>6.58</v>
      </c>
    </row>
    <row r="71" spans="1:6" x14ac:dyDescent="0.35">
      <c r="A71" t="s">
        <v>314</v>
      </c>
      <c r="B71" t="s">
        <v>387</v>
      </c>
      <c r="C71" s="11">
        <v>45566</v>
      </c>
      <c r="D71" t="s">
        <v>316</v>
      </c>
      <c r="E71" t="s">
        <v>317</v>
      </c>
      <c r="F71">
        <v>6.7</v>
      </c>
    </row>
    <row r="72" spans="1:6" x14ac:dyDescent="0.35">
      <c r="A72" t="s">
        <v>314</v>
      </c>
      <c r="B72" t="s">
        <v>388</v>
      </c>
      <c r="C72" s="11">
        <v>45597</v>
      </c>
      <c r="D72" t="s">
        <v>316</v>
      </c>
      <c r="E72" t="s">
        <v>317</v>
      </c>
      <c r="F72">
        <v>6.54</v>
      </c>
    </row>
    <row r="73" spans="1:6" x14ac:dyDescent="0.35">
      <c r="A73" t="s">
        <v>314</v>
      </c>
      <c r="B73" t="s">
        <v>389</v>
      </c>
      <c r="C73" s="11">
        <v>45627</v>
      </c>
      <c r="D73" t="s">
        <v>316</v>
      </c>
      <c r="E73" t="s">
        <v>317</v>
      </c>
      <c r="F73">
        <v>6.37</v>
      </c>
    </row>
    <row r="74" spans="1:6" x14ac:dyDescent="0.35">
      <c r="A74" t="s">
        <v>314</v>
      </c>
      <c r="B74" t="s">
        <v>390</v>
      </c>
      <c r="C74" s="11">
        <v>45658</v>
      </c>
      <c r="D74" t="s">
        <v>316</v>
      </c>
      <c r="E74" t="s">
        <v>317</v>
      </c>
      <c r="F74">
        <v>6.21</v>
      </c>
    </row>
    <row r="75" spans="1:6" x14ac:dyDescent="0.35">
      <c r="A75" t="s">
        <v>314</v>
      </c>
      <c r="B75" t="s">
        <v>391</v>
      </c>
      <c r="C75" s="11">
        <v>45689</v>
      </c>
      <c r="D75" t="s">
        <v>316</v>
      </c>
      <c r="E75" t="s">
        <v>317</v>
      </c>
      <c r="F75">
        <v>6.05</v>
      </c>
    </row>
    <row r="76" spans="1:6" x14ac:dyDescent="0.35">
      <c r="A76" t="s">
        <v>314</v>
      </c>
      <c r="B76" t="s">
        <v>392</v>
      </c>
      <c r="C76" s="11">
        <v>45717</v>
      </c>
      <c r="D76" t="s">
        <v>316</v>
      </c>
      <c r="E76" t="s">
        <v>317</v>
      </c>
      <c r="F76">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4</vt:i4>
      </vt:variant>
      <vt:variant>
        <vt:lpstr>Charts</vt:lpstr>
      </vt:variant>
      <vt:variant>
        <vt:i4>1</vt:i4>
      </vt:variant>
      <vt:variant>
        <vt:lpstr>Named Ranges</vt:lpstr>
      </vt:variant>
      <vt:variant>
        <vt:i4>1</vt:i4>
      </vt:variant>
    </vt:vector>
  </HeadingPairs>
  <TitlesOfParts>
    <vt:vector size="6" baseType="lpstr">
      <vt:lpstr>Chart Data</vt:lpstr>
      <vt:lpstr>HAVERM</vt:lpstr>
      <vt:lpstr>27. Median of pay growth (UK)</vt:lpstr>
      <vt:lpstr>Indeed</vt:lpstr>
      <vt:lpstr>Chart2</vt:lpstr>
      <vt:lpstr>_DLX1.INC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2024-05-14T18:36:43Z</dcterms:created>
  <dcterms:modified xsi:type="dcterms:W3CDTF">2025-05-15T21:51:31Z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2024-05-14T19:06:40Z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a1083aa6-9fec-4cb4-9c08-05036d4201b1</vt:lpwstr>
  </property>
  <property fmtid="{D5CDD505-2E9C-101B-9397-08002B2CF9AE}" pid="8" name="MSIP_Label_231f5784-19ed-4d1e-9a93-4ea41014d730_ContentBits">
    <vt:lpwstr>0</vt:lpwstr>
  </property>
</Properties>
</file>